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\WNBA_Elo\Ratings\"/>
    </mc:Choice>
  </mc:AlternateContent>
  <xr:revisionPtr revIDLastSave="0" documentId="13_ncr:1_{1E450E64-B2C8-4621-B321-B4017458F260}" xr6:coauthVersionLast="47" xr6:coauthVersionMax="47" xr10:uidLastSave="{00000000-0000-0000-0000-000000000000}"/>
  <bookViews>
    <workbookView xWindow="-110" yWindow="-110" windowWidth="19420" windowHeight="10300" activeTab="1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3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0" i="2" l="1"/>
  <c r="C441" i="2"/>
  <c r="Y441" i="2" s="1"/>
  <c r="I440" i="2" a="1"/>
  <c r="I441" i="2" a="1"/>
  <c r="J440" i="2" a="1"/>
  <c r="J441" i="2" a="1"/>
  <c r="K440" i="2"/>
  <c r="L440" i="2"/>
  <c r="M440" i="2"/>
  <c r="N440" i="2"/>
  <c r="U440" i="2"/>
  <c r="V440" i="2" s="1"/>
  <c r="U441" i="2"/>
  <c r="V441" i="2" s="1"/>
  <c r="X440" i="2" a="1"/>
  <c r="Z440" i="2" s="1"/>
  <c r="X441" i="2" a="1"/>
  <c r="Y440" i="2"/>
  <c r="AC440" i="2"/>
  <c r="AC441" i="2"/>
  <c r="AD440" i="2"/>
  <c r="AD441" i="2"/>
  <c r="AE440" i="2"/>
  <c r="AE441" i="2"/>
  <c r="AF440" i="2"/>
  <c r="AF441" i="2"/>
  <c r="AG440" i="2"/>
  <c r="AG441" i="2"/>
  <c r="AH440" i="2"/>
  <c r="AH441" i="2"/>
  <c r="AI440" i="2"/>
  <c r="AJ440" i="2"/>
  <c r="AK440" i="2"/>
  <c r="AK441" i="2"/>
  <c r="AL440" i="2"/>
  <c r="AL441" i="2"/>
  <c r="H36" i="3"/>
  <c r="E25" i="3"/>
  <c r="D25" i="3"/>
  <c r="C25" i="3"/>
  <c r="B25" i="3"/>
  <c r="H35" i="3"/>
  <c r="E26" i="3"/>
  <c r="D26" i="3"/>
  <c r="C26" i="3"/>
  <c r="B26" i="3"/>
  <c r="H34" i="3"/>
  <c r="H33" i="3"/>
  <c r="H32" i="3"/>
  <c r="H31" i="3"/>
  <c r="H30" i="3"/>
  <c r="H29" i="3"/>
  <c r="H28" i="3"/>
  <c r="H27" i="3"/>
  <c r="H26" i="3"/>
  <c r="H25" i="3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J408" i="2" a="1"/>
  <c r="L408" i="2" s="1"/>
  <c r="N408" i="2" s="1"/>
  <c r="J409" i="2" a="1"/>
  <c r="L409" i="2" s="1"/>
  <c r="N409" i="2" s="1"/>
  <c r="J410" i="2" a="1"/>
  <c r="J411" i="2" a="1"/>
  <c r="L411" i="2" s="1"/>
  <c r="N411" i="2" s="1"/>
  <c r="J412" i="2" a="1"/>
  <c r="L412" i="2" s="1"/>
  <c r="N412" i="2" s="1"/>
  <c r="J413" i="2" a="1"/>
  <c r="L413" i="2" s="1"/>
  <c r="N413" i="2" s="1"/>
  <c r="J414" i="2" a="1"/>
  <c r="L414" i="2" s="1"/>
  <c r="N414" i="2" s="1"/>
  <c r="J415" i="2" a="1"/>
  <c r="L415" i="2" s="1"/>
  <c r="N415" i="2" s="1"/>
  <c r="J416" i="2" a="1"/>
  <c r="J417" i="2" a="1"/>
  <c r="L417" i="2" s="1"/>
  <c r="N417" i="2" s="1"/>
  <c r="J418" i="2" a="1"/>
  <c r="L418" i="2" s="1"/>
  <c r="N418" i="2" s="1"/>
  <c r="J419" i="2" a="1"/>
  <c r="L419" i="2" s="1"/>
  <c r="N419" i="2" s="1"/>
  <c r="J420" i="2" a="1"/>
  <c r="J421" i="2" a="1"/>
  <c r="L421" i="2" s="1"/>
  <c r="N421" i="2" s="1"/>
  <c r="J422" i="2" a="1"/>
  <c r="L422" i="2" s="1"/>
  <c r="N422" i="2" s="1"/>
  <c r="J423" i="2" a="1"/>
  <c r="L423" i="2" s="1"/>
  <c r="N423" i="2" s="1"/>
  <c r="J424" i="2" a="1"/>
  <c r="L424" i="2" s="1"/>
  <c r="N424" i="2" s="1"/>
  <c r="J425" i="2" a="1"/>
  <c r="L425" i="2" s="1"/>
  <c r="N425" i="2" s="1"/>
  <c r="J426" i="2" a="1"/>
  <c r="L426" i="2" s="1"/>
  <c r="N426" i="2" s="1"/>
  <c r="J427" i="2" a="1"/>
  <c r="L427" i="2" s="1"/>
  <c r="N427" i="2" s="1"/>
  <c r="J428" i="2" a="1"/>
  <c r="L428" i="2" s="1"/>
  <c r="N428" i="2" s="1"/>
  <c r="J429" i="2" a="1"/>
  <c r="L429" i="2" s="1"/>
  <c r="N429" i="2" s="1"/>
  <c r="J430" i="2" a="1"/>
  <c r="L430" i="2" s="1"/>
  <c r="N430" i="2" s="1"/>
  <c r="J431" i="2" a="1"/>
  <c r="L431" i="2" s="1"/>
  <c r="N431" i="2" s="1"/>
  <c r="J432" i="2" a="1"/>
  <c r="L432" i="2" s="1"/>
  <c r="N432" i="2" s="1"/>
  <c r="J433" i="2" a="1"/>
  <c r="L433" i="2" s="1"/>
  <c r="N433" i="2" s="1"/>
  <c r="J434" i="2" a="1"/>
  <c r="L434" i="2" s="1"/>
  <c r="N434" i="2" s="1"/>
  <c r="J435" i="2" a="1"/>
  <c r="L435" i="2" s="1"/>
  <c r="N435" i="2" s="1"/>
  <c r="J436" i="2" a="1"/>
  <c r="L436" i="2" s="1"/>
  <c r="N436" i="2" s="1"/>
  <c r="J437" i="2" a="1"/>
  <c r="J438" i="2" a="1"/>
  <c r="J439" i="2" a="1"/>
  <c r="K408" i="2"/>
  <c r="M408" i="2" s="1"/>
  <c r="K409" i="2"/>
  <c r="M409" i="2" s="1"/>
  <c r="K410" i="2"/>
  <c r="M410" i="2" s="1"/>
  <c r="K411" i="2"/>
  <c r="M411" i="2" s="1"/>
  <c r="K412" i="2"/>
  <c r="M412" i="2" s="1"/>
  <c r="K413" i="2"/>
  <c r="M413" i="2" s="1"/>
  <c r="K414" i="2"/>
  <c r="M414" i="2" s="1"/>
  <c r="K415" i="2"/>
  <c r="M415" i="2" s="1"/>
  <c r="K417" i="2"/>
  <c r="M417" i="2" s="1"/>
  <c r="K418" i="2"/>
  <c r="M418" i="2" s="1"/>
  <c r="K419" i="2"/>
  <c r="M419" i="2" s="1"/>
  <c r="K421" i="2"/>
  <c r="M421" i="2" s="1"/>
  <c r="K422" i="2"/>
  <c r="M422" i="2" s="1"/>
  <c r="K423" i="2"/>
  <c r="M423" i="2" s="1"/>
  <c r="K424" i="2"/>
  <c r="M424" i="2" s="1"/>
  <c r="K425" i="2"/>
  <c r="M425" i="2" s="1"/>
  <c r="K426" i="2"/>
  <c r="M426" i="2" s="1"/>
  <c r="K427" i="2"/>
  <c r="M427" i="2" s="1"/>
  <c r="K428" i="2"/>
  <c r="M428" i="2" s="1"/>
  <c r="K429" i="2"/>
  <c r="M429" i="2" s="1"/>
  <c r="K430" i="2"/>
  <c r="M430" i="2" s="1"/>
  <c r="K431" i="2"/>
  <c r="M431" i="2" s="1"/>
  <c r="K432" i="2"/>
  <c r="M432" i="2" s="1"/>
  <c r="K433" i="2"/>
  <c r="M433" i="2" s="1"/>
  <c r="K434" i="2"/>
  <c r="M434" i="2" s="1"/>
  <c r="K435" i="2"/>
  <c r="M435" i="2" s="1"/>
  <c r="K436" i="2"/>
  <c r="M436" i="2" s="1"/>
  <c r="U408" i="2"/>
  <c r="V408" i="2" s="1"/>
  <c r="U409" i="2"/>
  <c r="V409" i="2" s="1"/>
  <c r="U410" i="2"/>
  <c r="V410" i="2" s="1"/>
  <c r="U411" i="2"/>
  <c r="V411" i="2" s="1"/>
  <c r="U412" i="2"/>
  <c r="V412" i="2" s="1"/>
  <c r="U413" i="2"/>
  <c r="V413" i="2" s="1"/>
  <c r="U414" i="2"/>
  <c r="V414" i="2" s="1"/>
  <c r="U415" i="2"/>
  <c r="V415" i="2" s="1"/>
  <c r="U416" i="2"/>
  <c r="V416" i="2" s="1"/>
  <c r="U417" i="2"/>
  <c r="V417" i="2" s="1"/>
  <c r="U418" i="2"/>
  <c r="V418" i="2" s="1"/>
  <c r="U419" i="2"/>
  <c r="V419" i="2" s="1"/>
  <c r="U420" i="2"/>
  <c r="V420" i="2" s="1"/>
  <c r="U421" i="2"/>
  <c r="V421" i="2" s="1"/>
  <c r="U422" i="2"/>
  <c r="V422" i="2" s="1"/>
  <c r="U423" i="2"/>
  <c r="V423" i="2" s="1"/>
  <c r="U424" i="2"/>
  <c r="V424" i="2" s="1"/>
  <c r="U425" i="2"/>
  <c r="V425" i="2" s="1"/>
  <c r="U426" i="2"/>
  <c r="V426" i="2" s="1"/>
  <c r="U427" i="2"/>
  <c r="V427" i="2" s="1"/>
  <c r="U428" i="2"/>
  <c r="V428" i="2" s="1"/>
  <c r="U429" i="2"/>
  <c r="V429" i="2" s="1"/>
  <c r="U430" i="2"/>
  <c r="V430" i="2" s="1"/>
  <c r="U431" i="2"/>
  <c r="V431" i="2" s="1"/>
  <c r="U432" i="2"/>
  <c r="V432" i="2" s="1"/>
  <c r="U433" i="2"/>
  <c r="V433" i="2" s="1"/>
  <c r="U434" i="2"/>
  <c r="V434" i="2" s="1"/>
  <c r="U435" i="2"/>
  <c r="V435" i="2" s="1"/>
  <c r="U436" i="2"/>
  <c r="V436" i="2" s="1"/>
  <c r="U437" i="2"/>
  <c r="V437" i="2" s="1"/>
  <c r="U438" i="2"/>
  <c r="V438" i="2" s="1"/>
  <c r="U439" i="2"/>
  <c r="V439" i="2" s="1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E29" i="3"/>
  <c r="D29" i="3"/>
  <c r="C29" i="3"/>
  <c r="B29" i="3"/>
  <c r="E35" i="3"/>
  <c r="D35" i="3"/>
  <c r="C35" i="3"/>
  <c r="B35" i="3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J318" i="2" a="1"/>
  <c r="J319" i="2" a="1"/>
  <c r="J320" i="2" a="1"/>
  <c r="J321" i="2" a="1"/>
  <c r="J322" i="2" a="1"/>
  <c r="J323" i="2" a="1"/>
  <c r="J324" i="2" a="1"/>
  <c r="J325" i="2" a="1"/>
  <c r="L325" i="2" s="1"/>
  <c r="N325" i="2" s="1"/>
  <c r="J326" i="2" a="1"/>
  <c r="L326" i="2" s="1"/>
  <c r="N326" i="2" s="1"/>
  <c r="J327" i="2" a="1"/>
  <c r="L327" i="2" s="1"/>
  <c r="N327" i="2" s="1"/>
  <c r="J328" i="2" a="1"/>
  <c r="L328" i="2" s="1"/>
  <c r="N328" i="2" s="1"/>
  <c r="J329" i="2" a="1"/>
  <c r="L329" i="2" s="1"/>
  <c r="N329" i="2" s="1"/>
  <c r="J330" i="2" a="1"/>
  <c r="L330" i="2" s="1"/>
  <c r="N330" i="2" s="1"/>
  <c r="J331" i="2" a="1"/>
  <c r="L331" i="2" s="1"/>
  <c r="N331" i="2" s="1"/>
  <c r="J332" i="2" a="1"/>
  <c r="L332" i="2" s="1"/>
  <c r="N332" i="2" s="1"/>
  <c r="J333" i="2" a="1"/>
  <c r="L333" i="2" s="1"/>
  <c r="N333" i="2" s="1"/>
  <c r="J334" i="2" a="1"/>
  <c r="L334" i="2" s="1"/>
  <c r="N334" i="2" s="1"/>
  <c r="J335" i="2" a="1"/>
  <c r="L335" i="2" s="1"/>
  <c r="N335" i="2" s="1"/>
  <c r="J336" i="2" a="1"/>
  <c r="L336" i="2" s="1"/>
  <c r="N336" i="2" s="1"/>
  <c r="J337" i="2" a="1"/>
  <c r="L337" i="2" s="1"/>
  <c r="N337" i="2" s="1"/>
  <c r="J338" i="2" a="1"/>
  <c r="L338" i="2" s="1"/>
  <c r="N338" i="2" s="1"/>
  <c r="J339" i="2" a="1"/>
  <c r="L339" i="2" s="1"/>
  <c r="N339" i="2" s="1"/>
  <c r="J340" i="2" a="1"/>
  <c r="L340" i="2" s="1"/>
  <c r="N340" i="2" s="1"/>
  <c r="J341" i="2" a="1"/>
  <c r="L341" i="2" s="1"/>
  <c r="N341" i="2" s="1"/>
  <c r="J342" i="2" a="1"/>
  <c r="L342" i="2" s="1"/>
  <c r="N342" i="2" s="1"/>
  <c r="J343" i="2" a="1"/>
  <c r="L343" i="2" s="1"/>
  <c r="N343" i="2" s="1"/>
  <c r="J344" i="2" a="1"/>
  <c r="L344" i="2" s="1"/>
  <c r="N344" i="2" s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U318" i="2"/>
  <c r="V318" i="2" s="1"/>
  <c r="U319" i="2"/>
  <c r="V319" i="2" s="1"/>
  <c r="U320" i="2"/>
  <c r="V320" i="2" s="1"/>
  <c r="U321" i="2"/>
  <c r="V321" i="2" s="1"/>
  <c r="U322" i="2"/>
  <c r="V322" i="2" s="1"/>
  <c r="U323" i="2"/>
  <c r="V323" i="2" s="1"/>
  <c r="U324" i="2"/>
  <c r="V324" i="2" s="1"/>
  <c r="U325" i="2"/>
  <c r="V325" i="2" s="1"/>
  <c r="U326" i="2"/>
  <c r="V326" i="2" s="1"/>
  <c r="U327" i="2"/>
  <c r="V327" i="2" s="1"/>
  <c r="U328" i="2"/>
  <c r="V328" i="2" s="1"/>
  <c r="U329" i="2"/>
  <c r="V329" i="2" s="1"/>
  <c r="U330" i="2"/>
  <c r="V330" i="2" s="1"/>
  <c r="U331" i="2"/>
  <c r="V331" i="2" s="1"/>
  <c r="U332" i="2"/>
  <c r="V332" i="2" s="1"/>
  <c r="U333" i="2"/>
  <c r="V333" i="2" s="1"/>
  <c r="U334" i="2"/>
  <c r="V334" i="2" s="1"/>
  <c r="U335" i="2"/>
  <c r="V335" i="2" s="1"/>
  <c r="U336" i="2"/>
  <c r="V336" i="2" s="1"/>
  <c r="U337" i="2"/>
  <c r="V337" i="2" s="1"/>
  <c r="U338" i="2"/>
  <c r="V338" i="2" s="1"/>
  <c r="U339" i="2"/>
  <c r="V339" i="2" s="1"/>
  <c r="U340" i="2"/>
  <c r="V340" i="2" s="1"/>
  <c r="U341" i="2"/>
  <c r="V341" i="2" s="1"/>
  <c r="U342" i="2"/>
  <c r="V342" i="2" s="1"/>
  <c r="U343" i="2"/>
  <c r="V343" i="2" s="1"/>
  <c r="U344" i="2"/>
  <c r="V344" i="2" s="1"/>
  <c r="U345" i="2"/>
  <c r="V345" i="2" s="1"/>
  <c r="U346" i="2"/>
  <c r="V346" i="2" s="1"/>
  <c r="U347" i="2"/>
  <c r="V347" i="2" s="1"/>
  <c r="U348" i="2"/>
  <c r="V348" i="2" s="1"/>
  <c r="U349" i="2"/>
  <c r="V349" i="2" s="1"/>
  <c r="U350" i="2"/>
  <c r="V350" i="2" s="1"/>
  <c r="U351" i="2"/>
  <c r="V351" i="2" s="1"/>
  <c r="U352" i="2"/>
  <c r="V352" i="2" s="1"/>
  <c r="U353" i="2"/>
  <c r="V353" i="2" s="1"/>
  <c r="U354" i="2"/>
  <c r="V354" i="2" s="1"/>
  <c r="U355" i="2"/>
  <c r="V355" i="2" s="1"/>
  <c r="U356" i="2"/>
  <c r="V356" i="2" s="1"/>
  <c r="U357" i="2"/>
  <c r="V357" i="2" s="1"/>
  <c r="U358" i="2"/>
  <c r="V358" i="2" s="1"/>
  <c r="U359" i="2"/>
  <c r="V359" i="2" s="1"/>
  <c r="U360" i="2"/>
  <c r="V360" i="2" s="1"/>
  <c r="U361" i="2"/>
  <c r="V361" i="2" s="1"/>
  <c r="U362" i="2"/>
  <c r="V362" i="2" s="1"/>
  <c r="U363" i="2"/>
  <c r="V363" i="2" s="1"/>
  <c r="U364" i="2"/>
  <c r="V364" i="2" s="1"/>
  <c r="U365" i="2"/>
  <c r="V365" i="2" s="1"/>
  <c r="U366" i="2"/>
  <c r="V366" i="2" s="1"/>
  <c r="U367" i="2"/>
  <c r="V367" i="2" s="1"/>
  <c r="U368" i="2"/>
  <c r="V368" i="2" s="1"/>
  <c r="U369" i="2"/>
  <c r="V369" i="2" s="1"/>
  <c r="U370" i="2"/>
  <c r="V370" i="2" s="1"/>
  <c r="U371" i="2"/>
  <c r="V371" i="2" s="1"/>
  <c r="U372" i="2"/>
  <c r="V372" i="2" s="1"/>
  <c r="U373" i="2"/>
  <c r="V373" i="2" s="1"/>
  <c r="U374" i="2"/>
  <c r="V374" i="2" s="1"/>
  <c r="U375" i="2"/>
  <c r="V375" i="2" s="1"/>
  <c r="U376" i="2"/>
  <c r="V376" i="2" s="1"/>
  <c r="U377" i="2"/>
  <c r="V377" i="2" s="1"/>
  <c r="U378" i="2"/>
  <c r="V378" i="2" s="1"/>
  <c r="U379" i="2"/>
  <c r="V379" i="2" s="1"/>
  <c r="U380" i="2"/>
  <c r="V380" i="2" s="1"/>
  <c r="U381" i="2"/>
  <c r="V381" i="2" s="1"/>
  <c r="U382" i="2"/>
  <c r="V382" i="2" s="1"/>
  <c r="U383" i="2"/>
  <c r="V383" i="2" s="1"/>
  <c r="U384" i="2"/>
  <c r="V384" i="2" s="1"/>
  <c r="U385" i="2"/>
  <c r="V385" i="2" s="1"/>
  <c r="U386" i="2"/>
  <c r="V386" i="2" s="1"/>
  <c r="AC386" i="2" s="1"/>
  <c r="U387" i="2"/>
  <c r="V387" i="2" s="1"/>
  <c r="AC387" i="2" s="1"/>
  <c r="U388" i="2"/>
  <c r="V388" i="2" s="1"/>
  <c r="AC388" i="2" s="1"/>
  <c r="U389" i="2"/>
  <c r="V389" i="2" s="1"/>
  <c r="AC389" i="2" s="1"/>
  <c r="U390" i="2"/>
  <c r="V390" i="2" s="1"/>
  <c r="U391" i="2"/>
  <c r="V391" i="2" s="1"/>
  <c r="U392" i="2"/>
  <c r="V392" i="2" s="1"/>
  <c r="U393" i="2"/>
  <c r="V393" i="2" s="1"/>
  <c r="U394" i="2"/>
  <c r="V394" i="2" s="1"/>
  <c r="U395" i="2"/>
  <c r="V395" i="2" s="1"/>
  <c r="U396" i="2"/>
  <c r="V396" i="2" s="1"/>
  <c r="U397" i="2"/>
  <c r="V397" i="2" s="1"/>
  <c r="U398" i="2"/>
  <c r="V398" i="2" s="1"/>
  <c r="U399" i="2"/>
  <c r="V399" i="2" s="1"/>
  <c r="U400" i="2"/>
  <c r="V400" i="2" s="1"/>
  <c r="U401" i="2"/>
  <c r="V401" i="2" s="1"/>
  <c r="U402" i="2"/>
  <c r="V402" i="2" s="1"/>
  <c r="U403" i="2"/>
  <c r="V403" i="2" s="1"/>
  <c r="U404" i="2"/>
  <c r="V404" i="2" s="1"/>
  <c r="U405" i="2"/>
  <c r="V405" i="2" s="1"/>
  <c r="U406" i="2"/>
  <c r="V406" i="2" s="1"/>
  <c r="U407" i="2"/>
  <c r="V407" i="2" s="1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E32" i="3"/>
  <c r="D32" i="3"/>
  <c r="C32" i="3"/>
  <c r="B32" i="3"/>
  <c r="E27" i="3"/>
  <c r="D27" i="3"/>
  <c r="C27" i="3"/>
  <c r="B27" i="3"/>
  <c r="E28" i="3"/>
  <c r="D28" i="3"/>
  <c r="C28" i="3"/>
  <c r="B28" i="3"/>
  <c r="E36" i="3"/>
  <c r="D36" i="3"/>
  <c r="C36" i="3"/>
  <c r="B36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L248" i="2" s="1"/>
  <c r="N248" i="2" s="1"/>
  <c r="J249" i="2" a="1"/>
  <c r="L249" i="2" s="1"/>
  <c r="N249" i="2" s="1"/>
  <c r="J250" i="2" a="1"/>
  <c r="J251" i="2" a="1"/>
  <c r="L251" i="2" s="1"/>
  <c r="N251" i="2" s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C20" i="2"/>
  <c r="Y20" i="2" s="1"/>
  <c r="C21" i="2"/>
  <c r="Y21" i="2" s="1"/>
  <c r="C22" i="2"/>
  <c r="Y22" i="2" s="1"/>
  <c r="C23" i="2"/>
  <c r="Y23" i="2" s="1"/>
  <c r="C24" i="2"/>
  <c r="Y24" i="2" s="1"/>
  <c r="C25" i="2"/>
  <c r="Y25" i="2" s="1"/>
  <c r="C26" i="2"/>
  <c r="Y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AI441" i="2" l="1"/>
  <c r="AJ441" i="2"/>
  <c r="K441" i="2"/>
  <c r="M441" i="2" s="1"/>
  <c r="L441" i="2"/>
  <c r="N441" i="2" s="1"/>
  <c r="Z441" i="2"/>
  <c r="L410" i="2"/>
  <c r="N410" i="2" s="1"/>
  <c r="L437" i="2"/>
  <c r="N437" i="2" s="1"/>
  <c r="K437" i="2"/>
  <c r="M437" i="2" s="1"/>
  <c r="L438" i="2"/>
  <c r="N438" i="2" s="1"/>
  <c r="K438" i="2"/>
  <c r="M438" i="2" s="1"/>
  <c r="K420" i="2"/>
  <c r="M420" i="2" s="1"/>
  <c r="L420" i="2"/>
  <c r="N420" i="2" s="1"/>
  <c r="L439" i="2"/>
  <c r="N439" i="2" s="1"/>
  <c r="K439" i="2"/>
  <c r="M439" i="2" s="1"/>
  <c r="F26" i="3"/>
  <c r="L416" i="2"/>
  <c r="N416" i="2" s="1"/>
  <c r="K416" i="2"/>
  <c r="M416" i="2" s="1"/>
  <c r="F29" i="3"/>
  <c r="AD318" i="2"/>
  <c r="AC318" i="2"/>
  <c r="AD319" i="2"/>
  <c r="AC319" i="2"/>
  <c r="AD320" i="2"/>
  <c r="AC320" i="2"/>
  <c r="AD321" i="2"/>
  <c r="AC321" i="2"/>
  <c r="AD322" i="2"/>
  <c r="AC322" i="2"/>
  <c r="AD323" i="2"/>
  <c r="AC323" i="2"/>
  <c r="AD324" i="2"/>
  <c r="AC324" i="2"/>
  <c r="AD325" i="2"/>
  <c r="AC325" i="2"/>
  <c r="AD326" i="2"/>
  <c r="AC326" i="2"/>
  <c r="AD327" i="2"/>
  <c r="AC327" i="2"/>
  <c r="AD328" i="2"/>
  <c r="AC328" i="2"/>
  <c r="AD329" i="2"/>
  <c r="AC329" i="2"/>
  <c r="Z19" i="2"/>
  <c r="Z20" i="2"/>
  <c r="Z21" i="2"/>
  <c r="Z22" i="2"/>
  <c r="Z23" i="2"/>
  <c r="Z24" i="2"/>
  <c r="Z25" i="2"/>
  <c r="Z26" i="2"/>
  <c r="F25" i="3"/>
  <c r="AD376" i="2"/>
  <c r="AC376" i="2"/>
  <c r="AD377" i="2"/>
  <c r="AC377" i="2"/>
  <c r="AD378" i="2"/>
  <c r="AC378" i="2"/>
  <c r="AD379" i="2"/>
  <c r="AC379" i="2"/>
  <c r="AD380" i="2"/>
  <c r="AC380" i="2"/>
  <c r="AD381" i="2"/>
  <c r="AC381" i="2"/>
  <c r="AD382" i="2"/>
  <c r="AC382" i="2"/>
  <c r="AD383" i="2"/>
  <c r="AC383" i="2"/>
  <c r="AD384" i="2"/>
  <c r="AC384" i="2"/>
  <c r="AD385" i="2"/>
  <c r="AC385" i="2"/>
  <c r="AD390" i="2"/>
  <c r="AC390" i="2"/>
  <c r="AD391" i="2"/>
  <c r="AC391" i="2"/>
  <c r="AD392" i="2"/>
  <c r="AC392" i="2"/>
  <c r="AD393" i="2"/>
  <c r="AC393" i="2"/>
  <c r="AD394" i="2"/>
  <c r="AC394" i="2"/>
  <c r="AD395" i="2"/>
  <c r="AC395" i="2"/>
  <c r="AD396" i="2"/>
  <c r="AC396" i="2"/>
  <c r="AD397" i="2"/>
  <c r="AC397" i="2"/>
  <c r="AD398" i="2"/>
  <c r="AC398" i="2"/>
  <c r="AD399" i="2"/>
  <c r="AC399" i="2"/>
  <c r="AD400" i="2"/>
  <c r="AC400" i="2"/>
  <c r="AD401" i="2"/>
  <c r="AC401" i="2"/>
  <c r="AD402" i="2"/>
  <c r="AC402" i="2"/>
  <c r="AD403" i="2"/>
  <c r="AC403" i="2"/>
  <c r="AD404" i="2"/>
  <c r="AC404" i="2"/>
  <c r="AD405" i="2"/>
  <c r="AC405" i="2"/>
  <c r="AD406" i="2"/>
  <c r="AC406" i="2"/>
  <c r="AD407" i="2"/>
  <c r="AC407" i="2"/>
  <c r="AC330" i="2"/>
  <c r="AD330" i="2"/>
  <c r="AC331" i="2"/>
  <c r="AD331" i="2"/>
  <c r="AC332" i="2"/>
  <c r="AD332" i="2"/>
  <c r="AC333" i="2"/>
  <c r="AD333" i="2"/>
  <c r="AC334" i="2"/>
  <c r="AD334" i="2"/>
  <c r="AC335" i="2"/>
  <c r="AD335" i="2"/>
  <c r="AC336" i="2"/>
  <c r="AD336" i="2"/>
  <c r="AD337" i="2"/>
  <c r="AC337" i="2"/>
  <c r="AD338" i="2"/>
  <c r="AC338" i="2"/>
  <c r="AD339" i="2"/>
  <c r="AC339" i="2"/>
  <c r="AC340" i="2"/>
  <c r="AD340" i="2"/>
  <c r="AC341" i="2"/>
  <c r="AD341" i="2"/>
  <c r="AC342" i="2"/>
  <c r="AD342" i="2"/>
  <c r="AC343" i="2"/>
  <c r="AD343" i="2"/>
  <c r="AC344" i="2"/>
  <c r="AD344" i="2"/>
  <c r="AD345" i="2"/>
  <c r="AC345" i="2"/>
  <c r="AC346" i="2"/>
  <c r="AD346" i="2"/>
  <c r="AD347" i="2"/>
  <c r="AC347" i="2"/>
  <c r="AD348" i="2"/>
  <c r="AC348" i="2"/>
  <c r="AD349" i="2"/>
  <c r="AC349" i="2"/>
  <c r="AC350" i="2"/>
  <c r="AD350" i="2"/>
  <c r="AD351" i="2"/>
  <c r="AC351" i="2"/>
  <c r="AD352" i="2"/>
  <c r="AC352" i="2"/>
  <c r="AD353" i="2"/>
  <c r="AC353" i="2"/>
  <c r="AD354" i="2"/>
  <c r="AC354" i="2"/>
  <c r="AD355" i="2"/>
  <c r="AC355" i="2"/>
  <c r="AD356" i="2"/>
  <c r="AC356" i="2"/>
  <c r="AD357" i="2"/>
  <c r="AC357" i="2"/>
  <c r="AD358" i="2"/>
  <c r="AC358" i="2"/>
  <c r="AD359" i="2"/>
  <c r="AC359" i="2"/>
  <c r="AD360" i="2"/>
  <c r="AC360" i="2"/>
  <c r="AD361" i="2"/>
  <c r="AC361" i="2"/>
  <c r="AD362" i="2"/>
  <c r="AC362" i="2"/>
  <c r="AD363" i="2"/>
  <c r="AC363" i="2"/>
  <c r="AD364" i="2"/>
  <c r="AC364" i="2"/>
  <c r="AD365" i="2"/>
  <c r="AC365" i="2"/>
  <c r="AD366" i="2"/>
  <c r="AC366" i="2"/>
  <c r="AD367" i="2"/>
  <c r="AC367" i="2"/>
  <c r="AD368" i="2"/>
  <c r="AC368" i="2"/>
  <c r="AD369" i="2"/>
  <c r="AC369" i="2"/>
  <c r="AD370" i="2"/>
  <c r="AC370" i="2"/>
  <c r="AD371" i="2"/>
  <c r="AC371" i="2"/>
  <c r="AD372" i="2"/>
  <c r="AC372" i="2"/>
  <c r="AD373" i="2"/>
  <c r="AC373" i="2"/>
  <c r="AD374" i="2"/>
  <c r="AC374" i="2"/>
  <c r="AD375" i="2"/>
  <c r="AC375" i="2"/>
  <c r="F28" i="3"/>
  <c r="AE386" i="2"/>
  <c r="AD386" i="2"/>
  <c r="AE387" i="2"/>
  <c r="AD387" i="2"/>
  <c r="AE388" i="2"/>
  <c r="AD388" i="2"/>
  <c r="AE389" i="2"/>
  <c r="AD389" i="2"/>
  <c r="F35" i="3"/>
  <c r="F36" i="3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L345" i="2"/>
  <c r="N345" i="2" s="1"/>
  <c r="L346" i="2"/>
  <c r="N346" i="2" s="1"/>
  <c r="K248" i="2"/>
  <c r="M248" i="2" s="1"/>
  <c r="K249" i="2"/>
  <c r="M249" i="2" s="1"/>
  <c r="K251" i="2"/>
  <c r="M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318" i="2"/>
  <c r="N318" i="2" s="1"/>
  <c r="K318" i="2"/>
  <c r="M318" i="2" s="1"/>
  <c r="L319" i="2"/>
  <c r="N319" i="2" s="1"/>
  <c r="K319" i="2"/>
  <c r="M319" i="2" s="1"/>
  <c r="L320" i="2"/>
  <c r="N320" i="2" s="1"/>
  <c r="K320" i="2"/>
  <c r="M320" i="2" s="1"/>
  <c r="L321" i="2"/>
  <c r="N321" i="2" s="1"/>
  <c r="K321" i="2"/>
  <c r="M321" i="2" s="1"/>
  <c r="L322" i="2"/>
  <c r="N322" i="2" s="1"/>
  <c r="K322" i="2"/>
  <c r="M322" i="2" s="1"/>
  <c r="L323" i="2"/>
  <c r="N323" i="2" s="1"/>
  <c r="K323" i="2"/>
  <c r="M323" i="2" s="1"/>
  <c r="L324" i="2"/>
  <c r="N324" i="2" s="1"/>
  <c r="K324" i="2"/>
  <c r="M324" i="2" s="1"/>
  <c r="K268" i="2"/>
  <c r="M268" i="2" s="1"/>
  <c r="L268" i="2"/>
  <c r="N268" i="2" s="1"/>
  <c r="K269" i="2"/>
  <c r="M269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AD408" i="2"/>
  <c r="AC408" i="2"/>
  <c r="AD409" i="2"/>
  <c r="AC409" i="2"/>
  <c r="AD410" i="2"/>
  <c r="AC410" i="2"/>
  <c r="AD411" i="2"/>
  <c r="AC411" i="2"/>
  <c r="AD412" i="2"/>
  <c r="AC412" i="2"/>
  <c r="AD413" i="2"/>
  <c r="AC413" i="2"/>
  <c r="AD414" i="2"/>
  <c r="AC414" i="2"/>
  <c r="AD415" i="2"/>
  <c r="AC415" i="2"/>
  <c r="AD416" i="2"/>
  <c r="AC416" i="2"/>
  <c r="AD417" i="2"/>
  <c r="AC417" i="2"/>
  <c r="AD418" i="2"/>
  <c r="AC418" i="2"/>
  <c r="AD419" i="2"/>
  <c r="AC419" i="2"/>
  <c r="AD420" i="2"/>
  <c r="AC420" i="2"/>
  <c r="AD421" i="2"/>
  <c r="AC421" i="2"/>
  <c r="AD422" i="2"/>
  <c r="AC422" i="2"/>
  <c r="AD423" i="2"/>
  <c r="AC423" i="2"/>
  <c r="AD424" i="2"/>
  <c r="AC424" i="2"/>
  <c r="AD425" i="2"/>
  <c r="AC425" i="2"/>
  <c r="AD426" i="2"/>
  <c r="AC426" i="2"/>
  <c r="AD427" i="2"/>
  <c r="AC427" i="2"/>
  <c r="AD428" i="2"/>
  <c r="AC428" i="2"/>
  <c r="AD429" i="2"/>
  <c r="AC429" i="2"/>
  <c r="AD430" i="2"/>
  <c r="AC430" i="2"/>
  <c r="AD431" i="2"/>
  <c r="AC431" i="2"/>
  <c r="AD432" i="2"/>
  <c r="AC432" i="2"/>
  <c r="AD433" i="2"/>
  <c r="AC433" i="2"/>
  <c r="AD434" i="2"/>
  <c r="AC434" i="2"/>
  <c r="AD435" i="2"/>
  <c r="AC435" i="2"/>
  <c r="AD436" i="2"/>
  <c r="AC436" i="2"/>
  <c r="AD437" i="2"/>
  <c r="AC437" i="2"/>
  <c r="AD438" i="2"/>
  <c r="AC438" i="2"/>
  <c r="AD439" i="2"/>
  <c r="AC439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97" i="2"/>
  <c r="M397" i="2" s="1"/>
  <c r="K399" i="2"/>
  <c r="M399" i="2" s="1"/>
  <c r="K401" i="2"/>
  <c r="M401" i="2" s="1"/>
  <c r="K403" i="2"/>
  <c r="M403" i="2" s="1"/>
  <c r="K405" i="2"/>
  <c r="M40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8" i="2"/>
  <c r="M398" i="2" s="1"/>
  <c r="K400" i="2"/>
  <c r="M400" i="2" s="1"/>
  <c r="K402" i="2"/>
  <c r="M402" i="2" s="1"/>
  <c r="K404" i="2"/>
  <c r="M404" i="2" s="1"/>
  <c r="Z408" i="2"/>
  <c r="Z412" i="2"/>
  <c r="Z414" i="2"/>
  <c r="Z416" i="2"/>
  <c r="Z410" i="2"/>
  <c r="Z411" i="2"/>
  <c r="Z413" i="2"/>
  <c r="Z415" i="2"/>
  <c r="Z417" i="2"/>
  <c r="Z409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K406" i="2"/>
  <c r="M406" i="2" s="1"/>
  <c r="L406" i="2"/>
  <c r="N40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27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D298" i="2"/>
  <c r="AC298" i="2"/>
  <c r="AD299" i="2"/>
  <c r="AC299" i="2"/>
  <c r="AD300" i="2"/>
  <c r="AC300" i="2"/>
  <c r="AD301" i="2"/>
  <c r="AC301" i="2"/>
  <c r="AD302" i="2"/>
  <c r="AC302" i="2"/>
  <c r="AD303" i="2"/>
  <c r="AC303" i="2"/>
  <c r="AD304" i="2"/>
  <c r="AC304" i="2"/>
  <c r="AD305" i="2"/>
  <c r="AC305" i="2"/>
  <c r="AD306" i="2"/>
  <c r="AC306" i="2"/>
  <c r="AD307" i="2"/>
  <c r="AC307" i="2"/>
  <c r="AD308" i="2"/>
  <c r="AC308" i="2"/>
  <c r="AD309" i="2"/>
  <c r="AC309" i="2"/>
  <c r="AD310" i="2"/>
  <c r="AC310" i="2"/>
  <c r="AD311" i="2"/>
  <c r="AC311" i="2"/>
  <c r="AD312" i="2"/>
  <c r="AC312" i="2"/>
  <c r="AD313" i="2"/>
  <c r="AC313" i="2"/>
  <c r="AD314" i="2"/>
  <c r="AC314" i="2"/>
  <c r="AD315" i="2"/>
  <c r="AC315" i="2"/>
  <c r="AD316" i="2"/>
  <c r="AC316" i="2"/>
  <c r="AD317" i="2"/>
  <c r="AC317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407" i="2"/>
  <c r="M407" i="2" s="1"/>
  <c r="L407" i="2"/>
  <c r="N407" i="2" s="1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98" i="2"/>
  <c r="M298" i="2" s="1"/>
  <c r="L298" i="2"/>
  <c r="N298" i="2" s="1"/>
  <c r="K299" i="2"/>
  <c r="M299" i="2" s="1"/>
  <c r="L299" i="2"/>
  <c r="N299" i="2" s="1"/>
  <c r="K300" i="2"/>
  <c r="M300" i="2" s="1"/>
  <c r="L300" i="2"/>
  <c r="N300" i="2" s="1"/>
  <c r="K301" i="2"/>
  <c r="M301" i="2" s="1"/>
  <c r="L301" i="2"/>
  <c r="N301" i="2" s="1"/>
  <c r="K302" i="2"/>
  <c r="M302" i="2" s="1"/>
  <c r="L302" i="2"/>
  <c r="N302" i="2" s="1"/>
  <c r="L303" i="2"/>
  <c r="N303" i="2" s="1"/>
  <c r="K303" i="2"/>
  <c r="M303" i="2" s="1"/>
  <c r="L304" i="2"/>
  <c r="N304" i="2" s="1"/>
  <c r="K304" i="2"/>
  <c r="M304" i="2" s="1"/>
  <c r="L305" i="2"/>
  <c r="N305" i="2" s="1"/>
  <c r="K305" i="2"/>
  <c r="M305" i="2" s="1"/>
  <c r="L306" i="2"/>
  <c r="N306" i="2" s="1"/>
  <c r="K306" i="2"/>
  <c r="M306" i="2" s="1"/>
  <c r="L307" i="2"/>
  <c r="N307" i="2" s="1"/>
  <c r="K307" i="2"/>
  <c r="M307" i="2" s="1"/>
  <c r="K308" i="2"/>
  <c r="M308" i="2" s="1"/>
  <c r="L308" i="2"/>
  <c r="N308" i="2" s="1"/>
  <c r="L309" i="2"/>
  <c r="N309" i="2" s="1"/>
  <c r="K309" i="2"/>
  <c r="M309" i="2" s="1"/>
  <c r="K310" i="2"/>
  <c r="M310" i="2" s="1"/>
  <c r="L310" i="2"/>
  <c r="N310" i="2" s="1"/>
  <c r="K311" i="2"/>
  <c r="M311" i="2" s="1"/>
  <c r="L311" i="2"/>
  <c r="N311" i="2" s="1"/>
  <c r="L312" i="2"/>
  <c r="N312" i="2" s="1"/>
  <c r="K312" i="2"/>
  <c r="M312" i="2" s="1"/>
  <c r="L313" i="2"/>
  <c r="N313" i="2" s="1"/>
  <c r="K313" i="2"/>
  <c r="M313" i="2" s="1"/>
  <c r="L314" i="2"/>
  <c r="N314" i="2" s="1"/>
  <c r="K314" i="2"/>
  <c r="M314" i="2" s="1"/>
  <c r="L315" i="2"/>
  <c r="N315" i="2" s="1"/>
  <c r="K315" i="2"/>
  <c r="M315" i="2" s="1"/>
  <c r="K316" i="2"/>
  <c r="M316" i="2" s="1"/>
  <c r="L316" i="2"/>
  <c r="N316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2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96" i="2"/>
  <c r="Z298" i="2"/>
  <c r="Z300" i="2"/>
  <c r="Z302" i="2"/>
  <c r="Z304" i="2"/>
  <c r="Z305" i="2"/>
  <c r="Z307" i="2"/>
  <c r="Z309" i="2"/>
  <c r="Z311" i="2"/>
  <c r="Z313" i="2"/>
  <c r="Z314" i="2"/>
  <c r="Z316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Z297" i="2"/>
  <c r="Z299" i="2"/>
  <c r="Z301" i="2"/>
  <c r="Z303" i="2"/>
  <c r="Z306" i="2"/>
  <c r="Z308" i="2"/>
  <c r="Z310" i="2"/>
  <c r="Z312" i="2"/>
  <c r="Z315" i="2"/>
  <c r="Z317" i="2"/>
  <c r="L317" i="2"/>
  <c r="N317" i="2" s="1"/>
  <c r="K317" i="2"/>
  <c r="M317" i="2" s="1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3" i="2" l="1" a="1"/>
  <c r="P12" i="2" a="1"/>
  <c r="P13" i="2" a="1"/>
  <c r="O12" i="2" a="1"/>
  <c r="W12" i="2" l="1"/>
  <c r="W13" i="2"/>
  <c r="Q12" i="2"/>
  <c r="Q13" i="2"/>
  <c r="AY9" i="3"/>
  <c r="AY8" i="3"/>
  <c r="AY7" i="3"/>
  <c r="AY6" i="3"/>
  <c r="AY5" i="3"/>
  <c r="AY4" i="3"/>
  <c r="AY3" i="3"/>
  <c r="AY2" i="3"/>
  <c r="AA12" i="2" l="1"/>
  <c r="AB12" i="2" s="1"/>
  <c r="AA13" i="2"/>
  <c r="AB13" i="2" s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P14" i="2" l="1" a="1"/>
  <c r="P15" i="2" a="1"/>
  <c r="O14" i="2" a="1"/>
  <c r="O15" i="2" a="1"/>
  <c r="AV7" i="3"/>
  <c r="AV8" i="3"/>
  <c r="AV5" i="3"/>
  <c r="AW7" i="3"/>
  <c r="AW5" i="3"/>
  <c r="AW9" i="3"/>
  <c r="AW8" i="3"/>
  <c r="AV9" i="3"/>
  <c r="W14" i="2" l="1"/>
  <c r="Q15" i="2"/>
  <c r="Q14" i="2"/>
  <c r="W15" i="2"/>
  <c r="AZ9" i="3"/>
  <c r="AZ7" i="3"/>
  <c r="AZ8" i="3"/>
  <c r="AZ5" i="3"/>
  <c r="AA14" i="2" l="1"/>
  <c r="AB14" i="2" s="1"/>
  <c r="AA15" i="2"/>
  <c r="AB15" i="2" s="1"/>
  <c r="O17" i="2" l="1" a="1"/>
  <c r="O16" i="2" a="1"/>
  <c r="P16" i="2" a="1"/>
  <c r="P17" i="2" a="1"/>
  <c r="C34" i="3"/>
  <c r="B34" i="3"/>
  <c r="C31" i="3"/>
  <c r="B31" i="3"/>
  <c r="C30" i="3"/>
  <c r="B30" i="3"/>
  <c r="C33" i="3"/>
  <c r="B33" i="3"/>
  <c r="Q16" i="2" l="1"/>
  <c r="Q17" i="2"/>
  <c r="W16" i="2"/>
  <c r="W17" i="2"/>
  <c r="AA16" i="2" l="1"/>
  <c r="AB16" i="2" s="1"/>
  <c r="AA17" i="2"/>
  <c r="AB17" i="2" s="1"/>
  <c r="E34" i="3"/>
  <c r="D34" i="3"/>
  <c r="E31" i="3"/>
  <c r="D31" i="3"/>
  <c r="E30" i="3"/>
  <c r="D30" i="3"/>
  <c r="E33" i="3"/>
  <c r="D33" i="3"/>
  <c r="O19" i="2" l="1" a="1"/>
  <c r="O18" i="2" a="1"/>
  <c r="P19" i="2" a="1"/>
  <c r="P18" i="2" a="1"/>
  <c r="F30" i="3"/>
  <c r="F34" i="3"/>
  <c r="F31" i="3"/>
  <c r="F33" i="3"/>
  <c r="Q18" i="2" l="1"/>
  <c r="W19" i="2"/>
  <c r="Q19" i="2"/>
  <c r="W18" i="2"/>
  <c r="AA19" i="2" l="1"/>
  <c r="AB19" i="2" s="1"/>
  <c r="AA18" i="2"/>
  <c r="AB18" i="2" s="1"/>
  <c r="P21" i="2" l="1" a="1"/>
  <c r="O20" i="2" a="1"/>
  <c r="O21" i="2" a="1"/>
  <c r="P20" i="2" a="1"/>
  <c r="W20" i="2" l="1"/>
  <c r="Q21" i="2"/>
  <c r="W21" i="2"/>
  <c r="Q20" i="2"/>
  <c r="AA20" i="2" l="1"/>
  <c r="AB20" i="2" s="1"/>
  <c r="AA21" i="2"/>
  <c r="AB21" i="2" s="1"/>
  <c r="P23" i="2" a="1"/>
  <c r="O23" i="2" a="1"/>
  <c r="AW3" i="3"/>
  <c r="AV3" i="3"/>
  <c r="O22" i="2" l="1" a="1"/>
  <c r="P22" i="2" a="1"/>
  <c r="W23" i="2"/>
  <c r="Q23" i="2"/>
  <c r="AZ3" i="3"/>
  <c r="AV2" i="3"/>
  <c r="AW2" i="3"/>
  <c r="AV4" i="3"/>
  <c r="AW4" i="3"/>
  <c r="W22" i="2" l="1"/>
  <c r="Q22" i="2"/>
  <c r="AA23" i="2"/>
  <c r="AB23" i="2" s="1"/>
  <c r="AZ4" i="3"/>
  <c r="AZ2" i="3"/>
  <c r="AW6" i="3"/>
  <c r="AV6" i="3"/>
  <c r="AA22" i="2" l="1"/>
  <c r="AB22" i="2" s="1"/>
  <c r="P25" i="2" a="1"/>
  <c r="O24" i="2" a="1"/>
  <c r="P24" i="2" a="1"/>
  <c r="O25" i="2" a="1"/>
  <c r="AZ6" i="3"/>
  <c r="W25" i="2" l="1"/>
  <c r="W24" i="2"/>
  <c r="Q25" i="2"/>
  <c r="Q24" i="2"/>
  <c r="AA24" i="2" l="1"/>
  <c r="AB24" i="2" s="1"/>
  <c r="AA25" i="2"/>
  <c r="AB25" i="2" s="1"/>
  <c r="P26" i="2" l="1" a="1"/>
  <c r="P27" i="2" a="1"/>
  <c r="O26" i="2" a="1"/>
  <c r="O27" i="2" a="1"/>
  <c r="Q26" i="2" l="1"/>
  <c r="Q27" i="2"/>
  <c r="W26" i="2"/>
  <c r="W27" i="2"/>
  <c r="P31" i="2" l="1" a="1"/>
  <c r="O30" i="2" a="1"/>
  <c r="O31" i="2" a="1"/>
  <c r="P30" i="2" a="1"/>
  <c r="AA26" i="2"/>
  <c r="AB26" i="2" s="1"/>
  <c r="AA27" i="2"/>
  <c r="AB27" i="2" s="1"/>
  <c r="O29" i="2" l="1" a="1"/>
  <c r="P29" i="2" a="1"/>
  <c r="O28" i="2" a="1"/>
  <c r="P28" i="2" a="1"/>
  <c r="Q31" i="2"/>
  <c r="Q30" i="2"/>
  <c r="W31" i="2"/>
  <c r="W30" i="2"/>
  <c r="Q28" i="2" l="1"/>
  <c r="Q29" i="2"/>
  <c r="W28" i="2"/>
  <c r="W29" i="2"/>
  <c r="AA31" i="2"/>
  <c r="AB31" i="2" s="1"/>
  <c r="AA30" i="2"/>
  <c r="AB30" i="2" s="1"/>
  <c r="AA28" i="2" l="1"/>
  <c r="AB28" i="2" s="1"/>
  <c r="AA29" i="2"/>
  <c r="AB29" i="2" s="1"/>
  <c r="P32" i="2" a="1"/>
  <c r="P33" i="2" a="1"/>
  <c r="O33" i="2" a="1"/>
  <c r="O32" i="2" a="1"/>
  <c r="W32" i="2" l="1"/>
  <c r="Q33" i="2"/>
  <c r="Q32" i="2"/>
  <c r="W33" i="2"/>
  <c r="AA32" i="2" l="1"/>
  <c r="AB32" i="2" s="1"/>
  <c r="AA33" i="2"/>
  <c r="AB33" i="2" s="1"/>
  <c r="O35" i="2" l="1" a="1"/>
  <c r="O34" i="2" a="1"/>
  <c r="P34" i="2" a="1"/>
  <c r="Q34" i="2" s="1"/>
  <c r="P35" i="2" a="1"/>
  <c r="Q35" i="2" s="1"/>
  <c r="O37" i="2" a="1"/>
  <c r="P36" i="2" a="1"/>
  <c r="O36" i="2" a="1"/>
  <c r="P37" i="2" a="1"/>
  <c r="W35" i="2" l="1"/>
  <c r="AA35" i="2" s="1"/>
  <c r="AB35" i="2" s="1"/>
  <c r="W34" i="2"/>
  <c r="AA34" i="2" s="1"/>
  <c r="AB34" i="2" s="1"/>
  <c r="W36" i="2"/>
  <c r="Q37" i="2"/>
  <c r="W37" i="2"/>
  <c r="Q36" i="2"/>
  <c r="AA37" i="2" l="1"/>
  <c r="AB37" i="2" s="1"/>
  <c r="P39" i="2" a="1"/>
  <c r="P38" i="2" a="1"/>
  <c r="O38" i="2" a="1"/>
  <c r="O39" i="2" a="1"/>
  <c r="AA36" i="2"/>
  <c r="AB36" i="2" s="1"/>
  <c r="W38" i="2" l="1"/>
  <c r="Q39" i="2"/>
  <c r="Q38" i="2"/>
  <c r="W39" i="2"/>
  <c r="AA38" i="2" l="1"/>
  <c r="AB38" i="2" s="1"/>
  <c r="AA39" i="2"/>
  <c r="AB39" i="2" s="1"/>
  <c r="P40" i="2" l="1" a="1"/>
  <c r="O41" i="2" a="1"/>
  <c r="P41" i="2" a="1"/>
  <c r="O40" i="2" a="1"/>
  <c r="W41" i="2" l="1"/>
  <c r="W40" i="2"/>
  <c r="Q41" i="2"/>
  <c r="Q40" i="2"/>
  <c r="O43" i="2" a="1"/>
  <c r="O42" i="2" a="1"/>
  <c r="P43" i="2" a="1"/>
  <c r="P42" i="2" a="1"/>
  <c r="AA41" i="2" l="1"/>
  <c r="AB41" i="2" s="1"/>
  <c r="AA40" i="2"/>
  <c r="AB40" i="2" s="1"/>
  <c r="Q43" i="2"/>
  <c r="Q42" i="2"/>
  <c r="W43" i="2"/>
  <c r="W42" i="2"/>
  <c r="AA43" i="2" l="1"/>
  <c r="AB43" i="2" s="1"/>
  <c r="P45" i="2" a="1"/>
  <c r="O44" i="2" a="1"/>
  <c r="P44" i="2" a="1"/>
  <c r="O45" i="2" a="1"/>
  <c r="AA42" i="2"/>
  <c r="AB42" i="2" s="1"/>
  <c r="W44" i="2" l="1"/>
  <c r="W45" i="2"/>
  <c r="Q44" i="2"/>
  <c r="Q45" i="2"/>
  <c r="AA44" i="2" l="1"/>
  <c r="AB44" i="2" s="1"/>
  <c r="AA45" i="2"/>
  <c r="AB45" i="2" s="1"/>
  <c r="O46" i="2" a="1"/>
  <c r="P46" i="2" a="1"/>
  <c r="O47" i="2" a="1"/>
  <c r="P47" i="2" a="1"/>
  <c r="W46" i="2" l="1"/>
  <c r="Q47" i="2"/>
  <c r="Q46" i="2"/>
  <c r="W47" i="2"/>
  <c r="AA46" i="2" l="1"/>
  <c r="AB46" i="2" s="1"/>
  <c r="AA47" i="2"/>
  <c r="AB47" i="2" s="1"/>
  <c r="P49" i="2" a="1"/>
  <c r="O49" i="2" a="1"/>
  <c r="P48" i="2" a="1"/>
  <c r="O48" i="2" a="1"/>
  <c r="W48" i="2" l="1"/>
  <c r="Q49" i="2"/>
  <c r="W49" i="2"/>
  <c r="Q48" i="2"/>
  <c r="AA49" i="2" l="1"/>
  <c r="AB49" i="2" s="1"/>
  <c r="AA48" i="2"/>
  <c r="AB48" i="2" s="1"/>
  <c r="P50" i="2" a="1"/>
  <c r="P51" i="2" a="1"/>
  <c r="O51" i="2" a="1"/>
  <c r="O50" i="2" a="1"/>
  <c r="Q50" i="2" l="1"/>
  <c r="Q51" i="2"/>
  <c r="W51" i="2"/>
  <c r="W50" i="2"/>
  <c r="AA51" i="2" l="1"/>
  <c r="AB51" i="2" s="1"/>
  <c r="AA50" i="2"/>
  <c r="AB50" i="2" s="1"/>
  <c r="O53" i="2" a="1"/>
  <c r="P53" i="2" a="1"/>
  <c r="O52" i="2" a="1"/>
  <c r="P52" i="2" a="1"/>
  <c r="Q53" i="2" l="1"/>
  <c r="W52" i="2"/>
  <c r="Q52" i="2"/>
  <c r="W53" i="2"/>
  <c r="AA52" i="2" l="1"/>
  <c r="AB52" i="2" s="1"/>
  <c r="AA53" i="2"/>
  <c r="AB53" i="2" s="1"/>
  <c r="P55" i="2" l="1" a="1"/>
  <c r="O54" i="2" a="1"/>
  <c r="O55" i="2" a="1"/>
  <c r="P54" i="2" a="1"/>
  <c r="Q55" i="2" l="1"/>
  <c r="W54" i="2"/>
  <c r="W55" i="2"/>
  <c r="Q54" i="2"/>
  <c r="AA55" i="2" l="1"/>
  <c r="AB55" i="2" s="1"/>
  <c r="P57" i="2" a="1"/>
  <c r="P56" i="2" a="1"/>
  <c r="O57" i="2" a="1"/>
  <c r="O56" i="2" a="1"/>
  <c r="AA54" i="2"/>
  <c r="AB54" i="2" s="1"/>
  <c r="O59" i="2" s="1" a="1"/>
  <c r="O58" i="2" a="1"/>
  <c r="P59" i="2" a="1"/>
  <c r="P58" i="2" a="1"/>
  <c r="Q57" i="2" l="1"/>
  <c r="Q56" i="2"/>
  <c r="W57" i="2"/>
  <c r="W56" i="2"/>
  <c r="Q59" i="2"/>
  <c r="Q58" i="2"/>
  <c r="W59" i="2"/>
  <c r="W58" i="2"/>
  <c r="AA57" i="2" l="1"/>
  <c r="AB57" i="2" s="1"/>
  <c r="AA56" i="2"/>
  <c r="AB56" i="2" s="1"/>
  <c r="AA59" i="2"/>
  <c r="AB59" i="2" s="1"/>
  <c r="AA58" i="2"/>
  <c r="AB58" i="2" s="1"/>
  <c r="O60" i="2" l="1" a="1"/>
  <c r="P60" i="2" a="1"/>
  <c r="P61" i="2" a="1"/>
  <c r="O61" i="2" a="1"/>
  <c r="Q60" i="2" l="1"/>
  <c r="W61" i="2"/>
  <c r="Q61" i="2"/>
  <c r="W60" i="2"/>
  <c r="AA60" i="2" l="1"/>
  <c r="AB60" i="2" s="1"/>
  <c r="AA61" i="2"/>
  <c r="AB61" i="2" s="1"/>
  <c r="P64" i="2" a="1"/>
  <c r="P65" i="2" a="1"/>
  <c r="O64" i="2" a="1"/>
  <c r="O65" i="2" a="1"/>
  <c r="P63" i="2" l="1" a="1"/>
  <c r="O62" i="2" a="1"/>
  <c r="O63" i="2" a="1"/>
  <c r="P62" i="2" a="1"/>
  <c r="Q65" i="2"/>
  <c r="W64" i="2"/>
  <c r="W65" i="2"/>
  <c r="Q64" i="2"/>
  <c r="W62" i="2" l="1"/>
  <c r="W63" i="2"/>
  <c r="Q63" i="2"/>
  <c r="Q62" i="2"/>
  <c r="AA64" i="2"/>
  <c r="AB64" i="2" s="1"/>
  <c r="AA65" i="2"/>
  <c r="AB65" i="2" s="1"/>
  <c r="AA62" i="2" l="1"/>
  <c r="AB62" i="2" s="1"/>
  <c r="AA63" i="2"/>
  <c r="AB63" i="2" s="1"/>
  <c r="O67" i="2" a="1"/>
  <c r="P66" i="2" a="1"/>
  <c r="P67" i="2" a="1"/>
  <c r="O66" i="2" a="1"/>
  <c r="W67" i="2" l="1"/>
  <c r="W66" i="2"/>
  <c r="Q66" i="2"/>
  <c r="Q67" i="2"/>
  <c r="AA67" i="2" l="1"/>
  <c r="AB67" i="2" s="1"/>
  <c r="AA66" i="2"/>
  <c r="AB66" i="2" s="1"/>
  <c r="P68" i="2" l="1" a="1"/>
  <c r="O68" i="2" a="1"/>
  <c r="P69" i="2" a="1"/>
  <c r="O69" i="2" a="1"/>
  <c r="W68" i="2" l="1"/>
  <c r="Q69" i="2"/>
  <c r="W69" i="2"/>
  <c r="AA69" i="2" s="1"/>
  <c r="AB69" i="2" s="1"/>
  <c r="P70" i="2" a="1"/>
  <c r="O70" i="2" a="1"/>
  <c r="P71" i="2" a="1"/>
  <c r="O71" i="2" a="1"/>
  <c r="Q68" i="2"/>
  <c r="AA68" i="2" s="1"/>
  <c r="AB68" i="2" s="1"/>
  <c r="Q70" i="2" l="1"/>
  <c r="W71" i="2"/>
  <c r="W70" i="2"/>
  <c r="AA70" i="2" s="1"/>
  <c r="AB70" i="2" s="1"/>
  <c r="Q71" i="2"/>
  <c r="AA71" i="2" l="1"/>
  <c r="AB71" i="2" s="1"/>
  <c r="P73" i="2" a="1"/>
  <c r="O73" i="2" a="1"/>
  <c r="P72" i="2" a="1"/>
  <c r="Q72" i="2" s="1"/>
  <c r="O72" i="2" a="1"/>
  <c r="O76" i="2" a="1"/>
  <c r="O74" i="2" a="1"/>
  <c r="P77" i="2" a="1"/>
  <c r="P75" i="2" a="1"/>
  <c r="P74" i="2" a="1"/>
  <c r="P76" i="2" a="1"/>
  <c r="O75" i="2" a="1"/>
  <c r="O77" i="2" a="1"/>
  <c r="Q73" i="2" l="1"/>
  <c r="W73" i="2"/>
  <c r="W72" i="2"/>
  <c r="AA72" i="2" s="1"/>
  <c r="AB72" i="2" s="1"/>
  <c r="Q76" i="2"/>
  <c r="Q77" i="2"/>
  <c r="W75" i="2"/>
  <c r="Q74" i="2"/>
  <c r="W74" i="2"/>
  <c r="W77" i="2"/>
  <c r="W76" i="2"/>
  <c r="Q75" i="2"/>
  <c r="AA73" i="2" l="1"/>
  <c r="AB73" i="2" s="1"/>
  <c r="AA77" i="2"/>
  <c r="AB77" i="2" s="1"/>
  <c r="AA76" i="2"/>
  <c r="AB76" i="2" s="1"/>
  <c r="AA74" i="2"/>
  <c r="AB74" i="2" s="1"/>
  <c r="AA75" i="2"/>
  <c r="AB75" i="2" s="1"/>
  <c r="O79" i="2" a="1"/>
  <c r="P79" i="2" a="1"/>
  <c r="P78" i="2" a="1"/>
  <c r="O78" i="2" a="1"/>
  <c r="W78" i="2" l="1"/>
  <c r="Q79" i="2"/>
  <c r="W79" i="2"/>
  <c r="Q78" i="2"/>
  <c r="AA78" i="2" l="1"/>
  <c r="AB78" i="2" s="1"/>
  <c r="AA79" i="2"/>
  <c r="AB79" i="2" s="1"/>
  <c r="O85" i="2" a="1"/>
  <c r="O84" i="2" a="1"/>
  <c r="P85" i="2" a="1"/>
  <c r="P84" i="2" a="1"/>
  <c r="P83" i="2" l="1" a="1"/>
  <c r="O83" i="2" a="1"/>
  <c r="O82" i="2" a="1"/>
  <c r="P82" i="2" a="1"/>
  <c r="O81" i="2" a="1"/>
  <c r="P80" i="2" a="1"/>
  <c r="P81" i="2" a="1"/>
  <c r="Q81" i="2" s="1"/>
  <c r="O80" i="2" a="1"/>
  <c r="W84" i="2"/>
  <c r="Q85" i="2"/>
  <c r="W85" i="2"/>
  <c r="Q84" i="2"/>
  <c r="Q82" i="2" l="1"/>
  <c r="W83" i="2"/>
  <c r="W80" i="2"/>
  <c r="Q83" i="2"/>
  <c r="AA83" i="2" s="1"/>
  <c r="AB83" i="2" s="1"/>
  <c r="W82" i="2"/>
  <c r="W81" i="2"/>
  <c r="AA81" i="2" s="1"/>
  <c r="AB81" i="2" s="1"/>
  <c r="Q80" i="2"/>
  <c r="AA84" i="2"/>
  <c r="AB84" i="2" s="1"/>
  <c r="AA85" i="2"/>
  <c r="AB85" i="2" s="1"/>
  <c r="AA82" i="2" l="1"/>
  <c r="AB82" i="2" s="1"/>
  <c r="AA80" i="2"/>
  <c r="AB80" i="2" s="1"/>
  <c r="O86" i="2" a="1"/>
  <c r="P87" i="2" a="1"/>
  <c r="P86" i="2" a="1"/>
  <c r="O87" i="2" a="1"/>
  <c r="O88" i="2" a="1"/>
  <c r="P89" i="2" a="1"/>
  <c r="P88" i="2" a="1"/>
  <c r="O89" i="2" a="1"/>
  <c r="W86" i="2" l="1"/>
  <c r="Q87" i="2"/>
  <c r="Q86" i="2"/>
  <c r="W87" i="2"/>
  <c r="AA87" i="2" s="1"/>
  <c r="AB87" i="2" s="1"/>
  <c r="Q88" i="2"/>
  <c r="W89" i="2"/>
  <c r="Q89" i="2"/>
  <c r="W88" i="2"/>
  <c r="AA86" i="2" l="1"/>
  <c r="AB86" i="2" s="1"/>
  <c r="AA89" i="2"/>
  <c r="AB89" i="2" s="1"/>
  <c r="AA88" i="2"/>
  <c r="AB88" i="2" s="1"/>
  <c r="O91" i="2" l="1" a="1"/>
  <c r="O90" i="2" a="1"/>
  <c r="P90" i="2" a="1"/>
  <c r="P91" i="2" a="1"/>
  <c r="Q90" i="2" l="1"/>
  <c r="W91" i="2"/>
  <c r="W90" i="2"/>
  <c r="Q91" i="2"/>
  <c r="AA90" i="2" l="1"/>
  <c r="AB90" i="2" s="1"/>
  <c r="AA91" i="2"/>
  <c r="AB91" i="2" s="1"/>
  <c r="P92" i="2" a="1"/>
  <c r="O93" i="2" a="1"/>
  <c r="O94" i="2" a="1"/>
  <c r="O92" i="2" a="1"/>
  <c r="P94" i="2" a="1"/>
  <c r="P95" i="2" a="1"/>
  <c r="O95" i="2" a="1"/>
  <c r="P93" i="2" a="1"/>
  <c r="Q93" i="2" l="1"/>
  <c r="W92" i="2"/>
  <c r="W94" i="2"/>
  <c r="W95" i="2"/>
  <c r="Q94" i="2"/>
  <c r="Q95" i="2"/>
  <c r="W93" i="2"/>
  <c r="Q92" i="2"/>
  <c r="AA93" i="2" l="1"/>
  <c r="AB93" i="2" s="1"/>
  <c r="AA94" i="2"/>
  <c r="AB94" i="2" s="1"/>
  <c r="AA95" i="2"/>
  <c r="AB95" i="2" s="1"/>
  <c r="AA92" i="2"/>
  <c r="AB92" i="2" s="1"/>
  <c r="P98" i="2" l="1" a="1"/>
  <c r="O99" i="2" a="1"/>
  <c r="O98" i="2" a="1"/>
  <c r="P99" i="2" a="1"/>
  <c r="O97" i="2" a="1"/>
  <c r="P97" i="2" a="1"/>
  <c r="O96" i="2" a="1"/>
  <c r="P96" i="2" a="1"/>
  <c r="Q98" i="2" l="1"/>
  <c r="W99" i="2"/>
  <c r="W98" i="2"/>
  <c r="AA98" i="2" s="1"/>
  <c r="AB98" i="2" s="1"/>
  <c r="W97" i="2"/>
  <c r="W96" i="2"/>
  <c r="Q99" i="2"/>
  <c r="Q97" i="2"/>
  <c r="Q96" i="2"/>
  <c r="AA99" i="2" l="1"/>
  <c r="AB99" i="2" s="1"/>
  <c r="AA96" i="2"/>
  <c r="AB96" i="2" s="1"/>
  <c r="AA97" i="2"/>
  <c r="AB97" i="2" s="1"/>
  <c r="O101" i="2" a="1"/>
  <c r="P102" i="2" a="1"/>
  <c r="O100" i="2" a="1"/>
  <c r="O105" i="2" a="1"/>
  <c r="P103" i="2" a="1"/>
  <c r="P101" i="2" a="1"/>
  <c r="Q101" i="2" s="1"/>
  <c r="O103" i="2" a="1"/>
  <c r="P100" i="2" a="1"/>
  <c r="O102" i="2" a="1"/>
  <c r="P105" i="2" a="1"/>
  <c r="O104" i="2" a="1"/>
  <c r="P104" i="2" a="1"/>
  <c r="Q104" i="2" s="1"/>
  <c r="W103" i="2" l="1"/>
  <c r="Q100" i="2"/>
  <c r="Q102" i="2"/>
  <c r="Q103" i="2"/>
  <c r="Q105" i="2"/>
  <c r="W101" i="2"/>
  <c r="AA101" i="2" s="1"/>
  <c r="AB101" i="2" s="1"/>
  <c r="W100" i="2"/>
  <c r="W102" i="2"/>
  <c r="W104" i="2"/>
  <c r="AA104" i="2" s="1"/>
  <c r="AB104" i="2" s="1"/>
  <c r="W105" i="2"/>
  <c r="AA103" i="2" l="1"/>
  <c r="AB103" i="2" s="1"/>
  <c r="AA100" i="2"/>
  <c r="AB100" i="2" s="1"/>
  <c r="AA102" i="2"/>
  <c r="AB102" i="2" s="1"/>
  <c r="AA105" i="2"/>
  <c r="AB105" i="2" s="1"/>
  <c r="P109" i="2" a="1"/>
  <c r="O108" i="2" a="1"/>
  <c r="P108" i="2" a="1"/>
  <c r="O109" i="2" a="1"/>
  <c r="O107" i="2" a="1"/>
  <c r="P106" i="2" a="1"/>
  <c r="P107" i="2" a="1"/>
  <c r="O106" i="2" a="1"/>
  <c r="W108" i="2" l="1"/>
  <c r="Q109" i="2"/>
  <c r="W107" i="2"/>
  <c r="W106" i="2"/>
  <c r="Q108" i="2"/>
  <c r="W109" i="2"/>
  <c r="AA109" i="2" s="1"/>
  <c r="AB109" i="2" s="1"/>
  <c r="Q106" i="2"/>
  <c r="Q107" i="2"/>
  <c r="AA108" i="2" l="1"/>
  <c r="AB108" i="2" s="1"/>
  <c r="AA106" i="2"/>
  <c r="AB106" i="2" s="1"/>
  <c r="AA107" i="2"/>
  <c r="AB107" i="2" s="1"/>
  <c r="O110" i="2" a="1"/>
  <c r="P110" i="2" a="1"/>
  <c r="O111" i="2" a="1"/>
  <c r="W111" i="2" s="1"/>
  <c r="P111" i="2" a="1"/>
  <c r="P113" i="2" a="1"/>
  <c r="O113" i="2" a="1"/>
  <c r="O112" i="2" a="1"/>
  <c r="P112" i="2" a="1"/>
  <c r="O114" i="2" a="1"/>
  <c r="P114" i="2" a="1"/>
  <c r="P115" i="2" a="1"/>
  <c r="O115" i="2" a="1"/>
  <c r="P117" i="2" a="1"/>
  <c r="O116" i="2" a="1"/>
  <c r="P116" i="2" a="1"/>
  <c r="O117" i="2" a="1"/>
  <c r="Q113" i="2" l="1"/>
  <c r="W110" i="2"/>
  <c r="W112" i="2"/>
  <c r="Q110" i="2"/>
  <c r="AA110" i="2" s="1"/>
  <c r="AB110" i="2" s="1"/>
  <c r="Q111" i="2"/>
  <c r="AA111" i="2" s="1"/>
  <c r="AB111" i="2" s="1"/>
  <c r="W113" i="2"/>
  <c r="AA113" i="2" s="1"/>
  <c r="AB113" i="2" s="1"/>
  <c r="Q112" i="2"/>
  <c r="W115" i="2"/>
  <c r="Q114" i="2"/>
  <c r="W114" i="2"/>
  <c r="AA114" i="2" s="1"/>
  <c r="AB114" i="2" s="1"/>
  <c r="Q115" i="2"/>
  <c r="W117" i="2"/>
  <c r="W116" i="2"/>
  <c r="Q117" i="2"/>
  <c r="Q116" i="2"/>
  <c r="AA112" i="2" l="1"/>
  <c r="AB112" i="2" s="1"/>
  <c r="AA115" i="2"/>
  <c r="AB115" i="2" s="1"/>
  <c r="AA117" i="2"/>
  <c r="AB117" i="2" s="1"/>
  <c r="AA116" i="2"/>
  <c r="AB116" i="2" s="1"/>
  <c r="O118" i="2" l="1" a="1"/>
  <c r="P118" i="2" a="1"/>
  <c r="P119" i="2" a="1"/>
  <c r="O119" i="2" a="1"/>
  <c r="P121" i="2" a="1"/>
  <c r="O121" i="2" a="1"/>
  <c r="O120" i="2" a="1"/>
  <c r="P120" i="2" a="1"/>
  <c r="W118" i="2" l="1"/>
  <c r="Q119" i="2"/>
  <c r="W119" i="2"/>
  <c r="AA119" i="2" s="1"/>
  <c r="AB119" i="2" s="1"/>
  <c r="W121" i="2"/>
  <c r="Q120" i="2"/>
  <c r="Q121" i="2"/>
  <c r="AA121" i="2" s="1"/>
  <c r="AB121" i="2" s="1"/>
  <c r="W120" i="2"/>
  <c r="Q118" i="2"/>
  <c r="AA118" i="2" s="1"/>
  <c r="AB118" i="2" s="1"/>
  <c r="P125" i="2" a="1"/>
  <c r="P124" i="2" a="1"/>
  <c r="O124" i="2" a="1"/>
  <c r="O125" i="2" a="1"/>
  <c r="P122" i="2" a="1"/>
  <c r="O123" i="2" a="1"/>
  <c r="P123" i="2" a="1"/>
  <c r="O122" i="2" a="1"/>
  <c r="W124" i="2" l="1"/>
  <c r="W123" i="2"/>
  <c r="AA120" i="2"/>
  <c r="AB120" i="2" s="1"/>
  <c r="Q125" i="2"/>
  <c r="Q122" i="2"/>
  <c r="Q124" i="2"/>
  <c r="AA124" i="2" s="1"/>
  <c r="AB124" i="2" s="1"/>
  <c r="W125" i="2"/>
  <c r="Q123" i="2"/>
  <c r="W122" i="2"/>
  <c r="AA123" i="2" l="1"/>
  <c r="AB123" i="2" s="1"/>
  <c r="AA125" i="2"/>
  <c r="AB125" i="2" s="1"/>
  <c r="AA122" i="2"/>
  <c r="AB122" i="2" s="1"/>
  <c r="O127" i="2" a="1"/>
  <c r="O126" i="2" a="1"/>
  <c r="P126" i="2" a="1"/>
  <c r="Q126" i="2" s="1"/>
  <c r="P127" i="2" a="1"/>
  <c r="Q127" i="2" l="1"/>
  <c r="W126" i="2"/>
  <c r="AA126" i="2" s="1"/>
  <c r="AB126" i="2" s="1"/>
  <c r="W127" i="2"/>
  <c r="AA127" i="2" l="1"/>
  <c r="AB127" i="2" s="1"/>
  <c r="P128" i="2" a="1"/>
  <c r="O128" i="2" a="1"/>
  <c r="W128" i="2" s="1"/>
  <c r="P129" i="2" a="1"/>
  <c r="O129" i="2" a="1"/>
  <c r="W129" i="2" l="1"/>
  <c r="P130" i="2" a="1"/>
  <c r="O132" i="2" a="1"/>
  <c r="P132" i="2" a="1"/>
  <c r="O131" i="2" a="1"/>
  <c r="P133" i="2" a="1"/>
  <c r="O133" i="2" a="1"/>
  <c r="O130" i="2" a="1"/>
  <c r="W130" i="2" s="1"/>
  <c r="P131" i="2" a="1"/>
  <c r="Q128" i="2"/>
  <c r="AA128" i="2" s="1"/>
  <c r="AB128" i="2" s="1"/>
  <c r="Q129" i="2"/>
  <c r="W133" i="2" l="1"/>
  <c r="Q131" i="2"/>
  <c r="W132" i="2"/>
  <c r="AA129" i="2"/>
  <c r="AB129" i="2" s="1"/>
  <c r="Q130" i="2"/>
  <c r="AA130" i="2" s="1"/>
  <c r="AB130" i="2" s="1"/>
  <c r="Q132" i="2"/>
  <c r="Q133" i="2"/>
  <c r="AA133" i="2" s="1"/>
  <c r="AB133" i="2" s="1"/>
  <c r="W131" i="2"/>
  <c r="AA131" i="2" s="1"/>
  <c r="AB131" i="2" s="1"/>
  <c r="P134" i="2" a="1"/>
  <c r="P135" i="2" a="1"/>
  <c r="O135" i="2" a="1"/>
  <c r="O134" i="2" a="1"/>
  <c r="P137" i="2" a="1"/>
  <c r="O136" i="2" a="1"/>
  <c r="P136" i="2" a="1"/>
  <c r="O137" i="2" a="1"/>
  <c r="W135" i="2" l="1"/>
  <c r="AA132" i="2"/>
  <c r="AB132" i="2" s="1"/>
  <c r="W134" i="2"/>
  <c r="Q134" i="2"/>
  <c r="AA134" i="2" s="1"/>
  <c r="AB134" i="2" s="1"/>
  <c r="Q135" i="2"/>
  <c r="AA135" i="2" s="1"/>
  <c r="AB135" i="2" s="1"/>
  <c r="Q137" i="2"/>
  <c r="W136" i="2"/>
  <c r="Q136" i="2"/>
  <c r="W137" i="2"/>
  <c r="P140" i="2" l="1" a="1"/>
  <c r="P141" i="2" a="1"/>
  <c r="O140" i="2" a="1"/>
  <c r="O141" i="2" a="1"/>
  <c r="AA137" i="2"/>
  <c r="AB137" i="2" s="1"/>
  <c r="AA136" i="2"/>
  <c r="AB136" i="2" s="1"/>
  <c r="P138" i="2" l="1" a="1"/>
  <c r="O139" i="2" a="1"/>
  <c r="O138" i="2" a="1"/>
  <c r="P139" i="2" a="1"/>
  <c r="P142" i="2" a="1"/>
  <c r="P145" i="2" a="1"/>
  <c r="P143" i="2" a="1"/>
  <c r="O143" i="2" a="1"/>
  <c r="W143" i="2" s="1"/>
  <c r="O142" i="2" a="1"/>
  <c r="O144" i="2" a="1"/>
  <c r="O145" i="2" a="1"/>
  <c r="P144" i="2" a="1"/>
  <c r="W140" i="2"/>
  <c r="Q141" i="2"/>
  <c r="Q140" i="2"/>
  <c r="W141" i="2"/>
  <c r="W145" i="2" l="1"/>
  <c r="Q144" i="2"/>
  <c r="W139" i="2"/>
  <c r="Q138" i="2"/>
  <c r="W142" i="2"/>
  <c r="Q143" i="2"/>
  <c r="AA143" i="2" s="1"/>
  <c r="AB143" i="2" s="1"/>
  <c r="W138" i="2"/>
  <c r="Q139" i="2"/>
  <c r="Q142" i="2"/>
  <c r="Q145" i="2"/>
  <c r="W144" i="2"/>
  <c r="O147" i="2" a="1"/>
  <c r="P146" i="2" a="1"/>
  <c r="AA140" i="2"/>
  <c r="AB140" i="2" s="1"/>
  <c r="AA141" i="2"/>
  <c r="AB141" i="2" s="1"/>
  <c r="AA139" i="2" l="1"/>
  <c r="AB139" i="2" s="1"/>
  <c r="AA145" i="2"/>
  <c r="AB145" i="2" s="1"/>
  <c r="AA144" i="2"/>
  <c r="AB144" i="2" s="1"/>
  <c r="AA138" i="2"/>
  <c r="AB138" i="2" s="1"/>
  <c r="AA142" i="2"/>
  <c r="AB142" i="2" s="1"/>
  <c r="P147" i="2" l="1" a="1"/>
  <c r="O146" i="2" a="1"/>
  <c r="O148" i="2" a="1"/>
  <c r="P148" i="2" a="1"/>
  <c r="P149" i="2" a="1"/>
  <c r="O149" i="2" a="1"/>
  <c r="W147" i="2" l="1"/>
  <c r="AA147" i="2" s="1"/>
  <c r="AB147" i="2" s="1"/>
  <c r="Q147" i="2"/>
  <c r="Q146" i="2"/>
  <c r="W146" i="2"/>
  <c r="AA146" i="2" s="1"/>
  <c r="AB146" i="2" s="1"/>
  <c r="W148" i="2"/>
  <c r="Q149" i="2"/>
  <c r="Q148" i="2"/>
  <c r="W149" i="2"/>
  <c r="AA149" i="2" l="1"/>
  <c r="AB149" i="2" s="1"/>
  <c r="AA148" i="2"/>
  <c r="AB148" i="2" s="1"/>
  <c r="O151" i="2" l="1" a="1"/>
  <c r="P150" i="2" a="1"/>
  <c r="O150" i="2" a="1"/>
  <c r="P151" i="2" a="1"/>
  <c r="Q150" i="2" l="1"/>
  <c r="W151" i="2"/>
  <c r="W150" i="2"/>
  <c r="AA150" i="2" s="1"/>
  <c r="AB150" i="2" s="1"/>
  <c r="Q151" i="2"/>
  <c r="AA151" i="2" s="1"/>
  <c r="AB151" i="2" s="1"/>
  <c r="P154" i="2" l="1" a="1"/>
  <c r="P155" i="2" a="1"/>
  <c r="O154" i="2" a="1"/>
  <c r="W154" i="2" s="1"/>
  <c r="O155" i="2" a="1"/>
  <c r="O156" i="2" a="1"/>
  <c r="P157" i="2" a="1"/>
  <c r="P156" i="2" a="1"/>
  <c r="P152" i="2" a="1"/>
  <c r="O153" i="2" a="1"/>
  <c r="O152" i="2" a="1"/>
  <c r="O157" i="2" a="1"/>
  <c r="P153" i="2" a="1"/>
  <c r="W152" i="2" l="1"/>
  <c r="Q157" i="2"/>
  <c r="Q153" i="2"/>
  <c r="W155" i="2"/>
  <c r="Q156" i="2"/>
  <c r="Q154" i="2"/>
  <c r="AA154" i="2" s="1"/>
  <c r="AB154" i="2" s="1"/>
  <c r="W156" i="2"/>
  <c r="Q152" i="2"/>
  <c r="W153" i="2"/>
  <c r="W157" i="2"/>
  <c r="Q155" i="2"/>
  <c r="AA156" i="2" l="1"/>
  <c r="AB156" i="2" s="1"/>
  <c r="AA152" i="2"/>
  <c r="AB152" i="2" s="1"/>
  <c r="AA153" i="2"/>
  <c r="AB153" i="2" s="1"/>
  <c r="AA157" i="2"/>
  <c r="AB157" i="2" s="1"/>
  <c r="AA155" i="2"/>
  <c r="AB155" i="2" s="1"/>
  <c r="P159" i="2" a="1"/>
  <c r="Q159" i="2" s="1"/>
  <c r="P158" i="2" a="1"/>
  <c r="O159" i="2" a="1"/>
  <c r="O158" i="2" a="1"/>
  <c r="Q158" i="2" l="1"/>
  <c r="W159" i="2"/>
  <c r="AA159" i="2" s="1"/>
  <c r="AB159" i="2" s="1"/>
  <c r="W158" i="2"/>
  <c r="AA158" i="2" l="1"/>
  <c r="AB158" i="2" s="1"/>
  <c r="P160" i="2" a="1"/>
  <c r="P161" i="2" a="1"/>
  <c r="O160" i="2" a="1"/>
  <c r="O161" i="2" a="1"/>
  <c r="Q160" i="2" l="1"/>
  <c r="Q161" i="2"/>
  <c r="W161" i="2"/>
  <c r="W160" i="2"/>
  <c r="O162" i="2" a="1"/>
  <c r="P163" i="2" a="1"/>
  <c r="P162" i="2" a="1"/>
  <c r="O163" i="2" a="1"/>
  <c r="O165" i="2" a="1"/>
  <c r="O164" i="2" a="1"/>
  <c r="P165" i="2" a="1"/>
  <c r="P164" i="2" a="1"/>
  <c r="P167" i="2" a="1"/>
  <c r="P166" i="2" a="1"/>
  <c r="O166" i="2" a="1"/>
  <c r="O167" i="2" a="1"/>
  <c r="AA161" i="2" l="1"/>
  <c r="AB161" i="2" s="1"/>
  <c r="AA160" i="2"/>
  <c r="AB160" i="2" s="1"/>
  <c r="Q162" i="2"/>
  <c r="W163" i="2"/>
  <c r="W162" i="2"/>
  <c r="AA162" i="2" s="1"/>
  <c r="AB162" i="2" s="1"/>
  <c r="Q163" i="2"/>
  <c r="W164" i="2"/>
  <c r="Q165" i="2"/>
  <c r="Q167" i="2"/>
  <c r="W166" i="2"/>
  <c r="W165" i="2"/>
  <c r="Q164" i="2"/>
  <c r="Q166" i="2"/>
  <c r="W167" i="2"/>
  <c r="AA163" i="2" l="1"/>
  <c r="AB163" i="2" s="1"/>
  <c r="AA165" i="2"/>
  <c r="AB165" i="2" s="1"/>
  <c r="AA164" i="2"/>
  <c r="AB164" i="2" s="1"/>
  <c r="AA167" i="2"/>
  <c r="AB167" i="2" s="1"/>
  <c r="AA166" i="2"/>
  <c r="AB166" i="2" s="1"/>
  <c r="P168" i="2" l="1" a="1"/>
  <c r="O169" i="2" a="1"/>
  <c r="O168" i="2" a="1"/>
  <c r="P169" i="2" a="1"/>
  <c r="W168" i="2" l="1"/>
  <c r="Q169" i="2"/>
  <c r="Q168" i="2"/>
  <c r="AA168" i="2" s="1"/>
  <c r="AB168" i="2" s="1"/>
  <c r="W169" i="2"/>
  <c r="O170" i="2" a="1"/>
  <c r="O171" i="2" a="1"/>
  <c r="P171" i="2" a="1"/>
  <c r="P170" i="2" a="1"/>
  <c r="AA169" i="2" l="1"/>
  <c r="AB169" i="2" s="1"/>
  <c r="P172" i="2" a="1"/>
  <c r="P173" i="2" a="1"/>
  <c r="O172" i="2" a="1"/>
  <c r="O173" i="2" a="1"/>
  <c r="Q170" i="2"/>
  <c r="W171" i="2"/>
  <c r="Q171" i="2"/>
  <c r="W170" i="2"/>
  <c r="Q173" i="2" l="1"/>
  <c r="W172" i="2"/>
  <c r="W173" i="2"/>
  <c r="Q172" i="2"/>
  <c r="AA171" i="2"/>
  <c r="AB171" i="2" s="1"/>
  <c r="AA170" i="2"/>
  <c r="AB170" i="2" s="1"/>
  <c r="P175" i="2" a="1"/>
  <c r="O174" i="2" a="1"/>
  <c r="P174" i="2" a="1"/>
  <c r="O175" i="2" a="1"/>
  <c r="AA173" i="2" l="1"/>
  <c r="AB173" i="2" s="1"/>
  <c r="AA172" i="2"/>
  <c r="AB172" i="2" s="1"/>
  <c r="Q175" i="2"/>
  <c r="W174" i="2"/>
  <c r="Q174" i="2"/>
  <c r="W175" i="2"/>
  <c r="AA174" i="2" l="1"/>
  <c r="AB174" i="2" s="1"/>
  <c r="AA175" i="2"/>
  <c r="AB175" i="2" s="1"/>
  <c r="O177" i="2" l="1" a="1"/>
  <c r="P177" i="2" a="1"/>
  <c r="O176" i="2" a="1"/>
  <c r="P176" i="2" a="1"/>
  <c r="W177" i="2" l="1"/>
  <c r="Q176" i="2"/>
  <c r="Q177" i="2"/>
  <c r="W176" i="2"/>
  <c r="AA176" i="2" l="1"/>
  <c r="AB176" i="2" s="1"/>
  <c r="AA177" i="2"/>
  <c r="AB177" i="2" s="1"/>
  <c r="P181" i="2" a="1"/>
  <c r="P180" i="2" a="1"/>
  <c r="O181" i="2" a="1"/>
  <c r="O180" i="2" a="1"/>
  <c r="O182" i="2" a="1"/>
  <c r="P182" i="2" a="1"/>
  <c r="O183" i="2" a="1"/>
  <c r="P183" i="2" a="1"/>
  <c r="P178" i="2" l="1" a="1"/>
  <c r="O179" i="2" a="1"/>
  <c r="W179" i="2" s="1"/>
  <c r="P179" i="2" a="1"/>
  <c r="O178" i="2" a="1"/>
  <c r="W178" i="2" s="1"/>
  <c r="W181" i="2"/>
  <c r="W180" i="2"/>
  <c r="W183" i="2"/>
  <c r="W182" i="2"/>
  <c r="Q180" i="2"/>
  <c r="Q182" i="2"/>
  <c r="Q183" i="2"/>
  <c r="Q181" i="2"/>
  <c r="P185" i="2" a="1"/>
  <c r="O184" i="2" a="1"/>
  <c r="P184" i="2" a="1"/>
  <c r="O185" i="2" a="1"/>
  <c r="P187" i="2" a="1"/>
  <c r="O186" i="2" a="1"/>
  <c r="P186" i="2" a="1"/>
  <c r="O187" i="2" a="1"/>
  <c r="Q178" i="2" l="1"/>
  <c r="AA178" i="2" s="1"/>
  <c r="AB178" i="2" s="1"/>
  <c r="Q179" i="2"/>
  <c r="AA179" i="2" s="1"/>
  <c r="AB179" i="2" s="1"/>
  <c r="AA180" i="2"/>
  <c r="AB180" i="2" s="1"/>
  <c r="AA181" i="2"/>
  <c r="AB181" i="2" s="1"/>
  <c r="AA183" i="2"/>
  <c r="AB183" i="2" s="1"/>
  <c r="AA182" i="2"/>
  <c r="AB182" i="2" s="1"/>
  <c r="W186" i="2"/>
  <c r="Q185" i="2"/>
  <c r="Q187" i="2"/>
  <c r="Q184" i="2"/>
  <c r="W184" i="2"/>
  <c r="W185" i="2"/>
  <c r="Q186" i="2"/>
  <c r="W187" i="2"/>
  <c r="AA186" i="2" l="1"/>
  <c r="AB186" i="2" s="1"/>
  <c r="AA185" i="2"/>
  <c r="AB185" i="2" s="1"/>
  <c r="AA187" i="2"/>
  <c r="AB187" i="2" s="1"/>
  <c r="AA184" i="2"/>
  <c r="AB184" i="2" s="1"/>
  <c r="O188" i="2" a="1"/>
  <c r="O189" i="2" a="1"/>
  <c r="P188" i="2" a="1"/>
  <c r="P189" i="2" a="1"/>
  <c r="Q188" i="2" l="1"/>
  <c r="W189" i="2"/>
  <c r="W188" i="2"/>
  <c r="Q189" i="2"/>
  <c r="AA188" i="2" l="1"/>
  <c r="AB188" i="2" s="1"/>
  <c r="AA189" i="2"/>
  <c r="AB189" i="2" s="1"/>
  <c r="P191" i="2" l="1" a="1"/>
  <c r="O191" i="2" a="1"/>
  <c r="W191" i="2" s="1"/>
  <c r="O190" i="2" a="1"/>
  <c r="P190" i="2" a="1"/>
  <c r="P197" i="2" a="1"/>
  <c r="P192" i="2" a="1"/>
  <c r="O194" i="2" a="1"/>
  <c r="P193" i="2" a="1"/>
  <c r="P196" i="2" a="1"/>
  <c r="O195" i="2" a="1"/>
  <c r="O192" i="2" a="1"/>
  <c r="O197" i="2" a="1"/>
  <c r="O193" i="2" a="1"/>
  <c r="P194" i="2" a="1"/>
  <c r="O196" i="2" a="1"/>
  <c r="P195" i="2" a="1"/>
  <c r="Q190" i="2" l="1"/>
  <c r="Q192" i="2"/>
  <c r="W194" i="2"/>
  <c r="W195" i="2"/>
  <c r="W197" i="2"/>
  <c r="Q196" i="2"/>
  <c r="W193" i="2"/>
  <c r="Q191" i="2"/>
  <c r="AA191" i="2" s="1"/>
  <c r="AB191" i="2" s="1"/>
  <c r="W190" i="2"/>
  <c r="Q197" i="2"/>
  <c r="Q193" i="2"/>
  <c r="W192" i="2"/>
  <c r="Q194" i="2"/>
  <c r="W196" i="2"/>
  <c r="Q195" i="2"/>
  <c r="P198" i="2" a="1"/>
  <c r="O198" i="2" a="1"/>
  <c r="O199" i="2" a="1"/>
  <c r="P199" i="2" a="1"/>
  <c r="AA193" i="2" l="1"/>
  <c r="AB193" i="2" s="1"/>
  <c r="AA190" i="2"/>
  <c r="AB190" i="2" s="1"/>
  <c r="AA192" i="2"/>
  <c r="AB192" i="2" s="1"/>
  <c r="AA197" i="2"/>
  <c r="AB197" i="2" s="1"/>
  <c r="AA194" i="2"/>
  <c r="AB194" i="2" s="1"/>
  <c r="AA196" i="2"/>
  <c r="AB196" i="2" s="1"/>
  <c r="AA195" i="2"/>
  <c r="AB195" i="2" s="1"/>
  <c r="W199" i="2"/>
  <c r="W198" i="2"/>
  <c r="Q199" i="2"/>
  <c r="Q198" i="2"/>
  <c r="AA199" i="2" l="1"/>
  <c r="AB199" i="2" s="1"/>
  <c r="AA198" i="2"/>
  <c r="AB198" i="2" s="1"/>
  <c r="P203" i="2" a="1"/>
  <c r="O203" i="2" a="1"/>
  <c r="P202" i="2" a="1"/>
  <c r="O202" i="2" a="1"/>
  <c r="P200" i="2" l="1" a="1"/>
  <c r="O200" i="2" a="1"/>
  <c r="P201" i="2" a="1"/>
  <c r="O201" i="2" a="1"/>
  <c r="Q203" i="2"/>
  <c r="W202" i="2"/>
  <c r="P204" i="2" a="1"/>
  <c r="O204" i="2" a="1"/>
  <c r="P205" i="2" a="1"/>
  <c r="O205" i="2" a="1"/>
  <c r="Q202" i="2"/>
  <c r="W203" i="2"/>
  <c r="W200" i="2" l="1"/>
  <c r="W201" i="2"/>
  <c r="AA202" i="2"/>
  <c r="AB202" i="2" s="1"/>
  <c r="Q200" i="2"/>
  <c r="Q201" i="2"/>
  <c r="AA203" i="2"/>
  <c r="AB203" i="2" s="1"/>
  <c r="W205" i="2"/>
  <c r="W204" i="2"/>
  <c r="Q205" i="2"/>
  <c r="Q204" i="2"/>
  <c r="AA200" i="2" l="1"/>
  <c r="AB200" i="2" s="1"/>
  <c r="AA201" i="2"/>
  <c r="AB201" i="2" s="1"/>
  <c r="AA205" i="2"/>
  <c r="AB205" i="2" s="1"/>
  <c r="AA204" i="2"/>
  <c r="AB204" i="2" s="1"/>
  <c r="O207" i="2" l="1" a="1"/>
  <c r="P206" i="2" a="1"/>
  <c r="O206" i="2" a="1"/>
  <c r="P207" i="2" a="1"/>
  <c r="W206" i="2" l="1"/>
  <c r="W207" i="2"/>
  <c r="Q206" i="2"/>
  <c r="Q207" i="2"/>
  <c r="AA207" i="2" s="1"/>
  <c r="AB207" i="2" s="1"/>
  <c r="O211" i="2" a="1"/>
  <c r="O210" i="2" a="1"/>
  <c r="P211" i="2" a="1"/>
  <c r="P210" i="2" a="1"/>
  <c r="AA206" i="2" l="1"/>
  <c r="AB206" i="2" s="1"/>
  <c r="O209" i="2" a="1"/>
  <c r="O208" i="2" a="1"/>
  <c r="P209" i="2" a="1"/>
  <c r="P208" i="2" a="1"/>
  <c r="Q208" i="2" s="1"/>
  <c r="W210" i="2"/>
  <c r="W211" i="2"/>
  <c r="Q211" i="2"/>
  <c r="Q210" i="2"/>
  <c r="W209" i="2" l="1"/>
  <c r="W208" i="2"/>
  <c r="AA208" i="2" s="1"/>
  <c r="AB208" i="2" s="1"/>
  <c r="Q209" i="2"/>
  <c r="AA209" i="2" s="1"/>
  <c r="AB209" i="2" s="1"/>
  <c r="AA211" i="2"/>
  <c r="AB211" i="2" s="1"/>
  <c r="AA210" i="2"/>
  <c r="AB210" i="2" s="1"/>
  <c r="P213" i="2" a="1"/>
  <c r="O213" i="2" a="1"/>
  <c r="P212" i="2" a="1"/>
  <c r="O212" i="2" a="1"/>
  <c r="W213" i="2" l="1"/>
  <c r="Q212" i="2"/>
  <c r="Q213" i="2"/>
  <c r="W212" i="2"/>
  <c r="AA213" i="2" l="1"/>
  <c r="AB213" i="2" s="1"/>
  <c r="AA212" i="2"/>
  <c r="AB212" i="2" s="1"/>
  <c r="P214" i="2" l="1" a="1"/>
  <c r="O216" i="2" a="1"/>
  <c r="O215" i="2" a="1"/>
  <c r="O214" i="2" a="1"/>
  <c r="P215" i="2" a="1"/>
  <c r="O217" i="2" a="1"/>
  <c r="P216" i="2" a="1"/>
  <c r="P217" i="2" a="1"/>
  <c r="Q214" i="2" l="1"/>
  <c r="W217" i="2"/>
  <c r="W216" i="2"/>
  <c r="Q215" i="2"/>
  <c r="W215" i="2"/>
  <c r="W214" i="2"/>
  <c r="AA214" i="2" s="1"/>
  <c r="AB214" i="2" s="1"/>
  <c r="Q216" i="2"/>
  <c r="Q217" i="2"/>
  <c r="AA216" i="2" l="1"/>
  <c r="AB216" i="2" s="1"/>
  <c r="AA217" i="2"/>
  <c r="AB217" i="2" s="1"/>
  <c r="AA215" i="2"/>
  <c r="AB215" i="2" s="1"/>
  <c r="P219" i="2" a="1"/>
  <c r="O219" i="2" a="1"/>
  <c r="O218" i="2" a="1"/>
  <c r="W218" i="2" s="1"/>
  <c r="P218" i="2" a="1"/>
  <c r="P221" i="2" a="1"/>
  <c r="O220" i="2" a="1"/>
  <c r="P220" i="2" a="1"/>
  <c r="O221" i="2" a="1"/>
  <c r="O223" i="2" a="1"/>
  <c r="O222" i="2" a="1"/>
  <c r="P223" i="2" a="1"/>
  <c r="P222" i="2" a="1"/>
  <c r="Q219" i="2" l="1"/>
  <c r="W219" i="2"/>
  <c r="Q218" i="2"/>
  <c r="AA218" i="2" s="1"/>
  <c r="AB218" i="2" s="1"/>
  <c r="W221" i="2"/>
  <c r="W220" i="2"/>
  <c r="Q221" i="2"/>
  <c r="Q220" i="2"/>
  <c r="Q223" i="2"/>
  <c r="Q222" i="2"/>
  <c r="W223" i="2"/>
  <c r="W222" i="2"/>
  <c r="AA219" i="2" l="1"/>
  <c r="AB219" i="2" s="1"/>
  <c r="AA221" i="2"/>
  <c r="AB221" i="2" s="1"/>
  <c r="AA220" i="2"/>
  <c r="AB220" i="2" s="1"/>
  <c r="AA223" i="2"/>
  <c r="AB223" i="2" s="1"/>
  <c r="AA222" i="2"/>
  <c r="AB222" i="2" s="1"/>
  <c r="O224" i="2" a="1"/>
  <c r="O225" i="2" a="1"/>
  <c r="P224" i="2" a="1"/>
  <c r="P225" i="2" a="1"/>
  <c r="Q225" i="2" l="1"/>
  <c r="W224" i="2"/>
  <c r="W225" i="2"/>
  <c r="Q224" i="2"/>
  <c r="AA225" i="2" l="1"/>
  <c r="AB225" i="2" s="1"/>
  <c r="AA224" i="2"/>
  <c r="AB224" i="2" s="1"/>
  <c r="O227" i="2" l="1" a="1"/>
  <c r="O226" i="2" a="1"/>
  <c r="P226" i="2" a="1"/>
  <c r="P227" i="2" a="1"/>
  <c r="O229" i="2" a="1"/>
  <c r="P228" i="2" a="1"/>
  <c r="P229" i="2" a="1"/>
  <c r="O228" i="2" a="1"/>
  <c r="W227" i="2" l="1"/>
  <c r="W226" i="2"/>
  <c r="Q227" i="2"/>
  <c r="Q226" i="2"/>
  <c r="W229" i="2"/>
  <c r="W228" i="2"/>
  <c r="Q228" i="2"/>
  <c r="Q229" i="2"/>
  <c r="AA227" i="2" l="1"/>
  <c r="AB227" i="2" s="1"/>
  <c r="AA226" i="2"/>
  <c r="AB226" i="2" s="1"/>
  <c r="AA228" i="2"/>
  <c r="AB228" i="2" s="1"/>
  <c r="AA229" i="2"/>
  <c r="AB229" i="2" s="1"/>
  <c r="P230" i="2" a="1"/>
  <c r="O231" i="2" a="1"/>
  <c r="O230" i="2" a="1"/>
  <c r="P231" i="2" a="1"/>
  <c r="W230" i="2" l="1"/>
  <c r="Q231" i="2"/>
  <c r="Q230" i="2"/>
  <c r="W231" i="2"/>
  <c r="AA230" i="2" l="1"/>
  <c r="AB230" i="2" s="1"/>
  <c r="AA231" i="2"/>
  <c r="AB231" i="2" s="1"/>
  <c r="O232" i="2" l="1" a="1"/>
  <c r="P232" i="2" a="1"/>
  <c r="P233" i="2" a="1"/>
  <c r="O233" i="2" a="1"/>
  <c r="Q233" i="2" l="1"/>
  <c r="W232" i="2"/>
  <c r="Q232" i="2"/>
  <c r="AA232" i="2" s="1"/>
  <c r="AB232" i="2" s="1"/>
  <c r="W233" i="2"/>
  <c r="AA233" i="2" l="1"/>
  <c r="AB233" i="2" s="1"/>
  <c r="P238" i="2" a="1"/>
  <c r="O239" i="2" a="1"/>
  <c r="P239" i="2" a="1"/>
  <c r="O238" i="2" a="1"/>
  <c r="O237" i="2" l="1" a="1"/>
  <c r="P234" i="2" a="1"/>
  <c r="P235" i="2" a="1"/>
  <c r="P237" i="2" a="1"/>
  <c r="O236" i="2" a="1"/>
  <c r="P236" i="2" a="1"/>
  <c r="Q236" i="2" s="1"/>
  <c r="O234" i="2" a="1"/>
  <c r="O235" i="2" a="1"/>
  <c r="W239" i="2"/>
  <c r="Q238" i="2"/>
  <c r="Q239" i="2"/>
  <c r="W238" i="2"/>
  <c r="Q234" i="2" l="1"/>
  <c r="Q235" i="2"/>
  <c r="Q237" i="2"/>
  <c r="W237" i="2"/>
  <c r="AA237" i="2" s="1"/>
  <c r="AB237" i="2" s="1"/>
  <c r="W236" i="2"/>
  <c r="AA236" i="2" s="1"/>
  <c r="AB236" i="2" s="1"/>
  <c r="W234" i="2"/>
  <c r="W235" i="2"/>
  <c r="AA239" i="2"/>
  <c r="AB239" i="2" s="1"/>
  <c r="AA238" i="2"/>
  <c r="AB238" i="2" s="1"/>
  <c r="AA234" i="2" l="1"/>
  <c r="AB234" i="2" s="1"/>
  <c r="AA235" i="2"/>
  <c r="AB235" i="2" s="1"/>
  <c r="O240" i="2" a="1"/>
  <c r="O241" i="2" a="1"/>
  <c r="P240" i="2" a="1"/>
  <c r="P241" i="2" a="1"/>
  <c r="W241" i="2" l="1"/>
  <c r="W240" i="2"/>
  <c r="Q241" i="2"/>
  <c r="AA241" i="2" s="1"/>
  <c r="AB241" i="2" s="1"/>
  <c r="P246" i="2" a="1"/>
  <c r="O245" i="2" a="1"/>
  <c r="O244" i="2" a="1"/>
  <c r="P245" i="2" a="1"/>
  <c r="P244" i="2" a="1"/>
  <c r="P243" i="2" a="1"/>
  <c r="O243" i="2" a="1"/>
  <c r="O242" i="2" a="1"/>
  <c r="P242" i="2" a="1"/>
  <c r="Q242" i="2" s="1"/>
  <c r="O246" i="2" a="1"/>
  <c r="P247" i="2" a="1"/>
  <c r="O247" i="2" a="1"/>
  <c r="W247" i="2" s="1"/>
  <c r="Q240" i="2"/>
  <c r="Q244" i="2" l="1"/>
  <c r="W246" i="2"/>
  <c r="AA240" i="2"/>
  <c r="AB240" i="2" s="1"/>
  <c r="Q245" i="2"/>
  <c r="Q243" i="2"/>
  <c r="Q247" i="2"/>
  <c r="AA247" i="2" s="1"/>
  <c r="AB247" i="2" s="1"/>
  <c r="W244" i="2"/>
  <c r="W242" i="2"/>
  <c r="AA242" i="2" s="1"/>
  <c r="AB242" i="2" s="1"/>
  <c r="Q246" i="2"/>
  <c r="W245" i="2"/>
  <c r="W243" i="2"/>
  <c r="P248" i="2" a="1"/>
  <c r="O248" i="2" a="1"/>
  <c r="W248" i="2" s="1"/>
  <c r="P249" i="2" a="1"/>
  <c r="Q249" i="2" s="1"/>
  <c r="O249" i="2" a="1"/>
  <c r="AA244" i="2" l="1"/>
  <c r="AB244" i="2" s="1"/>
  <c r="AA246" i="2"/>
  <c r="AB246" i="2" s="1"/>
  <c r="AA245" i="2"/>
  <c r="AB245" i="2" s="1"/>
  <c r="AA243" i="2"/>
  <c r="AB243" i="2" s="1"/>
  <c r="W249" i="2"/>
  <c r="AA249" i="2" s="1"/>
  <c r="AB249" i="2" s="1"/>
  <c r="Q248" i="2"/>
  <c r="AA248" i="2" s="1"/>
  <c r="AB248" i="2" s="1"/>
  <c r="P252" i="2" l="1" a="1"/>
  <c r="O252" i="2" a="1"/>
  <c r="O251" i="2" a="1"/>
  <c r="P250" i="2" a="1"/>
  <c r="O253" i="2" a="1"/>
  <c r="P253" i="2" a="1"/>
  <c r="O250" i="2" a="1"/>
  <c r="P251" i="2" a="1"/>
  <c r="P255" i="2" a="1"/>
  <c r="P254" i="2" a="1"/>
  <c r="O255" i="2" a="1"/>
  <c r="O254" i="2" a="1"/>
  <c r="W252" i="2" l="1"/>
  <c r="W250" i="2"/>
  <c r="W251" i="2"/>
  <c r="W253" i="2"/>
  <c r="Q254" i="2"/>
  <c r="W255" i="2"/>
  <c r="Q252" i="2"/>
  <c r="Q250" i="2"/>
  <c r="Q253" i="2"/>
  <c r="Q251" i="2"/>
  <c r="Q255" i="2"/>
  <c r="W254" i="2"/>
  <c r="O257" i="2" a="1"/>
  <c r="P257" i="2" a="1"/>
  <c r="O256" i="2" a="1"/>
  <c r="P256" i="2" a="1"/>
  <c r="O258" i="2" a="1"/>
  <c r="P258" i="2" a="1"/>
  <c r="P260" i="2" a="1"/>
  <c r="O259" i="2" a="1"/>
  <c r="P259" i="2" a="1"/>
  <c r="O260" i="2" a="1"/>
  <c r="O261" i="2" a="1"/>
  <c r="P261" i="2" a="1"/>
  <c r="AA252" i="2" l="1"/>
  <c r="AB252" i="2" s="1"/>
  <c r="AA250" i="2"/>
  <c r="AB250" i="2" s="1"/>
  <c r="AA253" i="2"/>
  <c r="AB253" i="2" s="1"/>
  <c r="AA251" i="2"/>
  <c r="AB251" i="2" s="1"/>
  <c r="AA255" i="2"/>
  <c r="AB255" i="2" s="1"/>
  <c r="AA254" i="2"/>
  <c r="AB254" i="2" s="1"/>
  <c r="W257" i="2"/>
  <c r="Q256" i="2"/>
  <c r="W256" i="2"/>
  <c r="Q257" i="2"/>
  <c r="AA257" i="2" s="1"/>
  <c r="AB257" i="2" s="1"/>
  <c r="Q260" i="2"/>
  <c r="Q259" i="2"/>
  <c r="W258" i="2"/>
  <c r="Q261" i="2"/>
  <c r="Q258" i="2"/>
  <c r="W259" i="2"/>
  <c r="W260" i="2"/>
  <c r="W261" i="2"/>
  <c r="AA256" i="2" l="1"/>
  <c r="AB256" i="2" s="1"/>
  <c r="AA260" i="2"/>
  <c r="AB260" i="2" s="1"/>
  <c r="AA258" i="2"/>
  <c r="AB258" i="2" s="1"/>
  <c r="AA259" i="2"/>
  <c r="AB259" i="2" s="1"/>
  <c r="AA261" i="2"/>
  <c r="AB261" i="2" s="1"/>
  <c r="O263" i="2" l="1" a="1"/>
  <c r="O262" i="2" a="1"/>
  <c r="P262" i="2" a="1"/>
  <c r="P263" i="2" a="1"/>
  <c r="Q263" i="2" s="1"/>
  <c r="W262" i="2" l="1"/>
  <c r="Q262" i="2"/>
  <c r="AA262" i="2" s="1"/>
  <c r="AB262" i="2" s="1"/>
  <c r="W263" i="2"/>
  <c r="AA263" i="2" s="1"/>
  <c r="AB263" i="2" s="1"/>
  <c r="O264" i="2" l="1" a="1"/>
  <c r="W264" i="2" s="1"/>
  <c r="P265" i="2" a="1"/>
  <c r="O265" i="2" a="1"/>
  <c r="P264" i="2" a="1"/>
  <c r="W265" i="2" l="1"/>
  <c r="Q264" i="2"/>
  <c r="AA264" i="2" s="1"/>
  <c r="AB264" i="2" s="1"/>
  <c r="Q265" i="2"/>
  <c r="AA265" i="2" s="1"/>
  <c r="AB265" i="2" s="1"/>
  <c r="O267" i="2" l="1" a="1"/>
  <c r="P266" i="2" a="1"/>
  <c r="P267" i="2" a="1"/>
  <c r="O266" i="2" a="1"/>
  <c r="W267" i="2" l="1"/>
  <c r="Q266" i="2"/>
  <c r="Q267" i="2"/>
  <c r="AA267" i="2" s="1"/>
  <c r="AB267" i="2" s="1"/>
  <c r="W266" i="2"/>
  <c r="P268" i="2" a="1"/>
  <c r="O268" i="2" a="1"/>
  <c r="O269" i="2" a="1"/>
  <c r="P269" i="2" a="1"/>
  <c r="O271" i="2" a="1"/>
  <c r="P271" i="2" a="1"/>
  <c r="P270" i="2" a="1"/>
  <c r="O270" i="2" a="1"/>
  <c r="P272" i="2" a="1"/>
  <c r="O273" i="2" a="1"/>
  <c r="O272" i="2" a="1"/>
  <c r="P273" i="2" a="1"/>
  <c r="W268" i="2" l="1"/>
  <c r="Q269" i="2"/>
  <c r="AA266" i="2"/>
  <c r="AB266" i="2" s="1"/>
  <c r="Q268" i="2"/>
  <c r="W269" i="2"/>
  <c r="W273" i="2"/>
  <c r="Q271" i="2"/>
  <c r="Q270" i="2"/>
  <c r="W272" i="2"/>
  <c r="W271" i="2"/>
  <c r="W270" i="2"/>
  <c r="Q272" i="2"/>
  <c r="Q273" i="2"/>
  <c r="AA268" i="2" l="1"/>
  <c r="AB268" i="2" s="1"/>
  <c r="AA269" i="2"/>
  <c r="AB269" i="2" s="1"/>
  <c r="AA273" i="2"/>
  <c r="AB273" i="2" s="1"/>
  <c r="AA272" i="2"/>
  <c r="AB272" i="2" s="1"/>
  <c r="AA271" i="2"/>
  <c r="AB271" i="2" s="1"/>
  <c r="AA270" i="2"/>
  <c r="AB270" i="2" s="1"/>
  <c r="O276" i="2" a="1"/>
  <c r="P277" i="2" a="1"/>
  <c r="P276" i="2" a="1"/>
  <c r="O277" i="2" a="1"/>
  <c r="O274" i="2" a="1"/>
  <c r="O275" i="2" a="1"/>
  <c r="P274" i="2" a="1"/>
  <c r="P275" i="2" a="1"/>
  <c r="Q277" i="2" l="1"/>
  <c r="Q275" i="2"/>
  <c r="Q276" i="2"/>
  <c r="W274" i="2"/>
  <c r="W277" i="2"/>
  <c r="W275" i="2"/>
  <c r="Q274" i="2"/>
  <c r="W276" i="2"/>
  <c r="AA277" i="2" l="1"/>
  <c r="AB277" i="2" s="1"/>
  <c r="AA275" i="2"/>
  <c r="AB275" i="2" s="1"/>
  <c r="AA276" i="2"/>
  <c r="AB276" i="2" s="1"/>
  <c r="AA274" i="2"/>
  <c r="AB274" i="2" s="1"/>
  <c r="O280" i="2" a="1"/>
  <c r="P281" i="2" a="1"/>
  <c r="O281" i="2" a="1"/>
  <c r="P280" i="2" a="1"/>
  <c r="O279" i="2" l="1" a="1"/>
  <c r="P278" i="2" a="1"/>
  <c r="O278" i="2" a="1"/>
  <c r="P279" i="2" a="1"/>
  <c r="Q279" i="2" s="1"/>
  <c r="W280" i="2"/>
  <c r="W281" i="2"/>
  <c r="Q281" i="2"/>
  <c r="Q280" i="2"/>
  <c r="W278" i="2" l="1"/>
  <c r="AA281" i="2"/>
  <c r="AB281" i="2" s="1"/>
  <c r="W279" i="2"/>
  <c r="AA279" i="2" s="1"/>
  <c r="AB279" i="2" s="1"/>
  <c r="Q278" i="2"/>
  <c r="P283" i="2" a="1"/>
  <c r="P282" i="2" a="1"/>
  <c r="O283" i="2" a="1"/>
  <c r="O282" i="2" a="1"/>
  <c r="AA280" i="2"/>
  <c r="AB280" i="2" s="1"/>
  <c r="W283" i="2" l="1"/>
  <c r="P285" i="2" a="1"/>
  <c r="P284" i="2" a="1"/>
  <c r="O285" i="2" a="1"/>
  <c r="O284" i="2" a="1"/>
  <c r="AA278" i="2"/>
  <c r="AB278" i="2" s="1"/>
  <c r="Q282" i="2"/>
  <c r="Q283" i="2"/>
  <c r="AA283" i="2" s="1"/>
  <c r="AB283" i="2" s="1"/>
  <c r="W282" i="2"/>
  <c r="Q284" i="2" l="1"/>
  <c r="Q285" i="2"/>
  <c r="AA282" i="2"/>
  <c r="AB282" i="2" s="1"/>
  <c r="W284" i="2"/>
  <c r="W285" i="2"/>
  <c r="P286" i="2" a="1"/>
  <c r="O287" i="2" a="1"/>
  <c r="O286" i="2" a="1"/>
  <c r="P287" i="2" a="1"/>
  <c r="O289" i="2" a="1"/>
  <c r="O288" i="2" a="1"/>
  <c r="P288" i="2" a="1"/>
  <c r="P289" i="2" a="1"/>
  <c r="AA284" i="2" l="1"/>
  <c r="AB284" i="2" s="1"/>
  <c r="AA285" i="2"/>
  <c r="AB285" i="2" s="1"/>
  <c r="W287" i="2"/>
  <c r="Q286" i="2"/>
  <c r="W289" i="2"/>
  <c r="W288" i="2"/>
  <c r="W286" i="2"/>
  <c r="Q287" i="2"/>
  <c r="Q288" i="2"/>
  <c r="Q289" i="2"/>
  <c r="AA287" i="2" l="1"/>
  <c r="AB287" i="2" s="1"/>
  <c r="AA286" i="2"/>
  <c r="AB286" i="2" s="1"/>
  <c r="AA288" i="2"/>
  <c r="AB288" i="2" s="1"/>
  <c r="AA289" i="2"/>
  <c r="AB289" i="2" s="1"/>
  <c r="P292" i="2" l="1" a="1"/>
  <c r="O290" i="2" a="1"/>
  <c r="O291" i="2" a="1"/>
  <c r="O293" i="2" a="1"/>
  <c r="P290" i="2" a="1"/>
  <c r="O292" i="2" a="1"/>
  <c r="P291" i="2" a="1"/>
  <c r="P293" i="2" a="1"/>
  <c r="Q293" i="2" l="1"/>
  <c r="W291" i="2"/>
  <c r="Q292" i="2"/>
  <c r="W290" i="2"/>
  <c r="W293" i="2"/>
  <c r="Q290" i="2"/>
  <c r="W292" i="2"/>
  <c r="Q291" i="2"/>
  <c r="AA293" i="2" l="1"/>
  <c r="AB293" i="2" s="1"/>
  <c r="AA291" i="2"/>
  <c r="AB291" i="2" s="1"/>
  <c r="AA290" i="2"/>
  <c r="AB290" i="2" s="1"/>
  <c r="AA292" i="2"/>
  <c r="AB292" i="2" s="1"/>
  <c r="P299" i="2" a="1"/>
  <c r="P298" i="2" a="1"/>
  <c r="O298" i="2" a="1"/>
  <c r="O299" i="2" a="1"/>
  <c r="P297" i="2" l="1" a="1"/>
  <c r="P295" i="2" a="1"/>
  <c r="O297" i="2" a="1"/>
  <c r="O296" i="2" a="1"/>
  <c r="P294" i="2" a="1"/>
  <c r="Q294" i="2" s="1"/>
  <c r="P296" i="2" a="1"/>
  <c r="Q296" i="2" s="1"/>
  <c r="O295" i="2" a="1"/>
  <c r="O294" i="2" a="1"/>
  <c r="Q298" i="2"/>
  <c r="W299" i="2"/>
  <c r="Q299" i="2"/>
  <c r="W298" i="2"/>
  <c r="W295" i="2" l="1"/>
  <c r="W297" i="2"/>
  <c r="Q297" i="2"/>
  <c r="AA297" i="2" s="1"/>
  <c r="AB297" i="2" s="1"/>
  <c r="W294" i="2"/>
  <c r="AA294" i="2" s="1"/>
  <c r="AB294" i="2" s="1"/>
  <c r="W296" i="2"/>
  <c r="AA296" i="2" s="1"/>
  <c r="AB296" i="2" s="1"/>
  <c r="Q295" i="2"/>
  <c r="AA295" i="2" s="1"/>
  <c r="AB295" i="2" s="1"/>
  <c r="AA298" i="2"/>
  <c r="AB298" i="2" s="1"/>
  <c r="AA299" i="2"/>
  <c r="AB299" i="2" s="1"/>
  <c r="P302" i="2" l="1" a="1"/>
  <c r="O302" i="2" a="1"/>
  <c r="O300" i="2" a="1"/>
  <c r="O301" i="2" a="1"/>
  <c r="P301" i="2" a="1"/>
  <c r="P300" i="2" a="1"/>
  <c r="P303" i="2" a="1"/>
  <c r="O303" i="2" a="1"/>
  <c r="P304" i="2" a="1"/>
  <c r="O305" i="2" a="1"/>
  <c r="P305" i="2" a="1"/>
  <c r="O304" i="2" a="1"/>
  <c r="W301" i="2" l="1"/>
  <c r="Q300" i="2"/>
  <c r="W302" i="2"/>
  <c r="W303" i="2"/>
  <c r="Q302" i="2"/>
  <c r="W300" i="2"/>
  <c r="Q301" i="2"/>
  <c r="AA301" i="2" s="1"/>
  <c r="AB301" i="2" s="1"/>
  <c r="Q303" i="2"/>
  <c r="W305" i="2"/>
  <c r="W304" i="2"/>
  <c r="Q304" i="2"/>
  <c r="Q305" i="2"/>
  <c r="AA302" i="2" l="1"/>
  <c r="AB302" i="2" s="1"/>
  <c r="AA300" i="2"/>
  <c r="AB300" i="2" s="1"/>
  <c r="AA303" i="2"/>
  <c r="AB303" i="2" s="1"/>
  <c r="AA304" i="2"/>
  <c r="AB304" i="2" s="1"/>
  <c r="AA305" i="2"/>
  <c r="AB305" i="2" s="1"/>
  <c r="P306" i="2" a="1"/>
  <c r="O307" i="2" a="1"/>
  <c r="O306" i="2" a="1"/>
  <c r="P307" i="2" a="1"/>
  <c r="W306" i="2" l="1"/>
  <c r="Q307" i="2"/>
  <c r="W307" i="2"/>
  <c r="Q306" i="2"/>
  <c r="AA307" i="2" l="1"/>
  <c r="AB307" i="2" s="1"/>
  <c r="AA306" i="2"/>
  <c r="AB306" i="2" s="1"/>
  <c r="P308" i="2" a="1"/>
  <c r="O309" i="2" a="1"/>
  <c r="P309" i="2" a="1"/>
  <c r="O308" i="2" a="1"/>
  <c r="W309" i="2" l="1"/>
  <c r="Q308" i="2"/>
  <c r="Q309" i="2"/>
  <c r="W308" i="2"/>
  <c r="AA309" i="2" l="1"/>
  <c r="AB309" i="2" s="1"/>
  <c r="AA308" i="2"/>
  <c r="AB308" i="2" s="1"/>
  <c r="P311" i="2" l="1" a="1"/>
  <c r="P312" i="2" a="1"/>
  <c r="O311" i="2" a="1"/>
  <c r="P310" i="2" a="1"/>
  <c r="O310" i="2" a="1"/>
  <c r="O313" i="2" a="1"/>
  <c r="P313" i="2" a="1"/>
  <c r="O312" i="2" a="1"/>
  <c r="Q312" i="2" l="1"/>
  <c r="W311" i="2"/>
  <c r="W310" i="2"/>
  <c r="Q313" i="2"/>
  <c r="W312" i="2"/>
  <c r="Q311" i="2"/>
  <c r="Q310" i="2"/>
  <c r="W313" i="2"/>
  <c r="AA312" i="2" l="1"/>
  <c r="AB312" i="2" s="1"/>
  <c r="AA311" i="2"/>
  <c r="AB311" i="2" s="1"/>
  <c r="AA310" i="2"/>
  <c r="AB310" i="2" s="1"/>
  <c r="AA313" i="2"/>
  <c r="AB313" i="2" s="1"/>
  <c r="P314" i="2" a="1"/>
  <c r="O315" i="2" a="1"/>
  <c r="P315" i="2" a="1"/>
  <c r="O314" i="2" a="1"/>
  <c r="Q315" i="2" l="1"/>
  <c r="Q314" i="2"/>
  <c r="W314" i="2"/>
  <c r="W315" i="2"/>
  <c r="P317" i="2" a="1"/>
  <c r="P316" i="2" a="1"/>
  <c r="O317" i="2" a="1"/>
  <c r="O316" i="2" a="1"/>
  <c r="AA314" i="2" l="1"/>
  <c r="AB314" i="2" s="1"/>
  <c r="AA315" i="2"/>
  <c r="AB315" i="2" s="1"/>
  <c r="W316" i="2"/>
  <c r="Q317" i="2"/>
  <c r="Q316" i="2"/>
  <c r="W317" i="2"/>
  <c r="AA316" i="2" l="1"/>
  <c r="AB316" i="2" s="1"/>
  <c r="AA317" i="2"/>
  <c r="AB317" i="2" s="1"/>
  <c r="O319" i="2" l="1" a="1"/>
  <c r="P318" i="2" a="1"/>
  <c r="P319" i="2" a="1"/>
  <c r="O318" i="2" a="1"/>
  <c r="W318" i="2" l="1"/>
  <c r="W319" i="2"/>
  <c r="Q318" i="2"/>
  <c r="Q319" i="2"/>
  <c r="AA318" i="2" l="1"/>
  <c r="AB318" i="2" s="1"/>
  <c r="AA319" i="2"/>
  <c r="AB319" i="2" s="1"/>
  <c r="O320" i="2" l="1" a="1"/>
  <c r="P320" i="2" a="1"/>
  <c r="Q320" i="2" s="1"/>
  <c r="O321" i="2" a="1"/>
  <c r="P321" i="2" a="1"/>
  <c r="O323" i="2" a="1"/>
  <c r="O322" i="2" a="1"/>
  <c r="P322" i="2" a="1"/>
  <c r="P323" i="2" a="1"/>
  <c r="O325" i="2" a="1"/>
  <c r="O324" i="2" a="1"/>
  <c r="P324" i="2" a="1"/>
  <c r="P325" i="2" a="1"/>
  <c r="P327" i="2" a="1"/>
  <c r="O327" i="2" a="1"/>
  <c r="O326" i="2" a="1"/>
  <c r="P326" i="2" a="1"/>
  <c r="Q321" i="2" l="1"/>
  <c r="W320" i="2"/>
  <c r="AA320" i="2" s="1"/>
  <c r="AB320" i="2" s="1"/>
  <c r="W321" i="2"/>
  <c r="Q323" i="2"/>
  <c r="Q322" i="2"/>
  <c r="W325" i="2"/>
  <c r="W324" i="2"/>
  <c r="W323" i="2"/>
  <c r="W322" i="2"/>
  <c r="Q324" i="2"/>
  <c r="Q325" i="2"/>
  <c r="Q326" i="2"/>
  <c r="Q327" i="2"/>
  <c r="W327" i="2"/>
  <c r="W326" i="2"/>
  <c r="AA321" i="2" l="1"/>
  <c r="AB321" i="2" s="1"/>
  <c r="AA323" i="2"/>
  <c r="AB323" i="2" s="1"/>
  <c r="AA324" i="2"/>
  <c r="AB324" i="2" s="1"/>
  <c r="AA325" i="2"/>
  <c r="AB325" i="2" s="1"/>
  <c r="AA322" i="2"/>
  <c r="AB322" i="2" s="1"/>
  <c r="AA326" i="2"/>
  <c r="AB326" i="2" s="1"/>
  <c r="AA327" i="2"/>
  <c r="AB327" i="2" s="1"/>
  <c r="O328" i="2" a="1"/>
  <c r="P328" i="2" a="1"/>
  <c r="O329" i="2" a="1"/>
  <c r="P329" i="2" a="1"/>
  <c r="Q328" i="2" l="1"/>
  <c r="Q329" i="2"/>
  <c r="W328" i="2"/>
  <c r="W329" i="2"/>
  <c r="AA328" i="2" l="1"/>
  <c r="AB328" i="2" s="1"/>
  <c r="AA329" i="2"/>
  <c r="AB329" i="2" s="1"/>
  <c r="P331" i="2" a="1"/>
  <c r="O330" i="2" a="1"/>
  <c r="P330" i="2" a="1"/>
  <c r="O331" i="2" a="1"/>
  <c r="W330" i="2" l="1"/>
  <c r="W331" i="2"/>
  <c r="Q331" i="2"/>
  <c r="Q330" i="2"/>
  <c r="AA330" i="2" l="1"/>
  <c r="AB330" i="2" s="1"/>
  <c r="AA331" i="2"/>
  <c r="AB331" i="2" s="1"/>
  <c r="O334" i="2" a="1"/>
  <c r="P334" i="2" a="1"/>
  <c r="P335" i="2" a="1"/>
  <c r="O335" i="2" a="1"/>
  <c r="P333" i="2" l="1" a="1"/>
  <c r="O332" i="2" a="1"/>
  <c r="O333" i="2" a="1"/>
  <c r="P332" i="2" a="1"/>
  <c r="O336" i="2" a="1"/>
  <c r="P337" i="2" a="1"/>
  <c r="P336" i="2" a="1"/>
  <c r="O337" i="2" a="1"/>
  <c r="Q334" i="2"/>
  <c r="W335" i="2"/>
  <c r="W334" i="2"/>
  <c r="Q335" i="2"/>
  <c r="W332" i="2" l="1"/>
  <c r="W336" i="2"/>
  <c r="Q337" i="2"/>
  <c r="Q333" i="2"/>
  <c r="Q332" i="2"/>
  <c r="AA332" i="2" s="1"/>
  <c r="AB332" i="2" s="1"/>
  <c r="Q336" i="2"/>
  <c r="W337" i="2"/>
  <c r="W333" i="2"/>
  <c r="AA333" i="2" s="1"/>
  <c r="AB333" i="2" s="1"/>
  <c r="AA334" i="2"/>
  <c r="AB334" i="2" s="1"/>
  <c r="AA335" i="2"/>
  <c r="AB335" i="2" s="1"/>
  <c r="AA336" i="2" l="1"/>
  <c r="AB336" i="2" s="1"/>
  <c r="AA337" i="2"/>
  <c r="AB337" i="2" s="1"/>
  <c r="P338" i="2" a="1"/>
  <c r="O339" i="2" a="1"/>
  <c r="O338" i="2" l="1" a="1"/>
  <c r="P339" i="2" a="1"/>
  <c r="P345" i="2" a="1"/>
  <c r="P344" i="2" a="1"/>
  <c r="O345" i="2" a="1"/>
  <c r="O344" i="2" a="1"/>
  <c r="O343" i="2" a="1"/>
  <c r="P342" i="2" a="1"/>
  <c r="O341" i="2" a="1"/>
  <c r="P340" i="2" a="1"/>
  <c r="P341" i="2" a="1"/>
  <c r="O342" i="2" a="1"/>
  <c r="O340" i="2" a="1"/>
  <c r="P343" i="2" a="1"/>
  <c r="P346" i="2" a="1"/>
  <c r="P347" i="2" a="1"/>
  <c r="O347" i="2" a="1"/>
  <c r="O346" i="2" a="1"/>
  <c r="Q338" i="2" l="1"/>
  <c r="W338" i="2"/>
  <c r="AA338" i="2" s="1"/>
  <c r="AB338" i="2" s="1"/>
  <c r="Q339" i="2"/>
  <c r="W339" i="2"/>
  <c r="Q341" i="2"/>
  <c r="Q344" i="2"/>
  <c r="W345" i="2"/>
  <c r="W343" i="2"/>
  <c r="W342" i="2"/>
  <c r="Q340" i="2"/>
  <c r="Q345" i="2"/>
  <c r="W344" i="2"/>
  <c r="Q342" i="2"/>
  <c r="W341" i="2"/>
  <c r="W340" i="2"/>
  <c r="Q343" i="2"/>
  <c r="Q346" i="2"/>
  <c r="W347" i="2"/>
  <c r="Q347" i="2"/>
  <c r="W346" i="2"/>
  <c r="AA339" i="2" l="1"/>
  <c r="AB339" i="2" s="1"/>
  <c r="AA345" i="2"/>
  <c r="AB345" i="2" s="1"/>
  <c r="AA344" i="2"/>
  <c r="AB344" i="2" s="1"/>
  <c r="AA341" i="2"/>
  <c r="AB341" i="2" s="1"/>
  <c r="AA342" i="2"/>
  <c r="AB342" i="2" s="1"/>
  <c r="AA340" i="2"/>
  <c r="AB340" i="2" s="1"/>
  <c r="AA343" i="2"/>
  <c r="AB343" i="2" s="1"/>
  <c r="AA346" i="2"/>
  <c r="AB346" i="2" s="1"/>
  <c r="AA347" i="2"/>
  <c r="AB347" i="2" s="1"/>
  <c r="O348" i="2" l="1" a="1"/>
  <c r="P348" i="2" a="1"/>
  <c r="P349" i="2" a="1"/>
  <c r="O349" i="2" a="1"/>
  <c r="Q349" i="2" l="1"/>
  <c r="W348" i="2"/>
  <c r="Q348" i="2"/>
  <c r="W349" i="2"/>
  <c r="AA349" i="2" l="1"/>
  <c r="AB349" i="2" s="1"/>
  <c r="AA348" i="2"/>
  <c r="AB348" i="2" s="1"/>
  <c r="O354" i="2" a="1"/>
  <c r="P355" i="2" a="1"/>
  <c r="P353" i="2" a="1"/>
  <c r="O352" i="2" a="1"/>
  <c r="P352" i="2" a="1"/>
  <c r="O353" i="2" a="1"/>
  <c r="P354" i="2" a="1"/>
  <c r="O355" i="2" a="1"/>
  <c r="O357" i="2" a="1"/>
  <c r="O356" i="2" a="1"/>
  <c r="W356" i="2" s="1"/>
  <c r="P356" i="2" a="1"/>
  <c r="P357" i="2" a="1"/>
  <c r="O351" i="2" l="1" a="1"/>
  <c r="O350" i="2" a="1"/>
  <c r="P350" i="2" a="1"/>
  <c r="P351" i="2" a="1"/>
  <c r="Q351" i="2" s="1"/>
  <c r="Q354" i="2"/>
  <c r="W352" i="2"/>
  <c r="W353" i="2"/>
  <c r="Q357" i="2"/>
  <c r="W354" i="2"/>
  <c r="W355" i="2"/>
  <c r="Q355" i="2"/>
  <c r="Q352" i="2"/>
  <c r="W357" i="2"/>
  <c r="Q356" i="2"/>
  <c r="AA356" i="2" s="1"/>
  <c r="AB356" i="2" s="1"/>
  <c r="Q353" i="2"/>
  <c r="O359" i="2" a="1"/>
  <c r="P359" i="2" a="1"/>
  <c r="O358" i="2" a="1"/>
  <c r="P358" i="2" a="1"/>
  <c r="Q350" i="2" l="1"/>
  <c r="W351" i="2"/>
  <c r="AA351" i="2" s="1"/>
  <c r="AB351" i="2" s="1"/>
  <c r="W350" i="2"/>
  <c r="AA354" i="2"/>
  <c r="AB354" i="2" s="1"/>
  <c r="AA355" i="2"/>
  <c r="AB355" i="2" s="1"/>
  <c r="AA352" i="2"/>
  <c r="AB352" i="2" s="1"/>
  <c r="AA353" i="2"/>
  <c r="AB353" i="2" s="1"/>
  <c r="AA357" i="2"/>
  <c r="AB357" i="2" s="1"/>
  <c r="Q359" i="2"/>
  <c r="W358" i="2"/>
  <c r="W359" i="2"/>
  <c r="Q358" i="2"/>
  <c r="AA350" i="2" l="1"/>
  <c r="AB350" i="2" s="1"/>
  <c r="AA359" i="2"/>
  <c r="AB359" i="2" s="1"/>
  <c r="AA358" i="2"/>
  <c r="AB358" i="2" s="1"/>
  <c r="O361" i="2" l="1" a="1"/>
  <c r="W361" i="2" s="1"/>
  <c r="P360" i="2" a="1"/>
  <c r="O360" i="2" a="1"/>
  <c r="P361" i="2" a="1"/>
  <c r="P362" i="2" a="1"/>
  <c r="O363" i="2" a="1"/>
  <c r="O362" i="2" a="1"/>
  <c r="P363" i="2" a="1"/>
  <c r="O364" i="2" a="1"/>
  <c r="P365" i="2" a="1"/>
  <c r="O365" i="2" a="1"/>
  <c r="P364" i="2" a="1"/>
  <c r="W360" i="2" l="1"/>
  <c r="Q360" i="2"/>
  <c r="AA360" i="2" s="1"/>
  <c r="AB360" i="2" s="1"/>
  <c r="Q361" i="2"/>
  <c r="AA361" i="2" s="1"/>
  <c r="AB361" i="2" s="1"/>
  <c r="W365" i="2"/>
  <c r="W363" i="2"/>
  <c r="W364" i="2"/>
  <c r="W362" i="2"/>
  <c r="Q362" i="2"/>
  <c r="Q363" i="2"/>
  <c r="Q365" i="2"/>
  <c r="Q364" i="2"/>
  <c r="P366" i="2" a="1"/>
  <c r="P367" i="2" a="1"/>
  <c r="O367" i="2" a="1"/>
  <c r="O366" i="2" a="1"/>
  <c r="AA365" i="2" l="1"/>
  <c r="AB365" i="2" s="1"/>
  <c r="AA362" i="2"/>
  <c r="AB362" i="2" s="1"/>
  <c r="AA363" i="2"/>
  <c r="AB363" i="2" s="1"/>
  <c r="W367" i="2"/>
  <c r="AA364" i="2"/>
  <c r="AB364" i="2" s="1"/>
  <c r="Q367" i="2"/>
  <c r="Q366" i="2"/>
  <c r="W366" i="2"/>
  <c r="AA367" i="2" l="1"/>
  <c r="AB367" i="2" s="1"/>
  <c r="O370" i="2" a="1"/>
  <c r="P371" i="2" a="1"/>
  <c r="AA366" i="2"/>
  <c r="AB366" i="2" s="1"/>
  <c r="O368" i="2" l="1" a="1"/>
  <c r="P369" i="2" a="1"/>
  <c r="O371" i="2" a="1"/>
  <c r="O369" i="2" a="1"/>
  <c r="P368" i="2" a="1"/>
  <c r="P370" i="2" a="1"/>
  <c r="Q368" i="2" l="1"/>
  <c r="W369" i="2"/>
  <c r="Q369" i="2"/>
  <c r="AA369" i="2" s="1"/>
  <c r="AB369" i="2" s="1"/>
  <c r="W368" i="2"/>
  <c r="W371" i="2"/>
  <c r="Q371" i="2"/>
  <c r="W370" i="2"/>
  <c r="Q370" i="2"/>
  <c r="AA368" i="2" l="1"/>
  <c r="AB368" i="2" s="1"/>
  <c r="AA370" i="2"/>
  <c r="AB370" i="2" s="1"/>
  <c r="AA371" i="2"/>
  <c r="AB371" i="2" s="1"/>
  <c r="O377" i="2" a="1"/>
  <c r="O372" i="2" a="1"/>
  <c r="P372" i="2" a="1"/>
  <c r="P374" i="2" a="1"/>
  <c r="P375" i="2" a="1"/>
  <c r="O375" i="2" a="1"/>
  <c r="P376" i="2" a="1"/>
  <c r="W372" i="2" l="1"/>
  <c r="W375" i="2"/>
  <c r="P377" i="2" a="1"/>
  <c r="O373" i="2" a="1"/>
  <c r="W373" i="2" s="1"/>
  <c r="P373" i="2" a="1"/>
  <c r="O374" i="2" a="1"/>
  <c r="O376" i="2" a="1"/>
  <c r="Q372" i="2"/>
  <c r="Q375" i="2"/>
  <c r="AA372" i="2" l="1"/>
  <c r="AB372" i="2" s="1"/>
  <c r="AA375" i="2"/>
  <c r="AB375" i="2" s="1"/>
  <c r="Q376" i="2"/>
  <c r="W376" i="2"/>
  <c r="AA376" i="2" s="1"/>
  <c r="AB376" i="2" s="1"/>
  <c r="Q373" i="2"/>
  <c r="AA373" i="2" s="1"/>
  <c r="AB373" i="2" s="1"/>
  <c r="W377" i="2"/>
  <c r="Q377" i="2"/>
  <c r="Q374" i="2"/>
  <c r="W374" i="2"/>
  <c r="P379" i="2" a="1"/>
  <c r="O380" i="2" a="1"/>
  <c r="P381" i="2" a="1"/>
  <c r="O378" i="2" a="1"/>
  <c r="O381" i="2" a="1"/>
  <c r="W381" i="2" s="1"/>
  <c r="P378" i="2" a="1"/>
  <c r="O379" i="2" a="1"/>
  <c r="P380" i="2" a="1"/>
  <c r="O383" i="2" a="1"/>
  <c r="P382" i="2" a="1"/>
  <c r="AA374" i="2" l="1"/>
  <c r="AB374" i="2" s="1"/>
  <c r="AA377" i="2"/>
  <c r="AB377" i="2" s="1"/>
  <c r="W379" i="2"/>
  <c r="W380" i="2"/>
  <c r="Q378" i="2"/>
  <c r="Q381" i="2"/>
  <c r="AA381" i="2" s="1"/>
  <c r="AB381" i="2" s="1"/>
  <c r="W378" i="2"/>
  <c r="Q380" i="2"/>
  <c r="Q379" i="2"/>
  <c r="AA379" i="2" s="1"/>
  <c r="AB379" i="2" s="1"/>
  <c r="P383" i="2" l="1" a="1"/>
  <c r="O382" i="2" a="1"/>
  <c r="AA378" i="2"/>
  <c r="AB378" i="2" s="1"/>
  <c r="AA380" i="2"/>
  <c r="AB380" i="2" s="1"/>
  <c r="P384" i="2" a="1"/>
  <c r="O385" i="2" a="1"/>
  <c r="P385" i="2" a="1"/>
  <c r="O384" i="2" a="1"/>
  <c r="Q384" i="2" l="1"/>
  <c r="W385" i="2"/>
  <c r="W383" i="2"/>
  <c r="Q383" i="2"/>
  <c r="Q382" i="2"/>
  <c r="W382" i="2"/>
  <c r="Q385" i="2"/>
  <c r="W384" i="2"/>
  <c r="AA384" i="2" s="1"/>
  <c r="AB384" i="2" s="1"/>
  <c r="AA385" i="2"/>
  <c r="AB385" i="2" s="1"/>
  <c r="P388" i="2" a="1"/>
  <c r="O389" i="2" a="1"/>
  <c r="AA383" i="2" l="1"/>
  <c r="AB383" i="2" s="1"/>
  <c r="AA382" i="2"/>
  <c r="AB382" i="2" s="1"/>
  <c r="O387" i="2" a="1"/>
  <c r="O386" i="2" a="1"/>
  <c r="P387" i="2" a="1"/>
  <c r="P386" i="2" a="1"/>
  <c r="O388" i="2" l="1" a="1"/>
  <c r="P389" i="2" a="1"/>
  <c r="Q387" i="2"/>
  <c r="W386" i="2"/>
  <c r="W387" i="2"/>
  <c r="Q386" i="2"/>
  <c r="P397" i="2" a="1"/>
  <c r="O397" i="2" a="1"/>
  <c r="O396" i="2" a="1"/>
  <c r="P396" i="2" a="1"/>
  <c r="Q388" i="2" l="1"/>
  <c r="W388" i="2"/>
  <c r="AA388" i="2" s="1"/>
  <c r="AB388" i="2" s="1"/>
  <c r="W389" i="2"/>
  <c r="AA389" i="2" s="1"/>
  <c r="AB389" i="2" s="1"/>
  <c r="Q389" i="2"/>
  <c r="P391" i="2" a="1"/>
  <c r="O390" i="2" a="1"/>
  <c r="O391" i="2" a="1"/>
  <c r="P390" i="2" a="1"/>
  <c r="O393" i="2" a="1"/>
  <c r="P392" i="2" a="1"/>
  <c r="P395" i="2" a="1"/>
  <c r="O392" i="2" a="1"/>
  <c r="O395" i="2" a="1"/>
  <c r="O394" i="2" a="1"/>
  <c r="P394" i="2" a="1"/>
  <c r="P393" i="2" a="1"/>
  <c r="AA387" i="2"/>
  <c r="AB387" i="2" s="1"/>
  <c r="AA386" i="2"/>
  <c r="AB386" i="2" s="1"/>
  <c r="Q396" i="2"/>
  <c r="W396" i="2"/>
  <c r="W397" i="2"/>
  <c r="Q397" i="2"/>
  <c r="Q394" i="2" l="1"/>
  <c r="W391" i="2"/>
  <c r="W392" i="2"/>
  <c r="W395" i="2"/>
  <c r="Q393" i="2"/>
  <c r="W390" i="2"/>
  <c r="Q391" i="2"/>
  <c r="Q390" i="2"/>
  <c r="AA390" i="2" s="1"/>
  <c r="AB390" i="2" s="1"/>
  <c r="W393" i="2"/>
  <c r="Q392" i="2"/>
  <c r="Q395" i="2"/>
  <c r="W394" i="2"/>
  <c r="AA394" i="2" s="1"/>
  <c r="AB394" i="2" s="1"/>
  <c r="AA396" i="2"/>
  <c r="AB396" i="2" s="1"/>
  <c r="AA397" i="2"/>
  <c r="AB397" i="2" s="1"/>
  <c r="O406" i="2" a="1"/>
  <c r="P407" i="2" a="1"/>
  <c r="P405" i="2" a="1"/>
  <c r="O404" i="2" a="1"/>
  <c r="O399" i="2" a="1"/>
  <c r="P398" i="2" a="1"/>
  <c r="P401" i="2" a="1"/>
  <c r="P400" i="2" a="1"/>
  <c r="O400" i="2" a="1"/>
  <c r="O401" i="2" a="1"/>
  <c r="AA391" i="2" l="1"/>
  <c r="AB391" i="2" s="1"/>
  <c r="AA393" i="2"/>
  <c r="AB393" i="2" s="1"/>
  <c r="AA395" i="2"/>
  <c r="AB395" i="2" s="1"/>
  <c r="AA392" i="2"/>
  <c r="AB392" i="2" s="1"/>
  <c r="P402" i="2" a="1"/>
  <c r="O405" i="2" a="1"/>
  <c r="P408" i="2" a="1"/>
  <c r="O403" i="2" a="1"/>
  <c r="P404" i="2" a="1"/>
  <c r="P403" i="2" a="1"/>
  <c r="O407" i="2" a="1"/>
  <c r="P409" i="2" a="1"/>
  <c r="O409" i="2" a="1"/>
  <c r="P406" i="2" a="1"/>
  <c r="O408" i="2" a="1"/>
  <c r="O402" i="2" a="1"/>
  <c r="W402" i="2" s="1"/>
  <c r="W401" i="2"/>
  <c r="Q400" i="2"/>
  <c r="W400" i="2"/>
  <c r="Q401" i="2"/>
  <c r="Q403" i="2" l="1"/>
  <c r="P399" i="2" a="1"/>
  <c r="O398" i="2" a="1"/>
  <c r="Q409" i="2"/>
  <c r="W408" i="2"/>
  <c r="Q402" i="2"/>
  <c r="AA402" i="2" s="1"/>
  <c r="AB402" i="2" s="1"/>
  <c r="W409" i="2"/>
  <c r="W403" i="2"/>
  <c r="AA403" i="2" s="1"/>
  <c r="AB403" i="2" s="1"/>
  <c r="Q408" i="2"/>
  <c r="Q405" i="2"/>
  <c r="W405" i="2"/>
  <c r="Q404" i="2"/>
  <c r="W404" i="2"/>
  <c r="Q407" i="2"/>
  <c r="W407" i="2"/>
  <c r="W406" i="2"/>
  <c r="Q406" i="2"/>
  <c r="P412" i="2" a="1"/>
  <c r="O413" i="2" a="1"/>
  <c r="AA400" i="2"/>
  <c r="AB400" i="2" s="1"/>
  <c r="AA401" i="2"/>
  <c r="AB401" i="2" s="1"/>
  <c r="AA409" i="2" l="1"/>
  <c r="AB409" i="2" s="1"/>
  <c r="Q399" i="2"/>
  <c r="W399" i="2"/>
  <c r="W398" i="2"/>
  <c r="Q398" i="2"/>
  <c r="AA404" i="2"/>
  <c r="AB404" i="2" s="1"/>
  <c r="AA408" i="2"/>
  <c r="AB408" i="2" s="1"/>
  <c r="AA406" i="2"/>
  <c r="AB406" i="2" s="1"/>
  <c r="O412" i="2" a="1"/>
  <c r="O410" i="2" a="1"/>
  <c r="P413" i="2" a="1"/>
  <c r="P411" i="2" a="1"/>
  <c r="AA407" i="2"/>
  <c r="AB407" i="2" s="1"/>
  <c r="AA405" i="2"/>
  <c r="AB405" i="2" s="1"/>
  <c r="P410" i="2" a="1"/>
  <c r="O411" i="2" a="1"/>
  <c r="AA399" i="2" l="1"/>
  <c r="AB399" i="2" s="1"/>
  <c r="AA398" i="2"/>
  <c r="AB398" i="2" s="1"/>
  <c r="Q412" i="2"/>
  <c r="W412" i="2"/>
  <c r="W413" i="2"/>
  <c r="Q413" i="2"/>
  <c r="W410" i="2"/>
  <c r="Q410" i="2"/>
  <c r="W411" i="2"/>
  <c r="Q411" i="2"/>
  <c r="AA412" i="2" l="1"/>
  <c r="AB412" i="2" s="1"/>
  <c r="AA413" i="2"/>
  <c r="AB413" i="2" s="1"/>
  <c r="O415" i="2" a="1"/>
  <c r="P416" i="2" a="1"/>
  <c r="O417" i="2" a="1"/>
  <c r="P415" i="2" a="1"/>
  <c r="O414" i="2" a="1"/>
  <c r="P414" i="2" a="1"/>
  <c r="AA410" i="2"/>
  <c r="AB410" i="2" s="1"/>
  <c r="AA411" i="2"/>
  <c r="AB411" i="2" s="1"/>
  <c r="Q414" i="2" l="1"/>
  <c r="W415" i="2"/>
  <c r="W414" i="2"/>
  <c r="AA414" i="2" s="1"/>
  <c r="AB414" i="2" s="1"/>
  <c r="Q415" i="2"/>
  <c r="O416" i="2" a="1"/>
  <c r="P417" i="2" a="1"/>
  <c r="AA415" i="2" l="1"/>
  <c r="AB415" i="2" s="1"/>
  <c r="W416" i="2"/>
  <c r="Q416" i="2"/>
  <c r="Q417" i="2"/>
  <c r="W417" i="2"/>
  <c r="AA417" i="2" l="1"/>
  <c r="AB417" i="2" s="1"/>
  <c r="O420" i="2" s="1" a="1"/>
  <c r="Q420" i="2" s="1"/>
  <c r="P418" i="2" a="1"/>
  <c r="P420" i="2" a="1"/>
  <c r="O419" i="2" a="1"/>
  <c r="P421" i="2" a="1"/>
  <c r="Q421" i="2" s="1"/>
  <c r="O421" i="2" a="1"/>
  <c r="AA416" i="2"/>
  <c r="AB416" i="2" s="1"/>
  <c r="O418" i="2" a="1"/>
  <c r="P419" i="2" a="1"/>
  <c r="W420" i="2" l="1"/>
  <c r="AA420" i="2" s="1"/>
  <c r="AB420" i="2" s="1"/>
  <c r="W421" i="2"/>
  <c r="AA421" i="2" s="1"/>
  <c r="AB421" i="2" s="1"/>
  <c r="Q418" i="2"/>
  <c r="W418" i="2"/>
  <c r="Q419" i="2"/>
  <c r="W419" i="2"/>
  <c r="P424" i="2" l="1" a="1"/>
  <c r="O425" i="2" a="1"/>
  <c r="O424" i="2" a="1"/>
  <c r="P425" i="2" a="1"/>
  <c r="AA418" i="2"/>
  <c r="AB418" i="2" s="1"/>
  <c r="AA419" i="2"/>
  <c r="AB419" i="2" s="1"/>
  <c r="P423" i="2" a="1"/>
  <c r="O422" i="2" a="1"/>
  <c r="P422" i="2" a="1"/>
  <c r="O423" i="2" a="1"/>
  <c r="Q424" i="2" l="1"/>
  <c r="W425" i="2"/>
  <c r="W424" i="2"/>
  <c r="AA424" i="2" s="1"/>
  <c r="AB424" i="2" s="1"/>
  <c r="Q425" i="2"/>
  <c r="Q422" i="2"/>
  <c r="Q423" i="2"/>
  <c r="W422" i="2"/>
  <c r="W423" i="2"/>
  <c r="AA425" i="2" l="1"/>
  <c r="AB425" i="2" s="1"/>
  <c r="AA422" i="2"/>
  <c r="AB422" i="2" s="1"/>
  <c r="AA423" i="2"/>
  <c r="AB423" i="2" s="1"/>
  <c r="O427" i="2" l="1" a="1"/>
  <c r="P426" i="2" a="1"/>
  <c r="P427" i="2" a="1"/>
  <c r="O426" i="2" a="1"/>
  <c r="P428" i="2" a="1"/>
  <c r="O429" i="2" a="1"/>
  <c r="P429" i="2" a="1"/>
  <c r="O428" i="2" a="1"/>
  <c r="Q427" i="2" l="1"/>
  <c r="W426" i="2"/>
  <c r="W427" i="2"/>
  <c r="AA427" i="2" s="1"/>
  <c r="AB427" i="2" s="1"/>
  <c r="Q426" i="2"/>
  <c r="AA426" i="2" s="1"/>
  <c r="AB426" i="2" s="1"/>
  <c r="Q429" i="2"/>
  <c r="W428" i="2"/>
  <c r="Q428" i="2"/>
  <c r="W429" i="2"/>
  <c r="AA429" i="2" l="1"/>
  <c r="AB429" i="2" s="1"/>
  <c r="AA428" i="2"/>
  <c r="AB428" i="2" s="1"/>
  <c r="P431" i="2" l="1" a="1"/>
  <c r="O430" i="2" a="1"/>
  <c r="O431" i="2" a="1"/>
  <c r="P430" i="2" a="1"/>
  <c r="W430" i="2" l="1"/>
  <c r="W431" i="2"/>
  <c r="Q431" i="2"/>
  <c r="Q430" i="2"/>
  <c r="AA430" i="2" l="1"/>
  <c r="AB430" i="2" s="1"/>
  <c r="AA431" i="2"/>
  <c r="AB431" i="2" s="1"/>
  <c r="O432" i="2" a="1"/>
  <c r="P432" i="2" a="1"/>
  <c r="O433" i="2" a="1"/>
  <c r="P433" i="2" a="1"/>
  <c r="Q433" i="2" s="1"/>
  <c r="Q432" i="2" l="1"/>
  <c r="W433" i="2"/>
  <c r="AA433" i="2" s="1"/>
  <c r="AB433" i="2" s="1"/>
  <c r="W432" i="2"/>
  <c r="AA432" i="2" l="1"/>
  <c r="AB432" i="2" s="1"/>
  <c r="P434" i="2" a="1"/>
  <c r="O435" i="2" a="1"/>
  <c r="O434" i="2" l="1" a="1"/>
  <c r="P435" i="2" a="1"/>
  <c r="AX5" i="3" a="1"/>
  <c r="W434" i="2" l="1"/>
  <c r="Q434" i="2"/>
  <c r="W435" i="2"/>
  <c r="AA435" i="2" s="1"/>
  <c r="AB435" i="2" s="1"/>
  <c r="Q435" i="2"/>
  <c r="AA434" i="2" l="1"/>
  <c r="AB434" i="2" s="1"/>
  <c r="P437" i="2" a="1"/>
  <c r="O436" i="2" a="1"/>
  <c r="O437" i="2" l="1" a="1"/>
  <c r="P436" i="2" a="1"/>
  <c r="Q437" i="2" l="1"/>
  <c r="W437" i="2"/>
  <c r="AA437" i="2" s="1"/>
  <c r="AB437" i="2" s="1"/>
  <c r="W436" i="2"/>
  <c r="AA436" i="2" s="1"/>
  <c r="AB436" i="2" s="1"/>
  <c r="Q436" i="2"/>
  <c r="P438" i="2" a="1"/>
  <c r="O439" i="2" a="1"/>
  <c r="O438" i="2" l="1" a="1"/>
  <c r="P439" i="2" a="1"/>
  <c r="AX2" i="3" a="1"/>
  <c r="W438" i="2" l="1"/>
  <c r="AA438" i="2" s="1"/>
  <c r="AB438" i="2" s="1"/>
  <c r="Q438" i="2"/>
  <c r="Q439" i="2"/>
  <c r="AA439" i="2" s="1"/>
  <c r="AB439" i="2" s="1"/>
  <c r="W439" i="2"/>
  <c r="G26" i="3" a="1"/>
  <c r="AX9" i="3" a="1"/>
  <c r="O440" i="2" l="1" a="1"/>
  <c r="P440" i="2" a="1"/>
  <c r="O441" i="2" a="1"/>
  <c r="P441" i="2" a="1"/>
  <c r="AX4" i="3" a="1"/>
  <c r="Q441" i="2" l="1"/>
  <c r="W440" i="2"/>
  <c r="W441" i="2"/>
  <c r="Q440" i="2"/>
  <c r="G25" i="3" a="1"/>
  <c r="AA440" i="2" l="1"/>
  <c r="AB440" i="2" s="1"/>
  <c r="AA441" i="2"/>
  <c r="AB441" i="2" s="1"/>
  <c r="AX6" i="3" a="1"/>
  <c r="G34" i="3" a="1"/>
  <c r="G27" i="3" l="1" a="1"/>
  <c r="G36" i="3" l="1" a="1"/>
  <c r="G35" i="3" a="1"/>
  <c r="AX8" i="3" l="1" a="1"/>
  <c r="AX7" i="3" l="1" a="1"/>
  <c r="G30" i="3" a="1"/>
  <c r="G32" i="3" l="1" a="1"/>
  <c r="AX3" i="3" a="1"/>
  <c r="G33" i="3" a="1"/>
  <c r="G29" i="3" l="1" a="1"/>
  <c r="G28" i="3" a="1"/>
  <c r="G31" i="3" a="1"/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<sst xmlns="http://schemas.openxmlformats.org/spreadsheetml/2006/main" count="2280" uniqueCount="88">
  <si>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</si>
  <si>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</si>
  <si>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</si>
  <si>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</si>
  <si>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</si>
  <si>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</si>
  <si>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</si>
  <si>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</si>
  <si>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</si>
  <si>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</si>
  <si>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</si>
  <si>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</si>
  <si>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</si>
  <si>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</si>
  <si>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</si>
  <si>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W</t>
  </si>
  <si>
    <t>L</t>
  </si>
  <si>
    <t>Row Labels</t>
  </si>
  <si>
    <t>Grand Total</t>
  </si>
  <si>
    <t>Sum of W</t>
  </si>
  <si>
    <t>Sum of L</t>
  </si>
  <si>
    <t>OT</t>
  </si>
  <si>
    <t>Keff</t>
  </si>
  <si>
    <t>POMult</t>
  </si>
  <si>
    <t>Round</t>
  </si>
  <si>
    <t>Type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</si>
  <si>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</si>
  <si>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</si>
  <si>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</si>
  <si>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</si>
  <si>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</si>
  <si>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</si>
  <si>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</si>
  <si>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</si>
  <si>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</si>
  <si>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</si>
  <si>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</si>
  <si>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</si>
  <si>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</si>
  <si>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</si>
  <si>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</si>
  <si>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</si>
  <si>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</si>
  <si>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</si>
  <si>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</si>
  <si>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</si>
  <si>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</si>
  <si>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</si>
  <si>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</si>
  <si>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</si>
  <si>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</si>
  <si>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</si>
  <si>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</si>
  <si>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</si>
  <si>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</si>
  <si>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</si>
  <si>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</si>
  <si>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</si>
  <si>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</si>
  <si>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</si>
  <si>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NYL</t>
  </si>
  <si>
    <t>New York Liberty</t>
  </si>
  <si>
    <t>Phoenix Mercury</t>
  </si>
  <si>
    <t>LAS</t>
  </si>
  <si>
    <t>Los Angeles Sparks</t>
  </si>
  <si>
    <t>WAS</t>
  </si>
  <si>
    <t>Washington Mystics</t>
  </si>
  <si>
    <t>MIN</t>
  </si>
  <si>
    <t>Minnesota Lynx</t>
  </si>
  <si>
    <t>IND</t>
  </si>
  <si>
    <t>Indiana Fever</t>
  </si>
  <si>
    <t>SEA</t>
  </si>
  <si>
    <t>Seattle Storm</t>
  </si>
  <si>
    <t>Connecticut Sun</t>
  </si>
  <si>
    <t>CON</t>
  </si>
  <si>
    <t>CHI</t>
  </si>
  <si>
    <t>Chicago Sky</t>
  </si>
  <si>
    <t>ATL</t>
  </si>
  <si>
    <t>Atlanta Dream</t>
  </si>
  <si>
    <t>R</t>
  </si>
  <si>
    <t>RS</t>
  </si>
  <si>
    <t>A</t>
  </si>
  <si>
    <t>H</t>
  </si>
  <si>
    <t>P</t>
  </si>
  <si>
    <t>Dallas Wings</t>
  </si>
  <si>
    <t>DAL</t>
  </si>
  <si>
    <t>LVA</t>
  </si>
  <si>
    <t>Las Vegas 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</si>
</sst>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5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1.618729050926" createdVersion="8" refreshedVersion="8" minRefreshableVersion="3" recordCount="440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19-05-24T00:00:00" maxDate="2019-10-11T00:00:00"/>
    </cacheField>
    <cacheField name="Season" numFmtId="1">
      <sharedItems containsSemiMixedTypes="0" containsString="0" containsNumber="1" containsInteger="1" minValue="2019" maxValue="2019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minValue="0.5" maxValue="3"/>
    </cacheField>
    <cacheField name="Team" numFmtId="0">
      <sharedItems containsBlank="1" count="59">
        <s v="DAL"/>
        <s v="ATL"/>
        <s v="IND"/>
        <s v="NYL"/>
        <s v="WAS"/>
        <s v="CON"/>
        <s v="CHI"/>
        <s v="MIN"/>
        <s v="PHX"/>
        <s v="SEA"/>
        <s v="LAS"/>
        <s v="LVA"/>
        <s v="SAS" u="1"/>
        <s v="TUL" u="1"/>
        <s v="DET" u="1"/>
        <s v="SAC" u="1"/>
        <s v="HOU" u="1"/>
        <s v="CHA" u="1"/>
        <s v="CLE" u="1"/>
        <s v="UTA" u="1"/>
        <s v="MIA" u="1"/>
        <s v="POR" u="1"/>
        <s v="ORL" u="1"/>
        <s v="NO" u="1"/>
        <s v="TOR" u="1"/>
        <s v="LAL" u="1"/>
        <s v="LAC" u="1"/>
        <s v="BRK" u="1"/>
        <s v="MEM" u="1"/>
        <s v="BOS" u="1"/>
        <s v="PHI" u="1"/>
        <s v="NY" u="1"/>
        <s v="SA" u="1"/>
        <s v="OKC" u="1"/>
        <s v="DEN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9"/>
    </cacheField>
    <cacheField name="OppDaysOff" numFmtId="1">
      <sharedItems containsSemiMixedTypes="0" containsString="0" containsNumber="1" containsInteger="1" minValue="0" maxValue="9"/>
    </cacheField>
    <cacheField name="RestDiff" numFmtId="1">
      <sharedItems containsSemiMixedTypes="0" containsString="0" containsNumber="1" containsInteger="1" minValue="-7" maxValue="7"/>
    </cacheField>
    <cacheField name="OppRestDiff" numFmtId="1">
      <sharedItems containsSemiMixedTypes="0" containsString="0" containsNumber="1" containsInteger="1" minValue="-7" maxValue="7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303.9683014480397" maxValue="1718.4711672450724"/>
    </cacheField>
    <cacheField name="OppPreGmRate" numFmtId="165">
      <sharedItems containsSemiMixedTypes="0" containsString="0" containsNumber="1" minValue="1303.9683014480397" maxValue="1718.4711672450724"/>
    </cacheField>
    <cacheField name="ExpectedWin%" numFmtId="165">
      <sharedItems containsSemiMixedTypes="0" containsString="0" containsNumber="1" minValue="8.195306113862659E-2" maxValue="0.91804693886137334"/>
    </cacheField>
    <cacheField name="PointsFor" numFmtId="0">
      <sharedItems containsSemiMixedTypes="0" containsString="0" containsNumber="1" containsInteger="1" minValue="52" maxValue="109"/>
    </cacheField>
    <cacheField name="PointsAgainst" numFmtId="0">
      <sharedItems containsSemiMixedTypes="0" containsString="0" containsNumber="1" containsInteger="1" minValue="52" maxValue="109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43" maxValue="43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21293214243738584" maxValue="0.82860493627564236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69.55" maxValue="75.849999999999994"/>
    </cacheField>
    <cacheField name="Keff" numFmtId="165">
      <sharedItems containsSemiMixedTypes="0" containsString="0" containsNumber="1" minValue="70.900000000000006" maxValue="94.905000000000001"/>
    </cacheField>
    <cacheField name="RatingChange" numFmtId="165">
      <sharedItems containsSemiMixedTypes="0" containsString="0" containsNumber="1" minValue="-31.482544296568864" maxValue="31.546446619227662"/>
    </cacheField>
    <cacheField name="PostGmRate" numFmtId="165">
      <sharedItems containsSemiMixedTypes="0" containsString="0" containsNumber="1" minValue="1303.9683014480397" maxValue="1718.4711672450724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0">
  <r>
    <d v="2019-05-24T00:00:00"/>
    <n v="2019"/>
    <x v="0"/>
    <s v="R"/>
    <s v="RS"/>
    <x v="0"/>
    <s v="ATL"/>
    <s v="A"/>
    <n v="0"/>
    <n v="0"/>
    <n v="0"/>
    <n v="0"/>
    <n v="0"/>
    <n v="0"/>
    <n v="1475.7648020364356"/>
    <n v="1534.0297405143997"/>
    <n v="0.30598811667846687"/>
    <n v="72"/>
    <n v="76"/>
    <n v="0"/>
    <n v="-4"/>
    <n v="0"/>
    <n v="0.29701159943049638"/>
    <n v="1"/>
    <n v="75.849999999999994"/>
    <n v="75.849999999999994"/>
    <n v="-6.893401212554946"/>
    <n v="1468.8714008238808"/>
    <n v="0"/>
    <n v="1"/>
    <n v="0"/>
    <n v="0"/>
    <n v="0"/>
    <n v="0"/>
    <n v="0"/>
    <n v="0"/>
    <n v="0"/>
    <n v="0"/>
  </r>
  <r>
    <d v="2019-05-24T00:00:00"/>
    <n v="2019"/>
    <x v="0"/>
    <s v="R"/>
    <s v="RS"/>
    <x v="1"/>
    <s v="DAL"/>
    <s v="H"/>
    <n v="0"/>
    <n v="0"/>
    <n v="0"/>
    <n v="0"/>
    <n v="0"/>
    <n v="0"/>
    <n v="1534.0297405143997"/>
    <n v="1475.7648020364356"/>
    <n v="0.69401188332153307"/>
    <n v="76"/>
    <n v="72"/>
    <n v="0"/>
    <n v="4"/>
    <n v="1"/>
    <n v="0.29701159943049638"/>
    <n v="1"/>
    <n v="75.849999999999994"/>
    <n v="75.849999999999994"/>
    <n v="6.8934012125549469"/>
    <n v="1540.9231417269546"/>
    <n v="1"/>
    <n v="0"/>
    <n v="0"/>
    <n v="0"/>
    <n v="0"/>
    <n v="0"/>
    <n v="0"/>
    <n v="0"/>
    <n v="0"/>
    <n v="0"/>
  </r>
  <r>
    <d v="2019-05-24T00:00:00"/>
    <n v="2019"/>
    <x v="0"/>
    <s v="R"/>
    <s v="RS"/>
    <x v="2"/>
    <s v="NYL"/>
    <s v="A"/>
    <n v="0"/>
    <n v="0"/>
    <n v="0"/>
    <n v="0"/>
    <n v="0"/>
    <n v="0"/>
    <n v="1403.8758426140951"/>
    <n v="1413.374624833551"/>
    <n v="0.36860122779140359"/>
    <n v="81"/>
    <n v="80"/>
    <n v="0"/>
    <n v="1"/>
    <n v="1"/>
    <n v="0.24226200924374827"/>
    <n v="1"/>
    <n v="75.849999999999994"/>
    <n v="75.849999999999994"/>
    <n v="11.602314484107668"/>
    <n v="1415.4781570982027"/>
    <n v="1"/>
    <n v="0"/>
    <n v="0"/>
    <n v="0"/>
    <n v="0"/>
    <n v="0"/>
    <n v="0"/>
    <n v="0"/>
    <n v="0"/>
    <n v="0"/>
  </r>
  <r>
    <d v="2019-05-24T00:00:00"/>
    <n v="2019"/>
    <x v="0"/>
    <s v="R"/>
    <s v="RS"/>
    <x v="3"/>
    <s v="IND"/>
    <s v="H"/>
    <n v="0"/>
    <n v="0"/>
    <n v="0"/>
    <n v="0"/>
    <n v="0"/>
    <n v="0"/>
    <n v="1413.374624833551"/>
    <n v="1403.8758426140951"/>
    <n v="0.63139877220859641"/>
    <n v="80"/>
    <n v="81"/>
    <n v="0"/>
    <n v="-1"/>
    <n v="0"/>
    <n v="0.24226200924374827"/>
    <n v="1"/>
    <n v="75.849999999999994"/>
    <n v="75.849999999999994"/>
    <n v="-11.602314484107668"/>
    <n v="1401.7723103494434"/>
    <n v="0"/>
    <n v="1"/>
    <n v="0"/>
    <n v="0"/>
    <n v="0"/>
    <n v="0"/>
    <n v="0"/>
    <n v="0"/>
    <n v="0"/>
    <n v="0"/>
  </r>
  <r>
    <d v="2019-05-25T00:00:00"/>
    <n v="2019"/>
    <x v="0"/>
    <s v="R"/>
    <s v="RS"/>
    <x v="4"/>
    <s v="CON"/>
    <s v="A"/>
    <n v="1"/>
    <n v="1"/>
    <n v="0"/>
    <n v="0"/>
    <n v="0"/>
    <n v="0"/>
    <n v="1540.5793256941115"/>
    <n v="1543.7865160891447"/>
    <n v="0.37706961591215643"/>
    <n v="69"/>
    <n v="84"/>
    <n v="0"/>
    <n v="-15"/>
    <n v="0"/>
    <n v="0.50150766922894141"/>
    <n v="1"/>
    <n v="75.849999999999994"/>
    <n v="75.849999999999994"/>
    <n v="-14.343485624568013"/>
    <n v="1526.2358400695434"/>
    <n v="0"/>
    <n v="1"/>
    <n v="0"/>
    <n v="0"/>
    <n v="0"/>
    <n v="0"/>
    <n v="0"/>
    <n v="0"/>
    <n v="0"/>
    <n v="0"/>
  </r>
  <r>
    <d v="2019-05-25T00:00:00"/>
    <n v="2019"/>
    <x v="0"/>
    <s v="R"/>
    <s v="RS"/>
    <x v="5"/>
    <s v="WAS"/>
    <s v="H"/>
    <n v="1"/>
    <n v="1"/>
    <n v="0"/>
    <n v="0"/>
    <n v="0"/>
    <n v="0"/>
    <n v="1543.7865160891447"/>
    <n v="1540.5793256941115"/>
    <n v="0.62293038408784351"/>
    <n v="84"/>
    <n v="69"/>
    <n v="0"/>
    <n v="15"/>
    <n v="1"/>
    <n v="0.50150766922894141"/>
    <n v="1"/>
    <n v="75.849999999999994"/>
    <n v="75.849999999999994"/>
    <n v="14.343485624568014"/>
    <n v="1558.1300017137128"/>
    <n v="1"/>
    <n v="0"/>
    <n v="0"/>
    <n v="0"/>
    <n v="0"/>
    <n v="0"/>
    <n v="0"/>
    <n v="0"/>
    <n v="0"/>
    <n v="0"/>
  </r>
  <r>
    <d v="2019-05-25T00:00:00"/>
    <n v="2019"/>
    <x v="0"/>
    <s v="R"/>
    <s v="RS"/>
    <x v="6"/>
    <s v="MIN"/>
    <s v="A"/>
    <n v="1"/>
    <n v="1"/>
    <n v="0"/>
    <n v="0"/>
    <n v="0"/>
    <n v="0"/>
    <n v="1450.5964228476666"/>
    <n v="1517.0126325624542"/>
    <n v="0.29611537362739776"/>
    <n v="71"/>
    <n v="89"/>
    <n v="0"/>
    <n v="-18"/>
    <n v="0"/>
    <n v="0.51815565334509572"/>
    <n v="1"/>
    <n v="75.849999999999994"/>
    <n v="75.849999999999994"/>
    <n v="-11.637957893211674"/>
    <n v="1438.9584649544549"/>
    <n v="0"/>
    <n v="1"/>
    <n v="0"/>
    <n v="0"/>
    <n v="0"/>
    <n v="0"/>
    <n v="0"/>
    <n v="0"/>
    <n v="0"/>
    <n v="0"/>
  </r>
  <r>
    <d v="2019-05-25T00:00:00"/>
    <n v="2019"/>
    <x v="0"/>
    <s v="R"/>
    <s v="RS"/>
    <x v="7"/>
    <s v="CHI"/>
    <s v="H"/>
    <n v="1"/>
    <n v="1"/>
    <n v="0"/>
    <n v="0"/>
    <n v="0"/>
    <n v="0"/>
    <n v="1517.0126325624542"/>
    <n v="1450.5964228476666"/>
    <n v="0.70388462637260218"/>
    <n v="89"/>
    <n v="71"/>
    <n v="0"/>
    <n v="18"/>
    <n v="1"/>
    <n v="0.51815565334509572"/>
    <n v="1"/>
    <n v="75.849999999999994"/>
    <n v="75.849999999999994"/>
    <n v="11.637957893211675"/>
    <n v="1528.6505904556659"/>
    <n v="1"/>
    <n v="0"/>
    <n v="0"/>
    <n v="0"/>
    <n v="0"/>
    <n v="0"/>
    <n v="0"/>
    <n v="0"/>
    <n v="0"/>
    <n v="0"/>
  </r>
  <r>
    <d v="2019-05-25T00:00:00"/>
    <n v="2019"/>
    <x v="0"/>
    <s v="R"/>
    <s v="RS"/>
    <x v="8"/>
    <s v="SEA"/>
    <s v="A"/>
    <n v="1"/>
    <n v="1"/>
    <n v="0"/>
    <n v="0"/>
    <n v="0"/>
    <n v="0"/>
    <n v="1541.9743435075707"/>
    <n v="1599.1683045364787"/>
    <n v="0.30729888483016399"/>
    <n v="68"/>
    <n v="77"/>
    <n v="0"/>
    <n v="-9"/>
    <n v="0"/>
    <n v="0.38750252361854087"/>
    <n v="1"/>
    <n v="75.849999999999994"/>
    <n v="75.849999999999994"/>
    <n v="-9.0321492326342163"/>
    <n v="1532.9421942749364"/>
    <n v="0"/>
    <n v="1"/>
    <n v="0"/>
    <n v="0"/>
    <n v="0"/>
    <n v="0"/>
    <n v="0"/>
    <n v="0"/>
    <n v="0"/>
    <n v="0"/>
  </r>
  <r>
    <d v="2019-05-25T00:00:00"/>
    <n v="2019"/>
    <x v="0"/>
    <s v="R"/>
    <s v="RS"/>
    <x v="9"/>
    <s v="PHX"/>
    <s v="H"/>
    <n v="1"/>
    <n v="1"/>
    <n v="0"/>
    <n v="0"/>
    <n v="0"/>
    <n v="0"/>
    <n v="1599.1683045364787"/>
    <n v="1541.9743435075707"/>
    <n v="0.69270111516983601"/>
    <n v="77"/>
    <n v="68"/>
    <n v="0"/>
    <n v="9"/>
    <n v="1"/>
    <n v="0.38750252361854087"/>
    <n v="1"/>
    <n v="75.849999999999994"/>
    <n v="75.849999999999994"/>
    <n v="9.0321492326342163"/>
    <n v="1608.200453769113"/>
    <n v="1"/>
    <n v="0"/>
    <n v="0"/>
    <n v="0"/>
    <n v="0"/>
    <n v="0"/>
    <n v="0"/>
    <n v="0"/>
    <n v="0"/>
    <n v="0"/>
  </r>
  <r>
    <d v="2019-05-26T00:00:00"/>
    <n v="2019"/>
    <x v="0"/>
    <s v="R"/>
    <s v="RS"/>
    <x v="10"/>
    <s v="LVA"/>
    <s v="A"/>
    <n v="2"/>
    <n v="2"/>
    <n v="0"/>
    <n v="0"/>
    <n v="0"/>
    <n v="0"/>
    <n v="1517.9940452464459"/>
    <n v="1461.8978441074273"/>
    <n v="0.45992932400920455"/>
    <n v="70"/>
    <n v="83"/>
    <n v="0"/>
    <n v="-13"/>
    <n v="0"/>
    <n v="0.45096267806819745"/>
    <n v="1"/>
    <n v="75.849999999999994"/>
    <n v="75.849999999999994"/>
    <n v="-15.732121291522187"/>
    <n v="1502.2619239549238"/>
    <n v="0"/>
    <n v="1"/>
    <n v="0"/>
    <n v="0"/>
    <n v="0"/>
    <n v="0"/>
    <n v="0"/>
    <n v="0"/>
    <n v="0"/>
    <n v="0"/>
  </r>
  <r>
    <d v="2019-05-26T00:00:00"/>
    <n v="2019"/>
    <x v="0"/>
    <s v="R"/>
    <s v="RS"/>
    <x v="11"/>
    <s v="LAS"/>
    <s v="H"/>
    <n v="2"/>
    <n v="2"/>
    <n v="0"/>
    <n v="0"/>
    <n v="0"/>
    <n v="0"/>
    <n v="1461.8978441074273"/>
    <n v="1517.9940452464459"/>
    <n v="0.54007067599079539"/>
    <n v="83"/>
    <n v="70"/>
    <n v="0"/>
    <n v="13"/>
    <n v="1"/>
    <n v="0.45096267806819745"/>
    <n v="1"/>
    <n v="75.849999999999994"/>
    <n v="75.849999999999994"/>
    <n v="15.732121291522189"/>
    <n v="1477.6299653989495"/>
    <n v="1"/>
    <n v="0"/>
    <n v="0"/>
    <n v="0"/>
    <n v="0"/>
    <n v="0"/>
    <n v="0"/>
    <n v="0"/>
    <n v="0"/>
    <n v="0"/>
  </r>
  <r>
    <d v="2019-05-28T00:00:00"/>
    <n v="2019"/>
    <x v="1"/>
    <s v="R"/>
    <s v="RS"/>
    <x v="2"/>
    <s v="CON"/>
    <s v="A"/>
    <n v="3"/>
    <n v="2"/>
    <n v="1"/>
    <n v="-1"/>
    <n v="8"/>
    <n v="-8"/>
    <n v="1415.4781570982027"/>
    <n v="1558.1300017137128"/>
    <n v="0.22923965692588588"/>
    <n v="77"/>
    <n v="88"/>
    <n v="0"/>
    <n v="-11"/>
    <n v="0"/>
    <n v="0.39310500814178123"/>
    <n v="1"/>
    <n v="75.7"/>
    <n v="75.7"/>
    <n v="-6.8217249702118021"/>
    <n v="1408.6564321279909"/>
    <n v="0"/>
    <n v="1"/>
    <n v="0"/>
    <n v="0"/>
    <n v="0"/>
    <n v="0"/>
    <n v="0"/>
    <n v="0"/>
    <n v="0"/>
    <n v="0"/>
  </r>
  <r>
    <d v="2019-05-28T00:00:00"/>
    <n v="2019"/>
    <x v="1"/>
    <s v="R"/>
    <s v="RS"/>
    <x v="5"/>
    <s v="IND"/>
    <s v="H"/>
    <n v="2"/>
    <n v="3"/>
    <n v="-1"/>
    <n v="1"/>
    <n v="-8"/>
    <n v="8"/>
    <n v="1558.1300017137128"/>
    <n v="1415.4781570982027"/>
    <n v="0.77076034307411412"/>
    <n v="88"/>
    <n v="77"/>
    <n v="0"/>
    <n v="11"/>
    <n v="1"/>
    <n v="0.39310500814178123"/>
    <n v="1"/>
    <n v="75.7"/>
    <n v="75.7"/>
    <n v="6.8217249702118021"/>
    <n v="1564.9517266839246"/>
    <n v="1"/>
    <n v="0"/>
    <n v="0"/>
    <n v="0"/>
    <n v="0"/>
    <n v="0"/>
    <n v="0"/>
    <n v="0"/>
    <n v="0"/>
    <n v="0"/>
  </r>
  <r>
    <d v="2019-05-29T00:00:00"/>
    <n v="2019"/>
    <x v="1"/>
    <s v="R"/>
    <s v="RS"/>
    <x v="9"/>
    <s v="MIN"/>
    <s v="A"/>
    <n v="3"/>
    <n v="3"/>
    <n v="0"/>
    <n v="0"/>
    <n v="0"/>
    <n v="0"/>
    <n v="1608.200453769113"/>
    <n v="1528.6505904556659"/>
    <n v="0.49359608870336913"/>
    <n v="61"/>
    <n v="72"/>
    <n v="0"/>
    <n v="-11"/>
    <n v="0"/>
    <n v="0.41249128263152607"/>
    <n v="1"/>
    <n v="75.7"/>
    <n v="75.7"/>
    <n v="-15.412829138448604"/>
    <n v="1592.7876246306644"/>
    <n v="0"/>
    <n v="1"/>
    <n v="0"/>
    <n v="0"/>
    <n v="0"/>
    <n v="0"/>
    <n v="0"/>
    <n v="0"/>
    <n v="0"/>
    <n v="0"/>
  </r>
  <r>
    <d v="2019-05-29T00:00:00"/>
    <n v="2019"/>
    <x v="1"/>
    <s v="R"/>
    <s v="RS"/>
    <x v="7"/>
    <s v="SEA"/>
    <s v="H"/>
    <n v="3"/>
    <n v="3"/>
    <n v="0"/>
    <n v="0"/>
    <n v="0"/>
    <n v="0"/>
    <n v="1528.6505904556659"/>
    <n v="1608.200453769113"/>
    <n v="0.50640391129663087"/>
    <n v="72"/>
    <n v="61"/>
    <n v="0"/>
    <n v="11"/>
    <n v="1"/>
    <n v="0.41249128263152607"/>
    <n v="1"/>
    <n v="75.7"/>
    <n v="75.7"/>
    <n v="15.412829138448604"/>
    <n v="1544.0634195941145"/>
    <n v="1"/>
    <n v="0"/>
    <n v="0"/>
    <n v="0"/>
    <n v="0"/>
    <n v="0"/>
    <n v="0"/>
    <n v="0"/>
    <n v="0"/>
    <n v="0"/>
  </r>
  <r>
    <d v="2019-05-31T00:00:00"/>
    <n v="2019"/>
    <x v="2"/>
    <s v="R"/>
    <s v="RS"/>
    <x v="9"/>
    <s v="ATL"/>
    <s v="A"/>
    <n v="1"/>
    <n v="6"/>
    <n v="-5"/>
    <n v="5"/>
    <n v="-16"/>
    <n v="16"/>
    <n v="1592.7876246306644"/>
    <n v="1540.9231417269546"/>
    <n v="0.4087358630496904"/>
    <n v="82"/>
    <n v="66"/>
    <n v="0"/>
    <n v="16"/>
    <n v="1"/>
    <n v="0.49633426558668997"/>
    <n v="1"/>
    <n v="75.55"/>
    <n v="75.55"/>
    <n v="22.171254396723036"/>
    <n v="1614.9588790273874"/>
    <n v="1"/>
    <n v="0"/>
    <n v="0"/>
    <n v="0"/>
    <n v="0"/>
    <n v="0"/>
    <n v="0"/>
    <n v="0"/>
    <n v="0"/>
    <n v="0"/>
  </r>
  <r>
    <d v="2019-05-31T00:00:00"/>
    <n v="2019"/>
    <x v="1"/>
    <s v="R"/>
    <s v="RS"/>
    <x v="1"/>
    <s v="SEA"/>
    <s v="H"/>
    <n v="6"/>
    <n v="1"/>
    <n v="5"/>
    <n v="-5"/>
    <n v="16"/>
    <n v="-16"/>
    <n v="1540.9231417269546"/>
    <n v="1592.7876246306644"/>
    <n v="0.59126413695030966"/>
    <n v="66"/>
    <n v="82"/>
    <n v="0"/>
    <n v="-16"/>
    <n v="0"/>
    <n v="0.49633426558668997"/>
    <n v="1"/>
    <n v="75.7"/>
    <n v="75.7"/>
    <n v="-22.215274094400186"/>
    <n v="1518.7078676325543"/>
    <n v="0"/>
    <n v="1"/>
    <n v="0"/>
    <n v="0"/>
    <n v="0"/>
    <n v="0"/>
    <n v="0"/>
    <n v="0"/>
    <n v="0"/>
    <n v="0"/>
  </r>
  <r>
    <d v="2019-05-31T00:00:00"/>
    <n v="2019"/>
    <x v="2"/>
    <s v="R"/>
    <s v="RS"/>
    <x v="5"/>
    <s v="LAS"/>
    <s v="A"/>
    <n v="2"/>
    <n v="4"/>
    <n v="-2"/>
    <n v="2"/>
    <n v="-16"/>
    <n v="16"/>
    <n v="1564.9517266839246"/>
    <n v="1502.2619239549238"/>
    <n v="0.42387692598309107"/>
    <n v="70"/>
    <n v="77"/>
    <n v="0"/>
    <n v="-7"/>
    <n v="0"/>
    <n v="0.35173215624669391"/>
    <n v="1"/>
    <n v="75.55"/>
    <n v="75.55"/>
    <n v="-11.263836016781555"/>
    <n v="1553.6878906671429"/>
    <n v="0"/>
    <n v="1"/>
    <n v="0"/>
    <n v="0"/>
    <n v="0"/>
    <n v="0"/>
    <n v="0"/>
    <n v="0"/>
    <n v="0"/>
    <n v="0"/>
  </r>
  <r>
    <d v="2019-05-31T00:00:00"/>
    <n v="2019"/>
    <x v="1"/>
    <s v="R"/>
    <s v="RS"/>
    <x v="10"/>
    <s v="CON"/>
    <s v="H"/>
    <n v="4"/>
    <n v="2"/>
    <n v="2"/>
    <n v="-2"/>
    <n v="16"/>
    <n v="-16"/>
    <n v="1502.2619239549238"/>
    <n v="1564.9517266839246"/>
    <n v="0.57612307401690899"/>
    <n v="77"/>
    <n v="70"/>
    <n v="0"/>
    <n v="7"/>
    <n v="1"/>
    <n v="0.35173215624669391"/>
    <n v="1"/>
    <n v="75.7"/>
    <n v="75.7"/>
    <n v="11.286199688555444"/>
    <n v="1513.5481236434791"/>
    <n v="1"/>
    <n v="0"/>
    <n v="0"/>
    <n v="0"/>
    <n v="0"/>
    <n v="0"/>
    <n v="0"/>
    <n v="0"/>
    <n v="0"/>
    <n v="0"/>
  </r>
  <r>
    <d v="2019-05-31T00:00:00"/>
    <n v="2019"/>
    <x v="1"/>
    <s v="R"/>
    <s v="RS"/>
    <x v="11"/>
    <s v="PHX"/>
    <s v="A"/>
    <n v="4"/>
    <n v="5"/>
    <n v="-1"/>
    <n v="1"/>
    <n v="-8"/>
    <n v="8"/>
    <n v="1477.6299653989495"/>
    <n v="1532.9421942749364"/>
    <n v="0.29027495140622117"/>
    <n v="84"/>
    <n v="86"/>
    <n v="0"/>
    <n v="-2"/>
    <n v="0"/>
    <n v="0.25603955540160367"/>
    <n v="1"/>
    <n v="75.7"/>
    <n v="75.7"/>
    <n v="-5.6261655213219139"/>
    <n v="1472.0037998776277"/>
    <n v="0"/>
    <n v="1"/>
    <n v="0"/>
    <n v="0"/>
    <n v="0"/>
    <n v="0"/>
    <n v="0"/>
    <n v="0"/>
    <n v="0"/>
    <n v="0"/>
  </r>
  <r>
    <d v="2019-05-31T00:00:00"/>
    <n v="2019"/>
    <x v="1"/>
    <s v="R"/>
    <s v="RS"/>
    <x v="8"/>
    <s v="LVA"/>
    <s v="H"/>
    <n v="5"/>
    <n v="4"/>
    <n v="1"/>
    <n v="-1"/>
    <n v="8"/>
    <n v="-8"/>
    <n v="1532.9421942749364"/>
    <n v="1477.6299653989495"/>
    <n v="0.70972504859377894"/>
    <n v="86"/>
    <n v="84"/>
    <n v="0"/>
    <n v="2"/>
    <n v="1"/>
    <n v="0.25603955540160367"/>
    <n v="1"/>
    <n v="75.7"/>
    <n v="75.7"/>
    <n v="5.6261655213219113"/>
    <n v="1538.5683597962582"/>
    <n v="1"/>
    <n v="0"/>
    <n v="0"/>
    <n v="0"/>
    <n v="0"/>
    <n v="0"/>
    <n v="0"/>
    <n v="0"/>
    <n v="0"/>
    <n v="0"/>
  </r>
  <r>
    <d v="2019-06-01T00:00:00"/>
    <n v="2019"/>
    <x v="3"/>
    <s v="R"/>
    <s v="RS"/>
    <x v="9"/>
    <s v="CHI"/>
    <s v="A"/>
    <n v="0"/>
    <n v="6"/>
    <n v="-6"/>
    <n v="6"/>
    <n v="-16"/>
    <n v="16"/>
    <n v="1614.9588790273874"/>
    <n v="1438.9584649544549"/>
    <n v="0.58549925714640294"/>
    <n v="79"/>
    <n v="83"/>
    <n v="0"/>
    <n v="-4"/>
    <n v="0"/>
    <n v="0.27159823359242596"/>
    <n v="1"/>
    <n v="75.400000000000006"/>
    <n v="75.400000000000006"/>
    <n v="-11.990150526402303"/>
    <n v="1602.9687285009852"/>
    <n v="0"/>
    <n v="1"/>
    <n v="0"/>
    <n v="0"/>
    <n v="0"/>
    <n v="0"/>
    <n v="0"/>
    <n v="0"/>
    <n v="0"/>
    <n v="0"/>
  </r>
  <r>
    <d v="2019-06-01T00:00:00"/>
    <n v="2019"/>
    <x v="1"/>
    <s v="R"/>
    <s v="RS"/>
    <x v="6"/>
    <s v="SEA"/>
    <s v="H"/>
    <n v="6"/>
    <n v="0"/>
    <n v="6"/>
    <n v="-6"/>
    <n v="16"/>
    <n v="-16"/>
    <n v="1438.9584649544549"/>
    <n v="1614.9588790273874"/>
    <n v="0.41450074285359706"/>
    <n v="83"/>
    <n v="79"/>
    <n v="0"/>
    <n v="4"/>
    <n v="1"/>
    <n v="0.27159823359242596"/>
    <n v="1"/>
    <n v="75.7"/>
    <n v="75.7"/>
    <n v="12.037856695605495"/>
    <n v="1450.9963216500605"/>
    <n v="1"/>
    <n v="0"/>
    <n v="0"/>
    <n v="0"/>
    <n v="0"/>
    <n v="0"/>
    <n v="0"/>
    <n v="0"/>
    <n v="0"/>
    <n v="0"/>
  </r>
  <r>
    <d v="2019-06-01T00:00:00"/>
    <n v="2019"/>
    <x v="2"/>
    <s v="R"/>
    <s v="RS"/>
    <x v="7"/>
    <s v="DAL"/>
    <s v="A"/>
    <n v="2"/>
    <n v="7"/>
    <n v="-5"/>
    <n v="5"/>
    <n v="-16"/>
    <n v="16"/>
    <n v="1544.0634195941145"/>
    <n v="1468.8714008238808"/>
    <n v="0.4415411728028007"/>
    <n v="70"/>
    <n v="67"/>
    <n v="0"/>
    <n v="3"/>
    <n v="1"/>
    <n v="0.27307277664289753"/>
    <n v="1"/>
    <n v="75.55"/>
    <n v="75.55"/>
    <n v="11.521367640181561"/>
    <n v="1555.5847872342961"/>
    <n v="1"/>
    <n v="0"/>
    <n v="0"/>
    <n v="0"/>
    <n v="0"/>
    <n v="0"/>
    <n v="0"/>
    <n v="0"/>
    <n v="0"/>
    <n v="0"/>
  </r>
  <r>
    <d v="2019-06-01T00:00:00"/>
    <n v="2019"/>
    <x v="1"/>
    <s v="R"/>
    <s v="RS"/>
    <x v="0"/>
    <s v="MIN"/>
    <s v="H"/>
    <n v="7"/>
    <n v="2"/>
    <n v="5"/>
    <n v="-5"/>
    <n v="16"/>
    <n v="-16"/>
    <n v="1468.8714008238808"/>
    <n v="1544.0634195941145"/>
    <n v="0.5584588271971993"/>
    <n v="67"/>
    <n v="70"/>
    <n v="0"/>
    <n v="-3"/>
    <n v="0"/>
    <n v="0.27307277664289753"/>
    <n v="1"/>
    <n v="75.7"/>
    <n v="75.7"/>
    <n v="-11.544242625569082"/>
    <n v="1457.3271581983117"/>
    <n v="0"/>
    <n v="1"/>
    <n v="0"/>
    <n v="0"/>
    <n v="0"/>
    <n v="0"/>
    <n v="0"/>
    <n v="0"/>
    <n v="0"/>
    <n v="0"/>
  </r>
  <r>
    <d v="2019-06-01T00:00:00"/>
    <n v="2019"/>
    <x v="1"/>
    <s v="R"/>
    <s v="RS"/>
    <x v="3"/>
    <s v="IND"/>
    <s v="A"/>
    <n v="7"/>
    <n v="3"/>
    <n v="4"/>
    <n v="-4"/>
    <n v="16"/>
    <n v="-16"/>
    <n v="1401.7723103494434"/>
    <n v="1408.6564321279909"/>
    <n v="0.4160610944211986"/>
    <n v="77"/>
    <n v="92"/>
    <n v="0"/>
    <n v="-15"/>
    <n v="0"/>
    <n v="0.49997976008274797"/>
    <n v="1"/>
    <n v="75.7"/>
    <n v="75.7"/>
    <n v="-15.747274950953665"/>
    <n v="1386.0250353984898"/>
    <n v="0"/>
    <n v="1"/>
    <n v="0"/>
    <n v="0"/>
    <n v="0"/>
    <n v="0"/>
    <n v="0"/>
    <n v="0"/>
    <n v="0"/>
    <n v="0"/>
  </r>
  <r>
    <d v="2019-06-01T00:00:00"/>
    <n v="2019"/>
    <x v="2"/>
    <s v="R"/>
    <s v="RS"/>
    <x v="2"/>
    <s v="NYL"/>
    <s v="H"/>
    <n v="3"/>
    <n v="7"/>
    <n v="-4"/>
    <n v="4"/>
    <n v="-16"/>
    <n v="16"/>
    <n v="1408.6564321279909"/>
    <n v="1401.7723103494434"/>
    <n v="0.58393890557880135"/>
    <n v="92"/>
    <n v="77"/>
    <n v="0"/>
    <n v="15"/>
    <n v="1"/>
    <n v="0.49997976008274797"/>
    <n v="1"/>
    <n v="75.55"/>
    <n v="75.55"/>
    <n v="15.716071632028395"/>
    <n v="1424.3725037600193"/>
    <n v="1"/>
    <n v="0"/>
    <n v="0"/>
    <n v="0"/>
    <n v="0"/>
    <n v="0"/>
    <n v="0"/>
    <n v="0"/>
    <n v="0"/>
    <n v="0"/>
  </r>
  <r>
    <d v="2019-06-01T00:00:00"/>
    <n v="2019"/>
    <x v="2"/>
    <s v="R"/>
    <s v="RS"/>
    <x v="1"/>
    <s v="WAS"/>
    <s v="A"/>
    <n v="0"/>
    <n v="6"/>
    <n v="-6"/>
    <n v="6"/>
    <n v="-16"/>
    <n v="16"/>
    <n v="1518.7078676325543"/>
    <n v="1526.2358400695434"/>
    <n v="0.32935932258068618"/>
    <n v="75"/>
    <n v="96"/>
    <n v="0"/>
    <n v="-21"/>
    <n v="0"/>
    <n v="0.58490698637769245"/>
    <n v="1"/>
    <n v="75.55"/>
    <n v="75.55"/>
    <n v="-14.554297173298393"/>
    <n v="1504.1535704592559"/>
    <n v="0"/>
    <n v="1"/>
    <n v="0"/>
    <n v="0"/>
    <n v="0"/>
    <n v="0"/>
    <n v="0"/>
    <n v="0"/>
    <n v="0"/>
    <n v="0"/>
  </r>
  <r>
    <d v="2019-06-01T00:00:00"/>
    <n v="2019"/>
    <x v="1"/>
    <s v="R"/>
    <s v="RS"/>
    <x v="4"/>
    <s v="ATL"/>
    <s v="H"/>
    <n v="6"/>
    <n v="0"/>
    <n v="6"/>
    <n v="-6"/>
    <n v="16"/>
    <n v="-16"/>
    <n v="1526.2358400695434"/>
    <n v="1518.7078676325543"/>
    <n v="0.67064067741931377"/>
    <n v="96"/>
    <n v="75"/>
    <n v="0"/>
    <n v="21"/>
    <n v="1"/>
    <n v="0.58490698637769245"/>
    <n v="1"/>
    <n v="75.7"/>
    <n v="75.7"/>
    <n v="14.583193858619307"/>
    <n v="1540.8190339281628"/>
    <n v="1"/>
    <n v="0"/>
    <n v="0"/>
    <n v="0"/>
    <n v="0"/>
    <n v="0"/>
    <n v="0"/>
    <n v="0"/>
    <n v="0"/>
    <n v="0"/>
  </r>
  <r>
    <d v="2019-06-02T00:00:00"/>
    <n v="2019"/>
    <x v="3"/>
    <s v="R"/>
    <s v="RS"/>
    <x v="5"/>
    <s v="LVA"/>
    <s v="A"/>
    <n v="1"/>
    <n v="1"/>
    <n v="0"/>
    <n v="0"/>
    <n v="0"/>
    <n v="0"/>
    <n v="1553.6878906671429"/>
    <n v="1472.0037998776277"/>
    <n v="0.49666718809536742"/>
    <n v="80"/>
    <n v="74"/>
    <n v="0"/>
    <n v="6"/>
    <n v="1"/>
    <n v="0.32889299035421748"/>
    <n v="1"/>
    <n v="75.400000000000006"/>
    <n v="75.400000000000006"/>
    <n v="12.481914577263645"/>
    <n v="1566.1698052444067"/>
    <n v="1"/>
    <n v="0"/>
    <n v="0"/>
    <n v="0"/>
    <n v="0"/>
    <n v="0"/>
    <n v="0"/>
    <n v="0"/>
    <n v="0"/>
    <n v="0"/>
  </r>
  <r>
    <d v="2019-06-02T00:00:00"/>
    <n v="2019"/>
    <x v="2"/>
    <s v="R"/>
    <s v="RS"/>
    <x v="11"/>
    <s v="CON"/>
    <s v="H"/>
    <n v="1"/>
    <n v="1"/>
    <n v="0"/>
    <n v="0"/>
    <n v="0"/>
    <n v="0"/>
    <n v="1472.0037998776277"/>
    <n v="1553.6878906671429"/>
    <n v="0.50333281190463264"/>
    <n v="74"/>
    <n v="80"/>
    <n v="0"/>
    <n v="-6"/>
    <n v="0"/>
    <n v="0.32889299035421748"/>
    <n v="1"/>
    <n v="75.55"/>
    <n v="75.55"/>
    <n v="-12.506745972311254"/>
    <n v="1459.4970539053163"/>
    <n v="0"/>
    <n v="1"/>
    <n v="0"/>
    <n v="0"/>
    <n v="0"/>
    <n v="0"/>
    <n v="0"/>
    <n v="0"/>
    <n v="0"/>
    <n v="0"/>
  </r>
  <r>
    <d v="2019-06-04T00:00:00"/>
    <n v="2019"/>
    <x v="2"/>
    <s v="R"/>
    <s v="RS"/>
    <x v="10"/>
    <s v="NYL"/>
    <s v="A"/>
    <n v="3"/>
    <n v="2"/>
    <n v="1"/>
    <n v="-1"/>
    <n v="8"/>
    <n v="-8"/>
    <n v="1513.5481236434791"/>
    <n v="1386.0250353984898"/>
    <n v="0.58483225987127141"/>
    <n v="78"/>
    <n v="73"/>
    <n v="0"/>
    <n v="5"/>
    <n v="1"/>
    <n v="0.29988719147612153"/>
    <n v="1"/>
    <n v="75.55"/>
    <n v="75.55"/>
    <n v="9.4062384865702313"/>
    <n v="1522.9543621300493"/>
    <n v="1"/>
    <n v="0"/>
    <n v="0"/>
    <n v="0"/>
    <n v="0"/>
    <n v="0"/>
    <n v="0"/>
    <n v="0"/>
    <n v="0"/>
    <n v="0"/>
  </r>
  <r>
    <d v="2019-06-04T00:00:00"/>
    <n v="2019"/>
    <x v="2"/>
    <s v="R"/>
    <s v="RS"/>
    <x v="3"/>
    <s v="LAS"/>
    <s v="H"/>
    <n v="2"/>
    <n v="3"/>
    <n v="-1"/>
    <n v="1"/>
    <n v="-8"/>
    <n v="8"/>
    <n v="1386.0250353984898"/>
    <n v="1513.5481236434791"/>
    <n v="0.41516774012872854"/>
    <n v="73"/>
    <n v="78"/>
    <n v="0"/>
    <n v="-5"/>
    <n v="0"/>
    <n v="0.29988719147612153"/>
    <n v="1"/>
    <n v="75.55"/>
    <n v="75.55"/>
    <n v="-9.4062384865702313"/>
    <n v="1376.6187969119196"/>
    <n v="0"/>
    <n v="1"/>
    <n v="0"/>
    <n v="0"/>
    <n v="0"/>
    <n v="0"/>
    <n v="0"/>
    <n v="0"/>
    <n v="0"/>
    <n v="0"/>
  </r>
  <r>
    <d v="2019-06-04T00:00:00"/>
    <n v="2019"/>
    <x v="3"/>
    <s v="R"/>
    <s v="RS"/>
    <x v="7"/>
    <s v="SEA"/>
    <s v="A"/>
    <n v="2"/>
    <n v="2"/>
    <n v="0"/>
    <n v="0"/>
    <n v="0"/>
    <n v="0"/>
    <n v="1555.5847872342961"/>
    <n v="1602.9687285009852"/>
    <n v="0.31944864475869744"/>
    <n v="77"/>
    <n v="84"/>
    <n v="0"/>
    <n v="-7"/>
    <n v="0"/>
    <n v="0.35604803965456044"/>
    <n v="1"/>
    <n v="75.400000000000006"/>
    <n v="75.400000000000006"/>
    <n v="-8.5759254057426801"/>
    <n v="1547.0088618285533"/>
    <n v="0"/>
    <n v="1"/>
    <n v="0"/>
    <n v="0"/>
    <n v="0"/>
    <n v="0"/>
    <n v="0"/>
    <n v="0"/>
    <n v="0"/>
    <n v="0"/>
  </r>
  <r>
    <d v="2019-06-04T00:00:00"/>
    <n v="2019"/>
    <x v="4"/>
    <s v="R"/>
    <s v="RS"/>
    <x v="9"/>
    <s v="MIN"/>
    <s v="H"/>
    <n v="2"/>
    <n v="2"/>
    <n v="0"/>
    <n v="0"/>
    <n v="0"/>
    <n v="0"/>
    <n v="1602.9687285009852"/>
    <n v="1555.5847872342961"/>
    <n v="0.68055135524130261"/>
    <n v="84"/>
    <n v="77"/>
    <n v="0"/>
    <n v="7"/>
    <n v="1"/>
    <n v="0.35604803965456044"/>
    <n v="1"/>
    <n v="75.25"/>
    <n v="75.25"/>
    <n v="8.558864546182182"/>
    <n v="1611.5275930471673"/>
    <n v="1"/>
    <n v="0"/>
    <n v="0"/>
    <n v="0"/>
    <n v="0"/>
    <n v="0"/>
    <n v="0"/>
    <n v="0"/>
    <n v="0"/>
    <n v="0"/>
  </r>
  <r>
    <d v="2019-06-05T00:00:00"/>
    <n v="2019"/>
    <x v="2"/>
    <s v="R"/>
    <s v="RS"/>
    <x v="6"/>
    <s v="WAS"/>
    <s v="A"/>
    <n v="3"/>
    <n v="3"/>
    <n v="0"/>
    <n v="0"/>
    <n v="0"/>
    <n v="0"/>
    <n v="1450.9963216500605"/>
    <n v="1540.8190339281628"/>
    <n v="0.26882269115960794"/>
    <n v="85"/>
    <n v="103"/>
    <n v="0"/>
    <n v="-18"/>
    <n v="0"/>
    <n v="0.50875264662737629"/>
    <n v="1"/>
    <n v="75.55"/>
    <n v="75.55"/>
    <n v="-10.332539510651344"/>
    <n v="1440.6637821394092"/>
    <n v="0"/>
    <n v="1"/>
    <n v="0"/>
    <n v="0"/>
    <n v="0"/>
    <n v="0"/>
    <n v="0"/>
    <n v="0"/>
    <n v="0"/>
    <n v="0"/>
  </r>
  <r>
    <d v="2019-06-05T00:00:00"/>
    <n v="2019"/>
    <x v="2"/>
    <s v="R"/>
    <s v="RS"/>
    <x v="4"/>
    <s v="CHI"/>
    <s v="H"/>
    <n v="3"/>
    <n v="3"/>
    <n v="0"/>
    <n v="0"/>
    <n v="0"/>
    <n v="0"/>
    <n v="1540.8190339281628"/>
    <n v="1450.9963216500605"/>
    <n v="0.73117730884039212"/>
    <n v="103"/>
    <n v="85"/>
    <n v="0"/>
    <n v="18"/>
    <n v="1"/>
    <n v="0.50875264662737629"/>
    <n v="1"/>
    <n v="75.55"/>
    <n v="75.55"/>
    <n v="10.332539510651342"/>
    <n v="1551.151573438814"/>
    <n v="1"/>
    <n v="0"/>
    <n v="0"/>
    <n v="0"/>
    <n v="0"/>
    <n v="0"/>
    <n v="0"/>
    <n v="0"/>
    <n v="0"/>
    <n v="0"/>
  </r>
  <r>
    <d v="2019-06-06T00:00:00"/>
    <n v="2019"/>
    <x v="3"/>
    <s v="R"/>
    <s v="RS"/>
    <x v="11"/>
    <s v="ATL"/>
    <s v="A"/>
    <n v="3"/>
    <n v="4"/>
    <n v="-1"/>
    <n v="1"/>
    <n v="-8"/>
    <n v="8"/>
    <n v="1459.4970539053163"/>
    <n v="1504.1535704592559"/>
    <n v="0.30307239243951795"/>
    <n v="92"/>
    <n v="69"/>
    <n v="0"/>
    <n v="23"/>
    <n v="1"/>
    <n v="0.59326031981797922"/>
    <n v="1"/>
    <n v="75.400000000000006"/>
    <n v="75.400000000000006"/>
    <n v="31.174845949488827"/>
    <n v="1490.6718998548051"/>
    <n v="1"/>
    <n v="0"/>
    <n v="0"/>
    <n v="0"/>
    <n v="0"/>
    <n v="0"/>
    <n v="0"/>
    <n v="0"/>
    <n v="0"/>
    <n v="0"/>
  </r>
  <r>
    <d v="2019-06-06T00:00:00"/>
    <n v="2019"/>
    <x v="3"/>
    <s v="R"/>
    <s v="RS"/>
    <x v="1"/>
    <s v="LVA"/>
    <s v="H"/>
    <n v="4"/>
    <n v="3"/>
    <n v="1"/>
    <n v="-1"/>
    <n v="8"/>
    <n v="-8"/>
    <n v="1504.1535704592559"/>
    <n v="1459.4970539053163"/>
    <n v="0.69692760756048211"/>
    <n v="69"/>
    <n v="92"/>
    <n v="0"/>
    <n v="-23"/>
    <n v="0"/>
    <n v="0.59326031981797922"/>
    <n v="1"/>
    <n v="75.400000000000006"/>
    <n v="75.400000000000006"/>
    <n v="-31.17484594948883"/>
    <n v="1472.9787245097671"/>
    <n v="0"/>
    <n v="1"/>
    <n v="0"/>
    <n v="0"/>
    <n v="0"/>
    <n v="0"/>
    <n v="0"/>
    <n v="0"/>
    <n v="0"/>
    <n v="0"/>
  </r>
  <r>
    <d v="2019-06-06T00:00:00"/>
    <n v="2019"/>
    <x v="3"/>
    <s v="R"/>
    <s v="RS"/>
    <x v="10"/>
    <s v="CON"/>
    <s v="A"/>
    <n v="1"/>
    <n v="3"/>
    <n v="-2"/>
    <n v="2"/>
    <n v="-16"/>
    <n v="16"/>
    <n v="1522.9543621300493"/>
    <n v="1566.1698052444067"/>
    <n v="0.28566795473383982"/>
    <n v="77"/>
    <n v="89"/>
    <n v="0"/>
    <n v="-12"/>
    <n v="0"/>
    <n v="0.44027391609669719"/>
    <n v="1"/>
    <n v="75.400000000000006"/>
    <n v="75.400000000000006"/>
    <n v="-9.483220044703728"/>
    <n v="1513.4711420853455"/>
    <n v="0"/>
    <n v="1"/>
    <n v="0"/>
    <n v="0"/>
    <n v="0"/>
    <n v="0"/>
    <n v="0"/>
    <n v="0"/>
    <n v="0"/>
    <n v="0"/>
  </r>
  <r>
    <d v="2019-06-06T00:00:00"/>
    <n v="2019"/>
    <x v="4"/>
    <s v="R"/>
    <s v="RS"/>
    <x v="5"/>
    <s v="LAS"/>
    <s v="H"/>
    <n v="3"/>
    <n v="1"/>
    <n v="2"/>
    <n v="-2"/>
    <n v="16"/>
    <n v="-16"/>
    <n v="1566.1698052444067"/>
    <n v="1522.9543621300493"/>
    <n v="0.71433204526616012"/>
    <n v="89"/>
    <n v="77"/>
    <n v="0"/>
    <n v="12"/>
    <n v="1"/>
    <n v="0.44027391609669719"/>
    <n v="1"/>
    <n v="75.25"/>
    <n v="75.25"/>
    <n v="9.464354222333629"/>
    <n v="1575.6341594667404"/>
    <n v="1"/>
    <n v="0"/>
    <n v="0"/>
    <n v="0"/>
    <n v="0"/>
    <n v="0"/>
    <n v="0"/>
    <n v="0"/>
    <n v="0"/>
    <n v="0"/>
  </r>
  <r>
    <d v="2019-06-06T00:00:00"/>
    <n v="2019"/>
    <x v="2"/>
    <s v="R"/>
    <s v="RS"/>
    <x v="8"/>
    <s v="MIN"/>
    <s v="A"/>
    <n v="5"/>
    <n v="1"/>
    <n v="4"/>
    <n v="-4"/>
    <n v="16"/>
    <n v="-16"/>
    <n v="1538.5683597962582"/>
    <n v="1547.0088618285533"/>
    <n v="0.41388605793811345"/>
    <n v="56"/>
    <n v="58"/>
    <n v="0"/>
    <n v="-2"/>
    <n v="0"/>
    <n v="0.26597055000314301"/>
    <n v="1"/>
    <n v="75.55"/>
    <n v="75.55"/>
    <n v="-8.316657511490094"/>
    <n v="1530.251702284768"/>
    <n v="0"/>
    <n v="1"/>
    <n v="0"/>
    <n v="0"/>
    <n v="0"/>
    <n v="0"/>
    <n v="0"/>
    <n v="0"/>
    <n v="0"/>
    <n v="0"/>
  </r>
  <r>
    <d v="2019-06-06T00:00:00"/>
    <n v="2019"/>
    <x v="4"/>
    <s v="R"/>
    <s v="RS"/>
    <x v="7"/>
    <s v="PHX"/>
    <s v="H"/>
    <n v="1"/>
    <n v="5"/>
    <n v="-4"/>
    <n v="4"/>
    <n v="-16"/>
    <n v="16"/>
    <n v="1547.0088618285533"/>
    <n v="1538.5683597962582"/>
    <n v="0.58611394206188649"/>
    <n v="58"/>
    <n v="56"/>
    <n v="0"/>
    <n v="2"/>
    <n v="1"/>
    <n v="0.26597055000314301"/>
    <n v="1"/>
    <n v="75.25"/>
    <n v="75.25"/>
    <n v="8.2836330607495654"/>
    <n v="1555.2924948893028"/>
    <n v="1"/>
    <n v="0"/>
    <n v="0"/>
    <n v="0"/>
    <n v="0"/>
    <n v="0"/>
    <n v="0"/>
    <n v="0"/>
    <n v="0"/>
    <n v="0"/>
  </r>
  <r>
    <d v="2019-06-07T00:00:00"/>
    <n v="2019"/>
    <x v="2"/>
    <s v="R"/>
    <s v="RS"/>
    <x v="0"/>
    <s v="IND"/>
    <s v="A"/>
    <n v="5"/>
    <n v="5"/>
    <n v="0"/>
    <n v="0"/>
    <n v="0"/>
    <n v="0"/>
    <n v="1457.3271581983117"/>
    <n v="1424.3725037600193"/>
    <n v="0.42706387847654625"/>
    <n v="64"/>
    <n v="79"/>
    <n v="0"/>
    <n v="-15"/>
    <n v="0"/>
    <n v="0.48940780707739834"/>
    <n v="1"/>
    <n v="75.55"/>
    <n v="75.55"/>
    <n v="-15.790584336474074"/>
    <n v="1441.5365738618377"/>
    <n v="0"/>
    <n v="1"/>
    <n v="0"/>
    <n v="0"/>
    <n v="0"/>
    <n v="0"/>
    <n v="0"/>
    <n v="0"/>
    <n v="0"/>
    <n v="0"/>
  </r>
  <r>
    <d v="2019-06-07T00:00:00"/>
    <n v="2019"/>
    <x v="3"/>
    <s v="R"/>
    <s v="RS"/>
    <x v="2"/>
    <s v="DAL"/>
    <s v="H"/>
    <n v="5"/>
    <n v="5"/>
    <n v="0"/>
    <n v="0"/>
    <n v="0"/>
    <n v="0"/>
    <n v="1424.3725037600193"/>
    <n v="1457.3271581983117"/>
    <n v="0.57293612152345375"/>
    <n v="79"/>
    <n v="64"/>
    <n v="0"/>
    <n v="15"/>
    <n v="1"/>
    <n v="0.48940780707739834"/>
    <n v="1"/>
    <n v="75.400000000000006"/>
    <n v="75.400000000000006"/>
    <n v="15.759233077036999"/>
    <n v="1440.1317368370562"/>
    <n v="1"/>
    <n v="0"/>
    <n v="0"/>
    <n v="0"/>
    <n v="0"/>
    <n v="0"/>
    <n v="0"/>
    <n v="0"/>
    <n v="0"/>
    <n v="0"/>
  </r>
  <r>
    <d v="2019-06-07T00:00:00"/>
    <n v="2019"/>
    <x v="3"/>
    <s v="R"/>
    <s v="RS"/>
    <x v="4"/>
    <s v="NYL"/>
    <s v="A"/>
    <n v="1"/>
    <n v="2"/>
    <n v="-1"/>
    <n v="1"/>
    <n v="-8"/>
    <n v="8"/>
    <n v="1551.151573438814"/>
    <n v="1376.6187969119196"/>
    <n v="0.60564563613494216"/>
    <n v="94"/>
    <n v="85"/>
    <n v="0"/>
    <n v="9"/>
    <n v="1"/>
    <n v="0.35442285618509539"/>
    <n v="1"/>
    <n v="75.400000000000006"/>
    <n v="75.400000000000006"/>
    <n v="10.538522279254307"/>
    <n v="1561.6900957180683"/>
    <n v="1"/>
    <n v="0"/>
    <n v="0"/>
    <n v="0"/>
    <n v="0"/>
    <n v="0"/>
    <n v="0"/>
    <n v="0"/>
    <n v="0"/>
    <n v="0"/>
  </r>
  <r>
    <d v="2019-06-07T00:00:00"/>
    <n v="2019"/>
    <x v="3"/>
    <s v="R"/>
    <s v="RS"/>
    <x v="3"/>
    <s v="WAS"/>
    <s v="H"/>
    <n v="2"/>
    <n v="1"/>
    <n v="1"/>
    <n v="-1"/>
    <n v="8"/>
    <n v="-8"/>
    <n v="1376.6187969119196"/>
    <n v="1551.151573438814"/>
    <n v="0.3943543638650579"/>
    <n v="85"/>
    <n v="94"/>
    <n v="0"/>
    <n v="-9"/>
    <n v="0"/>
    <n v="0.35442285618509539"/>
    <n v="1"/>
    <n v="75.400000000000006"/>
    <n v="75.400000000000006"/>
    <n v="-10.538522279254309"/>
    <n v="1366.0802746326654"/>
    <n v="0"/>
    <n v="1"/>
    <n v="0"/>
    <n v="0"/>
    <n v="0"/>
    <n v="0"/>
    <n v="0"/>
    <n v="0"/>
    <n v="0"/>
    <n v="0"/>
  </r>
  <r>
    <d v="2019-06-08T00:00:00"/>
    <n v="2019"/>
    <x v="4"/>
    <s v="R"/>
    <s v="RS"/>
    <x v="10"/>
    <s v="MIN"/>
    <s v="A"/>
    <n v="1"/>
    <n v="1"/>
    <n v="0"/>
    <n v="0"/>
    <n v="0"/>
    <n v="0"/>
    <n v="1513.4711420853455"/>
    <n v="1555.2924948893028"/>
    <n v="0.32644989141099595"/>
    <n v="89"/>
    <n v="85"/>
    <n v="0"/>
    <n v="4"/>
    <n v="1"/>
    <n v="0.3009444804929628"/>
    <n v="1"/>
    <n v="75.25"/>
    <n v="75.25"/>
    <n v="15.253264360526062"/>
    <n v="1528.7244064458716"/>
    <n v="1"/>
    <n v="0"/>
    <n v="0"/>
    <n v="0"/>
    <n v="0"/>
    <n v="0"/>
    <n v="0"/>
    <n v="0"/>
    <n v="0"/>
    <n v="0"/>
  </r>
  <r>
    <d v="2019-06-08T00:00:00"/>
    <n v="2019"/>
    <x v="5"/>
    <s v="R"/>
    <s v="RS"/>
    <x v="7"/>
    <s v="LAS"/>
    <s v="H"/>
    <n v="1"/>
    <n v="1"/>
    <n v="0"/>
    <n v="0"/>
    <n v="0"/>
    <n v="0"/>
    <n v="1555.2924948893028"/>
    <n v="1513.4711420853455"/>
    <n v="0.67355010858900399"/>
    <n v="85"/>
    <n v="89"/>
    <n v="0"/>
    <n v="-4"/>
    <n v="0"/>
    <n v="0.3009444804929628"/>
    <n v="1"/>
    <n v="75.099999999999994"/>
    <n v="75.099999999999994"/>
    <n v="-15.222859182398764"/>
    <n v="1540.0696357069041"/>
    <n v="0"/>
    <n v="1"/>
    <n v="0"/>
    <n v="0"/>
    <n v="0"/>
    <n v="0"/>
    <n v="0"/>
    <n v="0"/>
    <n v="0"/>
    <n v="0"/>
  </r>
  <r>
    <d v="2019-06-09T00:00:00"/>
    <n v="2019"/>
    <x v="5"/>
    <s v="R"/>
    <s v="RS"/>
    <x v="5"/>
    <s v="ATL"/>
    <s v="A"/>
    <n v="2"/>
    <n v="2"/>
    <n v="0"/>
    <n v="0"/>
    <n v="0"/>
    <n v="0"/>
    <n v="1575.6341594667404"/>
    <n v="1472.9787245097671"/>
    <n v="0.52682155741863945"/>
    <n v="65"/>
    <n v="59"/>
    <n v="0"/>
    <n v="6"/>
    <n v="1"/>
    <n v="0.32359816878445175"/>
    <n v="1"/>
    <n v="75.099999999999994"/>
    <n v="75.099999999999994"/>
    <n v="11.499287782323293"/>
    <n v="1587.1334472490637"/>
    <n v="1"/>
    <n v="0"/>
    <n v="0"/>
    <n v="0"/>
    <n v="0"/>
    <n v="0"/>
    <n v="0"/>
    <n v="0"/>
    <n v="0"/>
    <n v="0"/>
  </r>
  <r>
    <d v="2019-06-09T00:00:00"/>
    <n v="2019"/>
    <x v="4"/>
    <s v="R"/>
    <s v="RS"/>
    <x v="1"/>
    <s v="CON"/>
    <s v="H"/>
    <n v="2"/>
    <n v="2"/>
    <n v="0"/>
    <n v="0"/>
    <n v="0"/>
    <n v="0"/>
    <n v="1472.9787245097671"/>
    <n v="1575.6341594667404"/>
    <n v="0.47317844258136049"/>
    <n v="59"/>
    <n v="65"/>
    <n v="0"/>
    <n v="-6"/>
    <n v="0"/>
    <n v="0.32359816878445175"/>
    <n v="1"/>
    <n v="75.25"/>
    <n v="75.25"/>
    <n v="-11.522255733952434"/>
    <n v="1461.4564687758145"/>
    <n v="0"/>
    <n v="1"/>
    <n v="0"/>
    <n v="0"/>
    <n v="0"/>
    <n v="0"/>
    <n v="0"/>
    <n v="0"/>
    <n v="0"/>
    <n v="0"/>
  </r>
  <r>
    <d v="2019-06-09T00:00:00"/>
    <n v="2019"/>
    <x v="5"/>
    <s v="R"/>
    <s v="RS"/>
    <x v="9"/>
    <s v="CHI"/>
    <s v="A"/>
    <n v="4"/>
    <n v="3"/>
    <n v="1"/>
    <n v="-1"/>
    <n v="8"/>
    <n v="-8"/>
    <n v="1611.5275930471673"/>
    <n v="1440.6637821394092"/>
    <n v="0.64385410566942425"/>
    <n v="71"/>
    <n v="78"/>
    <n v="0"/>
    <n v="-7"/>
    <n v="0"/>
    <n v="0.32397719120653645"/>
    <n v="1"/>
    <n v="75.099999999999994"/>
    <n v="75.099999999999994"/>
    <n v="-15.665412757088399"/>
    <n v="1595.8621802900789"/>
    <n v="0"/>
    <n v="1"/>
    <n v="0"/>
    <n v="0"/>
    <n v="0"/>
    <n v="0"/>
    <n v="0"/>
    <n v="0"/>
    <n v="0"/>
    <n v="0"/>
  </r>
  <r>
    <d v="2019-06-09T00:00:00"/>
    <n v="2019"/>
    <x v="3"/>
    <s v="R"/>
    <s v="RS"/>
    <x v="6"/>
    <s v="SEA"/>
    <s v="H"/>
    <n v="3"/>
    <n v="4"/>
    <n v="-1"/>
    <n v="1"/>
    <n v="-8"/>
    <n v="8"/>
    <n v="1440.6637821394092"/>
    <n v="1611.5275930471673"/>
    <n v="0.35614589433057581"/>
    <n v="78"/>
    <n v="71"/>
    <n v="0"/>
    <n v="7"/>
    <n v="1"/>
    <n v="0.32397719120653645"/>
    <n v="1"/>
    <n v="75.400000000000006"/>
    <n v="75.400000000000006"/>
    <n v="15.727990970498874"/>
    <n v="1456.3917731099082"/>
    <n v="1"/>
    <n v="0"/>
    <n v="0"/>
    <n v="0"/>
    <n v="0"/>
    <n v="0"/>
    <n v="0"/>
    <n v="0"/>
    <n v="0"/>
    <n v="0"/>
  </r>
  <r>
    <d v="2019-06-09T00:00:00"/>
    <n v="2019"/>
    <x v="3"/>
    <s v="R"/>
    <s v="RS"/>
    <x v="8"/>
    <s v="IND"/>
    <s v="A"/>
    <n v="2"/>
    <n v="1"/>
    <n v="1"/>
    <n v="-1"/>
    <n v="8"/>
    <n v="-8"/>
    <n v="1530.251702284768"/>
    <n v="1440.1317368370562"/>
    <n v="0.53179024784297613"/>
    <n v="94"/>
    <n v="87"/>
    <n v="0"/>
    <n v="7"/>
    <n v="1"/>
    <n v="0.34425372746669924"/>
    <n v="1"/>
    <n v="75.400000000000006"/>
    <n v="75.400000000000006"/>
    <n v="12.153194612190143"/>
    <n v="1542.4048968969582"/>
    <n v="1"/>
    <n v="0"/>
    <n v="0"/>
    <n v="0"/>
    <n v="0"/>
    <n v="0"/>
    <n v="0"/>
    <n v="0"/>
    <n v="0"/>
    <n v="0"/>
  </r>
  <r>
    <d v="2019-06-09T00:00:00"/>
    <n v="2019"/>
    <x v="4"/>
    <s v="R"/>
    <s v="RS"/>
    <x v="2"/>
    <s v="PHX"/>
    <s v="H"/>
    <n v="1"/>
    <n v="2"/>
    <n v="-1"/>
    <n v="1"/>
    <n v="-8"/>
    <n v="8"/>
    <n v="1440.1317368370562"/>
    <n v="1530.251702284768"/>
    <n v="0.46820975215702387"/>
    <n v="87"/>
    <n v="94"/>
    <n v="0"/>
    <n v="-7"/>
    <n v="0"/>
    <n v="0.34425372746669924"/>
    <n v="1"/>
    <n v="75.25"/>
    <n v="75.25"/>
    <n v="-12.129017169327696"/>
    <n v="1428.0027196677286"/>
    <n v="0"/>
    <n v="1"/>
    <n v="0"/>
    <n v="0"/>
    <n v="0"/>
    <n v="0"/>
    <n v="0"/>
    <n v="0"/>
    <n v="0"/>
    <n v="0"/>
  </r>
  <r>
    <d v="2019-06-09T00:00:00"/>
    <n v="2019"/>
    <x v="4"/>
    <s v="R"/>
    <s v="RS"/>
    <x v="11"/>
    <s v="NYL"/>
    <s v="A"/>
    <n v="2"/>
    <n v="1"/>
    <n v="1"/>
    <n v="-1"/>
    <n v="8"/>
    <n v="-8"/>
    <n v="1490.6718998548051"/>
    <n v="1366.0802746326654"/>
    <n v="0.58072920929718264"/>
    <n v="78"/>
    <n v="88"/>
    <n v="0"/>
    <n v="-10"/>
    <n v="0"/>
    <n v="0.38332994828771311"/>
    <n v="1"/>
    <n v="75.25"/>
    <n v="75.25"/>
    <n v="-16.751470057121278"/>
    <n v="1473.9204297976839"/>
    <n v="0"/>
    <n v="1"/>
    <n v="0"/>
    <n v="0"/>
    <n v="0"/>
    <n v="0"/>
    <n v="0"/>
    <n v="0"/>
    <n v="0"/>
    <n v="0"/>
  </r>
  <r>
    <d v="2019-06-09T00:00:00"/>
    <n v="2019"/>
    <x v="4"/>
    <s v="R"/>
    <s v="RS"/>
    <x v="3"/>
    <s v="LVA"/>
    <s v="H"/>
    <n v="1"/>
    <n v="2"/>
    <n v="-1"/>
    <n v="1"/>
    <n v="-8"/>
    <n v="8"/>
    <n v="1366.0802746326654"/>
    <n v="1490.6718998548051"/>
    <n v="0.41927079070281731"/>
    <n v="88"/>
    <n v="78"/>
    <n v="0"/>
    <n v="10"/>
    <n v="1"/>
    <n v="0.38332994828771311"/>
    <n v="1"/>
    <n v="75.25"/>
    <n v="75.25"/>
    <n v="16.751470057121281"/>
    <n v="1382.8317446897865"/>
    <n v="1"/>
    <n v="0"/>
    <n v="0"/>
    <n v="0"/>
    <n v="0"/>
    <n v="0"/>
    <n v="0"/>
    <n v="0"/>
    <n v="0"/>
    <n v="0"/>
  </r>
  <r>
    <d v="2019-06-09T00:00:00"/>
    <n v="2019"/>
    <x v="3"/>
    <s v="R"/>
    <s v="RS"/>
    <x v="0"/>
    <s v="WAS"/>
    <s v="A"/>
    <n v="1"/>
    <n v="1"/>
    <n v="0"/>
    <n v="0"/>
    <n v="0"/>
    <n v="0"/>
    <n v="1441.5365738618377"/>
    <n v="1561.6900957180683"/>
    <n v="0.2359159605289822"/>
    <n v="62"/>
    <n v="86"/>
    <n v="0"/>
    <n v="-24"/>
    <n v="0"/>
    <n v="0.57123440937188974"/>
    <n v="1"/>
    <n v="75.400000000000006"/>
    <n v="75.400000000000006"/>
    <n v="-10.16115390381281"/>
    <n v="1431.3754199580248"/>
    <n v="0"/>
    <n v="1"/>
    <n v="0"/>
    <n v="0"/>
    <n v="0"/>
    <n v="0"/>
    <n v="0"/>
    <n v="0"/>
    <n v="0"/>
    <n v="0"/>
  </r>
  <r>
    <d v="2019-06-09T00:00:00"/>
    <n v="2019"/>
    <x v="4"/>
    <s v="R"/>
    <s v="RS"/>
    <x v="4"/>
    <s v="DAL"/>
    <s v="H"/>
    <n v="1"/>
    <n v="1"/>
    <n v="0"/>
    <n v="0"/>
    <n v="0"/>
    <n v="0"/>
    <n v="1561.6900957180683"/>
    <n v="1441.5365738618377"/>
    <n v="0.76408403947101777"/>
    <n v="86"/>
    <n v="62"/>
    <n v="0"/>
    <n v="24"/>
    <n v="1"/>
    <n v="0.57123440937188974"/>
    <n v="1"/>
    <n v="75.25"/>
    <n v="75.25"/>
    <n v="10.140939406656685"/>
    <n v="1571.8310351247251"/>
    <n v="1"/>
    <n v="0"/>
    <n v="0"/>
    <n v="0"/>
    <n v="0"/>
    <n v="0"/>
    <n v="0"/>
    <n v="0"/>
    <n v="0"/>
    <n v="0"/>
  </r>
  <r>
    <d v="2019-06-11T00:00:00"/>
    <n v="2019"/>
    <x v="4"/>
    <s v="R"/>
    <s v="RS"/>
    <x v="8"/>
    <s v="CHI"/>
    <s v="A"/>
    <n v="1"/>
    <n v="1"/>
    <n v="0"/>
    <n v="0"/>
    <n v="0"/>
    <n v="0"/>
    <n v="1542.4048968969582"/>
    <n v="1456.3917731099082"/>
    <n v="0.50289708559263069"/>
    <n v="75"/>
    <n v="82"/>
    <n v="0"/>
    <n v="-7"/>
    <n v="0"/>
    <n v="0.34535309070308284"/>
    <n v="1"/>
    <n v="75.25"/>
    <n v="75.25"/>
    <n v="-13.069198976827831"/>
    <n v="1529.3356979201303"/>
    <n v="0"/>
    <n v="1"/>
    <n v="0"/>
    <n v="0"/>
    <n v="0"/>
    <n v="0"/>
    <n v="0"/>
    <n v="0"/>
    <n v="0"/>
    <n v="0"/>
  </r>
  <r>
    <d v="2019-06-11T00:00:00"/>
    <n v="2019"/>
    <x v="4"/>
    <s v="R"/>
    <s v="RS"/>
    <x v="6"/>
    <s v="PHX"/>
    <s v="H"/>
    <n v="1"/>
    <n v="1"/>
    <n v="0"/>
    <n v="0"/>
    <n v="0"/>
    <n v="0"/>
    <n v="1456.3917731099082"/>
    <n v="1542.4048968969582"/>
    <n v="0.49710291440736931"/>
    <n v="82"/>
    <n v="75"/>
    <n v="0"/>
    <n v="7"/>
    <n v="1"/>
    <n v="0.34535309070308284"/>
    <n v="1"/>
    <n v="75.25"/>
    <n v="75.25"/>
    <n v="13.069198976827831"/>
    <n v="1469.4609720867361"/>
    <n v="1"/>
    <n v="0"/>
    <n v="0"/>
    <n v="0"/>
    <n v="0"/>
    <n v="0"/>
    <n v="0"/>
    <n v="0"/>
    <n v="0"/>
    <n v="0"/>
  </r>
  <r>
    <d v="2019-06-11T00:00:00"/>
    <n v="2019"/>
    <x v="5"/>
    <s v="R"/>
    <s v="RS"/>
    <x v="4"/>
    <s v="CON"/>
    <s v="A"/>
    <n v="1"/>
    <n v="1"/>
    <n v="0"/>
    <n v="0"/>
    <n v="0"/>
    <n v="0"/>
    <n v="1571.8310351247251"/>
    <n v="1587.1334472490637"/>
    <n v="0.36086064961927222"/>
    <n v="75"/>
    <n v="83"/>
    <n v="0"/>
    <n v="-8"/>
    <n v="0"/>
    <n v="0.38342608173473447"/>
    <n v="1"/>
    <n v="75.099999999999994"/>
    <n v="75.099999999999994"/>
    <n v="-10.391090208676211"/>
    <n v="1561.4399449160489"/>
    <n v="0"/>
    <n v="1"/>
    <n v="0"/>
    <n v="0"/>
    <n v="0"/>
    <n v="0"/>
    <n v="0"/>
    <n v="0"/>
    <n v="0"/>
    <n v="0"/>
  </r>
  <r>
    <d v="2019-06-11T00:00:00"/>
    <n v="2019"/>
    <x v="6"/>
    <s v="R"/>
    <s v="RS"/>
    <x v="5"/>
    <s v="WAS"/>
    <s v="H"/>
    <n v="1"/>
    <n v="1"/>
    <n v="0"/>
    <n v="0"/>
    <n v="0"/>
    <n v="0"/>
    <n v="1587.1334472490637"/>
    <n v="1571.8310351247251"/>
    <n v="0.63913935038072778"/>
    <n v="83"/>
    <n v="75"/>
    <n v="0"/>
    <n v="8"/>
    <n v="1"/>
    <n v="0.38342608173473447"/>
    <n v="1"/>
    <n v="74.95"/>
    <n v="74.95"/>
    <n v="10.370335700935845"/>
    <n v="1597.5037829499995"/>
    <n v="1"/>
    <n v="0"/>
    <n v="0"/>
    <n v="0"/>
    <n v="0"/>
    <n v="0"/>
    <n v="0"/>
    <n v="0"/>
    <n v="0"/>
    <n v="0"/>
  </r>
  <r>
    <d v="2019-06-11T00:00:00"/>
    <n v="2019"/>
    <x v="6"/>
    <s v="R"/>
    <s v="RS"/>
    <x v="9"/>
    <s v="IND"/>
    <s v="A"/>
    <n v="1"/>
    <n v="1"/>
    <n v="0"/>
    <n v="0"/>
    <n v="0"/>
    <n v="0"/>
    <n v="1595.8621802900789"/>
    <n v="1428.0027196677286"/>
    <n v="0.61839322781461059"/>
    <n v="84"/>
    <n v="82"/>
    <n v="0"/>
    <n v="2"/>
    <n v="1"/>
    <n v="0.23497266658182012"/>
    <n v="1"/>
    <n v="74.95"/>
    <n v="74.95"/>
    <n v="6.7205537054138533"/>
    <n v="1602.5827339954926"/>
    <n v="1"/>
    <n v="0"/>
    <n v="0"/>
    <n v="0"/>
    <n v="0"/>
    <n v="0"/>
    <n v="0"/>
    <n v="0"/>
    <n v="0"/>
    <n v="0"/>
  </r>
  <r>
    <d v="2019-06-11T00:00:00"/>
    <n v="2019"/>
    <x v="5"/>
    <s v="R"/>
    <s v="RS"/>
    <x v="2"/>
    <s v="SEA"/>
    <s v="H"/>
    <n v="1"/>
    <n v="1"/>
    <n v="0"/>
    <n v="0"/>
    <n v="0"/>
    <n v="0"/>
    <n v="1428.0027196677286"/>
    <n v="1595.8621802900789"/>
    <n v="0.38160677218538946"/>
    <n v="82"/>
    <n v="84"/>
    <n v="0"/>
    <n v="-2"/>
    <n v="0"/>
    <n v="0.23497266658182012"/>
    <n v="1"/>
    <n v="75.099999999999994"/>
    <n v="75.099999999999994"/>
    <n v="-6.7340037795407657"/>
    <n v="1421.2687158881879"/>
    <n v="0"/>
    <n v="1"/>
    <n v="0"/>
    <n v="0"/>
    <n v="0"/>
    <n v="0"/>
    <n v="0"/>
    <n v="0"/>
    <n v="0"/>
    <n v="0"/>
  </r>
  <r>
    <d v="2019-06-12T00:00:00"/>
    <n v="2019"/>
    <x v="6"/>
    <s v="R"/>
    <s v="RS"/>
    <x v="7"/>
    <s v="NYL"/>
    <s v="A"/>
    <n v="3"/>
    <n v="2"/>
    <n v="1"/>
    <n v="-1"/>
    <n v="8"/>
    <n v="-8"/>
    <n v="1540.0696357069041"/>
    <n v="1382.8317446897865"/>
    <n v="0.62567217337380809"/>
    <n v="69"/>
    <n v="75"/>
    <n v="0"/>
    <n v="-6"/>
    <n v="0"/>
    <n v="0.31058439798883686"/>
    <n v="1"/>
    <n v="74.95"/>
    <n v="74.95"/>
    <n v="-14.564584947160068"/>
    <n v="1525.5050507597441"/>
    <n v="0"/>
    <n v="1"/>
    <n v="0"/>
    <n v="0"/>
    <n v="0"/>
    <n v="0"/>
    <n v="0"/>
    <n v="0"/>
    <n v="0"/>
    <n v="0"/>
  </r>
  <r>
    <d v="2019-06-12T00:00:00"/>
    <n v="2019"/>
    <x v="5"/>
    <s v="R"/>
    <s v="RS"/>
    <x v="3"/>
    <s v="MIN"/>
    <s v="H"/>
    <n v="2"/>
    <n v="3"/>
    <n v="-1"/>
    <n v="1"/>
    <n v="-8"/>
    <n v="8"/>
    <n v="1382.8317446897865"/>
    <n v="1540.0696357069041"/>
    <n v="0.37432782662619185"/>
    <n v="75"/>
    <n v="69"/>
    <n v="0"/>
    <n v="6"/>
    <n v="1"/>
    <n v="0.31058439798883686"/>
    <n v="1"/>
    <n v="75.099999999999994"/>
    <n v="75.099999999999994"/>
    <n v="14.593733549455919"/>
    <n v="1397.4254782392425"/>
    <n v="1"/>
    <n v="0"/>
    <n v="0"/>
    <n v="0"/>
    <n v="0"/>
    <n v="0"/>
    <n v="0"/>
    <n v="0"/>
    <n v="0"/>
    <n v="0"/>
  </r>
  <r>
    <d v="2019-06-13T00:00:00"/>
    <n v="2019"/>
    <x v="6"/>
    <s v="R"/>
    <s v="RS"/>
    <x v="2"/>
    <s v="DAL"/>
    <s v="A"/>
    <n v="1"/>
    <n v="3"/>
    <n v="-2"/>
    <n v="2"/>
    <n v="-16"/>
    <n v="16"/>
    <n v="1421.2687158881879"/>
    <n v="1431.3754199580248"/>
    <n v="0.32608881588463667"/>
    <n v="76"/>
    <n v="72"/>
    <n v="0"/>
    <n v="4"/>
    <n v="1"/>
    <n v="0.30883167627099384"/>
    <n v="1"/>
    <n v="74.95"/>
    <n v="74.95"/>
    <n v="15.598977792576445"/>
    <n v="1436.8676936807644"/>
    <n v="1"/>
    <n v="0"/>
    <n v="0"/>
    <n v="0"/>
    <n v="0"/>
    <n v="0"/>
    <n v="0"/>
    <n v="0"/>
    <n v="0"/>
    <n v="0"/>
  </r>
  <r>
    <d v="2019-06-13T00:00:00"/>
    <n v="2019"/>
    <x v="4"/>
    <s v="R"/>
    <s v="RS"/>
    <x v="0"/>
    <s v="IND"/>
    <s v="H"/>
    <n v="3"/>
    <n v="1"/>
    <n v="2"/>
    <n v="-2"/>
    <n v="16"/>
    <n v="-16"/>
    <n v="1431.3754199580248"/>
    <n v="1421.2687158881879"/>
    <n v="0.67391118411536333"/>
    <n v="72"/>
    <n v="76"/>
    <n v="0"/>
    <n v="-4"/>
    <n v="0"/>
    <n v="0.30883167627099384"/>
    <n v="1"/>
    <n v="75.25"/>
    <n v="75.25"/>
    <n v="-15.661415328770881"/>
    <n v="1415.7140046292541"/>
    <n v="0"/>
    <n v="1"/>
    <n v="0"/>
    <n v="0"/>
    <n v="0"/>
    <n v="0"/>
    <n v="0"/>
    <n v="0"/>
    <n v="0"/>
    <n v="0"/>
  </r>
  <r>
    <d v="2019-06-14T00:00:00"/>
    <n v="2019"/>
    <x v="6"/>
    <s v="R"/>
    <s v="RS"/>
    <x v="3"/>
    <s v="LVA"/>
    <s v="A"/>
    <n v="1"/>
    <n v="4"/>
    <n v="-3"/>
    <n v="3"/>
    <n v="-16"/>
    <n v="16"/>
    <n v="1397.4254782392425"/>
    <n v="1473.9204297976839"/>
    <n v="0.2482271402838469"/>
    <n v="65"/>
    <n v="100"/>
    <n v="0"/>
    <n v="-35"/>
    <n v="0"/>
    <n v="0.71650115242369528"/>
    <n v="1"/>
    <n v="74.95"/>
    <n v="74.95"/>
    <n v="-13.330234654112283"/>
    <n v="1384.0952435851302"/>
    <n v="0"/>
    <n v="1"/>
    <n v="0"/>
    <n v="0"/>
    <n v="0"/>
    <n v="0"/>
    <n v="0"/>
    <n v="0"/>
    <n v="0"/>
    <n v="0"/>
  </r>
  <r>
    <d v="2019-06-14T00:00:00"/>
    <n v="2019"/>
    <x v="5"/>
    <s v="R"/>
    <s v="RS"/>
    <x v="11"/>
    <s v="NYL"/>
    <s v="H"/>
    <n v="4"/>
    <n v="1"/>
    <n v="3"/>
    <n v="-3"/>
    <n v="16"/>
    <n v="-16"/>
    <n v="1473.9204297976839"/>
    <n v="1397.4254782392425"/>
    <n v="0.75177285971615304"/>
    <n v="100"/>
    <n v="65"/>
    <n v="0"/>
    <n v="35"/>
    <n v="1"/>
    <n v="0.71650115242369528"/>
    <n v="1"/>
    <n v="75.099999999999994"/>
    <n v="75.099999999999994"/>
    <n v="13.356912908923716"/>
    <n v="1487.2773427066077"/>
    <n v="1"/>
    <n v="0"/>
    <n v="0"/>
    <n v="0"/>
    <n v="0"/>
    <n v="0"/>
    <n v="0"/>
    <n v="0"/>
    <n v="0"/>
    <n v="0"/>
  </r>
  <r>
    <d v="2019-06-14T00:00:00"/>
    <n v="2019"/>
    <x v="7"/>
    <s v="R"/>
    <s v="RS"/>
    <x v="5"/>
    <s v="MIN"/>
    <s v="A"/>
    <n v="2"/>
    <n v="1"/>
    <n v="1"/>
    <n v="-1"/>
    <n v="8"/>
    <n v="-8"/>
    <n v="1597.5037829499995"/>
    <n v="1525.5050507597441"/>
    <n v="0.50575438412799645"/>
    <n v="85"/>
    <n v="81"/>
    <n v="0"/>
    <n v="4"/>
    <n v="1"/>
    <n v="0.2938047597273527"/>
    <n v="1"/>
    <n v="74.8"/>
    <n v="74.8"/>
    <n v="10.861836238434346"/>
    <n v="1608.3656191884338"/>
    <n v="1"/>
    <n v="0"/>
    <n v="0"/>
    <n v="0"/>
    <n v="0"/>
    <n v="0"/>
    <n v="0"/>
    <n v="0"/>
    <n v="0"/>
    <n v="0"/>
  </r>
  <r>
    <d v="2019-06-14T00:00:00"/>
    <n v="2019"/>
    <x v="7"/>
    <s v="R"/>
    <s v="RS"/>
    <x v="7"/>
    <s v="CON"/>
    <s v="H"/>
    <n v="1"/>
    <n v="2"/>
    <n v="-1"/>
    <n v="1"/>
    <n v="-8"/>
    <n v="8"/>
    <n v="1525.5050507597441"/>
    <n v="1597.5037829499995"/>
    <n v="0.49424561587200361"/>
    <n v="81"/>
    <n v="85"/>
    <n v="0"/>
    <n v="-4"/>
    <n v="0"/>
    <n v="0.2938047597273527"/>
    <n v="1"/>
    <n v="74.8"/>
    <n v="74.8"/>
    <n v="-10.861836238434346"/>
    <n v="1514.6432145213098"/>
    <n v="0"/>
    <n v="1"/>
    <n v="0"/>
    <n v="0"/>
    <n v="0"/>
    <n v="0"/>
    <n v="0"/>
    <n v="0"/>
    <n v="0"/>
    <n v="0"/>
  </r>
  <r>
    <d v="2019-06-14T00:00:00"/>
    <n v="2019"/>
    <x v="5"/>
    <s v="R"/>
    <s v="RS"/>
    <x v="10"/>
    <s v="PHX"/>
    <s v="A"/>
    <n v="5"/>
    <n v="2"/>
    <n v="3"/>
    <n v="-3"/>
    <n v="16"/>
    <n v="-16"/>
    <n v="1528.7244064458716"/>
    <n v="1529.3356979201303"/>
    <n v="0.42485971846782511"/>
    <n v="85"/>
    <n v="68"/>
    <n v="0"/>
    <n v="17"/>
    <n v="1"/>
    <n v="0.53217097609821662"/>
    <n v="1"/>
    <n v="75.099999999999994"/>
    <n v="75.099999999999994"/>
    <n v="22.986079672730181"/>
    <n v="1551.7104861186019"/>
    <n v="1"/>
    <n v="0"/>
    <n v="0"/>
    <n v="0"/>
    <n v="0"/>
    <n v="0"/>
    <n v="0"/>
    <n v="0"/>
    <n v="0"/>
    <n v="0"/>
  </r>
  <r>
    <d v="2019-06-14T00:00:00"/>
    <n v="2019"/>
    <x v="5"/>
    <s v="R"/>
    <s v="RS"/>
    <x v="8"/>
    <s v="LAS"/>
    <s v="H"/>
    <n v="2"/>
    <n v="5"/>
    <n v="-3"/>
    <n v="3"/>
    <n v="-16"/>
    <n v="16"/>
    <n v="1529.3356979201303"/>
    <n v="1528.7244064458716"/>
    <n v="0.57514028153217489"/>
    <n v="68"/>
    <n v="85"/>
    <n v="0"/>
    <n v="-17"/>
    <n v="0"/>
    <n v="0.53217097609821662"/>
    <n v="1"/>
    <n v="75.099999999999994"/>
    <n v="75.099999999999994"/>
    <n v="-22.986079672730181"/>
    <n v="1506.3496182474"/>
    <n v="0"/>
    <n v="1"/>
    <n v="0"/>
    <n v="0"/>
    <n v="0"/>
    <n v="0"/>
    <n v="0"/>
    <n v="0"/>
    <n v="0"/>
    <n v="0"/>
  </r>
  <r>
    <d v="2019-06-14T00:00:00"/>
    <n v="2019"/>
    <x v="7"/>
    <s v="R"/>
    <s v="RS"/>
    <x v="9"/>
    <s v="WAS"/>
    <s v="A"/>
    <n v="2"/>
    <n v="2"/>
    <n v="0"/>
    <n v="0"/>
    <n v="0"/>
    <n v="0"/>
    <n v="1602.5827339954926"/>
    <n v="1561.4399449160489"/>
    <n v="0.43863444552975095"/>
    <n v="74"/>
    <n v="71"/>
    <n v="0"/>
    <n v="3"/>
    <n v="1"/>
    <n v="0.28056419324381265"/>
    <n v="1"/>
    <n v="74.8"/>
    <n v="74.8"/>
    <n v="11.780930728079861"/>
    <n v="1614.3636647235726"/>
    <n v="1"/>
    <n v="0"/>
    <n v="0"/>
    <n v="0"/>
    <n v="0"/>
    <n v="0"/>
    <n v="0"/>
    <n v="0"/>
    <n v="0"/>
    <n v="0"/>
  </r>
  <r>
    <d v="2019-06-14T00:00:00"/>
    <n v="2019"/>
    <x v="6"/>
    <s v="R"/>
    <s v="RS"/>
    <x v="4"/>
    <s v="SEA"/>
    <s v="H"/>
    <n v="2"/>
    <n v="2"/>
    <n v="0"/>
    <n v="0"/>
    <n v="0"/>
    <n v="0"/>
    <n v="1561.4399449160489"/>
    <n v="1602.5827339954926"/>
    <n v="0.56136555447024905"/>
    <n v="71"/>
    <n v="74"/>
    <n v="0"/>
    <n v="-3"/>
    <n v="0"/>
    <n v="0.28056419324381265"/>
    <n v="1"/>
    <n v="74.95"/>
    <n v="74.95"/>
    <n v="-11.804555589165584"/>
    <n v="1549.6353893268833"/>
    <n v="0"/>
    <n v="1"/>
    <n v="0"/>
    <n v="0"/>
    <n v="0"/>
    <n v="0"/>
    <n v="0"/>
    <n v="0"/>
    <n v="0"/>
    <n v="0"/>
  </r>
  <r>
    <d v="2019-06-15T00:00:00"/>
    <n v="2019"/>
    <x v="5"/>
    <s v="R"/>
    <s v="RS"/>
    <x v="1"/>
    <s v="DAL"/>
    <s v="A"/>
    <n v="5"/>
    <n v="1"/>
    <n v="4"/>
    <n v="-4"/>
    <n v="16"/>
    <n v="-16"/>
    <n v="1461.4564687758145"/>
    <n v="1415.7140046292541"/>
    <n v="0.49099565561333947"/>
    <n v="61"/>
    <n v="71"/>
    <n v="0"/>
    <n v="-10"/>
    <n v="0"/>
    <n v="0.40759278407242588"/>
    <n v="1"/>
    <n v="75.099999999999994"/>
    <n v="75.099999999999994"/>
    <n v="-15.029484096541919"/>
    <n v="1446.4269846792727"/>
    <n v="0"/>
    <n v="1"/>
    <n v="0"/>
    <n v="0"/>
    <n v="0"/>
    <n v="0"/>
    <n v="0"/>
    <n v="0"/>
    <n v="0"/>
    <n v="0"/>
  </r>
  <r>
    <d v="2019-06-15T00:00:00"/>
    <n v="2019"/>
    <x v="5"/>
    <s v="R"/>
    <s v="RS"/>
    <x v="0"/>
    <s v="ATL"/>
    <s v="H"/>
    <n v="1"/>
    <n v="5"/>
    <n v="-4"/>
    <n v="4"/>
    <n v="-16"/>
    <n v="16"/>
    <n v="1415.7140046292541"/>
    <n v="1461.4564687758145"/>
    <n v="0.50900434438666053"/>
    <n v="71"/>
    <n v="61"/>
    <n v="0"/>
    <n v="10"/>
    <n v="1"/>
    <n v="0.40759278407242588"/>
    <n v="1"/>
    <n v="75.099999999999994"/>
    <n v="75.099999999999994"/>
    <n v="15.029484096541919"/>
    <n v="1430.7434887257959"/>
    <n v="1"/>
    <n v="0"/>
    <n v="0"/>
    <n v="0"/>
    <n v="0"/>
    <n v="0"/>
    <n v="0"/>
    <n v="0"/>
    <n v="0"/>
    <n v="0"/>
  </r>
  <r>
    <d v="2019-06-15T00:00:00"/>
    <n v="2019"/>
    <x v="5"/>
    <s v="R"/>
    <s v="RS"/>
    <x v="6"/>
    <s v="IND"/>
    <s v="A"/>
    <n v="3"/>
    <n v="1"/>
    <n v="2"/>
    <n v="-2"/>
    <n v="16"/>
    <n v="-16"/>
    <n v="1469.4609720867361"/>
    <n v="1436.8676936807644"/>
    <n v="0.47210049212832861"/>
    <n v="70"/>
    <n v="64"/>
    <n v="0"/>
    <n v="6"/>
    <n v="1"/>
    <n v="0.3419918968358604"/>
    <n v="1"/>
    <n v="75.099999999999994"/>
    <n v="75.099999999999994"/>
    <n v="13.558355288084833"/>
    <n v="1483.0193273748209"/>
    <n v="1"/>
    <n v="0"/>
    <n v="0"/>
    <n v="0"/>
    <n v="0"/>
    <n v="0"/>
    <n v="0"/>
    <n v="0"/>
    <n v="0"/>
    <n v="0"/>
  </r>
  <r>
    <d v="2019-06-15T00:00:00"/>
    <n v="2019"/>
    <x v="7"/>
    <s v="R"/>
    <s v="RS"/>
    <x v="2"/>
    <s v="CHI"/>
    <s v="H"/>
    <n v="1"/>
    <n v="3"/>
    <n v="-2"/>
    <n v="2"/>
    <n v="-16"/>
    <n v="16"/>
    <n v="1436.8676936807644"/>
    <n v="1469.4609720867361"/>
    <n v="0.52789950787167139"/>
    <n v="64"/>
    <n v="70"/>
    <n v="0"/>
    <n v="-6"/>
    <n v="0"/>
    <n v="0.3419918968358604"/>
    <n v="1"/>
    <n v="74.8"/>
    <n v="74.8"/>
    <n v="-13.504194081874108"/>
    <n v="1423.3634995988903"/>
    <n v="0"/>
    <n v="1"/>
    <n v="0"/>
    <n v="0"/>
    <n v="0"/>
    <n v="0"/>
    <n v="0"/>
    <n v="0"/>
    <n v="0"/>
    <n v="0"/>
  </r>
  <r>
    <d v="2019-06-15T00:00:00"/>
    <n v="2019"/>
    <x v="7"/>
    <s v="R"/>
    <s v="RS"/>
    <x v="3"/>
    <s v="LAS"/>
    <s v="A"/>
    <n v="0"/>
    <n v="0"/>
    <n v="0"/>
    <n v="0"/>
    <n v="0"/>
    <n v="0"/>
    <n v="1384.0952435851302"/>
    <n v="1551.7104861186019"/>
    <n v="0.19024580893076729"/>
    <n v="98"/>
    <n v="92"/>
    <n v="0"/>
    <n v="6"/>
    <n v="1"/>
    <n v="0.30822770922639314"/>
    <n v="1"/>
    <n v="74.8"/>
    <n v="74.8"/>
    <n v="18.669233215360602"/>
    <n v="1402.7644768004909"/>
    <n v="1"/>
    <n v="0"/>
    <n v="0"/>
    <n v="0"/>
    <n v="0"/>
    <n v="0"/>
    <n v="0"/>
    <n v="0"/>
    <n v="0"/>
    <n v="0"/>
  </r>
  <r>
    <d v="2019-06-15T00:00:00"/>
    <n v="2019"/>
    <x v="6"/>
    <s v="R"/>
    <s v="RS"/>
    <x v="10"/>
    <s v="NYL"/>
    <s v="H"/>
    <n v="0"/>
    <n v="0"/>
    <n v="0"/>
    <n v="0"/>
    <n v="0"/>
    <n v="0"/>
    <n v="1551.7104861186019"/>
    <n v="1384.0952435851302"/>
    <n v="0.80975419106923274"/>
    <n v="92"/>
    <n v="98"/>
    <n v="0"/>
    <n v="-6"/>
    <n v="0"/>
    <n v="0.30822770922639314"/>
    <n v="1"/>
    <n v="74.95"/>
    <n v="74.95"/>
    <n v="-18.706671517263064"/>
    <n v="1533.0038146013389"/>
    <n v="0"/>
    <n v="1"/>
    <n v="0"/>
    <n v="0"/>
    <n v="0"/>
    <n v="0"/>
    <n v="0"/>
    <n v="0"/>
    <n v="0"/>
    <n v="0"/>
  </r>
  <r>
    <d v="2019-06-16T00:00:00"/>
    <n v="2019"/>
    <x v="8"/>
    <s v="R"/>
    <s v="RS"/>
    <x v="9"/>
    <s v="CON"/>
    <s v="A"/>
    <n v="1"/>
    <n v="1"/>
    <n v="0"/>
    <n v="0"/>
    <n v="0"/>
    <n v="0"/>
    <n v="1614.3636647235726"/>
    <n v="1608.3656191884338"/>
    <n v="0.38959490234021843"/>
    <n v="67"/>
    <n v="81"/>
    <n v="0"/>
    <n v="-14"/>
    <n v="0"/>
    <n v="0.48518297886733414"/>
    <n v="1"/>
    <n v="74.650000000000006"/>
    <n v="74.650000000000006"/>
    <n v="-14.110702459827515"/>
    <n v="1600.2529622637451"/>
    <n v="0"/>
    <n v="1"/>
    <n v="0"/>
    <n v="0"/>
    <n v="0"/>
    <n v="0"/>
    <n v="0"/>
    <n v="0"/>
    <n v="0"/>
    <n v="0"/>
  </r>
  <r>
    <d v="2019-06-16T00:00:00"/>
    <n v="2019"/>
    <x v="8"/>
    <s v="R"/>
    <s v="RS"/>
    <x v="5"/>
    <s v="SEA"/>
    <s v="H"/>
    <n v="1"/>
    <n v="1"/>
    <n v="0"/>
    <n v="0"/>
    <n v="0"/>
    <n v="0"/>
    <n v="1608.3656191884338"/>
    <n v="1614.3636647235726"/>
    <n v="0.61040509765978168"/>
    <n v="81"/>
    <n v="67"/>
    <n v="0"/>
    <n v="14"/>
    <n v="1"/>
    <n v="0.48518297886733414"/>
    <n v="1"/>
    <n v="74.650000000000006"/>
    <n v="74.650000000000006"/>
    <n v="14.110702459827511"/>
    <n v="1622.4763216482613"/>
    <n v="1"/>
    <n v="0"/>
    <n v="0"/>
    <n v="0"/>
    <n v="0"/>
    <n v="0"/>
    <n v="0"/>
    <n v="0"/>
    <n v="0"/>
    <n v="0"/>
  </r>
  <r>
    <d v="2019-06-16T00:00:00"/>
    <n v="2019"/>
    <x v="6"/>
    <s v="R"/>
    <s v="RS"/>
    <x v="11"/>
    <s v="MIN"/>
    <s v="A"/>
    <n v="1"/>
    <n v="1"/>
    <n v="0"/>
    <n v="0"/>
    <n v="0"/>
    <n v="0"/>
    <n v="1487.2773427066077"/>
    <n v="1514.6432145213098"/>
    <n v="0.34500391566731781"/>
    <n v="80"/>
    <n v="75"/>
    <n v="0"/>
    <n v="5"/>
    <n v="1"/>
    <n v="0.32435900304518184"/>
    <n v="1"/>
    <n v="74.95"/>
    <n v="74.95"/>
    <n v="15.923418074602866"/>
    <n v="1503.2007607812106"/>
    <n v="1"/>
    <n v="0"/>
    <n v="0"/>
    <n v="0"/>
    <n v="0"/>
    <n v="0"/>
    <n v="0"/>
    <n v="0"/>
    <n v="0"/>
    <n v="0"/>
  </r>
  <r>
    <d v="2019-06-16T00:00:00"/>
    <n v="2019"/>
    <x v="8"/>
    <s v="R"/>
    <s v="RS"/>
    <x v="7"/>
    <s v="LVA"/>
    <s v="H"/>
    <n v="1"/>
    <n v="1"/>
    <n v="0"/>
    <n v="0"/>
    <n v="0"/>
    <n v="0"/>
    <n v="1514.6432145213098"/>
    <n v="1487.2773427066077"/>
    <n v="0.65499608433268208"/>
    <n v="75"/>
    <n v="80"/>
    <n v="0"/>
    <n v="-5"/>
    <n v="0"/>
    <n v="0.32435900304518184"/>
    <n v="1"/>
    <n v="74.650000000000006"/>
    <n v="74.650000000000006"/>
    <n v="-15.859681911529069"/>
    <n v="1498.7835326097807"/>
    <n v="0"/>
    <n v="1"/>
    <n v="0"/>
    <n v="0"/>
    <n v="0"/>
    <n v="0"/>
    <n v="0"/>
    <n v="0"/>
    <n v="0"/>
    <n v="0"/>
  </r>
  <r>
    <d v="2019-06-18T00:00:00"/>
    <n v="2019"/>
    <x v="7"/>
    <s v="R"/>
    <s v="RS"/>
    <x v="4"/>
    <s v="LAS"/>
    <s v="A"/>
    <n v="3"/>
    <n v="2"/>
    <n v="1"/>
    <n v="-1"/>
    <n v="8"/>
    <n v="-8"/>
    <n v="1549.6353893268833"/>
    <n v="1533.0038146013389"/>
    <n v="0.42660888476167691"/>
    <n v="81"/>
    <n v="52"/>
    <n v="0"/>
    <n v="29"/>
    <n v="1"/>
    <n v="0.68191189613033321"/>
    <n v="1"/>
    <n v="74.8"/>
    <n v="74.8"/>
    <n v="29.246966251710557"/>
    <n v="1578.8823555785939"/>
    <n v="1"/>
    <n v="0"/>
    <n v="0"/>
    <n v="0"/>
    <n v="0"/>
    <n v="0"/>
    <n v="0"/>
    <n v="0"/>
    <n v="0"/>
    <n v="0"/>
  </r>
  <r>
    <d v="2019-06-18T00:00:00"/>
    <n v="2019"/>
    <x v="7"/>
    <s v="R"/>
    <s v="RS"/>
    <x v="10"/>
    <s v="WAS"/>
    <s v="H"/>
    <n v="2"/>
    <n v="3"/>
    <n v="-1"/>
    <n v="1"/>
    <n v="-8"/>
    <n v="8"/>
    <n v="1533.0038146013389"/>
    <n v="1549.6353893268833"/>
    <n v="0.57339111523832309"/>
    <n v="52"/>
    <n v="81"/>
    <n v="0"/>
    <n v="-29"/>
    <n v="0"/>
    <n v="0.68191189613033321"/>
    <n v="1"/>
    <n v="74.8"/>
    <n v="74.8"/>
    <n v="-29.246966251710557"/>
    <n v="1503.7568483496284"/>
    <n v="0"/>
    <n v="1"/>
    <n v="0"/>
    <n v="0"/>
    <n v="0"/>
    <n v="0"/>
    <n v="0"/>
    <n v="0"/>
    <n v="0"/>
    <n v="0"/>
  </r>
  <r>
    <d v="2019-06-19T00:00:00"/>
    <n v="2019"/>
    <x v="8"/>
    <s v="R"/>
    <s v="RS"/>
    <x v="2"/>
    <s v="ATL"/>
    <s v="A"/>
    <n v="3"/>
    <n v="3"/>
    <n v="0"/>
    <n v="0"/>
    <n v="0"/>
    <n v="0"/>
    <n v="1423.3634995988903"/>
    <n v="1446.4269846792727"/>
    <n v="0.35062184055221668"/>
    <n v="78"/>
    <n v="88"/>
    <n v="0"/>
    <n v="-10"/>
    <n v="0"/>
    <n v="0.41515068137723848"/>
    <n v="1"/>
    <n v="74.650000000000006"/>
    <n v="74.650000000000006"/>
    <n v="-10.86612088722072"/>
    <n v="1412.4973787116696"/>
    <n v="0"/>
    <n v="1"/>
    <n v="0"/>
    <n v="0"/>
    <n v="0"/>
    <n v="0"/>
    <n v="0"/>
    <n v="0"/>
    <n v="0"/>
    <n v="0"/>
  </r>
  <r>
    <d v="2019-06-19T00:00:00"/>
    <n v="2019"/>
    <x v="6"/>
    <s v="R"/>
    <s v="RS"/>
    <x v="1"/>
    <s v="IND"/>
    <s v="H"/>
    <n v="3"/>
    <n v="3"/>
    <n v="0"/>
    <n v="0"/>
    <n v="0"/>
    <n v="0"/>
    <n v="1446.4269846792727"/>
    <n v="1423.3634995988903"/>
    <n v="0.64937815944778321"/>
    <n v="88"/>
    <n v="78"/>
    <n v="0"/>
    <n v="10"/>
    <n v="1"/>
    <n v="0.41515068137723848"/>
    <n v="1"/>
    <n v="74.95"/>
    <n v="74.95"/>
    <n v="10.909789156024022"/>
    <n v="1457.3367738352968"/>
    <n v="1"/>
    <n v="0"/>
    <n v="0"/>
    <n v="0"/>
    <n v="0"/>
    <n v="0"/>
    <n v="0"/>
    <n v="0"/>
    <n v="0"/>
    <n v="0"/>
  </r>
  <r>
    <d v="2019-06-19T00:00:00"/>
    <n v="2019"/>
    <x v="6"/>
    <s v="R"/>
    <s v="RS"/>
    <x v="6"/>
    <s v="NYL"/>
    <s v="A"/>
    <n v="3"/>
    <n v="3"/>
    <n v="0"/>
    <n v="0"/>
    <n v="0"/>
    <n v="0"/>
    <n v="1483.0193273748209"/>
    <n v="1402.7644768004909"/>
    <n v="0.49461050546946222"/>
    <n v="91"/>
    <n v="83"/>
    <n v="0"/>
    <n v="8"/>
    <n v="1"/>
    <n v="0.36397334624005978"/>
    <n v="1"/>
    <n v="74.95"/>
    <n v="74.95"/>
    <n v="13.786925495639974"/>
    <n v="1496.8062528704609"/>
    <n v="1"/>
    <n v="0"/>
    <n v="0"/>
    <n v="0"/>
    <n v="0"/>
    <n v="0"/>
    <n v="0"/>
    <n v="0"/>
    <n v="0"/>
    <n v="0"/>
  </r>
  <r>
    <d v="2019-06-19T00:00:00"/>
    <n v="2019"/>
    <x v="8"/>
    <s v="R"/>
    <s v="RS"/>
    <x v="3"/>
    <s v="CHI"/>
    <s v="H"/>
    <n v="3"/>
    <n v="3"/>
    <n v="0"/>
    <n v="0"/>
    <n v="0"/>
    <n v="0"/>
    <n v="1402.7644768004909"/>
    <n v="1483.0193273748209"/>
    <n v="0.50538949453053783"/>
    <n v="83"/>
    <n v="91"/>
    <n v="0"/>
    <n v="-8"/>
    <n v="0"/>
    <n v="0.36397334624005978"/>
    <n v="1"/>
    <n v="74.650000000000006"/>
    <n v="74.650000000000006"/>
    <n v="-13.731741003996321"/>
    <n v="1389.0327357964945"/>
    <n v="0"/>
    <n v="1"/>
    <n v="0"/>
    <n v="0"/>
    <n v="0"/>
    <n v="0"/>
    <n v="0"/>
    <n v="0"/>
    <n v="0"/>
    <n v="0"/>
  </r>
  <r>
    <d v="2019-06-20T00:00:00"/>
    <n v="2019"/>
    <x v="6"/>
    <s v="R"/>
    <s v="RS"/>
    <x v="8"/>
    <s v="DAL"/>
    <s v="A"/>
    <n v="5"/>
    <n v="4"/>
    <n v="1"/>
    <n v="-1"/>
    <n v="8"/>
    <n v="-8"/>
    <n v="1506.3496182474"/>
    <n v="1430.7434887257959"/>
    <n v="0.51094435191074472"/>
    <n v="54"/>
    <n v="69"/>
    <n v="0"/>
    <n v="-15"/>
    <n v="0"/>
    <n v="0.47304384926467735"/>
    <n v="1"/>
    <n v="74.95"/>
    <n v="74.95"/>
    <n v="-18.115346269943451"/>
    <n v="1488.2342719774565"/>
    <n v="0"/>
    <n v="1"/>
    <n v="0"/>
    <n v="0"/>
    <n v="0"/>
    <n v="0"/>
    <n v="0"/>
    <n v="0"/>
    <n v="0"/>
    <n v="0"/>
  </r>
  <r>
    <d v="2019-06-20T00:00:00"/>
    <n v="2019"/>
    <x v="6"/>
    <s v="R"/>
    <s v="RS"/>
    <x v="0"/>
    <s v="PHX"/>
    <s v="H"/>
    <n v="4"/>
    <n v="5"/>
    <n v="-1"/>
    <n v="1"/>
    <n v="-8"/>
    <n v="8"/>
    <n v="1430.7434887257959"/>
    <n v="1506.3496182474"/>
    <n v="0.48905564808925528"/>
    <n v="69"/>
    <n v="54"/>
    <n v="0"/>
    <n v="15"/>
    <n v="1"/>
    <n v="0.47304384926467735"/>
    <n v="1"/>
    <n v="74.95"/>
    <n v="74.95"/>
    <n v="18.115346269943451"/>
    <n v="1448.8588349957395"/>
    <n v="1"/>
    <n v="0"/>
    <n v="0"/>
    <n v="0"/>
    <n v="0"/>
    <n v="0"/>
    <n v="0"/>
    <n v="0"/>
    <n v="0"/>
    <n v="0"/>
  </r>
  <r>
    <d v="2019-06-20T00:00:00"/>
    <n v="2019"/>
    <x v="8"/>
    <s v="R"/>
    <s v="RS"/>
    <x v="4"/>
    <s v="LVA"/>
    <s v="A"/>
    <n v="1"/>
    <n v="3"/>
    <n v="-2"/>
    <n v="2"/>
    <n v="-16"/>
    <n v="16"/>
    <n v="1578.8823555785939"/>
    <n v="1503.2007607812106"/>
    <n v="0.44223621228619248"/>
    <n v="95"/>
    <n v="72"/>
    <n v="0"/>
    <n v="23"/>
    <n v="1"/>
    <n v="0.57883199544914898"/>
    <n v="1"/>
    <n v="74.650000000000006"/>
    <n v="74.650000000000006"/>
    <n v="24.100866433193328"/>
    <n v="1602.9832220117871"/>
    <n v="1"/>
    <n v="0"/>
    <n v="0"/>
    <n v="0"/>
    <n v="0"/>
    <n v="0"/>
    <n v="0"/>
    <n v="0"/>
    <n v="0"/>
    <n v="0"/>
  </r>
  <r>
    <d v="2019-06-20T00:00:00"/>
    <n v="2019"/>
    <x v="7"/>
    <s v="R"/>
    <s v="RS"/>
    <x v="11"/>
    <s v="WAS"/>
    <s v="H"/>
    <n v="3"/>
    <n v="1"/>
    <n v="2"/>
    <n v="-2"/>
    <n v="16"/>
    <n v="-16"/>
    <n v="1503.2007607812106"/>
    <n v="1578.8823555785939"/>
    <n v="0.55776378771380741"/>
    <n v="72"/>
    <n v="95"/>
    <n v="0"/>
    <n v="-23"/>
    <n v="0"/>
    <n v="0.57883199544914898"/>
    <n v="1"/>
    <n v="74.8"/>
    <n v="74.8"/>
    <n v="-24.149294162128069"/>
    <n v="1479.0514666190825"/>
    <n v="0"/>
    <n v="1"/>
    <n v="0"/>
    <n v="0"/>
    <n v="0"/>
    <n v="0"/>
    <n v="0"/>
    <n v="0"/>
    <n v="0"/>
    <n v="0"/>
  </r>
  <r>
    <d v="2019-06-21T00:00:00"/>
    <n v="2019"/>
    <x v="9"/>
    <s v="R"/>
    <s v="RS"/>
    <x v="2"/>
    <s v="CHI"/>
    <s v="A"/>
    <n v="1"/>
    <n v="1"/>
    <n v="0"/>
    <n v="0"/>
    <n v="0"/>
    <n v="0"/>
    <n v="1412.4973787116696"/>
    <n v="1496.8062528704609"/>
    <n v="0.27510703653727792"/>
    <n v="76"/>
    <n v="69"/>
    <n v="0"/>
    <n v="7"/>
    <n v="1"/>
    <n v="0.34581136665857232"/>
    <n v="1"/>
    <n v="74.5"/>
    <n v="74.5"/>
    <n v="18.675378865028872"/>
    <n v="1431.1727575766986"/>
    <n v="1"/>
    <n v="0"/>
    <n v="0"/>
    <n v="0"/>
    <n v="0"/>
    <n v="0"/>
    <n v="0"/>
    <n v="0"/>
    <n v="0"/>
    <n v="0"/>
  </r>
  <r>
    <d v="2019-06-21T00:00:00"/>
    <n v="2019"/>
    <x v="7"/>
    <s v="R"/>
    <s v="RS"/>
    <x v="6"/>
    <s v="IND"/>
    <s v="H"/>
    <n v="1"/>
    <n v="1"/>
    <n v="0"/>
    <n v="0"/>
    <n v="0"/>
    <n v="0"/>
    <n v="1496.8062528704609"/>
    <n v="1412.4973787116696"/>
    <n v="0.72489296346272203"/>
    <n v="69"/>
    <n v="76"/>
    <n v="0"/>
    <n v="-7"/>
    <n v="0"/>
    <n v="0.34581136665857232"/>
    <n v="1"/>
    <n v="74.8"/>
    <n v="74.8"/>
    <n v="-18.750581732941736"/>
    <n v="1478.0556711375191"/>
    <n v="0"/>
    <n v="1"/>
    <n v="0"/>
    <n v="0"/>
    <n v="0"/>
    <n v="0"/>
    <n v="0"/>
    <n v="0"/>
    <n v="0"/>
    <n v="0"/>
  </r>
  <r>
    <d v="2019-06-21T00:00:00"/>
    <n v="2019"/>
    <x v="7"/>
    <s v="R"/>
    <s v="RS"/>
    <x v="1"/>
    <s v="CON"/>
    <s v="A"/>
    <n v="1"/>
    <n v="4"/>
    <n v="-3"/>
    <n v="3"/>
    <n v="-16"/>
    <n v="16"/>
    <n v="1457.3367738352968"/>
    <n v="1622.4763216482613"/>
    <n v="0.16542988235888528"/>
    <n v="76"/>
    <n v="86"/>
    <n v="0"/>
    <n v="-10"/>
    <n v="0"/>
    <n v="0.37194412835830282"/>
    <n v="1"/>
    <n v="74.8"/>
    <n v="74.8"/>
    <n v="-4.6024943701997341"/>
    <n v="1452.734279465097"/>
    <n v="0"/>
    <n v="1"/>
    <n v="0"/>
    <n v="0"/>
    <n v="0"/>
    <n v="0"/>
    <n v="0"/>
    <n v="0"/>
    <n v="0"/>
    <n v="0"/>
  </r>
  <r>
    <d v="2019-06-21T00:00:00"/>
    <n v="2019"/>
    <x v="9"/>
    <s v="R"/>
    <s v="RS"/>
    <x v="5"/>
    <s v="ATL"/>
    <s v="H"/>
    <n v="4"/>
    <n v="1"/>
    <n v="3"/>
    <n v="-3"/>
    <n v="16"/>
    <n v="-16"/>
    <n v="1622.4763216482613"/>
    <n v="1457.3367738352968"/>
    <n v="0.83457011764111477"/>
    <n v="86"/>
    <n v="76"/>
    <n v="0"/>
    <n v="10"/>
    <n v="1"/>
    <n v="0.37194412835830282"/>
    <n v="1"/>
    <n v="74.5"/>
    <n v="74.5"/>
    <n v="4.5840351681802147"/>
    <n v="1627.0603568164415"/>
    <n v="1"/>
    <n v="0"/>
    <n v="0"/>
    <n v="0"/>
    <n v="0"/>
    <n v="0"/>
    <n v="0"/>
    <n v="0"/>
    <n v="0"/>
    <n v="0"/>
  </r>
  <r>
    <d v="2019-06-21T00:00:00"/>
    <n v="2019"/>
    <x v="8"/>
    <s v="R"/>
    <s v="RS"/>
    <x v="10"/>
    <s v="SEA"/>
    <s v="A"/>
    <n v="2"/>
    <n v="4"/>
    <n v="-2"/>
    <n v="2"/>
    <n v="-16"/>
    <n v="16"/>
    <n v="1503.7568483496284"/>
    <n v="1600.2529622637451"/>
    <n v="0.22736923975307391"/>
    <n v="62"/>
    <n v="84"/>
    <n v="0"/>
    <n v="-22"/>
    <n v="0"/>
    <n v="0.55724610188231216"/>
    <n v="1"/>
    <n v="74.650000000000006"/>
    <n v="74.650000000000006"/>
    <n v="-9.4582014726367767"/>
    <n v="1494.2986468769916"/>
    <n v="0"/>
    <n v="1"/>
    <n v="0"/>
    <n v="0"/>
    <n v="0"/>
    <n v="0"/>
    <n v="0"/>
    <n v="0"/>
    <n v="0"/>
    <n v="0"/>
  </r>
  <r>
    <d v="2019-06-21T00:00:00"/>
    <n v="2019"/>
    <x v="9"/>
    <s v="R"/>
    <s v="RS"/>
    <x v="9"/>
    <s v="LAS"/>
    <s v="H"/>
    <n v="4"/>
    <n v="2"/>
    <n v="2"/>
    <n v="-2"/>
    <n v="16"/>
    <n v="-16"/>
    <n v="1600.2529622637451"/>
    <n v="1503.7568483496284"/>
    <n v="0.77263076024692612"/>
    <n v="84"/>
    <n v="62"/>
    <n v="0"/>
    <n v="22"/>
    <n v="1"/>
    <n v="0.55724610188231216"/>
    <n v="1"/>
    <n v="74.5"/>
    <n v="74.5"/>
    <n v="9.4391963792557227"/>
    <n v="1609.6921586430008"/>
    <n v="1"/>
    <n v="0"/>
    <n v="0"/>
    <n v="0"/>
    <n v="0"/>
    <n v="0"/>
    <n v="0"/>
    <n v="0"/>
    <n v="0"/>
    <n v="0"/>
  </r>
  <r>
    <d v="2019-06-22T00:00:00"/>
    <n v="2019"/>
    <x v="7"/>
    <s v="R"/>
    <s v="RS"/>
    <x v="0"/>
    <s v="LVA"/>
    <s v="A"/>
    <n v="1"/>
    <n v="1"/>
    <n v="0"/>
    <n v="0"/>
    <n v="0"/>
    <n v="0"/>
    <n v="1448.8588349957395"/>
    <n v="1479.0514666190825"/>
    <n v="0.34133613115963879"/>
    <n v="68"/>
    <n v="86"/>
    <n v="0"/>
    <n v="-18"/>
    <n v="0"/>
    <n v="0.53341298076681953"/>
    <n v="1"/>
    <n v="74.8"/>
    <n v="74.8"/>
    <n v="-13.619069612762718"/>
    <n v="1435.2397653829767"/>
    <n v="0"/>
    <n v="1"/>
    <n v="0"/>
    <n v="0"/>
    <n v="0"/>
    <n v="0"/>
    <n v="0"/>
    <n v="0"/>
    <n v="0"/>
    <n v="0"/>
  </r>
  <r>
    <d v="2019-06-22T00:00:00"/>
    <n v="2019"/>
    <x v="8"/>
    <s v="R"/>
    <s v="RS"/>
    <x v="11"/>
    <s v="DAL"/>
    <s v="H"/>
    <n v="1"/>
    <n v="1"/>
    <n v="0"/>
    <n v="0"/>
    <n v="0"/>
    <n v="0"/>
    <n v="1479.0514666190825"/>
    <n v="1448.8588349957395"/>
    <n v="0.65866386884036121"/>
    <n v="86"/>
    <n v="68"/>
    <n v="0"/>
    <n v="18"/>
    <n v="1"/>
    <n v="0.53341298076681953"/>
    <n v="1"/>
    <n v="74.650000000000006"/>
    <n v="74.650000000000006"/>
    <n v="13.591758644287928"/>
    <n v="1492.6432252633704"/>
    <n v="1"/>
    <n v="0"/>
    <n v="0"/>
    <n v="0"/>
    <n v="0"/>
    <n v="0"/>
    <n v="0"/>
    <n v="0"/>
    <n v="0"/>
    <n v="0"/>
  </r>
  <r>
    <d v="2019-06-22T00:00:00"/>
    <n v="2019"/>
    <x v="9"/>
    <s v="R"/>
    <s v="RS"/>
    <x v="3"/>
    <s v="MIN"/>
    <s v="A"/>
    <n v="2"/>
    <n v="5"/>
    <n v="-3"/>
    <n v="3"/>
    <n v="-16"/>
    <n v="16"/>
    <n v="1389.0327357964945"/>
    <n v="1498.7835326097807"/>
    <n v="0.21424479299364507"/>
    <n v="83"/>
    <n v="92"/>
    <n v="0"/>
    <n v="-9"/>
    <n v="0"/>
    <n v="0.37195307211264877"/>
    <n v="1"/>
    <n v="74.5"/>
    <n v="74.5"/>
    <n v="-5.9368311658902959"/>
    <n v="1383.0959046306043"/>
    <n v="0"/>
    <n v="1"/>
    <n v="0"/>
    <n v="0"/>
    <n v="0"/>
    <n v="0"/>
    <n v="0"/>
    <n v="0"/>
    <n v="0"/>
    <n v="0"/>
  </r>
  <r>
    <d v="2019-06-22T00:00:00"/>
    <n v="2019"/>
    <x v="9"/>
    <s v="R"/>
    <s v="RS"/>
    <x v="7"/>
    <s v="NYL"/>
    <s v="H"/>
    <n v="5"/>
    <n v="2"/>
    <n v="3"/>
    <n v="-3"/>
    <n v="16"/>
    <n v="-16"/>
    <n v="1498.7835326097807"/>
    <n v="1389.0327357964945"/>
    <n v="0.78575520700635493"/>
    <n v="92"/>
    <n v="83"/>
    <n v="0"/>
    <n v="9"/>
    <n v="1"/>
    <n v="0.37195307211264877"/>
    <n v="1"/>
    <n v="74.5"/>
    <n v="74.5"/>
    <n v="5.9368311658902959"/>
    <n v="1504.7203637756709"/>
    <n v="1"/>
    <n v="0"/>
    <n v="0"/>
    <n v="0"/>
    <n v="0"/>
    <n v="0"/>
    <n v="0"/>
    <n v="0"/>
    <n v="0"/>
    <n v="0"/>
  </r>
  <r>
    <d v="2019-06-23T00:00:00"/>
    <n v="2019"/>
    <x v="9"/>
    <s v="R"/>
    <s v="RS"/>
    <x v="4"/>
    <s v="ATL"/>
    <s v="A"/>
    <n v="2"/>
    <n v="1"/>
    <n v="1"/>
    <n v="-1"/>
    <n v="8"/>
    <n v="-8"/>
    <n v="1602.9832220117871"/>
    <n v="1452.734279465097"/>
    <n v="0.61620306736101171"/>
    <n v="89"/>
    <n v="73"/>
    <n v="0"/>
    <n v="16"/>
    <n v="1"/>
    <n v="0.46016939481112673"/>
    <n v="1"/>
    <n v="74.5"/>
    <n v="74.5"/>
    <n v="13.157564365602324"/>
    <n v="1616.1407863773895"/>
    <n v="1"/>
    <n v="0"/>
    <n v="0"/>
    <n v="0"/>
    <n v="0"/>
    <n v="0"/>
    <n v="0"/>
    <n v="0"/>
    <n v="0"/>
    <n v="0"/>
  </r>
  <r>
    <d v="2019-06-23T00:00:00"/>
    <n v="2019"/>
    <x v="8"/>
    <s v="R"/>
    <s v="RS"/>
    <x v="1"/>
    <s v="WAS"/>
    <s v="H"/>
    <n v="1"/>
    <n v="2"/>
    <n v="-1"/>
    <n v="1"/>
    <n v="-8"/>
    <n v="8"/>
    <n v="1452.734279465097"/>
    <n v="1602.9832220117871"/>
    <n v="0.38379693263898818"/>
    <n v="73"/>
    <n v="89"/>
    <n v="0"/>
    <n v="-16"/>
    <n v="0"/>
    <n v="0.46016939481112673"/>
    <n v="1"/>
    <n v="74.650000000000006"/>
    <n v="74.650000000000006"/>
    <n v="-13.184056105935751"/>
    <n v="1439.5502233591612"/>
    <n v="0"/>
    <n v="1"/>
    <n v="0"/>
    <n v="0"/>
    <n v="0"/>
    <n v="0"/>
    <n v="0"/>
    <n v="0"/>
    <n v="0"/>
    <n v="0"/>
  </r>
  <r>
    <d v="2019-06-23T00:00:00"/>
    <n v="2019"/>
    <x v="10"/>
    <s v="R"/>
    <s v="RS"/>
    <x v="5"/>
    <s v="CHI"/>
    <s v="A"/>
    <n v="1"/>
    <n v="1"/>
    <n v="0"/>
    <n v="0"/>
    <n v="0"/>
    <n v="0"/>
    <n v="1627.0603568164415"/>
    <n v="1478.0556711375191"/>
    <n v="0.5924727431834057"/>
    <n v="75"/>
    <n v="93"/>
    <n v="0"/>
    <n v="-18"/>
    <n v="0"/>
    <n v="0.48643323890408507"/>
    <n v="1"/>
    <n v="74.349999999999994"/>
    <n v="74.349999999999994"/>
    <n v="-21.427553674153007"/>
    <n v="1605.6328031422886"/>
    <n v="0"/>
    <n v="1"/>
    <n v="0"/>
    <n v="0"/>
    <n v="0"/>
    <n v="0"/>
    <n v="0"/>
    <n v="0"/>
    <n v="0"/>
    <n v="0"/>
  </r>
  <r>
    <d v="2019-06-23T00:00:00"/>
    <n v="2019"/>
    <x v="8"/>
    <s v="R"/>
    <s v="RS"/>
    <x v="6"/>
    <s v="CON"/>
    <s v="H"/>
    <n v="1"/>
    <n v="1"/>
    <n v="0"/>
    <n v="0"/>
    <n v="0"/>
    <n v="0"/>
    <n v="1478.0556711375191"/>
    <n v="1627.0603568164415"/>
    <n v="0.40752725681659424"/>
    <n v="93"/>
    <n v="75"/>
    <n v="0"/>
    <n v="18"/>
    <n v="1"/>
    <n v="0.48643323890408507"/>
    <n v="1"/>
    <n v="74.650000000000006"/>
    <n v="74.650000000000006"/>
    <n v="21.51401320478174"/>
    <n v="1499.5696843423009"/>
    <n v="1"/>
    <n v="0"/>
    <n v="0"/>
    <n v="0"/>
    <n v="0"/>
    <n v="0"/>
    <n v="0"/>
    <n v="0"/>
    <n v="0"/>
    <n v="0"/>
  </r>
  <r>
    <d v="2019-06-23T00:00:00"/>
    <n v="2019"/>
    <x v="9"/>
    <s v="R"/>
    <s v="RS"/>
    <x v="10"/>
    <s v="PHX"/>
    <s v="A"/>
    <n v="1"/>
    <n v="2"/>
    <n v="-1"/>
    <n v="1"/>
    <n v="-8"/>
    <n v="8"/>
    <n v="1494.2986468769916"/>
    <n v="1488.2342719774565"/>
    <n v="0.36801617135175829"/>
    <n v="72"/>
    <n v="82"/>
    <n v="0"/>
    <n v="-10"/>
    <n v="0"/>
    <n v="0.42100210383963677"/>
    <n v="1"/>
    <n v="74.5"/>
    <n v="74.5"/>
    <n v="-11.542700887764338"/>
    <n v="1482.7559459892273"/>
    <n v="0"/>
    <n v="1"/>
    <n v="0"/>
    <n v="0"/>
    <n v="0"/>
    <n v="0"/>
    <n v="0"/>
    <n v="0"/>
    <n v="0"/>
    <n v="0"/>
  </r>
  <r>
    <d v="2019-06-23T00:00:00"/>
    <n v="2019"/>
    <x v="7"/>
    <s v="R"/>
    <s v="RS"/>
    <x v="8"/>
    <s v="LAS"/>
    <s v="H"/>
    <n v="2"/>
    <n v="1"/>
    <n v="1"/>
    <n v="-1"/>
    <n v="8"/>
    <n v="-8"/>
    <n v="1488.2342719774565"/>
    <n v="1494.2986468769916"/>
    <n v="0.63198382864824176"/>
    <n v="82"/>
    <n v="72"/>
    <n v="0"/>
    <n v="10"/>
    <n v="1"/>
    <n v="0.42100210383963677"/>
    <n v="1"/>
    <n v="74.8"/>
    <n v="74.8"/>
    <n v="11.589181562480166"/>
    <n v="1499.8234535399367"/>
    <n v="1"/>
    <n v="0"/>
    <n v="0"/>
    <n v="0"/>
    <n v="0"/>
    <n v="0"/>
    <n v="0"/>
    <n v="0"/>
    <n v="0"/>
    <n v="0"/>
  </r>
  <r>
    <d v="2019-06-23T00:00:00"/>
    <n v="2019"/>
    <x v="10"/>
    <s v="R"/>
    <s v="RS"/>
    <x v="2"/>
    <s v="SEA"/>
    <s v="A"/>
    <n v="1"/>
    <n v="1"/>
    <n v="0"/>
    <n v="0"/>
    <n v="0"/>
    <n v="0"/>
    <n v="1431.1727575766986"/>
    <n v="1609.6921586430008"/>
    <n v="0.18076351675139066"/>
    <n v="61"/>
    <n v="65"/>
    <n v="0"/>
    <n v="-4"/>
    <n v="0"/>
    <n v="0.27110193849689651"/>
    <n v="1"/>
    <n v="74.349999999999994"/>
    <n v="74.349999999999994"/>
    <n v="-3.6435470141908355"/>
    <n v="1427.5292105625078"/>
    <n v="0"/>
    <n v="1"/>
    <n v="0"/>
    <n v="0"/>
    <n v="0"/>
    <n v="0"/>
    <n v="0"/>
    <n v="0"/>
    <n v="0"/>
    <n v="0"/>
  </r>
  <r>
    <d v="2019-06-23T00:00:00"/>
    <n v="2019"/>
    <x v="10"/>
    <s v="R"/>
    <s v="RS"/>
    <x v="9"/>
    <s v="IND"/>
    <s v="H"/>
    <n v="1"/>
    <n v="1"/>
    <n v="0"/>
    <n v="0"/>
    <n v="0"/>
    <n v="0"/>
    <n v="1609.6921586430008"/>
    <n v="1431.1727575766986"/>
    <n v="0.81923648324860932"/>
    <n v="65"/>
    <n v="61"/>
    <n v="0"/>
    <n v="4"/>
    <n v="1"/>
    <n v="0.27110193849689651"/>
    <n v="1"/>
    <n v="74.349999999999994"/>
    <n v="74.349999999999994"/>
    <n v="3.6435470141908359"/>
    <n v="1613.3357056571915"/>
    <n v="1"/>
    <n v="0"/>
    <n v="0"/>
    <n v="0"/>
    <n v="0"/>
    <n v="0"/>
    <n v="0"/>
    <n v="0"/>
    <n v="0"/>
    <n v="0"/>
  </r>
  <r>
    <d v="2019-06-25T00:00:00"/>
    <n v="2019"/>
    <x v="10"/>
    <s v="R"/>
    <s v="RS"/>
    <x v="7"/>
    <s v="IND"/>
    <s v="A"/>
    <n v="2"/>
    <n v="1"/>
    <n v="1"/>
    <n v="-1"/>
    <n v="8"/>
    <n v="-8"/>
    <n v="1504.7203637756709"/>
    <n v="1427.5292105625078"/>
    <n v="0.51322404802520905"/>
    <n v="78"/>
    <n v="74"/>
    <n v="0"/>
    <n v="4"/>
    <n v="1"/>
    <n v="0.29261029638707614"/>
    <n v="1"/>
    <n v="74.349999999999994"/>
    <n v="74.349999999999994"/>
    <n v="10.590090992480414"/>
    <n v="1515.3104547681512"/>
    <n v="1"/>
    <n v="0"/>
    <n v="0"/>
    <n v="0"/>
    <n v="0"/>
    <n v="0"/>
    <n v="0"/>
    <n v="0"/>
    <n v="0"/>
    <n v="0"/>
  </r>
  <r>
    <d v="2019-06-25T00:00:00"/>
    <n v="2019"/>
    <x v="11"/>
    <s v="R"/>
    <s v="RS"/>
    <x v="2"/>
    <s v="MIN"/>
    <s v="H"/>
    <n v="1"/>
    <n v="2"/>
    <n v="-1"/>
    <n v="1"/>
    <n v="-8"/>
    <n v="8"/>
    <n v="1427.5292105625078"/>
    <n v="1504.7203637756709"/>
    <n v="0.4867759519747909"/>
    <n v="74"/>
    <n v="78"/>
    <n v="0"/>
    <n v="-4"/>
    <n v="0"/>
    <n v="0.29261029638707614"/>
    <n v="1"/>
    <n v="74.2"/>
    <n v="74.2"/>
    <n v="-10.568725644143196"/>
    <n v="1416.9604849183647"/>
    <n v="0"/>
    <n v="1"/>
    <n v="0"/>
    <n v="0"/>
    <n v="0"/>
    <n v="0"/>
    <n v="0"/>
    <n v="0"/>
    <n v="0"/>
    <n v="0"/>
  </r>
  <r>
    <d v="2019-06-25T00:00:00"/>
    <n v="2019"/>
    <x v="11"/>
    <s v="R"/>
    <s v="RS"/>
    <x v="9"/>
    <s v="LVA"/>
    <s v="A"/>
    <n v="1"/>
    <n v="2"/>
    <n v="-1"/>
    <n v="1"/>
    <n v="-8"/>
    <n v="8"/>
    <n v="1613.3357056571915"/>
    <n v="1492.6432252633704"/>
    <n v="0.52974371314698065"/>
    <n v="56"/>
    <n v="60"/>
    <n v="0"/>
    <n v="-4"/>
    <n v="0"/>
    <n v="0.28297221906890452"/>
    <n v="1"/>
    <n v="74.2"/>
    <n v="74.2"/>
    <n v="-11.122784350287573"/>
    <n v="1602.212921306904"/>
    <n v="0"/>
    <n v="1"/>
    <n v="0"/>
    <n v="0"/>
    <n v="0"/>
    <n v="0"/>
    <n v="0"/>
    <n v="0"/>
    <n v="0"/>
    <n v="0"/>
  </r>
  <r>
    <d v="2019-06-25T00:00:00"/>
    <n v="2019"/>
    <x v="9"/>
    <s v="R"/>
    <s v="RS"/>
    <x v="11"/>
    <s v="SEA"/>
    <s v="H"/>
    <n v="2"/>
    <n v="1"/>
    <n v="1"/>
    <n v="-1"/>
    <n v="8"/>
    <n v="-8"/>
    <n v="1492.6432252633704"/>
    <n v="1613.3357056571915"/>
    <n v="0.47025628685301929"/>
    <n v="60"/>
    <n v="56"/>
    <n v="0"/>
    <n v="4"/>
    <n v="1"/>
    <n v="0.28297221906890452"/>
    <n v="1"/>
    <n v="74.5"/>
    <n v="74.5"/>
    <n v="11.167755176501673"/>
    <n v="1503.8109804398721"/>
    <n v="1"/>
    <n v="0"/>
    <n v="0"/>
    <n v="0"/>
    <n v="0"/>
    <n v="0"/>
    <n v="0"/>
    <n v="0"/>
    <n v="0"/>
    <n v="0"/>
  </r>
  <r>
    <d v="2019-06-26T00:00:00"/>
    <n v="2019"/>
    <x v="10"/>
    <s v="R"/>
    <s v="RS"/>
    <x v="4"/>
    <s v="CHI"/>
    <s v="A"/>
    <n v="2"/>
    <n v="2"/>
    <n v="0"/>
    <n v="0"/>
    <n v="0"/>
    <n v="0"/>
    <n v="1616.1407863773895"/>
    <n v="1499.5696843423009"/>
    <n v="0.54673674811437256"/>
    <n v="81"/>
    <n v="74"/>
    <n v="0"/>
    <n v="7"/>
    <n v="1"/>
    <n v="0.33733735025633826"/>
    <n v="1"/>
    <n v="74.349999999999994"/>
    <n v="74.349999999999994"/>
    <n v="11.368310121141374"/>
    <n v="1627.5090964985309"/>
    <n v="1"/>
    <n v="0"/>
    <n v="0"/>
    <n v="0"/>
    <n v="0"/>
    <n v="0"/>
    <n v="0"/>
    <n v="0"/>
    <n v="0"/>
    <n v="0"/>
  </r>
  <r>
    <d v="2019-06-26T00:00:00"/>
    <n v="2019"/>
    <x v="9"/>
    <s v="R"/>
    <s v="RS"/>
    <x v="6"/>
    <s v="WAS"/>
    <s v="H"/>
    <n v="2"/>
    <n v="2"/>
    <n v="0"/>
    <n v="0"/>
    <n v="0"/>
    <n v="0"/>
    <n v="1499.5696843423009"/>
    <n v="1616.1407863773895"/>
    <n v="0.45326325188562749"/>
    <n v="74"/>
    <n v="81"/>
    <n v="0"/>
    <n v="-7"/>
    <n v="0"/>
    <n v="0.33733735025633826"/>
    <n v="1"/>
    <n v="74.5"/>
    <n v="74.5"/>
    <n v="-11.391245514795326"/>
    <n v="1488.1784388275055"/>
    <n v="0"/>
    <n v="1"/>
    <n v="0"/>
    <n v="0"/>
    <n v="0"/>
    <n v="0"/>
    <n v="0"/>
    <n v="0"/>
    <n v="0"/>
    <n v="0"/>
  </r>
  <r>
    <d v="2019-06-26T00:00:00"/>
    <n v="2019"/>
    <x v="11"/>
    <s v="R"/>
    <s v="RS"/>
    <x v="5"/>
    <s v="DAL"/>
    <s v="A"/>
    <n v="2"/>
    <n v="3"/>
    <n v="-1"/>
    <n v="1"/>
    <n v="-8"/>
    <n v="8"/>
    <n v="1605.6328031422886"/>
    <n v="1435.2397653829767"/>
    <n v="0.59993994818889496"/>
    <n v="73"/>
    <n v="74"/>
    <n v="0"/>
    <n v="-1"/>
    <n v="0"/>
    <n v="0.21381866156986104"/>
    <n v="1"/>
    <n v="74.2"/>
    <n v="74.2"/>
    <n v="-9.5182540704078651"/>
    <n v="1596.1145490718807"/>
    <n v="0"/>
    <n v="1"/>
    <n v="0"/>
    <n v="0"/>
    <n v="0"/>
    <n v="0"/>
    <n v="0"/>
    <n v="0"/>
    <n v="0"/>
    <n v="0"/>
  </r>
  <r>
    <d v="2019-06-26T00:00:00"/>
    <n v="2019"/>
    <x v="8"/>
    <s v="R"/>
    <s v="RS"/>
    <x v="0"/>
    <s v="CON"/>
    <s v="H"/>
    <n v="3"/>
    <n v="2"/>
    <n v="1"/>
    <n v="-1"/>
    <n v="8"/>
    <n v="-8"/>
    <n v="1435.2397653829767"/>
    <n v="1605.6328031422886"/>
    <n v="0.40006005181110504"/>
    <n v="74"/>
    <n v="73"/>
    <n v="0"/>
    <n v="1"/>
    <n v="1"/>
    <n v="0.21381866156986104"/>
    <n v="1"/>
    <n v="74.650000000000006"/>
    <n v="74.650000000000006"/>
    <n v="9.5759793309426833"/>
    <n v="1444.8157447139192"/>
    <n v="1"/>
    <n v="0"/>
    <n v="0"/>
    <n v="0"/>
    <n v="0"/>
    <n v="0"/>
    <n v="0"/>
    <n v="0"/>
    <n v="0"/>
    <n v="0"/>
  </r>
  <r>
    <d v="2019-06-27T00:00:00"/>
    <n v="2019"/>
    <x v="10"/>
    <s v="R"/>
    <s v="RS"/>
    <x v="11"/>
    <s v="LAS"/>
    <s v="A"/>
    <n v="1"/>
    <n v="3"/>
    <n v="-2"/>
    <n v="2"/>
    <n v="-16"/>
    <n v="16"/>
    <n v="1503.8109804398721"/>
    <n v="1482.7559459892273"/>
    <n v="0.3666658656271905"/>
    <n v="74"/>
    <n v="86"/>
    <n v="0"/>
    <n v="-12"/>
    <n v="0"/>
    <n v="0.44826426020847226"/>
    <n v="1"/>
    <n v="74.349999999999994"/>
    <n v="74.349999999999994"/>
    <n v="-12.220404142980977"/>
    <n v="1491.5905762968912"/>
    <n v="0"/>
    <n v="1"/>
    <n v="0"/>
    <n v="0"/>
    <n v="0"/>
    <n v="0"/>
    <n v="0"/>
    <n v="0"/>
    <n v="0"/>
    <n v="0"/>
  </r>
  <r>
    <d v="2019-06-27T00:00:00"/>
    <n v="2019"/>
    <x v="10"/>
    <s v="R"/>
    <s v="RS"/>
    <x v="10"/>
    <s v="LVA"/>
    <s v="H"/>
    <n v="3"/>
    <n v="1"/>
    <n v="2"/>
    <n v="-2"/>
    <n v="16"/>
    <n v="-16"/>
    <n v="1482.7559459892273"/>
    <n v="1503.8109804398721"/>
    <n v="0.6333341343728095"/>
    <n v="86"/>
    <n v="74"/>
    <n v="0"/>
    <n v="12"/>
    <n v="1"/>
    <n v="0.44826426020847226"/>
    <n v="1"/>
    <n v="74.349999999999994"/>
    <n v="74.349999999999994"/>
    <n v="12.220404142980977"/>
    <n v="1494.9763501322082"/>
    <n v="1"/>
    <n v="0"/>
    <n v="0"/>
    <n v="0"/>
    <n v="0"/>
    <n v="0"/>
    <n v="0"/>
    <n v="0"/>
    <n v="0"/>
    <n v="0"/>
  </r>
  <r>
    <d v="2019-06-28T00:00:00"/>
    <n v="2019"/>
    <x v="9"/>
    <s v="R"/>
    <s v="RS"/>
    <x v="0"/>
    <s v="NYL"/>
    <s v="A"/>
    <n v="1"/>
    <n v="5"/>
    <n v="-4"/>
    <n v="4"/>
    <n v="-16"/>
    <n v="16"/>
    <n v="1444.8157447139192"/>
    <n v="1383.0959046306043"/>
    <n v="0.42251397551774456"/>
    <n v="68"/>
    <n v="69"/>
    <n v="0"/>
    <n v="-1"/>
    <n v="0"/>
    <n v="0.23223507774832441"/>
    <n v="1"/>
    <n v="74.5"/>
    <n v="74.5"/>
    <n v="-7.3101311635817208"/>
    <n v="1437.5056135503376"/>
    <n v="0"/>
    <n v="1"/>
    <n v="0"/>
    <n v="0"/>
    <n v="0"/>
    <n v="0"/>
    <n v="0"/>
    <n v="0"/>
    <n v="0"/>
    <n v="0"/>
  </r>
  <r>
    <d v="2019-06-28T00:00:00"/>
    <n v="2019"/>
    <x v="10"/>
    <s v="R"/>
    <s v="RS"/>
    <x v="3"/>
    <s v="DAL"/>
    <s v="H"/>
    <n v="5"/>
    <n v="1"/>
    <n v="4"/>
    <n v="-4"/>
    <n v="16"/>
    <n v="-16"/>
    <n v="1383.0959046306043"/>
    <n v="1444.8157447139192"/>
    <n v="0.57748602448225539"/>
    <n v="69"/>
    <n v="68"/>
    <n v="0"/>
    <n v="1"/>
    <n v="1"/>
    <n v="0.23223507774832441"/>
    <n v="1"/>
    <n v="74.349999999999994"/>
    <n v="74.349999999999994"/>
    <n v="7.2954127786886023"/>
    <n v="1390.3913174092929"/>
    <n v="1"/>
    <n v="0"/>
    <n v="0"/>
    <n v="0"/>
    <n v="0"/>
    <n v="0"/>
    <n v="0"/>
    <n v="0"/>
    <n v="0"/>
    <n v="0"/>
  </r>
  <r>
    <d v="2019-06-28T00:00:00"/>
    <n v="2019"/>
    <x v="12"/>
    <s v="R"/>
    <s v="RS"/>
    <x v="2"/>
    <s v="PHX"/>
    <s v="A"/>
    <n v="2"/>
    <n v="4"/>
    <n v="-2"/>
    <n v="2"/>
    <n v="-16"/>
    <n v="16"/>
    <n v="1416.9604849183647"/>
    <n v="1499.8234535399367"/>
    <n v="0.241449823465995"/>
    <n v="69"/>
    <n v="91"/>
    <n v="0"/>
    <n v="-22"/>
    <n v="0"/>
    <n v="0.56316802593537652"/>
    <n v="1"/>
    <n v="74.05"/>
    <n v="74.05"/>
    <n v="-10.069083553862617"/>
    <n v="1406.8914013645021"/>
    <n v="0"/>
    <n v="1"/>
    <n v="0"/>
    <n v="0"/>
    <n v="0"/>
    <n v="0"/>
    <n v="0"/>
    <n v="0"/>
    <n v="0"/>
    <n v="0"/>
  </r>
  <r>
    <d v="2019-06-28T00:00:00"/>
    <n v="2019"/>
    <x v="8"/>
    <s v="R"/>
    <s v="RS"/>
    <x v="8"/>
    <s v="IND"/>
    <s v="H"/>
    <n v="4"/>
    <n v="2"/>
    <n v="2"/>
    <n v="-2"/>
    <n v="16"/>
    <n v="-16"/>
    <n v="1499.8234535399367"/>
    <n v="1416.9604849183647"/>
    <n v="0.75855017653400492"/>
    <n v="91"/>
    <n v="69"/>
    <n v="0"/>
    <n v="22"/>
    <n v="1"/>
    <n v="0.56316802593537652"/>
    <n v="1"/>
    <n v="74.650000000000006"/>
    <n v="74.650000000000006"/>
    <n v="10.150669646128895"/>
    <n v="1509.9741231860655"/>
    <n v="1"/>
    <n v="0"/>
    <n v="0"/>
    <n v="0"/>
    <n v="0"/>
    <n v="0"/>
    <n v="0"/>
    <n v="0"/>
    <n v="0"/>
    <n v="0"/>
  </r>
  <r>
    <d v="2019-06-28T00:00:00"/>
    <n v="2019"/>
    <x v="10"/>
    <s v="R"/>
    <s v="RS"/>
    <x v="6"/>
    <s v="SEA"/>
    <s v="A"/>
    <n v="1"/>
    <n v="2"/>
    <n v="-1"/>
    <n v="1"/>
    <n v="-8"/>
    <n v="8"/>
    <n v="1488.1784388275055"/>
    <n v="1602.212921306904"/>
    <n v="0.22581731837957045"/>
    <n v="76"/>
    <n v="79"/>
    <n v="0"/>
    <n v="-3"/>
    <n v="0"/>
    <n v="0.26500082757448418"/>
    <n v="1"/>
    <n v="74.349999999999994"/>
    <n v="74.349999999999994"/>
    <n v="-4.4492360642794662"/>
    <n v="1483.7292027632261"/>
    <n v="0"/>
    <n v="1"/>
    <n v="0"/>
    <n v="0"/>
    <n v="0"/>
    <n v="0"/>
    <n v="0"/>
    <n v="0"/>
    <n v="0"/>
    <n v="0"/>
  </r>
  <r>
    <d v="2019-06-28T00:00:00"/>
    <n v="2019"/>
    <x v="12"/>
    <s v="R"/>
    <s v="RS"/>
    <x v="9"/>
    <s v="CHI"/>
    <s v="H"/>
    <n v="2"/>
    <n v="1"/>
    <n v="1"/>
    <n v="-1"/>
    <n v="8"/>
    <n v="-8"/>
    <n v="1602.212921306904"/>
    <n v="1488.1784388275055"/>
    <n v="0.77418268162042947"/>
    <n v="79"/>
    <n v="76"/>
    <n v="0"/>
    <n v="3"/>
    <n v="1"/>
    <n v="0.26500082757448418"/>
    <n v="1"/>
    <n v="74.05"/>
    <n v="74.05"/>
    <n v="4.4312835314040973"/>
    <n v="1606.644204838308"/>
    <n v="1"/>
    <n v="0"/>
    <n v="0"/>
    <n v="0"/>
    <n v="0"/>
    <n v="0"/>
    <n v="0"/>
    <n v="0"/>
    <n v="0"/>
    <n v="0"/>
  </r>
  <r>
    <d v="2019-06-29T00:00:00"/>
    <n v="2019"/>
    <x v="13"/>
    <s v="R"/>
    <s v="RS"/>
    <x v="2"/>
    <s v="LVA"/>
    <s v="A"/>
    <n v="0"/>
    <n v="1"/>
    <n v="-1"/>
    <n v="1"/>
    <n v="-8"/>
    <n v="8"/>
    <n v="1406.8914013645021"/>
    <n v="1491.5905762968912"/>
    <n v="0.256695750151192"/>
    <n v="97"/>
    <n v="102"/>
    <n v="1"/>
    <n v="-5"/>
    <n v="0"/>
    <n v="0.27889521569670495"/>
    <n v="1"/>
    <n v="73.900000000000006"/>
    <n v="73.900000000000006"/>
    <n v="-5.2905909072457851"/>
    <n v="1401.6008104572563"/>
    <n v="0"/>
    <n v="1"/>
    <n v="0"/>
    <n v="0"/>
    <n v="0"/>
    <n v="0"/>
    <n v="0"/>
    <n v="0"/>
    <n v="0"/>
    <n v="0"/>
  </r>
  <r>
    <d v="2019-06-29T00:00:00"/>
    <n v="2019"/>
    <x v="11"/>
    <s v="R"/>
    <s v="RS"/>
    <x v="11"/>
    <s v="IND"/>
    <s v="H"/>
    <n v="1"/>
    <n v="0"/>
    <n v="1"/>
    <n v="-1"/>
    <n v="8"/>
    <n v="-8"/>
    <n v="1491.5905762968912"/>
    <n v="1406.8914013645021"/>
    <n v="0.74330424984880794"/>
    <n v="102"/>
    <n v="97"/>
    <n v="1"/>
    <n v="5"/>
    <n v="1"/>
    <n v="0.27889521569670495"/>
    <n v="1"/>
    <n v="74.2"/>
    <n v="74.2"/>
    <n v="5.3120682722278394"/>
    <n v="1496.902644569119"/>
    <n v="1"/>
    <n v="0"/>
    <n v="0"/>
    <n v="0"/>
    <n v="0"/>
    <n v="0"/>
    <n v="0"/>
    <n v="0"/>
    <n v="0"/>
    <n v="0"/>
  </r>
  <r>
    <d v="2019-06-29T00:00:00"/>
    <n v="2019"/>
    <x v="12"/>
    <s v="R"/>
    <s v="RS"/>
    <x v="5"/>
    <s v="WAS"/>
    <s v="A"/>
    <n v="2"/>
    <n v="2"/>
    <n v="0"/>
    <n v="0"/>
    <n v="0"/>
    <n v="0"/>
    <n v="1596.1145490718807"/>
    <n v="1627.5090964985309"/>
    <n v="0.33978232218784343"/>
    <n v="59"/>
    <n v="102"/>
    <n v="0"/>
    <n v="-43"/>
    <n v="0"/>
    <n v="0.82860493627564236"/>
    <n v="1"/>
    <n v="74.05"/>
    <n v="74.05"/>
    <n v="-20.84843016285074"/>
    <n v="1575.26611890903"/>
    <n v="0"/>
    <n v="1"/>
    <n v="0"/>
    <n v="0"/>
    <n v="0"/>
    <n v="0"/>
    <n v="0"/>
    <n v="0"/>
    <n v="0"/>
    <n v="0"/>
  </r>
  <r>
    <d v="2019-06-29T00:00:00"/>
    <n v="2019"/>
    <x v="11"/>
    <s v="R"/>
    <s v="RS"/>
    <x v="4"/>
    <s v="CON"/>
    <s v="H"/>
    <n v="2"/>
    <n v="2"/>
    <n v="0"/>
    <n v="0"/>
    <n v="0"/>
    <n v="0"/>
    <n v="1627.5090964985309"/>
    <n v="1596.1145490718807"/>
    <n v="0.66021767781215657"/>
    <n v="102"/>
    <n v="59"/>
    <n v="0"/>
    <n v="43"/>
    <n v="1"/>
    <n v="0.82860493627564236"/>
    <n v="1"/>
    <n v="74.2"/>
    <n v="74.2"/>
    <n v="20.890661959264346"/>
    <n v="1648.3997584577953"/>
    <n v="1"/>
    <n v="0"/>
    <n v="0"/>
    <n v="0"/>
    <n v="0"/>
    <n v="0"/>
    <n v="0"/>
    <n v="0"/>
    <n v="0"/>
    <n v="0"/>
  </r>
  <r>
    <d v="2019-06-30T00:00:00"/>
    <n v="2019"/>
    <x v="11"/>
    <s v="R"/>
    <s v="RS"/>
    <x v="3"/>
    <s v="ATL"/>
    <s v="A"/>
    <n v="1"/>
    <n v="6"/>
    <n v="-5"/>
    <n v="5"/>
    <n v="-16"/>
    <n v="16"/>
    <n v="1390.3913174092929"/>
    <n v="1439.5502233591612"/>
    <n v="0.27873781823830712"/>
    <n v="74"/>
    <n v="58"/>
    <n v="0"/>
    <n v="16"/>
    <n v="1"/>
    <n v="0.49740928538119095"/>
    <n v="1"/>
    <n v="74.2"/>
    <n v="74.2"/>
    <n v="26.620177975070124"/>
    <n v="1417.0114953843631"/>
    <n v="1"/>
    <n v="0"/>
    <n v="0"/>
    <n v="0"/>
    <n v="0"/>
    <n v="0"/>
    <n v="0"/>
    <n v="0"/>
    <n v="0"/>
    <n v="0"/>
  </r>
  <r>
    <d v="2019-06-30T00:00:00"/>
    <n v="2019"/>
    <x v="9"/>
    <s v="R"/>
    <s v="RS"/>
    <x v="1"/>
    <s v="NYL"/>
    <s v="H"/>
    <n v="6"/>
    <n v="1"/>
    <n v="5"/>
    <n v="-5"/>
    <n v="16"/>
    <n v="-16"/>
    <n v="1439.5502233591612"/>
    <n v="1390.3913174092929"/>
    <n v="0.72126218176169277"/>
    <n v="58"/>
    <n v="74"/>
    <n v="0"/>
    <n v="-16"/>
    <n v="0"/>
    <n v="0.49740928538119095"/>
    <n v="1"/>
    <n v="74.5"/>
    <n v="74.5"/>
    <n v="-26.727806726990888"/>
    <n v="1412.8224166321704"/>
    <n v="0"/>
    <n v="1"/>
    <n v="0"/>
    <n v="0"/>
    <n v="0"/>
    <n v="0"/>
    <n v="0"/>
    <n v="0"/>
    <n v="0"/>
    <n v="0"/>
  </r>
  <r>
    <d v="2019-06-30T00:00:00"/>
    <n v="2019"/>
    <x v="11"/>
    <s v="R"/>
    <s v="RS"/>
    <x v="7"/>
    <s v="DAL"/>
    <s v="A"/>
    <n v="4"/>
    <n v="1"/>
    <n v="3"/>
    <n v="-3"/>
    <n v="16"/>
    <n v="-16"/>
    <n v="1515.3104547681512"/>
    <n v="1437.5056135503376"/>
    <n v="0.53706801639011503"/>
    <n v="86"/>
    <n v="89"/>
    <n v="0"/>
    <n v="-3"/>
    <n v="0"/>
    <n v="0.27251440445833486"/>
    <n v="1"/>
    <n v="74.2"/>
    <n v="74.2"/>
    <n v="-10.859820781500721"/>
    <n v="1504.4506339866505"/>
    <n v="0"/>
    <n v="1"/>
    <n v="0"/>
    <n v="0"/>
    <n v="0"/>
    <n v="0"/>
    <n v="0"/>
    <n v="0"/>
    <n v="0"/>
    <n v="0"/>
  </r>
  <r>
    <d v="2019-06-30T00:00:00"/>
    <n v="2019"/>
    <x v="10"/>
    <s v="R"/>
    <s v="RS"/>
    <x v="0"/>
    <s v="MIN"/>
    <s v="H"/>
    <n v="1"/>
    <n v="4"/>
    <n v="-3"/>
    <n v="3"/>
    <n v="-16"/>
    <n v="16"/>
    <n v="1437.5056135503376"/>
    <n v="1515.3104547681512"/>
    <n v="0.46293198360988497"/>
    <n v="89"/>
    <n v="86"/>
    <n v="0"/>
    <n v="3"/>
    <n v="1"/>
    <n v="0.27251440445833486"/>
    <n v="1"/>
    <n v="74.349999999999994"/>
    <n v="74.349999999999994"/>
    <n v="10.881774597096744"/>
    <n v="1448.3873881474342"/>
    <n v="1"/>
    <n v="0"/>
    <n v="0"/>
    <n v="0"/>
    <n v="0"/>
    <n v="0"/>
    <n v="0"/>
    <n v="0"/>
    <n v="0"/>
    <n v="0"/>
  </r>
  <r>
    <d v="2019-06-30T00:00:00"/>
    <n v="2019"/>
    <x v="11"/>
    <s v="R"/>
    <s v="RS"/>
    <x v="6"/>
    <s v="LAS"/>
    <s v="A"/>
    <n v="1"/>
    <n v="2"/>
    <n v="-1"/>
    <n v="1"/>
    <n v="-8"/>
    <n v="8"/>
    <n v="1483.7292027632261"/>
    <n v="1494.9763501322082"/>
    <n v="0.34515837158996171"/>
    <n v="69"/>
    <n v="94"/>
    <n v="0"/>
    <n v="-25"/>
    <n v="0"/>
    <n v="0.63538942960099332"/>
    <n v="1"/>
    <n v="74.2"/>
    <n v="74.2"/>
    <n v="-16.27280057881427"/>
    <n v="1467.4564021844119"/>
    <n v="0"/>
    <n v="1"/>
    <n v="0"/>
    <n v="0"/>
    <n v="0"/>
    <n v="0"/>
    <n v="0"/>
    <n v="0"/>
    <n v="0"/>
    <n v="0"/>
  </r>
  <r>
    <d v="2019-06-30T00:00:00"/>
    <n v="2019"/>
    <x v="11"/>
    <s v="R"/>
    <s v="RS"/>
    <x v="10"/>
    <s v="CHI"/>
    <s v="H"/>
    <n v="2"/>
    <n v="1"/>
    <n v="1"/>
    <n v="-1"/>
    <n v="8"/>
    <n v="-8"/>
    <n v="1494.9763501322082"/>
    <n v="1483.7292027632261"/>
    <n v="0.65484162841003823"/>
    <n v="94"/>
    <n v="69"/>
    <n v="0"/>
    <n v="25"/>
    <n v="1"/>
    <n v="0.63538942960099332"/>
    <n v="1"/>
    <n v="74.2"/>
    <n v="74.2"/>
    <n v="16.27280057881427"/>
    <n v="1511.2491507110224"/>
    <n v="1"/>
    <n v="0"/>
    <n v="0"/>
    <n v="0"/>
    <n v="0"/>
    <n v="0"/>
    <n v="0"/>
    <n v="0"/>
    <n v="0"/>
    <n v="0"/>
  </r>
  <r>
    <d v="2019-06-30T00:00:00"/>
    <n v="2019"/>
    <x v="9"/>
    <s v="R"/>
    <s v="RS"/>
    <x v="8"/>
    <s v="SEA"/>
    <s v="A"/>
    <n v="1"/>
    <n v="1"/>
    <n v="0"/>
    <n v="0"/>
    <n v="0"/>
    <n v="0"/>
    <n v="1509.9741231860655"/>
    <n v="1606.644204838308"/>
    <n v="0.26114602071310489"/>
    <n v="69"/>
    <n v="67"/>
    <n v="0"/>
    <n v="2"/>
    <n v="1"/>
    <n v="0.24787306310180104"/>
    <n v="1"/>
    <n v="74.5"/>
    <n v="74.5"/>
    <n v="13.644078927794403"/>
    <n v="1523.61820211386"/>
    <n v="1"/>
    <n v="0"/>
    <n v="0"/>
    <n v="0"/>
    <n v="0"/>
    <n v="0"/>
    <n v="0"/>
    <n v="0"/>
    <n v="0"/>
    <n v="0"/>
  </r>
  <r>
    <d v="2019-06-30T00:00:00"/>
    <n v="2019"/>
    <x v="13"/>
    <s v="R"/>
    <s v="RS"/>
    <x v="9"/>
    <s v="PHX"/>
    <s v="H"/>
    <n v="1"/>
    <n v="1"/>
    <n v="0"/>
    <n v="0"/>
    <n v="0"/>
    <n v="0"/>
    <n v="1606.644204838308"/>
    <n v="1509.9741231860655"/>
    <n v="0.73885397928689511"/>
    <n v="67"/>
    <n v="69"/>
    <n v="0"/>
    <n v="-2"/>
    <n v="0"/>
    <n v="0.24787306310180104"/>
    <n v="1"/>
    <n v="73.900000000000006"/>
    <n v="73.900000000000006"/>
    <n v="-13.534193728375925"/>
    <n v="1593.1100111099322"/>
    <n v="0"/>
    <n v="1"/>
    <n v="0"/>
    <n v="0"/>
    <n v="0"/>
    <n v="0"/>
    <n v="0"/>
    <n v="0"/>
    <n v="0"/>
    <n v="0"/>
  </r>
  <r>
    <d v="2019-07-02T00:00:00"/>
    <n v="2019"/>
    <x v="12"/>
    <s v="R"/>
    <s v="RS"/>
    <x v="6"/>
    <s v="LVA"/>
    <s v="A"/>
    <n v="1"/>
    <n v="2"/>
    <n v="-1"/>
    <n v="1"/>
    <n v="-8"/>
    <n v="8"/>
    <n v="1467.4564021844119"/>
    <n v="1496.902644569119"/>
    <n v="0.3218784694706503"/>
    <n v="82"/>
    <n v="90"/>
    <n v="0"/>
    <n v="-8"/>
    <n v="0"/>
    <n v="0.3790150605526002"/>
    <n v="1"/>
    <n v="74.05"/>
    <n v="74.05"/>
    <n v="-9.0338621215576129"/>
    <n v="1458.4225400628543"/>
    <n v="0"/>
    <n v="1"/>
    <n v="0"/>
    <n v="0"/>
    <n v="0"/>
    <n v="0"/>
    <n v="0"/>
    <n v="0"/>
    <n v="0"/>
    <n v="0"/>
  </r>
  <r>
    <d v="2019-07-02T00:00:00"/>
    <n v="2019"/>
    <x v="12"/>
    <s v="R"/>
    <s v="RS"/>
    <x v="11"/>
    <s v="CHI"/>
    <s v="H"/>
    <n v="2"/>
    <n v="1"/>
    <n v="1"/>
    <n v="-1"/>
    <n v="8"/>
    <n v="-8"/>
    <n v="1496.902644569119"/>
    <n v="1467.4564021844119"/>
    <n v="0.67812153052934965"/>
    <n v="90"/>
    <n v="82"/>
    <n v="0"/>
    <n v="8"/>
    <n v="1"/>
    <n v="0.3790150605526002"/>
    <n v="1"/>
    <n v="74.05"/>
    <n v="74.05"/>
    <n v="9.0338621215576129"/>
    <n v="1505.9365066906767"/>
    <n v="1"/>
    <n v="0"/>
    <n v="0"/>
    <n v="0"/>
    <n v="0"/>
    <n v="0"/>
    <n v="0"/>
    <n v="0"/>
    <n v="0"/>
    <n v="0"/>
  </r>
  <r>
    <d v="2019-07-02T00:00:00"/>
    <n v="2019"/>
    <x v="10"/>
    <s v="R"/>
    <s v="RS"/>
    <x v="1"/>
    <s v="MIN"/>
    <s v="A"/>
    <n v="1"/>
    <n v="1"/>
    <n v="0"/>
    <n v="0"/>
    <n v="0"/>
    <n v="0"/>
    <n v="1412.8224166321704"/>
    <n v="1504.4506339866505"/>
    <n v="0.26678472526001074"/>
    <n v="68"/>
    <n v="85"/>
    <n v="0"/>
    <n v="-17"/>
    <n v="0"/>
    <n v="0.49467058269062725"/>
    <n v="1"/>
    <n v="74.349999999999994"/>
    <n v="74.349999999999994"/>
    <n v="-9.812010801226366"/>
    <n v="1403.0104058309441"/>
    <n v="0"/>
    <n v="1"/>
    <n v="0"/>
    <n v="0"/>
    <n v="0"/>
    <n v="0"/>
    <n v="0"/>
    <n v="0"/>
    <n v="0"/>
    <n v="0"/>
  </r>
  <r>
    <d v="2019-07-02T00:00:00"/>
    <n v="2019"/>
    <x v="12"/>
    <s v="R"/>
    <s v="RS"/>
    <x v="7"/>
    <s v="ATL"/>
    <s v="H"/>
    <n v="1"/>
    <n v="1"/>
    <n v="0"/>
    <n v="0"/>
    <n v="0"/>
    <n v="0"/>
    <n v="1504.4506339866505"/>
    <n v="1412.8224166321704"/>
    <n v="0.73321527473998938"/>
    <n v="85"/>
    <n v="68"/>
    <n v="0"/>
    <n v="17"/>
    <n v="1"/>
    <n v="0.49467058269062725"/>
    <n v="1"/>
    <n v="74.05"/>
    <n v="74.05"/>
    <n v="9.7724196345771652"/>
    <n v="1514.2230536212276"/>
    <n v="1"/>
    <n v="0"/>
    <n v="0"/>
    <n v="0"/>
    <n v="0"/>
    <n v="0"/>
    <n v="0"/>
    <n v="0"/>
    <n v="0"/>
    <n v="0"/>
  </r>
  <r>
    <d v="2019-07-03T00:00:00"/>
    <n v="2019"/>
    <x v="12"/>
    <s v="R"/>
    <s v="RS"/>
    <x v="3"/>
    <s v="SEA"/>
    <s v="A"/>
    <n v="2"/>
    <n v="2"/>
    <n v="0"/>
    <n v="0"/>
    <n v="0"/>
    <n v="0"/>
    <n v="1417.0114953843631"/>
    <n v="1593.1100111099322"/>
    <n v="0.18283642138600087"/>
    <n v="84"/>
    <n v="83"/>
    <n v="0"/>
    <n v="1"/>
    <n v="1"/>
    <n v="0.21293214243738584"/>
    <n v="1"/>
    <n v="74.05"/>
    <n v="74.05"/>
    <n v="12.884728991765723"/>
    <n v="1429.8962243761289"/>
    <n v="1"/>
    <n v="0"/>
    <n v="0"/>
    <n v="0"/>
    <n v="0"/>
    <n v="0"/>
    <n v="0"/>
    <n v="0"/>
    <n v="0"/>
    <n v="0"/>
  </r>
  <r>
    <d v="2019-07-03T00:00:00"/>
    <n v="2019"/>
    <x v="14"/>
    <s v="R"/>
    <s v="RS"/>
    <x v="9"/>
    <s v="NYL"/>
    <s v="H"/>
    <n v="2"/>
    <n v="2"/>
    <n v="0"/>
    <n v="0"/>
    <n v="0"/>
    <n v="0"/>
    <n v="1593.1100111099322"/>
    <n v="1417.0114953843631"/>
    <n v="0.81716357861399913"/>
    <n v="83"/>
    <n v="84"/>
    <n v="0"/>
    <n v="-1"/>
    <n v="0"/>
    <n v="0.21293214243738584"/>
    <n v="1"/>
    <n v="73.75"/>
    <n v="73.75"/>
    <n v="-12.832528874310901"/>
    <n v="1580.2774822356214"/>
    <n v="0"/>
    <n v="1"/>
    <n v="0"/>
    <n v="0"/>
    <n v="0"/>
    <n v="0"/>
    <n v="0"/>
    <n v="0"/>
    <n v="0"/>
    <n v="0"/>
  </r>
  <r>
    <d v="2019-07-05T00:00:00"/>
    <n v="2019"/>
    <x v="14"/>
    <s v="R"/>
    <s v="RS"/>
    <x v="2"/>
    <s v="DAL"/>
    <s v="A"/>
    <n v="5"/>
    <n v="4"/>
    <n v="1"/>
    <n v="-1"/>
    <n v="8"/>
    <n v="-8"/>
    <n v="1401.6008104572563"/>
    <n v="1448.3873881474342"/>
    <n v="0.34056786295990132"/>
    <n v="76"/>
    <n v="56"/>
    <n v="0"/>
    <n v="20"/>
    <n v="1"/>
    <n v="0.55331429057302239"/>
    <n v="1"/>
    <n v="73.75"/>
    <n v="73.75"/>
    <n v="26.909400350195327"/>
    <n v="1428.5102108074516"/>
    <n v="1"/>
    <n v="0"/>
    <n v="0"/>
    <n v="0"/>
    <n v="0"/>
    <n v="0"/>
    <n v="0"/>
    <n v="0"/>
    <n v="0"/>
    <n v="0"/>
  </r>
  <r>
    <d v="2019-07-05T00:00:00"/>
    <n v="2019"/>
    <x v="11"/>
    <s v="R"/>
    <s v="RS"/>
    <x v="0"/>
    <s v="IND"/>
    <s v="H"/>
    <n v="4"/>
    <n v="5"/>
    <n v="-1"/>
    <n v="1"/>
    <n v="-8"/>
    <n v="8"/>
    <n v="1448.3873881474342"/>
    <n v="1401.6008104572563"/>
    <n v="0.65943213704009862"/>
    <n v="56"/>
    <n v="76"/>
    <n v="0"/>
    <n v="-20"/>
    <n v="0"/>
    <n v="0.55331429057302239"/>
    <n v="1"/>
    <n v="74.2"/>
    <n v="74.2"/>
    <n v="-27.073593301484657"/>
    <n v="1421.3137948459496"/>
    <n v="0"/>
    <n v="1"/>
    <n v="0"/>
    <n v="0"/>
    <n v="0"/>
    <n v="0"/>
    <n v="0"/>
    <n v="0"/>
    <n v="0"/>
    <n v="0"/>
  </r>
  <r>
    <d v="2019-07-05T00:00:00"/>
    <n v="2019"/>
    <x v="13"/>
    <s v="R"/>
    <s v="RS"/>
    <x v="3"/>
    <s v="PHX"/>
    <s v="A"/>
    <n v="1"/>
    <n v="4"/>
    <n v="-3"/>
    <n v="3"/>
    <n v="-16"/>
    <n v="16"/>
    <n v="1429.8962243761289"/>
    <n v="1523.61820211386"/>
    <n v="0.23018679748052756"/>
    <n v="80"/>
    <n v="76"/>
    <n v="0"/>
    <n v="4"/>
    <n v="1"/>
    <n v="0.28887140229167318"/>
    <n v="1"/>
    <n v="73.900000000000006"/>
    <n v="73.900000000000006"/>
    <n v="16.433661727337398"/>
    <n v="1446.3298861034664"/>
    <n v="1"/>
    <n v="0"/>
    <n v="0"/>
    <n v="0"/>
    <n v="0"/>
    <n v="0"/>
    <n v="0"/>
    <n v="0"/>
    <n v="0"/>
    <n v="0"/>
  </r>
  <r>
    <d v="2019-07-05T00:00:00"/>
    <n v="2019"/>
    <x v="10"/>
    <s v="R"/>
    <s v="RS"/>
    <x v="8"/>
    <s v="NYL"/>
    <s v="H"/>
    <n v="4"/>
    <n v="1"/>
    <n v="3"/>
    <n v="-3"/>
    <n v="16"/>
    <n v="-16"/>
    <n v="1523.61820211386"/>
    <n v="1429.8962243761289"/>
    <n v="0.76981320251947249"/>
    <n v="76"/>
    <n v="80"/>
    <n v="0"/>
    <n v="-4"/>
    <n v="0"/>
    <n v="0.28887140229167318"/>
    <n v="1"/>
    <n v="74.349999999999994"/>
    <n v="74.349999999999994"/>
    <n v="-16.533731386028897"/>
    <n v="1507.0844707278311"/>
    <n v="0"/>
    <n v="1"/>
    <n v="0"/>
    <n v="0"/>
    <n v="0"/>
    <n v="0"/>
    <n v="0"/>
    <n v="0"/>
    <n v="0"/>
    <n v="0"/>
  </r>
  <r>
    <d v="2019-07-05T00:00:00"/>
    <n v="2019"/>
    <x v="11"/>
    <s v="R"/>
    <s v="RS"/>
    <x v="1"/>
    <s v="SEA"/>
    <s v="A"/>
    <n v="2"/>
    <n v="1"/>
    <n v="1"/>
    <n v="-1"/>
    <n v="8"/>
    <n v="-8"/>
    <n v="1403.0104058309441"/>
    <n v="1580.2774822356214"/>
    <n v="0.19593915216172675"/>
    <n v="77"/>
    <n v="66"/>
    <n v="0"/>
    <n v="11"/>
    <n v="1"/>
    <n v="0.38322499197975113"/>
    <n v="1"/>
    <n v="74.2"/>
    <n v="74.2"/>
    <n v="22.863706927732817"/>
    <n v="1425.874112758677"/>
    <n v="1"/>
    <n v="0"/>
    <n v="0"/>
    <n v="0"/>
    <n v="0"/>
    <n v="0"/>
    <n v="0"/>
    <n v="0"/>
    <n v="0"/>
    <n v="0"/>
  </r>
  <r>
    <d v="2019-07-05T00:00:00"/>
    <n v="2019"/>
    <x v="15"/>
    <s v="R"/>
    <s v="RS"/>
    <x v="9"/>
    <s v="ATL"/>
    <s v="H"/>
    <n v="1"/>
    <n v="2"/>
    <n v="-1"/>
    <n v="1"/>
    <n v="-8"/>
    <n v="8"/>
    <n v="1580.2774822356214"/>
    <n v="1403.0104058309441"/>
    <n v="0.80406084783827325"/>
    <n v="66"/>
    <n v="77"/>
    <n v="0"/>
    <n v="-11"/>
    <n v="0"/>
    <n v="0.38322499197975113"/>
    <n v="1"/>
    <n v="73.599999999999994"/>
    <n v="73.599999999999994"/>
    <n v="-22.678825200554382"/>
    <n v="1557.5986570350669"/>
    <n v="0"/>
    <n v="1"/>
    <n v="0"/>
    <n v="0"/>
    <n v="0"/>
    <n v="0"/>
    <n v="0"/>
    <n v="0"/>
    <n v="0"/>
    <n v="0"/>
  </r>
  <r>
    <d v="2019-07-06T00:00:00"/>
    <n v="2019"/>
    <x v="13"/>
    <s v="R"/>
    <s v="RS"/>
    <x v="7"/>
    <s v="CON"/>
    <s v="A"/>
    <n v="3"/>
    <n v="6"/>
    <n v="-3"/>
    <n v="3"/>
    <n v="-16"/>
    <n v="16"/>
    <n v="1514.2230536212276"/>
    <n v="1575.26611890903"/>
    <n v="0.26519459975930909"/>
    <n v="74"/>
    <n v="71"/>
    <n v="0"/>
    <n v="3"/>
    <n v="1"/>
    <n v="0.27613666408686594"/>
    <n v="1"/>
    <n v="73.900000000000006"/>
    <n v="73.900000000000006"/>
    <n v="14.994806014987882"/>
    <n v="1529.2178596362155"/>
    <n v="1"/>
    <n v="0"/>
    <n v="0"/>
    <n v="0"/>
    <n v="0"/>
    <n v="0"/>
    <n v="0"/>
    <n v="0"/>
    <n v="0"/>
    <n v="0"/>
  </r>
  <r>
    <d v="2019-07-06T00:00:00"/>
    <n v="2019"/>
    <x v="13"/>
    <s v="R"/>
    <s v="RS"/>
    <x v="5"/>
    <s v="MIN"/>
    <s v="H"/>
    <n v="6"/>
    <n v="3"/>
    <n v="3"/>
    <n v="-3"/>
    <n v="16"/>
    <n v="-16"/>
    <n v="1575.26611890903"/>
    <n v="1514.2230536212276"/>
    <n v="0.73480540024069096"/>
    <n v="71"/>
    <n v="74"/>
    <n v="0"/>
    <n v="-3"/>
    <n v="0"/>
    <n v="0.27613666408686594"/>
    <n v="1"/>
    <n v="73.900000000000006"/>
    <n v="73.900000000000006"/>
    <n v="-14.994806014987882"/>
    <n v="1560.271312894042"/>
    <n v="0"/>
    <n v="1"/>
    <n v="0"/>
    <n v="0"/>
    <n v="0"/>
    <n v="0"/>
    <n v="0"/>
    <n v="0"/>
    <n v="0"/>
    <n v="0"/>
  </r>
  <r>
    <d v="2019-07-07T00:00:00"/>
    <n v="2019"/>
    <x v="12"/>
    <s v="R"/>
    <s v="RS"/>
    <x v="0"/>
    <s v="CHI"/>
    <s v="A"/>
    <n v="1"/>
    <n v="4"/>
    <n v="-3"/>
    <n v="3"/>
    <n v="-16"/>
    <n v="16"/>
    <n v="1421.3137948459496"/>
    <n v="1458.4225400628543"/>
    <n v="0.29289504159687396"/>
    <n v="66"/>
    <n v="78"/>
    <n v="0"/>
    <n v="-12"/>
    <n v="0"/>
    <n v="0.44244722528081393"/>
    <n v="1"/>
    <n v="74.05"/>
    <n v="74.05"/>
    <n v="-9.5961838154480148"/>
    <n v="1411.7176110305015"/>
    <n v="0"/>
    <n v="1"/>
    <n v="0"/>
    <n v="0"/>
    <n v="0"/>
    <n v="0"/>
    <n v="0"/>
    <n v="0"/>
    <n v="0"/>
    <n v="0"/>
  </r>
  <r>
    <d v="2019-07-07T00:00:00"/>
    <n v="2019"/>
    <x v="13"/>
    <s v="R"/>
    <s v="RS"/>
    <x v="6"/>
    <s v="DAL"/>
    <s v="H"/>
    <n v="4"/>
    <n v="1"/>
    <n v="3"/>
    <n v="-3"/>
    <n v="16"/>
    <n v="-16"/>
    <n v="1458.4225400628543"/>
    <n v="1421.3137948459496"/>
    <n v="0.70710495840312604"/>
    <n v="78"/>
    <n v="66"/>
    <n v="0"/>
    <n v="12"/>
    <n v="1"/>
    <n v="0.44244722528081393"/>
    <n v="1"/>
    <n v="73.900000000000006"/>
    <n v="73.900000000000006"/>
    <n v="9.5767452256800603"/>
    <n v="1467.9992852885343"/>
    <n v="1"/>
    <n v="0"/>
    <n v="0"/>
    <n v="0"/>
    <n v="0"/>
    <n v="0"/>
    <n v="0"/>
    <n v="0"/>
    <n v="0"/>
    <n v="0"/>
  </r>
  <r>
    <d v="2019-07-07T00:00:00"/>
    <n v="2019"/>
    <x v="12"/>
    <s v="R"/>
    <s v="RS"/>
    <x v="4"/>
    <s v="LAS"/>
    <s v="A"/>
    <n v="7"/>
    <n v="6"/>
    <n v="1"/>
    <n v="-1"/>
    <n v="8"/>
    <n v="-8"/>
    <n v="1648.3997584577953"/>
    <n v="1511.2491507110224"/>
    <n v="0.59822216131944705"/>
    <n v="81"/>
    <n v="98"/>
    <n v="0"/>
    <n v="-17"/>
    <n v="0"/>
    <n v="0.47782985641015857"/>
    <n v="1"/>
    <n v="74.05"/>
    <n v="74.05"/>
    <n v="-21.167074719376043"/>
    <n v="1627.2326837384194"/>
    <n v="0"/>
    <n v="1"/>
    <n v="0"/>
    <n v="0"/>
    <n v="0"/>
    <n v="0"/>
    <n v="0"/>
    <n v="0"/>
    <n v="0"/>
    <n v="0"/>
  </r>
  <r>
    <d v="2019-07-07T00:00:00"/>
    <n v="2019"/>
    <x v="12"/>
    <s v="R"/>
    <s v="RS"/>
    <x v="10"/>
    <s v="WAS"/>
    <s v="H"/>
    <n v="6"/>
    <n v="7"/>
    <n v="-1"/>
    <n v="1"/>
    <n v="-8"/>
    <n v="8"/>
    <n v="1511.2491507110224"/>
    <n v="1648.3997584577953"/>
    <n v="0.40177783868055289"/>
    <n v="98"/>
    <n v="81"/>
    <n v="0"/>
    <n v="17"/>
    <n v="1"/>
    <n v="0.47782985641015857"/>
    <n v="1"/>
    <n v="74.05"/>
    <n v="74.05"/>
    <n v="21.167074719376046"/>
    <n v="1532.4162254303983"/>
    <n v="1"/>
    <n v="0"/>
    <n v="0"/>
    <n v="0"/>
    <n v="0"/>
    <n v="0"/>
    <n v="0"/>
    <n v="0"/>
    <n v="0"/>
    <n v="0"/>
  </r>
  <r>
    <d v="2019-07-07T00:00:00"/>
    <n v="2019"/>
    <x v="13"/>
    <s v="R"/>
    <s v="RS"/>
    <x v="11"/>
    <s v="NYL"/>
    <s v="A"/>
    <n v="4"/>
    <n v="1"/>
    <n v="3"/>
    <n v="-3"/>
    <n v="16"/>
    <n v="-16"/>
    <n v="1505.9365066906767"/>
    <n v="1446.3298861034664"/>
    <n v="0.51094505827234726"/>
    <n v="90"/>
    <n v="58"/>
    <n v="0"/>
    <n v="32"/>
    <n v="1"/>
    <n v="0.69292479144061703"/>
    <n v="1"/>
    <n v="73.900000000000006"/>
    <n v="73.900000000000006"/>
    <n v="25.04310588962317"/>
    <n v="1530.9796125802998"/>
    <n v="1"/>
    <n v="0"/>
    <n v="0"/>
    <n v="0"/>
    <n v="0"/>
    <n v="0"/>
    <n v="0"/>
    <n v="0"/>
    <n v="0"/>
    <n v="0"/>
  </r>
  <r>
    <d v="2019-07-07T00:00:00"/>
    <n v="2019"/>
    <x v="14"/>
    <s v="R"/>
    <s v="RS"/>
    <x v="3"/>
    <s v="LVA"/>
    <s v="H"/>
    <n v="1"/>
    <n v="4"/>
    <n v="-3"/>
    <n v="3"/>
    <n v="-16"/>
    <n v="16"/>
    <n v="1446.3298861034664"/>
    <n v="1505.9365066906767"/>
    <n v="0.48905494172765274"/>
    <n v="58"/>
    <n v="90"/>
    <n v="0"/>
    <n v="-32"/>
    <n v="0"/>
    <n v="0.69292479144061703"/>
    <n v="1"/>
    <n v="73.75"/>
    <n v="73.75"/>
    <n v="-24.99227414559822"/>
    <n v="1421.3376119578681"/>
    <n v="0"/>
    <n v="1"/>
    <n v="0"/>
    <n v="0"/>
    <n v="0"/>
    <n v="0"/>
    <n v="0"/>
    <n v="0"/>
    <n v="0"/>
    <n v="0"/>
  </r>
  <r>
    <d v="2019-07-07T00:00:00"/>
    <n v="2019"/>
    <x v="12"/>
    <s v="R"/>
    <s v="RS"/>
    <x v="1"/>
    <s v="PHX"/>
    <s v="A"/>
    <n v="1"/>
    <n v="1"/>
    <n v="0"/>
    <n v="0"/>
    <n v="0"/>
    <n v="0"/>
    <n v="1425.874112758677"/>
    <n v="1507.0844707278311"/>
    <n v="0.27867827688306823"/>
    <n v="63"/>
    <n v="65"/>
    <n v="0"/>
    <n v="-2"/>
    <n v="0"/>
    <n v="0.25086402320464379"/>
    <n v="1"/>
    <n v="74.05"/>
    <n v="74.05"/>
    <n v="-5.1768616928641205"/>
    <n v="1420.6972510658129"/>
    <n v="0"/>
    <n v="1"/>
    <n v="0"/>
    <n v="0"/>
    <n v="0"/>
    <n v="0"/>
    <n v="0"/>
    <n v="0"/>
    <n v="0"/>
    <n v="0"/>
  </r>
  <r>
    <d v="2019-07-07T00:00:00"/>
    <n v="2019"/>
    <x v="11"/>
    <s v="R"/>
    <s v="RS"/>
    <x v="8"/>
    <s v="ATL"/>
    <s v="H"/>
    <n v="1"/>
    <n v="1"/>
    <n v="0"/>
    <n v="0"/>
    <n v="0"/>
    <n v="0"/>
    <n v="1507.0844707278311"/>
    <n v="1425.874112758677"/>
    <n v="0.72132172311693177"/>
    <n v="65"/>
    <n v="63"/>
    <n v="0"/>
    <n v="2"/>
    <n v="1"/>
    <n v="0.25086402320464379"/>
    <n v="1"/>
    <n v="74.2"/>
    <n v="74.2"/>
    <n v="5.187348245921914"/>
    <n v="1512.2718189737529"/>
    <n v="1"/>
    <n v="0"/>
    <n v="0"/>
    <n v="0"/>
    <n v="0"/>
    <n v="0"/>
    <n v="0"/>
    <n v="0"/>
    <n v="0"/>
    <n v="0"/>
  </r>
  <r>
    <d v="2019-07-09T00:00:00"/>
    <n v="2019"/>
    <x v="13"/>
    <s v="R"/>
    <s v="RS"/>
    <x v="10"/>
    <s v="DAL"/>
    <s v="A"/>
    <n v="1"/>
    <n v="1"/>
    <n v="0"/>
    <n v="0"/>
    <n v="0"/>
    <n v="0"/>
    <n v="1532.4162254303983"/>
    <n v="1411.7176110305015"/>
    <n v="0.55261800906612912"/>
    <n v="62"/>
    <n v="74"/>
    <n v="0"/>
    <n v="-12"/>
    <n v="0"/>
    <n v="0.41444378431528672"/>
    <n v="1"/>
    <n v="73.900000000000006"/>
    <n v="73.900000000000006"/>
    <n v="-16.925250413006989"/>
    <n v="1515.4909750173913"/>
    <n v="0"/>
    <n v="1"/>
    <n v="0"/>
    <n v="0"/>
    <n v="0"/>
    <n v="0"/>
    <n v="0"/>
    <n v="0"/>
    <n v="0"/>
    <n v="0"/>
  </r>
  <r>
    <d v="2019-07-09T00:00:00"/>
    <n v="2019"/>
    <x v="13"/>
    <s v="R"/>
    <s v="RS"/>
    <x v="0"/>
    <s v="LAS"/>
    <s v="H"/>
    <n v="1"/>
    <n v="1"/>
    <n v="0"/>
    <n v="0"/>
    <n v="0"/>
    <n v="0"/>
    <n v="1411.7176110305015"/>
    <n v="1532.4162254303983"/>
    <n v="0.44738199093387088"/>
    <n v="74"/>
    <n v="62"/>
    <n v="0"/>
    <n v="12"/>
    <n v="1"/>
    <n v="0.41444378431528672"/>
    <n v="1"/>
    <n v="73.900000000000006"/>
    <n v="73.900000000000006"/>
    <n v="16.925250413006989"/>
    <n v="1428.6428614435085"/>
    <n v="1"/>
    <n v="0"/>
    <n v="0"/>
    <n v="0"/>
    <n v="0"/>
    <n v="0"/>
    <n v="0"/>
    <n v="0"/>
    <n v="0"/>
    <n v="0"/>
  </r>
  <r>
    <d v="2019-07-10T00:00:00"/>
    <n v="2019"/>
    <x v="14"/>
    <s v="R"/>
    <s v="RS"/>
    <x v="5"/>
    <s v="ATL"/>
    <s v="A"/>
    <n v="3"/>
    <n v="2"/>
    <n v="1"/>
    <n v="-1"/>
    <n v="8"/>
    <n v="-8"/>
    <n v="1560.271312894042"/>
    <n v="1420.6972510658129"/>
    <n v="0.60157056067624537"/>
    <n v="75"/>
    <n v="78"/>
    <n v="0"/>
    <n v="-3"/>
    <n v="0"/>
    <n v="0.25994846812964134"/>
    <n v="1"/>
    <n v="73.75"/>
    <n v="73.75"/>
    <n v="-11.53282924682636"/>
    <n v="1548.7384836472156"/>
    <n v="0"/>
    <n v="1"/>
    <n v="0"/>
    <n v="0"/>
    <n v="0"/>
    <n v="0"/>
    <n v="0"/>
    <n v="0"/>
    <n v="0"/>
    <n v="0"/>
  </r>
  <r>
    <d v="2019-07-10T00:00:00"/>
    <n v="2019"/>
    <x v="13"/>
    <s v="R"/>
    <s v="RS"/>
    <x v="1"/>
    <s v="CON"/>
    <s v="H"/>
    <n v="2"/>
    <n v="3"/>
    <n v="-1"/>
    <n v="1"/>
    <n v="-8"/>
    <n v="8"/>
    <n v="1420.6972510658129"/>
    <n v="1560.271312894042"/>
    <n v="0.39842943932375458"/>
    <n v="78"/>
    <n v="75"/>
    <n v="0"/>
    <n v="3"/>
    <n v="1"/>
    <n v="0.25994846812964134"/>
    <n v="1"/>
    <n v="73.900000000000006"/>
    <n v="73.900000000000006"/>
    <n v="11.556285848684311"/>
    <n v="1432.2535369144973"/>
    <n v="1"/>
    <n v="0"/>
    <n v="0"/>
    <n v="0"/>
    <n v="0"/>
    <n v="0"/>
    <n v="0"/>
    <n v="0"/>
    <n v="0"/>
    <n v="0"/>
  </r>
  <r>
    <d v="2019-07-10T00:00:00"/>
    <n v="2019"/>
    <x v="14"/>
    <s v="R"/>
    <s v="RS"/>
    <x v="7"/>
    <s v="CHI"/>
    <s v="A"/>
    <n v="3"/>
    <n v="2"/>
    <n v="1"/>
    <n v="-1"/>
    <n v="8"/>
    <n v="-8"/>
    <n v="1529.2178596362155"/>
    <n v="1467.9992852885343"/>
    <n v="0.49024198313643536"/>
    <n v="73"/>
    <n v="72"/>
    <n v="0"/>
    <n v="1"/>
    <n v="1"/>
    <n v="0.23232737855125837"/>
    <n v="1"/>
    <n v="73.75"/>
    <n v="73.75"/>
    <n v="8.7342673518132603"/>
    <n v="1537.9521269880288"/>
    <n v="1"/>
    <n v="0"/>
    <n v="0"/>
    <n v="0"/>
    <n v="0"/>
    <n v="0"/>
    <n v="0"/>
    <n v="0"/>
    <n v="0"/>
    <n v="0"/>
  </r>
  <r>
    <d v="2019-07-10T00:00:00"/>
    <n v="2019"/>
    <x v="14"/>
    <s v="R"/>
    <s v="RS"/>
    <x v="6"/>
    <s v="MIN"/>
    <s v="H"/>
    <n v="2"/>
    <n v="3"/>
    <n v="-1"/>
    <n v="1"/>
    <n v="-8"/>
    <n v="8"/>
    <n v="1467.9992852885343"/>
    <n v="1529.2178596362155"/>
    <n v="0.5097580168635647"/>
    <n v="72"/>
    <n v="73"/>
    <n v="0"/>
    <n v="-1"/>
    <n v="0"/>
    <n v="0.23232737855125837"/>
    <n v="1"/>
    <n v="73.75"/>
    <n v="73.75"/>
    <n v="-8.7342673518132603"/>
    <n v="1459.2650179367211"/>
    <n v="0"/>
    <n v="1"/>
    <n v="0"/>
    <n v="0"/>
    <n v="0"/>
    <n v="0"/>
    <n v="0"/>
    <n v="0"/>
    <n v="0"/>
    <n v="0"/>
  </r>
  <r>
    <d v="2019-07-10T00:00:00"/>
    <n v="2019"/>
    <x v="14"/>
    <s v="R"/>
    <s v="RS"/>
    <x v="11"/>
    <s v="IND"/>
    <s v="A"/>
    <n v="2"/>
    <n v="4"/>
    <n v="-2"/>
    <n v="2"/>
    <n v="-16"/>
    <n v="16"/>
    <n v="1530.9796125802998"/>
    <n v="1428.5102108074516"/>
    <n v="0.48053774203981148"/>
    <n v="74"/>
    <n v="71"/>
    <n v="0"/>
    <n v="3"/>
    <n v="1"/>
    <n v="0.26735386247421383"/>
    <n v="1"/>
    <n v="73.75"/>
    <n v="73.75"/>
    <n v="10.242417779298421"/>
    <n v="1541.2220303595982"/>
    <n v="1"/>
    <n v="0"/>
    <n v="0"/>
    <n v="0"/>
    <n v="0"/>
    <n v="0"/>
    <n v="0"/>
    <n v="0"/>
    <n v="0"/>
    <n v="0"/>
  </r>
  <r>
    <d v="2019-07-10T00:00:00"/>
    <n v="2019"/>
    <x v="15"/>
    <s v="R"/>
    <s v="RS"/>
    <x v="2"/>
    <s v="LVA"/>
    <s v="H"/>
    <n v="4"/>
    <n v="2"/>
    <n v="2"/>
    <n v="-2"/>
    <n v="16"/>
    <n v="-16"/>
    <n v="1428.5102108074516"/>
    <n v="1530.9796125802998"/>
    <n v="0.51946225796018852"/>
    <n v="71"/>
    <n v="74"/>
    <n v="0"/>
    <n v="-3"/>
    <n v="0"/>
    <n v="0.26735386247421383"/>
    <n v="1"/>
    <n v="73.599999999999994"/>
    <n v="73.599999999999994"/>
    <n v="-10.221585743137135"/>
    <n v="1418.2886250643144"/>
    <n v="0"/>
    <n v="1"/>
    <n v="0"/>
    <n v="0"/>
    <n v="0"/>
    <n v="0"/>
    <n v="0"/>
    <n v="0"/>
    <n v="0"/>
    <n v="0"/>
  </r>
  <r>
    <d v="2019-07-10T00:00:00"/>
    <n v="2019"/>
    <x v="12"/>
    <s v="R"/>
    <s v="RS"/>
    <x v="8"/>
    <s v="WAS"/>
    <s v="A"/>
    <n v="2"/>
    <n v="2"/>
    <n v="0"/>
    <n v="0"/>
    <n v="0"/>
    <n v="0"/>
    <n v="1512.2718189737529"/>
    <n v="1627.2326837384194"/>
    <n v="0.24134662596025325"/>
    <n v="91"/>
    <n v="68"/>
    <n v="0"/>
    <n v="23"/>
    <n v="1"/>
    <n v="0.56154167234967234"/>
    <n v="1"/>
    <n v="74.05"/>
    <n v="74.05"/>
    <n v="31.546446619227662"/>
    <n v="1543.8182655929807"/>
    <n v="1"/>
    <n v="0"/>
    <n v="0"/>
    <n v="0"/>
    <n v="0"/>
    <n v="0"/>
    <n v="0"/>
    <n v="0"/>
    <n v="0"/>
    <n v="0"/>
  </r>
  <r>
    <d v="2019-07-10T00:00:00"/>
    <n v="2019"/>
    <x v="13"/>
    <s v="R"/>
    <s v="RS"/>
    <x v="4"/>
    <s v="PHX"/>
    <s v="H"/>
    <n v="2"/>
    <n v="2"/>
    <n v="0"/>
    <n v="0"/>
    <n v="0"/>
    <n v="0"/>
    <n v="1627.2326837384194"/>
    <n v="1512.2718189737529"/>
    <n v="0.75865337403974675"/>
    <n v="68"/>
    <n v="91"/>
    <n v="0"/>
    <n v="-23"/>
    <n v="0"/>
    <n v="0.56154167234967234"/>
    <n v="1"/>
    <n v="73.900000000000006"/>
    <n v="73.900000000000006"/>
    <n v="-31.482544296568864"/>
    <n v="1595.7501394418505"/>
    <n v="0"/>
    <n v="1"/>
    <n v="0"/>
    <n v="0"/>
    <n v="0"/>
    <n v="0"/>
    <n v="0"/>
    <n v="0"/>
    <n v="0"/>
    <n v="0"/>
  </r>
  <r>
    <d v="2019-07-12T00:00:00"/>
    <n v="2019"/>
    <x v="15"/>
    <s v="R"/>
    <s v="RS"/>
    <x v="7"/>
    <s v="ATL"/>
    <s v="A"/>
    <n v="1"/>
    <n v="1"/>
    <n v="0"/>
    <n v="0"/>
    <n v="0"/>
    <n v="0"/>
    <n v="1537.9521269880288"/>
    <n v="1432.2535369144973"/>
    <n v="0.53118624504564027"/>
    <n v="53"/>
    <n v="60"/>
    <n v="0"/>
    <n v="-7"/>
    <n v="0"/>
    <n v="0.34014634798646182"/>
    <n v="1"/>
    <n v="73.599999999999994"/>
    <n v="73.599999999999994"/>
    <n v="-13.298126115574641"/>
    <n v="1524.6540008724542"/>
    <n v="0"/>
    <n v="1"/>
    <n v="0"/>
    <n v="0"/>
    <n v="0"/>
    <n v="0"/>
    <n v="0"/>
    <n v="0"/>
    <n v="0"/>
    <n v="0"/>
  </r>
  <r>
    <d v="2019-07-12T00:00:00"/>
    <n v="2019"/>
    <x v="14"/>
    <s v="R"/>
    <s v="RS"/>
    <x v="1"/>
    <s v="MIN"/>
    <s v="H"/>
    <n v="1"/>
    <n v="1"/>
    <n v="0"/>
    <n v="0"/>
    <n v="0"/>
    <n v="0"/>
    <n v="1432.2535369144973"/>
    <n v="1537.9521269880288"/>
    <n v="0.46881375495435973"/>
    <n v="60"/>
    <n v="53"/>
    <n v="0"/>
    <n v="7"/>
    <n v="1"/>
    <n v="0.34014634798646182"/>
    <n v="1"/>
    <n v="73.75"/>
    <n v="73.75"/>
    <n v="13.325228274777579"/>
    <n v="1445.5787651892749"/>
    <n v="1"/>
    <n v="0"/>
    <n v="0"/>
    <n v="0"/>
    <n v="0"/>
    <n v="0"/>
    <n v="0"/>
    <n v="0"/>
    <n v="0"/>
    <n v="0"/>
  </r>
  <r>
    <d v="2019-07-12T00:00:00"/>
    <n v="2019"/>
    <x v="15"/>
    <s v="R"/>
    <s v="RS"/>
    <x v="3"/>
    <s v="CHI"/>
    <s v="A"/>
    <n v="4"/>
    <n v="1"/>
    <n v="3"/>
    <n v="-3"/>
    <n v="16"/>
    <n v="-16"/>
    <n v="1421.3376119578681"/>
    <n v="1459.2650179367211"/>
    <n v="0.37339868654145758"/>
    <n v="83"/>
    <n v="99"/>
    <n v="0"/>
    <n v="-16"/>
    <n v="0"/>
    <n v="0.50192219328464283"/>
    <n v="1"/>
    <n v="73.599999999999994"/>
    <n v="73.599999999999994"/>
    <n v="-13.7938976560811"/>
    <n v="1407.5437143017871"/>
    <n v="0"/>
    <n v="1"/>
    <n v="0"/>
    <n v="0"/>
    <n v="0"/>
    <n v="0"/>
    <n v="0"/>
    <n v="0"/>
    <n v="0"/>
    <n v="0"/>
  </r>
  <r>
    <d v="2019-07-12T00:00:00"/>
    <n v="2019"/>
    <x v="15"/>
    <s v="R"/>
    <s v="RS"/>
    <x v="6"/>
    <s v="NYL"/>
    <s v="H"/>
    <n v="1"/>
    <n v="4"/>
    <n v="-3"/>
    <n v="3"/>
    <n v="-16"/>
    <n v="16"/>
    <n v="1459.2650179367211"/>
    <n v="1421.3376119578681"/>
    <n v="0.62660131345854242"/>
    <n v="99"/>
    <n v="83"/>
    <n v="0"/>
    <n v="16"/>
    <n v="1"/>
    <n v="0.50192219328464283"/>
    <n v="1"/>
    <n v="73.599999999999994"/>
    <n v="73.599999999999994"/>
    <n v="13.7938976560811"/>
    <n v="1473.0589155928021"/>
    <n v="1"/>
    <n v="0"/>
    <n v="0"/>
    <n v="0"/>
    <n v="0"/>
    <n v="0"/>
    <n v="0"/>
    <n v="0"/>
    <n v="0"/>
    <n v="0"/>
  </r>
  <r>
    <d v="2019-07-12T00:00:00"/>
    <n v="2019"/>
    <x v="13"/>
    <s v="R"/>
    <s v="RS"/>
    <x v="8"/>
    <s v="CON"/>
    <s v="A"/>
    <n v="1"/>
    <n v="1"/>
    <n v="0"/>
    <n v="0"/>
    <n v="0"/>
    <n v="0"/>
    <n v="1543.8182655929807"/>
    <n v="1548.7384836472156"/>
    <n v="0.37475621196701653"/>
    <n v="64"/>
    <n v="79"/>
    <n v="0"/>
    <n v="-15"/>
    <n v="0"/>
    <n v="0.5007946788617631"/>
    <n v="1"/>
    <n v="73.900000000000006"/>
    <n v="73.900000000000006"/>
    <n v="-13.869250253254647"/>
    <n v="1529.949015339726"/>
    <n v="0"/>
    <n v="1"/>
    <n v="0"/>
    <n v="0"/>
    <n v="0"/>
    <n v="0"/>
    <n v="0"/>
    <n v="0"/>
    <n v="0"/>
    <n v="0"/>
  </r>
  <r>
    <d v="2019-07-12T00:00:00"/>
    <n v="2019"/>
    <x v="15"/>
    <s v="R"/>
    <s v="RS"/>
    <x v="5"/>
    <s v="PHX"/>
    <s v="H"/>
    <n v="1"/>
    <n v="1"/>
    <n v="0"/>
    <n v="0"/>
    <n v="0"/>
    <n v="0"/>
    <n v="1548.7384836472156"/>
    <n v="1543.8182655929807"/>
    <n v="0.62524378803298342"/>
    <n v="79"/>
    <n v="64"/>
    <n v="0"/>
    <n v="15"/>
    <n v="1"/>
    <n v="0.5007946788617631"/>
    <n v="1"/>
    <n v="73.599999999999994"/>
    <n v="73.599999999999994"/>
    <n v="13.812947478207604"/>
    <n v="1562.5514311254233"/>
    <n v="1"/>
    <n v="0"/>
    <n v="0"/>
    <n v="0"/>
    <n v="0"/>
    <n v="0"/>
    <n v="0"/>
    <n v="0"/>
    <n v="0"/>
    <n v="0"/>
  </r>
  <r>
    <d v="2019-07-12T00:00:00"/>
    <n v="2019"/>
    <x v="14"/>
    <s v="R"/>
    <s v="RS"/>
    <x v="10"/>
    <s v="IND"/>
    <s v="A"/>
    <n v="2"/>
    <n v="1"/>
    <n v="1"/>
    <n v="-1"/>
    <n v="8"/>
    <n v="-8"/>
    <n v="1515.4909750173913"/>
    <n v="1418.2886250643144"/>
    <n v="0.54192687420170249"/>
    <n v="90"/>
    <n v="84"/>
    <n v="0"/>
    <n v="6"/>
    <n v="1"/>
    <n v="0.32495848725870569"/>
    <n v="1"/>
    <n v="73.75"/>
    <n v="73.75"/>
    <n v="10.978037813479514"/>
    <n v="1526.4690128308707"/>
    <n v="1"/>
    <n v="0"/>
    <n v="0"/>
    <n v="0"/>
    <n v="0"/>
    <n v="0"/>
    <n v="0"/>
    <n v="0"/>
    <n v="0"/>
    <n v="0"/>
  </r>
  <r>
    <d v="2019-07-12T00:00:00"/>
    <n v="2019"/>
    <x v="16"/>
    <s v="R"/>
    <s v="RS"/>
    <x v="2"/>
    <s v="LAS"/>
    <s v="H"/>
    <n v="1"/>
    <n v="2"/>
    <n v="-1"/>
    <n v="1"/>
    <n v="-8"/>
    <n v="8"/>
    <n v="1418.2886250643144"/>
    <n v="1515.4909750173913"/>
    <n v="0.45807312579829756"/>
    <n v="84"/>
    <n v="90"/>
    <n v="0"/>
    <n v="-6"/>
    <n v="0"/>
    <n v="0.32495848725870569"/>
    <n v="1"/>
    <n v="73.45"/>
    <n v="73.45"/>
    <n v="-10.933381388475532"/>
    <n v="1407.3552436758389"/>
    <n v="0"/>
    <n v="1"/>
    <n v="0"/>
    <n v="0"/>
    <n v="0"/>
    <n v="0"/>
    <n v="0"/>
    <n v="0"/>
    <n v="0"/>
    <n v="0"/>
  </r>
  <r>
    <d v="2019-07-12T00:00:00"/>
    <n v="2019"/>
    <x v="14"/>
    <s v="R"/>
    <s v="RS"/>
    <x v="0"/>
    <s v="SEA"/>
    <s v="A"/>
    <n v="2"/>
    <n v="6"/>
    <n v="-4"/>
    <n v="4"/>
    <n v="-16"/>
    <n v="16"/>
    <n v="1428.6428614435085"/>
    <n v="1557.5986570350669"/>
    <n v="0.1962216107333791"/>
    <n v="81"/>
    <n v="95"/>
    <n v="0"/>
    <n v="-14"/>
    <n v="0"/>
    <n v="0.44029284208092312"/>
    <n v="1"/>
    <n v="73.75"/>
    <n v="73.75"/>
    <n v="-6.3716290867278333"/>
    <n v="1422.2712323567807"/>
    <n v="0"/>
    <n v="1"/>
    <n v="0"/>
    <n v="0"/>
    <n v="0"/>
    <n v="0"/>
    <n v="0"/>
    <n v="0"/>
    <n v="0"/>
    <n v="0"/>
  </r>
  <r>
    <d v="2019-07-12T00:00:00"/>
    <n v="2019"/>
    <x v="16"/>
    <s v="R"/>
    <s v="RS"/>
    <x v="9"/>
    <s v="DAL"/>
    <s v="H"/>
    <n v="6"/>
    <n v="2"/>
    <n v="4"/>
    <n v="-4"/>
    <n v="16"/>
    <n v="-16"/>
    <n v="1557.5986570350669"/>
    <n v="1428.6428614435085"/>
    <n v="0.80377838926662093"/>
    <n v="95"/>
    <n v="81"/>
    <n v="0"/>
    <n v="14"/>
    <n v="1"/>
    <n v="0.44029284208092312"/>
    <n v="1"/>
    <n v="73.45"/>
    <n v="73.45"/>
    <n v="6.3457105955275841"/>
    <n v="1563.9443676305946"/>
    <n v="1"/>
    <n v="0"/>
    <n v="0"/>
    <n v="0"/>
    <n v="0"/>
    <n v="0"/>
    <n v="0"/>
    <n v="0"/>
    <n v="0"/>
    <n v="0"/>
  </r>
  <r>
    <d v="2019-07-13T00:00:00"/>
    <n v="2019"/>
    <x v="15"/>
    <s v="R"/>
    <s v="RS"/>
    <x v="11"/>
    <s v="WAS"/>
    <s v="A"/>
    <n v="2"/>
    <n v="2"/>
    <n v="0"/>
    <n v="0"/>
    <n v="0"/>
    <n v="0"/>
    <n v="1541.2220303595982"/>
    <n v="1595.7501394418505"/>
    <n v="0.31057512877268778"/>
    <n v="85"/>
    <n v="81"/>
    <n v="0"/>
    <n v="4"/>
    <n v="1"/>
    <n v="0.29789629995460915"/>
    <n v="1"/>
    <n v="73.599999999999994"/>
    <n v="73.599999999999994"/>
    <n v="15.115755902118019"/>
    <n v="1556.3377862617162"/>
    <n v="1"/>
    <n v="0"/>
    <n v="0"/>
    <n v="0"/>
    <n v="0"/>
    <n v="0"/>
    <n v="0"/>
    <n v="0"/>
    <n v="0"/>
    <n v="0"/>
  </r>
  <r>
    <d v="2019-07-13T00:00:00"/>
    <n v="2019"/>
    <x v="14"/>
    <s v="R"/>
    <s v="RS"/>
    <x v="4"/>
    <s v="LVA"/>
    <s v="H"/>
    <n v="2"/>
    <n v="2"/>
    <n v="0"/>
    <n v="0"/>
    <n v="0"/>
    <n v="0"/>
    <n v="1595.7501394418505"/>
    <n v="1541.2220303595982"/>
    <n v="0.68942487122731211"/>
    <n v="81"/>
    <n v="85"/>
    <n v="0"/>
    <n v="-4"/>
    <n v="0"/>
    <n v="0.29789629995460915"/>
    <n v="1"/>
    <n v="73.75"/>
    <n v="73.75"/>
    <n v="-15.146562469853311"/>
    <n v="1580.6035769719972"/>
    <n v="0"/>
    <n v="1"/>
    <n v="0"/>
    <n v="0"/>
    <n v="0"/>
    <n v="0"/>
    <n v="0"/>
    <n v="0"/>
    <n v="0"/>
    <n v="0"/>
  </r>
  <r>
    <d v="2019-07-14T00:00:00"/>
    <n v="2019"/>
    <x v="15"/>
    <s v="R"/>
    <s v="RS"/>
    <x v="10"/>
    <s v="ATL"/>
    <s v="A"/>
    <n v="1"/>
    <n v="1"/>
    <n v="0"/>
    <n v="0"/>
    <n v="0"/>
    <n v="0"/>
    <n v="1526.4690128308707"/>
    <n v="1445.5787651892749"/>
    <n v="0.49552482611629944"/>
    <n v="76"/>
    <n v="71"/>
    <n v="1"/>
    <n v="5"/>
    <n v="1"/>
    <n v="0.27972455419802839"/>
    <n v="1"/>
    <n v="73.599999999999994"/>
    <n v="73.599999999999994"/>
    <n v="10.385997253528297"/>
    <n v="1536.8550100843991"/>
    <n v="1"/>
    <n v="0"/>
    <n v="0"/>
    <n v="0"/>
    <n v="0"/>
    <n v="0"/>
    <n v="0"/>
    <n v="0"/>
    <n v="0"/>
    <n v="0"/>
  </r>
  <r>
    <d v="2019-07-14T00:00:00"/>
    <n v="2019"/>
    <x v="15"/>
    <s v="R"/>
    <s v="RS"/>
    <x v="1"/>
    <s v="LAS"/>
    <s v="H"/>
    <n v="1"/>
    <n v="1"/>
    <n v="0"/>
    <n v="0"/>
    <n v="0"/>
    <n v="0"/>
    <n v="1445.5787651892749"/>
    <n v="1526.4690128308707"/>
    <n v="0.50447517388370045"/>
    <n v="71"/>
    <n v="76"/>
    <n v="1"/>
    <n v="-5"/>
    <n v="0"/>
    <n v="0.27972455419802839"/>
    <n v="1"/>
    <n v="73.599999999999994"/>
    <n v="73.599999999999994"/>
    <n v="-10.385997253528295"/>
    <n v="1435.1927679357466"/>
    <n v="0"/>
    <n v="1"/>
    <n v="0"/>
    <n v="0"/>
    <n v="0"/>
    <n v="0"/>
    <n v="0"/>
    <n v="0"/>
    <n v="0"/>
    <n v="0"/>
  </r>
  <r>
    <d v="2019-07-14T00:00:00"/>
    <n v="2019"/>
    <x v="16"/>
    <s v="R"/>
    <s v="RS"/>
    <x v="6"/>
    <s v="DAL"/>
    <s v="A"/>
    <n v="1"/>
    <n v="1"/>
    <n v="0"/>
    <n v="0"/>
    <n v="0"/>
    <n v="0"/>
    <n v="1473.0589155928021"/>
    <n v="1422.2712323567807"/>
    <n v="0.45234869114310627"/>
    <n v="89"/>
    <n v="79"/>
    <n v="0"/>
    <n v="10"/>
    <n v="1"/>
    <n v="0.40594870416782652"/>
    <n v="1"/>
    <n v="73.45"/>
    <n v="73.45"/>
    <n v="16.329282011762544"/>
    <n v="1489.3881976045648"/>
    <n v="1"/>
    <n v="0"/>
    <n v="0"/>
    <n v="0"/>
    <n v="0"/>
    <n v="0"/>
    <n v="0"/>
    <n v="0"/>
    <n v="0"/>
    <n v="0"/>
  </r>
  <r>
    <d v="2019-07-14T00:00:00"/>
    <n v="2019"/>
    <x v="15"/>
    <s v="R"/>
    <s v="RS"/>
    <x v="0"/>
    <s v="CHI"/>
    <s v="H"/>
    <n v="1"/>
    <n v="1"/>
    <n v="0"/>
    <n v="0"/>
    <n v="0"/>
    <n v="0"/>
    <n v="1422.2712323567807"/>
    <n v="1473.0589155928021"/>
    <n v="0.54765130885689373"/>
    <n v="79"/>
    <n v="89"/>
    <n v="0"/>
    <n v="-10"/>
    <n v="0"/>
    <n v="0.40594870416782652"/>
    <n v="1"/>
    <n v="73.599999999999994"/>
    <n v="73.599999999999994"/>
    <n v="-16.362629762637482"/>
    <n v="1405.9086025941433"/>
    <n v="0"/>
    <n v="1"/>
    <n v="0"/>
    <n v="0"/>
    <n v="0"/>
    <n v="0"/>
    <n v="0"/>
    <n v="0"/>
    <n v="0"/>
    <n v="0"/>
  </r>
  <r>
    <d v="2019-07-14T00:00:00"/>
    <n v="2019"/>
    <x v="16"/>
    <s v="R"/>
    <s v="RS"/>
    <x v="5"/>
    <s v="IND"/>
    <s v="A"/>
    <n v="1"/>
    <n v="1"/>
    <n v="0"/>
    <n v="0"/>
    <n v="0"/>
    <n v="0"/>
    <n v="1562.5514311254233"/>
    <n v="1407.3552436758389"/>
    <n v="0.60104908154883929"/>
    <n v="76"/>
    <n v="63"/>
    <n v="0"/>
    <n v="13"/>
    <n v="1"/>
    <n v="0.41798561125159167"/>
    <n v="1"/>
    <n v="73.45"/>
    <n v="73.45"/>
    <n v="12.248209360676725"/>
    <n v="1574.7996404861001"/>
    <n v="1"/>
    <n v="0"/>
    <n v="0"/>
    <n v="0"/>
    <n v="0"/>
    <n v="0"/>
    <n v="0"/>
    <n v="0"/>
    <n v="0"/>
    <n v="0"/>
  </r>
  <r>
    <d v="2019-07-14T00:00:00"/>
    <n v="2019"/>
    <x v="17"/>
    <s v="R"/>
    <s v="RS"/>
    <x v="2"/>
    <s v="CON"/>
    <s v="H"/>
    <n v="1"/>
    <n v="1"/>
    <n v="0"/>
    <n v="0"/>
    <n v="0"/>
    <n v="0"/>
    <n v="1407.3552436758389"/>
    <n v="1562.5514311254233"/>
    <n v="0.39895091845116065"/>
    <n v="63"/>
    <n v="76"/>
    <n v="0"/>
    <n v="-13"/>
    <n v="0"/>
    <n v="0.41798561125159167"/>
    <n v="1"/>
    <n v="73.3"/>
    <n v="73.3"/>
    <n v="-12.223195999150494"/>
    <n v="1395.1320476766884"/>
    <n v="0"/>
    <n v="1"/>
    <n v="0"/>
    <n v="0"/>
    <n v="0"/>
    <n v="0"/>
    <n v="0"/>
    <n v="0"/>
    <n v="0"/>
    <n v="0"/>
  </r>
  <r>
    <d v="2019-07-14T00:00:00"/>
    <n v="2019"/>
    <x v="14"/>
    <s v="R"/>
    <s v="RS"/>
    <x v="8"/>
    <s v="MIN"/>
    <s v="A"/>
    <n v="1"/>
    <n v="1"/>
    <n v="0"/>
    <n v="0"/>
    <n v="0"/>
    <n v="0"/>
    <n v="1529.949015339726"/>
    <n v="1524.6540008724542"/>
    <n v="0.38863292013664485"/>
    <n v="62"/>
    <n v="75"/>
    <n v="0"/>
    <n v="-13"/>
    <n v="0"/>
    <n v="0.46997000732414662"/>
    <n v="1"/>
    <n v="73.75"/>
    <n v="73.75"/>
    <n v="-13.47012895382298"/>
    <n v="1516.478886385903"/>
    <n v="0"/>
    <n v="1"/>
    <n v="0"/>
    <n v="0"/>
    <n v="0"/>
    <n v="0"/>
    <n v="0"/>
    <n v="0"/>
    <n v="0"/>
    <n v="0"/>
  </r>
  <r>
    <d v="2019-07-14T00:00:00"/>
    <n v="2019"/>
    <x v="16"/>
    <s v="R"/>
    <s v="RS"/>
    <x v="7"/>
    <s v="PHX"/>
    <s v="H"/>
    <n v="1"/>
    <n v="1"/>
    <n v="0"/>
    <n v="0"/>
    <n v="0"/>
    <n v="0"/>
    <n v="1524.6540008724542"/>
    <n v="1529.949015339726"/>
    <n v="0.61136707986335515"/>
    <n v="75"/>
    <n v="62"/>
    <n v="0"/>
    <n v="13"/>
    <n v="1"/>
    <n v="0.46997000732414662"/>
    <n v="1"/>
    <n v="73.45"/>
    <n v="73.45"/>
    <n v="13.415335208926075"/>
    <n v="1538.0693360813802"/>
    <n v="1"/>
    <n v="0"/>
    <n v="0"/>
    <n v="0"/>
    <n v="0"/>
    <n v="0"/>
    <n v="0"/>
    <n v="0"/>
    <n v="0"/>
    <n v="0"/>
  </r>
  <r>
    <d v="2019-07-14T00:00:00"/>
    <n v="2019"/>
    <x v="16"/>
    <s v="R"/>
    <s v="RS"/>
    <x v="3"/>
    <s v="SEA"/>
    <s v="A"/>
    <n v="1"/>
    <n v="1"/>
    <n v="0"/>
    <n v="0"/>
    <n v="0"/>
    <n v="0"/>
    <n v="1407.5437143017871"/>
    <n v="1563.9443676305946"/>
    <n v="0.20039019857511942"/>
    <n v="69"/>
    <n v="78"/>
    <n v="0"/>
    <n v="-9"/>
    <n v="0"/>
    <n v="0.35916071802318472"/>
    <n v="1"/>
    <n v="73.45"/>
    <n v="73.45"/>
    <n v="-5.2863645245908089"/>
    <n v="1402.2573497771962"/>
    <n v="0"/>
    <n v="1"/>
    <n v="0"/>
    <n v="0"/>
    <n v="0"/>
    <n v="0"/>
    <n v="0"/>
    <n v="0"/>
    <n v="0"/>
    <n v="0"/>
  </r>
  <r>
    <d v="2019-07-14T00:00:00"/>
    <n v="2019"/>
    <x v="17"/>
    <s v="R"/>
    <s v="RS"/>
    <x v="9"/>
    <s v="NYL"/>
    <s v="H"/>
    <n v="1"/>
    <n v="1"/>
    <n v="0"/>
    <n v="0"/>
    <n v="0"/>
    <n v="0"/>
    <n v="1563.9443676305946"/>
    <n v="1407.5437143017871"/>
    <n v="0.79960980142488047"/>
    <n v="78"/>
    <n v="69"/>
    <n v="0"/>
    <n v="9"/>
    <n v="1"/>
    <n v="0.35916071802318472"/>
    <n v="1"/>
    <n v="73.3"/>
    <n v="73.3"/>
    <n v="5.2755686814500544"/>
    <n v="1569.2199363120446"/>
    <n v="1"/>
    <n v="0"/>
    <n v="0"/>
    <n v="0"/>
    <n v="0"/>
    <n v="0"/>
    <n v="0"/>
    <n v="0"/>
    <n v="0"/>
    <n v="0"/>
  </r>
  <r>
    <d v="2019-07-17T00:00:00"/>
    <n v="2019"/>
    <x v="16"/>
    <s v="R"/>
    <s v="RS"/>
    <x v="1"/>
    <s v="CHI"/>
    <s v="A"/>
    <n v="2"/>
    <n v="2"/>
    <n v="0"/>
    <n v="0"/>
    <n v="0"/>
    <n v="0"/>
    <n v="1435.1927679357466"/>
    <n v="1489.3881976045648"/>
    <n v="0.31098532596676198"/>
    <n v="76"/>
    <n v="77"/>
    <n v="0"/>
    <n v="-1"/>
    <n v="0"/>
    <n v="0.23362834708760308"/>
    <n v="1"/>
    <n v="73.45"/>
    <n v="73.45"/>
    <n v="-5.336508844663677"/>
    <n v="1429.8562590910828"/>
    <n v="0"/>
    <n v="1"/>
    <n v="0"/>
    <n v="0"/>
    <n v="0"/>
    <n v="0"/>
    <n v="0"/>
    <n v="0"/>
    <n v="0"/>
    <n v="0"/>
  </r>
  <r>
    <d v="2019-07-17T00:00:00"/>
    <n v="2019"/>
    <x v="17"/>
    <s v="R"/>
    <s v="RS"/>
    <x v="6"/>
    <s v="ATL"/>
    <s v="H"/>
    <n v="2"/>
    <n v="2"/>
    <n v="0"/>
    <n v="0"/>
    <n v="0"/>
    <n v="0"/>
    <n v="1489.3881976045648"/>
    <n v="1435.1927679357466"/>
    <n v="0.68901467403323802"/>
    <n v="77"/>
    <n v="76"/>
    <n v="0"/>
    <n v="1"/>
    <n v="1"/>
    <n v="0.23362834708760308"/>
    <n v="1"/>
    <n v="73.3"/>
    <n v="73.3"/>
    <n v="5.3256105965125595"/>
    <n v="1494.7138082010774"/>
    <n v="1"/>
    <n v="0"/>
    <n v="0"/>
    <n v="0"/>
    <n v="0"/>
    <n v="0"/>
    <n v="0"/>
    <n v="0"/>
    <n v="0"/>
    <n v="0"/>
  </r>
  <r>
    <d v="2019-07-17T00:00:00"/>
    <n v="2019"/>
    <x v="18"/>
    <s v="R"/>
    <s v="RS"/>
    <x v="9"/>
    <s v="MIN"/>
    <s v="A"/>
    <n v="2"/>
    <n v="2"/>
    <n v="0"/>
    <n v="0"/>
    <n v="0"/>
    <n v="0"/>
    <n v="1569.2199363120446"/>
    <n v="1538.0693360813802"/>
    <n v="0.42452482646952683"/>
    <n v="90"/>
    <n v="79"/>
    <n v="0"/>
    <n v="11"/>
    <n v="1"/>
    <n v="0.42870723062659449"/>
    <n v="1"/>
    <n v="73.150000000000006"/>
    <n v="73.150000000000006"/>
    <n v="18.046863414709179"/>
    <n v="1587.2667997267538"/>
    <n v="1"/>
    <n v="0"/>
    <n v="0"/>
    <n v="0"/>
    <n v="0"/>
    <n v="0"/>
    <n v="0"/>
    <n v="0"/>
    <n v="0"/>
    <n v="0"/>
  </r>
  <r>
    <d v="2019-07-17T00:00:00"/>
    <n v="2019"/>
    <x v="17"/>
    <s v="R"/>
    <s v="RS"/>
    <x v="7"/>
    <s v="SEA"/>
    <s v="H"/>
    <n v="2"/>
    <n v="2"/>
    <n v="0"/>
    <n v="0"/>
    <n v="0"/>
    <n v="0"/>
    <n v="1538.0693360813802"/>
    <n v="1569.2199363120446"/>
    <n v="0.57547517353047317"/>
    <n v="79"/>
    <n v="90"/>
    <n v="0"/>
    <n v="-11"/>
    <n v="0"/>
    <n v="0.42870723062659449"/>
    <n v="1"/>
    <n v="73.3"/>
    <n v="73.3"/>
    <n v="-18.083869969899968"/>
    <n v="1519.9854661114803"/>
    <n v="0"/>
    <n v="1"/>
    <n v="0"/>
    <n v="0"/>
    <n v="0"/>
    <n v="0"/>
    <n v="0"/>
    <n v="0"/>
    <n v="0"/>
    <n v="0"/>
  </r>
  <r>
    <d v="2019-07-17T00:00:00"/>
    <n v="2019"/>
    <x v="16"/>
    <s v="R"/>
    <s v="RS"/>
    <x v="0"/>
    <s v="PHX"/>
    <s v="A"/>
    <n v="2"/>
    <n v="2"/>
    <n v="0"/>
    <n v="0"/>
    <n v="0"/>
    <n v="0"/>
    <n v="1405.9086025941433"/>
    <n v="1516.478886385903"/>
    <n v="0.24600449700923532"/>
    <n v="64"/>
    <n v="69"/>
    <n v="0"/>
    <n v="-5"/>
    <n v="0"/>
    <n v="0.30376636451857292"/>
    <n v="1"/>
    <n v="73.45"/>
    <n v="73.45"/>
    <n v="-5.4887636462255074"/>
    <n v="1400.4198389479177"/>
    <n v="0"/>
    <n v="1"/>
    <n v="0"/>
    <n v="0"/>
    <n v="0"/>
    <n v="0"/>
    <n v="0"/>
    <n v="0"/>
    <n v="0"/>
    <n v="0"/>
  </r>
  <r>
    <d v="2019-07-17T00:00:00"/>
    <n v="2019"/>
    <x v="15"/>
    <s v="R"/>
    <s v="RS"/>
    <x v="8"/>
    <s v="DAL"/>
    <s v="H"/>
    <n v="2"/>
    <n v="2"/>
    <n v="0"/>
    <n v="0"/>
    <n v="0"/>
    <n v="0"/>
    <n v="1516.478886385903"/>
    <n v="1405.9086025941433"/>
    <n v="0.75399550299076468"/>
    <n v="69"/>
    <n v="64"/>
    <n v="0"/>
    <n v="5"/>
    <n v="1"/>
    <n v="0.30376636451857292"/>
    <n v="1"/>
    <n v="73.599999999999994"/>
    <n v="73.599999999999994"/>
    <n v="5.4999728299822648"/>
    <n v="1521.9788592158852"/>
    <n v="1"/>
    <n v="0"/>
    <n v="0"/>
    <n v="0"/>
    <n v="0"/>
    <n v="0"/>
    <n v="0"/>
    <n v="0"/>
    <n v="0"/>
    <n v="0"/>
  </r>
  <r>
    <d v="2019-07-18T00:00:00"/>
    <n v="2019"/>
    <x v="17"/>
    <s v="R"/>
    <s v="RS"/>
    <x v="0"/>
    <s v="LAS"/>
    <s v="A"/>
    <n v="0"/>
    <n v="3"/>
    <n v="-3"/>
    <n v="3"/>
    <n v="-16"/>
    <n v="16"/>
    <n v="1400.4198389479177"/>
    <n v="1536.8550100843991"/>
    <n v="0.18951976189820191"/>
    <n v="64"/>
    <n v="69"/>
    <n v="0"/>
    <n v="-5"/>
    <n v="0"/>
    <n v="0.29788737916479241"/>
    <n v="1"/>
    <n v="73.3"/>
    <n v="73.3"/>
    <n v="-4.1381914610922692"/>
    <n v="1396.2816474868255"/>
    <n v="0"/>
    <n v="1"/>
    <n v="0"/>
    <n v="0"/>
    <n v="0"/>
    <n v="0"/>
    <n v="0"/>
    <n v="0"/>
    <n v="0"/>
    <n v="0"/>
  </r>
  <r>
    <d v="2019-07-18T00:00:00"/>
    <n v="2019"/>
    <x v="16"/>
    <s v="R"/>
    <s v="RS"/>
    <x v="10"/>
    <s v="DAL"/>
    <s v="H"/>
    <n v="3"/>
    <n v="0"/>
    <n v="3"/>
    <n v="-3"/>
    <n v="16"/>
    <n v="-16"/>
    <n v="1536.8550100843991"/>
    <n v="1400.4198389479177"/>
    <n v="0.81048023810179803"/>
    <n v="69"/>
    <n v="64"/>
    <n v="0"/>
    <n v="5"/>
    <n v="1"/>
    <n v="0.29788737916479241"/>
    <n v="1"/>
    <n v="73.45"/>
    <n v="73.45"/>
    <n v="4.1466597928680393"/>
    <n v="1541.0016698772672"/>
    <n v="1"/>
    <n v="0"/>
    <n v="0"/>
    <n v="0"/>
    <n v="0"/>
    <n v="0"/>
    <n v="0"/>
    <n v="0"/>
    <n v="0"/>
    <n v="0"/>
  </r>
  <r>
    <d v="2019-07-19T00:00:00"/>
    <n v="2019"/>
    <x v="17"/>
    <s v="R"/>
    <s v="RS"/>
    <x v="1"/>
    <s v="CON"/>
    <s v="A"/>
    <n v="1"/>
    <n v="4"/>
    <n v="-3"/>
    <n v="3"/>
    <n v="-16"/>
    <n v="16"/>
    <n v="1429.8562590910828"/>
    <n v="1574.7996404861001"/>
    <n v="0.18211090899443269"/>
    <n v="69"/>
    <n v="98"/>
    <n v="0"/>
    <n v="-29"/>
    <n v="0"/>
    <n v="0.61685536766061133"/>
    <n v="1"/>
    <n v="73.3"/>
    <n v="73.3"/>
    <n v="-8.2342355232789615"/>
    <n v="1421.6220235678038"/>
    <n v="0"/>
    <n v="1"/>
    <n v="0"/>
    <n v="0"/>
    <n v="0"/>
    <n v="0"/>
    <n v="0"/>
    <n v="0"/>
    <n v="0"/>
    <n v="0"/>
  </r>
  <r>
    <d v="2019-07-19T00:00:00"/>
    <n v="2019"/>
    <x v="17"/>
    <s v="R"/>
    <s v="RS"/>
    <x v="5"/>
    <s v="ATL"/>
    <s v="H"/>
    <n v="4"/>
    <n v="1"/>
    <n v="3"/>
    <n v="-3"/>
    <n v="16"/>
    <n v="-16"/>
    <n v="1574.7996404861001"/>
    <n v="1429.8562590910828"/>
    <n v="0.81788909100556739"/>
    <n v="98"/>
    <n v="69"/>
    <n v="0"/>
    <n v="29"/>
    <n v="1"/>
    <n v="0.61685536766061133"/>
    <n v="1"/>
    <n v="73.3"/>
    <n v="73.3"/>
    <n v="8.2342355232789579"/>
    <n v="1583.0338760093791"/>
    <n v="1"/>
    <n v="0"/>
    <n v="0"/>
    <n v="0"/>
    <n v="0"/>
    <n v="0"/>
    <n v="0"/>
    <n v="0"/>
    <n v="0"/>
    <n v="0"/>
  </r>
  <r>
    <d v="2019-07-19T00:00:00"/>
    <n v="2019"/>
    <x v="15"/>
    <s v="R"/>
    <s v="RS"/>
    <x v="4"/>
    <s v="IND"/>
    <s v="A"/>
    <n v="5"/>
    <n v="4"/>
    <n v="1"/>
    <n v="-1"/>
    <n v="8"/>
    <n v="-8"/>
    <n v="1580.6035769719972"/>
    <n v="1395.1320476766884"/>
    <n v="0.66289462646377828"/>
    <n v="95"/>
    <n v="88"/>
    <n v="1"/>
    <n v="7"/>
    <n v="1"/>
    <n v="0.2885052040653861"/>
    <n v="1"/>
    <n v="73.599999999999994"/>
    <n v="73.599999999999994"/>
    <n v="7.1580897773533909"/>
    <n v="1587.7616667493505"/>
    <n v="1"/>
    <n v="0"/>
    <n v="0"/>
    <n v="0"/>
    <n v="0"/>
    <n v="0"/>
    <n v="0"/>
    <n v="0"/>
    <n v="0"/>
    <n v="0"/>
  </r>
  <r>
    <d v="2019-07-19T00:00:00"/>
    <n v="2019"/>
    <x v="18"/>
    <s v="R"/>
    <s v="RS"/>
    <x v="2"/>
    <s v="WAS"/>
    <s v="H"/>
    <n v="4"/>
    <n v="5"/>
    <n v="-1"/>
    <n v="1"/>
    <n v="-8"/>
    <n v="8"/>
    <n v="1395.1320476766884"/>
    <n v="1580.6035769719972"/>
    <n v="0.33710537353622166"/>
    <n v="88"/>
    <n v="95"/>
    <n v="1"/>
    <n v="-7"/>
    <n v="0"/>
    <n v="0.2885052040653861"/>
    <n v="1"/>
    <n v="73.150000000000006"/>
    <n v="73.150000000000006"/>
    <n v="-7.1143242827907676"/>
    <n v="1388.0177233938978"/>
    <n v="0"/>
    <n v="1"/>
    <n v="0"/>
    <n v="0"/>
    <n v="0"/>
    <n v="0"/>
    <n v="0"/>
    <n v="0"/>
    <n v="0"/>
    <n v="0"/>
  </r>
  <r>
    <d v="2019-07-19T00:00:00"/>
    <n v="2019"/>
    <x v="16"/>
    <s v="R"/>
    <s v="RS"/>
    <x v="11"/>
    <s v="SEA"/>
    <s v="A"/>
    <n v="5"/>
    <n v="1"/>
    <n v="4"/>
    <n v="-4"/>
    <n v="16"/>
    <n v="-16"/>
    <n v="1556.3377862617162"/>
    <n v="1587.2667997267538"/>
    <n v="0.38287151626170768"/>
    <n v="66"/>
    <n v="69"/>
    <n v="0"/>
    <n v="-3"/>
    <n v="0"/>
    <n v="0.28289220703167728"/>
    <n v="1"/>
    <n v="73.45"/>
    <n v="73.45"/>
    <n v="-7.9554699975834406"/>
    <n v="1548.3823162641329"/>
    <n v="0"/>
    <n v="1"/>
    <n v="0"/>
    <n v="0"/>
    <n v="0"/>
    <n v="0"/>
    <n v="0"/>
    <n v="0"/>
    <n v="0"/>
    <n v="0"/>
  </r>
  <r>
    <d v="2019-07-19T00:00:00"/>
    <n v="2019"/>
    <x v="19"/>
    <s v="R"/>
    <s v="RS"/>
    <x v="9"/>
    <s v="LVA"/>
    <s v="H"/>
    <n v="1"/>
    <n v="5"/>
    <n v="-4"/>
    <n v="4"/>
    <n v="-16"/>
    <n v="16"/>
    <n v="1587.2667997267538"/>
    <n v="1556.3377862617162"/>
    <n v="0.61712848373829232"/>
    <n v="69"/>
    <n v="66"/>
    <n v="0"/>
    <n v="3"/>
    <n v="1"/>
    <n v="0.28289220703167728"/>
    <n v="1"/>
    <n v="73"/>
    <n v="73"/>
    <n v="7.9067298818732619"/>
    <n v="1595.1735296086269"/>
    <n v="1"/>
    <n v="0"/>
    <n v="0"/>
    <n v="0"/>
    <n v="0"/>
    <n v="0"/>
    <n v="0"/>
    <n v="0"/>
    <n v="0"/>
    <n v="0"/>
  </r>
  <r>
    <d v="2019-07-20T00:00:00"/>
    <n v="2019"/>
    <x v="16"/>
    <s v="R"/>
    <s v="RS"/>
    <x v="8"/>
    <s v="DAL"/>
    <s v="A"/>
    <n v="2"/>
    <n v="1"/>
    <n v="1"/>
    <n v="-1"/>
    <n v="8"/>
    <n v="-8"/>
    <n v="1521.9788592158852"/>
    <n v="1396.2816474868255"/>
    <n v="0.5822779979728715"/>
    <n v="70"/>
    <n v="66"/>
    <n v="0"/>
    <n v="4"/>
    <n v="1"/>
    <n v="0.28190395105170846"/>
    <n v="1"/>
    <n v="73.45"/>
    <n v="73.45"/>
    <n v="8.6492871125911481"/>
    <n v="1530.6281463284763"/>
    <n v="1"/>
    <n v="0"/>
    <n v="0"/>
    <n v="0"/>
    <n v="0"/>
    <n v="0"/>
    <n v="0"/>
    <n v="0"/>
    <n v="0"/>
    <n v="0"/>
  </r>
  <r>
    <d v="2019-07-20T00:00:00"/>
    <n v="2019"/>
    <x v="18"/>
    <s v="R"/>
    <s v="RS"/>
    <x v="0"/>
    <s v="PHX"/>
    <s v="H"/>
    <n v="1"/>
    <n v="2"/>
    <n v="-1"/>
    <n v="1"/>
    <n v="-8"/>
    <n v="8"/>
    <n v="1396.2816474868255"/>
    <n v="1521.9788592158852"/>
    <n v="0.4177220020271285"/>
    <n v="66"/>
    <n v="70"/>
    <n v="0"/>
    <n v="-4"/>
    <n v="0"/>
    <n v="0.28190395105170846"/>
    <n v="1"/>
    <n v="73.150000000000006"/>
    <n v="73.150000000000006"/>
    <n v="-8.6139598677473455"/>
    <n v="1387.6676876190782"/>
    <n v="0"/>
    <n v="1"/>
    <n v="0"/>
    <n v="0"/>
    <n v="0"/>
    <n v="0"/>
    <n v="0"/>
    <n v="0"/>
    <n v="0"/>
    <n v="0"/>
  </r>
  <r>
    <d v="2019-07-20T00:00:00"/>
    <n v="2019"/>
    <x v="17"/>
    <s v="R"/>
    <s v="RS"/>
    <x v="10"/>
    <s v="NYL"/>
    <s v="A"/>
    <n v="1"/>
    <n v="5"/>
    <n v="-4"/>
    <n v="4"/>
    <n v="-16"/>
    <n v="16"/>
    <n v="1541.0016698772672"/>
    <n v="1402.2573497771962"/>
    <n v="0.53268503097418274"/>
    <n v="78"/>
    <n v="83"/>
    <n v="0"/>
    <n v="-5"/>
    <n v="0"/>
    <n v="0.29737356459800984"/>
    <n v="1"/>
    <n v="73.3"/>
    <n v="73.3"/>
    <n v="-11.611192526162601"/>
    <n v="1529.3904773511047"/>
    <n v="0"/>
    <n v="1"/>
    <n v="0"/>
    <n v="0"/>
    <n v="0"/>
    <n v="0"/>
    <n v="0"/>
    <n v="0"/>
    <n v="0"/>
    <n v="0"/>
  </r>
  <r>
    <d v="2019-07-20T00:00:00"/>
    <n v="2019"/>
    <x v="17"/>
    <s v="R"/>
    <s v="RS"/>
    <x v="3"/>
    <s v="LAS"/>
    <s v="H"/>
    <n v="5"/>
    <n v="1"/>
    <n v="4"/>
    <n v="-4"/>
    <n v="16"/>
    <n v="-16"/>
    <n v="1402.2573497771962"/>
    <n v="1541.0016698772672"/>
    <n v="0.46731496902581715"/>
    <n v="83"/>
    <n v="78"/>
    <n v="0"/>
    <n v="5"/>
    <n v="1"/>
    <n v="0.29737356459800984"/>
    <n v="1"/>
    <n v="73.3"/>
    <n v="73.3"/>
    <n v="11.611192526162602"/>
    <n v="1413.8685423033587"/>
    <n v="1"/>
    <n v="0"/>
    <n v="0"/>
    <n v="0"/>
    <n v="0"/>
    <n v="0"/>
    <n v="0"/>
    <n v="0"/>
    <n v="0"/>
    <n v="0"/>
  </r>
  <r>
    <d v="2019-07-21T00:00:00"/>
    <n v="2019"/>
    <x v="19"/>
    <s v="R"/>
    <s v="RS"/>
    <x v="2"/>
    <s v="CHI"/>
    <s v="A"/>
    <n v="1"/>
    <n v="3"/>
    <n v="-2"/>
    <n v="2"/>
    <n v="-16"/>
    <n v="16"/>
    <n v="1388.0177233938978"/>
    <n v="1494.7138082010774"/>
    <n v="0.21721988236448464"/>
    <n v="70"/>
    <n v="78"/>
    <n v="0"/>
    <n v="-8"/>
    <n v="0"/>
    <n v="0.35660827901873438"/>
    <n v="1"/>
    <n v="73"/>
    <n v="73"/>
    <n v="-5.6547558145615078"/>
    <n v="1382.3629675793363"/>
    <n v="0"/>
    <n v="1"/>
    <n v="0"/>
    <n v="0"/>
    <n v="0"/>
    <n v="0"/>
    <n v="0"/>
    <n v="0"/>
    <n v="0"/>
    <n v="0"/>
  </r>
  <r>
    <d v="2019-07-21T00:00:00"/>
    <n v="2019"/>
    <x v="18"/>
    <s v="R"/>
    <s v="RS"/>
    <x v="6"/>
    <s v="IND"/>
    <s v="H"/>
    <n v="3"/>
    <n v="1"/>
    <n v="2"/>
    <n v="-2"/>
    <n v="16"/>
    <n v="-16"/>
    <n v="1494.7138082010774"/>
    <n v="1388.0177233938978"/>
    <n v="0.78278011763551536"/>
    <n v="78"/>
    <n v="70"/>
    <n v="0"/>
    <n v="8"/>
    <n v="1"/>
    <n v="0.35660827901873438"/>
    <n v="1"/>
    <n v="73.150000000000006"/>
    <n v="73.150000000000006"/>
    <n v="5.6663751758243066"/>
    <n v="1500.3801833769016"/>
    <n v="1"/>
    <n v="0"/>
    <n v="0"/>
    <n v="0"/>
    <n v="0"/>
    <n v="0"/>
    <n v="0"/>
    <n v="0"/>
    <n v="0"/>
    <n v="0"/>
  </r>
  <r>
    <d v="2019-07-21T00:00:00"/>
    <n v="2019"/>
    <x v="18"/>
    <s v="R"/>
    <s v="RS"/>
    <x v="7"/>
    <s v="LVA"/>
    <s v="A"/>
    <n v="3"/>
    <n v="1"/>
    <n v="2"/>
    <n v="-2"/>
    <n v="16"/>
    <n v="-16"/>
    <n v="1519.9854661114803"/>
    <n v="1548.3823162641329"/>
    <n v="0.38632144768068427"/>
    <n v="74"/>
    <n v="79"/>
    <n v="0"/>
    <n v="-5"/>
    <n v="0"/>
    <n v="0.32408677253122603"/>
    <n v="1"/>
    <n v="73.150000000000006"/>
    <n v="73.150000000000006"/>
    <n v="-9.1585022437757058"/>
    <n v="1510.8269638677045"/>
    <n v="0"/>
    <n v="1"/>
    <n v="0"/>
    <n v="0"/>
    <n v="0"/>
    <n v="0"/>
    <n v="0"/>
    <n v="0"/>
    <n v="0"/>
    <n v="0"/>
  </r>
  <r>
    <d v="2019-07-21T00:00:00"/>
    <n v="2019"/>
    <x v="17"/>
    <s v="R"/>
    <s v="RS"/>
    <x v="11"/>
    <s v="MIN"/>
    <s v="H"/>
    <n v="1"/>
    <n v="3"/>
    <n v="-2"/>
    <n v="2"/>
    <n v="-16"/>
    <n v="16"/>
    <n v="1548.3823162641329"/>
    <n v="1519.9854661114803"/>
    <n v="0.61367855231931567"/>
    <n v="79"/>
    <n v="74"/>
    <n v="0"/>
    <n v="5"/>
    <n v="1"/>
    <n v="0.32408677253122603"/>
    <n v="1"/>
    <n v="73.3"/>
    <n v="73.3"/>
    <n v="9.1772824944464695"/>
    <n v="1557.5595987585793"/>
    <n v="1"/>
    <n v="0"/>
    <n v="0"/>
    <n v="0"/>
    <n v="0"/>
    <n v="0"/>
    <n v="0"/>
    <n v="0"/>
    <n v="0"/>
    <n v="0"/>
  </r>
  <r>
    <d v="2019-07-21T00:00:00"/>
    <n v="2019"/>
    <x v="18"/>
    <s v="R"/>
    <s v="RS"/>
    <x v="1"/>
    <s v="WAS"/>
    <s v="A"/>
    <n v="1"/>
    <n v="1"/>
    <n v="0"/>
    <n v="0"/>
    <n v="0"/>
    <n v="0"/>
    <n v="1421.6220235678038"/>
    <n v="1587.7616667493505"/>
    <n v="0.19155780950852419"/>
    <n v="65"/>
    <n v="93"/>
    <n v="0"/>
    <n v="-28"/>
    <n v="0"/>
    <n v="0.59650387583181319"/>
    <n v="1"/>
    <n v="73.150000000000006"/>
    <n v="73.150000000000006"/>
    <n v="-8.3584829810637924"/>
    <n v="1413.26354058674"/>
    <n v="0"/>
    <n v="1"/>
    <n v="0"/>
    <n v="0"/>
    <n v="0"/>
    <n v="0"/>
    <n v="0"/>
    <n v="0"/>
    <n v="0"/>
    <n v="0"/>
  </r>
  <r>
    <d v="2019-07-21T00:00:00"/>
    <n v="2019"/>
    <x v="16"/>
    <s v="R"/>
    <s v="RS"/>
    <x v="4"/>
    <s v="ATL"/>
    <s v="H"/>
    <n v="1"/>
    <n v="1"/>
    <n v="0"/>
    <n v="0"/>
    <n v="0"/>
    <n v="0"/>
    <n v="1587.7616667493505"/>
    <n v="1421.6220235678038"/>
    <n v="0.80844219049147581"/>
    <n v="93"/>
    <n v="65"/>
    <n v="0"/>
    <n v="28"/>
    <n v="1"/>
    <n v="0.59650387583181319"/>
    <n v="1"/>
    <n v="73.45"/>
    <n v="73.45"/>
    <n v="8.392762473809098"/>
    <n v="1596.1544292231597"/>
    <n v="1"/>
    <n v="0"/>
    <n v="0"/>
    <n v="0"/>
    <n v="0"/>
    <n v="0"/>
    <n v="0"/>
    <n v="0"/>
    <n v="0"/>
    <n v="0"/>
  </r>
  <r>
    <d v="2019-07-23T00:00:00"/>
    <n v="2019"/>
    <x v="18"/>
    <s v="R"/>
    <s v="RS"/>
    <x v="10"/>
    <s v="ATL"/>
    <s v="A"/>
    <n v="2"/>
    <n v="1"/>
    <n v="1"/>
    <n v="-1"/>
    <n v="8"/>
    <n v="-8"/>
    <n v="1529.3904773511047"/>
    <n v="1413.26354058674"/>
    <n v="0.56882061674705775"/>
    <n v="78"/>
    <n v="66"/>
    <n v="0"/>
    <n v="12"/>
    <n v="1"/>
    <n v="0.41588338966566235"/>
    <n v="1"/>
    <n v="73.150000000000006"/>
    <n v="73.150000000000006"/>
    <n v="13.117283124185562"/>
    <n v="1542.5077604752903"/>
    <n v="1"/>
    <n v="0"/>
    <n v="0"/>
    <n v="0"/>
    <n v="0"/>
    <n v="0"/>
    <n v="0"/>
    <n v="0"/>
    <n v="0"/>
    <n v="0"/>
  </r>
  <r>
    <d v="2019-07-23T00:00:00"/>
    <n v="2019"/>
    <x v="19"/>
    <s v="R"/>
    <s v="RS"/>
    <x v="1"/>
    <s v="LAS"/>
    <s v="H"/>
    <n v="1"/>
    <n v="2"/>
    <n v="-1"/>
    <n v="1"/>
    <n v="-8"/>
    <n v="8"/>
    <n v="1413.26354058674"/>
    <n v="1529.3904773511047"/>
    <n v="0.43117938325294231"/>
    <n v="66"/>
    <n v="78"/>
    <n v="0"/>
    <n v="-12"/>
    <n v="0"/>
    <n v="0.41588338966566235"/>
    <n v="1"/>
    <n v="73"/>
    <n v="73"/>
    <n v="-13.090385072666386"/>
    <n v="1400.1731555140736"/>
    <n v="0"/>
    <n v="1"/>
    <n v="0"/>
    <n v="0"/>
    <n v="0"/>
    <n v="0"/>
    <n v="0"/>
    <n v="0"/>
    <n v="0"/>
    <n v="0"/>
  </r>
  <r>
    <d v="2019-07-23T00:00:00"/>
    <n v="2019"/>
    <x v="20"/>
    <s v="R"/>
    <s v="RS"/>
    <x v="9"/>
    <s v="LVA"/>
    <s v="A"/>
    <n v="3"/>
    <n v="1"/>
    <n v="2"/>
    <n v="-2"/>
    <n v="16"/>
    <n v="-16"/>
    <n v="1595.1735296086269"/>
    <n v="1557.5595987585793"/>
    <n v="0.47930860599914271"/>
    <n v="62"/>
    <n v="79"/>
    <n v="0"/>
    <n v="-17"/>
    <n v="0"/>
    <n v="0.51625993128531711"/>
    <n v="1"/>
    <n v="72.849999999999994"/>
    <n v="72.849999999999994"/>
    <n v="-18.026574269623595"/>
    <n v="1577.1469553390034"/>
    <n v="0"/>
    <n v="1"/>
    <n v="0"/>
    <n v="0"/>
    <n v="0"/>
    <n v="0"/>
    <n v="0"/>
    <n v="0"/>
    <n v="0"/>
    <n v="0"/>
  </r>
  <r>
    <d v="2019-07-23T00:00:00"/>
    <n v="2019"/>
    <x v="18"/>
    <s v="R"/>
    <s v="RS"/>
    <x v="11"/>
    <s v="SEA"/>
    <s v="H"/>
    <n v="1"/>
    <n v="3"/>
    <n v="-2"/>
    <n v="2"/>
    <n v="-16"/>
    <n v="16"/>
    <n v="1557.5595987585793"/>
    <n v="1595.1735296086269"/>
    <n v="0.52069139400085729"/>
    <n v="79"/>
    <n v="62"/>
    <n v="0"/>
    <n v="17"/>
    <n v="1"/>
    <n v="0.51625993128531711"/>
    <n v="1"/>
    <n v="73.150000000000006"/>
    <n v="73.150000000000006"/>
    <n v="18.100808618022874"/>
    <n v="1575.6604073766023"/>
    <n v="1"/>
    <n v="0"/>
    <n v="0"/>
    <n v="0"/>
    <n v="0"/>
    <n v="0"/>
    <n v="0"/>
    <n v="0"/>
    <n v="0"/>
    <n v="0"/>
  </r>
  <r>
    <d v="2019-07-23T00:00:00"/>
    <n v="2019"/>
    <x v="20"/>
    <s v="R"/>
    <s v="RS"/>
    <x v="2"/>
    <s v="PHX"/>
    <s v="A"/>
    <n v="1"/>
    <n v="2"/>
    <n v="-1"/>
    <n v="1"/>
    <n v="-8"/>
    <n v="8"/>
    <n v="1382.3629675793363"/>
    <n v="1530.6281463284763"/>
    <n v="0.1932343935441381"/>
    <n v="77"/>
    <n v="95"/>
    <n v="0"/>
    <n v="-18"/>
    <n v="0"/>
    <n v="0.48670004157518859"/>
    <n v="1"/>
    <n v="72.849999999999994"/>
    <n v="72.849999999999994"/>
    <n v="-6.851337600027497"/>
    <n v="1375.5116299793087"/>
    <n v="0"/>
    <n v="1"/>
    <n v="0"/>
    <n v="0"/>
    <n v="0"/>
    <n v="0"/>
    <n v="0"/>
    <n v="0"/>
    <n v="0"/>
    <n v="0"/>
  </r>
  <r>
    <d v="2019-07-23T00:00:00"/>
    <n v="2019"/>
    <x v="17"/>
    <s v="R"/>
    <s v="RS"/>
    <x v="8"/>
    <s v="IND"/>
    <s v="H"/>
    <n v="2"/>
    <n v="1"/>
    <n v="1"/>
    <n v="-1"/>
    <n v="8"/>
    <n v="-8"/>
    <n v="1530.6281463284763"/>
    <n v="1382.3629675793363"/>
    <n v="0.80676560645586182"/>
    <n v="95"/>
    <n v="77"/>
    <n v="0"/>
    <n v="18"/>
    <n v="1"/>
    <n v="0.48670004157518859"/>
    <n v="1"/>
    <n v="73.3"/>
    <n v="73.3"/>
    <n v="6.8936588343447598"/>
    <n v="1537.521805162821"/>
    <n v="1"/>
    <n v="0"/>
    <n v="0"/>
    <n v="0"/>
    <n v="0"/>
    <n v="0"/>
    <n v="0"/>
    <n v="0"/>
    <n v="0"/>
    <n v="0"/>
  </r>
  <r>
    <d v="2019-07-24T00:00:00"/>
    <n v="2019"/>
    <x v="18"/>
    <s v="R"/>
    <s v="RS"/>
    <x v="3"/>
    <s v="CON"/>
    <s v="A"/>
    <n v="3"/>
    <n v="4"/>
    <n v="-1"/>
    <n v="1"/>
    <n v="-8"/>
    <n v="8"/>
    <n v="1413.8685423033587"/>
    <n v="1583.0338760093791"/>
    <n v="0.17516713359664521"/>
    <n v="63"/>
    <n v="70"/>
    <n v="0"/>
    <n v="-7"/>
    <n v="0"/>
    <n v="0.32437909144429511"/>
    <n v="1"/>
    <n v="73.150000000000006"/>
    <n v="73.150000000000006"/>
    <n v="-4.1564236455766777"/>
    <n v="1409.712118657782"/>
    <n v="0"/>
    <n v="1"/>
    <n v="0"/>
    <n v="0"/>
    <n v="0"/>
    <n v="0"/>
    <n v="0"/>
    <n v="0"/>
    <n v="0"/>
    <n v="0"/>
  </r>
  <r>
    <d v="2019-07-24T00:00:00"/>
    <n v="2019"/>
    <x v="18"/>
    <s v="R"/>
    <s v="RS"/>
    <x v="5"/>
    <s v="NYL"/>
    <s v="H"/>
    <n v="4"/>
    <n v="3"/>
    <n v="1"/>
    <n v="-1"/>
    <n v="8"/>
    <n v="-8"/>
    <n v="1583.0338760093791"/>
    <n v="1413.8685423033587"/>
    <n v="0.82483286640335485"/>
    <n v="70"/>
    <n v="63"/>
    <n v="0"/>
    <n v="7"/>
    <n v="1"/>
    <n v="0.32437909144429511"/>
    <n v="1"/>
    <n v="73.150000000000006"/>
    <n v="73.150000000000006"/>
    <n v="4.1564236455766759"/>
    <n v="1587.1902996549559"/>
    <n v="1"/>
    <n v="0"/>
    <n v="0"/>
    <n v="0"/>
    <n v="0"/>
    <n v="0"/>
    <n v="0"/>
    <n v="0"/>
    <n v="0"/>
    <n v="0"/>
  </r>
  <r>
    <d v="2019-07-24T00:00:00"/>
    <n v="2019"/>
    <x v="17"/>
    <s v="R"/>
    <s v="RS"/>
    <x v="4"/>
    <s v="MIN"/>
    <s v="A"/>
    <n v="2"/>
    <n v="2"/>
    <n v="0"/>
    <n v="0"/>
    <n v="0"/>
    <n v="0"/>
    <n v="1596.1544292231597"/>
    <n v="1510.8269638677045"/>
    <n v="0.50191036691590429"/>
    <n v="79"/>
    <n v="71"/>
    <n v="0"/>
    <n v="8"/>
    <n v="1"/>
    <n v="0.36253690562407842"/>
    <n v="1"/>
    <n v="73.3"/>
    <n v="73.3"/>
    <n v="13.236211586317589"/>
    <n v="1609.3906408094772"/>
    <n v="1"/>
    <n v="0"/>
    <n v="0"/>
    <n v="0"/>
    <n v="0"/>
    <n v="0"/>
    <n v="0"/>
    <n v="0"/>
    <n v="0"/>
    <n v="0"/>
  </r>
  <r>
    <d v="2019-07-24T00:00:00"/>
    <n v="2019"/>
    <x v="19"/>
    <s v="R"/>
    <s v="RS"/>
    <x v="7"/>
    <s v="WAS"/>
    <s v="H"/>
    <n v="2"/>
    <n v="2"/>
    <n v="0"/>
    <n v="0"/>
    <n v="0"/>
    <n v="0"/>
    <n v="1510.8269638677045"/>
    <n v="1596.1544292231597"/>
    <n v="0.49808963308409571"/>
    <n v="71"/>
    <n v="79"/>
    <n v="0"/>
    <n v="-8"/>
    <n v="0"/>
    <n v="0.36253690562407842"/>
    <n v="1"/>
    <n v="73"/>
    <n v="73"/>
    <n v="-13.182038824027067"/>
    <n v="1497.6449250436774"/>
    <n v="0"/>
    <n v="1"/>
    <n v="0"/>
    <n v="0"/>
    <n v="0"/>
    <n v="0"/>
    <n v="0"/>
    <n v="0"/>
    <n v="0"/>
    <n v="0"/>
  </r>
  <r>
    <d v="2019-07-30T00:00:00"/>
    <n v="2019"/>
    <x v="19"/>
    <s v="R"/>
    <s v="RS"/>
    <x v="6"/>
    <s v="CON"/>
    <s v="A"/>
    <n v="8"/>
    <n v="5"/>
    <n v="3"/>
    <n v="-3"/>
    <n v="16"/>
    <n v="-16"/>
    <n v="1500.3801833769016"/>
    <n v="1587.1902996549559"/>
    <n v="0.31022764391404201"/>
    <n v="94"/>
    <n v="100"/>
    <n v="0"/>
    <n v="-6"/>
    <n v="0"/>
    <n v="0.32758284068238103"/>
    <n v="1"/>
    <n v="73"/>
    <n v="73"/>
    <n v="-7.4186434581641763"/>
    <n v="1492.9615399187376"/>
    <n v="0"/>
    <n v="1"/>
    <n v="0"/>
    <n v="0"/>
    <n v="0"/>
    <n v="0"/>
    <n v="0"/>
    <n v="0"/>
    <n v="0"/>
    <n v="0"/>
  </r>
  <r>
    <d v="2019-07-30T00:00:00"/>
    <n v="2019"/>
    <x v="19"/>
    <s v="R"/>
    <s v="RS"/>
    <x v="5"/>
    <s v="CHI"/>
    <s v="H"/>
    <n v="5"/>
    <n v="8"/>
    <n v="-3"/>
    <n v="3"/>
    <n v="-16"/>
    <n v="16"/>
    <n v="1587.1902996549559"/>
    <n v="1500.3801833769016"/>
    <n v="0.68977235608595799"/>
    <n v="100"/>
    <n v="94"/>
    <n v="0"/>
    <n v="6"/>
    <n v="1"/>
    <n v="0.32758284068238103"/>
    <n v="1"/>
    <n v="73"/>
    <n v="73"/>
    <n v="7.4186434581641763"/>
    <n v="1594.6089431131199"/>
    <n v="1"/>
    <n v="0"/>
    <n v="0"/>
    <n v="0"/>
    <n v="0"/>
    <n v="0"/>
    <n v="0"/>
    <n v="0"/>
    <n v="0"/>
    <n v="0"/>
  </r>
  <r>
    <d v="2019-07-30T00:00:00"/>
    <n v="2019"/>
    <x v="19"/>
    <s v="R"/>
    <s v="RS"/>
    <x v="0"/>
    <s v="LVA"/>
    <s v="A"/>
    <n v="9"/>
    <n v="6"/>
    <n v="3"/>
    <n v="-3"/>
    <n v="16"/>
    <n v="-16"/>
    <n v="1387.6676876190782"/>
    <n v="1575.6604073766023"/>
    <n v="0.20076673343481807"/>
    <n v="54"/>
    <n v="86"/>
    <n v="0"/>
    <n v="-32"/>
    <n v="0"/>
    <n v="0.62883085944434147"/>
    <n v="1"/>
    <n v="73"/>
    <n v="73"/>
    <n v="-9.2161271799564251"/>
    <n v="1378.4515604391217"/>
    <n v="0"/>
    <n v="1"/>
    <n v="0"/>
    <n v="0"/>
    <n v="0"/>
    <n v="0"/>
    <n v="0"/>
    <n v="0"/>
    <n v="0"/>
    <n v="0"/>
  </r>
  <r>
    <d v="2019-07-30T00:00:00"/>
    <n v="2019"/>
    <x v="19"/>
    <s v="R"/>
    <s v="RS"/>
    <x v="11"/>
    <s v="DAL"/>
    <s v="H"/>
    <n v="6"/>
    <n v="9"/>
    <n v="-3"/>
    <n v="3"/>
    <n v="-16"/>
    <n v="16"/>
    <n v="1575.6604073766023"/>
    <n v="1387.6676876190782"/>
    <n v="0.7992332665651819"/>
    <n v="86"/>
    <n v="54"/>
    <n v="0"/>
    <n v="32"/>
    <n v="1"/>
    <n v="0.62883085944434147"/>
    <n v="1"/>
    <n v="73"/>
    <n v="73"/>
    <n v="9.2161271799564251"/>
    <n v="1584.8765345565587"/>
    <n v="1"/>
    <n v="0"/>
    <n v="0"/>
    <n v="0"/>
    <n v="0"/>
    <n v="0"/>
    <n v="0"/>
    <n v="0"/>
    <n v="0"/>
    <n v="0"/>
  </r>
  <r>
    <d v="2019-07-30T00:00:00"/>
    <n v="2019"/>
    <x v="18"/>
    <s v="R"/>
    <s v="RS"/>
    <x v="8"/>
    <s v="WAS"/>
    <s v="A"/>
    <n v="6"/>
    <n v="5"/>
    <n v="1"/>
    <n v="-1"/>
    <n v="8"/>
    <n v="-8"/>
    <n v="1537.521805162821"/>
    <n v="1609.3906408094772"/>
    <n v="0.30892501865942157"/>
    <n v="93"/>
    <n v="99"/>
    <n v="0"/>
    <n v="-6"/>
    <n v="0"/>
    <n v="0.33143112048568124"/>
    <n v="1"/>
    <n v="73.150000000000006"/>
    <n v="73.150000000000006"/>
    <n v="-7.4896357556277549"/>
    <n v="1530.0321694071934"/>
    <n v="0"/>
    <n v="1"/>
    <n v="0"/>
    <n v="0"/>
    <n v="0"/>
    <n v="0"/>
    <n v="0"/>
    <n v="0"/>
    <n v="0"/>
    <n v="0"/>
  </r>
  <r>
    <d v="2019-07-30T00:00:00"/>
    <n v="2019"/>
    <x v="18"/>
    <s v="R"/>
    <s v="RS"/>
    <x v="4"/>
    <s v="PHX"/>
    <s v="H"/>
    <n v="5"/>
    <n v="6"/>
    <n v="-1"/>
    <n v="1"/>
    <n v="-8"/>
    <n v="8"/>
    <n v="1609.3906408094772"/>
    <n v="1537.521805162821"/>
    <n v="0.69107498134057832"/>
    <n v="99"/>
    <n v="93"/>
    <n v="0"/>
    <n v="6"/>
    <n v="1"/>
    <n v="0.33143112048568124"/>
    <n v="1"/>
    <n v="73.150000000000006"/>
    <n v="73.150000000000006"/>
    <n v="7.4896357556277575"/>
    <n v="1616.8802765651049"/>
    <n v="1"/>
    <n v="0"/>
    <n v="0"/>
    <n v="0"/>
    <n v="0"/>
    <n v="0"/>
    <n v="0"/>
    <n v="0"/>
    <n v="0"/>
    <n v="0"/>
  </r>
  <r>
    <d v="2019-07-31T00:00:00"/>
    <n v="2019"/>
    <x v="20"/>
    <s v="R"/>
    <s v="RS"/>
    <x v="1"/>
    <s v="IND"/>
    <s v="A"/>
    <n v="7"/>
    <n v="7"/>
    <n v="0"/>
    <n v="0"/>
    <n v="0"/>
    <n v="0"/>
    <n v="1400.1731555140736"/>
    <n v="1375.5116299793087"/>
    <n v="0.41542579606032926"/>
    <n v="59"/>
    <n v="61"/>
    <n v="0"/>
    <n v="-2"/>
    <n v="0"/>
    <n v="0.26244768719361539"/>
    <n v="1"/>
    <n v="72.849999999999994"/>
    <n v="72.849999999999994"/>
    <n v="-7.9426562435853061"/>
    <n v="1392.2304992704883"/>
    <n v="0"/>
    <n v="1"/>
    <n v="0"/>
    <n v="0"/>
    <n v="0"/>
    <n v="0"/>
    <n v="0"/>
    <n v="0"/>
    <n v="0"/>
    <n v="0"/>
  </r>
  <r>
    <d v="2019-07-31T00:00:00"/>
    <n v="2019"/>
    <x v="21"/>
    <s v="R"/>
    <s v="RS"/>
    <x v="2"/>
    <s v="ATL"/>
    <s v="H"/>
    <n v="7"/>
    <n v="7"/>
    <n v="0"/>
    <n v="0"/>
    <n v="0"/>
    <n v="0"/>
    <n v="1375.5116299793087"/>
    <n v="1400.1731555140736"/>
    <n v="0.58457420393967074"/>
    <n v="61"/>
    <n v="59"/>
    <n v="0"/>
    <n v="2"/>
    <n v="1"/>
    <n v="0.26244768719361539"/>
    <n v="1"/>
    <n v="72.7"/>
    <n v="72.7"/>
    <n v="7.9263021126788162"/>
    <n v="1383.4379320919875"/>
    <n v="1"/>
    <n v="0"/>
    <n v="0"/>
    <n v="0"/>
    <n v="0"/>
    <n v="0"/>
    <n v="0"/>
    <n v="0"/>
    <n v="0"/>
    <n v="0"/>
  </r>
  <r>
    <d v="2019-08-01T00:00:00"/>
    <n v="2019"/>
    <x v="19"/>
    <s v="R"/>
    <s v="RS"/>
    <x v="8"/>
    <s v="CON"/>
    <s v="A"/>
    <n v="1"/>
    <n v="1"/>
    <n v="0"/>
    <n v="0"/>
    <n v="0"/>
    <n v="0"/>
    <n v="1530.0321694071934"/>
    <n v="1594.6089431131199"/>
    <n v="0.29832713029701252"/>
    <n v="62"/>
    <n v="68"/>
    <n v="0"/>
    <n v="-6"/>
    <n v="0"/>
    <n v="0.33334228658482151"/>
    <n v="1"/>
    <n v="73"/>
    <n v="73"/>
    <n v="-7.259488486735072"/>
    <n v="1522.7726809204582"/>
    <n v="0"/>
    <n v="1"/>
    <n v="0"/>
    <n v="0"/>
    <n v="0"/>
    <n v="0"/>
    <n v="0"/>
    <n v="0"/>
    <n v="0"/>
    <n v="0"/>
  </r>
  <r>
    <d v="2019-08-01T00:00:00"/>
    <n v="2019"/>
    <x v="20"/>
    <s v="R"/>
    <s v="RS"/>
    <x v="5"/>
    <s v="PHX"/>
    <s v="H"/>
    <n v="1"/>
    <n v="1"/>
    <n v="0"/>
    <n v="0"/>
    <n v="0"/>
    <n v="0"/>
    <n v="1594.6089431131199"/>
    <n v="1530.0321694071934"/>
    <n v="0.70167286970298748"/>
    <n v="68"/>
    <n v="62"/>
    <n v="0"/>
    <n v="6"/>
    <n v="1"/>
    <n v="0.33334228658482151"/>
    <n v="1"/>
    <n v="72.849999999999994"/>
    <n v="72.849999999999994"/>
    <n v="7.2445717295705476"/>
    <n v="1601.8535148426904"/>
    <n v="1"/>
    <n v="0"/>
    <n v="0"/>
    <n v="0"/>
    <n v="0"/>
    <n v="0"/>
    <n v="0"/>
    <n v="0"/>
    <n v="0"/>
    <n v="0"/>
  </r>
  <r>
    <d v="2019-08-01T00:00:00"/>
    <n v="2019"/>
    <x v="19"/>
    <s v="R"/>
    <s v="RS"/>
    <x v="3"/>
    <s v="DAL"/>
    <s v="A"/>
    <n v="7"/>
    <n v="1"/>
    <n v="6"/>
    <n v="-6"/>
    <n v="16"/>
    <n v="-16"/>
    <n v="1409.712118657782"/>
    <n v="1378.4515604391217"/>
    <n v="0.47018894368477532"/>
    <n v="64"/>
    <n v="87"/>
    <n v="0"/>
    <n v="-23"/>
    <n v="0"/>
    <n v="0.59971491667256693"/>
    <n v="1"/>
    <n v="73"/>
    <n v="73"/>
    <n v="-20.584490592306242"/>
    <n v="1389.1276280654756"/>
    <n v="0"/>
    <n v="1"/>
    <n v="0"/>
    <n v="0"/>
    <n v="0"/>
    <n v="0"/>
    <n v="0"/>
    <n v="0"/>
    <n v="0"/>
    <n v="0"/>
  </r>
  <r>
    <d v="2019-08-01T00:00:00"/>
    <n v="2019"/>
    <x v="20"/>
    <s v="R"/>
    <s v="RS"/>
    <x v="0"/>
    <s v="NYL"/>
    <s v="H"/>
    <n v="1"/>
    <n v="7"/>
    <n v="-6"/>
    <n v="6"/>
    <n v="-16"/>
    <n v="16"/>
    <n v="1378.4515604391217"/>
    <n v="1409.712118657782"/>
    <n v="0.52981105631522474"/>
    <n v="87"/>
    <n v="64"/>
    <n v="0"/>
    <n v="23"/>
    <n v="1"/>
    <n v="0.59971491667256693"/>
    <n v="1"/>
    <n v="72.849999999999994"/>
    <n v="72.849999999999994"/>
    <n v="20.542193693828896"/>
    <n v="1398.9937541329507"/>
    <n v="1"/>
    <n v="0"/>
    <n v="0"/>
    <n v="0"/>
    <n v="0"/>
    <n v="0"/>
    <n v="0"/>
    <n v="0"/>
    <n v="0"/>
    <n v="0"/>
  </r>
  <r>
    <d v="2019-08-01T00:00:00"/>
    <n v="2019"/>
    <x v="20"/>
    <s v="R"/>
    <s v="RS"/>
    <x v="11"/>
    <s v="LAS"/>
    <s v="A"/>
    <n v="1"/>
    <n v="8"/>
    <n v="-7"/>
    <n v="7"/>
    <n v="-16"/>
    <n v="16"/>
    <n v="1584.8765345565587"/>
    <n v="1542.5077604752903"/>
    <n v="0.39559455394633936"/>
    <n v="68"/>
    <n v="76"/>
    <n v="0"/>
    <n v="-8"/>
    <n v="0"/>
    <n v="0.37507272536545982"/>
    <n v="1"/>
    <n v="72.849999999999994"/>
    <n v="72.849999999999994"/>
    <n v="-10.809244597528986"/>
    <n v="1574.0672899590297"/>
    <n v="0"/>
    <n v="1"/>
    <n v="0"/>
    <n v="0"/>
    <n v="0"/>
    <n v="0"/>
    <n v="0"/>
    <n v="0"/>
    <n v="0"/>
    <n v="0"/>
  </r>
  <r>
    <d v="2019-08-01T00:00:00"/>
    <n v="2019"/>
    <x v="19"/>
    <s v="R"/>
    <s v="RS"/>
    <x v="10"/>
    <s v="LVA"/>
    <s v="H"/>
    <n v="8"/>
    <n v="1"/>
    <n v="7"/>
    <n v="-7"/>
    <n v="16"/>
    <n v="-16"/>
    <n v="1542.5077604752903"/>
    <n v="1584.8765345565587"/>
    <n v="0.60440544605366064"/>
    <n v="76"/>
    <n v="68"/>
    <n v="0"/>
    <n v="8"/>
    <n v="1"/>
    <n v="0.37507272536545982"/>
    <n v="1"/>
    <n v="73"/>
    <n v="73"/>
    <n v="10.831501106652246"/>
    <n v="1553.3392615819425"/>
    <n v="1"/>
    <n v="0"/>
    <n v="0"/>
    <n v="0"/>
    <n v="0"/>
    <n v="0"/>
    <n v="0"/>
    <n v="0"/>
    <n v="0"/>
    <n v="0"/>
  </r>
  <r>
    <d v="2019-08-02T00:00:00"/>
    <n v="2019"/>
    <x v="19"/>
    <s v="R"/>
    <s v="RS"/>
    <x v="4"/>
    <s v="SEA"/>
    <s v="A"/>
    <n v="2"/>
    <n v="9"/>
    <n v="-7"/>
    <n v="7"/>
    <n v="-16"/>
    <n v="16"/>
    <n v="1616.8802765651049"/>
    <n v="1577.1469553390034"/>
    <n v="0.39197300832136156"/>
    <n v="99"/>
    <n v="79"/>
    <n v="0"/>
    <n v="20"/>
    <n v="1"/>
    <n v="0.55646228016871246"/>
    <n v="1"/>
    <n v="73"/>
    <n v="73"/>
    <n v="24.699118292134109"/>
    <n v="1641.5793948572389"/>
    <n v="1"/>
    <n v="0"/>
    <n v="0"/>
    <n v="0"/>
    <n v="0"/>
    <n v="0"/>
    <n v="0"/>
    <n v="0"/>
    <n v="0"/>
    <n v="0"/>
  </r>
  <r>
    <d v="2019-08-02T00:00:00"/>
    <n v="2019"/>
    <x v="21"/>
    <s v="R"/>
    <s v="RS"/>
    <x v="9"/>
    <s v="WAS"/>
    <s v="H"/>
    <n v="9"/>
    <n v="2"/>
    <n v="7"/>
    <n v="-7"/>
    <n v="16"/>
    <n v="-16"/>
    <n v="1577.1469553390034"/>
    <n v="1616.8802765651049"/>
    <n v="0.6080269916786385"/>
    <n v="79"/>
    <n v="99"/>
    <n v="0"/>
    <n v="-20"/>
    <n v="0"/>
    <n v="0.55646228016871246"/>
    <n v="1"/>
    <n v="72.7"/>
    <n v="72.7"/>
    <n v="-24.597615066276024"/>
    <n v="1552.5493402727275"/>
    <n v="0"/>
    <n v="1"/>
    <n v="0"/>
    <n v="0"/>
    <n v="0"/>
    <n v="0"/>
    <n v="0"/>
    <n v="0"/>
    <n v="0"/>
    <n v="0"/>
  </r>
  <r>
    <d v="2019-08-03T00:00:00"/>
    <n v="2019"/>
    <x v="20"/>
    <s v="R"/>
    <s v="RS"/>
    <x v="6"/>
    <s v="ATL"/>
    <s v="A"/>
    <n v="3"/>
    <n v="2"/>
    <n v="1"/>
    <n v="-1"/>
    <n v="8"/>
    <n v="-8"/>
    <n v="1492.9615399187376"/>
    <n v="1392.2304992704883"/>
    <n v="0.54696489738308685"/>
    <n v="87"/>
    <n v="75"/>
    <n v="0"/>
    <n v="12"/>
    <n v="1"/>
    <n v="0.42080592727229893"/>
    <n v="1"/>
    <n v="72.849999999999994"/>
    <n v="72.849999999999994"/>
    <n v="13.888113541917077"/>
    <n v="1506.8496534606547"/>
    <n v="1"/>
    <n v="0"/>
    <n v="0"/>
    <n v="0"/>
    <n v="0"/>
    <n v="0"/>
    <n v="0"/>
    <n v="0"/>
    <n v="0"/>
    <n v="0"/>
  </r>
  <r>
    <d v="2019-08-03T00:00:00"/>
    <n v="2019"/>
    <x v="21"/>
    <s v="R"/>
    <s v="RS"/>
    <x v="1"/>
    <s v="CHI"/>
    <s v="H"/>
    <n v="2"/>
    <n v="3"/>
    <n v="-1"/>
    <n v="1"/>
    <n v="-8"/>
    <n v="8"/>
    <n v="1392.2304992704883"/>
    <n v="1492.9615399187376"/>
    <n v="0.4530351026169131"/>
    <n v="75"/>
    <n v="87"/>
    <n v="0"/>
    <n v="-12"/>
    <n v="0"/>
    <n v="0.42080592727229893"/>
    <n v="1"/>
    <n v="72.7"/>
    <n v="72.7"/>
    <n v="-13.859517563450536"/>
    <n v="1378.3709817070378"/>
    <n v="0"/>
    <n v="1"/>
    <n v="0"/>
    <n v="0"/>
    <n v="0"/>
    <n v="0"/>
    <n v="0"/>
    <n v="0"/>
    <n v="0"/>
    <n v="0"/>
  </r>
  <r>
    <d v="2019-08-03T00:00:00"/>
    <n v="2019"/>
    <x v="21"/>
    <s v="R"/>
    <s v="RS"/>
    <x v="11"/>
    <s v="DAL"/>
    <s v="A"/>
    <n v="1"/>
    <n v="1"/>
    <n v="0"/>
    <n v="0"/>
    <n v="0"/>
    <n v="0"/>
    <n v="1574.0672899590297"/>
    <n v="1398.9937541329507"/>
    <n v="0.62814368651574037"/>
    <n v="75"/>
    <n v="70"/>
    <n v="0"/>
    <n v="5"/>
    <n v="1"/>
    <n v="0.28951700413195236"/>
    <n v="1"/>
    <n v="72.7"/>
    <n v="72.7"/>
    <n v="7.8267893691143389"/>
    <n v="1581.894079328144"/>
    <n v="1"/>
    <n v="0"/>
    <n v="0"/>
    <n v="0"/>
    <n v="0"/>
    <n v="0"/>
    <n v="0"/>
    <n v="0"/>
    <n v="0"/>
    <n v="0"/>
  </r>
  <r>
    <d v="2019-08-03T00:00:00"/>
    <n v="2019"/>
    <x v="21"/>
    <s v="R"/>
    <s v="RS"/>
    <x v="0"/>
    <s v="LVA"/>
    <s v="H"/>
    <n v="1"/>
    <n v="1"/>
    <n v="0"/>
    <n v="0"/>
    <n v="0"/>
    <n v="0"/>
    <n v="1398.9937541329507"/>
    <n v="1574.0672899590297"/>
    <n v="0.37185631348425963"/>
    <n v="70"/>
    <n v="75"/>
    <n v="0"/>
    <n v="-5"/>
    <n v="0"/>
    <n v="0.28951700413195236"/>
    <n v="1"/>
    <n v="72.7"/>
    <n v="72.7"/>
    <n v="-7.8267893691143389"/>
    <n v="1391.1669647638364"/>
    <n v="0"/>
    <n v="1"/>
    <n v="0"/>
    <n v="0"/>
    <n v="0"/>
    <n v="0"/>
    <n v="0"/>
    <n v="0"/>
    <n v="0"/>
    <n v="0"/>
  </r>
  <r>
    <d v="2019-08-03T00:00:00"/>
    <n v="2019"/>
    <x v="20"/>
    <s v="R"/>
    <s v="RS"/>
    <x v="7"/>
    <s v="IND"/>
    <s v="A"/>
    <n v="9"/>
    <n v="2"/>
    <n v="7"/>
    <n v="-7"/>
    <n v="16"/>
    <n v="-16"/>
    <n v="1497.6449250436774"/>
    <n v="1383.4379320919875"/>
    <n v="0.58857854002177046"/>
    <n v="75"/>
    <n v="86"/>
    <n v="0"/>
    <n v="-11"/>
    <n v="0"/>
    <n v="0.40161341945359713"/>
    <n v="1"/>
    <n v="72.849999999999994"/>
    <n v="72.849999999999994"/>
    <n v="-17.220358769474611"/>
    <n v="1480.4245662742028"/>
    <n v="0"/>
    <n v="1"/>
    <n v="0"/>
    <n v="0"/>
    <n v="0"/>
    <n v="0"/>
    <n v="0"/>
    <n v="0"/>
    <n v="0"/>
    <n v="0"/>
  </r>
  <r>
    <d v="2019-08-03T00:00:00"/>
    <n v="2019"/>
    <x v="22"/>
    <s v="R"/>
    <s v="RS"/>
    <x v="2"/>
    <s v="MIN"/>
    <s v="H"/>
    <n v="2"/>
    <n v="9"/>
    <n v="-7"/>
    <n v="7"/>
    <n v="-16"/>
    <n v="16"/>
    <n v="1383.4379320919875"/>
    <n v="1497.6449250436774"/>
    <n v="0.41142145997822954"/>
    <n v="86"/>
    <n v="75"/>
    <n v="0"/>
    <n v="11"/>
    <n v="1"/>
    <n v="0.40161341945359713"/>
    <n v="1"/>
    <n v="72.55"/>
    <n v="72.55"/>
    <n v="17.149444457452066"/>
    <n v="1400.5873765494396"/>
    <n v="1"/>
    <n v="0"/>
    <n v="0"/>
    <n v="0"/>
    <n v="0"/>
    <n v="0"/>
    <n v="0"/>
    <n v="0"/>
    <n v="0"/>
    <n v="0"/>
  </r>
  <r>
    <d v="2019-08-04T00:00:00"/>
    <n v="2019"/>
    <x v="22"/>
    <s v="R"/>
    <s v="RS"/>
    <x v="9"/>
    <s v="LAS"/>
    <s v="A"/>
    <n v="1"/>
    <n v="2"/>
    <n v="-1"/>
    <n v="1"/>
    <n v="-8"/>
    <n v="8"/>
    <n v="1552.5493402727275"/>
    <n v="1553.3392615819425"/>
    <n v="0.35888808759955593"/>
    <n v="75"/>
    <n v="83"/>
    <n v="0"/>
    <n v="-8"/>
    <n v="0"/>
    <n v="0.38806008755932303"/>
    <n v="1"/>
    <n v="72.55"/>
    <n v="72.55"/>
    <n v="-10.104048852731315"/>
    <n v="1542.4452914199962"/>
    <n v="0"/>
    <n v="1"/>
    <n v="0"/>
    <n v="0"/>
    <n v="0"/>
    <n v="0"/>
    <n v="0"/>
    <n v="0"/>
    <n v="0"/>
    <n v="0"/>
  </r>
  <r>
    <d v="2019-08-04T00:00:00"/>
    <n v="2019"/>
    <x v="20"/>
    <s v="R"/>
    <s v="RS"/>
    <x v="10"/>
    <s v="SEA"/>
    <s v="H"/>
    <n v="2"/>
    <n v="1"/>
    <n v="1"/>
    <n v="-1"/>
    <n v="8"/>
    <n v="-8"/>
    <n v="1553.3392615819425"/>
    <n v="1552.5493402727275"/>
    <n v="0.64111191240044407"/>
    <n v="83"/>
    <n v="75"/>
    <n v="0"/>
    <n v="8"/>
    <n v="1"/>
    <n v="0.38806008755932303"/>
    <n v="1"/>
    <n v="72.849999999999994"/>
    <n v="72.849999999999994"/>
    <n v="10.145829895540679"/>
    <n v="1563.4850914774831"/>
    <n v="1"/>
    <n v="0"/>
    <n v="0"/>
    <n v="0"/>
    <n v="0"/>
    <n v="0"/>
    <n v="0"/>
    <n v="0"/>
    <n v="0"/>
    <n v="0"/>
  </r>
  <r>
    <d v="2019-08-04T00:00:00"/>
    <n v="2019"/>
    <x v="21"/>
    <s v="R"/>
    <s v="RS"/>
    <x v="5"/>
    <s v="NYL"/>
    <s v="A"/>
    <n v="2"/>
    <n v="2"/>
    <n v="0"/>
    <n v="0"/>
    <n v="0"/>
    <n v="0"/>
    <n v="1601.8535148426904"/>
    <n v="1389.1276280654756"/>
    <n v="0.67721575126860711"/>
    <n v="94"/>
    <n v="79"/>
    <n v="0"/>
    <n v="15"/>
    <n v="1"/>
    <n v="0.42713001814602863"/>
    <n v="1"/>
    <n v="72.7"/>
    <n v="72.7"/>
    <n v="10.023210214700754"/>
    <n v="1611.8767250573912"/>
    <n v="1"/>
    <n v="0"/>
    <n v="0"/>
    <n v="0"/>
    <n v="0"/>
    <n v="0"/>
    <n v="0"/>
    <n v="0"/>
    <n v="0"/>
    <n v="0"/>
  </r>
  <r>
    <d v="2019-08-04T00:00:00"/>
    <n v="2019"/>
    <x v="20"/>
    <s v="R"/>
    <s v="RS"/>
    <x v="3"/>
    <s v="CON"/>
    <s v="H"/>
    <n v="2"/>
    <n v="2"/>
    <n v="0"/>
    <n v="0"/>
    <n v="0"/>
    <n v="0"/>
    <n v="1389.1276280654756"/>
    <n v="1601.8535148426904"/>
    <n v="0.32278424873139294"/>
    <n v="79"/>
    <n v="94"/>
    <n v="0"/>
    <n v="-15"/>
    <n v="0"/>
    <n v="0.42713001814602863"/>
    <n v="1"/>
    <n v="72.849999999999994"/>
    <n v="72.849999999999994"/>
    <n v="-10.043890841003437"/>
    <n v="1379.0837372244721"/>
    <n v="0"/>
    <n v="1"/>
    <n v="0"/>
    <n v="0"/>
    <n v="0"/>
    <n v="0"/>
    <n v="0"/>
    <n v="0"/>
    <n v="0"/>
    <n v="0"/>
  </r>
  <r>
    <d v="2019-08-04T00:00:00"/>
    <n v="2019"/>
    <x v="20"/>
    <s v="R"/>
    <s v="RS"/>
    <x v="4"/>
    <s v="PHX"/>
    <s v="A"/>
    <n v="1"/>
    <n v="2"/>
    <n v="-1"/>
    <n v="1"/>
    <n v="-8"/>
    <n v="8"/>
    <n v="1641.5793948572389"/>
    <n v="1522.7726809204582"/>
    <n v="0.52703863381415073"/>
    <n v="82"/>
    <n v="103"/>
    <n v="0"/>
    <n v="-21"/>
    <n v="0"/>
    <n v="0.53555349685514408"/>
    <n v="1"/>
    <n v="72.849999999999994"/>
    <n v="72.849999999999994"/>
    <n v="-20.562450374638072"/>
    <n v="1621.0169444826008"/>
    <n v="0"/>
    <n v="1"/>
    <n v="0"/>
    <n v="0"/>
    <n v="0"/>
    <n v="0"/>
    <n v="0"/>
    <n v="0"/>
    <n v="0"/>
    <n v="0"/>
  </r>
  <r>
    <d v="2019-08-04T00:00:00"/>
    <n v="2019"/>
    <x v="20"/>
    <s v="R"/>
    <s v="RS"/>
    <x v="8"/>
    <s v="WAS"/>
    <s v="H"/>
    <n v="2"/>
    <n v="1"/>
    <n v="1"/>
    <n v="-1"/>
    <n v="8"/>
    <n v="-8"/>
    <n v="1522.7726809204582"/>
    <n v="1641.5793948572389"/>
    <n v="0.47296136618584927"/>
    <n v="103"/>
    <n v="82"/>
    <n v="0"/>
    <n v="21"/>
    <n v="1"/>
    <n v="0.53555349685514408"/>
    <n v="1"/>
    <n v="72.849999999999994"/>
    <n v="72.849999999999994"/>
    <n v="20.562450374638072"/>
    <n v="1543.3351312950963"/>
    <n v="1"/>
    <n v="0"/>
    <n v="0"/>
    <n v="0"/>
    <n v="0"/>
    <n v="0"/>
    <n v="0"/>
    <n v="0"/>
    <n v="0"/>
    <n v="0"/>
  </r>
  <r>
    <d v="2019-08-05T00:00:00"/>
    <n v="2019"/>
    <x v="21"/>
    <s v="R"/>
    <s v="RS"/>
    <x v="4"/>
    <s v="LVA"/>
    <s v="A"/>
    <n v="0"/>
    <n v="1"/>
    <n v="-1"/>
    <n v="1"/>
    <n v="-8"/>
    <n v="8"/>
    <n v="1621.0169444826008"/>
    <n v="1581.894079328144"/>
    <n v="0.41327646391819539"/>
    <n v="99"/>
    <n v="70"/>
    <n v="0"/>
    <n v="29"/>
    <n v="1"/>
    <n v="0.66953452909588185"/>
    <n v="1"/>
    <n v="72.7"/>
    <n v="72.7"/>
    <n v="28.558862150188123"/>
    <n v="1649.575806632789"/>
    <n v="1"/>
    <n v="0"/>
    <n v="0"/>
    <n v="0"/>
    <n v="0"/>
    <n v="0"/>
    <n v="0"/>
    <n v="0"/>
    <n v="0"/>
    <n v="0"/>
  </r>
  <r>
    <d v="2019-08-05T00:00:00"/>
    <n v="2019"/>
    <x v="22"/>
    <s v="R"/>
    <s v="RS"/>
    <x v="11"/>
    <s v="WAS"/>
    <s v="H"/>
    <n v="1"/>
    <n v="0"/>
    <n v="1"/>
    <n v="-1"/>
    <n v="8"/>
    <n v="-8"/>
    <n v="1581.894079328144"/>
    <n v="1621.0169444826008"/>
    <n v="0.58672353608180461"/>
    <n v="70"/>
    <n v="99"/>
    <n v="0"/>
    <n v="-29"/>
    <n v="0"/>
    <n v="0.66953452909588185"/>
    <n v="1"/>
    <n v="72.55"/>
    <n v="72.55"/>
    <n v="-28.49993740022212"/>
    <n v="1553.394141927922"/>
    <n v="0"/>
    <n v="1"/>
    <n v="0"/>
    <n v="0"/>
    <n v="0"/>
    <n v="0"/>
    <n v="0"/>
    <n v="0"/>
    <n v="0"/>
    <n v="0"/>
  </r>
  <r>
    <d v="2019-08-06T00:00:00"/>
    <n v="2019"/>
    <x v="21"/>
    <s v="R"/>
    <s v="RS"/>
    <x v="7"/>
    <s v="ATL"/>
    <s v="A"/>
    <n v="2"/>
    <n v="2"/>
    <n v="0"/>
    <n v="0"/>
    <n v="0"/>
    <n v="0"/>
    <n v="1480.4245662742028"/>
    <n v="1378.3709817070378"/>
    <n v="0.52595783805573437"/>
    <n v="85"/>
    <n v="69"/>
    <n v="0"/>
    <n v="16"/>
    <n v="1"/>
    <n v="0.47720251002006508"/>
    <n v="1"/>
    <n v="72.7"/>
    <n v="72.7"/>
    <n v="16.445765763204804"/>
    <n v="1496.8703320374075"/>
    <n v="1"/>
    <n v="0"/>
    <n v="0"/>
    <n v="0"/>
    <n v="0"/>
    <n v="0"/>
    <n v="0"/>
    <n v="0"/>
    <n v="0"/>
    <n v="0"/>
  </r>
  <r>
    <d v="2019-08-06T00:00:00"/>
    <n v="2019"/>
    <x v="22"/>
    <s v="R"/>
    <s v="RS"/>
    <x v="1"/>
    <s v="MIN"/>
    <s v="H"/>
    <n v="2"/>
    <n v="2"/>
    <n v="0"/>
    <n v="0"/>
    <n v="0"/>
    <n v="0"/>
    <n v="1378.3709817070378"/>
    <n v="1480.4245662742028"/>
    <n v="0.47404216194426568"/>
    <n v="69"/>
    <n v="85"/>
    <n v="0"/>
    <n v="-16"/>
    <n v="0"/>
    <n v="0.47720251002006508"/>
    <n v="1"/>
    <n v="72.55"/>
    <n v="72.55"/>
    <n v="-16.411833646774536"/>
    <n v="1361.9591480602633"/>
    <n v="0"/>
    <n v="1"/>
    <n v="0"/>
    <n v="0"/>
    <n v="0"/>
    <n v="0"/>
    <n v="0"/>
    <n v="0"/>
    <n v="0"/>
    <n v="0"/>
  </r>
  <r>
    <d v="2019-08-07T00:00:00"/>
    <n v="2019"/>
    <x v="21"/>
    <s v="R"/>
    <s v="RS"/>
    <x v="3"/>
    <s v="CHI"/>
    <s v="A"/>
    <n v="2"/>
    <n v="3"/>
    <n v="-1"/>
    <n v="1"/>
    <n v="-8"/>
    <n v="8"/>
    <n v="1379.0837372244721"/>
    <n v="1506.8496534606547"/>
    <n v="0.21229848314861241"/>
    <n v="92"/>
    <n v="101"/>
    <n v="0"/>
    <n v="-9"/>
    <n v="0"/>
    <n v="0.3669064152193785"/>
    <n v="1"/>
    <n v="72.7"/>
    <n v="72.7"/>
    <n v="-5.6628702022029671"/>
    <n v="1373.420867022269"/>
    <n v="0"/>
    <n v="1"/>
    <n v="0"/>
    <n v="0"/>
    <n v="0"/>
    <n v="0"/>
    <n v="0"/>
    <n v="0"/>
    <n v="0"/>
    <n v="0"/>
  </r>
  <r>
    <d v="2019-08-07T00:00:00"/>
    <n v="2019"/>
    <x v="21"/>
    <s v="R"/>
    <s v="RS"/>
    <x v="6"/>
    <s v="NYL"/>
    <s v="H"/>
    <n v="3"/>
    <n v="2"/>
    <n v="1"/>
    <n v="-1"/>
    <n v="8"/>
    <n v="-8"/>
    <n v="1506.8496534606547"/>
    <n v="1379.0837372244721"/>
    <n v="0.78770151685138756"/>
    <n v="101"/>
    <n v="92"/>
    <n v="0"/>
    <n v="9"/>
    <n v="1"/>
    <n v="0.3669064152193785"/>
    <n v="1"/>
    <n v="72.7"/>
    <n v="72.7"/>
    <n v="5.662870202202968"/>
    <n v="1512.5125236628578"/>
    <n v="1"/>
    <n v="0"/>
    <n v="0"/>
    <n v="0"/>
    <n v="0"/>
    <n v="0"/>
    <n v="0"/>
    <n v="0"/>
    <n v="0"/>
    <n v="0"/>
  </r>
  <r>
    <d v="2019-08-08T00:00:00"/>
    <n v="2019"/>
    <x v="21"/>
    <s v="R"/>
    <s v="RS"/>
    <x v="8"/>
    <s v="LAS"/>
    <s v="A"/>
    <n v="3"/>
    <n v="3"/>
    <n v="0"/>
    <n v="0"/>
    <n v="0"/>
    <n v="0"/>
    <n v="1543.3351312950963"/>
    <n v="1563.4850914774831"/>
    <n v="0.35445000227441903"/>
    <n v="74"/>
    <n v="84"/>
    <n v="0"/>
    <n v="-10"/>
    <n v="0"/>
    <n v="0.41614199546655878"/>
    <n v="1"/>
    <n v="72.7"/>
    <n v="72.7"/>
    <n v="-10.723361321119141"/>
    <n v="1532.6117699739771"/>
    <n v="0"/>
    <n v="1"/>
    <n v="0"/>
    <n v="0"/>
    <n v="0"/>
    <n v="0"/>
    <n v="0"/>
    <n v="0"/>
    <n v="0"/>
    <n v="0"/>
  </r>
  <r>
    <d v="2019-08-08T00:00:00"/>
    <n v="2019"/>
    <x v="21"/>
    <s v="R"/>
    <s v="RS"/>
    <x v="10"/>
    <s v="PHX"/>
    <s v="H"/>
    <n v="3"/>
    <n v="3"/>
    <n v="0"/>
    <n v="0"/>
    <n v="0"/>
    <n v="0"/>
    <n v="1563.4850914774831"/>
    <n v="1543.3351312950963"/>
    <n v="0.64554999772558086"/>
    <n v="84"/>
    <n v="74"/>
    <n v="0"/>
    <n v="10"/>
    <n v="1"/>
    <n v="0.41614199546655878"/>
    <n v="1"/>
    <n v="72.7"/>
    <n v="72.7"/>
    <n v="10.723361321119144"/>
    <n v="1574.2084527986024"/>
    <n v="1"/>
    <n v="0"/>
    <n v="0"/>
    <n v="0"/>
    <n v="0"/>
    <n v="0"/>
    <n v="0"/>
    <n v="0"/>
    <n v="0"/>
    <n v="0"/>
  </r>
  <r>
    <d v="2019-08-08T00:00:00"/>
    <n v="2019"/>
    <x v="22"/>
    <s v="R"/>
    <s v="RS"/>
    <x v="0"/>
    <s v="SEA"/>
    <s v="A"/>
    <n v="4"/>
    <n v="3"/>
    <n v="1"/>
    <n v="-1"/>
    <n v="8"/>
    <n v="-8"/>
    <n v="1391.1669647638364"/>
    <n v="1542.4452914199962"/>
    <n v="0.22058379904248673"/>
    <n v="57"/>
    <n v="69"/>
    <n v="0"/>
    <n v="-12"/>
    <n v="0"/>
    <n v="0.4050648344566592"/>
    <n v="1"/>
    <n v="72.55"/>
    <n v="72.55"/>
    <n v="-6.4823961901171732"/>
    <n v="1384.6845685737192"/>
    <n v="0"/>
    <n v="1"/>
    <n v="0"/>
    <n v="0"/>
    <n v="0"/>
    <n v="0"/>
    <n v="0"/>
    <n v="0"/>
    <n v="0"/>
    <n v="0"/>
  </r>
  <r>
    <d v="2019-08-08T00:00:00"/>
    <n v="2019"/>
    <x v="23"/>
    <s v="R"/>
    <s v="RS"/>
    <x v="9"/>
    <s v="DAL"/>
    <s v="H"/>
    <n v="3"/>
    <n v="4"/>
    <n v="-1"/>
    <n v="1"/>
    <n v="-8"/>
    <n v="8"/>
    <n v="1542.4452914199962"/>
    <n v="1391.1669647638364"/>
    <n v="0.77941620095751341"/>
    <n v="69"/>
    <n v="57"/>
    <n v="0"/>
    <n v="12"/>
    <n v="1"/>
    <n v="0.4050648344566592"/>
    <n v="1"/>
    <n v="72.400000000000006"/>
    <n v="72.400000000000006"/>
    <n v="6.4689935791107249"/>
    <n v="1548.9142849991069"/>
    <n v="1"/>
    <n v="0"/>
    <n v="0"/>
    <n v="0"/>
    <n v="0"/>
    <n v="0"/>
    <n v="0"/>
    <n v="0"/>
    <n v="0"/>
    <n v="0"/>
  </r>
  <r>
    <d v="2019-08-08T00:00:00"/>
    <n v="2019"/>
    <x v="23"/>
    <s v="R"/>
    <s v="RS"/>
    <x v="2"/>
    <s v="WAS"/>
    <s v="A"/>
    <n v="4"/>
    <n v="2"/>
    <n v="2"/>
    <n v="-2"/>
    <n v="16"/>
    <n v="-16"/>
    <n v="1400.5873765494396"/>
    <n v="1649.575806632789"/>
    <n v="0.1502516514160013"/>
    <n v="78"/>
    <n v="91"/>
    <n v="0"/>
    <n v="-13"/>
    <n v="0"/>
    <n v="0.39092962719126562"/>
    <n v="1"/>
    <n v="72.400000000000006"/>
    <n v="72.400000000000006"/>
    <n v="-4.2526183180800876"/>
    <n v="1396.3347582313595"/>
    <n v="0"/>
    <n v="1"/>
    <n v="0"/>
    <n v="0"/>
    <n v="0"/>
    <n v="0"/>
    <n v="0"/>
    <n v="0"/>
    <n v="0"/>
    <n v="0"/>
  </r>
  <r>
    <d v="2019-08-08T00:00:00"/>
    <n v="2019"/>
    <x v="22"/>
    <s v="R"/>
    <s v="RS"/>
    <x v="4"/>
    <s v="IND"/>
    <s v="H"/>
    <n v="2"/>
    <n v="4"/>
    <n v="-2"/>
    <n v="2"/>
    <n v="-16"/>
    <n v="16"/>
    <n v="1649.575806632789"/>
    <n v="1400.5873765494396"/>
    <n v="0.84974834858399861"/>
    <n v="91"/>
    <n v="78"/>
    <n v="0"/>
    <n v="13"/>
    <n v="1"/>
    <n v="0.39092962719126562"/>
    <n v="1"/>
    <n v="72.55"/>
    <n v="72.55"/>
    <n v="4.2614289913910293"/>
    <n v="1653.83723562418"/>
    <n v="1"/>
    <n v="0"/>
    <n v="0"/>
    <n v="0"/>
    <n v="0"/>
    <n v="0"/>
    <n v="0"/>
    <n v="0"/>
    <n v="0"/>
    <n v="0"/>
  </r>
  <r>
    <d v="2019-08-09T00:00:00"/>
    <n v="2019"/>
    <x v="22"/>
    <s v="R"/>
    <s v="RS"/>
    <x v="6"/>
    <s v="LVA"/>
    <s v="A"/>
    <n v="1"/>
    <n v="3"/>
    <n v="-2"/>
    <n v="2"/>
    <n v="-16"/>
    <n v="16"/>
    <n v="1512.5125236628578"/>
    <n v="1553.394141927922"/>
    <n v="0.2884173134198374"/>
    <n v="87"/>
    <n v="84"/>
    <n v="0"/>
    <n v="3"/>
    <n v="1"/>
    <n v="0.28062324414581385"/>
    <n v="1"/>
    <n v="72.55"/>
    <n v="72.55"/>
    <n v="14.487265876092943"/>
    <n v="1526.9997895389508"/>
    <n v="1"/>
    <n v="0"/>
    <n v="0"/>
    <n v="0"/>
    <n v="0"/>
    <n v="0"/>
    <n v="0"/>
    <n v="0"/>
    <n v="0"/>
    <n v="0"/>
  </r>
  <r>
    <d v="2019-08-09T00:00:00"/>
    <n v="2019"/>
    <x v="23"/>
    <s v="R"/>
    <s v="RS"/>
    <x v="11"/>
    <s v="CHI"/>
    <s v="H"/>
    <n v="3"/>
    <n v="1"/>
    <n v="2"/>
    <n v="-2"/>
    <n v="16"/>
    <n v="-16"/>
    <n v="1553.394141927922"/>
    <n v="1512.5125236628578"/>
    <n v="0.71158268658016255"/>
    <n v="84"/>
    <n v="87"/>
    <n v="0"/>
    <n v="-3"/>
    <n v="0"/>
    <n v="0.28062324414581385"/>
    <n v="1"/>
    <n v="72.400000000000006"/>
    <n v="72.400000000000006"/>
    <n v="-14.457312879795024"/>
    <n v="1538.936829048127"/>
    <n v="0"/>
    <n v="1"/>
    <n v="0"/>
    <n v="0"/>
    <n v="0"/>
    <n v="0"/>
    <n v="0"/>
    <n v="0"/>
    <n v="0"/>
    <n v="0"/>
  </r>
  <r>
    <d v="2019-08-09T00:00:00"/>
    <n v="2019"/>
    <x v="22"/>
    <s v="R"/>
    <s v="RS"/>
    <x v="5"/>
    <s v="MIN"/>
    <s v="A"/>
    <n v="4"/>
    <n v="2"/>
    <n v="2"/>
    <n v="-2"/>
    <n v="16"/>
    <n v="-16"/>
    <n v="1611.8767250573912"/>
    <n v="1496.8703320374075"/>
    <n v="0.58969240740916973"/>
    <n v="57"/>
    <n v="89"/>
    <n v="0"/>
    <n v="-32"/>
    <n v="0"/>
    <n v="0.66373263240428149"/>
    <n v="1"/>
    <n v="72.55"/>
    <n v="72.55"/>
    <n v="-28.395931710885627"/>
    <n v="1583.4807933465056"/>
    <n v="0"/>
    <n v="1"/>
    <n v="0"/>
    <n v="0"/>
    <n v="0"/>
    <n v="0"/>
    <n v="0"/>
    <n v="0"/>
    <n v="0"/>
    <n v="0"/>
  </r>
  <r>
    <d v="2019-08-09T00:00:00"/>
    <n v="2019"/>
    <x v="22"/>
    <s v="R"/>
    <s v="RS"/>
    <x v="7"/>
    <s v="CON"/>
    <s v="H"/>
    <n v="2"/>
    <n v="4"/>
    <n v="-2"/>
    <n v="2"/>
    <n v="-16"/>
    <n v="16"/>
    <n v="1496.8703320374075"/>
    <n v="1611.8767250573912"/>
    <n v="0.41030759259083027"/>
    <n v="89"/>
    <n v="57"/>
    <n v="0"/>
    <n v="32"/>
    <n v="1"/>
    <n v="0.66373263240428149"/>
    <n v="1"/>
    <n v="72.55"/>
    <n v="72.55"/>
    <n v="28.395931710885627"/>
    <n v="1525.2662637482931"/>
    <n v="1"/>
    <n v="0"/>
    <n v="0"/>
    <n v="0"/>
    <n v="0"/>
    <n v="0"/>
    <n v="0"/>
    <n v="0"/>
    <n v="0"/>
    <n v="0"/>
  </r>
  <r>
    <d v="2019-08-10T00:00:00"/>
    <n v="2019"/>
    <x v="23"/>
    <s v="R"/>
    <s v="RS"/>
    <x v="1"/>
    <s v="IND"/>
    <s v="A"/>
    <n v="3"/>
    <n v="1"/>
    <n v="2"/>
    <n v="-2"/>
    <n v="16"/>
    <n v="-16"/>
    <n v="1361.9591480602633"/>
    <n v="1396.3347582313595"/>
    <n v="0.37819467599144857"/>
    <n v="82"/>
    <n v="87"/>
    <n v="0"/>
    <n v="-5"/>
    <n v="0"/>
    <n v="0.32251704203578346"/>
    <n v="1"/>
    <n v="72.400000000000006"/>
    <n v="72.400000000000006"/>
    <n v="-8.8309341227257114"/>
    <n v="1353.1282139375376"/>
    <n v="0"/>
    <n v="1"/>
    <n v="0"/>
    <n v="0"/>
    <n v="0"/>
    <n v="0"/>
    <n v="0"/>
    <n v="0"/>
    <n v="0"/>
    <n v="0"/>
  </r>
  <r>
    <d v="2019-08-10T00:00:00"/>
    <n v="2019"/>
    <x v="24"/>
    <s v="R"/>
    <s v="RS"/>
    <x v="2"/>
    <s v="ATL"/>
    <s v="H"/>
    <n v="1"/>
    <n v="3"/>
    <n v="-2"/>
    <n v="2"/>
    <n v="-16"/>
    <n v="16"/>
    <n v="1396.3347582313595"/>
    <n v="1361.9591480602633"/>
    <n v="0.62180532400855149"/>
    <n v="87"/>
    <n v="82"/>
    <n v="0"/>
    <n v="5"/>
    <n v="1"/>
    <n v="0.32251704203578346"/>
    <n v="1"/>
    <n v="72.25"/>
    <n v="72.25"/>
    <n v="8.8126379884935435"/>
    <n v="1405.1473962198531"/>
    <n v="1"/>
    <n v="0"/>
    <n v="0"/>
    <n v="0"/>
    <n v="0"/>
    <n v="0"/>
    <n v="0"/>
    <n v="0"/>
    <n v="0"/>
    <n v="0"/>
  </r>
  <r>
    <d v="2019-08-10T00:00:00"/>
    <n v="2019"/>
    <x v="23"/>
    <s v="R"/>
    <s v="RS"/>
    <x v="0"/>
    <s v="PHX"/>
    <s v="A"/>
    <n v="1"/>
    <n v="1"/>
    <n v="0"/>
    <n v="0"/>
    <n v="0"/>
    <n v="0"/>
    <n v="1384.6845685737192"/>
    <n v="1532.6117699739771"/>
    <n v="0.20832026704864715"/>
    <n v="80"/>
    <n v="77"/>
    <n v="0"/>
    <n v="3"/>
    <n v="1"/>
    <n v="0.25833756077977388"/>
    <n v="1"/>
    <n v="72.400000000000006"/>
    <n v="72.400000000000006"/>
    <n v="14.807292245771114"/>
    <n v="1399.4918608194903"/>
    <n v="1"/>
    <n v="0"/>
    <n v="0"/>
    <n v="0"/>
    <n v="0"/>
    <n v="0"/>
    <n v="0"/>
    <n v="0"/>
    <n v="0"/>
    <n v="0"/>
  </r>
  <r>
    <d v="2019-08-10T00:00:00"/>
    <n v="2019"/>
    <x v="22"/>
    <s v="R"/>
    <s v="RS"/>
    <x v="8"/>
    <s v="DAL"/>
    <s v="H"/>
    <n v="1"/>
    <n v="1"/>
    <n v="0"/>
    <n v="0"/>
    <n v="0"/>
    <n v="0"/>
    <n v="1532.6117699739771"/>
    <n v="1384.6845685737192"/>
    <n v="0.79167973295135285"/>
    <n v="77"/>
    <n v="80"/>
    <n v="0"/>
    <n v="-3"/>
    <n v="0"/>
    <n v="0.25833756077977388"/>
    <n v="1"/>
    <n v="72.55"/>
    <n v="72.55"/>
    <n v="-14.837970337440527"/>
    <n v="1517.7737996365365"/>
    <n v="0"/>
    <n v="1"/>
    <n v="0"/>
    <n v="0"/>
    <n v="0"/>
    <n v="0"/>
    <n v="0"/>
    <n v="0"/>
    <n v="0"/>
    <n v="0"/>
  </r>
  <r>
    <d v="2019-08-11T00:00:00"/>
    <n v="2019"/>
    <x v="23"/>
    <s v="R"/>
    <s v="RS"/>
    <x v="6"/>
    <s v="LAS"/>
    <s v="A"/>
    <n v="1"/>
    <n v="2"/>
    <n v="-1"/>
    <n v="1"/>
    <n v="-8"/>
    <n v="8"/>
    <n v="1526.9997895389508"/>
    <n v="1574.2084527986024"/>
    <n v="0.29997830249954638"/>
    <n v="81"/>
    <n v="84"/>
    <n v="0"/>
    <n v="-3"/>
    <n v="0"/>
    <n v="0.27919965245298739"/>
    <n v="1"/>
    <n v="72.400000000000006"/>
    <n v="72.400000000000006"/>
    <n v="-6.0637778568148786"/>
    <n v="1520.936011682136"/>
    <n v="0"/>
    <n v="1"/>
    <n v="0"/>
    <n v="0"/>
    <n v="0"/>
    <n v="0"/>
    <n v="0"/>
    <n v="0"/>
    <n v="0"/>
    <n v="0"/>
  </r>
  <r>
    <d v="2019-08-11T00:00:00"/>
    <n v="2019"/>
    <x v="22"/>
    <s v="R"/>
    <s v="RS"/>
    <x v="10"/>
    <s v="CHI"/>
    <s v="H"/>
    <n v="2"/>
    <n v="1"/>
    <n v="1"/>
    <n v="-1"/>
    <n v="8"/>
    <n v="-8"/>
    <n v="1574.2084527986024"/>
    <n v="1526.9997895389508"/>
    <n v="0.70002169750045362"/>
    <n v="84"/>
    <n v="81"/>
    <n v="0"/>
    <n v="3"/>
    <n v="1"/>
    <n v="0.27919965245298739"/>
    <n v="1"/>
    <n v="72.55"/>
    <n v="72.55"/>
    <n v="6.0763409324850741"/>
    <n v="1580.2847937310873"/>
    <n v="1"/>
    <n v="0"/>
    <n v="0"/>
    <n v="0"/>
    <n v="0"/>
    <n v="0"/>
    <n v="0"/>
    <n v="0"/>
    <n v="0"/>
    <n v="0"/>
  </r>
  <r>
    <d v="2019-08-11T00:00:00"/>
    <n v="2019"/>
    <x v="23"/>
    <s v="R"/>
    <s v="RS"/>
    <x v="5"/>
    <s v="LVA"/>
    <s v="A"/>
    <n v="1"/>
    <n v="1"/>
    <n v="0"/>
    <n v="0"/>
    <n v="0"/>
    <n v="0"/>
    <n v="1583.4807933465056"/>
    <n v="1538.936829048127"/>
    <n v="0.44346104665014546"/>
    <n v="81"/>
    <n v="89"/>
    <n v="0"/>
    <n v="-8"/>
    <n v="0"/>
    <n v="0.37441718040576066"/>
    <n v="1"/>
    <n v="72.400000000000006"/>
    <n v="72.400000000000006"/>
    <n v="-12.021255072753132"/>
    <n v="1571.4595382737525"/>
    <n v="0"/>
    <n v="1"/>
    <n v="0"/>
    <n v="0"/>
    <n v="0"/>
    <n v="0"/>
    <n v="0"/>
    <n v="0"/>
    <n v="0"/>
    <n v="0"/>
  </r>
  <r>
    <d v="2019-08-11T00:00:00"/>
    <n v="2019"/>
    <x v="24"/>
    <s v="R"/>
    <s v="RS"/>
    <x v="11"/>
    <s v="CON"/>
    <s v="H"/>
    <n v="1"/>
    <n v="1"/>
    <n v="0"/>
    <n v="0"/>
    <n v="0"/>
    <n v="0"/>
    <n v="1538.936829048127"/>
    <n v="1583.4807933465056"/>
    <n v="0.55653895334985459"/>
    <n v="89"/>
    <n v="81"/>
    <n v="0"/>
    <n v="8"/>
    <n v="1"/>
    <n v="0.37441718040576066"/>
    <n v="1"/>
    <n v="72.25"/>
    <n v="72.25"/>
    <n v="11.996349157547149"/>
    <n v="1550.9331782056743"/>
    <n v="1"/>
    <n v="0"/>
    <n v="0"/>
    <n v="0"/>
    <n v="0"/>
    <n v="0"/>
    <n v="0"/>
    <n v="0"/>
    <n v="0"/>
    <n v="0"/>
  </r>
  <r>
    <d v="2019-08-11T00:00:00"/>
    <n v="2019"/>
    <x v="24"/>
    <s v="R"/>
    <s v="RS"/>
    <x v="9"/>
    <s v="NYL"/>
    <s v="A"/>
    <n v="2"/>
    <n v="3"/>
    <n v="-1"/>
    <n v="1"/>
    <n v="-8"/>
    <n v="8"/>
    <n v="1548.9142849991069"/>
    <n v="1373.420867022269"/>
    <n v="0.60696561662307214"/>
    <n v="84"/>
    <n v="69"/>
    <n v="0"/>
    <n v="15"/>
    <n v="1"/>
    <n v="0.43869176381960495"/>
    <n v="1"/>
    <n v="72.25"/>
    <n v="72.25"/>
    <n v="12.457413412468366"/>
    <n v="1561.3716984115754"/>
    <n v="1"/>
    <n v="0"/>
    <n v="0"/>
    <n v="0"/>
    <n v="0"/>
    <n v="0"/>
    <n v="0"/>
    <n v="0"/>
    <n v="0"/>
    <n v="0"/>
  </r>
  <r>
    <d v="2019-08-11T00:00:00"/>
    <n v="2019"/>
    <x v="22"/>
    <s v="R"/>
    <s v="RS"/>
    <x v="3"/>
    <s v="SEA"/>
    <s v="H"/>
    <n v="3"/>
    <n v="2"/>
    <n v="1"/>
    <n v="-1"/>
    <n v="8"/>
    <n v="-8"/>
    <n v="1373.420867022269"/>
    <n v="1548.9142849991069"/>
    <n v="0.39303438337692786"/>
    <n v="69"/>
    <n v="84"/>
    <n v="0"/>
    <n v="-15"/>
    <n v="0"/>
    <n v="0.43869176381960495"/>
    <n v="1"/>
    <n v="72.55"/>
    <n v="72.55"/>
    <n v="-12.509139696533978"/>
    <n v="1360.911727325735"/>
    <n v="0"/>
    <n v="1"/>
    <n v="0"/>
    <n v="0"/>
    <n v="0"/>
    <n v="0"/>
    <n v="0"/>
    <n v="0"/>
    <n v="0"/>
    <n v="0"/>
  </r>
  <r>
    <d v="2019-08-11T00:00:00"/>
    <n v="2019"/>
    <x v="23"/>
    <s v="R"/>
    <s v="RS"/>
    <x v="7"/>
    <s v="WAS"/>
    <s v="A"/>
    <n v="1"/>
    <n v="2"/>
    <n v="-1"/>
    <n v="1"/>
    <n v="-8"/>
    <n v="8"/>
    <n v="1525.2662637482931"/>
    <n v="1653.83723562418"/>
    <n v="0.21152453701105223"/>
    <n v="78"/>
    <n v="101"/>
    <n v="0"/>
    <n v="-23"/>
    <n v="0"/>
    <n v="0.55578914390378742"/>
    <n v="1"/>
    <n v="72.400000000000006"/>
    <n v="72.400000000000006"/>
    <n v="-8.5115641930172821"/>
    <n v="1516.7546995552759"/>
    <n v="0"/>
    <n v="1"/>
    <n v="0"/>
    <n v="0"/>
    <n v="0"/>
    <n v="0"/>
    <n v="0"/>
    <n v="0"/>
    <n v="0"/>
    <n v="0"/>
  </r>
  <r>
    <d v="2019-08-11T00:00:00"/>
    <n v="2019"/>
    <x v="23"/>
    <s v="R"/>
    <s v="RS"/>
    <x v="4"/>
    <s v="MIN"/>
    <s v="H"/>
    <n v="2"/>
    <n v="1"/>
    <n v="1"/>
    <n v="-1"/>
    <n v="8"/>
    <n v="-8"/>
    <n v="1653.83723562418"/>
    <n v="1525.2662637482931"/>
    <n v="0.78847546298894777"/>
    <n v="101"/>
    <n v="78"/>
    <n v="0"/>
    <n v="23"/>
    <n v="1"/>
    <n v="0.55578914390378742"/>
    <n v="1"/>
    <n v="72.400000000000006"/>
    <n v="72.400000000000006"/>
    <n v="8.5115641930172821"/>
    <n v="1662.3487998171972"/>
    <n v="1"/>
    <n v="0"/>
    <n v="0"/>
    <n v="0"/>
    <n v="0"/>
    <n v="0"/>
    <n v="0"/>
    <n v="0"/>
    <n v="0"/>
    <n v="0"/>
  </r>
  <r>
    <d v="2019-08-13T00:00:00"/>
    <n v="2019"/>
    <x v="24"/>
    <s v="R"/>
    <s v="RS"/>
    <x v="1"/>
    <s v="LVA"/>
    <s v="A"/>
    <n v="2"/>
    <n v="1"/>
    <n v="1"/>
    <n v="-1"/>
    <n v="8"/>
    <n v="-8"/>
    <n v="1353.1282139375376"/>
    <n v="1550.9331782056743"/>
    <n v="0.17797958600829031"/>
    <n v="90"/>
    <n v="94"/>
    <n v="0"/>
    <n v="-4"/>
    <n v="0"/>
    <n v="0.2673615357206342"/>
    <n v="1"/>
    <n v="72.25"/>
    <n v="72.25"/>
    <n v="-3.4380086956916673"/>
    <n v="1349.6902052418459"/>
    <n v="0"/>
    <n v="1"/>
    <n v="0"/>
    <n v="0"/>
    <n v="0"/>
    <n v="0"/>
    <n v="0"/>
    <n v="0"/>
    <n v="0"/>
    <n v="0"/>
  </r>
  <r>
    <d v="2019-08-13T00:00:00"/>
    <n v="2019"/>
    <x v="25"/>
    <s v="R"/>
    <s v="RS"/>
    <x v="11"/>
    <s v="ATL"/>
    <s v="H"/>
    <n v="1"/>
    <n v="2"/>
    <n v="-1"/>
    <n v="1"/>
    <n v="-8"/>
    <n v="8"/>
    <n v="1550.9331782056743"/>
    <n v="1353.1282139375376"/>
    <n v="0.82202041399170966"/>
    <n v="94"/>
    <n v="90"/>
    <n v="0"/>
    <n v="4"/>
    <n v="1"/>
    <n v="0.2673615357206342"/>
    <n v="1"/>
    <n v="72.099999999999994"/>
    <n v="72.099999999999994"/>
    <n v="3.4308709613753527"/>
    <n v="1554.3640491670496"/>
    <n v="1"/>
    <n v="0"/>
    <n v="0"/>
    <n v="0"/>
    <n v="0"/>
    <n v="0"/>
    <n v="0"/>
    <n v="0"/>
    <n v="0"/>
    <n v="0"/>
  </r>
  <r>
    <d v="2019-08-13T00:00:00"/>
    <n v="2019"/>
    <x v="24"/>
    <s v="R"/>
    <s v="RS"/>
    <x v="7"/>
    <s v="NYL"/>
    <s v="A"/>
    <n v="1"/>
    <n v="1"/>
    <n v="0"/>
    <n v="0"/>
    <n v="0"/>
    <n v="0"/>
    <n v="1516.7546995552759"/>
    <n v="1360.911727325735"/>
    <n v="0.60194152566942849"/>
    <n v="89"/>
    <n v="73"/>
    <n v="0"/>
    <n v="16"/>
    <n v="1"/>
    <n v="0.4582707964435887"/>
    <n v="1"/>
    <n v="72.25"/>
    <n v="72.25"/>
    <n v="13.179741976022186"/>
    <n v="1529.934441531298"/>
    <n v="1"/>
    <n v="0"/>
    <n v="0"/>
    <n v="0"/>
    <n v="0"/>
    <n v="0"/>
    <n v="0"/>
    <n v="0"/>
    <n v="0"/>
    <n v="0"/>
  </r>
  <r>
    <d v="2019-08-13T00:00:00"/>
    <n v="2019"/>
    <x v="23"/>
    <s v="R"/>
    <s v="RS"/>
    <x v="3"/>
    <s v="MIN"/>
    <s v="H"/>
    <n v="1"/>
    <n v="1"/>
    <n v="0"/>
    <n v="0"/>
    <n v="0"/>
    <n v="0"/>
    <n v="1360.911727325735"/>
    <n v="1516.7546995552759"/>
    <n v="0.39805847433057151"/>
    <n v="73"/>
    <n v="89"/>
    <n v="0"/>
    <n v="-16"/>
    <n v="0"/>
    <n v="0.4582707964435887"/>
    <n v="1"/>
    <n v="72.400000000000006"/>
    <n v="72.400000000000006"/>
    <n v="-13.207104762131577"/>
    <n v="1347.7046225636034"/>
    <n v="0"/>
    <n v="1"/>
    <n v="0"/>
    <n v="0"/>
    <n v="0"/>
    <n v="0"/>
    <n v="0"/>
    <n v="0"/>
    <n v="0"/>
    <n v="0"/>
  </r>
  <r>
    <d v="2019-08-14T00:00:00"/>
    <n v="2019"/>
    <x v="23"/>
    <s v="R"/>
    <s v="RS"/>
    <x v="10"/>
    <s v="DAL"/>
    <s v="A"/>
    <n v="2"/>
    <n v="3"/>
    <n v="-1"/>
    <n v="1"/>
    <n v="-8"/>
    <n v="8"/>
    <n v="1580.2847937310873"/>
    <n v="1399.4918608194903"/>
    <n v="0.61421895645264013"/>
    <n v="78"/>
    <n v="84"/>
    <n v="0"/>
    <n v="-6"/>
    <n v="0"/>
    <n v="0.30528611731834393"/>
    <n v="1"/>
    <n v="72.400000000000006"/>
    <n v="72.400000000000006"/>
    <n v="-13.575906476869608"/>
    <n v="1566.7088872542176"/>
    <n v="0"/>
    <n v="1"/>
    <n v="0"/>
    <n v="0"/>
    <n v="0"/>
    <n v="0"/>
    <n v="0"/>
    <n v="0"/>
    <n v="0"/>
    <n v="0"/>
  </r>
  <r>
    <d v="2019-08-14T00:00:00"/>
    <n v="2019"/>
    <x v="24"/>
    <s v="R"/>
    <s v="RS"/>
    <x v="0"/>
    <s v="LAS"/>
    <s v="H"/>
    <n v="3"/>
    <n v="2"/>
    <n v="1"/>
    <n v="-1"/>
    <n v="8"/>
    <n v="-8"/>
    <n v="1399.4918608194903"/>
    <n v="1580.2847937310873"/>
    <n v="0.38578104354735987"/>
    <n v="84"/>
    <n v="78"/>
    <n v="0"/>
    <n v="6"/>
    <n v="1"/>
    <n v="0.30528611731834393"/>
    <n v="1"/>
    <n v="72.25"/>
    <n v="72.25"/>
    <n v="13.547779598809793"/>
    <n v="1413.0396404183"/>
    <n v="1"/>
    <n v="0"/>
    <n v="0"/>
    <n v="0"/>
    <n v="0"/>
    <n v="0"/>
    <n v="0"/>
    <n v="0"/>
    <n v="0"/>
    <n v="0"/>
  </r>
  <r>
    <d v="2019-08-14T00:00:00"/>
    <n v="2019"/>
    <x v="24"/>
    <s v="R"/>
    <s v="RS"/>
    <x v="5"/>
    <s v="PHX"/>
    <s v="A"/>
    <n v="2"/>
    <n v="3"/>
    <n v="-1"/>
    <n v="1"/>
    <n v="-8"/>
    <n v="8"/>
    <n v="1571.4595382737525"/>
    <n v="1517.7737996365365"/>
    <n v="0.43374042758864045"/>
    <n v="78"/>
    <n v="71"/>
    <n v="0"/>
    <n v="7"/>
    <n v="1"/>
    <n v="0.35425832271759072"/>
    <n v="1"/>
    <n v="72.25"/>
    <n v="72.25"/>
    <n v="14.493506518442747"/>
    <n v="1585.9530447921952"/>
    <n v="1"/>
    <n v="0"/>
    <n v="0"/>
    <n v="0"/>
    <n v="0"/>
    <n v="0"/>
    <n v="0"/>
    <n v="0"/>
    <n v="0"/>
    <n v="0"/>
  </r>
  <r>
    <d v="2019-08-14T00:00:00"/>
    <n v="2019"/>
    <x v="23"/>
    <s v="R"/>
    <s v="RS"/>
    <x v="8"/>
    <s v="CON"/>
    <s v="H"/>
    <n v="3"/>
    <n v="2"/>
    <n v="1"/>
    <n v="-1"/>
    <n v="8"/>
    <n v="-8"/>
    <n v="1517.7737996365365"/>
    <n v="1571.4595382737525"/>
    <n v="0.5662595724113596"/>
    <n v="71"/>
    <n v="78"/>
    <n v="0"/>
    <n v="-7"/>
    <n v="0"/>
    <n v="0.35425832271759072"/>
    <n v="1"/>
    <n v="72.400000000000006"/>
    <n v="72.400000000000006"/>
    <n v="-14.523596843394534"/>
    <n v="1503.2502027931421"/>
    <n v="0"/>
    <n v="1"/>
    <n v="0"/>
    <n v="0"/>
    <n v="0"/>
    <n v="0"/>
    <n v="0"/>
    <n v="0"/>
    <n v="0"/>
    <n v="0"/>
  </r>
  <r>
    <d v="2019-08-14T00:00:00"/>
    <n v="2019"/>
    <x v="25"/>
    <s v="R"/>
    <s v="RS"/>
    <x v="9"/>
    <s v="WAS"/>
    <s v="A"/>
    <n v="2"/>
    <n v="2"/>
    <n v="0"/>
    <n v="0"/>
    <n v="0"/>
    <n v="0"/>
    <n v="1561.3716984115754"/>
    <n v="1662.3487998171972"/>
    <n v="0.25639060828579491"/>
    <n v="59"/>
    <n v="88"/>
    <n v="0"/>
    <n v="-29"/>
    <n v="0"/>
    <n v="0.63770188046873499"/>
    <n v="1"/>
    <n v="72.099999999999994"/>
    <n v="72.099999999999994"/>
    <n v="-11.788405736066782"/>
    <n v="1549.5832926755086"/>
    <n v="0"/>
    <n v="1"/>
    <n v="0"/>
    <n v="0"/>
    <n v="0"/>
    <n v="0"/>
    <n v="0"/>
    <n v="0"/>
    <n v="0"/>
    <n v="0"/>
  </r>
  <r>
    <d v="2019-08-14T00:00:00"/>
    <n v="2019"/>
    <x v="24"/>
    <s v="R"/>
    <s v="RS"/>
    <x v="4"/>
    <s v="SEA"/>
    <s v="H"/>
    <n v="2"/>
    <n v="2"/>
    <n v="0"/>
    <n v="0"/>
    <n v="0"/>
    <n v="0"/>
    <n v="1662.3487998171972"/>
    <n v="1561.3716984115754"/>
    <n v="0.74360939171420515"/>
    <n v="88"/>
    <n v="59"/>
    <n v="0"/>
    <n v="29"/>
    <n v="1"/>
    <n v="0.63770188046873499"/>
    <n v="1"/>
    <n v="72.25"/>
    <n v="72.25"/>
    <n v="11.812930852022538"/>
    <n v="1674.1617306692199"/>
    <n v="1"/>
    <n v="0"/>
    <n v="0"/>
    <n v="0"/>
    <n v="0"/>
    <n v="0"/>
    <n v="0"/>
    <n v="0"/>
    <n v="0"/>
    <n v="0"/>
  </r>
  <r>
    <d v="2019-08-16T00:00:00"/>
    <n v="2019"/>
    <x v="24"/>
    <s v="R"/>
    <s v="RS"/>
    <x v="10"/>
    <s v="CHI"/>
    <s v="A"/>
    <n v="1"/>
    <n v="4"/>
    <n v="-3"/>
    <n v="3"/>
    <n v="-16"/>
    <n v="16"/>
    <n v="1566.7088872542176"/>
    <n v="1520.936011682136"/>
    <n v="0.40028930288119868"/>
    <n v="81"/>
    <n v="91"/>
    <n v="0"/>
    <n v="-10"/>
    <n v="0"/>
    <n v="0.40758283404233708"/>
    <n v="1"/>
    <n v="72.25"/>
    <n v="72.25"/>
    <n v="-11.787663254497117"/>
    <n v="1554.9212239997205"/>
    <n v="0"/>
    <n v="1"/>
    <n v="0"/>
    <n v="0"/>
    <n v="0"/>
    <n v="0"/>
    <n v="0"/>
    <n v="0"/>
    <n v="0"/>
    <n v="0"/>
  </r>
  <r>
    <d v="2019-08-16T00:00:00"/>
    <n v="2019"/>
    <x v="24"/>
    <s v="R"/>
    <s v="RS"/>
    <x v="6"/>
    <s v="LAS"/>
    <s v="H"/>
    <n v="4"/>
    <n v="1"/>
    <n v="3"/>
    <n v="-3"/>
    <n v="16"/>
    <n v="-16"/>
    <n v="1520.936011682136"/>
    <n v="1566.7088872542176"/>
    <n v="0.59971069711880121"/>
    <n v="91"/>
    <n v="81"/>
    <n v="0"/>
    <n v="10"/>
    <n v="1"/>
    <n v="0.40758283404233708"/>
    <n v="1"/>
    <n v="72.25"/>
    <n v="72.25"/>
    <n v="11.787663254497119"/>
    <n v="1532.7236749366332"/>
    <n v="1"/>
    <n v="0"/>
    <n v="0"/>
    <n v="0"/>
    <n v="0"/>
    <n v="0"/>
    <n v="0"/>
    <n v="0"/>
    <n v="0"/>
    <n v="0"/>
  </r>
  <r>
    <d v="2019-08-16T00:00:00"/>
    <n v="2019"/>
    <x v="26"/>
    <s v="R"/>
    <s v="RS"/>
    <x v="9"/>
    <s v="CON"/>
    <s v="A"/>
    <n v="1"/>
    <n v="1"/>
    <n v="0"/>
    <n v="0"/>
    <n v="0"/>
    <n v="0"/>
    <n v="1549.5832926755086"/>
    <n v="1585.9530447921952"/>
    <n v="0.33338737738616292"/>
    <n v="78"/>
    <n v="79"/>
    <n v="0"/>
    <n v="-1"/>
    <n v="0"/>
    <n v="0.23699674361711315"/>
    <n v="1"/>
    <n v="71.95"/>
    <n v="71.95"/>
    <n v="-5.6848934557168764"/>
    <n v="1543.8983992197916"/>
    <n v="0"/>
    <n v="1"/>
    <n v="0"/>
    <n v="0"/>
    <n v="0"/>
    <n v="0"/>
    <n v="0"/>
    <n v="0"/>
    <n v="0"/>
    <n v="0"/>
  </r>
  <r>
    <d v="2019-08-16T00:00:00"/>
    <n v="2019"/>
    <x v="25"/>
    <s v="R"/>
    <s v="RS"/>
    <x v="5"/>
    <s v="SEA"/>
    <s v="H"/>
    <n v="1"/>
    <n v="1"/>
    <n v="0"/>
    <n v="0"/>
    <n v="0"/>
    <n v="0"/>
    <n v="1585.9530447921952"/>
    <n v="1549.5832926755086"/>
    <n v="0.66661262261383702"/>
    <n v="79"/>
    <n v="78"/>
    <n v="0"/>
    <n v="1"/>
    <n v="1"/>
    <n v="0.23699674361711315"/>
    <n v="1"/>
    <n v="72.099999999999994"/>
    <n v="72.099999999999994"/>
    <n v="5.6967452141374118"/>
    <n v="1591.6497900063325"/>
    <n v="1"/>
    <n v="0"/>
    <n v="0"/>
    <n v="0"/>
    <n v="0"/>
    <n v="0"/>
    <n v="0"/>
    <n v="0"/>
    <n v="0"/>
    <n v="0"/>
  </r>
  <r>
    <d v="2019-08-16T00:00:00"/>
    <n v="2019"/>
    <x v="24"/>
    <s v="R"/>
    <s v="RS"/>
    <x v="3"/>
    <s v="DAL"/>
    <s v="A"/>
    <n v="2"/>
    <n v="1"/>
    <n v="1"/>
    <n v="-1"/>
    <n v="8"/>
    <n v="-8"/>
    <n v="1347.7046225636034"/>
    <n v="1413.0396404183"/>
    <n v="0.31701191352465363"/>
    <n v="77"/>
    <n v="83"/>
    <n v="0"/>
    <n v="-6"/>
    <n v="0"/>
    <n v="0.3331425332904181"/>
    <n v="1"/>
    <n v="72.25"/>
    <n v="72.25"/>
    <n v="-7.6303334787376276"/>
    <n v="1340.0742890848658"/>
    <n v="0"/>
    <n v="1"/>
    <n v="0"/>
    <n v="0"/>
    <n v="0"/>
    <n v="0"/>
    <n v="0"/>
    <n v="0"/>
    <n v="0"/>
    <n v="0"/>
  </r>
  <r>
    <d v="2019-08-16T00:00:00"/>
    <n v="2019"/>
    <x v="25"/>
    <s v="R"/>
    <s v="RS"/>
    <x v="0"/>
    <s v="NYL"/>
    <s v="H"/>
    <n v="1"/>
    <n v="2"/>
    <n v="-1"/>
    <n v="1"/>
    <n v="-8"/>
    <n v="8"/>
    <n v="1413.0396404183"/>
    <n v="1347.7046225636034"/>
    <n v="0.68298808647534626"/>
    <n v="83"/>
    <n v="77"/>
    <n v="0"/>
    <n v="6"/>
    <n v="1"/>
    <n v="0.3331425332904181"/>
    <n v="1"/>
    <n v="72.099999999999994"/>
    <n v="72.099999999999994"/>
    <n v="7.6144919559444029"/>
    <n v="1420.6541323742445"/>
    <n v="1"/>
    <n v="0"/>
    <n v="0"/>
    <n v="0"/>
    <n v="0"/>
    <n v="0"/>
    <n v="0"/>
    <n v="0"/>
    <n v="0"/>
    <n v="0"/>
  </r>
  <r>
    <d v="2019-08-16T00:00:00"/>
    <n v="2019"/>
    <x v="25"/>
    <s v="R"/>
    <s v="RS"/>
    <x v="4"/>
    <s v="MIN"/>
    <s v="A"/>
    <n v="1"/>
    <n v="2"/>
    <n v="-1"/>
    <n v="1"/>
    <n v="-8"/>
    <n v="8"/>
    <n v="1674.1617306692199"/>
    <n v="1529.934441531298"/>
    <n v="0.56330660644667474"/>
    <n v="86"/>
    <n v="79"/>
    <n v="0"/>
    <n v="7"/>
    <n v="1"/>
    <n v="0.33039695784588036"/>
    <n v="1"/>
    <n v="72.099999999999994"/>
    <n v="72.099999999999994"/>
    <n v="10.402744366255837"/>
    <n v="1684.5644750354757"/>
    <n v="1"/>
    <n v="0"/>
    <n v="0"/>
    <n v="0"/>
    <n v="0"/>
    <n v="0"/>
    <n v="0"/>
    <n v="0"/>
    <n v="0"/>
    <n v="0"/>
  </r>
  <r>
    <d v="2019-08-16T00:00:00"/>
    <n v="2019"/>
    <x v="25"/>
    <s v="R"/>
    <s v="RS"/>
    <x v="7"/>
    <s v="WAS"/>
    <s v="H"/>
    <n v="2"/>
    <n v="1"/>
    <n v="1"/>
    <n v="-1"/>
    <n v="8"/>
    <n v="-8"/>
    <n v="1529.934441531298"/>
    <n v="1674.1617306692199"/>
    <n v="0.4366933935533252"/>
    <n v="79"/>
    <n v="86"/>
    <n v="0"/>
    <n v="-7"/>
    <n v="0"/>
    <n v="0.33039695784588036"/>
    <n v="1"/>
    <n v="72.099999999999994"/>
    <n v="72.099999999999994"/>
    <n v="-10.402744366255837"/>
    <n v="1519.5316971650423"/>
    <n v="0"/>
    <n v="1"/>
    <n v="0"/>
    <n v="0"/>
    <n v="0"/>
    <n v="0"/>
    <n v="0"/>
    <n v="0"/>
    <n v="0"/>
    <n v="0"/>
  </r>
  <r>
    <d v="2019-08-16T00:00:00"/>
    <n v="2019"/>
    <x v="25"/>
    <s v="R"/>
    <s v="RS"/>
    <x v="1"/>
    <s v="PHX"/>
    <s v="A"/>
    <n v="2"/>
    <n v="1"/>
    <n v="1"/>
    <n v="-1"/>
    <n v="8"/>
    <n v="-8"/>
    <n v="1349.6902052418459"/>
    <n v="1503.2502027931421"/>
    <n v="0.21833394368460662"/>
    <n v="68"/>
    <n v="77"/>
    <n v="0"/>
    <n v="-9"/>
    <n v="0"/>
    <n v="0.35991447254500381"/>
    <n v="1"/>
    <n v="72.099999999999994"/>
    <n v="72.099999999999994"/>
    <n v="-5.665729479571926"/>
    <n v="1344.0244757622741"/>
    <n v="0"/>
    <n v="1"/>
    <n v="0"/>
    <n v="0"/>
    <n v="0"/>
    <n v="0"/>
    <n v="0"/>
    <n v="0"/>
    <n v="0"/>
    <n v="0"/>
  </r>
  <r>
    <d v="2019-08-16T00:00:00"/>
    <n v="2019"/>
    <x v="24"/>
    <s v="R"/>
    <s v="RS"/>
    <x v="8"/>
    <s v="ATL"/>
    <s v="H"/>
    <n v="1"/>
    <n v="2"/>
    <n v="-1"/>
    <n v="1"/>
    <n v="-8"/>
    <n v="8"/>
    <n v="1503.2502027931421"/>
    <n v="1349.6902052418459"/>
    <n v="0.78166605631539343"/>
    <n v="77"/>
    <n v="68"/>
    <n v="0"/>
    <n v="9"/>
    <n v="1"/>
    <n v="0.35991447254500381"/>
    <n v="1"/>
    <n v="72.25"/>
    <n v="72.25"/>
    <n v="5.677516711498912"/>
    <n v="1508.9277195046409"/>
    <n v="1"/>
    <n v="0"/>
    <n v="0"/>
    <n v="0"/>
    <n v="0"/>
    <n v="0"/>
    <n v="0"/>
    <n v="0"/>
    <n v="0"/>
    <n v="0"/>
  </r>
  <r>
    <d v="2019-08-18T00:00:00"/>
    <n v="2019"/>
    <x v="26"/>
    <s v="R"/>
    <s v="RS"/>
    <x v="11"/>
    <s v="CHI"/>
    <s v="A"/>
    <n v="4"/>
    <n v="1"/>
    <n v="3"/>
    <n v="-3"/>
    <n v="16"/>
    <n v="-16"/>
    <n v="1554.3640491670496"/>
    <n v="1532.7236749366332"/>
    <n v="0.45641985046704225"/>
    <n v="100"/>
    <n v="85"/>
    <n v="0"/>
    <n v="15"/>
    <n v="1"/>
    <n v="0.49394048067103602"/>
    <n v="1"/>
    <n v="71.95"/>
    <n v="71.95"/>
    <n v="19.318304492717903"/>
    <n v="1573.6823536597676"/>
    <n v="1"/>
    <n v="0"/>
    <n v="0"/>
    <n v="0"/>
    <n v="0"/>
    <n v="0"/>
    <n v="0"/>
    <n v="0"/>
    <n v="0"/>
    <n v="0"/>
  </r>
  <r>
    <d v="2019-08-18T00:00:00"/>
    <n v="2019"/>
    <x v="25"/>
    <s v="R"/>
    <s v="RS"/>
    <x v="6"/>
    <s v="LVA"/>
    <s v="H"/>
    <n v="1"/>
    <n v="4"/>
    <n v="-3"/>
    <n v="3"/>
    <n v="-16"/>
    <n v="16"/>
    <n v="1532.7236749366332"/>
    <n v="1554.3640491670496"/>
    <n v="0.54358014953295775"/>
    <n v="85"/>
    <n v="100"/>
    <n v="0"/>
    <n v="-15"/>
    <n v="0"/>
    <n v="0.49394048067103602"/>
    <n v="1"/>
    <n v="72.099999999999994"/>
    <n v="72.099999999999994"/>
    <n v="-19.358578928769433"/>
    <n v="1513.3650960078637"/>
    <n v="0"/>
    <n v="1"/>
    <n v="0"/>
    <n v="0"/>
    <n v="0"/>
    <n v="0"/>
    <n v="0"/>
    <n v="0"/>
    <n v="0"/>
    <n v="0"/>
  </r>
  <r>
    <d v="2019-08-18T00:00:00"/>
    <n v="2019"/>
    <x v="26"/>
    <s v="R"/>
    <s v="RS"/>
    <x v="0"/>
    <s v="CON"/>
    <s v="A"/>
    <n v="1"/>
    <n v="1"/>
    <n v="0"/>
    <n v="0"/>
    <n v="0"/>
    <n v="0"/>
    <n v="1420.6541323742445"/>
    <n v="1591.6497900063325"/>
    <n v="0.18726612276633606"/>
    <n v="68"/>
    <n v="78"/>
    <n v="0"/>
    <n v="-10"/>
    <n v="0"/>
    <n v="0.37035539563685393"/>
    <n v="1"/>
    <n v="71.95"/>
    <n v="71.95"/>
    <n v="-4.9900936160791103"/>
    <n v="1415.6640387581654"/>
    <n v="0"/>
    <n v="1"/>
    <n v="0"/>
    <n v="0"/>
    <n v="0"/>
    <n v="0"/>
    <n v="0"/>
    <n v="0"/>
    <n v="0"/>
    <n v="0"/>
  </r>
  <r>
    <d v="2019-08-18T00:00:00"/>
    <n v="2019"/>
    <x v="26"/>
    <s v="R"/>
    <s v="RS"/>
    <x v="5"/>
    <s v="DAL"/>
    <s v="H"/>
    <n v="1"/>
    <n v="1"/>
    <n v="0"/>
    <n v="0"/>
    <n v="0"/>
    <n v="0"/>
    <n v="1591.6497900063325"/>
    <n v="1420.6541323742445"/>
    <n v="0.81273387723366386"/>
    <n v="78"/>
    <n v="68"/>
    <n v="0"/>
    <n v="10"/>
    <n v="1"/>
    <n v="0.37035539563685393"/>
    <n v="1"/>
    <n v="71.95"/>
    <n v="71.95"/>
    <n v="4.9900936160791129"/>
    <n v="1596.6398836224116"/>
    <n v="1"/>
    <n v="0"/>
    <n v="0"/>
    <n v="0"/>
    <n v="0"/>
    <n v="0"/>
    <n v="0"/>
    <n v="0"/>
    <n v="0"/>
    <n v="0"/>
  </r>
  <r>
    <d v="2019-08-18T00:00:00"/>
    <n v="2019"/>
    <x v="25"/>
    <s v="R"/>
    <s v="RS"/>
    <x v="3"/>
    <s v="PHX"/>
    <s v="A"/>
    <n v="1"/>
    <n v="1"/>
    <n v="0"/>
    <n v="0"/>
    <n v="0"/>
    <n v="0"/>
    <n v="1340.0742890848658"/>
    <n v="1508.9277195046409"/>
    <n v="0.18915021166823415"/>
    <n v="72"/>
    <n v="78"/>
    <n v="0"/>
    <n v="-6"/>
    <n v="0"/>
    <n v="0.30794890376241429"/>
    <n v="1"/>
    <n v="72.099999999999994"/>
    <n v="72.099999999999994"/>
    <n v="-4.1997240837685812"/>
    <n v="1335.8745650010972"/>
    <n v="0"/>
    <n v="1"/>
    <n v="0"/>
    <n v="0"/>
    <n v="0"/>
    <n v="0"/>
    <n v="0"/>
    <n v="0"/>
    <n v="0"/>
    <n v="0"/>
  </r>
  <r>
    <d v="2019-08-18T00:00:00"/>
    <n v="2019"/>
    <x v="25"/>
    <s v="R"/>
    <s v="RS"/>
    <x v="8"/>
    <s v="NYL"/>
    <s v="H"/>
    <n v="1"/>
    <n v="1"/>
    <n v="0"/>
    <n v="0"/>
    <n v="0"/>
    <n v="0"/>
    <n v="1508.9277195046409"/>
    <n v="1340.0742890848658"/>
    <n v="0.8108497883317658"/>
    <n v="78"/>
    <n v="72"/>
    <n v="0"/>
    <n v="6"/>
    <n v="1"/>
    <n v="0.30794890376241429"/>
    <n v="1"/>
    <n v="72.099999999999994"/>
    <n v="72.099999999999994"/>
    <n v="4.199724083768583"/>
    <n v="1513.1274435884095"/>
    <n v="1"/>
    <n v="0"/>
    <n v="0"/>
    <n v="0"/>
    <n v="0"/>
    <n v="0"/>
    <n v="0"/>
    <n v="0"/>
    <n v="0"/>
    <n v="0"/>
  </r>
  <r>
    <d v="2019-08-18T00:00:00"/>
    <n v="2019"/>
    <x v="26"/>
    <s v="R"/>
    <s v="RS"/>
    <x v="7"/>
    <s v="SEA"/>
    <s v="A"/>
    <n v="1"/>
    <n v="1"/>
    <n v="0"/>
    <n v="0"/>
    <n v="0"/>
    <n v="0"/>
    <n v="1519.5316971650423"/>
    <n v="1543.8983992197916"/>
    <n v="0.34891567713382327"/>
    <n v="74"/>
    <n v="82"/>
    <n v="0"/>
    <n v="-8"/>
    <n v="0"/>
    <n v="0.38058748348970511"/>
    <n v="1"/>
    <n v="71.95"/>
    <n v="71.95"/>
    <n v="-9.554451997778191"/>
    <n v="1509.9772451672641"/>
    <n v="0"/>
    <n v="1"/>
    <n v="0"/>
    <n v="0"/>
    <n v="0"/>
    <n v="0"/>
    <n v="0"/>
    <n v="0"/>
    <n v="0"/>
    <n v="0"/>
  </r>
  <r>
    <d v="2019-08-18T00:00:00"/>
    <n v="2019"/>
    <x v="27"/>
    <s v="R"/>
    <s v="RS"/>
    <x v="9"/>
    <s v="MIN"/>
    <s v="H"/>
    <n v="1"/>
    <n v="1"/>
    <n v="0"/>
    <n v="0"/>
    <n v="0"/>
    <n v="0"/>
    <n v="1543.8983992197916"/>
    <n v="1519.5316971650423"/>
    <n v="0.65108432286617679"/>
    <n v="82"/>
    <n v="74"/>
    <n v="0"/>
    <n v="8"/>
    <n v="1"/>
    <n v="0.38058748348970511"/>
    <n v="1"/>
    <n v="71.8"/>
    <n v="71.8"/>
    <n v="9.5345330568516182"/>
    <n v="1553.4329322766432"/>
    <n v="1"/>
    <n v="0"/>
    <n v="0"/>
    <n v="0"/>
    <n v="0"/>
    <n v="0"/>
    <n v="0"/>
    <n v="0"/>
    <n v="0"/>
    <n v="0"/>
  </r>
  <r>
    <d v="2019-08-18T00:00:00"/>
    <n v="2019"/>
    <x v="25"/>
    <s v="R"/>
    <s v="RS"/>
    <x v="2"/>
    <s v="WAS"/>
    <s v="A"/>
    <n v="7"/>
    <n v="1"/>
    <n v="6"/>
    <n v="-6"/>
    <n v="16"/>
    <n v="-16"/>
    <n v="1405.1473962198531"/>
    <n v="1684.5644750354757"/>
    <n v="0.12922933067977971"/>
    <n v="68"/>
    <n v="107"/>
    <n v="0"/>
    <n v="-39"/>
    <n v="0"/>
    <n v="0.65460750159305359"/>
    <n v="1"/>
    <n v="72.099999999999994"/>
    <n v="72.099999999999994"/>
    <n v="-6.0992626777248695"/>
    <n v="1399.0481335421282"/>
    <n v="0"/>
    <n v="1"/>
    <n v="0"/>
    <n v="0"/>
    <n v="0"/>
    <n v="0"/>
    <n v="0"/>
    <n v="0"/>
    <n v="0"/>
    <n v="0"/>
  </r>
  <r>
    <d v="2019-08-18T00:00:00"/>
    <n v="2019"/>
    <x v="26"/>
    <s v="R"/>
    <s v="RS"/>
    <x v="4"/>
    <s v="IND"/>
    <s v="H"/>
    <n v="1"/>
    <n v="7"/>
    <n v="-6"/>
    <n v="6"/>
    <n v="-16"/>
    <n v="16"/>
    <n v="1684.5644750354757"/>
    <n v="1405.1473962198531"/>
    <n v="0.87077066932022029"/>
    <n v="107"/>
    <n v="68"/>
    <n v="0"/>
    <n v="39"/>
    <n v="1"/>
    <n v="0.65460750159305359"/>
    <n v="1"/>
    <n v="71.95"/>
    <n v="71.95"/>
    <n v="6.086573504331545"/>
    <n v="1690.6510485398071"/>
    <n v="1"/>
    <n v="0"/>
    <n v="0"/>
    <n v="0"/>
    <n v="0"/>
    <n v="0"/>
    <n v="0"/>
    <n v="0"/>
    <n v="0"/>
    <n v="0"/>
  </r>
  <r>
    <d v="2019-08-20T00:00:00"/>
    <n v="2019"/>
    <x v="26"/>
    <s v="R"/>
    <s v="RS"/>
    <x v="6"/>
    <s v="ATL"/>
    <s v="A"/>
    <n v="1"/>
    <n v="3"/>
    <n v="-2"/>
    <n v="2"/>
    <n v="-16"/>
    <n v="16"/>
    <n v="1513.3650960078637"/>
    <n v="1344.0244757622741"/>
    <n v="0.57616584080420852"/>
    <n v="87"/>
    <n v="83"/>
    <n v="0"/>
    <n v="4"/>
    <n v="1"/>
    <n v="0.2729191527361754"/>
    <n v="1"/>
    <n v="71.95"/>
    <n v="71.95"/>
    <n v="8.3226334702608398"/>
    <n v="1521.6877294781245"/>
    <n v="1"/>
    <n v="0"/>
    <n v="0"/>
    <n v="0"/>
    <n v="0"/>
    <n v="0"/>
    <n v="0"/>
    <n v="0"/>
    <n v="0"/>
    <n v="0"/>
  </r>
  <r>
    <d v="2019-08-20T00:00:00"/>
    <n v="2019"/>
    <x v="26"/>
    <s v="R"/>
    <s v="RS"/>
    <x v="1"/>
    <s v="CHI"/>
    <s v="H"/>
    <n v="3"/>
    <n v="1"/>
    <n v="2"/>
    <n v="-2"/>
    <n v="16"/>
    <n v="-16"/>
    <n v="1344.0244757622741"/>
    <n v="1513.3650960078637"/>
    <n v="0.42383415919579143"/>
    <n v="83"/>
    <n v="87"/>
    <n v="0"/>
    <n v="-4"/>
    <n v="0"/>
    <n v="0.2729191527361754"/>
    <n v="1"/>
    <n v="71.95"/>
    <n v="71.95"/>
    <n v="-8.322633470260838"/>
    <n v="1335.7018422920132"/>
    <n v="0"/>
    <n v="1"/>
    <n v="0"/>
    <n v="0"/>
    <n v="0"/>
    <n v="0"/>
    <n v="0"/>
    <n v="0"/>
    <n v="0"/>
    <n v="0"/>
  </r>
  <r>
    <d v="2019-08-20T00:00:00"/>
    <n v="2019"/>
    <x v="26"/>
    <s v="R"/>
    <s v="RS"/>
    <x v="3"/>
    <s v="IND"/>
    <s v="A"/>
    <n v="1"/>
    <n v="1"/>
    <n v="0"/>
    <n v="0"/>
    <n v="0"/>
    <n v="0"/>
    <n v="1335.8745650010972"/>
    <n v="1399.0481335421282"/>
    <n v="0.3000207269626467"/>
    <n v="82"/>
    <n v="76"/>
    <n v="0"/>
    <n v="6"/>
    <n v="1"/>
    <n v="0.33371258218778777"/>
    <n v="1"/>
    <n v="71.95"/>
    <n v="71.95"/>
    <n v="16.806936534658089"/>
    <n v="1352.6815015357552"/>
    <n v="1"/>
    <n v="0"/>
    <n v="0"/>
    <n v="0"/>
    <n v="0"/>
    <n v="0"/>
    <n v="0"/>
    <n v="0"/>
    <n v="0"/>
    <n v="0"/>
  </r>
  <r>
    <d v="2019-08-20T00:00:00"/>
    <n v="2019"/>
    <x v="26"/>
    <s v="R"/>
    <s v="RS"/>
    <x v="2"/>
    <s v="NYL"/>
    <s v="H"/>
    <n v="1"/>
    <n v="1"/>
    <n v="0"/>
    <n v="0"/>
    <n v="0"/>
    <n v="0"/>
    <n v="1399.0481335421282"/>
    <n v="1335.8745650010972"/>
    <n v="0.6999792730373533"/>
    <n v="76"/>
    <n v="82"/>
    <n v="0"/>
    <n v="-6"/>
    <n v="0"/>
    <n v="0.33371258218778777"/>
    <n v="1"/>
    <n v="71.95"/>
    <n v="71.95"/>
    <n v="-16.806936534658089"/>
    <n v="1382.2411970074702"/>
    <n v="0"/>
    <n v="1"/>
    <n v="0"/>
    <n v="0"/>
    <n v="0"/>
    <n v="0"/>
    <n v="0"/>
    <n v="0"/>
    <n v="0"/>
    <n v="0"/>
  </r>
  <r>
    <d v="2019-08-20T00:00:00"/>
    <n v="2019"/>
    <x v="27"/>
    <s v="R"/>
    <s v="RS"/>
    <x v="7"/>
    <s v="LAS"/>
    <s v="A"/>
    <n v="1"/>
    <n v="3"/>
    <n v="-2"/>
    <n v="2"/>
    <n v="-16"/>
    <n v="16"/>
    <n v="1509.9772451672641"/>
    <n v="1554.9212239997205"/>
    <n v="0.28364182652374426"/>
    <n v="71"/>
    <n v="81"/>
    <n v="0"/>
    <n v="-10"/>
    <n v="0"/>
    <n v="0.40785420696192953"/>
    <n v="1"/>
    <n v="71.8"/>
    <n v="71.8"/>
    <n v="-8.306147977257778"/>
    <n v="1501.6710971900063"/>
    <n v="0"/>
    <n v="1"/>
    <n v="0"/>
    <n v="0"/>
    <n v="0"/>
    <n v="0"/>
    <n v="0"/>
    <n v="0"/>
    <n v="0"/>
    <n v="0"/>
  </r>
  <r>
    <d v="2019-08-20T00:00:00"/>
    <n v="2019"/>
    <x v="25"/>
    <s v="R"/>
    <s v="RS"/>
    <x v="10"/>
    <s v="MIN"/>
    <s v="H"/>
    <n v="3"/>
    <n v="1"/>
    <n v="2"/>
    <n v="-2"/>
    <n v="16"/>
    <n v="-16"/>
    <n v="1554.9212239997205"/>
    <n v="1509.9772451672641"/>
    <n v="0.71635817347625574"/>
    <n v="81"/>
    <n v="71"/>
    <n v="0"/>
    <n v="10"/>
    <n v="1"/>
    <n v="0.40785420696192953"/>
    <n v="1"/>
    <n v="72.099999999999994"/>
    <n v="72.099999999999994"/>
    <n v="8.3408533309231991"/>
    <n v="1563.2620773306437"/>
    <n v="1"/>
    <n v="0"/>
    <n v="0"/>
    <n v="0"/>
    <n v="0"/>
    <n v="0"/>
    <n v="0"/>
    <n v="0"/>
    <n v="0"/>
    <n v="0"/>
  </r>
  <r>
    <d v="2019-08-20T00:00:00"/>
    <n v="2019"/>
    <x v="26"/>
    <s v="R"/>
    <s v="RS"/>
    <x v="8"/>
    <s v="LVA"/>
    <s v="A"/>
    <n v="1"/>
    <n v="1"/>
    <n v="0"/>
    <n v="0"/>
    <n v="0"/>
    <n v="0"/>
    <n v="1513.1274435884095"/>
    <n v="1573.6823536597676"/>
    <n v="0.30319594768099528"/>
    <n v="79"/>
    <n v="84"/>
    <n v="1"/>
    <n v="-5"/>
    <n v="0"/>
    <n v="0.28423708529909653"/>
    <n v="1"/>
    <n v="71.95"/>
    <n v="71.95"/>
    <n v="-6.2006173592985618"/>
    <n v="1506.9268262291109"/>
    <n v="0"/>
    <n v="1"/>
    <n v="0"/>
    <n v="0"/>
    <n v="0"/>
    <n v="0"/>
    <n v="0"/>
    <n v="0"/>
    <n v="0"/>
    <n v="0"/>
  </r>
  <r>
    <d v="2019-08-20T00:00:00"/>
    <n v="2019"/>
    <x v="27"/>
    <s v="R"/>
    <s v="RS"/>
    <x v="11"/>
    <s v="PHX"/>
    <s v="H"/>
    <n v="1"/>
    <n v="1"/>
    <n v="0"/>
    <n v="0"/>
    <n v="0"/>
    <n v="0"/>
    <n v="1573.6823536597676"/>
    <n v="1513.1274435884095"/>
    <n v="0.69680405231900466"/>
    <n v="84"/>
    <n v="79"/>
    <n v="1"/>
    <n v="5"/>
    <n v="1"/>
    <n v="0.28423708529909653"/>
    <n v="1"/>
    <n v="71.8"/>
    <n v="71.8"/>
    <n v="6.1876904294320623"/>
    <n v="1579.8700440891996"/>
    <n v="1"/>
    <n v="0"/>
    <n v="0"/>
    <n v="0"/>
    <n v="0"/>
    <n v="0"/>
    <n v="0"/>
    <n v="0"/>
    <n v="0"/>
    <n v="0"/>
  </r>
  <r>
    <d v="2019-08-22T00:00:00"/>
    <n v="2019"/>
    <x v="27"/>
    <s v="R"/>
    <s v="RS"/>
    <x v="2"/>
    <s v="LAS"/>
    <s v="A"/>
    <n v="1"/>
    <n v="1"/>
    <n v="0"/>
    <n v="0"/>
    <n v="0"/>
    <n v="0"/>
    <n v="1382.2411970074702"/>
    <n v="1563.2620773306437"/>
    <n v="0.17864089130651162"/>
    <n v="65"/>
    <n v="98"/>
    <n v="0"/>
    <n v="-33"/>
    <n v="0"/>
    <n v="0.64219942596529311"/>
    <n v="1"/>
    <n v="71.8"/>
    <n v="71.8"/>
    <n v="-8.2371169896996506"/>
    <n v="1374.0040800177705"/>
    <n v="0"/>
    <n v="1"/>
    <n v="0"/>
    <n v="0"/>
    <n v="0"/>
    <n v="0"/>
    <n v="0"/>
    <n v="0"/>
    <n v="0"/>
    <n v="0"/>
  </r>
  <r>
    <d v="2019-08-22T00:00:00"/>
    <n v="2019"/>
    <x v="26"/>
    <s v="R"/>
    <s v="RS"/>
    <x v="10"/>
    <s v="IND"/>
    <s v="H"/>
    <n v="1"/>
    <n v="1"/>
    <n v="0"/>
    <n v="0"/>
    <n v="0"/>
    <n v="0"/>
    <n v="1563.2620773306437"/>
    <n v="1382.2411970074702"/>
    <n v="0.82135910869348849"/>
    <n v="98"/>
    <n v="65"/>
    <n v="0"/>
    <n v="33"/>
    <n v="1"/>
    <n v="0.64219942596529311"/>
    <n v="1"/>
    <n v="71.95"/>
    <n v="71.95"/>
    <n v="8.2543254513772926"/>
    <n v="1571.516402782021"/>
    <n v="1"/>
    <n v="0"/>
    <n v="0"/>
    <n v="0"/>
    <n v="0"/>
    <n v="0"/>
    <n v="0"/>
    <n v="0"/>
    <n v="0"/>
    <n v="0"/>
  </r>
  <r>
    <d v="2019-08-22T00:00:00"/>
    <n v="2019"/>
    <x v="27"/>
    <s v="R"/>
    <s v="RS"/>
    <x v="0"/>
    <s v="MIN"/>
    <s v="A"/>
    <n v="3"/>
    <n v="1"/>
    <n v="2"/>
    <n v="-2"/>
    <n v="16"/>
    <n v="-16"/>
    <n v="1415.6640387581654"/>
    <n v="1501.6710971900063"/>
    <n v="0.31121772142389414"/>
    <n v="70"/>
    <n v="86"/>
    <n v="0"/>
    <n v="-16"/>
    <n v="0"/>
    <n v="0.48315694277272569"/>
    <n v="1"/>
    <n v="71.8"/>
    <n v="71.8"/>
    <n v="-10.796350802466128"/>
    <n v="1404.8676879556992"/>
    <n v="0"/>
    <n v="1"/>
    <n v="0"/>
    <n v="0"/>
    <n v="0"/>
    <n v="0"/>
    <n v="0"/>
    <n v="0"/>
    <n v="0"/>
    <n v="0"/>
  </r>
  <r>
    <d v="2019-08-22T00:00:00"/>
    <n v="2019"/>
    <x v="28"/>
    <s v="R"/>
    <s v="RS"/>
    <x v="7"/>
    <s v="DAL"/>
    <s v="H"/>
    <n v="1"/>
    <n v="3"/>
    <n v="-2"/>
    <n v="2"/>
    <n v="-16"/>
    <n v="16"/>
    <n v="1501.6710971900063"/>
    <n v="1415.6640387581654"/>
    <n v="0.68878227857610586"/>
    <n v="86"/>
    <n v="70"/>
    <n v="0"/>
    <n v="16"/>
    <n v="1"/>
    <n v="0.48315694277272569"/>
    <n v="1"/>
    <n v="71.650000000000006"/>
    <n v="71.650000000000006"/>
    <n v="10.773795752043149"/>
    <n v="1512.4448929420494"/>
    <n v="1"/>
    <n v="0"/>
    <n v="0"/>
    <n v="0"/>
    <n v="0"/>
    <n v="0"/>
    <n v="0"/>
    <n v="0"/>
    <n v="0"/>
    <n v="0"/>
  </r>
  <r>
    <d v="2019-08-23T00:00:00"/>
    <n v="2019"/>
    <x v="27"/>
    <s v="R"/>
    <s v="RS"/>
    <x v="4"/>
    <s v="CHI"/>
    <s v="A"/>
    <n v="4"/>
    <n v="2"/>
    <n v="2"/>
    <n v="-2"/>
    <n v="16"/>
    <n v="-16"/>
    <n v="1690.6510485398071"/>
    <n v="1521.6877294781245"/>
    <n v="0.66224056889076"/>
    <n v="78"/>
    <n v="85"/>
    <n v="0"/>
    <n v="-7"/>
    <n v="0"/>
    <n v="0.32442695929135595"/>
    <n v="1"/>
    <n v="71.8"/>
    <n v="71.8"/>
    <n v="-15.426136235274782"/>
    <n v="1675.2249123045324"/>
    <n v="0"/>
    <n v="1"/>
    <n v="0"/>
    <n v="0"/>
    <n v="0"/>
    <n v="0"/>
    <n v="0"/>
    <n v="0"/>
    <n v="0"/>
    <n v="0"/>
  </r>
  <r>
    <d v="2019-08-23T00:00:00"/>
    <n v="2019"/>
    <x v="27"/>
    <s v="R"/>
    <s v="RS"/>
    <x v="6"/>
    <s v="WAS"/>
    <s v="H"/>
    <n v="2"/>
    <n v="4"/>
    <n v="-2"/>
    <n v="2"/>
    <n v="-16"/>
    <n v="16"/>
    <n v="1521.6877294781245"/>
    <n v="1690.6510485398071"/>
    <n v="0.33775943110923995"/>
    <n v="85"/>
    <n v="78"/>
    <n v="0"/>
    <n v="7"/>
    <n v="1"/>
    <n v="0.32442695929135595"/>
    <n v="1"/>
    <n v="71.8"/>
    <n v="71.8"/>
    <n v="15.426136235274782"/>
    <n v="1537.1138657133993"/>
    <n v="1"/>
    <n v="0"/>
    <n v="0"/>
    <n v="0"/>
    <n v="0"/>
    <n v="0"/>
    <n v="0"/>
    <n v="0"/>
    <n v="0"/>
    <n v="0"/>
  </r>
  <r>
    <d v="2019-08-23T00:00:00"/>
    <n v="2019"/>
    <x v="28"/>
    <s v="R"/>
    <s v="RS"/>
    <x v="11"/>
    <s v="CON"/>
    <s v="A"/>
    <n v="2"/>
    <n v="4"/>
    <n v="-2"/>
    <n v="2"/>
    <n v="-16"/>
    <n v="16"/>
    <n v="1579.8700440891996"/>
    <n v="1596.6398836224116"/>
    <n v="0.3177167496424439"/>
    <n v="85"/>
    <n v="89"/>
    <n v="0"/>
    <n v="-4"/>
    <n v="0"/>
    <n v="0.30714048766036534"/>
    <n v="1"/>
    <n v="71.650000000000006"/>
    <n v="71.650000000000006"/>
    <n v="-6.9918704873612763"/>
    <n v="1572.8781736018384"/>
    <n v="0"/>
    <n v="1"/>
    <n v="0"/>
    <n v="0"/>
    <n v="0"/>
    <n v="0"/>
    <n v="0"/>
    <n v="0"/>
    <n v="0"/>
    <n v="0"/>
  </r>
  <r>
    <d v="2019-08-23T00:00:00"/>
    <n v="2019"/>
    <x v="27"/>
    <s v="R"/>
    <s v="RS"/>
    <x v="5"/>
    <s v="LVA"/>
    <s v="H"/>
    <n v="4"/>
    <n v="2"/>
    <n v="2"/>
    <n v="-2"/>
    <n v="16"/>
    <n v="-16"/>
    <n v="1596.6398836224116"/>
    <n v="1579.8700440891996"/>
    <n v="0.6822832503575561"/>
    <n v="89"/>
    <n v="85"/>
    <n v="0"/>
    <n v="4"/>
    <n v="1"/>
    <n v="0.30714048766036534"/>
    <n v="1"/>
    <n v="71.8"/>
    <n v="71.8"/>
    <n v="7.0065080389747321"/>
    <n v="1603.6463916613864"/>
    <n v="1"/>
    <n v="0"/>
    <n v="0"/>
    <n v="0"/>
    <n v="0"/>
    <n v="0"/>
    <n v="0"/>
    <n v="0"/>
    <n v="0"/>
    <n v="0"/>
  </r>
  <r>
    <d v="2019-08-23T00:00:00"/>
    <n v="2019"/>
    <x v="27"/>
    <s v="R"/>
    <s v="RS"/>
    <x v="1"/>
    <s v="NYL"/>
    <s v="A"/>
    <n v="2"/>
    <n v="2"/>
    <n v="0"/>
    <n v="0"/>
    <n v="0"/>
    <n v="0"/>
    <n v="1335.7018422920132"/>
    <n v="1352.6815015357552"/>
    <n v="0.3586368204101027"/>
    <n v="90"/>
    <n v="87"/>
    <n v="0"/>
    <n v="3"/>
    <n v="1"/>
    <n v="0.28613479500129146"/>
    <n v="1"/>
    <n v="71.8"/>
    <n v="71.8"/>
    <n v="13.176471913377219"/>
    <n v="1348.8783142053906"/>
    <n v="1"/>
    <n v="0"/>
    <n v="0"/>
    <n v="0"/>
    <n v="0"/>
    <n v="0"/>
    <n v="0"/>
    <n v="0"/>
    <n v="0"/>
    <n v="0"/>
  </r>
  <r>
    <d v="2019-08-23T00:00:00"/>
    <n v="2019"/>
    <x v="27"/>
    <s v="R"/>
    <s v="RS"/>
    <x v="3"/>
    <s v="ATL"/>
    <s v="H"/>
    <n v="2"/>
    <n v="2"/>
    <n v="0"/>
    <n v="0"/>
    <n v="0"/>
    <n v="0"/>
    <n v="1352.6815015357552"/>
    <n v="1335.7018422920132"/>
    <n v="0.6413631795898973"/>
    <n v="87"/>
    <n v="90"/>
    <n v="0"/>
    <n v="-3"/>
    <n v="0"/>
    <n v="0.28613479500129146"/>
    <n v="1"/>
    <n v="71.8"/>
    <n v="71.8"/>
    <n v="-13.176471913377219"/>
    <n v="1339.5050296223778"/>
    <n v="0"/>
    <n v="1"/>
    <n v="0"/>
    <n v="0"/>
    <n v="0"/>
    <n v="0"/>
    <n v="0"/>
    <n v="0"/>
    <n v="0"/>
    <n v="0"/>
  </r>
  <r>
    <d v="2019-08-25T00:00:00"/>
    <n v="2019"/>
    <x v="28"/>
    <s v="R"/>
    <s v="RS"/>
    <x v="1"/>
    <s v="DAL"/>
    <s v="A"/>
    <n v="1"/>
    <n v="2"/>
    <n v="-1"/>
    <n v="1"/>
    <n v="-8"/>
    <n v="8"/>
    <n v="1348.8783142053906"/>
    <n v="1404.8676879556992"/>
    <n v="0.28947256872353028"/>
    <n v="77"/>
    <n v="73"/>
    <n v="0"/>
    <n v="4"/>
    <n v="1"/>
    <n v="0.29754971633936039"/>
    <n v="1"/>
    <n v="71.650000000000006"/>
    <n v="71.650000000000006"/>
    <n v="15.148044932720978"/>
    <n v="1364.0263591381115"/>
    <n v="1"/>
    <n v="0"/>
    <n v="0"/>
    <n v="0"/>
    <n v="0"/>
    <n v="0"/>
    <n v="0"/>
    <n v="0"/>
    <n v="0"/>
    <n v="0"/>
  </r>
  <r>
    <d v="2019-08-25T00:00:00"/>
    <n v="2019"/>
    <x v="28"/>
    <s v="R"/>
    <s v="RS"/>
    <x v="0"/>
    <s v="ATL"/>
    <s v="H"/>
    <n v="2"/>
    <n v="1"/>
    <n v="1"/>
    <n v="-1"/>
    <n v="8"/>
    <n v="-8"/>
    <n v="1404.8676879556992"/>
    <n v="1348.8783142053906"/>
    <n v="0.71052743127646967"/>
    <n v="73"/>
    <n v="77"/>
    <n v="0"/>
    <n v="-4"/>
    <n v="0"/>
    <n v="0.29754971633936039"/>
    <n v="1"/>
    <n v="71.650000000000006"/>
    <n v="71.650000000000006"/>
    <n v="-15.148044932720975"/>
    <n v="1389.7196430229783"/>
    <n v="0"/>
    <n v="1"/>
    <n v="0"/>
    <n v="0"/>
    <n v="0"/>
    <n v="0"/>
    <n v="0"/>
    <n v="0"/>
    <n v="0"/>
    <n v="0"/>
  </r>
  <r>
    <d v="2019-08-25T00:00:00"/>
    <n v="2019"/>
    <x v="28"/>
    <s v="R"/>
    <s v="RS"/>
    <x v="5"/>
    <s v="LAS"/>
    <s v="A"/>
    <n v="1"/>
    <n v="2"/>
    <n v="-1"/>
    <n v="1"/>
    <n v="-8"/>
    <n v="8"/>
    <n v="1603.6463916613864"/>
    <n v="1571.516402782021"/>
    <n v="0.40355092194076364"/>
    <n v="72"/>
    <n v="84"/>
    <n v="0"/>
    <n v="-12"/>
    <n v="0"/>
    <n v="0.44423505363234772"/>
    <n v="1"/>
    <n v="71.650000000000006"/>
    <n v="71.650000000000006"/>
    <n v="-12.844800499617065"/>
    <n v="1590.8015911617692"/>
    <n v="0"/>
    <n v="1"/>
    <n v="0"/>
    <n v="0"/>
    <n v="0"/>
    <n v="0"/>
    <n v="0"/>
    <n v="0"/>
    <n v="0"/>
    <n v="0"/>
  </r>
  <r>
    <d v="2019-08-25T00:00:00"/>
    <n v="2019"/>
    <x v="27"/>
    <s v="R"/>
    <s v="RS"/>
    <x v="10"/>
    <s v="CON"/>
    <s v="H"/>
    <n v="2"/>
    <n v="1"/>
    <n v="1"/>
    <n v="-1"/>
    <n v="8"/>
    <n v="-8"/>
    <n v="1571.516402782021"/>
    <n v="1603.6463916613864"/>
    <n v="0.5964490780592363"/>
    <n v="84"/>
    <n v="72"/>
    <n v="0"/>
    <n v="12"/>
    <n v="1"/>
    <n v="0.44423505363234772"/>
    <n v="1"/>
    <n v="71.8"/>
    <n v="71.8"/>
    <n v="12.871691219434826"/>
    <n v="1584.3880940014558"/>
    <n v="1"/>
    <n v="0"/>
    <n v="0"/>
    <n v="0"/>
    <n v="0"/>
    <n v="0"/>
    <n v="0"/>
    <n v="0"/>
    <n v="0"/>
    <n v="0"/>
  </r>
  <r>
    <d v="2019-08-25T00:00:00"/>
    <n v="2019"/>
    <x v="29"/>
    <s v="R"/>
    <s v="RS"/>
    <x v="11"/>
    <s v="MIN"/>
    <s v="A"/>
    <n v="1"/>
    <n v="2"/>
    <n v="-1"/>
    <n v="1"/>
    <n v="-8"/>
    <n v="8"/>
    <n v="1572.8781736018384"/>
    <n v="1512.4448929420494"/>
    <n v="0.44330380249540169"/>
    <n v="77"/>
    <n v="98"/>
    <n v="0"/>
    <n v="-21"/>
    <n v="0"/>
    <n v="0.56035615542868544"/>
    <n v="1"/>
    <n v="71.5"/>
    <n v="71.5"/>
    <n v="-17.761173033406699"/>
    <n v="1555.1170005684316"/>
    <n v="0"/>
    <n v="1"/>
    <n v="0"/>
    <n v="0"/>
    <n v="0"/>
    <n v="0"/>
    <n v="0"/>
    <n v="0"/>
    <n v="0"/>
    <n v="0"/>
  </r>
  <r>
    <d v="2019-08-25T00:00:00"/>
    <n v="2019"/>
    <x v="29"/>
    <s v="R"/>
    <s v="RS"/>
    <x v="7"/>
    <s v="LVA"/>
    <s v="H"/>
    <n v="2"/>
    <n v="1"/>
    <n v="1"/>
    <n v="-1"/>
    <n v="8"/>
    <n v="-8"/>
    <n v="1512.4448929420494"/>
    <n v="1572.8781736018384"/>
    <n v="0.55669619750459831"/>
    <n v="98"/>
    <n v="77"/>
    <n v="0"/>
    <n v="21"/>
    <n v="1"/>
    <n v="0.56035615542868544"/>
    <n v="1"/>
    <n v="71.5"/>
    <n v="71.5"/>
    <n v="17.761173033406699"/>
    <n v="1530.2060659754561"/>
    <n v="1"/>
    <n v="0"/>
    <n v="0"/>
    <n v="0"/>
    <n v="0"/>
    <n v="0"/>
    <n v="0"/>
    <n v="0"/>
    <n v="0"/>
    <n v="0"/>
  </r>
  <r>
    <d v="2019-08-25T00:00:00"/>
    <n v="2019"/>
    <x v="28"/>
    <s v="R"/>
    <s v="RS"/>
    <x v="6"/>
    <s v="PHX"/>
    <s v="A"/>
    <n v="1"/>
    <n v="4"/>
    <n v="-3"/>
    <n v="3"/>
    <n v="-16"/>
    <n v="16"/>
    <n v="1537.1138657133993"/>
    <n v="1506.9268262291109"/>
    <n v="0.37895664023166314"/>
    <n v="94"/>
    <n v="86"/>
    <n v="0"/>
    <n v="8"/>
    <n v="1"/>
    <n v="0.37878682431815525"/>
    <n v="1"/>
    <n v="71.650000000000006"/>
    <n v="71.650000000000006"/>
    <n v="16.855163960054185"/>
    <n v="1553.9690296734534"/>
    <n v="1"/>
    <n v="0"/>
    <n v="0"/>
    <n v="0"/>
    <n v="0"/>
    <n v="0"/>
    <n v="0"/>
    <n v="0"/>
    <n v="0"/>
    <n v="0"/>
  </r>
  <r>
    <d v="2019-08-25T00:00:00"/>
    <n v="2019"/>
    <x v="27"/>
    <s v="R"/>
    <s v="RS"/>
    <x v="8"/>
    <s v="CHI"/>
    <s v="H"/>
    <n v="4"/>
    <n v="1"/>
    <n v="3"/>
    <n v="-3"/>
    <n v="16"/>
    <n v="-16"/>
    <n v="1506.9268262291109"/>
    <n v="1537.1138657133993"/>
    <n v="0.62104335976833691"/>
    <n v="86"/>
    <n v="94"/>
    <n v="0"/>
    <n v="-8"/>
    <n v="0"/>
    <n v="0.37878682431815525"/>
    <n v="1"/>
    <n v="71.8"/>
    <n v="71.8"/>
    <n v="-16.890450416355758"/>
    <n v="1490.0363758127551"/>
    <n v="0"/>
    <n v="1"/>
    <n v="0"/>
    <n v="0"/>
    <n v="0"/>
    <n v="0"/>
    <n v="0"/>
    <n v="0"/>
    <n v="0"/>
    <n v="0"/>
  </r>
  <r>
    <d v="2019-08-25T00:00:00"/>
    <n v="2019"/>
    <x v="28"/>
    <s v="R"/>
    <s v="RS"/>
    <x v="2"/>
    <s v="SEA"/>
    <s v="A"/>
    <n v="2"/>
    <n v="6"/>
    <n v="-4"/>
    <n v="4"/>
    <n v="-16"/>
    <n v="16"/>
    <n v="1374.0040800177705"/>
    <n v="1553.4329322766432"/>
    <n v="0.15438363086434789"/>
    <n v="63"/>
    <n v="54"/>
    <n v="0"/>
    <n v="9"/>
    <n v="1"/>
    <n v="0.35316488543714081"/>
    <n v="1"/>
    <n v="71.650000000000006"/>
    <n v="71.650000000000006"/>
    <n v="21.397699882483231"/>
    <n v="1395.4017799002538"/>
    <n v="1"/>
    <n v="0"/>
    <n v="0"/>
    <n v="0"/>
    <n v="0"/>
    <n v="0"/>
    <n v="0"/>
    <n v="0"/>
    <n v="0"/>
    <n v="0"/>
  </r>
  <r>
    <d v="2019-08-25T00:00:00"/>
    <n v="2019"/>
    <x v="28"/>
    <s v="R"/>
    <s v="RS"/>
    <x v="9"/>
    <s v="IND"/>
    <s v="H"/>
    <n v="6"/>
    <n v="2"/>
    <n v="4"/>
    <n v="-4"/>
    <n v="16"/>
    <n v="-16"/>
    <n v="1553.4329322766432"/>
    <n v="1374.0040800177705"/>
    <n v="0.84561636913565219"/>
    <n v="54"/>
    <n v="63"/>
    <n v="0"/>
    <n v="-9"/>
    <n v="0"/>
    <n v="0.35316488543714081"/>
    <n v="1"/>
    <n v="71.650000000000006"/>
    <n v="71.650000000000006"/>
    <n v="-21.397699882483231"/>
    <n v="1532.0352323941599"/>
    <n v="0"/>
    <n v="1"/>
    <n v="0"/>
    <n v="0"/>
    <n v="0"/>
    <n v="0"/>
    <n v="0"/>
    <n v="0"/>
    <n v="0"/>
    <n v="0"/>
  </r>
  <r>
    <d v="2019-08-25T00:00:00"/>
    <n v="2019"/>
    <x v="28"/>
    <s v="R"/>
    <s v="RS"/>
    <x v="3"/>
    <s v="WAS"/>
    <s v="A"/>
    <n v="1"/>
    <n v="1"/>
    <n v="0"/>
    <n v="0"/>
    <n v="0"/>
    <n v="0"/>
    <n v="1339.5050296223778"/>
    <n v="1675.2249123045324"/>
    <n v="8.195306113862659E-2"/>
    <n v="72"/>
    <n v="101"/>
    <n v="0"/>
    <n v="-29"/>
    <n v="0"/>
    <n v="0.54022582722843959"/>
    <n v="1"/>
    <n v="71.650000000000006"/>
    <n v="71.650000000000006"/>
    <n v="-3.1721719317346246"/>
    <n v="1336.3328576906431"/>
    <n v="0"/>
    <n v="1"/>
    <n v="0"/>
    <n v="0"/>
    <n v="0"/>
    <n v="0"/>
    <n v="0"/>
    <n v="0"/>
    <n v="0"/>
    <n v="0"/>
  </r>
  <r>
    <d v="2019-08-25T00:00:00"/>
    <n v="2019"/>
    <x v="28"/>
    <s v="R"/>
    <s v="RS"/>
    <x v="4"/>
    <s v="NYL"/>
    <s v="H"/>
    <n v="1"/>
    <n v="1"/>
    <n v="0"/>
    <n v="0"/>
    <n v="0"/>
    <n v="0"/>
    <n v="1675.2249123045324"/>
    <n v="1339.5050296223778"/>
    <n v="0.91804693886137334"/>
    <n v="101"/>
    <n v="72"/>
    <n v="0"/>
    <n v="29"/>
    <n v="1"/>
    <n v="0.54022582722843959"/>
    <n v="1"/>
    <n v="71.650000000000006"/>
    <n v="71.650000000000006"/>
    <n v="3.1721719317346273"/>
    <n v="1678.3970842362671"/>
    <n v="1"/>
    <n v="0"/>
    <n v="0"/>
    <n v="0"/>
    <n v="0"/>
    <n v="0"/>
    <n v="0"/>
    <n v="0"/>
    <n v="0"/>
    <n v="0"/>
  </r>
  <r>
    <d v="2019-08-27T00:00:00"/>
    <n v="2019"/>
    <x v="30"/>
    <s v="R"/>
    <s v="RS"/>
    <x v="11"/>
    <s v="IND"/>
    <s v="A"/>
    <n v="1"/>
    <n v="1"/>
    <n v="0"/>
    <n v="0"/>
    <n v="0"/>
    <n v="0"/>
    <n v="1555.1170005684316"/>
    <n v="1395.4017799002538"/>
    <n v="0.60727016604227879"/>
    <n v="71"/>
    <n v="86"/>
    <n v="0"/>
    <n v="-15"/>
    <n v="0"/>
    <n v="0.44378236301421309"/>
    <n v="1"/>
    <n v="71.349999999999994"/>
    <n v="71.349999999999994"/>
    <n v="-19.228524564719592"/>
    <n v="1535.888476003712"/>
    <n v="0"/>
    <n v="1"/>
    <n v="0"/>
    <n v="0"/>
    <n v="0"/>
    <n v="0"/>
    <n v="0"/>
    <n v="0"/>
    <n v="0"/>
    <n v="0"/>
  </r>
  <r>
    <d v="2019-08-27T00:00:00"/>
    <n v="2019"/>
    <x v="29"/>
    <s v="R"/>
    <s v="RS"/>
    <x v="2"/>
    <s v="LVA"/>
    <s v="H"/>
    <n v="1"/>
    <n v="1"/>
    <n v="0"/>
    <n v="0"/>
    <n v="0"/>
    <n v="0"/>
    <n v="1395.4017799002538"/>
    <n v="1555.1170005684316"/>
    <n v="0.39272983395772115"/>
    <n v="86"/>
    <n v="71"/>
    <n v="0"/>
    <n v="15"/>
    <n v="1"/>
    <n v="0.44378236301421309"/>
    <n v="1"/>
    <n v="71.5"/>
    <n v="71.5"/>
    <n v="19.268948933110735"/>
    <n v="1414.6707288333646"/>
    <n v="1"/>
    <n v="0"/>
    <n v="0"/>
    <n v="0"/>
    <n v="0"/>
    <n v="0"/>
    <n v="0"/>
    <n v="0"/>
    <n v="0"/>
    <n v="0"/>
  </r>
  <r>
    <d v="2019-08-27T00:00:00"/>
    <n v="2019"/>
    <x v="29"/>
    <s v="R"/>
    <s v="RS"/>
    <x v="6"/>
    <s v="MIN"/>
    <s v="A"/>
    <n v="1"/>
    <n v="1"/>
    <n v="0"/>
    <n v="0"/>
    <n v="0"/>
    <n v="0"/>
    <n v="1553.9690296734534"/>
    <n v="1530.2060659754561"/>
    <n v="0.4141702118072208"/>
    <n v="85"/>
    <n v="93"/>
    <n v="0"/>
    <n v="-8"/>
    <n v="0"/>
    <n v="0.38077524473816465"/>
    <n v="1"/>
    <n v="71.5"/>
    <n v="71.5"/>
    <n v="-11.275962109136866"/>
    <n v="1542.6930675643166"/>
    <n v="0"/>
    <n v="1"/>
    <n v="0"/>
    <n v="0"/>
    <n v="0"/>
    <n v="0"/>
    <n v="0"/>
    <n v="0"/>
    <n v="0"/>
    <n v="0"/>
  </r>
  <r>
    <d v="2019-08-27T00:00:00"/>
    <n v="2019"/>
    <x v="30"/>
    <s v="R"/>
    <s v="RS"/>
    <x v="7"/>
    <s v="CHI"/>
    <s v="H"/>
    <n v="1"/>
    <n v="1"/>
    <n v="0"/>
    <n v="0"/>
    <n v="0"/>
    <n v="0"/>
    <n v="1530.2060659754561"/>
    <n v="1553.9690296734534"/>
    <n v="0.5858297881927792"/>
    <n v="93"/>
    <n v="85"/>
    <n v="0"/>
    <n v="8"/>
    <n v="1"/>
    <n v="0.38077524473816465"/>
    <n v="1"/>
    <n v="71.349999999999994"/>
    <n v="71.349999999999994"/>
    <n v="11.252306244572244"/>
    <n v="1541.4583722200284"/>
    <n v="1"/>
    <n v="0"/>
    <n v="0"/>
    <n v="0"/>
    <n v="0"/>
    <n v="0"/>
    <n v="0"/>
    <n v="0"/>
    <n v="0"/>
    <n v="0"/>
  </r>
  <r>
    <d v="2019-08-27T00:00:00"/>
    <n v="2019"/>
    <x v="28"/>
    <s v="R"/>
    <s v="RS"/>
    <x v="8"/>
    <s v="NYL"/>
    <s v="A"/>
    <n v="1"/>
    <n v="1"/>
    <n v="0"/>
    <n v="0"/>
    <n v="0"/>
    <n v="0"/>
    <n v="1490.0363758127551"/>
    <n v="1336.3328576906431"/>
    <n v="0.59898691715083952"/>
    <n v="95"/>
    <n v="82"/>
    <n v="0"/>
    <n v="13"/>
    <n v="1"/>
    <n v="0.41844650560023422"/>
    <n v="1"/>
    <n v="71.650000000000006"/>
    <n v="71.650000000000006"/>
    <n v="12.023050788584635"/>
    <n v="1502.0594266013397"/>
    <n v="1"/>
    <n v="0"/>
    <n v="0"/>
    <n v="0"/>
    <n v="0"/>
    <n v="0"/>
    <n v="0"/>
    <n v="0"/>
    <n v="0"/>
    <n v="0"/>
  </r>
  <r>
    <d v="2019-08-27T00:00:00"/>
    <n v="2019"/>
    <x v="29"/>
    <s v="R"/>
    <s v="RS"/>
    <x v="3"/>
    <s v="PHX"/>
    <s v="H"/>
    <n v="1"/>
    <n v="1"/>
    <n v="0"/>
    <n v="0"/>
    <n v="0"/>
    <n v="0"/>
    <n v="1336.3328576906431"/>
    <n v="1490.0363758127551"/>
    <n v="0.40101308284916054"/>
    <n v="82"/>
    <n v="95"/>
    <n v="0"/>
    <n v="-13"/>
    <n v="0"/>
    <n v="0.41844650560023422"/>
    <n v="1"/>
    <n v="71.5"/>
    <n v="71.5"/>
    <n v="-11.997880410101905"/>
    <n v="1324.3349772805411"/>
    <n v="0"/>
    <n v="1"/>
    <n v="0"/>
    <n v="0"/>
    <n v="0"/>
    <n v="0"/>
    <n v="0"/>
    <n v="0"/>
    <n v="0"/>
    <n v="0"/>
  </r>
  <r>
    <d v="2019-08-27T00:00:00"/>
    <n v="2019"/>
    <x v="29"/>
    <s v="R"/>
    <s v="RS"/>
    <x v="5"/>
    <s v="SEA"/>
    <s v="A"/>
    <n v="1"/>
    <n v="1"/>
    <n v="0"/>
    <n v="0"/>
    <n v="0"/>
    <n v="0"/>
    <n v="1590.8015911617692"/>
    <n v="1532.0352323941599"/>
    <n v="0.46374958742046135"/>
    <n v="89"/>
    <n v="70"/>
    <n v="0"/>
    <n v="19"/>
    <n v="1"/>
    <n v="0.53478795534922574"/>
    <n v="1"/>
    <n v="71.5"/>
    <n v="71.5"/>
    <n v="20.504788711449198"/>
    <n v="1611.3063798732185"/>
    <n v="1"/>
    <n v="0"/>
    <n v="0"/>
    <n v="0"/>
    <n v="0"/>
    <n v="0"/>
    <n v="0"/>
    <n v="0"/>
    <n v="0"/>
    <n v="0"/>
  </r>
  <r>
    <d v="2019-08-27T00:00:00"/>
    <n v="2019"/>
    <x v="29"/>
    <s v="R"/>
    <s v="RS"/>
    <x v="9"/>
    <s v="CON"/>
    <s v="H"/>
    <n v="1"/>
    <n v="1"/>
    <n v="0"/>
    <n v="0"/>
    <n v="0"/>
    <n v="0"/>
    <n v="1532.0352323941599"/>
    <n v="1590.8015911617692"/>
    <n v="0.53625041257953854"/>
    <n v="70"/>
    <n v="89"/>
    <n v="0"/>
    <n v="-19"/>
    <n v="0"/>
    <n v="0.53478795534922574"/>
    <n v="1"/>
    <n v="71.5"/>
    <n v="71.5"/>
    <n v="-20.504788711449194"/>
    <n v="1511.5304436827107"/>
    <n v="0"/>
    <n v="1"/>
    <n v="0"/>
    <n v="0"/>
    <n v="0"/>
    <n v="0"/>
    <n v="0"/>
    <n v="0"/>
    <n v="0"/>
    <n v="0"/>
  </r>
  <r>
    <d v="2019-08-27T00:00:00"/>
    <n v="2019"/>
    <x v="28"/>
    <s v="R"/>
    <s v="RS"/>
    <x v="10"/>
    <s v="WAS"/>
    <s v="A"/>
    <n v="1"/>
    <n v="1"/>
    <n v="0"/>
    <n v="0"/>
    <n v="0"/>
    <n v="0"/>
    <n v="1584.3880940014558"/>
    <n v="1678.3970842362671"/>
    <n v="0.26411249741721199"/>
    <n v="66"/>
    <n v="95"/>
    <n v="0"/>
    <n v="-29"/>
    <n v="0"/>
    <n v="0.64113584238899546"/>
    <n v="1"/>
    <n v="71.650000000000006"/>
    <n v="71.650000000000006"/>
    <n v="-12.132636977246317"/>
    <n v="1572.2554570242094"/>
    <n v="0"/>
    <n v="1"/>
    <n v="0"/>
    <n v="0"/>
    <n v="0"/>
    <n v="0"/>
    <n v="0"/>
    <n v="0"/>
    <n v="0"/>
    <n v="0"/>
  </r>
  <r>
    <d v="2019-08-27T00:00:00"/>
    <n v="2019"/>
    <x v="29"/>
    <s v="R"/>
    <s v="RS"/>
    <x v="4"/>
    <s v="LAS"/>
    <s v="H"/>
    <n v="1"/>
    <n v="1"/>
    <n v="0"/>
    <n v="0"/>
    <n v="0"/>
    <n v="0"/>
    <n v="1678.3970842362671"/>
    <n v="1584.3880940014558"/>
    <n v="0.73588750258278801"/>
    <n v="95"/>
    <n v="66"/>
    <n v="0"/>
    <n v="29"/>
    <n v="1"/>
    <n v="0.64113584238899546"/>
    <n v="1"/>
    <n v="71.5"/>
    <n v="71.5"/>
    <n v="12.107237178968759"/>
    <n v="1690.5043214152358"/>
    <n v="1"/>
    <n v="0"/>
    <n v="0"/>
    <n v="0"/>
    <n v="0"/>
    <n v="0"/>
    <n v="0"/>
    <n v="0"/>
    <n v="0"/>
    <n v="0"/>
  </r>
  <r>
    <d v="2019-08-29T00:00:00"/>
    <n v="2019"/>
    <x v="29"/>
    <s v="R"/>
    <s v="RS"/>
    <x v="8"/>
    <s v="ATL"/>
    <s v="A"/>
    <n v="1"/>
    <n v="3"/>
    <n v="-2"/>
    <n v="2"/>
    <n v="-16"/>
    <n v="16"/>
    <n v="1502.0594266013397"/>
    <n v="1364.0263591381115"/>
    <n v="0.53166569514992768"/>
    <n v="65"/>
    <n v="58"/>
    <n v="0"/>
    <n v="7"/>
    <n v="1"/>
    <n v="0.3319264805813848"/>
    <n v="1"/>
    <n v="71.5"/>
    <n v="71.5"/>
    <n v="11.114857864425593"/>
    <n v="1513.1742844657654"/>
    <n v="1"/>
    <n v="0"/>
    <n v="0"/>
    <n v="0"/>
    <n v="0"/>
    <n v="0"/>
    <n v="0"/>
    <n v="0"/>
    <n v="0"/>
    <n v="0"/>
  </r>
  <r>
    <d v="2019-08-29T00:00:00"/>
    <n v="2019"/>
    <x v="29"/>
    <s v="R"/>
    <s v="RS"/>
    <x v="1"/>
    <s v="PHX"/>
    <s v="H"/>
    <n v="3"/>
    <n v="1"/>
    <n v="2"/>
    <n v="-2"/>
    <n v="16"/>
    <n v="-16"/>
    <n v="1364.0263591381115"/>
    <n v="1502.0594266013397"/>
    <n v="0.46833430485007232"/>
    <n v="58"/>
    <n v="65"/>
    <n v="0"/>
    <n v="-7"/>
    <n v="0"/>
    <n v="0.3319264805813848"/>
    <n v="1"/>
    <n v="71.5"/>
    <n v="71.5"/>
    <n v="-11.114857864425593"/>
    <n v="1352.9115012736859"/>
    <n v="0"/>
    <n v="1"/>
    <n v="0"/>
    <n v="0"/>
    <n v="0"/>
    <n v="0"/>
    <n v="0"/>
    <n v="0"/>
    <n v="0"/>
    <n v="0"/>
  </r>
  <r>
    <d v="2019-08-29T00:00:00"/>
    <n v="2019"/>
    <x v="29"/>
    <s v="R"/>
    <s v="RS"/>
    <x v="0"/>
    <s v="CHI"/>
    <s v="A"/>
    <n v="3"/>
    <n v="1"/>
    <n v="2"/>
    <n v="-2"/>
    <n v="16"/>
    <n v="-16"/>
    <n v="1389.7196430229783"/>
    <n v="1542.6930675643166"/>
    <n v="0.23506624279679517"/>
    <n v="88"/>
    <n v="83"/>
    <n v="0"/>
    <n v="5"/>
    <n v="1"/>
    <n v="0.2942461125490744"/>
    <n v="1"/>
    <n v="71.5"/>
    <n v="71.5"/>
    <n v="16.093133085643942"/>
    <n v="1405.8127761086223"/>
    <n v="1"/>
    <n v="0"/>
    <n v="0"/>
    <n v="0"/>
    <n v="0"/>
    <n v="0"/>
    <n v="0"/>
    <n v="0"/>
    <n v="0"/>
    <n v="0"/>
  </r>
  <r>
    <d v="2019-08-29T00:00:00"/>
    <n v="2019"/>
    <x v="30"/>
    <s v="R"/>
    <s v="RS"/>
    <x v="6"/>
    <s v="DAL"/>
    <s v="H"/>
    <n v="1"/>
    <n v="3"/>
    <n v="-2"/>
    <n v="2"/>
    <n v="-16"/>
    <n v="16"/>
    <n v="1542.6930675643166"/>
    <n v="1389.7196430229783"/>
    <n v="0.76493375720320478"/>
    <n v="83"/>
    <n v="88"/>
    <n v="0"/>
    <n v="-5"/>
    <n v="0"/>
    <n v="0.2942461125490744"/>
    <n v="1"/>
    <n v="71.349999999999994"/>
    <n v="71.349999999999994"/>
    <n v="-16.059371267981746"/>
    <n v="1526.6336962963348"/>
    <n v="0"/>
    <n v="1"/>
    <n v="0"/>
    <n v="0"/>
    <n v="0"/>
    <n v="0"/>
    <n v="0"/>
    <n v="0"/>
    <n v="0"/>
    <n v="0"/>
  </r>
  <r>
    <d v="2019-08-29T00:00:00"/>
    <n v="2019"/>
    <x v="29"/>
    <s v="R"/>
    <s v="RS"/>
    <x v="10"/>
    <s v="IND"/>
    <s v="A"/>
    <n v="1"/>
    <n v="1"/>
    <n v="0"/>
    <n v="0"/>
    <n v="0"/>
    <n v="0"/>
    <n v="1572.2554570242094"/>
    <n v="1414.6707288333646"/>
    <n v="0.60434144630975561"/>
    <n v="87"/>
    <n v="83"/>
    <n v="0"/>
    <n v="4"/>
    <n v="1"/>
    <n v="0.27528247344287965"/>
    <n v="1"/>
    <n v="71.5"/>
    <n v="71.5"/>
    <n v="7.7876273688558246"/>
    <n v="1580.0430843930651"/>
    <n v="1"/>
    <n v="0"/>
    <n v="0"/>
    <n v="0"/>
    <n v="0"/>
    <n v="0"/>
    <n v="0"/>
    <n v="0"/>
    <n v="0"/>
    <n v="0"/>
  </r>
  <r>
    <d v="2019-08-29T00:00:00"/>
    <n v="2019"/>
    <x v="30"/>
    <s v="R"/>
    <s v="RS"/>
    <x v="2"/>
    <s v="LAS"/>
    <s v="H"/>
    <n v="1"/>
    <n v="1"/>
    <n v="0"/>
    <n v="0"/>
    <n v="0"/>
    <n v="0"/>
    <n v="1414.6707288333646"/>
    <n v="1572.2554570242094"/>
    <n v="0.39565855369024444"/>
    <n v="83"/>
    <n v="87"/>
    <n v="0"/>
    <n v="-4"/>
    <n v="0"/>
    <n v="0.27528247344287965"/>
    <n v="1"/>
    <n v="71.349999999999994"/>
    <n v="71.349999999999994"/>
    <n v="-7.7712896890610237"/>
    <n v="1406.8994391443036"/>
    <n v="0"/>
    <n v="1"/>
    <n v="0"/>
    <n v="0"/>
    <n v="0"/>
    <n v="0"/>
    <n v="0"/>
    <n v="0"/>
    <n v="0"/>
    <n v="0"/>
  </r>
  <r>
    <d v="2019-08-30T00:00:00"/>
    <n v="2019"/>
    <x v="30"/>
    <s v="R"/>
    <s v="RS"/>
    <x v="5"/>
    <s v="NYL"/>
    <s v="A"/>
    <n v="2"/>
    <n v="2"/>
    <n v="0"/>
    <n v="0"/>
    <n v="0"/>
    <n v="0"/>
    <n v="1611.3063798732185"/>
    <n v="1324.3349772805411"/>
    <n v="0.76285520067633483"/>
    <n v="94"/>
    <n v="84"/>
    <n v="0"/>
    <n v="10"/>
    <n v="1"/>
    <n v="0.3414696734001878"/>
    <n v="1"/>
    <n v="71.349999999999994"/>
    <n v="71.349999999999994"/>
    <n v="5.777762974336718"/>
    <n v="1617.0841428475551"/>
    <n v="1"/>
    <n v="0"/>
    <n v="0"/>
    <n v="0"/>
    <n v="0"/>
    <n v="0"/>
    <n v="0"/>
    <n v="0"/>
    <n v="0"/>
    <n v="0"/>
  </r>
  <r>
    <d v="2019-08-30T00:00:00"/>
    <n v="2019"/>
    <x v="30"/>
    <s v="R"/>
    <s v="RS"/>
    <x v="3"/>
    <s v="CON"/>
    <s v="H"/>
    <n v="2"/>
    <n v="2"/>
    <n v="0"/>
    <n v="0"/>
    <n v="0"/>
    <n v="0"/>
    <n v="1324.3349772805411"/>
    <n v="1611.3063798732185"/>
    <n v="0.23714479932366517"/>
    <n v="84"/>
    <n v="94"/>
    <n v="0"/>
    <n v="-10"/>
    <n v="0"/>
    <n v="0.3414696734001878"/>
    <n v="1"/>
    <n v="71.349999999999994"/>
    <n v="71.349999999999994"/>
    <n v="-5.777762974336718"/>
    <n v="1318.5572143062045"/>
    <n v="0"/>
    <n v="1"/>
    <n v="0"/>
    <n v="0"/>
    <n v="0"/>
    <n v="0"/>
    <n v="0"/>
    <n v="0"/>
    <n v="0"/>
    <n v="0"/>
  </r>
  <r>
    <d v="2019-08-31T00:00:00"/>
    <n v="2019"/>
    <x v="30"/>
    <s v="R"/>
    <s v="RS"/>
    <x v="4"/>
    <s v="DAL"/>
    <s v="A"/>
    <n v="3"/>
    <n v="1"/>
    <n v="2"/>
    <n v="-2"/>
    <n v="16"/>
    <n v="-16"/>
    <n v="1690.5043214152358"/>
    <n v="1405.8127761086223"/>
    <n v="0.79240444895902684"/>
    <n v="91"/>
    <n v="85"/>
    <n v="0"/>
    <n v="6"/>
    <n v="1"/>
    <n v="0.28392221579071203"/>
    <n v="1"/>
    <n v="71.349999999999994"/>
    <n v="71.349999999999994"/>
    <n v="4.20543955372308"/>
    <n v="1694.709760968959"/>
    <n v="1"/>
    <n v="0"/>
    <n v="0"/>
    <n v="0"/>
    <n v="0"/>
    <n v="0"/>
    <n v="0"/>
    <n v="0"/>
    <n v="0"/>
    <n v="0"/>
  </r>
  <r>
    <d v="2019-08-31T00:00:00"/>
    <n v="2019"/>
    <x v="30"/>
    <s v="R"/>
    <s v="RS"/>
    <x v="0"/>
    <s v="WAS"/>
    <s v="H"/>
    <n v="1"/>
    <n v="3"/>
    <n v="-2"/>
    <n v="2"/>
    <n v="-16"/>
    <n v="16"/>
    <n v="1405.8127761086223"/>
    <n v="1690.5043214152358"/>
    <n v="0.2075955510409731"/>
    <n v="85"/>
    <n v="91"/>
    <n v="0"/>
    <n v="-6"/>
    <n v="0"/>
    <n v="0.28392221579071203"/>
    <n v="1"/>
    <n v="71.349999999999994"/>
    <n v="71.349999999999994"/>
    <n v="-4.2054395537230782"/>
    <n v="1401.6073365548991"/>
    <n v="0"/>
    <n v="1"/>
    <n v="0"/>
    <n v="0"/>
    <n v="0"/>
    <n v="0"/>
    <n v="0"/>
    <n v="0"/>
    <n v="0"/>
    <n v="0"/>
  </r>
  <r>
    <d v="2019-08-31T00:00:00"/>
    <n v="2019"/>
    <x v="30"/>
    <s v="R"/>
    <s v="RS"/>
    <x v="10"/>
    <s v="LVA"/>
    <s v="A"/>
    <n v="1"/>
    <n v="3"/>
    <n v="-2"/>
    <n v="2"/>
    <n v="-16"/>
    <n v="16"/>
    <n v="1580.0430843930651"/>
    <n v="1535.888476003712"/>
    <n v="0.39805513729724201"/>
    <n v="86"/>
    <n v="92"/>
    <n v="0"/>
    <n v="-6"/>
    <n v="0"/>
    <n v="0.33881393073397814"/>
    <n v="1"/>
    <n v="71.349999999999994"/>
    <n v="71.349999999999994"/>
    <n v="-9.6227337448745516"/>
    <n v="1570.4203506481906"/>
    <n v="0"/>
    <n v="1"/>
    <n v="0"/>
    <n v="0"/>
    <n v="0"/>
    <n v="0"/>
    <n v="0"/>
    <n v="0"/>
    <n v="0"/>
    <n v="0"/>
  </r>
  <r>
    <d v="2019-08-31T00:00:00"/>
    <n v="2019"/>
    <x v="31"/>
    <s v="R"/>
    <s v="RS"/>
    <x v="11"/>
    <s v="LAS"/>
    <s v="H"/>
    <n v="3"/>
    <n v="1"/>
    <n v="2"/>
    <n v="-2"/>
    <n v="16"/>
    <n v="-16"/>
    <n v="1535.888476003712"/>
    <n v="1580.0430843930651"/>
    <n v="0.60194486270275804"/>
    <n v="92"/>
    <n v="86"/>
    <n v="0"/>
    <n v="6"/>
    <n v="1"/>
    <n v="0.33881393073397814"/>
    <n v="1"/>
    <n v="71.2"/>
    <n v="71.2"/>
    <n v="9.6025037510170712"/>
    <n v="1545.4909797547291"/>
    <n v="1"/>
    <n v="0"/>
    <n v="0"/>
    <n v="0"/>
    <n v="0"/>
    <n v="0"/>
    <n v="0"/>
    <n v="0"/>
    <n v="0"/>
    <n v="0"/>
  </r>
  <r>
    <d v="2019-09-01T00:00:00"/>
    <n v="2019"/>
    <x v="30"/>
    <s v="R"/>
    <s v="RS"/>
    <x v="8"/>
    <s v="CHI"/>
    <s v="A"/>
    <n v="2"/>
    <n v="2"/>
    <n v="0"/>
    <n v="0"/>
    <n v="0"/>
    <n v="0"/>
    <n v="1513.1742844657654"/>
    <n v="1526.6336962963348"/>
    <n v="0.36331114373587453"/>
    <n v="78"/>
    <n v="105"/>
    <n v="0"/>
    <n v="-27"/>
    <n v="0"/>
    <n v="0.65927215381119042"/>
    <n v="1"/>
    <n v="71.349999999999994"/>
    <n v="71.349999999999994"/>
    <n v="-17.089817658721369"/>
    <n v="1496.084466807044"/>
    <n v="0"/>
    <n v="1"/>
    <n v="0"/>
    <n v="0"/>
    <n v="0"/>
    <n v="0"/>
    <n v="0"/>
    <n v="0"/>
    <n v="0"/>
    <n v="0"/>
  </r>
  <r>
    <d v="2019-09-01T00:00:00"/>
    <n v="2019"/>
    <x v="31"/>
    <s v="R"/>
    <s v="RS"/>
    <x v="6"/>
    <s v="PHX"/>
    <s v="H"/>
    <n v="2"/>
    <n v="2"/>
    <n v="0"/>
    <n v="0"/>
    <n v="0"/>
    <n v="0"/>
    <n v="1526.6336962963348"/>
    <n v="1513.1742844657654"/>
    <n v="0.63668885626412552"/>
    <n v="105"/>
    <n v="78"/>
    <n v="0"/>
    <n v="27"/>
    <n v="1"/>
    <n v="0.65927215381119042"/>
    <n v="1"/>
    <n v="71.2"/>
    <n v="71.2"/>
    <n v="17.053889520686216"/>
    <n v="1543.687585817021"/>
    <n v="1"/>
    <n v="0"/>
    <n v="0"/>
    <n v="0"/>
    <n v="0"/>
    <n v="0"/>
    <n v="0"/>
    <n v="0"/>
    <n v="0"/>
    <n v="0"/>
  </r>
  <r>
    <d v="2019-09-01T00:00:00"/>
    <n v="2019"/>
    <x v="31"/>
    <s v="R"/>
    <s v="RS"/>
    <x v="2"/>
    <s v="MIN"/>
    <s v="A"/>
    <n v="2"/>
    <n v="4"/>
    <n v="-2"/>
    <n v="2"/>
    <n v="-16"/>
    <n v="16"/>
    <n v="1406.8994391443036"/>
    <n v="1541.4583722200284"/>
    <n v="0.19118430528455851"/>
    <n v="73"/>
    <n v="81"/>
    <n v="0"/>
    <n v="-8"/>
    <n v="0"/>
    <n v="0.34916303091215101"/>
    <n v="1"/>
    <n v="71.2"/>
    <n v="71.2"/>
    <n v="-4.7529197945145185"/>
    <n v="1402.1465193497891"/>
    <n v="0"/>
    <n v="1"/>
    <n v="0"/>
    <n v="0"/>
    <n v="0"/>
    <n v="0"/>
    <n v="0"/>
    <n v="0"/>
    <n v="0"/>
    <n v="0"/>
  </r>
  <r>
    <d v="2019-09-01T00:00:00"/>
    <n v="2019"/>
    <x v="31"/>
    <s v="R"/>
    <s v="RS"/>
    <x v="7"/>
    <s v="IND"/>
    <s v="H"/>
    <n v="4"/>
    <n v="2"/>
    <n v="2"/>
    <n v="-2"/>
    <n v="16"/>
    <n v="-16"/>
    <n v="1541.4583722200284"/>
    <n v="1406.8994391443036"/>
    <n v="0.80881569471544146"/>
    <n v="81"/>
    <n v="73"/>
    <n v="0"/>
    <n v="8"/>
    <n v="1"/>
    <n v="0.34916303091215101"/>
    <n v="1"/>
    <n v="71.2"/>
    <n v="71.2"/>
    <n v="4.7529197945145194"/>
    <n v="1546.211292014543"/>
    <n v="1"/>
    <n v="0"/>
    <n v="0"/>
    <n v="0"/>
    <n v="0"/>
    <n v="0"/>
    <n v="0"/>
    <n v="0"/>
    <n v="0"/>
    <n v="0"/>
  </r>
  <r>
    <d v="2019-09-01T00:00:00"/>
    <n v="2019"/>
    <x v="30"/>
    <s v="R"/>
    <s v="RS"/>
    <x v="1"/>
    <s v="SEA"/>
    <s v="A"/>
    <n v="2"/>
    <n v="4"/>
    <n v="-2"/>
    <n v="2"/>
    <n v="-16"/>
    <n v="16"/>
    <n v="1352.9115012736859"/>
    <n v="1511.5304436827107"/>
    <n v="0.17067744109865121"/>
    <n v="75"/>
    <n v="92"/>
    <n v="0"/>
    <n v="-17"/>
    <n v="0"/>
    <n v="0.47027938662880858"/>
    <n v="1"/>
    <n v="71.349999999999994"/>
    <n v="71.349999999999994"/>
    <n v="-5.726984972907565"/>
    <n v="1347.1845163007783"/>
    <n v="0"/>
    <n v="1"/>
    <n v="0"/>
    <n v="0"/>
    <n v="0"/>
    <n v="0"/>
    <n v="0"/>
    <n v="0"/>
    <n v="0"/>
    <n v="0"/>
  </r>
  <r>
    <d v="2019-09-01T00:00:00"/>
    <n v="2019"/>
    <x v="30"/>
    <s v="R"/>
    <s v="RS"/>
    <x v="9"/>
    <s v="ATL"/>
    <s v="H"/>
    <n v="4"/>
    <n v="2"/>
    <n v="2"/>
    <n v="-2"/>
    <n v="16"/>
    <n v="-16"/>
    <n v="1511.5304436827107"/>
    <n v="1352.9115012736859"/>
    <n v="0.82932255890134876"/>
    <n v="92"/>
    <n v="75"/>
    <n v="0"/>
    <n v="17"/>
    <n v="1"/>
    <n v="0.47027938662880858"/>
    <n v="1"/>
    <n v="71.349999999999994"/>
    <n v="71.349999999999994"/>
    <n v="5.7269849729075659"/>
    <n v="1517.2574286556182"/>
    <n v="1"/>
    <n v="0"/>
    <n v="0"/>
    <n v="0"/>
    <n v="0"/>
    <n v="0"/>
    <n v="0"/>
    <n v="0"/>
    <n v="0"/>
    <n v="0"/>
  </r>
  <r>
    <d v="2019-09-03T00:00:00"/>
    <n v="2019"/>
    <x v="31"/>
    <s v="R"/>
    <s v="RS"/>
    <x v="1"/>
    <s v="LAS"/>
    <s v="A"/>
    <n v="1"/>
    <n v="2"/>
    <n v="-1"/>
    <n v="1"/>
    <n v="-8"/>
    <n v="8"/>
    <n v="1347.1845163007783"/>
    <n v="1570.4203506481906"/>
    <n v="0.13462206062221055"/>
    <n v="60"/>
    <n v="70"/>
    <n v="0"/>
    <n v="-10"/>
    <n v="0"/>
    <n v="0.35676142136454769"/>
    <n v="1"/>
    <n v="71.2"/>
    <n v="71.2"/>
    <n v="-3.419590587855815"/>
    <n v="1343.7649257129226"/>
    <n v="0"/>
    <n v="1"/>
    <n v="0"/>
    <n v="0"/>
    <n v="0"/>
    <n v="0"/>
    <n v="0"/>
    <n v="0"/>
    <n v="0"/>
    <n v="0"/>
  </r>
  <r>
    <d v="2019-09-03T00:00:00"/>
    <n v="2019"/>
    <x v="31"/>
    <s v="R"/>
    <s v="RS"/>
    <x v="10"/>
    <s v="ATL"/>
    <s v="H"/>
    <n v="2"/>
    <n v="1"/>
    <n v="1"/>
    <n v="-1"/>
    <n v="8"/>
    <n v="-8"/>
    <n v="1570.4203506481906"/>
    <n v="1347.1845163007783"/>
    <n v="0.8653779393777894"/>
    <n v="70"/>
    <n v="60"/>
    <n v="0"/>
    <n v="10"/>
    <n v="1"/>
    <n v="0.35676142136454769"/>
    <n v="1"/>
    <n v="71.2"/>
    <n v="71.2"/>
    <n v="3.4195905878558164"/>
    <n v="1573.8399412360463"/>
    <n v="1"/>
    <n v="0"/>
    <n v="0"/>
    <n v="0"/>
    <n v="0"/>
    <n v="0"/>
    <n v="0"/>
    <n v="0"/>
    <n v="0"/>
    <n v="0"/>
  </r>
  <r>
    <d v="2019-09-03T00:00:00"/>
    <n v="2019"/>
    <x v="31"/>
    <s v="R"/>
    <s v="RS"/>
    <x v="4"/>
    <s v="NYL"/>
    <s v="A"/>
    <n v="2"/>
    <n v="3"/>
    <n v="-1"/>
    <n v="1"/>
    <n v="-8"/>
    <n v="8"/>
    <n v="1694.709760968959"/>
    <n v="1318.5572143062045"/>
    <n v="0.83056852147512183"/>
    <n v="93"/>
    <n v="77"/>
    <n v="0"/>
    <n v="16"/>
    <n v="1"/>
    <n v="0.39421516657868366"/>
    <n v="1"/>
    <n v="71.2"/>
    <n v="71.2"/>
    <n v="4.7556230473614542"/>
    <n v="1699.4653840163205"/>
    <n v="1"/>
    <n v="0"/>
    <n v="0"/>
    <n v="0"/>
    <n v="0"/>
    <n v="0"/>
    <n v="0"/>
    <n v="0"/>
    <n v="0"/>
    <n v="0"/>
  </r>
  <r>
    <d v="2019-09-03T00:00:00"/>
    <n v="2019"/>
    <x v="31"/>
    <s v="R"/>
    <s v="RS"/>
    <x v="3"/>
    <s v="WAS"/>
    <s v="H"/>
    <n v="3"/>
    <n v="2"/>
    <n v="1"/>
    <n v="-1"/>
    <n v="8"/>
    <n v="-8"/>
    <n v="1318.5572143062045"/>
    <n v="1694.709760968959"/>
    <n v="0.16943147852487817"/>
    <n v="77"/>
    <n v="93"/>
    <n v="0"/>
    <n v="-16"/>
    <n v="0"/>
    <n v="0.39421516657868366"/>
    <n v="1"/>
    <n v="71.2"/>
    <n v="71.2"/>
    <n v="-4.7556230473614542"/>
    <n v="1313.801591258843"/>
    <n v="0"/>
    <n v="1"/>
    <n v="0"/>
    <n v="0"/>
    <n v="0"/>
    <n v="0"/>
    <n v="0"/>
    <n v="0"/>
    <n v="0"/>
    <n v="0"/>
  </r>
  <r>
    <d v="2019-09-03T00:00:00"/>
    <n v="2019"/>
    <x v="31"/>
    <s v="R"/>
    <s v="RS"/>
    <x v="9"/>
    <s v="PHX"/>
    <s v="A"/>
    <n v="1"/>
    <n v="1"/>
    <n v="0"/>
    <n v="0"/>
    <n v="0"/>
    <n v="0"/>
    <n v="1517.2574286556182"/>
    <n v="1496.084466807044"/>
    <n v="0.41055742233149495"/>
    <n v="82"/>
    <n v="70"/>
    <n v="0"/>
    <n v="12"/>
    <n v="1"/>
    <n v="0.44822097179688541"/>
    <n v="1"/>
    <n v="71.2"/>
    <n v="71.2"/>
    <n v="18.811077378649937"/>
    <n v="1536.0685060342682"/>
    <n v="1"/>
    <n v="0"/>
    <n v="0"/>
    <n v="0"/>
    <n v="0"/>
    <n v="0"/>
    <n v="0"/>
    <n v="0"/>
    <n v="0"/>
    <n v="0"/>
  </r>
  <r>
    <d v="2019-09-03T00:00:00"/>
    <n v="2019"/>
    <x v="31"/>
    <s v="R"/>
    <s v="RS"/>
    <x v="8"/>
    <s v="SEA"/>
    <s v="H"/>
    <n v="1"/>
    <n v="1"/>
    <n v="0"/>
    <n v="0"/>
    <n v="0"/>
    <n v="0"/>
    <n v="1496.084466807044"/>
    <n v="1517.2574286556182"/>
    <n v="0.58944257766850505"/>
    <n v="70"/>
    <n v="82"/>
    <n v="0"/>
    <n v="-12"/>
    <n v="0"/>
    <n v="0.44822097179688541"/>
    <n v="1"/>
    <n v="71.2"/>
    <n v="71.2"/>
    <n v="-18.811077378649937"/>
    <n v="1477.273389428394"/>
    <n v="0"/>
    <n v="1"/>
    <n v="0"/>
    <n v="0"/>
    <n v="0"/>
    <n v="0"/>
    <n v="0"/>
    <n v="0"/>
    <n v="0"/>
    <n v="0"/>
  </r>
  <r>
    <d v="2019-09-04T00:00:00"/>
    <n v="2019"/>
    <x v="31"/>
    <s v="R"/>
    <s v="RS"/>
    <x v="0"/>
    <s v="CON"/>
    <s v="A"/>
    <n v="3"/>
    <n v="4"/>
    <n v="-1"/>
    <n v="1"/>
    <n v="-8"/>
    <n v="8"/>
    <n v="1401.6073365548991"/>
    <n v="1617.0841428475551"/>
    <n v="0.13991086615118992"/>
    <n v="72"/>
    <n v="102"/>
    <n v="0"/>
    <n v="-30"/>
    <n v="0"/>
    <n v="0.59640059644697008"/>
    <n v="1"/>
    <n v="71.2"/>
    <n v="71.2"/>
    <n v="-5.9411361903651088"/>
    <n v="1395.666200364534"/>
    <n v="0"/>
    <n v="1"/>
    <n v="0"/>
    <n v="0"/>
    <n v="0"/>
    <n v="0"/>
    <n v="0"/>
    <n v="0"/>
    <n v="0"/>
    <n v="0"/>
  </r>
  <r>
    <d v="2019-09-04T00:00:00"/>
    <n v="2019"/>
    <x v="31"/>
    <s v="R"/>
    <s v="RS"/>
    <x v="5"/>
    <s v="DAL"/>
    <s v="H"/>
    <n v="4"/>
    <n v="3"/>
    <n v="1"/>
    <n v="-1"/>
    <n v="8"/>
    <n v="-8"/>
    <n v="1617.0841428475551"/>
    <n v="1401.6073365548991"/>
    <n v="0.86008913384881014"/>
    <n v="102"/>
    <n v="72"/>
    <n v="0"/>
    <n v="30"/>
    <n v="1"/>
    <n v="0.59640059644697008"/>
    <n v="1"/>
    <n v="71.2"/>
    <n v="71.2"/>
    <n v="5.9411361903651061"/>
    <n v="1623.0252790379202"/>
    <n v="1"/>
    <n v="0"/>
    <n v="0"/>
    <n v="0"/>
    <n v="0"/>
    <n v="0"/>
    <n v="0"/>
    <n v="0"/>
    <n v="0"/>
    <n v="0"/>
  </r>
  <r>
    <d v="2019-09-05T00:00:00"/>
    <n v="2019"/>
    <x v="32"/>
    <s v="R"/>
    <s v="RS"/>
    <x v="11"/>
    <s v="ATL"/>
    <s v="A"/>
    <n v="4"/>
    <n v="1"/>
    <n v="3"/>
    <n v="-3"/>
    <n v="16"/>
    <n v="-16"/>
    <n v="1545.4909797547291"/>
    <n v="1343.7649257129226"/>
    <n v="0.70305588972141086"/>
    <n v="74"/>
    <n v="78"/>
    <n v="0"/>
    <n v="-4"/>
    <n v="0"/>
    <n v="0.2666136373844622"/>
    <n v="1"/>
    <n v="71.05"/>
    <n v="71.05"/>
    <n v="-13.317916665468982"/>
    <n v="1532.17306308926"/>
    <n v="0"/>
    <n v="1"/>
    <n v="0"/>
    <n v="0"/>
    <n v="0"/>
    <n v="0"/>
    <n v="0"/>
    <n v="0"/>
    <n v="0"/>
    <n v="0"/>
  </r>
  <r>
    <d v="2019-09-05T00:00:00"/>
    <n v="2019"/>
    <x v="32"/>
    <s v="R"/>
    <s v="RS"/>
    <x v="1"/>
    <s v="LVA"/>
    <s v="H"/>
    <n v="1"/>
    <n v="4"/>
    <n v="-3"/>
    <n v="3"/>
    <n v="-16"/>
    <n v="16"/>
    <n v="1343.7649257129226"/>
    <n v="1545.4909797547291"/>
    <n v="0.29694411027858902"/>
    <n v="78"/>
    <n v="74"/>
    <n v="0"/>
    <n v="4"/>
    <n v="1"/>
    <n v="0.2666136373844622"/>
    <n v="1"/>
    <n v="71.05"/>
    <n v="71.05"/>
    <n v="13.317916665468983"/>
    <n v="1357.0828423783917"/>
    <n v="1"/>
    <n v="0"/>
    <n v="0"/>
    <n v="0"/>
    <n v="0"/>
    <n v="0"/>
    <n v="0"/>
    <n v="0"/>
    <n v="0"/>
    <n v="0"/>
  </r>
  <r>
    <d v="2019-09-05T00:00:00"/>
    <n v="2019"/>
    <x v="32"/>
    <s v="R"/>
    <s v="RS"/>
    <x v="9"/>
    <s v="LAS"/>
    <s v="A"/>
    <n v="1"/>
    <n v="1"/>
    <n v="0"/>
    <n v="0"/>
    <n v="0"/>
    <n v="0"/>
    <n v="1536.0685060342682"/>
    <n v="1573.8399412360463"/>
    <n v="0.3315965966689905"/>
    <n v="68"/>
    <n v="102"/>
    <n v="0"/>
    <n v="-34"/>
    <n v="0"/>
    <n v="0.72777696949857995"/>
    <n v="1"/>
    <n v="71.05"/>
    <n v="71.05"/>
    <n v="-17.146380419916849"/>
    <n v="1518.9221256143514"/>
    <n v="0"/>
    <n v="1"/>
    <n v="0"/>
    <n v="0"/>
    <n v="0"/>
    <n v="0"/>
    <n v="0"/>
    <n v="0"/>
    <n v="0"/>
    <n v="0"/>
  </r>
  <r>
    <d v="2019-09-05T00:00:00"/>
    <n v="2019"/>
    <x v="32"/>
    <s v="R"/>
    <s v="RS"/>
    <x v="10"/>
    <s v="SEA"/>
    <s v="H"/>
    <n v="1"/>
    <n v="1"/>
    <n v="0"/>
    <n v="0"/>
    <n v="0"/>
    <n v="0"/>
    <n v="1573.8399412360463"/>
    <n v="1536.0685060342682"/>
    <n v="0.66840340333100956"/>
    <n v="102"/>
    <n v="68"/>
    <n v="0"/>
    <n v="34"/>
    <n v="1"/>
    <n v="0.72777696949857995"/>
    <n v="1"/>
    <n v="71.05"/>
    <n v="71.05"/>
    <n v="17.146380419916845"/>
    <n v="1590.9863216559631"/>
    <n v="1"/>
    <n v="0"/>
    <n v="0"/>
    <n v="0"/>
    <n v="0"/>
    <n v="0"/>
    <n v="0"/>
    <n v="0"/>
    <n v="0"/>
    <n v="0"/>
  </r>
  <r>
    <d v="2019-09-06T00:00:00"/>
    <n v="2019"/>
    <x v="32"/>
    <s v="R"/>
    <s v="RS"/>
    <x v="6"/>
    <s v="CON"/>
    <s v="A"/>
    <n v="4"/>
    <n v="1"/>
    <n v="3"/>
    <n v="-3"/>
    <n v="16"/>
    <n v="-16"/>
    <n v="1543.687585817021"/>
    <n v="1623.0252790379202"/>
    <n v="0.3195065252101989"/>
    <n v="109"/>
    <n v="104"/>
    <n v="1"/>
    <n v="5"/>
    <n v="1"/>
    <n v="0.28006401702750555"/>
    <n v="1"/>
    <n v="71.05"/>
    <n v="71.05"/>
    <n v="13.540832350660779"/>
    <n v="1557.2284181676819"/>
    <n v="1"/>
    <n v="0"/>
    <n v="0"/>
    <n v="0"/>
    <n v="0"/>
    <n v="0"/>
    <n v="0"/>
    <n v="0"/>
    <n v="0"/>
    <n v="0"/>
  </r>
  <r>
    <d v="2019-09-06T00:00:00"/>
    <n v="2019"/>
    <x v="32"/>
    <s v="R"/>
    <s v="RS"/>
    <x v="5"/>
    <s v="CHI"/>
    <s v="H"/>
    <n v="1"/>
    <n v="4"/>
    <n v="-3"/>
    <n v="3"/>
    <n v="-16"/>
    <n v="16"/>
    <n v="1623.0252790379202"/>
    <n v="1543.687585817021"/>
    <n v="0.68049347478980116"/>
    <n v="104"/>
    <n v="109"/>
    <n v="1"/>
    <n v="-5"/>
    <n v="0"/>
    <n v="0.28006401702750555"/>
    <n v="1"/>
    <n v="71.05"/>
    <n v="71.05"/>
    <n v="-13.54083235066078"/>
    <n v="1609.4844466872594"/>
    <n v="0"/>
    <n v="1"/>
    <n v="0"/>
    <n v="0"/>
    <n v="0"/>
    <n v="0"/>
    <n v="0"/>
    <n v="0"/>
    <n v="0"/>
    <n v="0"/>
  </r>
  <r>
    <d v="2019-09-06T00:00:00"/>
    <n v="2019"/>
    <x v="32"/>
    <s v="R"/>
    <s v="RS"/>
    <x v="2"/>
    <s v="NYL"/>
    <s v="A"/>
    <n v="4"/>
    <n v="2"/>
    <n v="2"/>
    <n v="-2"/>
    <n v="16"/>
    <n v="-16"/>
    <n v="1402.1465193497891"/>
    <n v="1313.801591258843"/>
    <n v="0.55211459672733887"/>
    <n v="86"/>
    <n v="81"/>
    <n v="0"/>
    <n v="5"/>
    <n v="1"/>
    <n v="0.30900666574083363"/>
    <n v="1"/>
    <n v="71.05"/>
    <n v="71.05"/>
    <n v="9.8332898108033948"/>
    <n v="1411.9798091605924"/>
    <n v="1"/>
    <n v="0"/>
    <n v="0"/>
    <n v="0"/>
    <n v="0"/>
    <n v="0"/>
    <n v="0"/>
    <n v="0"/>
    <n v="0"/>
    <n v="0"/>
  </r>
  <r>
    <d v="2019-09-06T00:00:00"/>
    <n v="2019"/>
    <x v="32"/>
    <s v="R"/>
    <s v="RS"/>
    <x v="3"/>
    <s v="IND"/>
    <s v="H"/>
    <n v="2"/>
    <n v="4"/>
    <n v="-2"/>
    <n v="2"/>
    <n v="-16"/>
    <n v="16"/>
    <n v="1313.801591258843"/>
    <n v="1402.1465193497891"/>
    <n v="0.44788540327266119"/>
    <n v="81"/>
    <n v="86"/>
    <n v="0"/>
    <n v="-5"/>
    <n v="0"/>
    <n v="0.30900666574083363"/>
    <n v="1"/>
    <n v="71.05"/>
    <n v="71.05"/>
    <n v="-9.8332898108033948"/>
    <n v="1303.9683014480397"/>
    <n v="0"/>
    <n v="1"/>
    <n v="0"/>
    <n v="0"/>
    <n v="0"/>
    <n v="0"/>
    <n v="0"/>
    <n v="0"/>
    <n v="0"/>
    <n v="0"/>
  </r>
  <r>
    <d v="2019-09-06T00:00:00"/>
    <n v="2019"/>
    <x v="32"/>
    <s v="R"/>
    <s v="RS"/>
    <x v="7"/>
    <s v="PHX"/>
    <s v="A"/>
    <n v="4"/>
    <n v="2"/>
    <n v="2"/>
    <n v="-2"/>
    <n v="16"/>
    <n v="-16"/>
    <n v="1546.211292014543"/>
    <n v="1477.273389428394"/>
    <n v="0.5243563085924301"/>
    <n v="83"/>
    <n v="69"/>
    <n v="0"/>
    <n v="14"/>
    <n v="1"/>
    <n v="0.46111769775999478"/>
    <n v="1"/>
    <n v="71.05"/>
    <n v="71.05"/>
    <n v="15.583234785647402"/>
    <n v="1561.7945268001904"/>
    <n v="1"/>
    <n v="0"/>
    <n v="0"/>
    <n v="0"/>
    <n v="0"/>
    <n v="0"/>
    <n v="0"/>
    <n v="0"/>
    <n v="0"/>
    <n v="0"/>
  </r>
  <r>
    <d v="2019-09-06T00:00:00"/>
    <n v="2019"/>
    <x v="32"/>
    <s v="R"/>
    <s v="RS"/>
    <x v="8"/>
    <s v="MIN"/>
    <s v="H"/>
    <n v="2"/>
    <n v="4"/>
    <n v="-2"/>
    <n v="2"/>
    <n v="-16"/>
    <n v="16"/>
    <n v="1477.273389428394"/>
    <n v="1546.211292014543"/>
    <n v="0.4756436914075699"/>
    <n v="69"/>
    <n v="83"/>
    <n v="0"/>
    <n v="-14"/>
    <n v="0"/>
    <n v="0.46111769775999478"/>
    <n v="1"/>
    <n v="71.05"/>
    <n v="71.05"/>
    <n v="-15.583234785647402"/>
    <n v="1461.6901546427466"/>
    <n v="0"/>
    <n v="1"/>
    <n v="0"/>
    <n v="0"/>
    <n v="0"/>
    <n v="0"/>
    <n v="0"/>
    <n v="0"/>
    <n v="0"/>
    <n v="0"/>
  </r>
  <r>
    <d v="2019-09-06T00:00:00"/>
    <n v="2019"/>
    <x v="32"/>
    <s v="R"/>
    <s v="RS"/>
    <x v="0"/>
    <s v="WAS"/>
    <s v="A"/>
    <n v="1"/>
    <n v="2"/>
    <n v="-1"/>
    <n v="1"/>
    <n v="-8"/>
    <n v="8"/>
    <n v="1395.666200364534"/>
    <n v="1699.4653840163205"/>
    <n v="8.9117762520306509E-2"/>
    <n v="73"/>
    <n v="86"/>
    <n v="0"/>
    <n v="-13"/>
    <n v="0"/>
    <n v="0.37668095111036215"/>
    <n v="1"/>
    <n v="71.05"/>
    <n v="71.05"/>
    <n v="-2.3850748600126761"/>
    <n v="1393.2811255045212"/>
    <n v="0"/>
    <n v="1"/>
    <n v="0"/>
    <n v="0"/>
    <n v="0"/>
    <n v="0"/>
    <n v="0"/>
    <n v="0"/>
    <n v="0"/>
    <n v="0"/>
  </r>
  <r>
    <d v="2019-09-06T00:00:00"/>
    <n v="2019"/>
    <x v="32"/>
    <s v="R"/>
    <s v="RS"/>
    <x v="4"/>
    <s v="DAL"/>
    <s v="H"/>
    <n v="2"/>
    <n v="1"/>
    <n v="1"/>
    <n v="-1"/>
    <n v="8"/>
    <n v="-8"/>
    <n v="1699.4653840163205"/>
    <n v="1395.666200364534"/>
    <n v="0.91088223747969344"/>
    <n v="86"/>
    <n v="73"/>
    <n v="0"/>
    <n v="13"/>
    <n v="1"/>
    <n v="0.37668095111036215"/>
    <n v="1"/>
    <n v="71.05"/>
    <n v="71.05"/>
    <n v="2.3850748600126774"/>
    <n v="1701.8504588763333"/>
    <n v="1"/>
    <n v="0"/>
    <n v="0"/>
    <n v="0"/>
    <n v="0"/>
    <n v="0"/>
    <n v="0"/>
    <n v="0"/>
    <n v="0"/>
    <n v="0"/>
  </r>
  <r>
    <d v="2019-09-08T00:00:00"/>
    <n v="2019"/>
    <x v="33"/>
    <s v="R"/>
    <s v="RS"/>
    <x v="3"/>
    <s v="ATL"/>
    <s v="A"/>
    <n v="1"/>
    <n v="2"/>
    <n v="-1"/>
    <n v="1"/>
    <n v="-8"/>
    <n v="8"/>
    <n v="1303.9683014480397"/>
    <n v="1357.0828423783917"/>
    <n v="0.29288813195555502"/>
    <n v="71"/>
    <n v="63"/>
    <n v="0"/>
    <n v="8"/>
    <n v="1"/>
    <n v="0.37185638406019078"/>
    <n v="1"/>
    <n v="70.900000000000006"/>
    <n v="70.900000000000006"/>
    <n v="18.642734022533137"/>
    <n v="1322.6110354705729"/>
    <n v="1"/>
    <n v="0"/>
    <n v="0"/>
    <n v="0"/>
    <n v="0"/>
    <n v="0"/>
    <n v="0"/>
    <n v="0"/>
    <n v="0"/>
    <n v="0"/>
  </r>
  <r>
    <d v="2019-09-08T00:00:00"/>
    <n v="2019"/>
    <x v="33"/>
    <s v="R"/>
    <s v="RS"/>
    <x v="1"/>
    <s v="NYL"/>
    <s v="H"/>
    <n v="2"/>
    <n v="1"/>
    <n v="1"/>
    <n v="-1"/>
    <n v="8"/>
    <n v="-8"/>
    <n v="1357.0828423783917"/>
    <n v="1303.9683014480397"/>
    <n v="0.70711186804444492"/>
    <n v="63"/>
    <n v="71"/>
    <n v="0"/>
    <n v="-8"/>
    <n v="0"/>
    <n v="0.37185638406019078"/>
    <n v="1"/>
    <n v="70.900000000000006"/>
    <n v="70.900000000000006"/>
    <n v="-18.642734022533133"/>
    <n v="1338.4401083558585"/>
    <n v="0"/>
    <n v="1"/>
    <n v="0"/>
    <n v="0"/>
    <n v="0"/>
    <n v="0"/>
    <n v="0"/>
    <n v="0"/>
    <n v="0"/>
    <n v="0"/>
  </r>
  <r>
    <d v="2019-09-08T00:00:00"/>
    <n v="2019"/>
    <x v="33"/>
    <s v="R"/>
    <s v="RS"/>
    <x v="9"/>
    <s v="DAL"/>
    <s v="A"/>
    <n v="2"/>
    <n v="1"/>
    <n v="1"/>
    <n v="-1"/>
    <n v="8"/>
    <n v="-8"/>
    <n v="1518.9221256143514"/>
    <n v="1393.2811255045212"/>
    <n v="0.58219929138540127"/>
    <n v="78"/>
    <n v="64"/>
    <n v="0"/>
    <n v="14"/>
    <n v="1"/>
    <n v="0.44139380435007902"/>
    <n v="1"/>
    <n v="70.900000000000006"/>
    <n v="70.900000000000006"/>
    <n v="13.074998276300962"/>
    <n v="1531.9971238906523"/>
    <n v="1"/>
    <n v="0"/>
    <n v="0"/>
    <n v="0"/>
    <n v="0"/>
    <n v="0"/>
    <n v="0"/>
    <n v="0"/>
    <n v="0"/>
    <n v="0"/>
  </r>
  <r>
    <d v="2019-09-08T00:00:00"/>
    <n v="2019"/>
    <x v="33"/>
    <s v="R"/>
    <s v="RS"/>
    <x v="0"/>
    <s v="SEA"/>
    <s v="H"/>
    <n v="1"/>
    <n v="2"/>
    <n v="-1"/>
    <n v="1"/>
    <n v="-8"/>
    <n v="8"/>
    <n v="1393.2811255045212"/>
    <n v="1518.9221256143514"/>
    <n v="0.41780070861459873"/>
    <n v="64"/>
    <n v="78"/>
    <n v="0"/>
    <n v="-14"/>
    <n v="0"/>
    <n v="0.44139380435007902"/>
    <n v="1"/>
    <n v="70.900000000000006"/>
    <n v="70.900000000000006"/>
    <n v="-13.074998276300962"/>
    <n v="1380.2061272282203"/>
    <n v="0"/>
    <n v="1"/>
    <n v="0"/>
    <n v="0"/>
    <n v="0"/>
    <n v="0"/>
    <n v="0"/>
    <n v="0"/>
    <n v="0"/>
    <n v="0"/>
  </r>
  <r>
    <d v="2019-09-08T00:00:00"/>
    <n v="2019"/>
    <x v="33"/>
    <s v="R"/>
    <s v="RS"/>
    <x v="5"/>
    <s v="IND"/>
    <s v="A"/>
    <n v="1"/>
    <n v="1"/>
    <n v="0"/>
    <n v="0"/>
    <n v="0"/>
    <n v="0"/>
    <n v="1609.4844466872594"/>
    <n v="1411.9798091605924"/>
    <n v="0.65777290735860705"/>
    <n v="76"/>
    <n v="104"/>
    <n v="0"/>
    <n v="-28"/>
    <n v="0"/>
    <n v="0.58311619883245858"/>
    <n v="1"/>
    <n v="70.900000000000006"/>
    <n v="70.900000000000006"/>
    <n v="-27.194264854065349"/>
    <n v="1582.2901818331941"/>
    <n v="0"/>
    <n v="1"/>
    <n v="0"/>
    <n v="0"/>
    <n v="0"/>
    <n v="0"/>
    <n v="0"/>
    <n v="0"/>
    <n v="0"/>
    <n v="0"/>
  </r>
  <r>
    <d v="2019-09-08T00:00:00"/>
    <n v="2019"/>
    <x v="33"/>
    <s v="R"/>
    <s v="RS"/>
    <x v="2"/>
    <s v="CON"/>
    <s v="H"/>
    <n v="1"/>
    <n v="1"/>
    <n v="0"/>
    <n v="0"/>
    <n v="0"/>
    <n v="0"/>
    <n v="1411.9798091605924"/>
    <n v="1609.4844466872594"/>
    <n v="0.34222709264139295"/>
    <n v="104"/>
    <n v="76"/>
    <n v="0"/>
    <n v="28"/>
    <n v="1"/>
    <n v="0.58311619883245858"/>
    <n v="1"/>
    <n v="70.900000000000006"/>
    <n v="70.900000000000006"/>
    <n v="27.194264854065349"/>
    <n v="1439.1740740146577"/>
    <n v="1"/>
    <n v="0"/>
    <n v="0"/>
    <n v="0"/>
    <n v="0"/>
    <n v="0"/>
    <n v="0"/>
    <n v="0"/>
    <n v="0"/>
    <n v="0"/>
  </r>
  <r>
    <d v="2019-09-08T00:00:00"/>
    <n v="2019"/>
    <x v="33"/>
    <s v="R"/>
    <s v="RS"/>
    <x v="7"/>
    <s v="LAS"/>
    <s v="A"/>
    <n v="1"/>
    <n v="2"/>
    <n v="-1"/>
    <n v="1"/>
    <n v="-8"/>
    <n v="8"/>
    <n v="1561.7945268001904"/>
    <n v="1590.9863216559631"/>
    <n v="0.32219826076711156"/>
    <n v="68"/>
    <n v="77"/>
    <n v="0"/>
    <n v="-9"/>
    <n v="0"/>
    <n v="0.3963302021828522"/>
    <n v="1"/>
    <n v="70.900000000000006"/>
    <n v="70.900000000000006"/>
    <n v="-9.0537103399450007"/>
    <n v="1552.7408164602455"/>
    <n v="0"/>
    <n v="1"/>
    <n v="0"/>
    <n v="0"/>
    <n v="0"/>
    <n v="0"/>
    <n v="0"/>
    <n v="0"/>
    <n v="0"/>
    <n v="0"/>
  </r>
  <r>
    <d v="2019-09-08T00:00:00"/>
    <n v="2019"/>
    <x v="33"/>
    <s v="R"/>
    <s v="RS"/>
    <x v="10"/>
    <s v="MIN"/>
    <s v="H"/>
    <n v="2"/>
    <n v="1"/>
    <n v="1"/>
    <n v="-1"/>
    <n v="8"/>
    <n v="-8"/>
    <n v="1590.9863216559631"/>
    <n v="1561.7945268001904"/>
    <n v="0.67780173923288844"/>
    <n v="77"/>
    <n v="68"/>
    <n v="0"/>
    <n v="9"/>
    <n v="1"/>
    <n v="0.3963302021828522"/>
    <n v="1"/>
    <n v="70.900000000000006"/>
    <n v="70.900000000000006"/>
    <n v="9.0537103399450007"/>
    <n v="1600.0400319959081"/>
    <n v="1"/>
    <n v="0"/>
    <n v="0"/>
    <n v="0"/>
    <n v="0"/>
    <n v="0"/>
    <n v="0"/>
    <n v="0"/>
    <n v="0"/>
    <n v="0"/>
  </r>
  <r>
    <d v="2019-09-08T00:00:00"/>
    <n v="2019"/>
    <x v="33"/>
    <s v="R"/>
    <s v="RS"/>
    <x v="11"/>
    <s v="PHX"/>
    <s v="A"/>
    <n v="2"/>
    <n v="1"/>
    <n v="1"/>
    <n v="-1"/>
    <n v="8"/>
    <n v="-8"/>
    <n v="1532.17306308926"/>
    <n v="1461.6901546427466"/>
    <n v="0.50357313165775308"/>
    <n v="98"/>
    <n v="89"/>
    <n v="0"/>
    <n v="9"/>
    <n v="1"/>
    <n v="0.38344933988319041"/>
    <n v="1"/>
    <n v="70.900000000000006"/>
    <n v="70.900000000000006"/>
    <n v="13.496137947097488"/>
    <n v="1545.6692010363574"/>
    <n v="1"/>
    <n v="0"/>
    <n v="0"/>
    <n v="0"/>
    <n v="0"/>
    <n v="0"/>
    <n v="0"/>
    <n v="0"/>
    <n v="0"/>
    <n v="0"/>
  </r>
  <r>
    <d v="2019-09-08T00:00:00"/>
    <n v="2019"/>
    <x v="33"/>
    <s v="R"/>
    <s v="RS"/>
    <x v="8"/>
    <s v="LVA"/>
    <s v="H"/>
    <n v="1"/>
    <n v="2"/>
    <n v="-1"/>
    <n v="1"/>
    <n v="-8"/>
    <n v="8"/>
    <n v="1461.6901546427466"/>
    <n v="1532.17306308926"/>
    <n v="0.49642686834224692"/>
    <n v="89"/>
    <n v="98"/>
    <n v="0"/>
    <n v="-9"/>
    <n v="0"/>
    <n v="0.38344933988319041"/>
    <n v="1"/>
    <n v="70.900000000000006"/>
    <n v="70.900000000000006"/>
    <n v="-13.496137947097488"/>
    <n v="1448.1940166956492"/>
    <n v="0"/>
    <n v="1"/>
    <n v="0"/>
    <n v="0"/>
    <n v="0"/>
    <n v="0"/>
    <n v="0"/>
    <n v="0"/>
    <n v="0"/>
    <n v="0"/>
  </r>
  <r>
    <d v="2019-09-08T00:00:00"/>
    <n v="2019"/>
    <x v="33"/>
    <s v="R"/>
    <s v="RS"/>
    <x v="6"/>
    <s v="WAS"/>
    <s v="A"/>
    <n v="1"/>
    <n v="1"/>
    <n v="0"/>
    <n v="0"/>
    <n v="0"/>
    <n v="0"/>
    <n v="1557.2284181676819"/>
    <n v="1701.8504588763333"/>
    <n v="0.21147551131897255"/>
    <n v="86"/>
    <n v="100"/>
    <n v="0"/>
    <n v="-14"/>
    <n v="0"/>
    <n v="0.43516297258710906"/>
    <n v="1"/>
    <n v="70.900000000000006"/>
    <n v="70.900000000000006"/>
    <n v="-6.5246655303674546"/>
    <n v="1550.7037526373144"/>
    <n v="0"/>
    <n v="1"/>
    <n v="0"/>
    <n v="0"/>
    <n v="0"/>
    <n v="0"/>
    <n v="0"/>
    <n v="0"/>
    <n v="0"/>
    <n v="0"/>
  </r>
  <r>
    <d v="2019-09-08T00:00:00"/>
    <n v="2019"/>
    <x v="33"/>
    <s v="R"/>
    <s v="RS"/>
    <x v="4"/>
    <s v="CHI"/>
    <s v="H"/>
    <n v="1"/>
    <n v="1"/>
    <n v="0"/>
    <n v="0"/>
    <n v="0"/>
    <n v="0"/>
    <n v="1701.8504588763333"/>
    <n v="1557.2284181676819"/>
    <n v="0.78852448868102754"/>
    <n v="100"/>
    <n v="86"/>
    <n v="0"/>
    <n v="14"/>
    <n v="1"/>
    <n v="0.43516297258710906"/>
    <n v="1"/>
    <n v="70.900000000000006"/>
    <n v="70.900000000000006"/>
    <n v="6.5246655303674519"/>
    <n v="1708.3751244067007"/>
    <n v="1"/>
    <n v="0"/>
    <n v="0"/>
    <n v="0"/>
    <n v="0"/>
    <n v="0"/>
    <n v="0"/>
    <n v="0"/>
    <n v="0"/>
    <n v="0"/>
  </r>
  <r>
    <d v="2019-09-11T00:00:00"/>
    <n v="2019"/>
    <x v="34"/>
    <s v="P"/>
    <n v="0.5"/>
    <x v="8"/>
    <s v="CHI"/>
    <s v="A"/>
    <n v="2"/>
    <n v="2"/>
    <n v="0"/>
    <n v="0"/>
    <n v="0"/>
    <n v="0"/>
    <n v="1448.1940166956492"/>
    <n v="1550.7037526373144"/>
    <n v="0.25471216734566487"/>
    <n v="76"/>
    <n v="105"/>
    <n v="0"/>
    <n v="-29"/>
    <n v="0"/>
    <n v="0.636951510702785"/>
    <n v="1.05"/>
    <n v="70.75"/>
    <n v="74.287500000000009"/>
    <n v="-12.052351982793182"/>
    <n v="1436.141664712856"/>
    <n v="0"/>
    <n v="0"/>
    <n v="0"/>
    <n v="0"/>
    <n v="0"/>
    <n v="0"/>
    <n v="0"/>
    <n v="0"/>
    <n v="0"/>
    <n v="0"/>
  </r>
  <r>
    <d v="2019-09-11T00:00:00"/>
    <n v="2019"/>
    <x v="34"/>
    <s v="P"/>
    <n v="0.5"/>
    <x v="6"/>
    <s v="PHX"/>
    <s v="H"/>
    <n v="2"/>
    <n v="2"/>
    <n v="0"/>
    <n v="0"/>
    <n v="0"/>
    <n v="0"/>
    <n v="1550.7037526373144"/>
    <n v="1448.1940166956492"/>
    <n v="0.74528783265433507"/>
    <n v="105"/>
    <n v="76"/>
    <n v="0"/>
    <n v="29"/>
    <n v="1"/>
    <n v="0.636951510702785"/>
    <n v="1.05"/>
    <n v="70.75"/>
    <n v="74.287500000000009"/>
    <n v="12.052351982793185"/>
    <n v="1562.7561046201076"/>
    <n v="0"/>
    <n v="0"/>
    <n v="0"/>
    <n v="0"/>
    <n v="0"/>
    <n v="0"/>
    <n v="0"/>
    <n v="0"/>
    <n v="0"/>
    <n v="0"/>
  </r>
  <r>
    <d v="2019-09-11T00:00:00"/>
    <n v="2019"/>
    <x v="34"/>
    <s v="P"/>
    <n v="0.5"/>
    <x v="7"/>
    <s v="SEA"/>
    <s v="A"/>
    <n v="2"/>
    <n v="2"/>
    <n v="0"/>
    <n v="0"/>
    <n v="0"/>
    <n v="0"/>
    <n v="1552.7408164602455"/>
    <n v="1531.9971238906523"/>
    <n v="0.40995955514246091"/>
    <n v="74"/>
    <n v="84"/>
    <n v="0"/>
    <n v="-10"/>
    <n v="0"/>
    <n v="0.41593959673053499"/>
    <n v="1.05"/>
    <n v="70.75"/>
    <n v="74.287500000000009"/>
    <n v="-12.667386534554083"/>
    <n v="1540.0734299256915"/>
    <n v="0"/>
    <n v="0"/>
    <n v="0"/>
    <n v="0"/>
    <n v="0"/>
    <n v="0"/>
    <n v="0"/>
    <n v="0"/>
    <n v="0"/>
    <n v="0"/>
  </r>
  <r>
    <d v="2019-09-11T00:00:00"/>
    <n v="2019"/>
    <x v="34"/>
    <s v="P"/>
    <n v="0.5"/>
    <x v="9"/>
    <s v="MIN"/>
    <s v="H"/>
    <n v="2"/>
    <n v="2"/>
    <n v="0"/>
    <n v="0"/>
    <n v="0"/>
    <n v="0"/>
    <n v="1531.9971238906523"/>
    <n v="1552.7408164602455"/>
    <n v="0.59004044485753904"/>
    <n v="84"/>
    <n v="74"/>
    <n v="0"/>
    <n v="10"/>
    <n v="1"/>
    <n v="0.41593959673053499"/>
    <n v="1.05"/>
    <n v="70.75"/>
    <n v="74.287500000000009"/>
    <n v="12.667386534554085"/>
    <n v="1544.6645104252063"/>
    <n v="0"/>
    <n v="0"/>
    <n v="0"/>
    <n v="0"/>
    <n v="0"/>
    <n v="0"/>
    <n v="0"/>
    <n v="0"/>
    <n v="0"/>
    <n v="0"/>
  </r>
  <r>
    <d v="2019-09-15T00:00:00"/>
    <n v="2019"/>
    <x v="35"/>
    <s v="P"/>
    <n v="1"/>
    <x v="9"/>
    <s v="LAS"/>
    <s v="A"/>
    <n v="3"/>
    <n v="6"/>
    <n v="-3"/>
    <n v="3"/>
    <n v="-16"/>
    <n v="16"/>
    <n v="1544.6645104252063"/>
    <n v="1600.0400319959081"/>
    <n v="0.27160062297537252"/>
    <n v="69"/>
    <n v="92"/>
    <n v="0"/>
    <n v="-23"/>
    <n v="0"/>
    <n v="0.58819477549669241"/>
    <n v="1.1000000000000001"/>
    <n v="70.599999999999994"/>
    <n v="77.66"/>
    <n v="-12.406500878614402"/>
    <n v="1532.2580095465919"/>
    <n v="0"/>
    <n v="0"/>
    <n v="0"/>
    <n v="1"/>
    <n v="0"/>
    <n v="0"/>
    <n v="0"/>
    <n v="0"/>
    <n v="0"/>
    <n v="0"/>
  </r>
  <r>
    <d v="2019-09-15T00:00:00"/>
    <n v="2019"/>
    <x v="34"/>
    <s v="P"/>
    <n v="1"/>
    <x v="10"/>
    <s v="SEA"/>
    <s v="H"/>
    <n v="6"/>
    <n v="3"/>
    <n v="3"/>
    <n v="-3"/>
    <n v="16"/>
    <n v="-16"/>
    <n v="1600.0400319959081"/>
    <n v="1544.6645104252063"/>
    <n v="0.72839937702462743"/>
    <n v="92"/>
    <n v="69"/>
    <n v="0"/>
    <n v="23"/>
    <n v="1"/>
    <n v="0.58819477549669241"/>
    <n v="1.1000000000000001"/>
    <n v="70.75"/>
    <n v="77.825000000000003"/>
    <n v="12.432860299744606"/>
    <n v="1612.4728922956526"/>
    <n v="0"/>
    <n v="0"/>
    <n v="1"/>
    <n v="0"/>
    <n v="0"/>
    <n v="0"/>
    <n v="0"/>
    <n v="0"/>
    <n v="0"/>
    <n v="0"/>
  </r>
  <r>
    <d v="2019-09-15T00:00:00"/>
    <n v="2019"/>
    <x v="35"/>
    <s v="P"/>
    <n v="1"/>
    <x v="6"/>
    <s v="LVA"/>
    <s v="A"/>
    <n v="3"/>
    <n v="6"/>
    <n v="-3"/>
    <n v="3"/>
    <n v="-16"/>
    <n v="16"/>
    <n v="1562.7561046201076"/>
    <n v="1545.6692010363574"/>
    <n v="0.36137769417551852"/>
    <n v="92"/>
    <n v="93"/>
    <n v="0"/>
    <n v="-1"/>
    <n v="0"/>
    <n v="0.24075158831761198"/>
    <n v="1.1000000000000001"/>
    <n v="70.599999999999994"/>
    <n v="77.66"/>
    <n v="-6.7565950344035546"/>
    <n v="1555.9995095857041"/>
    <n v="0"/>
    <n v="0"/>
    <n v="0"/>
    <n v="1"/>
    <n v="0"/>
    <n v="0"/>
    <n v="0"/>
    <n v="0"/>
    <n v="0"/>
    <n v="0"/>
  </r>
  <r>
    <d v="2019-09-15T00:00:00"/>
    <n v="2019"/>
    <x v="34"/>
    <s v="P"/>
    <n v="1"/>
    <x v="11"/>
    <s v="CHI"/>
    <s v="H"/>
    <n v="6"/>
    <n v="3"/>
    <n v="3"/>
    <n v="-3"/>
    <n v="16"/>
    <n v="-16"/>
    <n v="1545.6692010363574"/>
    <n v="1562.7561046201076"/>
    <n v="0.63862230582448143"/>
    <n v="93"/>
    <n v="92"/>
    <n v="0"/>
    <n v="1"/>
    <n v="1"/>
    <n v="0.24075158831761198"/>
    <n v="1.1000000000000001"/>
    <n v="70.75"/>
    <n v="77.825000000000003"/>
    <n v="6.7709504062896828"/>
    <n v="1552.4401514426472"/>
    <n v="0"/>
    <n v="0"/>
    <n v="1"/>
    <n v="0"/>
    <n v="0"/>
    <n v="0"/>
    <n v="0"/>
    <n v="0"/>
    <n v="0"/>
    <n v="0"/>
  </r>
  <r>
    <d v="2019-09-17T00:00:00"/>
    <n v="2019"/>
    <x v="35"/>
    <s v="P"/>
    <n v="2"/>
    <x v="10"/>
    <s v="CON"/>
    <s v="A"/>
    <n v="1"/>
    <n v="8"/>
    <n v="-7"/>
    <n v="7"/>
    <n v="-16"/>
    <n v="16"/>
    <n v="1612.4728922956526"/>
    <n v="1582.2901818331941"/>
    <n v="0.37895077539924399"/>
    <n v="75"/>
    <n v="84"/>
    <n v="0"/>
    <n v="-9"/>
    <n v="0"/>
    <n v="0.39601095709884648"/>
    <n v="1.2"/>
    <n v="70.599999999999994"/>
    <n v="84.719999999999985"/>
    <n v="-12.713816812439815"/>
    <n v="1599.7590754832129"/>
    <n v="0"/>
    <n v="0"/>
    <n v="0"/>
    <n v="0"/>
    <n v="0"/>
    <n v="1"/>
    <n v="0"/>
    <n v="0"/>
    <n v="0"/>
    <n v="0"/>
  </r>
  <r>
    <d v="2019-09-17T00:00:00"/>
    <n v="2019"/>
    <x v="34"/>
    <s v="P"/>
    <n v="2"/>
    <x v="5"/>
    <s v="LAS"/>
    <s v="H"/>
    <n v="8"/>
    <n v="1"/>
    <n v="7"/>
    <n v="-7"/>
    <n v="16"/>
    <n v="-16"/>
    <n v="1582.2901818331941"/>
    <n v="1612.4728922956526"/>
    <n v="0.62104922460075607"/>
    <n v="84"/>
    <n v="75"/>
    <n v="0"/>
    <n v="9"/>
    <n v="1"/>
    <n v="0.39601095709884648"/>
    <n v="1.2"/>
    <n v="70.75"/>
    <n v="84.899999999999991"/>
    <n v="12.740829171106469"/>
    <n v="1595.0310110043006"/>
    <n v="0"/>
    <n v="0"/>
    <n v="0"/>
    <n v="0"/>
    <n v="1"/>
    <n v="0"/>
    <n v="0"/>
    <n v="0"/>
    <n v="0"/>
    <n v="0"/>
  </r>
  <r>
    <d v="2019-09-17T00:00:00"/>
    <n v="2019"/>
    <x v="35"/>
    <s v="P"/>
    <n v="2"/>
    <x v="11"/>
    <s v="WAS"/>
    <s v="A"/>
    <n v="1"/>
    <n v="8"/>
    <n v="-7"/>
    <n v="7"/>
    <n v="-16"/>
    <n v="16"/>
    <n v="1552.4401514426472"/>
    <n v="1708.3751244067007"/>
    <n v="0.17287550115215733"/>
    <n v="95"/>
    <n v="97"/>
    <n v="0"/>
    <n v="-2"/>
    <n v="0"/>
    <n v="0.23703908474977034"/>
    <n v="1.2"/>
    <n v="70.599999999999994"/>
    <n v="84.719999999999985"/>
    <n v="-3.4716773881857907"/>
    <n v="1548.9684740544615"/>
    <n v="0"/>
    <n v="0"/>
    <n v="0"/>
    <n v="0"/>
    <n v="0"/>
    <n v="1"/>
    <n v="0"/>
    <n v="0"/>
    <n v="0"/>
    <n v="0"/>
  </r>
  <r>
    <d v="2019-09-17T00:00:00"/>
    <n v="2019"/>
    <x v="34"/>
    <s v="P"/>
    <n v="2"/>
    <x v="4"/>
    <s v="LVA"/>
    <s v="H"/>
    <n v="8"/>
    <n v="1"/>
    <n v="7"/>
    <n v="-7"/>
    <n v="16"/>
    <n v="-16"/>
    <n v="1708.3751244067007"/>
    <n v="1552.4401514426472"/>
    <n v="0.82712449884784256"/>
    <n v="97"/>
    <n v="95"/>
    <n v="0"/>
    <n v="2"/>
    <n v="1"/>
    <n v="0.23703908474977034"/>
    <n v="1.2"/>
    <n v="70.75"/>
    <n v="84.899999999999991"/>
    <n v="3.4790534732881704"/>
    <n v="1711.8541778799888"/>
    <n v="0"/>
    <n v="0"/>
    <n v="0"/>
    <n v="0"/>
    <n v="1"/>
    <n v="0"/>
    <n v="0"/>
    <n v="0"/>
    <n v="0"/>
    <n v="0"/>
  </r>
  <r>
    <d v="2019-09-19T00:00:00"/>
    <n v="2019"/>
    <x v="36"/>
    <s v="P"/>
    <n v="2"/>
    <x v="10"/>
    <s v="CON"/>
    <s v="A"/>
    <n v="1"/>
    <n v="1"/>
    <n v="0"/>
    <n v="0"/>
    <n v="0"/>
    <n v="0"/>
    <n v="1599.7590754832129"/>
    <n v="1595.0310110043006"/>
    <n v="0.38785777348028821"/>
    <n v="68"/>
    <n v="94"/>
    <n v="0"/>
    <n v="-26"/>
    <n v="0"/>
    <n v="0.65152035530914831"/>
    <n v="1.2"/>
    <n v="70.45"/>
    <n v="84.54"/>
    <n v="-21.363024195101712"/>
    <n v="1578.3960512881113"/>
    <n v="0"/>
    <n v="0"/>
    <n v="0"/>
    <n v="0"/>
    <n v="0"/>
    <n v="1"/>
    <n v="0"/>
    <n v="0"/>
    <n v="0"/>
    <n v="0"/>
  </r>
  <r>
    <d v="2019-09-19T00:00:00"/>
    <n v="2019"/>
    <x v="35"/>
    <s v="P"/>
    <n v="2"/>
    <x v="5"/>
    <s v="LAS"/>
    <s v="H"/>
    <n v="1"/>
    <n v="1"/>
    <n v="0"/>
    <n v="0"/>
    <n v="0"/>
    <n v="0"/>
    <n v="1595.0310110043006"/>
    <n v="1599.7590754832129"/>
    <n v="0.61214222651971173"/>
    <n v="94"/>
    <n v="68"/>
    <n v="0"/>
    <n v="26"/>
    <n v="1"/>
    <n v="0.65152035530914831"/>
    <n v="1.2"/>
    <n v="70.599999999999994"/>
    <n v="84.719999999999985"/>
    <n v="21.408509697291425"/>
    <n v="1616.4395207015921"/>
    <n v="0"/>
    <n v="0"/>
    <n v="0"/>
    <n v="0"/>
    <n v="1"/>
    <n v="0"/>
    <n v="0"/>
    <n v="0"/>
    <n v="0"/>
    <n v="0"/>
  </r>
  <r>
    <d v="2019-09-19T00:00:00"/>
    <n v="2019"/>
    <x v="36"/>
    <s v="P"/>
    <n v="2"/>
    <x v="11"/>
    <s v="WAS"/>
    <s v="A"/>
    <n v="1"/>
    <n v="1"/>
    <n v="0"/>
    <n v="0"/>
    <n v="0"/>
    <n v="0"/>
    <n v="1548.9684740544615"/>
    <n v="1711.8541778799888"/>
    <n v="0.19447535488697981"/>
    <n v="91"/>
    <n v="103"/>
    <n v="0"/>
    <n v="-12"/>
    <n v="0"/>
    <n v="0.40161499247916371"/>
    <n v="1.2"/>
    <n v="70.45"/>
    <n v="84.54"/>
    <n v="-6.6029306058094077"/>
    <n v="1542.365543448652"/>
    <n v="0"/>
    <n v="0"/>
    <n v="0"/>
    <n v="0"/>
    <n v="0"/>
    <n v="1"/>
    <n v="0"/>
    <n v="0"/>
    <n v="0"/>
    <n v="0"/>
  </r>
  <r>
    <d v="2019-09-19T00:00:00"/>
    <n v="2019"/>
    <x v="35"/>
    <s v="P"/>
    <n v="2"/>
    <x v="4"/>
    <s v="LVA"/>
    <s v="H"/>
    <n v="1"/>
    <n v="1"/>
    <n v="0"/>
    <n v="0"/>
    <n v="0"/>
    <n v="0"/>
    <n v="1711.8541778799888"/>
    <n v="1548.9684740544615"/>
    <n v="0.80552464511302013"/>
    <n v="103"/>
    <n v="91"/>
    <n v="0"/>
    <n v="12"/>
    <n v="1"/>
    <n v="0.40161499247916371"/>
    <n v="1.2"/>
    <n v="70.599999999999994"/>
    <n v="84.719999999999985"/>
    <n v="6.6169893650836649"/>
    <n v="1718.4711672450724"/>
    <n v="0"/>
    <n v="0"/>
    <n v="0"/>
    <n v="0"/>
    <n v="1"/>
    <n v="0"/>
    <n v="0"/>
    <n v="0"/>
    <n v="0"/>
    <n v="0"/>
  </r>
  <r>
    <d v="2019-09-22T00:00:00"/>
    <n v="2019"/>
    <x v="36"/>
    <s v="P"/>
    <n v="2"/>
    <x v="5"/>
    <s v="LAS"/>
    <s v="A"/>
    <n v="2"/>
    <n v="2"/>
    <n v="0"/>
    <n v="0"/>
    <n v="0"/>
    <n v="0"/>
    <n v="1616.4395207015921"/>
    <n v="1578.3960512881113"/>
    <n v="0.43424627155077383"/>
    <n v="78"/>
    <n v="56"/>
    <n v="0"/>
    <n v="22"/>
    <n v="1"/>
    <n v="0.5835557663629326"/>
    <n v="1.2"/>
    <n v="70.45"/>
    <n v="84.54"/>
    <n v="27.910783827853528"/>
    <n v="1644.3503045294456"/>
    <n v="0"/>
    <n v="0"/>
    <n v="0"/>
    <n v="0"/>
    <n v="1"/>
    <n v="0"/>
    <n v="0"/>
    <n v="0"/>
    <n v="0"/>
    <n v="0"/>
  </r>
  <r>
    <d v="2019-09-22T00:00:00"/>
    <n v="2019"/>
    <x v="37"/>
    <s v="P"/>
    <n v="2"/>
    <x v="10"/>
    <s v="CON"/>
    <s v="H"/>
    <n v="2"/>
    <n v="2"/>
    <n v="0"/>
    <n v="0"/>
    <n v="0"/>
    <n v="0"/>
    <n v="1578.3960512881113"/>
    <n v="1616.4395207015921"/>
    <n v="0.56575372844922622"/>
    <n v="56"/>
    <n v="78"/>
    <n v="0"/>
    <n v="-22"/>
    <n v="0"/>
    <n v="0.5835557663629326"/>
    <n v="1.2"/>
    <n v="70.3"/>
    <n v="84.36"/>
    <n v="-27.851357034749505"/>
    <n v="1550.5446942533617"/>
    <n v="0"/>
    <n v="0"/>
    <n v="0"/>
    <n v="0"/>
    <n v="0"/>
    <n v="1"/>
    <n v="0"/>
    <n v="0"/>
    <n v="0"/>
    <n v="0"/>
  </r>
  <r>
    <d v="2019-09-22T00:00:00"/>
    <n v="2019"/>
    <x v="36"/>
    <s v="P"/>
    <n v="2"/>
    <x v="4"/>
    <s v="LVA"/>
    <s v="A"/>
    <n v="2"/>
    <n v="2"/>
    <n v="0"/>
    <n v="0"/>
    <n v="0"/>
    <n v="0"/>
    <n v="1718.4711672450724"/>
    <n v="1542.365543448652"/>
    <n v="0.62953036182396827"/>
    <n v="75"/>
    <n v="92"/>
    <n v="0"/>
    <n v="-17"/>
    <n v="0"/>
    <n v="0.46430337312023046"/>
    <n v="1.2"/>
    <n v="70.45"/>
    <n v="84.54"/>
    <n v="-24.710456178080577"/>
    <n v="1693.7607110669917"/>
    <n v="0"/>
    <n v="0"/>
    <n v="0"/>
    <n v="0"/>
    <n v="0"/>
    <n v="1"/>
    <n v="0"/>
    <n v="0"/>
    <n v="0"/>
    <n v="0"/>
  </r>
  <r>
    <d v="2019-09-22T00:00:00"/>
    <n v="2019"/>
    <x v="37"/>
    <s v="P"/>
    <n v="2"/>
    <x v="11"/>
    <s v="WAS"/>
    <s v="H"/>
    <n v="2"/>
    <n v="2"/>
    <n v="0"/>
    <n v="0"/>
    <n v="0"/>
    <n v="0"/>
    <n v="1542.365543448652"/>
    <n v="1718.4711672450724"/>
    <n v="0.37046963817603168"/>
    <n v="92"/>
    <n v="75"/>
    <n v="0"/>
    <n v="17"/>
    <n v="1"/>
    <n v="0.46430337312023046"/>
    <n v="1.2"/>
    <n v="70.3"/>
    <n v="84.36"/>
    <n v="24.657843425394809"/>
    <n v="1567.0233868740468"/>
    <n v="0"/>
    <n v="0"/>
    <n v="0"/>
    <n v="0"/>
    <n v="1"/>
    <n v="0"/>
    <n v="0"/>
    <n v="0"/>
    <n v="0"/>
    <n v="0"/>
  </r>
  <r>
    <d v="2019-09-24T00:00:00"/>
    <n v="2019"/>
    <x v="37"/>
    <s v="P"/>
    <n v="2"/>
    <x v="4"/>
    <s v="LVA"/>
    <s v="A"/>
    <n v="1"/>
    <n v="1"/>
    <n v="0"/>
    <n v="0"/>
    <n v="0"/>
    <n v="0"/>
    <n v="1693.7607110669917"/>
    <n v="1567.0233868740468"/>
    <n v="0.56119561522976669"/>
    <n v="94"/>
    <n v="90"/>
    <n v="0"/>
    <n v="4"/>
    <n v="1"/>
    <n v="0.28168294889268219"/>
    <n v="1.2"/>
    <n v="70.3"/>
    <n v="84.36"/>
    <n v="10.427209236198035"/>
    <n v="1704.1879203031897"/>
    <n v="0"/>
    <n v="0"/>
    <n v="0"/>
    <n v="0"/>
    <n v="1"/>
    <n v="0"/>
    <n v="0"/>
    <n v="0"/>
    <n v="0"/>
    <n v="0"/>
  </r>
  <r>
    <d v="2019-09-24T00:00:00"/>
    <n v="2019"/>
    <x v="38"/>
    <s v="P"/>
    <n v="2"/>
    <x v="11"/>
    <s v="WAS"/>
    <s v="H"/>
    <n v="1"/>
    <n v="1"/>
    <n v="0"/>
    <n v="0"/>
    <n v="0"/>
    <n v="0"/>
    <n v="1567.0233868740468"/>
    <n v="1693.7607110669917"/>
    <n v="0.43880438477023326"/>
    <n v="90"/>
    <n v="94"/>
    <n v="0"/>
    <n v="-4"/>
    <n v="0"/>
    <n v="0.28168294889268219"/>
    <n v="1.2"/>
    <n v="70.150000000000006"/>
    <n v="84.18"/>
    <n v="-10.404960567841993"/>
    <n v="1556.6184263062048"/>
    <n v="0"/>
    <n v="0"/>
    <n v="0"/>
    <n v="0"/>
    <n v="0"/>
    <n v="1"/>
    <n v="0"/>
    <n v="0"/>
    <n v="0"/>
    <n v="0"/>
  </r>
  <r>
    <d v="2019-09-29T00:00:00"/>
    <n v="2019"/>
    <x v="37"/>
    <s v="P"/>
    <n v="3"/>
    <x v="5"/>
    <s v="WAS"/>
    <s v="A"/>
    <n v="6"/>
    <n v="4"/>
    <n v="2"/>
    <n v="-2"/>
    <n v="16"/>
    <n v="-16"/>
    <n v="1644.3503045294456"/>
    <n v="1704.1879203031897"/>
    <n v="0.3443905185251383"/>
    <n v="86"/>
    <n v="95"/>
    <n v="0"/>
    <n v="-9"/>
    <n v="0"/>
    <n v="0.38668938478828702"/>
    <n v="1.35"/>
    <n v="70.3"/>
    <n v="94.905000000000001"/>
    <n v="-12.638703629878602"/>
    <n v="1631.711600899567"/>
    <n v="0"/>
    <n v="0"/>
    <n v="0"/>
    <n v="0"/>
    <n v="0"/>
    <n v="0"/>
    <n v="0"/>
    <n v="1"/>
    <n v="0"/>
    <n v="0"/>
  </r>
  <r>
    <d v="2019-09-29T00:00:00"/>
    <n v="2019"/>
    <x v="38"/>
    <s v="P"/>
    <n v="3"/>
    <x v="4"/>
    <s v="CON"/>
    <s v="H"/>
    <n v="4"/>
    <n v="6"/>
    <n v="-2"/>
    <n v="2"/>
    <n v="-16"/>
    <n v="16"/>
    <n v="1704.1879203031897"/>
    <n v="1644.3503045294456"/>
    <n v="0.65560948147486175"/>
    <n v="95"/>
    <n v="86"/>
    <n v="0"/>
    <n v="9"/>
    <n v="1"/>
    <n v="0.38668938478828702"/>
    <n v="1.35"/>
    <n v="70.150000000000006"/>
    <n v="94.702500000000015"/>
    <n v="12.611736267937181"/>
    <n v="1716.7996565711269"/>
    <n v="0"/>
    <n v="0"/>
    <n v="0"/>
    <n v="0"/>
    <n v="0"/>
    <n v="0"/>
    <n v="1"/>
    <n v="0"/>
    <n v="0"/>
    <n v="0"/>
  </r>
  <r>
    <d v="2019-10-01T00:00:00"/>
    <n v="2019"/>
    <x v="38"/>
    <s v="P"/>
    <n v="3"/>
    <x v="5"/>
    <s v="WAS"/>
    <s v="A"/>
    <n v="1"/>
    <n v="1"/>
    <n v="0"/>
    <n v="0"/>
    <n v="0"/>
    <n v="0"/>
    <n v="1631.711600899567"/>
    <n v="1716.7996565711269"/>
    <n v="0.2742134608739783"/>
    <n v="99"/>
    <n v="87"/>
    <n v="0"/>
    <n v="12"/>
    <n v="1"/>
    <n v="0.42592826948797097"/>
    <n v="1.35"/>
    <n v="70.150000000000006"/>
    <n v="94.702500000000015"/>
    <n v="29.275668370746235"/>
    <n v="1660.9872692703132"/>
    <n v="0"/>
    <n v="0"/>
    <n v="0"/>
    <n v="0"/>
    <n v="0"/>
    <n v="0"/>
    <n v="1"/>
    <n v="0"/>
    <n v="0"/>
    <n v="0"/>
  </r>
  <r>
    <d v="2019-10-01T00:00:00"/>
    <n v="2019"/>
    <x v="39"/>
    <s v="P"/>
    <n v="3"/>
    <x v="4"/>
    <s v="CON"/>
    <s v="H"/>
    <n v="1"/>
    <n v="1"/>
    <n v="0"/>
    <n v="0"/>
    <n v="0"/>
    <n v="0"/>
    <n v="1716.7996565711269"/>
    <n v="1631.711600899567"/>
    <n v="0.72578653912602176"/>
    <n v="87"/>
    <n v="99"/>
    <n v="0"/>
    <n v="-12"/>
    <n v="0"/>
    <n v="0.42592826948797097"/>
    <n v="1.35"/>
    <n v="70"/>
    <n v="94.5"/>
    <n v="-29.213068937309142"/>
    <n v="1687.5865876338178"/>
    <n v="0"/>
    <n v="0"/>
    <n v="0"/>
    <n v="0"/>
    <n v="0"/>
    <n v="0"/>
    <n v="0"/>
    <n v="1"/>
    <n v="0"/>
    <n v="0"/>
  </r>
  <r>
    <d v="2019-10-06T00:00:00"/>
    <n v="2019"/>
    <x v="40"/>
    <s v="P"/>
    <n v="3"/>
    <x v="4"/>
    <s v="CON"/>
    <s v="A"/>
    <n v="4"/>
    <n v="4"/>
    <n v="0"/>
    <n v="0"/>
    <n v="0"/>
    <n v="0"/>
    <n v="1687.5865876338178"/>
    <n v="1660.9872692703132"/>
    <n v="0.41813724576811229"/>
    <n v="94"/>
    <n v="81"/>
    <n v="0"/>
    <n v="13"/>
    <n v="1"/>
    <n v="0.46180728971273727"/>
    <n v="1.35"/>
    <n v="69.849999999999994"/>
    <n v="94.297499999999999"/>
    <n v="25.338536149863156"/>
    <n v="1712.9251237836809"/>
    <n v="0"/>
    <n v="0"/>
    <n v="0"/>
    <n v="0"/>
    <n v="0"/>
    <n v="0"/>
    <n v="1"/>
    <n v="0"/>
    <n v="0"/>
    <n v="0"/>
  </r>
  <r>
    <d v="2019-10-06T00:00:00"/>
    <n v="2019"/>
    <x v="39"/>
    <s v="P"/>
    <n v="3"/>
    <x v="5"/>
    <s v="WAS"/>
    <s v="H"/>
    <n v="4"/>
    <n v="4"/>
    <n v="0"/>
    <n v="0"/>
    <n v="0"/>
    <n v="0"/>
    <n v="1660.9872692703132"/>
    <n v="1687.5865876338178"/>
    <n v="0.58186275423188782"/>
    <n v="81"/>
    <n v="94"/>
    <n v="0"/>
    <n v="-13"/>
    <n v="0"/>
    <n v="0.46180728971273727"/>
    <n v="1.35"/>
    <n v="70"/>
    <n v="94.5"/>
    <n v="-25.392949613320276"/>
    <n v="1635.5943196569929"/>
    <n v="0"/>
    <n v="0"/>
    <n v="0"/>
    <n v="0"/>
    <n v="0"/>
    <n v="0"/>
    <n v="0"/>
    <n v="1"/>
    <n v="0"/>
    <n v="0"/>
  </r>
  <r>
    <d v="2019-10-08T00:00:00"/>
    <n v="2019"/>
    <x v="41"/>
    <s v="P"/>
    <n v="3"/>
    <x v="4"/>
    <s v="CON"/>
    <s v="A"/>
    <n v="1"/>
    <n v="1"/>
    <n v="0"/>
    <n v="0"/>
    <n v="0"/>
    <n v="0"/>
    <n v="1712.9251237836809"/>
    <n v="1635.5943196569929"/>
    <n v="0.49040343426787475"/>
    <n v="86"/>
    <n v="90"/>
    <n v="0"/>
    <n v="-4"/>
    <n v="0"/>
    <n v="0.29257830522623884"/>
    <n v="1.35"/>
    <n v="69.7"/>
    <n v="94.095000000000013"/>
    <n v="-13.500882867010016"/>
    <n v="1699.4242409166709"/>
    <n v="0"/>
    <n v="0"/>
    <n v="0"/>
    <n v="0"/>
    <n v="0"/>
    <n v="0"/>
    <n v="0"/>
    <n v="1"/>
    <n v="0"/>
    <n v="0"/>
  </r>
  <r>
    <d v="2019-10-08T00:00:00"/>
    <n v="2019"/>
    <x v="40"/>
    <s v="P"/>
    <n v="3"/>
    <x v="5"/>
    <s v="WAS"/>
    <s v="H"/>
    <n v="1"/>
    <n v="1"/>
    <n v="0"/>
    <n v="0"/>
    <n v="0"/>
    <n v="0"/>
    <n v="1635.5943196569929"/>
    <n v="1712.9251237836809"/>
    <n v="0.5095965657321252"/>
    <n v="90"/>
    <n v="86"/>
    <n v="0"/>
    <n v="4"/>
    <n v="1"/>
    <n v="0.29257830522623884"/>
    <n v="1.35"/>
    <n v="69.849999999999994"/>
    <n v="94.297499999999999"/>
    <n v="13.52993785165925"/>
    <n v="1649.1242575086521"/>
    <n v="0"/>
    <n v="0"/>
    <n v="0"/>
    <n v="0"/>
    <n v="0"/>
    <n v="0"/>
    <n v="1"/>
    <n v="0"/>
    <n v="0"/>
    <n v="0"/>
  </r>
  <r>
    <d v="2019-10-10T00:00:00"/>
    <n v="2019"/>
    <x v="41"/>
    <s v="P"/>
    <n v="3"/>
    <x v="5"/>
    <s v="WAS"/>
    <s v="A"/>
    <n v="1"/>
    <n v="1"/>
    <n v="0"/>
    <n v="0"/>
    <n v="0"/>
    <n v="0"/>
    <n v="1649.1242575086521"/>
    <n v="1699.4242409166709"/>
    <n v="0.31581044088504584"/>
    <n v="78"/>
    <n v="89"/>
    <n v="0"/>
    <n v="-11"/>
    <n v="0"/>
    <n v="0.42214122315709585"/>
    <n v="1.35"/>
    <n v="69.7"/>
    <n v="94.095000000000013"/>
    <n v="-12.544426022844624"/>
    <n v="1636.5798314858075"/>
    <n v="0"/>
    <n v="0"/>
    <n v="0"/>
    <n v="0"/>
    <n v="0"/>
    <n v="0"/>
    <n v="0"/>
    <n v="1"/>
    <n v="0"/>
    <n v="0"/>
  </r>
  <r>
    <d v="2019-10-10T00:00:00"/>
    <n v="2019"/>
    <x v="42"/>
    <s v="P"/>
    <n v="3"/>
    <x v="4"/>
    <s v="CON"/>
    <s v="H"/>
    <n v="1"/>
    <n v="1"/>
    <n v="0"/>
    <n v="0"/>
    <n v="0"/>
    <n v="0"/>
    <n v="1699.4242409166709"/>
    <n v="1649.1242575086521"/>
    <n v="0.68418955911495427"/>
    <n v="89"/>
    <n v="78"/>
    <n v="0"/>
    <n v="11"/>
    <n v="1"/>
    <n v="0.42214122315709585"/>
    <n v="1.35"/>
    <n v="69.55"/>
    <n v="93.892499999999998"/>
    <n v="12.517429410169916"/>
    <n v="1711.9416703268407"/>
    <n v="0"/>
    <n v="0"/>
    <n v="0"/>
    <n v="0"/>
    <n v="0"/>
    <n v="0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6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60">
        <item m="1" x="40"/>
        <item x="1"/>
        <item m="1" x="51"/>
        <item m="1" x="29"/>
        <item m="1" x="27"/>
        <item m="1" x="39"/>
        <item m="1" x="55"/>
        <item m="1" x="17"/>
        <item x="6"/>
        <item m="1" x="41"/>
        <item m="1" x="18"/>
        <item x="5"/>
        <item x="0"/>
        <item m="1" x="34"/>
        <item m="1" x="14"/>
        <item m="1" x="56"/>
        <item m="1" x="36"/>
        <item m="1" x="16"/>
        <item x="2"/>
        <item m="1" x="50"/>
        <item m="1" x="49"/>
        <item m="1" x="26"/>
        <item m="1" x="25"/>
        <item m="1" x="58"/>
        <item x="10"/>
        <item m="1" x="57"/>
        <item x="11"/>
        <item m="1" x="28"/>
        <item m="1" x="20"/>
        <item m="1" x="35"/>
        <item x="7"/>
        <item m="1" x="43"/>
        <item m="1" x="23"/>
        <item m="1" x="31"/>
        <item m="1" x="44"/>
        <item m="1" x="52"/>
        <item x="3"/>
        <item m="1" x="45"/>
        <item m="1" x="33"/>
        <item m="1" x="22"/>
        <item m="1" x="30"/>
        <item x="8"/>
        <item m="1" x="47"/>
        <item m="1" x="21"/>
        <item m="1" x="32"/>
        <item m="1" x="15"/>
        <item m="1" x="12"/>
        <item m="1" x="42"/>
        <item x="9"/>
        <item m="1" x="53"/>
        <item m="1" x="48"/>
        <item m="1" x="54"/>
        <item m="1" x="46"/>
        <item m="1" x="24"/>
        <item m="1" x="13"/>
        <item m="1" x="19"/>
        <item m="1" x="38"/>
        <item x="4"/>
        <item m="1" x="37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3">
    <i>
      <x v="1"/>
    </i>
    <i>
      <x v="8"/>
    </i>
    <i>
      <x v="11"/>
    </i>
    <i>
      <x v="12"/>
    </i>
    <i>
      <x v="18"/>
    </i>
    <i>
      <x v="24"/>
    </i>
    <i>
      <x v="26"/>
    </i>
    <i>
      <x v="30"/>
    </i>
    <i>
      <x v="36"/>
    </i>
    <i>
      <x v="41"/>
    </i>
    <i>
      <x v="48"/>
    </i>
    <i>
      <x v="5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15">
      <pivotArea outline="0" collapsedLevelsAreSubtotals="1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7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m="1"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3" totalsRowShown="0">
  <autoFilter ref="A1:D13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3">
    <sortCondition ref="C12:C13"/>
  </sortState>
  <tableColumns count="4">
    <tableColumn id="1" xr3:uid="{8C17ECDF-4459-4994-A3F5-8E8FEDF92B6F}" name="TeamID"/>
    <tableColumn id="4" xr3:uid="{789F069E-DAF9-4B19-A6DB-107BA6995CE5}" name="Logo" dataDxfId="18"/>
    <tableColumn id="5" xr3:uid="{A9DA91BA-5529-4913-978B-19C8EF225B29}" name="TeamName" dataDxfId="17"/>
    <tableColumn id="2" xr3:uid="{AA4C8157-DB69-4779-8EEE-6F419B992D71}" name="PreSeasonElo" dataDxfId="1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441" totalsRowShown="0" headerRowDxfId="58" dataDxfId="57">
  <autoFilter ref="A1:AL441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56"/>
    <tableColumn id="21" xr3:uid="{D754AB95-C77C-4DD5-B1B9-A24A4FEE7279}" name="Season" dataDxfId="55"/>
    <tableColumn id="19" xr3:uid="{4C42B78B-6AFC-42C3-A5F4-3266E247C458}" name="GamesPlayed" dataDxfId="54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53"/>
    <tableColumn id="14" xr3:uid="{EFA83923-8CCA-4DC9-BC85-5D86949A45D9}" name="Round" dataDxfId="52"/>
    <tableColumn id="2" xr3:uid="{6E102E51-A49B-416B-8CD2-B93B2A4EA389}" name="Team" dataDxfId="51"/>
    <tableColumn id="3" xr3:uid="{19101345-1C34-4AF3-88E6-76A7F19B7FE6}" name="Opponent" dataDxfId="50"/>
    <tableColumn id="16" xr3:uid="{4CBCDF29-B095-48DF-8EF6-06DC7D78C844}" name="HomeAway" dataDxfId="49"/>
    <tableColumn id="32" xr3:uid="{E3FA53E3-DAD6-4BC2-969A-C53F4798E86D}" name="DaysOff" dataDxfId="48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47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46">
      <calculatedColumnFormula>Games[[#This Row],[DaysOff]]-Games[[#This Row],[OppDaysOff]]</calculatedColumnFormula>
    </tableColumn>
    <tableColumn id="35" xr3:uid="{3F2DB366-7372-41BA-8B0C-09F9BA7EA850}" name="OppRestDiff" dataDxfId="45">
      <calculatedColumnFormula>Games[[#This Row],[OppDaysOff]]-Games[[#This Row],[DaysOff]]</calculatedColumnFormula>
    </tableColumn>
    <tableColumn id="36" xr3:uid="{BDD0FD2C-608F-4CCC-867B-4481F0F4B802}" name="RestAdj" dataDxfId="44">
      <calculatedColumnFormula>MAX(-16, MIN(16, Games[[#This Row],[RestDiff]]*8))</calculatedColumnFormula>
    </tableColumn>
    <tableColumn id="37" xr3:uid="{5F89213A-4C28-428C-B766-3B05D4F530A5}" name="OppRestAdj" dataDxfId="43">
      <calculatedColumnFormula>MAX(-16, MIN(16, Games[[#This Row],[OppRestDiff]]*8))</calculatedColumnFormula>
    </tableColumn>
    <tableColumn id="4" xr3:uid="{68053CFA-948B-4F2C-A114-7C46ABD9EA33}" name="PreGmRate" dataDxfId="42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41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40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39"/>
    <tableColumn id="8" xr3:uid="{0CDDF0F9-2F1E-487C-96DD-90F70CE7DAFC}" name="PointsAgainst" dataDxfId="38"/>
    <tableColumn id="22" xr3:uid="{AB7B5B5C-5BAD-4213-990E-8EB9B177497C}" name="OT" dataDxfId="37"/>
    <tableColumn id="9" xr3:uid="{CE171F1D-5E5D-4800-A6DC-8F6DBD74C939}" name="MOV" dataDxfId="36">
      <calculatedColumnFormula>Games[[#This Row],[PointsFor]]-Games[[#This Row],[PointsAgainst]]</calculatedColumnFormula>
    </tableColumn>
    <tableColumn id="10" xr3:uid="{883A3911-25F6-4C39-9637-F1C42D6A1FC2}" name="Result" dataDxfId="35">
      <calculatedColumnFormula>IF(Games[[#This Row],[MOV]]&gt;0,1,IF(Games[[#This Row],[MOV]]=0,0.5,0))</calculatedColumnFormula>
    </tableColumn>
    <tableColumn id="15" xr3:uid="{00048431-5FD6-47EE-807E-5B63FD521193}" name="MOVMult" dataDxfId="34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33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32">
      <calculatedColumnFormula>MAX(kmin, kmax - 0.15 * MIN(Games[[#This Row],[GamesPlayed]], 82))</calculatedColumnFormula>
    </tableColumn>
    <tableColumn id="29" xr3:uid="{FBA5D644-15ED-4725-9E52-1D37FD0FAC64}" name="Keff" dataDxfId="31">
      <calculatedColumnFormula>Games[[#This Row],[K]]*Games[[#This Row],[POMult]]</calculatedColumnFormula>
    </tableColumn>
    <tableColumn id="11" xr3:uid="{309DAEBD-E62C-4090-89E9-A58FD32AB89B}" name="RatingChange" dataDxfId="30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29">
      <calculatedColumnFormula>Games[[#This Row],[PreGmRate]]+Games[[#This Row],[RatingChange]]</calculatedColumnFormula>
    </tableColumn>
    <tableColumn id="17" xr3:uid="{90B7BF87-E472-4474-A10D-555BD3BF8F04}" name="W" dataDxfId="28">
      <calculatedColumnFormula>IF(Games[[#This Row],[Type]]="R",IF(Games[[#This Row],[Result]]&gt;0.5,1,0),0)</calculatedColumnFormula>
    </tableColumn>
    <tableColumn id="18" xr3:uid="{29756EA1-783D-4C76-A7B8-F906AF0EC7E7}" name="L" dataDxfId="27">
      <calculatedColumnFormula>IF(Games[[#This Row],[Type]]="R",IF(Games[[#This Row],[Result]]&lt;0.5,1,0),0)</calculatedColumnFormula>
    </tableColumn>
    <tableColumn id="23" xr3:uid="{C253CFA7-28A4-4AE5-B131-DC1E8F2B73F8}" name="R1W" dataDxfId="26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25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24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23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22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21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20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19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5"/>
  <sheetViews>
    <sheetView workbookViewId="0">
      <selection activeCell="A2" sqref="A2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4" x14ac:dyDescent="0.35">
      <c r="A1" t="s">
        <v>29</v>
      </c>
      <c r="B1" t="s">
        <v>27</v>
      </c>
      <c r="C1" t="s">
        <v>28</v>
      </c>
      <c r="D1" t="s">
        <v>58</v>
      </c>
    </row>
    <row r="2" spans="1:4" x14ac:dyDescent="0.35">
      <c r="A2" t="s">
        <v>77</v>
      </c>
      <c r="B2" s="8"/>
      <c r="C2" s="15" t="s">
        <v>78</v>
      </c>
      <c r="D2" s="13">
        <v>1568.0594810287992</v>
      </c>
    </row>
    <row r="3" spans="1:4" x14ac:dyDescent="0.35">
      <c r="A3" t="s">
        <v>75</v>
      </c>
      <c r="B3" s="8"/>
      <c r="C3" s="15" t="s">
        <v>76</v>
      </c>
      <c r="D3" s="13">
        <v>1401.1928456953333</v>
      </c>
    </row>
    <row r="4" spans="1:4" x14ac:dyDescent="0.35">
      <c r="A4" t="s">
        <v>74</v>
      </c>
      <c r="B4" s="8"/>
      <c r="C4" s="15" t="s">
        <v>73</v>
      </c>
      <c r="D4" s="13">
        <v>1587.5730321782896</v>
      </c>
    </row>
    <row r="5" spans="1:4" x14ac:dyDescent="0.35">
      <c r="A5" t="s">
        <v>85</v>
      </c>
      <c r="B5" s="8"/>
      <c r="C5" s="15" t="s">
        <v>84</v>
      </c>
      <c r="D5" s="13">
        <v>1451.5296040728713</v>
      </c>
    </row>
    <row r="6" spans="1:4" x14ac:dyDescent="0.35">
      <c r="A6" t="s">
        <v>69</v>
      </c>
      <c r="B6" s="8"/>
      <c r="C6" s="15" t="s">
        <v>70</v>
      </c>
      <c r="D6" s="13">
        <v>1307.7516852281901</v>
      </c>
    </row>
    <row r="7" spans="1:4" x14ac:dyDescent="0.35">
      <c r="A7" t="s">
        <v>86</v>
      </c>
      <c r="B7" s="8"/>
      <c r="C7" s="15" t="s">
        <v>87</v>
      </c>
      <c r="D7" s="13">
        <v>1423.7956882148544</v>
      </c>
    </row>
    <row r="8" spans="1:4" x14ac:dyDescent="0.35">
      <c r="A8" t="s">
        <v>63</v>
      </c>
      <c r="B8" s="8"/>
      <c r="C8" s="15" t="s">
        <v>64</v>
      </c>
      <c r="D8" s="13">
        <v>1535.9880904928918</v>
      </c>
    </row>
    <row r="9" spans="1:4" x14ac:dyDescent="0.35">
      <c r="A9" t="s">
        <v>67</v>
      </c>
      <c r="B9" s="8"/>
      <c r="C9" s="15" t="s">
        <v>68</v>
      </c>
      <c r="D9" s="13">
        <v>1534.0252651249084</v>
      </c>
    </row>
    <row r="10" spans="1:4" x14ac:dyDescent="0.35">
      <c r="A10" t="s">
        <v>60</v>
      </c>
      <c r="B10" s="8"/>
      <c r="C10" s="15" t="s">
        <v>61</v>
      </c>
      <c r="D10" s="13">
        <v>1326.749249667102</v>
      </c>
    </row>
    <row r="11" spans="1:4" x14ac:dyDescent="0.35">
      <c r="A11" t="s">
        <v>40</v>
      </c>
      <c r="B11" s="8"/>
      <c r="C11" s="15" t="s">
        <v>62</v>
      </c>
      <c r="D11" s="13">
        <v>1583.9486870151416</v>
      </c>
    </row>
    <row r="12" spans="1:4" x14ac:dyDescent="0.35">
      <c r="A12" t="s">
        <v>71</v>
      </c>
      <c r="B12" s="8"/>
      <c r="C12" s="15" t="s">
        <v>72</v>
      </c>
      <c r="D12" s="13">
        <v>1698.3366090729573</v>
      </c>
    </row>
    <row r="13" spans="1:4" x14ac:dyDescent="0.35">
      <c r="A13" t="s">
        <v>65</v>
      </c>
      <c r="B13" s="8"/>
      <c r="C13" s="15" t="s">
        <v>66</v>
      </c>
      <c r="D13" s="13">
        <v>1581.158651388223</v>
      </c>
    </row>
    <row r="14" spans="1:4" x14ac:dyDescent="0.35">
      <c r="B14" s="8"/>
      <c r="C14" s="15"/>
      <c r="D14" s="13"/>
    </row>
    <row r="15" spans="1:4" x14ac:dyDescent="0.35">
      <c r="B15" s="8"/>
      <c r="C15" s="15"/>
      <c r="D15" s="13"/>
    </row>
    <row r="16" spans="1:4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8"/>
      <c r="D23" s="13"/>
    </row>
    <row r="24" spans="2:4" x14ac:dyDescent="0.35">
      <c r="B24" s="8"/>
      <c r="C24" s="8"/>
      <c r="D24" s="13"/>
    </row>
    <row r="25" spans="2:4" x14ac:dyDescent="0.35">
      <c r="B25" s="8"/>
      <c r="C25" s="8"/>
      <c r="D25" s="13"/>
    </row>
  </sheetData>
  <sortState xmlns:xlrd2="http://schemas.microsoft.com/office/spreadsheetml/2017/richdata2" ref="G2:H13">
    <sortCondition ref="G2:G13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6"/>
  <sheetViews>
    <sheetView tabSelected="1" workbookViewId="0">
      <selection activeCell="C2" sqref="C2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3">_xlfn.SORTBY(A25:H36,G25:G36,-1)</f>
        <v>WAS</v>
      </c>
      <c r="B2">
        <v>0</v>
      </c>
      <c r="C2" t="str">
        <v>Washington Mystics</v>
      </c>
      <c r="D2" s="1">
        <v>26</v>
      </c>
      <c r="E2" s="1">
        <v>8</v>
      </c>
      <c r="F2" s="3">
        <v>0.76470588235294112</v>
      </c>
      <c r="G2" s="9">
        <v>1711.9416703268407</v>
      </c>
      <c r="H2" s="1">
        <v>43748</v>
      </c>
      <c r="O2" s="4"/>
      <c r="P2" s="4"/>
      <c r="Q2" s="1"/>
      <c r="AK2" t="s">
        <v>2</v>
      </c>
      <c r="AL2" t="e">
        <f>_xlfn.XLOOKUP(AK2,ConfDiv[TeamID],ConfDiv[Logo])</f>
        <v>#N/A</v>
      </c>
      <c r="AM2" t="e">
        <f>_xlfn.XLOOKUP(AK2,ConfDiv[TeamID],ConfDiv[TeamName])</f>
        <v>#N/A</v>
      </c>
      <c r="AN2" s="1" t="e">
        <f>_xlfn.XLOOKUP($AK2,StandingsPivot!$A$4:$A$33,StandingsPivot!D$4:D$33)</f>
        <v>#N/A</v>
      </c>
      <c r="AO2" s="1" t="e">
        <f>_xlfn.XLOOKUP($AK2,StandingsPivot!$A$4:$A$33,StandingsPivot!E$4:E$33)</f>
        <v>#N/A</v>
      </c>
      <c r="AP2" s="1" t="e">
        <f>_xlfn.XLOOKUP($AK2,StandingsPivot!$A$4:$A$33,StandingsPivot!F$4:F$33)</f>
        <v>#N/A</v>
      </c>
      <c r="AQ2" s="1" t="e">
        <f>_xlfn.XLOOKUP($AK2,StandingsPivot!$A$4:$A$33,StandingsPivot!G$4:G$33)</f>
        <v>#N/A</v>
      </c>
      <c r="AR2" s="1" t="e">
        <f>_xlfn.XLOOKUP($AK2,StandingsPivot!$A$4:$A$33,StandingsPivot!H$4:H$33)</f>
        <v>#N/A</v>
      </c>
      <c r="AS2" s="1" t="e">
        <f>_xlfn.XLOOKUP($AK2,StandingsPivot!$A$4:$A$33,StandingsPivot!I$4:I$33)</f>
        <v>#N/A</v>
      </c>
      <c r="AT2" s="1" t="e">
        <f>_xlfn.XLOOKUP($AK2,StandingsPivot!$A$4:$A$33,StandingsPivot!J$4:J$33)</f>
        <v>#N/A</v>
      </c>
      <c r="AU2" s="1" t="e">
        <f>_xlfn.XLOOKUP($AK2,StandingsPivot!$A$4:$A$33,StandingsPivot!K$4:K$33)</f>
        <v>#N/A</v>
      </c>
      <c r="AV2" s="1" t="e">
        <f t="shared" ref="AV2:AV5" si="0">SUM(AN2,AP2,AR2,AT2)</f>
        <v>#N/A</v>
      </c>
      <c r="AW2" s="1" t="e">
        <f t="shared" ref="AW2:AW5" si="1">SUM(AO2,AQ2,AS2,AU2)</f>
        <v>#N/A</v>
      </c>
      <c r="AX2" s="4" cm="1">
        <f t="array" ref="AX2">_xlfn.IFNA(INDEX(Games[PostGmRate], MATCH(1, (Games[Team]=AK2)*(Games[Date]=AY2), 0)),0)</f>
        <v>0</v>
      </c>
      <c r="AY2" s="1">
        <f>_xlfn.MAXIFS(Games[Date], Games[Team], AK2)</f>
        <v>0</v>
      </c>
      <c r="AZ2" t="e">
        <f t="shared" ref="AZ2:AZ5" si="2">SUM(AV2:AW2)</f>
        <v>#N/A</v>
      </c>
    </row>
    <row r="3" spans="1:68" x14ac:dyDescent="0.35">
      <c r="A3" t="str">
        <v>CON</v>
      </c>
      <c r="B3">
        <v>0</v>
      </c>
      <c r="C3" t="str">
        <v>Connecticut Sun</v>
      </c>
      <c r="D3" s="1">
        <v>23</v>
      </c>
      <c r="E3" s="1">
        <v>11</v>
      </c>
      <c r="F3" s="3">
        <v>0.67647058823529416</v>
      </c>
      <c r="G3" s="9">
        <v>1636.5798314858075</v>
      </c>
      <c r="H3" s="1">
        <v>43748</v>
      </c>
      <c r="O3" s="4"/>
      <c r="P3" s="4"/>
      <c r="Q3" s="1"/>
      <c r="AK3" t="s">
        <v>60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0</v>
      </c>
      <c r="AO3" s="1">
        <f>_xlfn.XLOOKUP($AK3,StandingsPivot!$A$4:$A$33,StandingsPivot!E$4:E$33)</f>
        <v>0</v>
      </c>
      <c r="AP3" s="1">
        <f>_xlfn.XLOOKUP($AK3,StandingsPivot!$A$4:$A$33,StandingsPivot!F$4:F$33)</f>
        <v>0</v>
      </c>
      <c r="AQ3" s="1">
        <f>_xlfn.XLOOKUP($AK3,StandingsPivot!$A$4:$A$33,StandingsPivot!G$4:G$33)</f>
        <v>0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0</v>
      </c>
      <c r="AW3" s="1">
        <f t="shared" si="1"/>
        <v>0</v>
      </c>
      <c r="AX3" s="4" cm="1">
        <f t="array" ref="AX3">_xlfn.IFNA(INDEX(Games[PostGmRate], MATCH(1, (Games[Team]=AK3)*(Games[Date]=AY3), 0)),0)</f>
        <v>1322.6110354705729</v>
      </c>
      <c r="AY3" s="1">
        <f>_xlfn.MAXIFS(Games[Date], Games[Team], AK3)</f>
        <v>43716</v>
      </c>
      <c r="AZ3">
        <f t="shared" si="2"/>
        <v>0</v>
      </c>
    </row>
    <row r="4" spans="1:68" x14ac:dyDescent="0.35">
      <c r="A4" t="str">
        <v>LVA</v>
      </c>
      <c r="B4">
        <v>0</v>
      </c>
      <c r="C4" t="str">
        <v>Las Vegas Aces</v>
      </c>
      <c r="D4" s="1">
        <v>21</v>
      </c>
      <c r="E4" s="1">
        <v>13</v>
      </c>
      <c r="F4" s="3">
        <v>0.61764705882352944</v>
      </c>
      <c r="G4" s="9">
        <v>1556.6184263062048</v>
      </c>
      <c r="H4" s="1">
        <v>43732</v>
      </c>
      <c r="O4" s="4"/>
      <c r="P4" s="4"/>
      <c r="Q4" s="1"/>
      <c r="AK4" t="s">
        <v>59</v>
      </c>
      <c r="AL4" t="e">
        <f>_xlfn.XLOOKUP(AK4,ConfDiv[TeamID],ConfDiv[Logo])</f>
        <v>#N/A</v>
      </c>
      <c r="AM4" t="e">
        <f>_xlfn.XLOOKUP(AK4,ConfDiv[TeamID],ConfDiv[TeamName])</f>
        <v>#N/A</v>
      </c>
      <c r="AN4" s="1" t="e">
        <f>_xlfn.XLOOKUP($AK4,StandingsPivot!$A$4:$A$33,StandingsPivot!D$4:D$33)</f>
        <v>#N/A</v>
      </c>
      <c r="AO4" s="1" t="e">
        <f>_xlfn.XLOOKUP($AK4,StandingsPivot!$A$4:$A$33,StandingsPivot!E$4:E$33)</f>
        <v>#N/A</v>
      </c>
      <c r="AP4" s="1" t="e">
        <f>_xlfn.XLOOKUP($AK4,StandingsPivot!$A$4:$A$33,StandingsPivot!F$4:F$33)</f>
        <v>#N/A</v>
      </c>
      <c r="AQ4" s="1" t="e">
        <f>_xlfn.XLOOKUP($AK4,StandingsPivot!$A$4:$A$33,StandingsPivot!G$4:G$33)</f>
        <v>#N/A</v>
      </c>
      <c r="AR4" s="1" t="e">
        <f>_xlfn.XLOOKUP($AK4,StandingsPivot!$A$4:$A$33,StandingsPivot!H$4:H$33)</f>
        <v>#N/A</v>
      </c>
      <c r="AS4" s="1" t="e">
        <f>_xlfn.XLOOKUP($AK4,StandingsPivot!$A$4:$A$33,StandingsPivot!I$4:I$33)</f>
        <v>#N/A</v>
      </c>
      <c r="AT4" s="1" t="e">
        <f>_xlfn.XLOOKUP($AK4,StandingsPivot!$A$4:$A$33,StandingsPivot!J$4:J$33)</f>
        <v>#N/A</v>
      </c>
      <c r="AU4" s="1" t="e">
        <f>_xlfn.XLOOKUP($AK4,StandingsPivot!$A$4:$A$33,StandingsPivot!K$4:K$33)</f>
        <v>#N/A</v>
      </c>
      <c r="AV4" s="1" t="e">
        <f t="shared" si="0"/>
        <v>#N/A</v>
      </c>
      <c r="AW4" s="1" t="e">
        <f t="shared" si="1"/>
        <v>#N/A</v>
      </c>
      <c r="AX4" s="4" cm="1">
        <f t="array" ref="AX4">_xlfn.IFNA(INDEX(Games[PostGmRate], MATCH(1, (Games[Team]=AK4)*(Games[Date]=AY4), 0)),0)</f>
        <v>0</v>
      </c>
      <c r="AY4" s="1">
        <f>_xlfn.MAXIFS(Games[Date], Games[Team], AK4)</f>
        <v>0</v>
      </c>
      <c r="AZ4" t="e">
        <f t="shared" si="2"/>
        <v>#N/A</v>
      </c>
    </row>
    <row r="5" spans="1:68" x14ac:dyDescent="0.35">
      <c r="A5" t="str">
        <v>CHI</v>
      </c>
      <c r="B5">
        <v>0</v>
      </c>
      <c r="C5" t="str">
        <v>Chicago Sky</v>
      </c>
      <c r="D5" s="1">
        <v>20</v>
      </c>
      <c r="E5" s="1">
        <v>14</v>
      </c>
      <c r="F5" s="3">
        <v>0.58823529411764708</v>
      </c>
      <c r="G5" s="9">
        <v>1555.9995095857041</v>
      </c>
      <c r="H5" s="1">
        <v>43723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LAS</v>
      </c>
      <c r="B6">
        <v>0</v>
      </c>
      <c r="C6" t="str">
        <v>Los Angeles Sparks</v>
      </c>
      <c r="D6" s="1">
        <v>22</v>
      </c>
      <c r="E6" s="1">
        <v>12</v>
      </c>
      <c r="F6" s="3">
        <v>0.6470588235294118</v>
      </c>
      <c r="G6" s="9">
        <v>1550.5446942533617</v>
      </c>
      <c r="H6" s="1">
        <v>43730</v>
      </c>
      <c r="O6" s="3"/>
      <c r="P6" s="4"/>
      <c r="Q6" s="1"/>
      <c r="AK6" t="s">
        <v>40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0</v>
      </c>
      <c r="AO6" s="1">
        <f>_xlfn.XLOOKUP($AK6,StandingsPivot!$A$4:$A$33,StandingsPivot!E$4:E$33)</f>
        <v>0</v>
      </c>
      <c r="AP6" s="1">
        <f>_xlfn.XLOOKUP($AK6,StandingsPivot!$A$4:$A$33,StandingsPivot!F$4:F$33)</f>
        <v>0</v>
      </c>
      <c r="AQ6" s="1">
        <f>_xlfn.XLOOKUP($AK6,StandingsPivot!$A$4:$A$33,StandingsPivot!G$4:G$33)</f>
        <v>0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0</v>
      </c>
      <c r="AW6" s="1">
        <f t="shared" si="3"/>
        <v>0</v>
      </c>
      <c r="AX6" s="4" cm="1">
        <f t="array" ref="AX6">_xlfn.IFNA(INDEX(Games[PostGmRate], MATCH(1, (Games[Team]=AK6)*(Games[Date]=AY6), 0)),0)</f>
        <v>1436.141664712856</v>
      </c>
      <c r="AY6" s="1">
        <f>_xlfn.MAXIFS(Games[Date], Games[Team], AK6)</f>
        <v>43719</v>
      </c>
      <c r="AZ6">
        <f>SUM(AV6:AW6)</f>
        <v>0</v>
      </c>
      <c r="BO6" s="4"/>
      <c r="BP6" s="1"/>
    </row>
    <row r="7" spans="1:68" x14ac:dyDescent="0.35">
      <c r="A7" t="str">
        <v>MIN</v>
      </c>
      <c r="B7">
        <v>0</v>
      </c>
      <c r="C7" t="str">
        <v>Minnesota Lynx</v>
      </c>
      <c r="D7" s="1">
        <v>18</v>
      </c>
      <c r="E7" s="1">
        <v>16</v>
      </c>
      <c r="F7" s="3">
        <v>0.52941176470588236</v>
      </c>
      <c r="G7" s="9">
        <v>1540.0734299256915</v>
      </c>
      <c r="H7" s="1">
        <v>43719</v>
      </c>
      <c r="AK7" t="s">
        <v>63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1</v>
      </c>
      <c r="AO7" s="1">
        <f>_xlfn.XLOOKUP($AK7,StandingsPivot!$A$4:$A$33,StandingsPivot!E$4:E$33)</f>
        <v>0</v>
      </c>
      <c r="AP7" s="1">
        <f>_xlfn.XLOOKUP($AK7,StandingsPivot!$A$4:$A$33,StandingsPivot!F$4:F$33)</f>
        <v>0</v>
      </c>
      <c r="AQ7" s="1">
        <f>_xlfn.XLOOKUP($AK7,StandingsPivot!$A$4:$A$33,StandingsPivot!G$4:G$33)</f>
        <v>3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1</v>
      </c>
      <c r="AW7" s="1">
        <f t="shared" si="3"/>
        <v>3</v>
      </c>
      <c r="AX7" s="4" cm="1">
        <f t="array" ref="AX7">_xlfn.IFNA(INDEX(Games[PostGmRate], MATCH(1, (Games[Team]=AK7)*(Games[Date]=AY7), 0)),0)</f>
        <v>1550.5446942533617</v>
      </c>
      <c r="AY7" s="1">
        <f>_xlfn.MAXIFS(Games[Date], Games[Team], AK7)</f>
        <v>43730</v>
      </c>
      <c r="AZ7">
        <f>SUM(AV7:AW7)</f>
        <v>4</v>
      </c>
      <c r="BO7" s="4"/>
      <c r="BP7" s="1"/>
    </row>
    <row r="8" spans="1:68" x14ac:dyDescent="0.35">
      <c r="A8" t="str">
        <v>SEA</v>
      </c>
      <c r="B8">
        <v>0</v>
      </c>
      <c r="C8" t="str">
        <v>Seattle Storm</v>
      </c>
      <c r="D8" s="1">
        <v>18</v>
      </c>
      <c r="E8" s="1">
        <v>16</v>
      </c>
      <c r="F8" s="3">
        <v>0.52941176470588236</v>
      </c>
      <c r="G8" s="9">
        <v>1532.2580095465919</v>
      </c>
      <c r="H8" s="1">
        <v>43723</v>
      </c>
      <c r="O8" s="3"/>
      <c r="P8" s="4"/>
      <c r="Q8" s="1"/>
      <c r="AK8" t="s">
        <v>41</v>
      </c>
      <c r="AL8" t="e">
        <f>_xlfn.XLOOKUP(AK8,ConfDiv[TeamID],ConfDiv[Logo])</f>
        <v>#N/A</v>
      </c>
      <c r="AM8" t="e">
        <f>_xlfn.XLOOKUP(AK8,ConfDiv[TeamID],ConfDiv[TeamName])</f>
        <v>#N/A</v>
      </c>
      <c r="AN8" s="1" t="e">
        <f>_xlfn.XLOOKUP($AK8,StandingsPivot!$A$4:$A$33,StandingsPivot!D$4:D$33)</f>
        <v>#N/A</v>
      </c>
      <c r="AO8" s="1" t="e">
        <f>_xlfn.XLOOKUP($AK8,StandingsPivot!$A$4:$A$33,StandingsPivot!E$4:E$33)</f>
        <v>#N/A</v>
      </c>
      <c r="AP8" s="1" t="e">
        <f>_xlfn.XLOOKUP($AK8,StandingsPivot!$A$4:$A$33,StandingsPivot!F$4:F$33)</f>
        <v>#N/A</v>
      </c>
      <c r="AQ8" s="1" t="e">
        <f>_xlfn.XLOOKUP($AK8,StandingsPivot!$A$4:$A$33,StandingsPivot!G$4:G$33)</f>
        <v>#N/A</v>
      </c>
      <c r="AR8" s="1" t="e">
        <f>_xlfn.XLOOKUP($AK8,StandingsPivot!$A$4:$A$33,StandingsPivot!H$4:H$33)</f>
        <v>#N/A</v>
      </c>
      <c r="AS8" s="1" t="e">
        <f>_xlfn.XLOOKUP($AK8,StandingsPivot!$A$4:$A$33,StandingsPivot!I$4:I$33)</f>
        <v>#N/A</v>
      </c>
      <c r="AT8" s="1" t="e">
        <f>_xlfn.XLOOKUP($AK8,StandingsPivot!$A$4:$A$33,StandingsPivot!J$4:J$33)</f>
        <v>#N/A</v>
      </c>
      <c r="AU8" s="1" t="e">
        <f>_xlfn.XLOOKUP($AK8,StandingsPivot!$A$4:$A$33,StandingsPivot!K$4:K$33)</f>
        <v>#N/A</v>
      </c>
      <c r="AV8" s="1" t="e">
        <f t="shared" si="3"/>
        <v>#N/A</v>
      </c>
      <c r="AW8" s="1" t="e">
        <f t="shared" si="3"/>
        <v>#N/A</v>
      </c>
      <c r="AX8" s="4" cm="1">
        <f t="array" ref="AX8">_xlfn.IFNA(INDEX(Games[PostGmRate], MATCH(1, (Games[Team]=AK8)*(Games[Date]=AY8), 0)),0)</f>
        <v>0</v>
      </c>
      <c r="AY8" s="1">
        <f>_xlfn.MAXIFS(Games[Date], Games[Team], AK8)</f>
        <v>0</v>
      </c>
      <c r="AZ8" t="e">
        <f>SUM(AV8:AW8)</f>
        <v>#N/A</v>
      </c>
      <c r="BO8" s="4"/>
      <c r="BP8" s="1"/>
    </row>
    <row r="9" spans="1:68" x14ac:dyDescent="0.35">
      <c r="A9" t="str">
        <v>IND</v>
      </c>
      <c r="B9">
        <v>0</v>
      </c>
      <c r="C9" t="str">
        <v>Indiana Fever</v>
      </c>
      <c r="D9" s="1">
        <v>13</v>
      </c>
      <c r="E9" s="1">
        <v>21</v>
      </c>
      <c r="F9" s="3">
        <v>0.38235294117647056</v>
      </c>
      <c r="G9" s="9">
        <v>1439.1740740146577</v>
      </c>
      <c r="H9" s="1">
        <v>43716</v>
      </c>
      <c r="O9" s="3"/>
      <c r="P9" s="4"/>
      <c r="Q9" s="1"/>
      <c r="AK9" t="s">
        <v>39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PHX</v>
      </c>
      <c r="B10">
        <v>0</v>
      </c>
      <c r="C10" t="str">
        <v>Phoenix Mercury</v>
      </c>
      <c r="D10" s="1">
        <v>15</v>
      </c>
      <c r="E10" s="1">
        <v>19</v>
      </c>
      <c r="F10" s="3">
        <v>0.44117647058823528</v>
      </c>
      <c r="G10" s="9">
        <v>1436.141664712856</v>
      </c>
      <c r="H10" s="1">
        <v>43719</v>
      </c>
      <c r="O10" s="3"/>
      <c r="P10" s="4"/>
      <c r="Q10" s="1"/>
      <c r="AX10" s="4"/>
      <c r="BO10" s="4"/>
      <c r="BP10" s="1"/>
    </row>
    <row r="11" spans="1:68" x14ac:dyDescent="0.35">
      <c r="A11" t="str">
        <v>DAL</v>
      </c>
      <c r="B11">
        <v>0</v>
      </c>
      <c r="C11" t="str">
        <v>Dallas Wings</v>
      </c>
      <c r="D11" s="1">
        <v>10</v>
      </c>
      <c r="E11" s="1">
        <v>24</v>
      </c>
      <c r="F11" s="3">
        <v>0.29411764705882354</v>
      </c>
      <c r="G11" s="9">
        <v>1380.2061272282203</v>
      </c>
      <c r="H11" s="1">
        <v>43716</v>
      </c>
      <c r="O11" s="3"/>
      <c r="P11" s="4"/>
      <c r="Q11" s="1"/>
      <c r="AX11" s="4"/>
      <c r="BO11" s="4"/>
      <c r="BP11" s="1"/>
    </row>
    <row r="12" spans="1:68" x14ac:dyDescent="0.35">
      <c r="A12" t="str">
        <v>ATL</v>
      </c>
      <c r="B12">
        <v>0</v>
      </c>
      <c r="C12" t="str">
        <v>Atlanta Dream</v>
      </c>
      <c r="D12" s="1">
        <v>8</v>
      </c>
      <c r="E12" s="1">
        <v>26</v>
      </c>
      <c r="F12" s="3">
        <v>0.23529411764705882</v>
      </c>
      <c r="G12" s="9">
        <v>1338.4401083558585</v>
      </c>
      <c r="H12" s="1">
        <v>43716</v>
      </c>
      <c r="O12" s="3"/>
      <c r="P12" s="4"/>
      <c r="Q12" s="1"/>
      <c r="AX12" s="4"/>
      <c r="BO12" s="4"/>
      <c r="BP12" s="1"/>
    </row>
    <row r="13" spans="1:68" x14ac:dyDescent="0.35">
      <c r="A13" t="str">
        <v>NYL</v>
      </c>
      <c r="B13">
        <v>0</v>
      </c>
      <c r="C13" t="str">
        <v>New York Liberty</v>
      </c>
      <c r="D13" s="1">
        <v>10</v>
      </c>
      <c r="E13" s="1">
        <v>24</v>
      </c>
      <c r="F13" s="3">
        <v>0.29411764705882354</v>
      </c>
      <c r="G13" s="9">
        <v>1322.6110354705729</v>
      </c>
      <c r="H13" s="1">
        <v>43716</v>
      </c>
      <c r="AX13" s="4"/>
      <c r="BO13" s="4"/>
      <c r="BP13" s="1"/>
    </row>
    <row r="14" spans="1:68" x14ac:dyDescent="0.35">
      <c r="F14" s="3"/>
      <c r="G14" s="9"/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77</v>
      </c>
      <c r="B25">
        <f>_xlfn.XLOOKUP(A25,ConfDiv[TeamID],ConfDiv[Logo])</f>
        <v>0</v>
      </c>
      <c r="C25" t="str">
        <f>_xlfn.XLOOKUP(A25,ConfDiv[TeamID],ConfDiv[TeamName])</f>
        <v>Atlanta Dream</v>
      </c>
      <c r="D25" s="1">
        <f>_xlfn.XLOOKUP($A25,StandingsPivot!$A$4:$A$35,StandingsPivot!B$4:B$35)</f>
        <v>8</v>
      </c>
      <c r="E25" s="1">
        <f>_xlfn.XLOOKUP($A25,StandingsPivot!$A$4:$A$35,StandingsPivot!C$4:C$35)</f>
        <v>26</v>
      </c>
      <c r="F25" s="3">
        <f>(D25)/(D25+E25)</f>
        <v>0.23529411764705882</v>
      </c>
      <c r="G25" s="9" cm="1">
        <f t="array" ref="G25">INDEX(Games[PostGmRate], MATCH(1, (Games[Team]=A25)*(Games[Date]=H25), 0))</f>
        <v>1338.4401083558585</v>
      </c>
      <c r="H25" s="1">
        <f>_xlfn.MAXIFS(Games[Date], Games[Team], A25)</f>
        <v>43716</v>
      </c>
      <c r="AR25" s="3"/>
      <c r="AS25" s="4"/>
      <c r="BD25" s="1"/>
      <c r="BG25" s="3"/>
      <c r="BH25" s="4"/>
    </row>
    <row r="26" spans="1:60" x14ac:dyDescent="0.35">
      <c r="A26" t="s">
        <v>75</v>
      </c>
      <c r="B26">
        <f>_xlfn.XLOOKUP(A26,ConfDiv[TeamID],ConfDiv[Logo])</f>
        <v>0</v>
      </c>
      <c r="C26" t="str">
        <f>_xlfn.XLOOKUP(A26,ConfDiv[TeamID],ConfDiv[TeamName])</f>
        <v>Chicago Sky</v>
      </c>
      <c r="D26" s="1">
        <f>_xlfn.XLOOKUP($A26,StandingsPivot!$A$4:$A$35,StandingsPivot!B$4:B$35)</f>
        <v>20</v>
      </c>
      <c r="E26" s="1">
        <f>_xlfn.XLOOKUP($A26,StandingsPivot!$A$4:$A$35,StandingsPivot!C$4:C$35)</f>
        <v>14</v>
      </c>
      <c r="F26" s="3">
        <f>(D26)/(D26+E26)</f>
        <v>0.58823529411764708</v>
      </c>
      <c r="G26" s="9" cm="1">
        <f t="array" ref="G26">INDEX(Games[PostGmRate], MATCH(1, (Games[Team]=A26)*(Games[Date]=H26), 0))</f>
        <v>1555.9995095857041</v>
      </c>
      <c r="H26" s="1">
        <f>_xlfn.MAXIFS(Games[Date], Games[Team], A26)</f>
        <v>43723</v>
      </c>
      <c r="AR26" s="3"/>
      <c r="AS26" s="4"/>
      <c r="BD26" s="1"/>
      <c r="BG26" s="3"/>
      <c r="BH26" s="4"/>
    </row>
    <row r="27" spans="1:60" x14ac:dyDescent="0.35">
      <c r="A27" t="s">
        <v>74</v>
      </c>
      <c r="B27">
        <f>_xlfn.XLOOKUP(A27,ConfDiv[TeamID],ConfDiv[Logo])</f>
        <v>0</v>
      </c>
      <c r="C27" t="str">
        <f>_xlfn.XLOOKUP(A27,ConfDiv[TeamID],ConfDiv[TeamName])</f>
        <v>Connecticut Sun</v>
      </c>
      <c r="D27" s="1">
        <f>_xlfn.XLOOKUP($A27,StandingsPivot!$A$4:$A$35,StandingsPivot!B$4:B$35)</f>
        <v>23</v>
      </c>
      <c r="E27" s="1">
        <f>_xlfn.XLOOKUP($A27,StandingsPivot!$A$4:$A$35,StandingsPivot!C$4:C$35)</f>
        <v>11</v>
      </c>
      <c r="F27" s="3">
        <f>(D27)/(D27+E27)</f>
        <v>0.67647058823529416</v>
      </c>
      <c r="G27" s="9" cm="1">
        <f t="array" ref="G27">INDEX(Games[PostGmRate], MATCH(1, (Games[Team]=A27)*(Games[Date]=H27), 0))</f>
        <v>1636.5798314858075</v>
      </c>
      <c r="H27" s="1">
        <f>_xlfn.MAXIFS(Games[Date], Games[Team], A27)</f>
        <v>43748</v>
      </c>
      <c r="AR27" s="3"/>
      <c r="AS27" s="4"/>
      <c r="BD27" s="1"/>
      <c r="BG27" s="3"/>
      <c r="BH27" s="4"/>
    </row>
    <row r="28" spans="1:60" x14ac:dyDescent="0.35">
      <c r="A28" t="s">
        <v>85</v>
      </c>
      <c r="B28">
        <f>_xlfn.XLOOKUP(A28,ConfDiv[TeamID],ConfDiv[Logo])</f>
        <v>0</v>
      </c>
      <c r="C28" t="str">
        <f>_xlfn.XLOOKUP(A28,ConfDiv[TeamID],ConfDiv[TeamName])</f>
        <v>Dallas Wings</v>
      </c>
      <c r="D28" s="1">
        <f>_xlfn.XLOOKUP($A28,StandingsPivot!$A$4:$A$35,StandingsPivot!B$4:B$35)</f>
        <v>10</v>
      </c>
      <c r="E28" s="1">
        <f>_xlfn.XLOOKUP($A28,StandingsPivot!$A$4:$A$35,StandingsPivot!C$4:C$35)</f>
        <v>24</v>
      </c>
      <c r="F28" s="3">
        <f>(D28)/(D28+E28)</f>
        <v>0.29411764705882354</v>
      </c>
      <c r="G28" s="9" cm="1">
        <f t="array" ref="G28">INDEX(Games[PostGmRate], MATCH(1, (Games[Team]=A28)*(Games[Date]=H28), 0))</f>
        <v>1380.2061272282203</v>
      </c>
      <c r="H28" s="1">
        <f>_xlfn.MAXIFS(Games[Date], Games[Team], A28)</f>
        <v>43716</v>
      </c>
      <c r="AR28" s="3"/>
      <c r="AS28" s="4"/>
      <c r="BD28" s="1"/>
      <c r="BG28" s="3"/>
      <c r="BH28" s="4"/>
    </row>
    <row r="29" spans="1:60" x14ac:dyDescent="0.35">
      <c r="A29" t="s">
        <v>69</v>
      </c>
      <c r="B29">
        <f>_xlfn.XLOOKUP(A29,ConfDiv[TeamID],ConfDiv[Logo])</f>
        <v>0</v>
      </c>
      <c r="C29" t="str">
        <f>_xlfn.XLOOKUP(A29,ConfDiv[TeamID],ConfDiv[TeamName])</f>
        <v>Indiana Fever</v>
      </c>
      <c r="D29" s="1">
        <f>_xlfn.XLOOKUP($A29,StandingsPivot!$A$4:$A$35,StandingsPivot!B$4:B$35)</f>
        <v>13</v>
      </c>
      <c r="E29" s="1">
        <f>_xlfn.XLOOKUP($A29,StandingsPivot!$A$4:$A$35,StandingsPivot!C$4:C$35)</f>
        <v>21</v>
      </c>
      <c r="F29" s="3">
        <f>(D29)/(D29+E29)</f>
        <v>0.38235294117647056</v>
      </c>
      <c r="G29" s="9" cm="1">
        <f t="array" ref="G29">INDEX(Games[PostGmRate], MATCH(1, (Games[Team]=A29)*(Games[Date]=H29), 0))</f>
        <v>1439.1740740146577</v>
      </c>
      <c r="H29" s="1">
        <f>_xlfn.MAXIFS(Games[Date], Games[Team], A29)</f>
        <v>43716</v>
      </c>
      <c r="AR29" s="3"/>
      <c r="AS29" s="4"/>
      <c r="BD29" s="1"/>
      <c r="BG29" s="3"/>
      <c r="BH29" s="4"/>
    </row>
    <row r="30" spans="1:60" x14ac:dyDescent="0.35">
      <c r="A30" t="s">
        <v>63</v>
      </c>
      <c r="B30">
        <f>_xlfn.XLOOKUP(A30,ConfDiv[TeamID],ConfDiv[Logo])</f>
        <v>0</v>
      </c>
      <c r="C30" t="str">
        <f>_xlfn.XLOOKUP(A30,ConfDiv[TeamID],ConfDiv[TeamName])</f>
        <v>Los Angeles Sparks</v>
      </c>
      <c r="D30" s="1">
        <f>_xlfn.XLOOKUP($A30,StandingsPivot!$A$4:$A$35,StandingsPivot!B$4:B$35)</f>
        <v>22</v>
      </c>
      <c r="E30" s="1">
        <f>_xlfn.XLOOKUP($A30,StandingsPivot!$A$4:$A$35,StandingsPivot!C$4:C$35)</f>
        <v>12</v>
      </c>
      <c r="F30" s="3">
        <f>(D30)/(D30+E30)</f>
        <v>0.6470588235294118</v>
      </c>
      <c r="G30" s="9" cm="1">
        <f t="array" ref="G30">INDEX(Games[PostGmRate], MATCH(1, (Games[Team]=A30)*(Games[Date]=H30), 0))</f>
        <v>1550.5446942533617</v>
      </c>
      <c r="H30" s="1">
        <f>_xlfn.MAXIFS(Games[Date], Games[Team], A30)</f>
        <v>43730</v>
      </c>
      <c r="AR30" s="3"/>
      <c r="AS30" s="4"/>
      <c r="BD30" s="1"/>
      <c r="BG30" s="3"/>
      <c r="BH30" s="4"/>
    </row>
    <row r="31" spans="1:60" x14ac:dyDescent="0.35">
      <c r="A31" t="s">
        <v>86</v>
      </c>
      <c r="B31">
        <f>_xlfn.XLOOKUP(A31,ConfDiv[TeamID],ConfDiv[Logo])</f>
        <v>0</v>
      </c>
      <c r="C31" t="str">
        <f>_xlfn.XLOOKUP(A31,ConfDiv[TeamID],ConfDiv[TeamName])</f>
        <v>Las Vegas Aces</v>
      </c>
      <c r="D31" s="1">
        <f>_xlfn.XLOOKUP($A31,StandingsPivot!$A$4:$A$35,StandingsPivot!B$4:B$35)</f>
        <v>21</v>
      </c>
      <c r="E31" s="1">
        <f>_xlfn.XLOOKUP($A31,StandingsPivot!$A$4:$A$35,StandingsPivot!C$4:C$35)</f>
        <v>13</v>
      </c>
      <c r="F31" s="3">
        <f>(D31)/(D31+E31)</f>
        <v>0.61764705882352944</v>
      </c>
      <c r="G31" s="9" cm="1">
        <f t="array" ref="G31">INDEX(Games[PostGmRate], MATCH(1, (Games[Team]=A31)*(Games[Date]=H31), 0))</f>
        <v>1556.6184263062048</v>
      </c>
      <c r="H31" s="1">
        <f>_xlfn.MAXIFS(Games[Date], Games[Team], A31)</f>
        <v>43732</v>
      </c>
      <c r="AR31" s="3"/>
      <c r="AS31" s="4"/>
      <c r="BD31" s="1"/>
      <c r="BG31" s="3"/>
      <c r="BH31" s="4"/>
    </row>
    <row r="32" spans="1:60" x14ac:dyDescent="0.35">
      <c r="A32" t="s">
        <v>67</v>
      </c>
      <c r="B32">
        <f>_xlfn.XLOOKUP(A32,ConfDiv[TeamID],ConfDiv[Logo])</f>
        <v>0</v>
      </c>
      <c r="C32" t="str">
        <f>_xlfn.XLOOKUP(A32,ConfDiv[TeamID],ConfDiv[TeamName])</f>
        <v>Minnesota Lynx</v>
      </c>
      <c r="D32" s="1">
        <f>_xlfn.XLOOKUP($A32,StandingsPivot!$A$4:$A$35,StandingsPivot!B$4:B$35)</f>
        <v>18</v>
      </c>
      <c r="E32" s="1">
        <f>_xlfn.XLOOKUP($A32,StandingsPivot!$A$4:$A$35,StandingsPivot!C$4:C$35)</f>
        <v>16</v>
      </c>
      <c r="F32" s="3">
        <f>(D32)/(D32+E32)</f>
        <v>0.52941176470588236</v>
      </c>
      <c r="G32" s="9" cm="1">
        <f t="array" ref="G32">INDEX(Games[PostGmRate], MATCH(1, (Games[Team]=A32)*(Games[Date]=H32), 0))</f>
        <v>1540.0734299256915</v>
      </c>
      <c r="H32" s="1">
        <f>_xlfn.MAXIFS(Games[Date], Games[Team], A32)</f>
        <v>43719</v>
      </c>
    </row>
    <row r="33" spans="1:8" x14ac:dyDescent="0.35">
      <c r="A33" t="s">
        <v>60</v>
      </c>
      <c r="B33">
        <f>_xlfn.XLOOKUP(A33,ConfDiv[TeamID],ConfDiv[Logo])</f>
        <v>0</v>
      </c>
      <c r="C33" t="str">
        <f>_xlfn.XLOOKUP(A33,ConfDiv[TeamID],ConfDiv[TeamName])</f>
        <v>New York Liberty</v>
      </c>
      <c r="D33" s="1">
        <f>_xlfn.XLOOKUP($A33,StandingsPivot!$A$4:$A$35,StandingsPivot!B$4:B$35)</f>
        <v>10</v>
      </c>
      <c r="E33" s="1">
        <f>_xlfn.XLOOKUP($A33,StandingsPivot!$A$4:$A$35,StandingsPivot!C$4:C$35)</f>
        <v>24</v>
      </c>
      <c r="F33" s="3">
        <f>(D33)/(D33+E33)</f>
        <v>0.29411764705882354</v>
      </c>
      <c r="G33" s="9" cm="1">
        <f t="array" ref="G33">INDEX(Games[PostGmRate], MATCH(1, (Games[Team]=A33)*(Games[Date]=H33), 0))</f>
        <v>1322.6110354705729</v>
      </c>
      <c r="H33" s="1">
        <f>_xlfn.MAXIFS(Games[Date], Games[Team], A33)</f>
        <v>43716</v>
      </c>
    </row>
    <row r="34" spans="1:8" x14ac:dyDescent="0.35">
      <c r="A34" t="s">
        <v>40</v>
      </c>
      <c r="B34">
        <f>_xlfn.XLOOKUP(A34,ConfDiv[TeamID],ConfDiv[Logo])</f>
        <v>0</v>
      </c>
      <c r="C34" t="str">
        <f>_xlfn.XLOOKUP(A34,ConfDiv[TeamID],ConfDiv[TeamName])</f>
        <v>Phoenix Mercury</v>
      </c>
      <c r="D34" s="1">
        <f>_xlfn.XLOOKUP($A34,StandingsPivot!$A$4:$A$35,StandingsPivot!B$4:B$35)</f>
        <v>15</v>
      </c>
      <c r="E34" s="1">
        <f>_xlfn.XLOOKUP($A34,StandingsPivot!$A$4:$A$35,StandingsPivot!C$4:C$35)</f>
        <v>19</v>
      </c>
      <c r="F34" s="3">
        <f>(D34)/(D34+E34)</f>
        <v>0.44117647058823528</v>
      </c>
      <c r="G34" s="9" cm="1">
        <f t="array" ref="G34">INDEX(Games[PostGmRate], MATCH(1, (Games[Team]=A34)*(Games[Date]=H34), 0))</f>
        <v>1436.141664712856</v>
      </c>
      <c r="H34" s="1">
        <f>_xlfn.MAXIFS(Games[Date], Games[Team], A34)</f>
        <v>43719</v>
      </c>
    </row>
    <row r="35" spans="1:8" x14ac:dyDescent="0.35">
      <c r="A35" t="s">
        <v>71</v>
      </c>
      <c r="B35">
        <f>_xlfn.XLOOKUP(A35,ConfDiv[TeamID],ConfDiv[Logo])</f>
        <v>0</v>
      </c>
      <c r="C35" t="str">
        <f>_xlfn.XLOOKUP(A35,ConfDiv[TeamID],ConfDiv[TeamName])</f>
        <v>Seattle Storm</v>
      </c>
      <c r="D35" s="1">
        <f>_xlfn.XLOOKUP($A35,StandingsPivot!$A$4:$A$35,StandingsPivot!B$4:B$35)</f>
        <v>18</v>
      </c>
      <c r="E35" s="1">
        <f>_xlfn.XLOOKUP($A35,StandingsPivot!$A$4:$A$35,StandingsPivot!C$4:C$35)</f>
        <v>16</v>
      </c>
      <c r="F35" s="3">
        <f>(D35)/(D35+E35)</f>
        <v>0.52941176470588236</v>
      </c>
      <c r="G35" s="9" cm="1">
        <f t="array" ref="G35">INDEX(Games[PostGmRate], MATCH(1, (Games[Team]=A35)*(Games[Date]=H35), 0))</f>
        <v>1532.2580095465919</v>
      </c>
      <c r="H35" s="1">
        <f>_xlfn.MAXIFS(Games[Date], Games[Team], A35)</f>
        <v>43723</v>
      </c>
    </row>
    <row r="36" spans="1:8" x14ac:dyDescent="0.35">
      <c r="A36" t="s">
        <v>65</v>
      </c>
      <c r="B36">
        <f>_xlfn.XLOOKUP(A36,ConfDiv[TeamID],ConfDiv[Logo])</f>
        <v>0</v>
      </c>
      <c r="C36" t="str">
        <f>_xlfn.XLOOKUP(A36,ConfDiv[TeamID],ConfDiv[TeamName])</f>
        <v>Washington Mystics</v>
      </c>
      <c r="D36" s="1">
        <f>_xlfn.XLOOKUP($A36,StandingsPivot!$A$4:$A$35,StandingsPivot!B$4:B$35)</f>
        <v>26</v>
      </c>
      <c r="E36" s="1">
        <f>_xlfn.XLOOKUP($A36,StandingsPivot!$A$4:$A$35,StandingsPivot!C$4:C$35)</f>
        <v>8</v>
      </c>
      <c r="F36" s="3">
        <f>(D36)/(D36+E36)</f>
        <v>0.76470588235294112</v>
      </c>
      <c r="G36" s="9" cm="1">
        <f t="array" ref="G36">INDEX(Games[PostGmRate], MATCH(1, (Games[Team]=A36)*(Games[Date]=H36), 0))</f>
        <v>1711.9416703268407</v>
      </c>
      <c r="H36" s="1">
        <f>_xlfn.MAXIFS(Games[Date], Games[Team], A36)</f>
        <v>43748</v>
      </c>
    </row>
  </sheetData>
  <sortState xmlns:xlrd2="http://schemas.microsoft.com/office/spreadsheetml/2017/richdata2" ref="A25:G36">
    <sortCondition ref="A25:A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17</v>
      </c>
      <c r="B3" s="1" t="s">
        <v>19</v>
      </c>
      <c r="C3" s="1" t="s">
        <v>20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</row>
    <row r="4" spans="1:11" x14ac:dyDescent="0.35">
      <c r="A4" s="6" t="s">
        <v>77</v>
      </c>
      <c r="B4" s="2">
        <v>8</v>
      </c>
      <c r="C4" s="2">
        <v>26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75</v>
      </c>
      <c r="B5" s="2">
        <v>20</v>
      </c>
      <c r="C5" s="2">
        <v>14</v>
      </c>
      <c r="D5" s="2">
        <v>0</v>
      </c>
      <c r="E5" s="2">
        <v>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74</v>
      </c>
      <c r="B6" s="2">
        <v>23</v>
      </c>
      <c r="C6" s="2">
        <v>11</v>
      </c>
      <c r="D6" s="2">
        <v>0</v>
      </c>
      <c r="E6" s="2">
        <v>0</v>
      </c>
      <c r="F6" s="2">
        <v>3</v>
      </c>
      <c r="G6" s="2">
        <v>0</v>
      </c>
      <c r="H6" s="2">
        <v>2</v>
      </c>
      <c r="I6" s="2">
        <v>3</v>
      </c>
      <c r="J6" s="2">
        <v>0</v>
      </c>
      <c r="K6" s="2">
        <v>0</v>
      </c>
    </row>
    <row r="7" spans="1:11" x14ac:dyDescent="0.35">
      <c r="A7" s="6" t="s">
        <v>85</v>
      </c>
      <c r="B7" s="2">
        <v>10</v>
      </c>
      <c r="C7" s="2">
        <v>24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69</v>
      </c>
      <c r="B8" s="2">
        <v>13</v>
      </c>
      <c r="C8" s="2">
        <v>21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63</v>
      </c>
      <c r="B9" s="2">
        <v>22</v>
      </c>
      <c r="C9" s="2">
        <v>12</v>
      </c>
      <c r="D9" s="2">
        <v>1</v>
      </c>
      <c r="E9" s="2">
        <v>0</v>
      </c>
      <c r="F9" s="2">
        <v>0</v>
      </c>
      <c r="G9" s="2">
        <v>3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5">
      <c r="A10" s="6" t="s">
        <v>86</v>
      </c>
      <c r="B10" s="2">
        <v>21</v>
      </c>
      <c r="C10" s="2">
        <v>13</v>
      </c>
      <c r="D10" s="2">
        <v>1</v>
      </c>
      <c r="E10" s="2">
        <v>0</v>
      </c>
      <c r="F10" s="2">
        <v>1</v>
      </c>
      <c r="G10" s="2">
        <v>3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67</v>
      </c>
      <c r="B11" s="2">
        <v>18</v>
      </c>
      <c r="C11" s="2">
        <v>16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60</v>
      </c>
      <c r="B12" s="2">
        <v>10</v>
      </c>
      <c r="C12" s="2">
        <v>24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40</v>
      </c>
      <c r="B13" s="2">
        <v>15</v>
      </c>
      <c r="C13" s="2">
        <v>19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71</v>
      </c>
      <c r="B14" s="2">
        <v>18</v>
      </c>
      <c r="C14" s="2">
        <v>16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65</v>
      </c>
      <c r="B15" s="2">
        <v>26</v>
      </c>
      <c r="C15" s="2">
        <v>8</v>
      </c>
      <c r="D15" s="2">
        <v>0</v>
      </c>
      <c r="E15" s="2">
        <v>0</v>
      </c>
      <c r="F15" s="2">
        <v>3</v>
      </c>
      <c r="G15" s="2">
        <v>1</v>
      </c>
      <c r="H15" s="2">
        <v>3</v>
      </c>
      <c r="I15" s="2">
        <v>2</v>
      </c>
      <c r="J15" s="2">
        <v>0</v>
      </c>
      <c r="K15" s="2">
        <v>0</v>
      </c>
    </row>
    <row r="16" spans="1:11" x14ac:dyDescent="0.35">
      <c r="A16" s="6" t="s">
        <v>18</v>
      </c>
      <c r="B16" s="2">
        <v>204</v>
      </c>
      <c r="C16" s="2">
        <v>204</v>
      </c>
      <c r="D16" s="2">
        <v>2</v>
      </c>
      <c r="E16" s="2">
        <v>2</v>
      </c>
      <c r="F16" s="2">
        <v>7</v>
      </c>
      <c r="G16" s="2">
        <v>7</v>
      </c>
      <c r="H16" s="2">
        <v>5</v>
      </c>
      <c r="I16" s="2">
        <v>5</v>
      </c>
      <c r="J16" s="2">
        <v>0</v>
      </c>
      <c r="K16" s="2">
        <v>0</v>
      </c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17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>
        <v>42</v>
      </c>
    </row>
    <row r="46" spans="1:1" x14ac:dyDescent="0.35">
      <c r="A46" s="11">
        <v>43</v>
      </c>
    </row>
    <row r="47" spans="1:1" x14ac:dyDescent="0.35">
      <c r="A47" s="1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441"/>
  <sheetViews>
    <sheetView workbookViewId="0"/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31</v>
      </c>
      <c r="B1" s="1" t="s">
        <v>26</v>
      </c>
      <c r="C1" s="1" t="s">
        <v>30</v>
      </c>
      <c r="D1" s="1" t="s">
        <v>25</v>
      </c>
      <c r="E1" s="1" t="s">
        <v>24</v>
      </c>
      <c r="F1" s="1" t="s">
        <v>0</v>
      </c>
      <c r="G1" s="1" t="s">
        <v>3</v>
      </c>
      <c r="H1" s="1" t="s">
        <v>14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21</v>
      </c>
      <c r="U1" s="1" t="s">
        <v>9</v>
      </c>
      <c r="V1" s="1" t="s">
        <v>10</v>
      </c>
      <c r="W1" s="1" t="s">
        <v>13</v>
      </c>
      <c r="X1" s="1" t="s">
        <v>23</v>
      </c>
      <c r="Y1" s="1" t="s">
        <v>32</v>
      </c>
      <c r="Z1" s="1" t="s">
        <v>22</v>
      </c>
      <c r="AA1" s="1" t="s">
        <v>11</v>
      </c>
      <c r="AB1" s="1" t="s">
        <v>12</v>
      </c>
      <c r="AC1" s="1" t="s">
        <v>15</v>
      </c>
      <c r="AD1" s="1" t="s">
        <v>16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P1" s="1">
        <v>6</v>
      </c>
      <c r="AQ1">
        <v>76</v>
      </c>
    </row>
    <row r="2" spans="1:46" x14ac:dyDescent="0.35">
      <c r="A2" s="10">
        <v>43609</v>
      </c>
      <c r="B2" s="2">
        <v>2019</v>
      </c>
      <c r="C2" s="2">
        <f>COUNTIFS(Games[Team],Games[[#This Row],[Team]],Games[Season],Games[[#This Row],[Season]],Games[Date],"&lt;=" &amp; Games[[#This Row],[Date]])</f>
        <v>1</v>
      </c>
      <c r="D2" s="2" t="s">
        <v>79</v>
      </c>
      <c r="E2" s="2" t="s">
        <v>80</v>
      </c>
      <c r="F2" s="1" t="s">
        <v>85</v>
      </c>
      <c r="G2" s="1" t="s">
        <v>77</v>
      </c>
      <c r="H2" s="1" t="s">
        <v>81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1475.7648020364356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1534.0297405143997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0.30598811667846687</v>
      </c>
      <c r="R2" s="1">
        <v>72</v>
      </c>
      <c r="S2" s="1">
        <v>76</v>
      </c>
      <c r="T2" s="1">
        <v>0</v>
      </c>
      <c r="U2" s="1">
        <f>Games[[#This Row],[PointsFor]]-Games[[#This Row],[PointsAgainst]]</f>
        <v>-4</v>
      </c>
      <c r="V2" s="1">
        <f>IF(Games[[#This Row],[MOV]]&gt;0,1,IF(Games[[#This Row],[MOV]]=0,0.5,0))</f>
        <v>0</v>
      </c>
      <c r="W2" s="4">
        <f>((ABS(Games[[#This Row],[MOV]])+5)^0.6)/(12+0.01*(ABS(Games[[#This Row],[PreGmRate]]-Games[[#This Row],[OppPreGmRate]])))*IF(Games[[#This Row],[OT]]=1,0.9,1)</f>
        <v>0.29701159943049638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-6.893401212554946</v>
      </c>
      <c r="AB2" s="4">
        <f>Games[[#This Row],[PreGmRate]]+Games[[#This Row],[RatingChange]]</f>
        <v>1468.8714008238808</v>
      </c>
      <c r="AC2" s="2">
        <f>IF(Games[[#This Row],[Type]]="R",IF(Games[[#This Row],[Result]]&gt;0.5,1,0),0)</f>
        <v>0</v>
      </c>
      <c r="AD2" s="2">
        <f>IF(Games[[#This Row],[Type]]="R",IF(Games[[#This Row],[Result]]&lt;0.5,1,0),0)</f>
        <v>1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43609</v>
      </c>
      <c r="B3" s="2">
        <v>2019</v>
      </c>
      <c r="C3" s="2">
        <f>COUNTIFS(Games[Team],Games[[#This Row],[Team]],Games[Season],Games[[#This Row],[Season]],Games[Date],"&lt;=" &amp; Games[[#This Row],[Date]])</f>
        <v>1</v>
      </c>
      <c r="D3" s="2" t="s">
        <v>79</v>
      </c>
      <c r="E3" s="2" t="s">
        <v>80</v>
      </c>
      <c r="F3" s="1" t="s">
        <v>77</v>
      </c>
      <c r="G3" s="1" t="s">
        <v>85</v>
      </c>
      <c r="H3" s="1" t="s">
        <v>82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1534.0297405143997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1475.7648020364356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0.69401188332153307</v>
      </c>
      <c r="R3" s="1">
        <v>76</v>
      </c>
      <c r="S3" s="1">
        <v>72</v>
      </c>
      <c r="T3" s="1">
        <v>0</v>
      </c>
      <c r="U3" s="1">
        <f>Games[[#This Row],[PointsFor]]-Games[[#This Row],[PointsAgainst]]</f>
        <v>4</v>
      </c>
      <c r="V3" s="1">
        <f>IF(Games[[#This Row],[MOV]]&gt;0,1,IF(Games[[#This Row],[MOV]]=0,0.5,0))</f>
        <v>1</v>
      </c>
      <c r="W3" s="4">
        <f>((ABS(Games[[#This Row],[MOV]])+5)^0.6)/(12+0.01*(ABS(Games[[#This Row],[PreGmRate]]-Games[[#This Row],[OppPreGmRate]])))*IF(Games[[#This Row],[OT]]=1,0.9,1)</f>
        <v>0.29701159943049638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6.8934012125549469</v>
      </c>
      <c r="AB3" s="4">
        <f>Games[[#This Row],[PreGmRate]]+Games[[#This Row],[RatingChange]]</f>
        <v>1540.9231417269546</v>
      </c>
      <c r="AC3" s="2">
        <f>IF(Games[[#This Row],[Type]]="R",IF(Games[[#This Row],[Result]]&gt;0.5,1,0),0)</f>
        <v>1</v>
      </c>
      <c r="AD3" s="2">
        <f>IF(Games[[#This Row],[Type]]="R",IF(Games[[#This Row],[Result]]&lt;0.5,1,0),0)</f>
        <v>0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43609</v>
      </c>
      <c r="B4" s="2">
        <v>2019</v>
      </c>
      <c r="C4" s="2">
        <f>COUNTIFS(Games[Team],Games[[#This Row],[Team]],Games[Season],Games[[#This Row],[Season]],Games[Date],"&lt;=" &amp; Games[[#This Row],[Date]])</f>
        <v>1</v>
      </c>
      <c r="D4" s="2" t="s">
        <v>79</v>
      </c>
      <c r="E4" s="2" t="s">
        <v>80</v>
      </c>
      <c r="F4" s="1" t="s">
        <v>69</v>
      </c>
      <c r="G4" s="1" t="s">
        <v>60</v>
      </c>
      <c r="H4" s="1" t="s">
        <v>81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1403.8758426140951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1413.374624833551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0.36860122779140359</v>
      </c>
      <c r="R4" s="1">
        <v>81</v>
      </c>
      <c r="S4" s="1">
        <v>80</v>
      </c>
      <c r="T4" s="1">
        <v>0</v>
      </c>
      <c r="U4" s="1">
        <f>Games[[#This Row],[PointsFor]]-Games[[#This Row],[PointsAgainst]]</f>
        <v>1</v>
      </c>
      <c r="V4" s="1">
        <f>IF(Games[[#This Row],[MOV]]&gt;0,1,IF(Games[[#This Row],[MOV]]=0,0.5,0))</f>
        <v>1</v>
      </c>
      <c r="W4" s="4">
        <f>((ABS(Games[[#This Row],[MOV]])+5)^0.6)/(12+0.01*(ABS(Games[[#This Row],[PreGmRate]]-Games[[#This Row],[OppPreGmRate]])))*IF(Games[[#This Row],[OT]]=1,0.9,1)</f>
        <v>0.24226200924374827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11.602314484107668</v>
      </c>
      <c r="AB4" s="4">
        <f>Games[[#This Row],[PreGmRate]]+Games[[#This Row],[RatingChange]]</f>
        <v>1415.4781570982027</v>
      </c>
      <c r="AC4" s="2">
        <f>IF(Games[[#This Row],[Type]]="R",IF(Games[[#This Row],[Result]]&gt;0.5,1,0),0)</f>
        <v>1</v>
      </c>
      <c r="AD4" s="2">
        <f>IF(Games[[#This Row],[Type]]="R",IF(Games[[#This Row],[Result]]&lt;0.5,1,0),0)</f>
        <v>0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43609</v>
      </c>
      <c r="B5" s="2">
        <v>2019</v>
      </c>
      <c r="C5" s="2">
        <f>COUNTIFS(Games[Team],Games[[#This Row],[Team]],Games[Season],Games[[#This Row],[Season]],Games[Date],"&lt;=" &amp; Games[[#This Row],[Date]])</f>
        <v>1</v>
      </c>
      <c r="D5" s="2" t="s">
        <v>79</v>
      </c>
      <c r="E5" s="2" t="s">
        <v>80</v>
      </c>
      <c r="F5" s="1" t="s">
        <v>60</v>
      </c>
      <c r="G5" s="1" t="s">
        <v>69</v>
      </c>
      <c r="H5" s="1" t="s">
        <v>82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1413.374624833551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1403.8758426140951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0.63139877220859641</v>
      </c>
      <c r="R5" s="1">
        <v>80</v>
      </c>
      <c r="S5" s="1">
        <v>81</v>
      </c>
      <c r="T5" s="1">
        <v>0</v>
      </c>
      <c r="U5" s="1">
        <f>Games[[#This Row],[PointsFor]]-Games[[#This Row],[PointsAgainst]]</f>
        <v>-1</v>
      </c>
      <c r="V5" s="1">
        <f>IF(Games[[#This Row],[MOV]]&gt;0,1,IF(Games[[#This Row],[MOV]]=0,0.5,0))</f>
        <v>0</v>
      </c>
      <c r="W5" s="4">
        <f>((ABS(Games[[#This Row],[MOV]])+5)^0.6)/(12+0.01*(ABS(Games[[#This Row],[PreGmRate]]-Games[[#This Row],[OppPreGmRate]])))*IF(Games[[#This Row],[OT]]=1,0.9,1)</f>
        <v>0.24226200924374827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-11.602314484107668</v>
      </c>
      <c r="AB5" s="4">
        <f>Games[[#This Row],[PreGmRate]]+Games[[#This Row],[RatingChange]]</f>
        <v>1401.7723103494434</v>
      </c>
      <c r="AC5" s="2">
        <f>IF(Games[[#This Row],[Type]]="R",IF(Games[[#This Row],[Result]]&gt;0.5,1,0),0)</f>
        <v>0</v>
      </c>
      <c r="AD5" s="2">
        <f>IF(Games[[#This Row],[Type]]="R",IF(Games[[#This Row],[Result]]&lt;0.5,1,0),0)</f>
        <v>1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43610</v>
      </c>
      <c r="B6" s="2">
        <v>2019</v>
      </c>
      <c r="C6" s="2">
        <f>COUNTIFS(Games[Team],Games[[#This Row],[Team]],Games[Season],Games[[#This Row],[Season]],Games[Date],"&lt;=" &amp; Games[[#This Row],[Date]])</f>
        <v>1</v>
      </c>
      <c r="D6" s="2" t="s">
        <v>79</v>
      </c>
      <c r="E6" s="2" t="s">
        <v>80</v>
      </c>
      <c r="F6" s="1" t="s">
        <v>65</v>
      </c>
      <c r="G6" s="1" t="s">
        <v>74</v>
      </c>
      <c r="H6" s="1" t="s">
        <v>81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1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1540.5793256941115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1543.7865160891447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0.37706961591215643</v>
      </c>
      <c r="R6" s="1">
        <v>69</v>
      </c>
      <c r="S6" s="1">
        <v>84</v>
      </c>
      <c r="T6" s="1">
        <v>0</v>
      </c>
      <c r="U6" s="1">
        <f>Games[[#This Row],[PointsFor]]-Games[[#This Row],[PointsAgainst]]</f>
        <v>-15</v>
      </c>
      <c r="V6" s="1">
        <f>IF(Games[[#This Row],[MOV]]&gt;0,1,IF(Games[[#This Row],[MOV]]=0,0.5,0))</f>
        <v>0</v>
      </c>
      <c r="W6" s="4">
        <f>((ABS(Games[[#This Row],[MOV]])+5)^0.6)/(12+0.01*(ABS(Games[[#This Row],[PreGmRate]]-Games[[#This Row],[OppPreGmRate]])))*IF(Games[[#This Row],[OT]]=1,0.9,1)</f>
        <v>0.50150766922894141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-14.343485624568013</v>
      </c>
      <c r="AB6" s="4">
        <f>Games[[#This Row],[PreGmRate]]+Games[[#This Row],[RatingChange]]</f>
        <v>1526.2358400695434</v>
      </c>
      <c r="AC6" s="2">
        <f>IF(Games[[#This Row],[Type]]="R",IF(Games[[#This Row],[Result]]&gt;0.5,1,0),0)</f>
        <v>0</v>
      </c>
      <c r="AD6" s="2">
        <f>IF(Games[[#This Row],[Type]]="R",IF(Games[[#This Row],[Result]]&lt;0.5,1,0),0)</f>
        <v>1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43610</v>
      </c>
      <c r="B7" s="2">
        <v>2019</v>
      </c>
      <c r="C7" s="2">
        <f>COUNTIFS(Games[Team],Games[[#This Row],[Team]],Games[Season],Games[[#This Row],[Season]],Games[Date],"&lt;=" &amp; Games[[#This Row],[Date]])</f>
        <v>1</v>
      </c>
      <c r="D7" s="2" t="s">
        <v>79</v>
      </c>
      <c r="E7" s="2" t="s">
        <v>80</v>
      </c>
      <c r="F7" s="1" t="s">
        <v>74</v>
      </c>
      <c r="G7" s="1" t="s">
        <v>65</v>
      </c>
      <c r="H7" s="1" t="s">
        <v>82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1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1543.7865160891447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1540.5793256941115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0.62293038408784351</v>
      </c>
      <c r="R7" s="1">
        <v>84</v>
      </c>
      <c r="S7" s="1">
        <v>69</v>
      </c>
      <c r="T7" s="1">
        <v>0</v>
      </c>
      <c r="U7" s="1">
        <f>Games[[#This Row],[PointsFor]]-Games[[#This Row],[PointsAgainst]]</f>
        <v>15</v>
      </c>
      <c r="V7" s="1">
        <f>IF(Games[[#This Row],[MOV]]&gt;0,1,IF(Games[[#This Row],[MOV]]=0,0.5,0))</f>
        <v>1</v>
      </c>
      <c r="W7" s="4">
        <f>((ABS(Games[[#This Row],[MOV]])+5)^0.6)/(12+0.01*(ABS(Games[[#This Row],[PreGmRate]]-Games[[#This Row],[OppPreGmRate]])))*IF(Games[[#This Row],[OT]]=1,0.9,1)</f>
        <v>0.50150766922894141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14.343485624568014</v>
      </c>
      <c r="AB7" s="4">
        <f>Games[[#This Row],[PreGmRate]]+Games[[#This Row],[RatingChange]]</f>
        <v>1558.1300017137128</v>
      </c>
      <c r="AC7" s="2">
        <f>IF(Games[[#This Row],[Type]]="R",IF(Games[[#This Row],[Result]]&gt;0.5,1,0),0)</f>
        <v>1</v>
      </c>
      <c r="AD7" s="2">
        <f>IF(Games[[#This Row],[Type]]="R",IF(Games[[#This Row],[Result]]&lt;0.5,1,0),0)</f>
        <v>0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43610</v>
      </c>
      <c r="B8" s="2">
        <v>2019</v>
      </c>
      <c r="C8" s="2">
        <f>COUNTIFS(Games[Team],Games[[#This Row],[Team]],Games[Season],Games[[#This Row],[Season]],Games[Date],"&lt;=" &amp; Games[[#This Row],[Date]])</f>
        <v>1</v>
      </c>
      <c r="D8" s="2" t="s">
        <v>79</v>
      </c>
      <c r="E8" s="2" t="s">
        <v>80</v>
      </c>
      <c r="F8" s="1" t="s">
        <v>75</v>
      </c>
      <c r="G8" s="1" t="s">
        <v>67</v>
      </c>
      <c r="H8" s="1" t="s">
        <v>81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1450.5964228476666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1517.0126325624542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0.29611537362739776</v>
      </c>
      <c r="R8" s="1">
        <v>71</v>
      </c>
      <c r="S8" s="1">
        <v>89</v>
      </c>
      <c r="T8" s="1">
        <v>0</v>
      </c>
      <c r="U8" s="1">
        <f>Games[[#This Row],[PointsFor]]-Games[[#This Row],[PointsAgainst]]</f>
        <v>-18</v>
      </c>
      <c r="V8" s="1">
        <f>IF(Games[[#This Row],[MOV]]&gt;0,1,IF(Games[[#This Row],[MOV]]=0,0.5,0))</f>
        <v>0</v>
      </c>
      <c r="W8" s="4">
        <f>((ABS(Games[[#This Row],[MOV]])+5)^0.6)/(12+0.01*(ABS(Games[[#This Row],[PreGmRate]]-Games[[#This Row],[OppPreGmRate]])))*IF(Games[[#This Row],[OT]]=1,0.9,1)</f>
        <v>0.51815565334509572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-11.637957893211674</v>
      </c>
      <c r="AB8" s="4">
        <f>Games[[#This Row],[PreGmRate]]+Games[[#This Row],[RatingChange]]</f>
        <v>1438.9584649544549</v>
      </c>
      <c r="AC8" s="2">
        <f>IF(Games[[#This Row],[Type]]="R",IF(Games[[#This Row],[Result]]&gt;0.5,1,0),0)</f>
        <v>0</v>
      </c>
      <c r="AD8" s="2">
        <f>IF(Games[[#This Row],[Type]]="R",IF(Games[[#This Row],[Result]]&lt;0.5,1,0),0)</f>
        <v>1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43610</v>
      </c>
      <c r="B9" s="2">
        <v>2019</v>
      </c>
      <c r="C9" s="2">
        <f>COUNTIFS(Games[Team],Games[[#This Row],[Team]],Games[Season],Games[[#This Row],[Season]],Games[Date],"&lt;=" &amp; Games[[#This Row],[Date]])</f>
        <v>1</v>
      </c>
      <c r="D9" s="2" t="s">
        <v>79</v>
      </c>
      <c r="E9" s="2" t="s">
        <v>80</v>
      </c>
      <c r="F9" s="1" t="s">
        <v>67</v>
      </c>
      <c r="G9" s="1" t="s">
        <v>75</v>
      </c>
      <c r="H9" s="1" t="s">
        <v>82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1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1517.0126325624542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1450.5964228476666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0.70388462637260218</v>
      </c>
      <c r="R9" s="1">
        <v>89</v>
      </c>
      <c r="S9" s="1">
        <v>71</v>
      </c>
      <c r="T9" s="1">
        <v>0</v>
      </c>
      <c r="U9" s="1">
        <f>Games[[#This Row],[PointsFor]]-Games[[#This Row],[PointsAgainst]]</f>
        <v>18</v>
      </c>
      <c r="V9" s="1">
        <f>IF(Games[[#This Row],[MOV]]&gt;0,1,IF(Games[[#This Row],[MOV]]=0,0.5,0))</f>
        <v>1</v>
      </c>
      <c r="W9" s="4">
        <f>((ABS(Games[[#This Row],[MOV]])+5)^0.6)/(12+0.01*(ABS(Games[[#This Row],[PreGmRate]]-Games[[#This Row],[OppPreGmRate]])))*IF(Games[[#This Row],[OT]]=1,0.9,1)</f>
        <v>0.51815565334509572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11.637957893211675</v>
      </c>
      <c r="AB9" s="4">
        <f>Games[[#This Row],[PreGmRate]]+Games[[#This Row],[RatingChange]]</f>
        <v>1528.6505904556659</v>
      </c>
      <c r="AC9" s="2">
        <f>IF(Games[[#This Row],[Type]]="R",IF(Games[[#This Row],[Result]]&gt;0.5,1,0),0)</f>
        <v>1</v>
      </c>
      <c r="AD9" s="2">
        <f>IF(Games[[#This Row],[Type]]="R",IF(Games[[#This Row],[Result]]&lt;0.5,1,0),0)</f>
        <v>0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43610</v>
      </c>
      <c r="B10" s="2">
        <v>2019</v>
      </c>
      <c r="C10" s="2">
        <f>COUNTIFS(Games[Team],Games[[#This Row],[Team]],Games[Season],Games[[#This Row],[Season]],Games[Date],"&lt;=" &amp; Games[[#This Row],[Date]])</f>
        <v>1</v>
      </c>
      <c r="D10" s="2" t="s">
        <v>79</v>
      </c>
      <c r="E10" s="2" t="s">
        <v>80</v>
      </c>
      <c r="F10" s="1" t="s">
        <v>40</v>
      </c>
      <c r="G10" s="1" t="s">
        <v>71</v>
      </c>
      <c r="H10" s="1" t="s">
        <v>81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1541.9743435075707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1599.1683045364787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0.30729888483016399</v>
      </c>
      <c r="R10" s="1">
        <v>68</v>
      </c>
      <c r="S10" s="1">
        <v>77</v>
      </c>
      <c r="T10" s="1">
        <v>0</v>
      </c>
      <c r="U10" s="1">
        <f>Games[[#This Row],[PointsFor]]-Games[[#This Row],[PointsAgainst]]</f>
        <v>-9</v>
      </c>
      <c r="V10" s="1">
        <f>IF(Games[[#This Row],[MOV]]&gt;0,1,IF(Games[[#This Row],[MOV]]=0,0.5,0))</f>
        <v>0</v>
      </c>
      <c r="W10" s="4">
        <f>((ABS(Games[[#This Row],[MOV]])+5)^0.6)/(12+0.01*(ABS(Games[[#This Row],[PreGmRate]]-Games[[#This Row],[OppPreGmRate]])))*IF(Games[[#This Row],[OT]]=1,0.9,1)</f>
        <v>0.38750252361854087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-9.0321492326342163</v>
      </c>
      <c r="AB10" s="4">
        <f>Games[[#This Row],[PreGmRate]]+Games[[#This Row],[RatingChange]]</f>
        <v>1532.9421942749364</v>
      </c>
      <c r="AC10" s="2">
        <f>IF(Games[[#This Row],[Type]]="R",IF(Games[[#This Row],[Result]]&gt;0.5,1,0),0)</f>
        <v>0</v>
      </c>
      <c r="AD10" s="2">
        <f>IF(Games[[#This Row],[Type]]="R",IF(Games[[#This Row],[Result]]&lt;0.5,1,0),0)</f>
        <v>1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43610</v>
      </c>
      <c r="B11" s="2">
        <v>2019</v>
      </c>
      <c r="C11" s="2">
        <f>COUNTIFS(Games[Team],Games[[#This Row],[Team]],Games[Season],Games[[#This Row],[Season]],Games[Date],"&lt;=" &amp; Games[[#This Row],[Date]])</f>
        <v>1</v>
      </c>
      <c r="D11" s="2" t="s">
        <v>79</v>
      </c>
      <c r="E11" s="2" t="s">
        <v>80</v>
      </c>
      <c r="F11" s="1" t="s">
        <v>71</v>
      </c>
      <c r="G11" s="1" t="s">
        <v>40</v>
      </c>
      <c r="H11" s="1" t="s">
        <v>82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1599.1683045364787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1541.9743435075707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0.69270111516983601</v>
      </c>
      <c r="R11" s="1">
        <v>77</v>
      </c>
      <c r="S11" s="1">
        <v>68</v>
      </c>
      <c r="T11" s="1">
        <v>0</v>
      </c>
      <c r="U11" s="1">
        <f>Games[[#This Row],[PointsFor]]-Games[[#This Row],[PointsAgainst]]</f>
        <v>9</v>
      </c>
      <c r="V11" s="1">
        <f>IF(Games[[#This Row],[MOV]]&gt;0,1,IF(Games[[#This Row],[MOV]]=0,0.5,0))</f>
        <v>1</v>
      </c>
      <c r="W11" s="4">
        <f>((ABS(Games[[#This Row],[MOV]])+5)^0.6)/(12+0.01*(ABS(Games[[#This Row],[PreGmRate]]-Games[[#This Row],[OppPreGmRate]])))*IF(Games[[#This Row],[OT]]=1,0.9,1)</f>
        <v>0.38750252361854087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9.0321492326342163</v>
      </c>
      <c r="AB11" s="4">
        <f>Games[[#This Row],[PreGmRate]]+Games[[#This Row],[RatingChange]]</f>
        <v>1608.200453769113</v>
      </c>
      <c r="AC11" s="2">
        <f>IF(Games[[#This Row],[Type]]="R",IF(Games[[#This Row],[Result]]&gt;0.5,1,0),0)</f>
        <v>1</v>
      </c>
      <c r="AD11" s="2">
        <f>IF(Games[[#This Row],[Type]]="R",IF(Games[[#This Row],[Result]]&lt;0.5,1,0),0)</f>
        <v>0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43611</v>
      </c>
      <c r="B12" s="2">
        <v>2019</v>
      </c>
      <c r="C12" s="2">
        <f>COUNTIFS(Games[Team],Games[[#This Row],[Team]],Games[Season],Games[[#This Row],[Season]],Games[Date],"&lt;=" &amp; Games[[#This Row],[Date]])</f>
        <v>1</v>
      </c>
      <c r="D12" s="2" t="s">
        <v>79</v>
      </c>
      <c r="E12" s="2" t="s">
        <v>80</v>
      </c>
      <c r="F12" s="1" t="s">
        <v>63</v>
      </c>
      <c r="G12" s="1" t="s">
        <v>86</v>
      </c>
      <c r="H12" s="1" t="s">
        <v>81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1517.9940452464459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1461.8978441074273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0.45992932400920455</v>
      </c>
      <c r="R12" s="1">
        <v>70</v>
      </c>
      <c r="S12" s="1">
        <v>83</v>
      </c>
      <c r="T12" s="1">
        <v>0</v>
      </c>
      <c r="U12" s="1">
        <f>Games[[#This Row],[PointsFor]]-Games[[#This Row],[PointsAgainst]]</f>
        <v>-13</v>
      </c>
      <c r="V12" s="1">
        <f>IF(Games[[#This Row],[MOV]]&gt;0,1,IF(Games[[#This Row],[MOV]]=0,0.5,0))</f>
        <v>0</v>
      </c>
      <c r="W12" s="4">
        <f>((ABS(Games[[#This Row],[MOV]])+5)^0.6)/(12+0.01*(ABS(Games[[#This Row],[PreGmRate]]-Games[[#This Row],[OppPreGmRate]])))*IF(Games[[#This Row],[OT]]=1,0.9,1)</f>
        <v>0.45096267806819745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75.849999999999994</v>
      </c>
      <c r="Z12" s="4">
        <f>Games[[#This Row],[K]]*Games[[#This Row],[POMult]]</f>
        <v>75.849999999999994</v>
      </c>
      <c r="AA12" s="4">
        <f>(Games[[#This Row],[Keff]]*Games[[#This Row],[MOVMult]])*(Games[[#This Row],[Result]]-Games[[#This Row],[ExpectedWin%]])</f>
        <v>-15.732121291522187</v>
      </c>
      <c r="AB12" s="4">
        <f>Games[[#This Row],[PreGmRate]]+Games[[#This Row],[RatingChange]]</f>
        <v>1502.2619239549238</v>
      </c>
      <c r="AC12" s="2">
        <f>IF(Games[[#This Row],[Type]]="R",IF(Games[[#This Row],[Result]]&gt;0.5,1,0),0)</f>
        <v>0</v>
      </c>
      <c r="AD12" s="2">
        <f>IF(Games[[#This Row],[Type]]="R",IF(Games[[#This Row],[Result]]&lt;0.5,1,0),0)</f>
        <v>1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43611</v>
      </c>
      <c r="B13" s="2">
        <v>2019</v>
      </c>
      <c r="C13" s="2">
        <f>COUNTIFS(Games[Team],Games[[#This Row],[Team]],Games[Season],Games[[#This Row],[Season]],Games[Date],"&lt;=" &amp; Games[[#This Row],[Date]])</f>
        <v>1</v>
      </c>
      <c r="D13" s="2" t="s">
        <v>79</v>
      </c>
      <c r="E13" s="2" t="s">
        <v>80</v>
      </c>
      <c r="F13" s="1" t="s">
        <v>86</v>
      </c>
      <c r="G13" s="1" t="s">
        <v>63</v>
      </c>
      <c r="H13" s="1" t="s">
        <v>82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1461.8978441074273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1517.9940452464459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0.54007067599079539</v>
      </c>
      <c r="R13" s="1">
        <v>83</v>
      </c>
      <c r="S13" s="1">
        <v>70</v>
      </c>
      <c r="T13" s="1">
        <v>0</v>
      </c>
      <c r="U13" s="1">
        <f>Games[[#This Row],[PointsFor]]-Games[[#This Row],[PointsAgainst]]</f>
        <v>13</v>
      </c>
      <c r="V13" s="1">
        <f>IF(Games[[#This Row],[MOV]]&gt;0,1,IF(Games[[#This Row],[MOV]]=0,0.5,0))</f>
        <v>1</v>
      </c>
      <c r="W13" s="4">
        <f>((ABS(Games[[#This Row],[MOV]])+5)^0.6)/(12+0.01*(ABS(Games[[#This Row],[PreGmRate]]-Games[[#This Row],[OppPreGmRate]])))*IF(Games[[#This Row],[OT]]=1,0.9,1)</f>
        <v>0.45096267806819745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75.849999999999994</v>
      </c>
      <c r="Z13" s="4">
        <f>Games[[#This Row],[K]]*Games[[#This Row],[POMult]]</f>
        <v>75.849999999999994</v>
      </c>
      <c r="AA13" s="4">
        <f>(Games[[#This Row],[Keff]]*Games[[#This Row],[MOVMult]])*(Games[[#This Row],[Result]]-Games[[#This Row],[ExpectedWin%]])</f>
        <v>15.732121291522189</v>
      </c>
      <c r="AB13" s="4">
        <f>Games[[#This Row],[PreGmRate]]+Games[[#This Row],[RatingChange]]</f>
        <v>1477.6299653989495</v>
      </c>
      <c r="AC13" s="2">
        <f>IF(Games[[#This Row],[Type]]="R",IF(Games[[#This Row],[Result]]&gt;0.5,1,0),0)</f>
        <v>1</v>
      </c>
      <c r="AD13" s="2">
        <f>IF(Games[[#This Row],[Type]]="R",IF(Games[[#This Row],[Result]]&lt;0.5,1,0),0)</f>
        <v>0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43613</v>
      </c>
      <c r="B14" s="2">
        <v>2019</v>
      </c>
      <c r="C14" s="2">
        <f>COUNTIFS(Games[Team],Games[[#This Row],[Team]],Games[Season],Games[[#This Row],[Season]],Games[Date],"&lt;=" &amp; Games[[#This Row],[Date]])</f>
        <v>2</v>
      </c>
      <c r="D14" s="2" t="s">
        <v>79</v>
      </c>
      <c r="E14" s="2" t="s">
        <v>80</v>
      </c>
      <c r="F14" s="1" t="s">
        <v>69</v>
      </c>
      <c r="G14" s="1" t="s">
        <v>74</v>
      </c>
      <c r="H14" s="1" t="s">
        <v>81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" s="2">
        <f>Games[[#This Row],[DaysOff]]-Games[[#This Row],[OppDaysOff]]</f>
        <v>1</v>
      </c>
      <c r="L14" s="2">
        <f>Games[[#This Row],[OppDaysOff]]-Games[[#This Row],[DaysOff]]</f>
        <v>-1</v>
      </c>
      <c r="M14" s="1">
        <f>MAX(-16, MIN(16, Games[[#This Row],[RestDiff]]*8))</f>
        <v>8</v>
      </c>
      <c r="N14" s="1">
        <f>MAX(-16, MIN(16, Games[[#This Row],[OppRestDiff]]*8))</f>
        <v>-8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1415.4781570982027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1558.1300017137128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0.22923965692588588</v>
      </c>
      <c r="R14" s="1">
        <v>77</v>
      </c>
      <c r="S14" s="1">
        <v>88</v>
      </c>
      <c r="T14" s="1">
        <v>0</v>
      </c>
      <c r="U14" s="1">
        <f>Games[[#This Row],[PointsFor]]-Games[[#This Row],[PointsAgainst]]</f>
        <v>-11</v>
      </c>
      <c r="V14" s="1">
        <f>IF(Games[[#This Row],[MOV]]&gt;0,1,IF(Games[[#This Row],[MOV]]=0,0.5,0))</f>
        <v>0</v>
      </c>
      <c r="W14" s="4">
        <f>((ABS(Games[[#This Row],[MOV]])+5)^0.6)/(12+0.01*(ABS(Games[[#This Row],[PreGmRate]]-Games[[#This Row],[OppPreGmRate]])))*IF(Games[[#This Row],[OT]]=1,0.9,1)</f>
        <v>0.39310500814178123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-6.8217249702118021</v>
      </c>
      <c r="AB14" s="4">
        <f>Games[[#This Row],[PreGmRate]]+Games[[#This Row],[RatingChange]]</f>
        <v>1408.6564321279909</v>
      </c>
      <c r="AC14" s="2">
        <f>IF(Games[[#This Row],[Type]]="R",IF(Games[[#This Row],[Result]]&gt;0.5,1,0),0)</f>
        <v>0</v>
      </c>
      <c r="AD14" s="2">
        <f>IF(Games[[#This Row],[Type]]="R",IF(Games[[#This Row],[Result]]&lt;0.5,1,0),0)</f>
        <v>1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43613</v>
      </c>
      <c r="B15" s="2">
        <v>2019</v>
      </c>
      <c r="C15" s="2">
        <f>COUNTIFS(Games[Team],Games[[#This Row],[Team]],Games[Season],Games[[#This Row],[Season]],Games[Date],"&lt;=" &amp; Games[[#This Row],[Date]])</f>
        <v>2</v>
      </c>
      <c r="D15" s="2" t="s">
        <v>79</v>
      </c>
      <c r="E15" s="2" t="s">
        <v>80</v>
      </c>
      <c r="F15" s="1" t="s">
        <v>74</v>
      </c>
      <c r="G15" s="1" t="s">
        <v>69</v>
      </c>
      <c r="H15" s="1" t="s">
        <v>82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" s="2">
        <f>Games[[#This Row],[DaysOff]]-Games[[#This Row],[OppDaysOff]]</f>
        <v>-1</v>
      </c>
      <c r="L15" s="2">
        <f>Games[[#This Row],[OppDaysOff]]-Games[[#This Row],[DaysOff]]</f>
        <v>1</v>
      </c>
      <c r="M15" s="1">
        <f>MAX(-16, MIN(16, Games[[#This Row],[RestDiff]]*8))</f>
        <v>-8</v>
      </c>
      <c r="N15" s="1">
        <f>MAX(-16, MIN(16, Games[[#This Row],[OppRestDiff]]*8))</f>
        <v>8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1558.1300017137128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1415.4781570982027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0.77076034307411412</v>
      </c>
      <c r="R15" s="1">
        <v>88</v>
      </c>
      <c r="S15" s="1">
        <v>77</v>
      </c>
      <c r="T15" s="1">
        <v>0</v>
      </c>
      <c r="U15" s="1">
        <f>Games[[#This Row],[PointsFor]]-Games[[#This Row],[PointsAgainst]]</f>
        <v>11</v>
      </c>
      <c r="V15" s="1">
        <f>IF(Games[[#This Row],[MOV]]&gt;0,1,IF(Games[[#This Row],[MOV]]=0,0.5,0))</f>
        <v>1</v>
      </c>
      <c r="W15" s="4">
        <f>((ABS(Games[[#This Row],[MOV]])+5)^0.6)/(12+0.01*(ABS(Games[[#This Row],[PreGmRate]]-Games[[#This Row],[OppPreGmRate]])))*IF(Games[[#This Row],[OT]]=1,0.9,1)</f>
        <v>0.39310500814178123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75.7</v>
      </c>
      <c r="Z15" s="4">
        <f>Games[[#This Row],[K]]*Games[[#This Row],[POMult]]</f>
        <v>75.7</v>
      </c>
      <c r="AA15" s="4">
        <f>(Games[[#This Row],[Keff]]*Games[[#This Row],[MOVMult]])*(Games[[#This Row],[Result]]-Games[[#This Row],[ExpectedWin%]])</f>
        <v>6.8217249702118021</v>
      </c>
      <c r="AB15" s="4">
        <f>Games[[#This Row],[PreGmRate]]+Games[[#This Row],[RatingChange]]</f>
        <v>1564.9517266839246</v>
      </c>
      <c r="AC15" s="2">
        <f>IF(Games[[#This Row],[Type]]="R",IF(Games[[#This Row],[Result]]&gt;0.5,1,0),0)</f>
        <v>1</v>
      </c>
      <c r="AD15" s="2">
        <f>IF(Games[[#This Row],[Type]]="R",IF(Games[[#This Row],[Result]]&lt;0.5,1,0),0)</f>
        <v>0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43614</v>
      </c>
      <c r="B16" s="2">
        <v>2019</v>
      </c>
      <c r="C16" s="2">
        <f>COUNTIFS(Games[Team],Games[[#This Row],[Team]],Games[Season],Games[[#This Row],[Season]],Games[Date],"&lt;=" &amp; Games[[#This Row],[Date]])</f>
        <v>2</v>
      </c>
      <c r="D16" s="2" t="s">
        <v>79</v>
      </c>
      <c r="E16" s="2" t="s">
        <v>80</v>
      </c>
      <c r="F16" s="1" t="s">
        <v>71</v>
      </c>
      <c r="G16" s="1" t="s">
        <v>67</v>
      </c>
      <c r="H16" s="1" t="s">
        <v>81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" s="2">
        <f>Games[[#This Row],[DaysOff]]-Games[[#This Row],[OppDaysOff]]</f>
        <v>0</v>
      </c>
      <c r="L16" s="2">
        <f>Games[[#This Row],[OppDaysOff]]-Games[[#This Row],[DaysOff]]</f>
        <v>0</v>
      </c>
      <c r="M16" s="1">
        <f>MAX(-16, MIN(16, Games[[#This Row],[RestDiff]]*8))</f>
        <v>0</v>
      </c>
      <c r="N16" s="1">
        <f>MAX(-16, MIN(16, Games[[#This Row],[OppRestDiff]]*8))</f>
        <v>0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1608.200453769113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1528.6505904556659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0.49359608870336913</v>
      </c>
      <c r="R16" s="1">
        <v>61</v>
      </c>
      <c r="S16" s="1">
        <v>72</v>
      </c>
      <c r="T16" s="1">
        <v>0</v>
      </c>
      <c r="U16" s="1">
        <f>Games[[#This Row],[PointsFor]]-Games[[#This Row],[PointsAgainst]]</f>
        <v>-11</v>
      </c>
      <c r="V16" s="1">
        <f>IF(Games[[#This Row],[MOV]]&gt;0,1,IF(Games[[#This Row],[MOV]]=0,0.5,0))</f>
        <v>0</v>
      </c>
      <c r="W16" s="4">
        <f>((ABS(Games[[#This Row],[MOV]])+5)^0.6)/(12+0.01*(ABS(Games[[#This Row],[PreGmRate]]-Games[[#This Row],[OppPreGmRate]])))*IF(Games[[#This Row],[OT]]=1,0.9,1)</f>
        <v>0.41249128263152607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-15.412829138448604</v>
      </c>
      <c r="AB16" s="4">
        <f>Games[[#This Row],[PreGmRate]]+Games[[#This Row],[RatingChange]]</f>
        <v>1592.7876246306644</v>
      </c>
      <c r="AC16" s="2">
        <f>IF(Games[[#This Row],[Type]]="R",IF(Games[[#This Row],[Result]]&gt;0.5,1,0),0)</f>
        <v>0</v>
      </c>
      <c r="AD16" s="2">
        <f>IF(Games[[#This Row],[Type]]="R",IF(Games[[#This Row],[Result]]&lt;0.5,1,0),0)</f>
        <v>1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43614</v>
      </c>
      <c r="B17" s="2">
        <v>2019</v>
      </c>
      <c r="C17" s="2">
        <f>COUNTIFS(Games[Team],Games[[#This Row],[Team]],Games[Season],Games[[#This Row],[Season]],Games[Date],"&lt;=" &amp; Games[[#This Row],[Date]])</f>
        <v>2</v>
      </c>
      <c r="D17" s="2" t="s">
        <v>79</v>
      </c>
      <c r="E17" s="2" t="s">
        <v>80</v>
      </c>
      <c r="F17" s="1" t="s">
        <v>67</v>
      </c>
      <c r="G17" s="1" t="s">
        <v>71</v>
      </c>
      <c r="H17" s="1" t="s">
        <v>82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" s="2">
        <f>Games[[#This Row],[DaysOff]]-Games[[#This Row],[OppDaysOff]]</f>
        <v>0</v>
      </c>
      <c r="L17" s="2">
        <f>Games[[#This Row],[OppDaysOff]]-Games[[#This Row],[DaysOff]]</f>
        <v>0</v>
      </c>
      <c r="M17" s="1">
        <f>MAX(-16, MIN(16, Games[[#This Row],[RestDiff]]*8))</f>
        <v>0</v>
      </c>
      <c r="N17" s="1">
        <f>MAX(-16, MIN(16, Games[[#This Row],[OppRestDiff]]*8))</f>
        <v>0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1528.6505904556659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1608.200453769113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0.50640391129663087</v>
      </c>
      <c r="R17" s="1">
        <v>72</v>
      </c>
      <c r="S17" s="1">
        <v>61</v>
      </c>
      <c r="T17" s="1">
        <v>0</v>
      </c>
      <c r="U17" s="1">
        <f>Games[[#This Row],[PointsFor]]-Games[[#This Row],[PointsAgainst]]</f>
        <v>11</v>
      </c>
      <c r="V17" s="1">
        <f>IF(Games[[#This Row],[MOV]]&gt;0,1,IF(Games[[#This Row],[MOV]]=0,0.5,0))</f>
        <v>1</v>
      </c>
      <c r="W17" s="4">
        <f>((ABS(Games[[#This Row],[MOV]])+5)^0.6)/(12+0.01*(ABS(Games[[#This Row],[PreGmRate]]-Games[[#This Row],[OppPreGmRate]])))*IF(Games[[#This Row],[OT]]=1,0.9,1)</f>
        <v>0.41249128263152607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75.7</v>
      </c>
      <c r="Z17" s="4">
        <f>Games[[#This Row],[K]]*Games[[#This Row],[POMult]]</f>
        <v>75.7</v>
      </c>
      <c r="AA17" s="4">
        <f>(Games[[#This Row],[Keff]]*Games[[#This Row],[MOVMult]])*(Games[[#This Row],[Result]]-Games[[#This Row],[ExpectedWin%]])</f>
        <v>15.412829138448604</v>
      </c>
      <c r="AB17" s="4">
        <f>Games[[#This Row],[PreGmRate]]+Games[[#This Row],[RatingChange]]</f>
        <v>1544.0634195941145</v>
      </c>
      <c r="AC17" s="2">
        <f>IF(Games[[#This Row],[Type]]="R",IF(Games[[#This Row],[Result]]&gt;0.5,1,0),0)</f>
        <v>1</v>
      </c>
      <c r="AD17" s="2">
        <f>IF(Games[[#This Row],[Type]]="R",IF(Games[[#This Row],[Result]]&lt;0.5,1,0),0)</f>
        <v>0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43616</v>
      </c>
      <c r="B18" s="2">
        <v>2019</v>
      </c>
      <c r="C18" s="2">
        <f>COUNTIFS(Games[Team],Games[[#This Row],[Team]],Games[Season],Games[[#This Row],[Season]],Games[Date],"&lt;=" &amp; Games[[#This Row],[Date]])</f>
        <v>3</v>
      </c>
      <c r="D18" s="2" t="s">
        <v>79</v>
      </c>
      <c r="E18" s="2" t="s">
        <v>80</v>
      </c>
      <c r="F18" s="1" t="s">
        <v>71</v>
      </c>
      <c r="G18" s="1" t="s">
        <v>77</v>
      </c>
      <c r="H18" s="1" t="s">
        <v>81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8" s="2">
        <f>Games[[#This Row],[DaysOff]]-Games[[#This Row],[OppDaysOff]]</f>
        <v>-5</v>
      </c>
      <c r="L18" s="2">
        <f>Games[[#This Row],[OppDaysOff]]-Games[[#This Row],[DaysOff]]</f>
        <v>5</v>
      </c>
      <c r="M18" s="1">
        <f>MAX(-16, MIN(16, Games[[#This Row],[RestDiff]]*8))</f>
        <v>-16</v>
      </c>
      <c r="N18" s="1">
        <f>MAX(-16, MIN(16, Games[[#This Row],[OppRestDiff]]*8))</f>
        <v>16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1592.7876246306644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1540.9231417269546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0.4087358630496904</v>
      </c>
      <c r="R18" s="1">
        <v>82</v>
      </c>
      <c r="S18" s="1">
        <v>66</v>
      </c>
      <c r="T18" s="1">
        <v>0</v>
      </c>
      <c r="U18" s="1">
        <f>Games[[#This Row],[PointsFor]]-Games[[#This Row],[PointsAgainst]]</f>
        <v>16</v>
      </c>
      <c r="V18" s="1">
        <f>IF(Games[[#This Row],[MOV]]&gt;0,1,IF(Games[[#This Row],[MOV]]=0,0.5,0))</f>
        <v>1</v>
      </c>
      <c r="W18" s="4">
        <f>((ABS(Games[[#This Row],[MOV]])+5)^0.6)/(12+0.01*(ABS(Games[[#This Row],[PreGmRate]]-Games[[#This Row],[OppPreGmRate]])))*IF(Games[[#This Row],[OT]]=1,0.9,1)</f>
        <v>0.49633426558668997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75.55</v>
      </c>
      <c r="Z18" s="4">
        <f>Games[[#This Row],[K]]*Games[[#This Row],[POMult]]</f>
        <v>75.55</v>
      </c>
      <c r="AA18" s="4">
        <f>(Games[[#This Row],[Keff]]*Games[[#This Row],[MOVMult]])*(Games[[#This Row],[Result]]-Games[[#This Row],[ExpectedWin%]])</f>
        <v>22.171254396723036</v>
      </c>
      <c r="AB18" s="4">
        <f>Games[[#This Row],[PreGmRate]]+Games[[#This Row],[RatingChange]]</f>
        <v>1614.9588790273874</v>
      </c>
      <c r="AC18" s="2">
        <f>IF(Games[[#This Row],[Type]]="R",IF(Games[[#This Row],[Result]]&gt;0.5,1,0),0)</f>
        <v>1</v>
      </c>
      <c r="AD18" s="2">
        <f>IF(Games[[#This Row],[Type]]="R",IF(Games[[#This Row],[Result]]&lt;0.5,1,0),0)</f>
        <v>0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43616</v>
      </c>
      <c r="B19" s="2">
        <v>2019</v>
      </c>
      <c r="C19" s="2">
        <f>COUNTIFS(Games[Team],Games[[#This Row],[Team]],Games[Season],Games[[#This Row],[Season]],Games[Date],"&lt;=" &amp; Games[[#This Row],[Date]])</f>
        <v>2</v>
      </c>
      <c r="D19" s="2" t="s">
        <v>79</v>
      </c>
      <c r="E19" s="2" t="s">
        <v>80</v>
      </c>
      <c r="F19" s="1" t="s">
        <v>77</v>
      </c>
      <c r="G19" s="1" t="s">
        <v>71</v>
      </c>
      <c r="H19" s="1" t="s">
        <v>82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6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" s="2">
        <f>Games[[#This Row],[DaysOff]]-Games[[#This Row],[OppDaysOff]]</f>
        <v>5</v>
      </c>
      <c r="L19" s="2">
        <f>Games[[#This Row],[OppDaysOff]]-Games[[#This Row],[DaysOff]]</f>
        <v>-5</v>
      </c>
      <c r="M19" s="1">
        <f>MAX(-16, MIN(16, Games[[#This Row],[RestDiff]]*8))</f>
        <v>16</v>
      </c>
      <c r="N19" s="1">
        <f>MAX(-16, MIN(16, Games[[#This Row],[OppRestDiff]]*8))</f>
        <v>-16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1540.9231417269546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1592.7876246306644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0.59126413695030966</v>
      </c>
      <c r="R19" s="1">
        <v>66</v>
      </c>
      <c r="S19" s="1">
        <v>82</v>
      </c>
      <c r="T19" s="1">
        <v>0</v>
      </c>
      <c r="U19" s="1">
        <f>Games[[#This Row],[PointsFor]]-Games[[#This Row],[PointsAgainst]]</f>
        <v>-16</v>
      </c>
      <c r="V19" s="1">
        <f>IF(Games[[#This Row],[MOV]]&gt;0,1,IF(Games[[#This Row],[MOV]]=0,0.5,0))</f>
        <v>0</v>
      </c>
      <c r="W19" s="4">
        <f>((ABS(Games[[#This Row],[MOV]])+5)^0.6)/(12+0.01*(ABS(Games[[#This Row],[PreGmRate]]-Games[[#This Row],[OppPreGmRate]])))*IF(Games[[#This Row],[OT]]=1,0.9,1)</f>
        <v>0.49633426558668997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75.7</v>
      </c>
      <c r="Z19" s="4">
        <f>Games[[#This Row],[K]]*Games[[#This Row],[POMult]]</f>
        <v>75.7</v>
      </c>
      <c r="AA19" s="4">
        <f>(Games[[#This Row],[Keff]]*Games[[#This Row],[MOVMult]])*(Games[[#This Row],[Result]]-Games[[#This Row],[ExpectedWin%]])</f>
        <v>-22.215274094400186</v>
      </c>
      <c r="AB19" s="4">
        <f>Games[[#This Row],[PreGmRate]]+Games[[#This Row],[RatingChange]]</f>
        <v>1518.7078676325543</v>
      </c>
      <c r="AC19" s="2">
        <f>IF(Games[[#This Row],[Type]]="R",IF(Games[[#This Row],[Result]]&gt;0.5,1,0),0)</f>
        <v>0</v>
      </c>
      <c r="AD19" s="2">
        <f>IF(Games[[#This Row],[Type]]="R",IF(Games[[#This Row],[Result]]&lt;0.5,1,0),0)</f>
        <v>1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43616</v>
      </c>
      <c r="B20" s="2">
        <v>2019</v>
      </c>
      <c r="C20" s="2">
        <f>COUNTIFS(Games[Team],Games[[#This Row],[Team]],Games[Season],Games[[#This Row],[Season]],Games[Date],"&lt;=" &amp; Games[[#This Row],[Date]])</f>
        <v>3</v>
      </c>
      <c r="D20" s="2" t="s">
        <v>79</v>
      </c>
      <c r="E20" s="2" t="s">
        <v>80</v>
      </c>
      <c r="F20" s="1" t="s">
        <v>74</v>
      </c>
      <c r="G20" s="1" t="s">
        <v>63</v>
      </c>
      <c r="H20" s="1" t="s">
        <v>81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" s="2">
        <f>Games[[#This Row],[DaysOff]]-Games[[#This Row],[OppDaysOff]]</f>
        <v>-2</v>
      </c>
      <c r="L20" s="2">
        <f>Games[[#This Row],[OppDaysOff]]-Games[[#This Row],[DaysOff]]</f>
        <v>2</v>
      </c>
      <c r="M20" s="1">
        <f>MAX(-16, MIN(16, Games[[#This Row],[RestDiff]]*8))</f>
        <v>-16</v>
      </c>
      <c r="N20" s="1">
        <f>MAX(-16, MIN(16, Games[[#This Row],[OppRestDiff]]*8))</f>
        <v>16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1564.9517266839246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1502.2619239549238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0.42387692598309107</v>
      </c>
      <c r="R20" s="1">
        <v>70</v>
      </c>
      <c r="S20" s="1">
        <v>77</v>
      </c>
      <c r="T20" s="1">
        <v>0</v>
      </c>
      <c r="U20" s="1">
        <f>Games[[#This Row],[PointsFor]]-Games[[#This Row],[PointsAgainst]]</f>
        <v>-7</v>
      </c>
      <c r="V20" s="1">
        <f>IF(Games[[#This Row],[MOV]]&gt;0,1,IF(Games[[#This Row],[MOV]]=0,0.5,0))</f>
        <v>0</v>
      </c>
      <c r="W20" s="4">
        <f>((ABS(Games[[#This Row],[MOV]])+5)^0.6)/(12+0.01*(ABS(Games[[#This Row],[PreGmRate]]-Games[[#This Row],[OppPreGmRate]])))*IF(Games[[#This Row],[OT]]=1,0.9,1)</f>
        <v>0.35173215624669391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75.55</v>
      </c>
      <c r="Z20" s="4">
        <f>Games[[#This Row],[K]]*Games[[#This Row],[POMult]]</f>
        <v>75.55</v>
      </c>
      <c r="AA20" s="4">
        <f>(Games[[#This Row],[Keff]]*Games[[#This Row],[MOVMult]])*(Games[[#This Row],[Result]]-Games[[#This Row],[ExpectedWin%]])</f>
        <v>-11.263836016781555</v>
      </c>
      <c r="AB20" s="4">
        <f>Games[[#This Row],[PreGmRate]]+Games[[#This Row],[RatingChange]]</f>
        <v>1553.6878906671429</v>
      </c>
      <c r="AC20" s="2">
        <f>IF(Games[[#This Row],[Type]]="R",IF(Games[[#This Row],[Result]]&gt;0.5,1,0),0)</f>
        <v>0</v>
      </c>
      <c r="AD20" s="2">
        <f>IF(Games[[#This Row],[Type]]="R",IF(Games[[#This Row],[Result]]&lt;0.5,1,0),0)</f>
        <v>1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43616</v>
      </c>
      <c r="B21" s="2">
        <v>2019</v>
      </c>
      <c r="C21" s="2">
        <f>COUNTIFS(Games[Team],Games[[#This Row],[Team]],Games[Season],Games[[#This Row],[Season]],Games[Date],"&lt;=" &amp; Games[[#This Row],[Date]])</f>
        <v>2</v>
      </c>
      <c r="D21" s="2" t="s">
        <v>79</v>
      </c>
      <c r="E21" s="2" t="s">
        <v>80</v>
      </c>
      <c r="F21" s="1" t="s">
        <v>63</v>
      </c>
      <c r="G21" s="1" t="s">
        <v>74</v>
      </c>
      <c r="H21" s="1" t="s">
        <v>82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" s="2">
        <f>Games[[#This Row],[DaysOff]]-Games[[#This Row],[OppDaysOff]]</f>
        <v>2</v>
      </c>
      <c r="L21" s="2">
        <f>Games[[#This Row],[OppDaysOff]]-Games[[#This Row],[DaysOff]]</f>
        <v>-2</v>
      </c>
      <c r="M21" s="1">
        <f>MAX(-16, MIN(16, Games[[#This Row],[RestDiff]]*8))</f>
        <v>16</v>
      </c>
      <c r="N21" s="1">
        <f>MAX(-16, MIN(16, Games[[#This Row],[OppRestDiff]]*8))</f>
        <v>-16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1502.2619239549238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1564.9517266839246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0.57612307401690899</v>
      </c>
      <c r="R21" s="1">
        <v>77</v>
      </c>
      <c r="S21" s="1">
        <v>70</v>
      </c>
      <c r="T21" s="1">
        <v>0</v>
      </c>
      <c r="U21" s="1">
        <f>Games[[#This Row],[PointsFor]]-Games[[#This Row],[PointsAgainst]]</f>
        <v>7</v>
      </c>
      <c r="V21" s="1">
        <f>IF(Games[[#This Row],[MOV]]&gt;0,1,IF(Games[[#This Row],[MOV]]=0,0.5,0))</f>
        <v>1</v>
      </c>
      <c r="W21" s="4">
        <f>((ABS(Games[[#This Row],[MOV]])+5)^0.6)/(12+0.01*(ABS(Games[[#This Row],[PreGmRate]]-Games[[#This Row],[OppPreGmRate]])))*IF(Games[[#This Row],[OT]]=1,0.9,1)</f>
        <v>0.35173215624669391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75.7</v>
      </c>
      <c r="Z21" s="4">
        <f>Games[[#This Row],[K]]*Games[[#This Row],[POMult]]</f>
        <v>75.7</v>
      </c>
      <c r="AA21" s="4">
        <f>(Games[[#This Row],[Keff]]*Games[[#This Row],[MOVMult]])*(Games[[#This Row],[Result]]-Games[[#This Row],[ExpectedWin%]])</f>
        <v>11.286199688555444</v>
      </c>
      <c r="AB21" s="4">
        <f>Games[[#This Row],[PreGmRate]]+Games[[#This Row],[RatingChange]]</f>
        <v>1513.5481236434791</v>
      </c>
      <c r="AC21" s="2">
        <f>IF(Games[[#This Row],[Type]]="R",IF(Games[[#This Row],[Result]]&gt;0.5,1,0),0)</f>
        <v>1</v>
      </c>
      <c r="AD21" s="2">
        <f>IF(Games[[#This Row],[Type]]="R",IF(Games[[#This Row],[Result]]&lt;0.5,1,0),0)</f>
        <v>0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43616</v>
      </c>
      <c r="B22" s="2">
        <v>2019</v>
      </c>
      <c r="C22" s="2">
        <f>COUNTIFS(Games[Team],Games[[#This Row],[Team]],Games[Season],Games[[#This Row],[Season]],Games[Date],"&lt;=" &amp; Games[[#This Row],[Date]])</f>
        <v>2</v>
      </c>
      <c r="D22" s="2" t="s">
        <v>79</v>
      </c>
      <c r="E22" s="2" t="s">
        <v>80</v>
      </c>
      <c r="F22" s="1" t="s">
        <v>86</v>
      </c>
      <c r="G22" s="1" t="s">
        <v>40</v>
      </c>
      <c r="H22" s="1" t="s">
        <v>81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4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2" s="2">
        <f>Games[[#This Row],[DaysOff]]-Games[[#This Row],[OppDaysOff]]</f>
        <v>-1</v>
      </c>
      <c r="L22" s="2">
        <f>Games[[#This Row],[OppDaysOff]]-Games[[#This Row],[DaysOff]]</f>
        <v>1</v>
      </c>
      <c r="M22" s="1">
        <f>MAX(-16, MIN(16, Games[[#This Row],[RestDiff]]*8))</f>
        <v>-8</v>
      </c>
      <c r="N22" s="1">
        <f>MAX(-16, MIN(16, Games[[#This Row],[OppRestDiff]]*8))</f>
        <v>8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1477.6299653989495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1532.9421942749364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0.29027495140622117</v>
      </c>
      <c r="R22" s="1">
        <v>84</v>
      </c>
      <c r="S22" s="1">
        <v>86</v>
      </c>
      <c r="T22" s="1">
        <v>0</v>
      </c>
      <c r="U22" s="1">
        <f>Games[[#This Row],[PointsFor]]-Games[[#This Row],[PointsAgainst]]</f>
        <v>-2</v>
      </c>
      <c r="V22" s="1">
        <f>IF(Games[[#This Row],[MOV]]&gt;0,1,IF(Games[[#This Row],[MOV]]=0,0.5,0))</f>
        <v>0</v>
      </c>
      <c r="W22" s="4">
        <f>((ABS(Games[[#This Row],[MOV]])+5)^0.6)/(12+0.01*(ABS(Games[[#This Row],[PreGmRate]]-Games[[#This Row],[OppPreGmRate]])))*IF(Games[[#This Row],[OT]]=1,0.9,1)</f>
        <v>0.25603955540160367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75.7</v>
      </c>
      <c r="Z22" s="4">
        <f>Games[[#This Row],[K]]*Games[[#This Row],[POMult]]</f>
        <v>75.7</v>
      </c>
      <c r="AA22" s="4">
        <f>(Games[[#This Row],[Keff]]*Games[[#This Row],[MOVMult]])*(Games[[#This Row],[Result]]-Games[[#This Row],[ExpectedWin%]])</f>
        <v>-5.6261655213219139</v>
      </c>
      <c r="AB22" s="4">
        <f>Games[[#This Row],[PreGmRate]]+Games[[#This Row],[RatingChange]]</f>
        <v>1472.0037998776277</v>
      </c>
      <c r="AC22" s="2">
        <f>IF(Games[[#This Row],[Type]]="R",IF(Games[[#This Row],[Result]]&gt;0.5,1,0),0)</f>
        <v>0</v>
      </c>
      <c r="AD22" s="2">
        <f>IF(Games[[#This Row],[Type]]="R",IF(Games[[#This Row],[Result]]&lt;0.5,1,0),0)</f>
        <v>1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43616</v>
      </c>
      <c r="B23" s="2">
        <v>2019</v>
      </c>
      <c r="C23" s="2">
        <f>COUNTIFS(Games[Team],Games[[#This Row],[Team]],Games[Season],Games[[#This Row],[Season]],Games[Date],"&lt;=" &amp; Games[[#This Row],[Date]])</f>
        <v>2</v>
      </c>
      <c r="D23" s="2" t="s">
        <v>79</v>
      </c>
      <c r="E23" s="2" t="s">
        <v>80</v>
      </c>
      <c r="F23" s="1" t="s">
        <v>40</v>
      </c>
      <c r="G23" s="1" t="s">
        <v>86</v>
      </c>
      <c r="H23" s="1" t="s">
        <v>82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5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3" s="2">
        <f>Games[[#This Row],[DaysOff]]-Games[[#This Row],[OppDaysOff]]</f>
        <v>1</v>
      </c>
      <c r="L23" s="2">
        <f>Games[[#This Row],[OppDaysOff]]-Games[[#This Row],[DaysOff]]</f>
        <v>-1</v>
      </c>
      <c r="M23" s="1">
        <f>MAX(-16, MIN(16, Games[[#This Row],[RestDiff]]*8))</f>
        <v>8</v>
      </c>
      <c r="N23" s="1">
        <f>MAX(-16, MIN(16, Games[[#This Row],[OppRestDiff]]*8))</f>
        <v>-8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1532.9421942749364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1477.6299653989495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0.70972504859377894</v>
      </c>
      <c r="R23" s="1">
        <v>86</v>
      </c>
      <c r="S23" s="1">
        <v>84</v>
      </c>
      <c r="T23" s="1">
        <v>0</v>
      </c>
      <c r="U23" s="1">
        <f>Games[[#This Row],[PointsFor]]-Games[[#This Row],[PointsAgainst]]</f>
        <v>2</v>
      </c>
      <c r="V23" s="1">
        <f>IF(Games[[#This Row],[MOV]]&gt;0,1,IF(Games[[#This Row],[MOV]]=0,0.5,0))</f>
        <v>1</v>
      </c>
      <c r="W23" s="4">
        <f>((ABS(Games[[#This Row],[MOV]])+5)^0.6)/(12+0.01*(ABS(Games[[#This Row],[PreGmRate]]-Games[[#This Row],[OppPreGmRate]])))*IF(Games[[#This Row],[OT]]=1,0.9,1)</f>
        <v>0.25603955540160367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75.7</v>
      </c>
      <c r="Z23" s="4">
        <f>Games[[#This Row],[K]]*Games[[#This Row],[POMult]]</f>
        <v>75.7</v>
      </c>
      <c r="AA23" s="4">
        <f>(Games[[#This Row],[Keff]]*Games[[#This Row],[MOVMult]])*(Games[[#This Row],[Result]]-Games[[#This Row],[ExpectedWin%]])</f>
        <v>5.6261655213219113</v>
      </c>
      <c r="AB23" s="4">
        <f>Games[[#This Row],[PreGmRate]]+Games[[#This Row],[RatingChange]]</f>
        <v>1538.5683597962582</v>
      </c>
      <c r="AC23" s="2">
        <f>IF(Games[[#This Row],[Type]]="R",IF(Games[[#This Row],[Result]]&gt;0.5,1,0),0)</f>
        <v>1</v>
      </c>
      <c r="AD23" s="2">
        <f>IF(Games[[#This Row],[Type]]="R",IF(Games[[#This Row],[Result]]&lt;0.5,1,0),0)</f>
        <v>0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43617</v>
      </c>
      <c r="B24" s="2">
        <v>2019</v>
      </c>
      <c r="C24" s="2">
        <f>COUNTIFS(Games[Team],Games[[#This Row],[Team]],Games[Season],Games[[#This Row],[Season]],Games[Date],"&lt;=" &amp; Games[[#This Row],[Date]])</f>
        <v>4</v>
      </c>
      <c r="D24" s="2" t="s">
        <v>79</v>
      </c>
      <c r="E24" s="2" t="s">
        <v>80</v>
      </c>
      <c r="F24" s="1" t="s">
        <v>71</v>
      </c>
      <c r="G24" s="1" t="s">
        <v>75</v>
      </c>
      <c r="H24" s="1" t="s">
        <v>81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4" s="2">
        <f>Games[[#This Row],[DaysOff]]-Games[[#This Row],[OppDaysOff]]</f>
        <v>-6</v>
      </c>
      <c r="L24" s="2">
        <f>Games[[#This Row],[OppDaysOff]]-Games[[#This Row],[DaysOff]]</f>
        <v>6</v>
      </c>
      <c r="M24" s="1">
        <f>MAX(-16, MIN(16, Games[[#This Row],[RestDiff]]*8))</f>
        <v>-16</v>
      </c>
      <c r="N24" s="1">
        <f>MAX(-16, MIN(16, Games[[#This Row],[OppRestDiff]]*8))</f>
        <v>16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1614.9588790273874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1438.9584649544549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0.58549925714640294</v>
      </c>
      <c r="R24" s="1">
        <v>79</v>
      </c>
      <c r="S24" s="1">
        <v>83</v>
      </c>
      <c r="T24" s="1">
        <v>0</v>
      </c>
      <c r="U24" s="1">
        <f>Games[[#This Row],[PointsFor]]-Games[[#This Row],[PointsAgainst]]</f>
        <v>-4</v>
      </c>
      <c r="V24" s="1">
        <f>IF(Games[[#This Row],[MOV]]&gt;0,1,IF(Games[[#This Row],[MOV]]=0,0.5,0))</f>
        <v>0</v>
      </c>
      <c r="W24" s="4">
        <f>((ABS(Games[[#This Row],[MOV]])+5)^0.6)/(12+0.01*(ABS(Games[[#This Row],[PreGmRate]]-Games[[#This Row],[OppPreGmRate]])))*IF(Games[[#This Row],[OT]]=1,0.9,1)</f>
        <v>0.27159823359242596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75.400000000000006</v>
      </c>
      <c r="Z24" s="4">
        <f>Games[[#This Row],[K]]*Games[[#This Row],[POMult]]</f>
        <v>75.400000000000006</v>
      </c>
      <c r="AA24" s="4">
        <f>(Games[[#This Row],[Keff]]*Games[[#This Row],[MOVMult]])*(Games[[#This Row],[Result]]-Games[[#This Row],[ExpectedWin%]])</f>
        <v>-11.990150526402303</v>
      </c>
      <c r="AB24" s="4">
        <f>Games[[#This Row],[PreGmRate]]+Games[[#This Row],[RatingChange]]</f>
        <v>1602.9687285009852</v>
      </c>
      <c r="AC24" s="2">
        <f>IF(Games[[#This Row],[Type]]="R",IF(Games[[#This Row],[Result]]&gt;0.5,1,0),0)</f>
        <v>0</v>
      </c>
      <c r="AD24" s="2">
        <f>IF(Games[[#This Row],[Type]]="R",IF(Games[[#This Row],[Result]]&lt;0.5,1,0),0)</f>
        <v>1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43617</v>
      </c>
      <c r="B25" s="2">
        <v>2019</v>
      </c>
      <c r="C25" s="2">
        <f>COUNTIFS(Games[Team],Games[[#This Row],[Team]],Games[Season],Games[[#This Row],[Season]],Games[Date],"&lt;=" &amp; Games[[#This Row],[Date]])</f>
        <v>2</v>
      </c>
      <c r="D25" s="2" t="s">
        <v>79</v>
      </c>
      <c r="E25" s="2" t="s">
        <v>80</v>
      </c>
      <c r="F25" s="1" t="s">
        <v>75</v>
      </c>
      <c r="G25" s="1" t="s">
        <v>71</v>
      </c>
      <c r="H25" s="1" t="s">
        <v>82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6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5" s="2">
        <f>Games[[#This Row],[DaysOff]]-Games[[#This Row],[OppDaysOff]]</f>
        <v>6</v>
      </c>
      <c r="L25" s="2">
        <f>Games[[#This Row],[OppDaysOff]]-Games[[#This Row],[DaysOff]]</f>
        <v>-6</v>
      </c>
      <c r="M25" s="1">
        <f>MAX(-16, MIN(16, Games[[#This Row],[RestDiff]]*8))</f>
        <v>16</v>
      </c>
      <c r="N25" s="1">
        <f>MAX(-16, MIN(16, Games[[#This Row],[OppRestDiff]]*8))</f>
        <v>-16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1438.9584649544549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1614.9588790273874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0.41450074285359706</v>
      </c>
      <c r="R25" s="1">
        <v>83</v>
      </c>
      <c r="S25" s="1">
        <v>79</v>
      </c>
      <c r="T25" s="1">
        <v>0</v>
      </c>
      <c r="U25" s="1">
        <f>Games[[#This Row],[PointsFor]]-Games[[#This Row],[PointsAgainst]]</f>
        <v>4</v>
      </c>
      <c r="V25" s="1">
        <f>IF(Games[[#This Row],[MOV]]&gt;0,1,IF(Games[[#This Row],[MOV]]=0,0.5,0))</f>
        <v>1</v>
      </c>
      <c r="W25" s="4">
        <f>((ABS(Games[[#This Row],[MOV]])+5)^0.6)/(12+0.01*(ABS(Games[[#This Row],[PreGmRate]]-Games[[#This Row],[OppPreGmRate]])))*IF(Games[[#This Row],[OT]]=1,0.9,1)</f>
        <v>0.27159823359242596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75.7</v>
      </c>
      <c r="Z25" s="4">
        <f>Games[[#This Row],[K]]*Games[[#This Row],[POMult]]</f>
        <v>75.7</v>
      </c>
      <c r="AA25" s="4">
        <f>(Games[[#This Row],[Keff]]*Games[[#This Row],[MOVMult]])*(Games[[#This Row],[Result]]-Games[[#This Row],[ExpectedWin%]])</f>
        <v>12.037856695605495</v>
      </c>
      <c r="AB25" s="4">
        <f>Games[[#This Row],[PreGmRate]]+Games[[#This Row],[RatingChange]]</f>
        <v>1450.9963216500605</v>
      </c>
      <c r="AC25" s="2">
        <f>IF(Games[[#This Row],[Type]]="R",IF(Games[[#This Row],[Result]]&gt;0.5,1,0),0)</f>
        <v>1</v>
      </c>
      <c r="AD25" s="2">
        <f>IF(Games[[#This Row],[Type]]="R",IF(Games[[#This Row],[Result]]&lt;0.5,1,0),0)</f>
        <v>0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43617</v>
      </c>
      <c r="B26" s="2">
        <v>2019</v>
      </c>
      <c r="C26" s="2">
        <f>COUNTIFS(Games[Team],Games[[#This Row],[Team]],Games[Season],Games[[#This Row],[Season]],Games[Date],"&lt;=" &amp; Games[[#This Row],[Date]])</f>
        <v>3</v>
      </c>
      <c r="D26" s="2" t="s">
        <v>79</v>
      </c>
      <c r="E26" s="2" t="s">
        <v>80</v>
      </c>
      <c r="F26" s="1" t="s">
        <v>67</v>
      </c>
      <c r="G26" s="1" t="s">
        <v>85</v>
      </c>
      <c r="H26" s="1" t="s">
        <v>81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6" s="2">
        <f>Games[[#This Row],[DaysOff]]-Games[[#This Row],[OppDaysOff]]</f>
        <v>-5</v>
      </c>
      <c r="L26" s="2">
        <f>Games[[#This Row],[OppDaysOff]]-Games[[#This Row],[DaysOff]]</f>
        <v>5</v>
      </c>
      <c r="M26" s="1">
        <f>MAX(-16, MIN(16, Games[[#This Row],[RestDiff]]*8))</f>
        <v>-16</v>
      </c>
      <c r="N26" s="1">
        <f>MAX(-16, MIN(16, Games[[#This Row],[OppRestDiff]]*8))</f>
        <v>16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1544.0634195941145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1468.8714008238808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0.4415411728028007</v>
      </c>
      <c r="R26" s="1">
        <v>70</v>
      </c>
      <c r="S26" s="1">
        <v>67</v>
      </c>
      <c r="T26" s="1">
        <v>0</v>
      </c>
      <c r="U26" s="1">
        <f>Games[[#This Row],[PointsFor]]-Games[[#This Row],[PointsAgainst]]</f>
        <v>3</v>
      </c>
      <c r="V26" s="1">
        <f>IF(Games[[#This Row],[MOV]]&gt;0,1,IF(Games[[#This Row],[MOV]]=0,0.5,0))</f>
        <v>1</v>
      </c>
      <c r="W26" s="4">
        <f>((ABS(Games[[#This Row],[MOV]])+5)^0.6)/(12+0.01*(ABS(Games[[#This Row],[PreGmRate]]-Games[[#This Row],[OppPreGmRate]])))*IF(Games[[#This Row],[OT]]=1,0.9,1)</f>
        <v>0.27307277664289753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75.55</v>
      </c>
      <c r="Z26" s="4">
        <f>Games[[#This Row],[K]]*Games[[#This Row],[POMult]]</f>
        <v>75.55</v>
      </c>
      <c r="AA26" s="4">
        <f>(Games[[#This Row],[Keff]]*Games[[#This Row],[MOVMult]])*(Games[[#This Row],[Result]]-Games[[#This Row],[ExpectedWin%]])</f>
        <v>11.521367640181561</v>
      </c>
      <c r="AB26" s="4">
        <f>Games[[#This Row],[PreGmRate]]+Games[[#This Row],[RatingChange]]</f>
        <v>1555.5847872342961</v>
      </c>
      <c r="AC26" s="2">
        <f>IF(Games[[#This Row],[Type]]="R",IF(Games[[#This Row],[Result]]&gt;0.5,1,0),0)</f>
        <v>1</v>
      </c>
      <c r="AD26" s="2">
        <f>IF(Games[[#This Row],[Type]]="R",IF(Games[[#This Row],[Result]]&lt;0.5,1,0),0)</f>
        <v>0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43617</v>
      </c>
      <c r="B27" s="2">
        <v>2019</v>
      </c>
      <c r="C27" s="2">
        <f>COUNTIFS(Games[Team],Games[[#This Row],[Team]],Games[Season],Games[[#This Row],[Season]],Games[Date],"&lt;=" &amp; Games[[#This Row],[Date]])</f>
        <v>2</v>
      </c>
      <c r="D27" s="2" t="s">
        <v>79</v>
      </c>
      <c r="E27" s="2" t="s">
        <v>80</v>
      </c>
      <c r="F27" s="1" t="s">
        <v>85</v>
      </c>
      <c r="G27" s="1" t="s">
        <v>67</v>
      </c>
      <c r="H27" s="1" t="s">
        <v>82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7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" s="2">
        <f>Games[[#This Row],[DaysOff]]-Games[[#This Row],[OppDaysOff]]</f>
        <v>5</v>
      </c>
      <c r="L27" s="2">
        <f>Games[[#This Row],[OppDaysOff]]-Games[[#This Row],[DaysOff]]</f>
        <v>-5</v>
      </c>
      <c r="M27" s="1">
        <f>MAX(-16, MIN(16, Games[[#This Row],[RestDiff]]*8))</f>
        <v>16</v>
      </c>
      <c r="N27" s="1">
        <f>MAX(-16, MIN(16, Games[[#This Row],[OppRestDiff]]*8))</f>
        <v>-16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1468.8714008238808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1544.0634195941145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0.5584588271971993</v>
      </c>
      <c r="R27" s="1">
        <v>67</v>
      </c>
      <c r="S27" s="1">
        <v>70</v>
      </c>
      <c r="T27" s="1">
        <v>0</v>
      </c>
      <c r="U27" s="1">
        <f>Games[[#This Row],[PointsFor]]-Games[[#This Row],[PointsAgainst]]</f>
        <v>-3</v>
      </c>
      <c r="V27" s="1">
        <f>IF(Games[[#This Row],[MOV]]&gt;0,1,IF(Games[[#This Row],[MOV]]=0,0.5,0))</f>
        <v>0</v>
      </c>
      <c r="W27" s="4">
        <f>((ABS(Games[[#This Row],[MOV]])+5)^0.6)/(12+0.01*(ABS(Games[[#This Row],[PreGmRate]]-Games[[#This Row],[OppPreGmRate]])))*IF(Games[[#This Row],[OT]]=1,0.9,1)</f>
        <v>0.27307277664289753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75.7</v>
      </c>
      <c r="Z27" s="4">
        <f>Games[[#This Row],[K]]*Games[[#This Row],[POMult]]</f>
        <v>75.7</v>
      </c>
      <c r="AA27" s="4">
        <f>(Games[[#This Row],[Keff]]*Games[[#This Row],[MOVMult]])*(Games[[#This Row],[Result]]-Games[[#This Row],[ExpectedWin%]])</f>
        <v>-11.544242625569082</v>
      </c>
      <c r="AB27" s="4">
        <f>Games[[#This Row],[PreGmRate]]+Games[[#This Row],[RatingChange]]</f>
        <v>1457.3271581983117</v>
      </c>
      <c r="AC27" s="2">
        <f>IF(Games[[#This Row],[Type]]="R",IF(Games[[#This Row],[Result]]&gt;0.5,1,0),0)</f>
        <v>0</v>
      </c>
      <c r="AD27" s="2">
        <f>IF(Games[[#This Row],[Type]]="R",IF(Games[[#This Row],[Result]]&lt;0.5,1,0),0)</f>
        <v>1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43617</v>
      </c>
      <c r="B28" s="2">
        <v>2019</v>
      </c>
      <c r="C28" s="2">
        <f>COUNTIFS(Games[Team],Games[[#This Row],[Team]],Games[Season],Games[[#This Row],[Season]],Games[Date],"&lt;=" &amp; Games[[#This Row],[Date]])</f>
        <v>2</v>
      </c>
      <c r="D28" s="2" t="s">
        <v>79</v>
      </c>
      <c r="E28" s="2" t="s">
        <v>80</v>
      </c>
      <c r="F28" s="1" t="s">
        <v>60</v>
      </c>
      <c r="G28" s="1" t="s">
        <v>69</v>
      </c>
      <c r="H28" s="1" t="s">
        <v>81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7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" s="2">
        <f>Games[[#This Row],[DaysOff]]-Games[[#This Row],[OppDaysOff]]</f>
        <v>4</v>
      </c>
      <c r="L28" s="2">
        <f>Games[[#This Row],[OppDaysOff]]-Games[[#This Row],[DaysOff]]</f>
        <v>-4</v>
      </c>
      <c r="M28" s="1">
        <f>MAX(-16, MIN(16, Games[[#This Row],[RestDiff]]*8))</f>
        <v>16</v>
      </c>
      <c r="N28" s="1">
        <f>MAX(-16, MIN(16, Games[[#This Row],[OppRestDiff]]*8))</f>
        <v>-16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1401.7723103494434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1408.6564321279909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0.4160610944211986</v>
      </c>
      <c r="R28" s="1">
        <v>77</v>
      </c>
      <c r="S28" s="1">
        <v>92</v>
      </c>
      <c r="T28" s="1">
        <v>0</v>
      </c>
      <c r="U28" s="1">
        <f>Games[[#This Row],[PointsFor]]-Games[[#This Row],[PointsAgainst]]</f>
        <v>-15</v>
      </c>
      <c r="V28" s="1">
        <f>IF(Games[[#This Row],[MOV]]&gt;0,1,IF(Games[[#This Row],[MOV]]=0,0.5,0))</f>
        <v>0</v>
      </c>
      <c r="W28" s="4">
        <f>((ABS(Games[[#This Row],[MOV]])+5)^0.6)/(12+0.01*(ABS(Games[[#This Row],[PreGmRate]]-Games[[#This Row],[OppPreGmRate]])))*IF(Games[[#This Row],[OT]]=1,0.9,1)</f>
        <v>0.49997976008274797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75.7</v>
      </c>
      <c r="Z28" s="4">
        <f>Games[[#This Row],[K]]*Games[[#This Row],[POMult]]</f>
        <v>75.7</v>
      </c>
      <c r="AA28" s="4">
        <f>(Games[[#This Row],[Keff]]*Games[[#This Row],[MOVMult]])*(Games[[#This Row],[Result]]-Games[[#This Row],[ExpectedWin%]])</f>
        <v>-15.747274950953665</v>
      </c>
      <c r="AB28" s="4">
        <f>Games[[#This Row],[PreGmRate]]+Games[[#This Row],[RatingChange]]</f>
        <v>1386.0250353984898</v>
      </c>
      <c r="AC28" s="2">
        <f>IF(Games[[#This Row],[Type]]="R",IF(Games[[#This Row],[Result]]&gt;0.5,1,0),0)</f>
        <v>0</v>
      </c>
      <c r="AD28" s="2">
        <f>IF(Games[[#This Row],[Type]]="R",IF(Games[[#This Row],[Result]]&lt;0.5,1,0),0)</f>
        <v>1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43617</v>
      </c>
      <c r="B29" s="2">
        <v>2019</v>
      </c>
      <c r="C29" s="2">
        <f>COUNTIFS(Games[Team],Games[[#This Row],[Team]],Games[Season],Games[[#This Row],[Season]],Games[Date],"&lt;=" &amp; Games[[#This Row],[Date]])</f>
        <v>3</v>
      </c>
      <c r="D29" s="2" t="s">
        <v>79</v>
      </c>
      <c r="E29" s="2" t="s">
        <v>80</v>
      </c>
      <c r="F29" s="1" t="s">
        <v>69</v>
      </c>
      <c r="G29" s="1" t="s">
        <v>60</v>
      </c>
      <c r="H29" s="1" t="s">
        <v>82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9" s="2">
        <f>Games[[#This Row],[DaysOff]]-Games[[#This Row],[OppDaysOff]]</f>
        <v>-4</v>
      </c>
      <c r="L29" s="2">
        <f>Games[[#This Row],[OppDaysOff]]-Games[[#This Row],[DaysOff]]</f>
        <v>4</v>
      </c>
      <c r="M29" s="1">
        <f>MAX(-16, MIN(16, Games[[#This Row],[RestDiff]]*8))</f>
        <v>-16</v>
      </c>
      <c r="N29" s="1">
        <f>MAX(-16, MIN(16, Games[[#This Row],[OppRestDiff]]*8))</f>
        <v>16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1408.6564321279909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1401.7723103494434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0.58393890557880135</v>
      </c>
      <c r="R29" s="1">
        <v>92</v>
      </c>
      <c r="S29" s="1">
        <v>77</v>
      </c>
      <c r="T29" s="1">
        <v>0</v>
      </c>
      <c r="U29" s="1">
        <f>Games[[#This Row],[PointsFor]]-Games[[#This Row],[PointsAgainst]]</f>
        <v>15</v>
      </c>
      <c r="V29" s="1">
        <f>IF(Games[[#This Row],[MOV]]&gt;0,1,IF(Games[[#This Row],[MOV]]=0,0.5,0))</f>
        <v>1</v>
      </c>
      <c r="W29" s="4">
        <f>((ABS(Games[[#This Row],[MOV]])+5)^0.6)/(12+0.01*(ABS(Games[[#This Row],[PreGmRate]]-Games[[#This Row],[OppPreGmRate]])))*IF(Games[[#This Row],[OT]]=1,0.9,1)</f>
        <v>0.49997976008274797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75.55</v>
      </c>
      <c r="Z29" s="4">
        <f>Games[[#This Row],[K]]*Games[[#This Row],[POMult]]</f>
        <v>75.55</v>
      </c>
      <c r="AA29" s="4">
        <f>(Games[[#This Row],[Keff]]*Games[[#This Row],[MOVMult]])*(Games[[#This Row],[Result]]-Games[[#This Row],[ExpectedWin%]])</f>
        <v>15.716071632028395</v>
      </c>
      <c r="AB29" s="4">
        <f>Games[[#This Row],[PreGmRate]]+Games[[#This Row],[RatingChange]]</f>
        <v>1424.3725037600193</v>
      </c>
      <c r="AC29" s="2">
        <f>IF(Games[[#This Row],[Type]]="R",IF(Games[[#This Row],[Result]]&gt;0.5,1,0),0)</f>
        <v>1</v>
      </c>
      <c r="AD29" s="2">
        <f>IF(Games[[#This Row],[Type]]="R",IF(Games[[#This Row],[Result]]&lt;0.5,1,0),0)</f>
        <v>0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43617</v>
      </c>
      <c r="B30" s="2">
        <v>2019</v>
      </c>
      <c r="C30" s="2">
        <f>COUNTIFS(Games[Team],Games[[#This Row],[Team]],Games[Season],Games[[#This Row],[Season]],Games[Date],"&lt;=" &amp; Games[[#This Row],[Date]])</f>
        <v>3</v>
      </c>
      <c r="D30" s="2" t="s">
        <v>79</v>
      </c>
      <c r="E30" s="2" t="s">
        <v>80</v>
      </c>
      <c r="F30" s="1" t="s">
        <v>77</v>
      </c>
      <c r="G30" s="1" t="s">
        <v>65</v>
      </c>
      <c r="H30" s="1" t="s">
        <v>81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0" s="2">
        <f>Games[[#This Row],[DaysOff]]-Games[[#This Row],[OppDaysOff]]</f>
        <v>-6</v>
      </c>
      <c r="L30" s="2">
        <f>Games[[#This Row],[OppDaysOff]]-Games[[#This Row],[DaysOff]]</f>
        <v>6</v>
      </c>
      <c r="M30" s="1">
        <f>MAX(-16, MIN(16, Games[[#This Row],[RestDiff]]*8))</f>
        <v>-16</v>
      </c>
      <c r="N30" s="1">
        <f>MAX(-16, MIN(16, Games[[#This Row],[OppRestDiff]]*8))</f>
        <v>16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1518.7078676325543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1526.2358400695434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0.32935932258068618</v>
      </c>
      <c r="R30" s="1">
        <v>75</v>
      </c>
      <c r="S30" s="1">
        <v>96</v>
      </c>
      <c r="T30" s="1">
        <v>0</v>
      </c>
      <c r="U30" s="1">
        <f>Games[[#This Row],[PointsFor]]-Games[[#This Row],[PointsAgainst]]</f>
        <v>-21</v>
      </c>
      <c r="V30" s="1">
        <f>IF(Games[[#This Row],[MOV]]&gt;0,1,IF(Games[[#This Row],[MOV]]=0,0.5,0))</f>
        <v>0</v>
      </c>
      <c r="W30" s="4">
        <f>((ABS(Games[[#This Row],[MOV]])+5)^0.6)/(12+0.01*(ABS(Games[[#This Row],[PreGmRate]]-Games[[#This Row],[OppPreGmRate]])))*IF(Games[[#This Row],[OT]]=1,0.9,1)</f>
        <v>0.58490698637769245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75.55</v>
      </c>
      <c r="Z30" s="4">
        <f>Games[[#This Row],[K]]*Games[[#This Row],[POMult]]</f>
        <v>75.55</v>
      </c>
      <c r="AA30" s="4">
        <f>(Games[[#This Row],[Keff]]*Games[[#This Row],[MOVMult]])*(Games[[#This Row],[Result]]-Games[[#This Row],[ExpectedWin%]])</f>
        <v>-14.554297173298393</v>
      </c>
      <c r="AB30" s="4">
        <f>Games[[#This Row],[PreGmRate]]+Games[[#This Row],[RatingChange]]</f>
        <v>1504.1535704592559</v>
      </c>
      <c r="AC30" s="2">
        <f>IF(Games[[#This Row],[Type]]="R",IF(Games[[#This Row],[Result]]&gt;0.5,1,0),0)</f>
        <v>0</v>
      </c>
      <c r="AD30" s="2">
        <f>IF(Games[[#This Row],[Type]]="R",IF(Games[[#This Row],[Result]]&lt;0.5,1,0),0)</f>
        <v>1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43617</v>
      </c>
      <c r="B31" s="2">
        <v>2019</v>
      </c>
      <c r="C31" s="2">
        <f>COUNTIFS(Games[Team],Games[[#This Row],[Team]],Games[Season],Games[[#This Row],[Season]],Games[Date],"&lt;=" &amp; Games[[#This Row],[Date]])</f>
        <v>2</v>
      </c>
      <c r="D31" s="2" t="s">
        <v>79</v>
      </c>
      <c r="E31" s="2" t="s">
        <v>80</v>
      </c>
      <c r="F31" s="1" t="s">
        <v>65</v>
      </c>
      <c r="G31" s="1" t="s">
        <v>77</v>
      </c>
      <c r="H31" s="1" t="s">
        <v>82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6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" s="2">
        <f>Games[[#This Row],[DaysOff]]-Games[[#This Row],[OppDaysOff]]</f>
        <v>6</v>
      </c>
      <c r="L31" s="2">
        <f>Games[[#This Row],[OppDaysOff]]-Games[[#This Row],[DaysOff]]</f>
        <v>-6</v>
      </c>
      <c r="M31" s="1">
        <f>MAX(-16, MIN(16, Games[[#This Row],[RestDiff]]*8))</f>
        <v>16</v>
      </c>
      <c r="N31" s="1">
        <f>MAX(-16, MIN(16, Games[[#This Row],[OppRestDiff]]*8))</f>
        <v>-16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1526.2358400695434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1518.7078676325543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0.67064067741931377</v>
      </c>
      <c r="R31" s="1">
        <v>96</v>
      </c>
      <c r="S31" s="1">
        <v>75</v>
      </c>
      <c r="T31" s="1">
        <v>0</v>
      </c>
      <c r="U31" s="1">
        <f>Games[[#This Row],[PointsFor]]-Games[[#This Row],[PointsAgainst]]</f>
        <v>21</v>
      </c>
      <c r="V31" s="1">
        <f>IF(Games[[#This Row],[MOV]]&gt;0,1,IF(Games[[#This Row],[MOV]]=0,0.5,0))</f>
        <v>1</v>
      </c>
      <c r="W31" s="4">
        <f>((ABS(Games[[#This Row],[MOV]])+5)^0.6)/(12+0.01*(ABS(Games[[#This Row],[PreGmRate]]-Games[[#This Row],[OppPreGmRate]])))*IF(Games[[#This Row],[OT]]=1,0.9,1)</f>
        <v>0.58490698637769245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75.7</v>
      </c>
      <c r="Z31" s="4">
        <f>Games[[#This Row],[K]]*Games[[#This Row],[POMult]]</f>
        <v>75.7</v>
      </c>
      <c r="AA31" s="4">
        <f>(Games[[#This Row],[Keff]]*Games[[#This Row],[MOVMult]])*(Games[[#This Row],[Result]]-Games[[#This Row],[ExpectedWin%]])</f>
        <v>14.583193858619307</v>
      </c>
      <c r="AB31" s="4">
        <f>Games[[#This Row],[PreGmRate]]+Games[[#This Row],[RatingChange]]</f>
        <v>1540.8190339281628</v>
      </c>
      <c r="AC31" s="2">
        <f>IF(Games[[#This Row],[Type]]="R",IF(Games[[#This Row],[Result]]&gt;0.5,1,0),0)</f>
        <v>1</v>
      </c>
      <c r="AD31" s="2">
        <f>IF(Games[[#This Row],[Type]]="R",IF(Games[[#This Row],[Result]]&lt;0.5,1,0),0)</f>
        <v>0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43618</v>
      </c>
      <c r="B32" s="2">
        <v>2019</v>
      </c>
      <c r="C32" s="2">
        <f>COUNTIFS(Games[Team],Games[[#This Row],[Team]],Games[Season],Games[[#This Row],[Season]],Games[Date],"&lt;=" &amp; Games[[#This Row],[Date]])</f>
        <v>4</v>
      </c>
      <c r="D32" s="2" t="s">
        <v>79</v>
      </c>
      <c r="E32" s="2" t="s">
        <v>80</v>
      </c>
      <c r="F32" s="1" t="s">
        <v>74</v>
      </c>
      <c r="G32" s="1" t="s">
        <v>86</v>
      </c>
      <c r="H32" s="1" t="s">
        <v>81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" s="2">
        <f>Games[[#This Row],[DaysOff]]-Games[[#This Row],[OppDaysOff]]</f>
        <v>0</v>
      </c>
      <c r="L32" s="2">
        <f>Games[[#This Row],[OppDaysOff]]-Games[[#This Row],[DaysOff]]</f>
        <v>0</v>
      </c>
      <c r="M32" s="1">
        <f>MAX(-16, MIN(16, Games[[#This Row],[RestDiff]]*8))</f>
        <v>0</v>
      </c>
      <c r="N32" s="1">
        <f>MAX(-16, MIN(16, Games[[#This Row],[OppRestDiff]]*8))</f>
        <v>0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1553.6878906671429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1472.0037998776277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0.49666718809536742</v>
      </c>
      <c r="R32" s="1">
        <v>80</v>
      </c>
      <c r="S32" s="1">
        <v>74</v>
      </c>
      <c r="T32" s="1">
        <v>0</v>
      </c>
      <c r="U32" s="1">
        <f>Games[[#This Row],[PointsFor]]-Games[[#This Row],[PointsAgainst]]</f>
        <v>6</v>
      </c>
      <c r="V32" s="1">
        <f>IF(Games[[#This Row],[MOV]]&gt;0,1,IF(Games[[#This Row],[MOV]]=0,0.5,0))</f>
        <v>1</v>
      </c>
      <c r="W32" s="4">
        <f>((ABS(Games[[#This Row],[MOV]])+5)^0.6)/(12+0.01*(ABS(Games[[#This Row],[PreGmRate]]-Games[[#This Row],[OppPreGmRate]])))*IF(Games[[#This Row],[OT]]=1,0.9,1)</f>
        <v>0.32889299035421748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75.400000000000006</v>
      </c>
      <c r="Z32" s="4">
        <f>Games[[#This Row],[K]]*Games[[#This Row],[POMult]]</f>
        <v>75.400000000000006</v>
      </c>
      <c r="AA32" s="4">
        <f>(Games[[#This Row],[Keff]]*Games[[#This Row],[MOVMult]])*(Games[[#This Row],[Result]]-Games[[#This Row],[ExpectedWin%]])</f>
        <v>12.481914577263645</v>
      </c>
      <c r="AB32" s="4">
        <f>Games[[#This Row],[PreGmRate]]+Games[[#This Row],[RatingChange]]</f>
        <v>1566.1698052444067</v>
      </c>
      <c r="AC32" s="2">
        <f>IF(Games[[#This Row],[Type]]="R",IF(Games[[#This Row],[Result]]&gt;0.5,1,0),0)</f>
        <v>1</v>
      </c>
      <c r="AD32" s="2">
        <f>IF(Games[[#This Row],[Type]]="R",IF(Games[[#This Row],[Result]]&lt;0.5,1,0),0)</f>
        <v>0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43618</v>
      </c>
      <c r="B33" s="2">
        <v>2019</v>
      </c>
      <c r="C33" s="2">
        <f>COUNTIFS(Games[Team],Games[[#This Row],[Team]],Games[Season],Games[[#This Row],[Season]],Games[Date],"&lt;=" &amp; Games[[#This Row],[Date]])</f>
        <v>3</v>
      </c>
      <c r="D33" s="2" t="s">
        <v>79</v>
      </c>
      <c r="E33" s="2" t="s">
        <v>80</v>
      </c>
      <c r="F33" s="1" t="s">
        <v>86</v>
      </c>
      <c r="G33" s="1" t="s">
        <v>74</v>
      </c>
      <c r="H33" s="1" t="s">
        <v>82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" s="2">
        <f>Games[[#This Row],[DaysOff]]-Games[[#This Row],[OppDaysOff]]</f>
        <v>0</v>
      </c>
      <c r="L33" s="2">
        <f>Games[[#This Row],[OppDaysOff]]-Games[[#This Row],[DaysOff]]</f>
        <v>0</v>
      </c>
      <c r="M33" s="1">
        <f>MAX(-16, MIN(16, Games[[#This Row],[RestDiff]]*8))</f>
        <v>0</v>
      </c>
      <c r="N33" s="1">
        <f>MAX(-16, MIN(16, Games[[#This Row],[OppRestDiff]]*8))</f>
        <v>0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1472.0037998776277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1553.6878906671429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0.50333281190463264</v>
      </c>
      <c r="R33" s="1">
        <v>74</v>
      </c>
      <c r="S33" s="1">
        <v>80</v>
      </c>
      <c r="T33" s="1">
        <v>0</v>
      </c>
      <c r="U33" s="1">
        <f>Games[[#This Row],[PointsFor]]-Games[[#This Row],[PointsAgainst]]</f>
        <v>-6</v>
      </c>
      <c r="V33" s="1">
        <f>IF(Games[[#This Row],[MOV]]&gt;0,1,IF(Games[[#This Row],[MOV]]=0,0.5,0))</f>
        <v>0</v>
      </c>
      <c r="W33" s="4">
        <f>((ABS(Games[[#This Row],[MOV]])+5)^0.6)/(12+0.01*(ABS(Games[[#This Row],[PreGmRate]]-Games[[#This Row],[OppPreGmRate]])))*IF(Games[[#This Row],[OT]]=1,0.9,1)</f>
        <v>0.32889299035421748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75.55</v>
      </c>
      <c r="Z33" s="4">
        <f>Games[[#This Row],[K]]*Games[[#This Row],[POMult]]</f>
        <v>75.55</v>
      </c>
      <c r="AA33" s="4">
        <f>(Games[[#This Row],[Keff]]*Games[[#This Row],[MOVMult]])*(Games[[#This Row],[Result]]-Games[[#This Row],[ExpectedWin%]])</f>
        <v>-12.506745972311254</v>
      </c>
      <c r="AB33" s="4">
        <f>Games[[#This Row],[PreGmRate]]+Games[[#This Row],[RatingChange]]</f>
        <v>1459.4970539053163</v>
      </c>
      <c r="AC33" s="2">
        <f>IF(Games[[#This Row],[Type]]="R",IF(Games[[#This Row],[Result]]&gt;0.5,1,0),0)</f>
        <v>0</v>
      </c>
      <c r="AD33" s="2">
        <f>IF(Games[[#This Row],[Type]]="R",IF(Games[[#This Row],[Result]]&lt;0.5,1,0),0)</f>
        <v>1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43620</v>
      </c>
      <c r="B34" s="2">
        <v>2019</v>
      </c>
      <c r="C34" s="2">
        <f>COUNTIFS(Games[Team],Games[[#This Row],[Team]],Games[Season],Games[[#This Row],[Season]],Games[Date],"&lt;=" &amp; Games[[#This Row],[Date]])</f>
        <v>3</v>
      </c>
      <c r="D34" s="2" t="s">
        <v>79</v>
      </c>
      <c r="E34" s="2" t="s">
        <v>80</v>
      </c>
      <c r="F34" s="1" t="s">
        <v>63</v>
      </c>
      <c r="G34" s="1" t="s">
        <v>60</v>
      </c>
      <c r="H34" s="1" t="s">
        <v>81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" s="2">
        <f>Games[[#This Row],[DaysOff]]-Games[[#This Row],[OppDaysOff]]</f>
        <v>1</v>
      </c>
      <c r="L34" s="2">
        <f>Games[[#This Row],[OppDaysOff]]-Games[[#This Row],[DaysOff]]</f>
        <v>-1</v>
      </c>
      <c r="M34" s="1">
        <f>MAX(-16, MIN(16, Games[[#This Row],[RestDiff]]*8))</f>
        <v>8</v>
      </c>
      <c r="N34" s="1">
        <f>MAX(-16, MIN(16, Games[[#This Row],[OppRestDiff]]*8))</f>
        <v>-8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1513.5481236434791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1386.0250353984898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0.58483225987127141</v>
      </c>
      <c r="R34" s="1">
        <v>78</v>
      </c>
      <c r="S34" s="1">
        <v>73</v>
      </c>
      <c r="T34" s="1">
        <v>0</v>
      </c>
      <c r="U34" s="1">
        <f>Games[[#This Row],[PointsFor]]-Games[[#This Row],[PointsAgainst]]</f>
        <v>5</v>
      </c>
      <c r="V34" s="1">
        <f>IF(Games[[#This Row],[MOV]]&gt;0,1,IF(Games[[#This Row],[MOV]]=0,0.5,0))</f>
        <v>1</v>
      </c>
      <c r="W34" s="4">
        <f>((ABS(Games[[#This Row],[MOV]])+5)^0.6)/(12+0.01*(ABS(Games[[#This Row],[PreGmRate]]-Games[[#This Row],[OppPreGmRate]])))*IF(Games[[#This Row],[OT]]=1,0.9,1)</f>
        <v>0.29988719147612153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75.55</v>
      </c>
      <c r="Z34" s="4">
        <f>Games[[#This Row],[K]]*Games[[#This Row],[POMult]]</f>
        <v>75.55</v>
      </c>
      <c r="AA34" s="4">
        <f>(Games[[#This Row],[Keff]]*Games[[#This Row],[MOVMult]])*(Games[[#This Row],[Result]]-Games[[#This Row],[ExpectedWin%]])</f>
        <v>9.4062384865702313</v>
      </c>
      <c r="AB34" s="4">
        <f>Games[[#This Row],[PreGmRate]]+Games[[#This Row],[RatingChange]]</f>
        <v>1522.9543621300493</v>
      </c>
      <c r="AC34" s="2">
        <f>IF(Games[[#This Row],[Type]]="R",IF(Games[[#This Row],[Result]]&gt;0.5,1,0),0)</f>
        <v>1</v>
      </c>
      <c r="AD34" s="2">
        <f>IF(Games[[#This Row],[Type]]="R",IF(Games[[#This Row],[Result]]&lt;0.5,1,0),0)</f>
        <v>0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43620</v>
      </c>
      <c r="B35" s="2">
        <v>2019</v>
      </c>
      <c r="C35" s="2">
        <f>COUNTIFS(Games[Team],Games[[#This Row],[Team]],Games[Season],Games[[#This Row],[Season]],Games[Date],"&lt;=" &amp; Games[[#This Row],[Date]])</f>
        <v>3</v>
      </c>
      <c r="D35" s="2" t="s">
        <v>79</v>
      </c>
      <c r="E35" s="2" t="s">
        <v>80</v>
      </c>
      <c r="F35" s="1" t="s">
        <v>60</v>
      </c>
      <c r="G35" s="1" t="s">
        <v>63</v>
      </c>
      <c r="H35" s="1" t="s">
        <v>82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" s="2">
        <f>Games[[#This Row],[DaysOff]]-Games[[#This Row],[OppDaysOff]]</f>
        <v>-1</v>
      </c>
      <c r="L35" s="2">
        <f>Games[[#This Row],[OppDaysOff]]-Games[[#This Row],[DaysOff]]</f>
        <v>1</v>
      </c>
      <c r="M35" s="1">
        <f>MAX(-16, MIN(16, Games[[#This Row],[RestDiff]]*8))</f>
        <v>-8</v>
      </c>
      <c r="N35" s="1">
        <f>MAX(-16, MIN(16, Games[[#This Row],[OppRestDiff]]*8))</f>
        <v>8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1386.0250353984898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1513.5481236434791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0.41516774012872854</v>
      </c>
      <c r="R35" s="1">
        <v>73</v>
      </c>
      <c r="S35" s="1">
        <v>78</v>
      </c>
      <c r="T35" s="1">
        <v>0</v>
      </c>
      <c r="U35" s="1">
        <f>Games[[#This Row],[PointsFor]]-Games[[#This Row],[PointsAgainst]]</f>
        <v>-5</v>
      </c>
      <c r="V35" s="1">
        <f>IF(Games[[#This Row],[MOV]]&gt;0,1,IF(Games[[#This Row],[MOV]]=0,0.5,0))</f>
        <v>0</v>
      </c>
      <c r="W35" s="4">
        <f>((ABS(Games[[#This Row],[MOV]])+5)^0.6)/(12+0.01*(ABS(Games[[#This Row],[PreGmRate]]-Games[[#This Row],[OppPreGmRate]])))*IF(Games[[#This Row],[OT]]=1,0.9,1)</f>
        <v>0.29988719147612153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75.55</v>
      </c>
      <c r="Z35" s="4">
        <f>Games[[#This Row],[K]]*Games[[#This Row],[POMult]]</f>
        <v>75.55</v>
      </c>
      <c r="AA35" s="4">
        <f>(Games[[#This Row],[Keff]]*Games[[#This Row],[MOVMult]])*(Games[[#This Row],[Result]]-Games[[#This Row],[ExpectedWin%]])</f>
        <v>-9.4062384865702313</v>
      </c>
      <c r="AB35" s="4">
        <f>Games[[#This Row],[PreGmRate]]+Games[[#This Row],[RatingChange]]</f>
        <v>1376.6187969119196</v>
      </c>
      <c r="AC35" s="2">
        <f>IF(Games[[#This Row],[Type]]="R",IF(Games[[#This Row],[Result]]&gt;0.5,1,0),0)</f>
        <v>0</v>
      </c>
      <c r="AD35" s="2">
        <f>IF(Games[[#This Row],[Type]]="R",IF(Games[[#This Row],[Result]]&lt;0.5,1,0),0)</f>
        <v>1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43620</v>
      </c>
      <c r="B36" s="2">
        <v>2019</v>
      </c>
      <c r="C36" s="2">
        <f>COUNTIFS(Games[Team],Games[[#This Row],[Team]],Games[Season],Games[[#This Row],[Season]],Games[Date],"&lt;=" &amp; Games[[#This Row],[Date]])</f>
        <v>4</v>
      </c>
      <c r="D36" s="2" t="s">
        <v>79</v>
      </c>
      <c r="E36" s="2" t="s">
        <v>80</v>
      </c>
      <c r="F36" s="1" t="s">
        <v>67</v>
      </c>
      <c r="G36" s="1" t="s">
        <v>71</v>
      </c>
      <c r="H36" s="1" t="s">
        <v>81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" s="2">
        <f>Games[[#This Row],[DaysOff]]-Games[[#This Row],[OppDaysOff]]</f>
        <v>0</v>
      </c>
      <c r="L36" s="2">
        <f>Games[[#This Row],[OppDaysOff]]-Games[[#This Row],[DaysOff]]</f>
        <v>0</v>
      </c>
      <c r="M36" s="1">
        <f>MAX(-16, MIN(16, Games[[#This Row],[RestDiff]]*8))</f>
        <v>0</v>
      </c>
      <c r="N36" s="1">
        <f>MAX(-16, MIN(16, Games[[#This Row],[OppRestDiff]]*8))</f>
        <v>0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1555.5847872342961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1602.9687285009852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0.31944864475869744</v>
      </c>
      <c r="R36" s="1">
        <v>77</v>
      </c>
      <c r="S36" s="1">
        <v>84</v>
      </c>
      <c r="T36" s="1">
        <v>0</v>
      </c>
      <c r="U36" s="1">
        <f>Games[[#This Row],[PointsFor]]-Games[[#This Row],[PointsAgainst]]</f>
        <v>-7</v>
      </c>
      <c r="V36" s="1">
        <f>IF(Games[[#This Row],[MOV]]&gt;0,1,IF(Games[[#This Row],[MOV]]=0,0.5,0))</f>
        <v>0</v>
      </c>
      <c r="W36" s="4">
        <f>((ABS(Games[[#This Row],[MOV]])+5)^0.6)/(12+0.01*(ABS(Games[[#This Row],[PreGmRate]]-Games[[#This Row],[OppPreGmRate]])))*IF(Games[[#This Row],[OT]]=1,0.9,1)</f>
        <v>0.35604803965456044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75.400000000000006</v>
      </c>
      <c r="Z36" s="4">
        <f>Games[[#This Row],[K]]*Games[[#This Row],[POMult]]</f>
        <v>75.400000000000006</v>
      </c>
      <c r="AA36" s="4">
        <f>(Games[[#This Row],[Keff]]*Games[[#This Row],[MOVMult]])*(Games[[#This Row],[Result]]-Games[[#This Row],[ExpectedWin%]])</f>
        <v>-8.5759254057426801</v>
      </c>
      <c r="AB36" s="4">
        <f>Games[[#This Row],[PreGmRate]]+Games[[#This Row],[RatingChange]]</f>
        <v>1547.0088618285533</v>
      </c>
      <c r="AC36" s="2">
        <f>IF(Games[[#This Row],[Type]]="R",IF(Games[[#This Row],[Result]]&gt;0.5,1,0),0)</f>
        <v>0</v>
      </c>
      <c r="AD36" s="2">
        <f>IF(Games[[#This Row],[Type]]="R",IF(Games[[#This Row],[Result]]&lt;0.5,1,0),0)</f>
        <v>1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43620</v>
      </c>
      <c r="B37" s="2">
        <v>2019</v>
      </c>
      <c r="C37" s="2">
        <f>COUNTIFS(Games[Team],Games[[#This Row],[Team]],Games[Season],Games[[#This Row],[Season]],Games[Date],"&lt;=" &amp; Games[[#This Row],[Date]])</f>
        <v>5</v>
      </c>
      <c r="D37" s="2" t="s">
        <v>79</v>
      </c>
      <c r="E37" s="2" t="s">
        <v>80</v>
      </c>
      <c r="F37" s="1" t="s">
        <v>71</v>
      </c>
      <c r="G37" s="1" t="s">
        <v>67</v>
      </c>
      <c r="H37" s="1" t="s">
        <v>82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" s="2">
        <f>Games[[#This Row],[DaysOff]]-Games[[#This Row],[OppDaysOff]]</f>
        <v>0</v>
      </c>
      <c r="L37" s="2">
        <f>Games[[#This Row],[OppDaysOff]]-Games[[#This Row],[DaysOff]]</f>
        <v>0</v>
      </c>
      <c r="M37" s="1">
        <f>MAX(-16, MIN(16, Games[[#This Row],[RestDiff]]*8))</f>
        <v>0</v>
      </c>
      <c r="N37" s="1">
        <f>MAX(-16, MIN(16, Games[[#This Row],[OppRestDiff]]*8))</f>
        <v>0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1602.9687285009852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1555.5847872342961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0.68055135524130261</v>
      </c>
      <c r="R37" s="1">
        <v>84</v>
      </c>
      <c r="S37" s="1">
        <v>77</v>
      </c>
      <c r="T37" s="1">
        <v>0</v>
      </c>
      <c r="U37" s="1">
        <f>Games[[#This Row],[PointsFor]]-Games[[#This Row],[PointsAgainst]]</f>
        <v>7</v>
      </c>
      <c r="V37" s="1">
        <f>IF(Games[[#This Row],[MOV]]&gt;0,1,IF(Games[[#This Row],[MOV]]=0,0.5,0))</f>
        <v>1</v>
      </c>
      <c r="W37" s="4">
        <f>((ABS(Games[[#This Row],[MOV]])+5)^0.6)/(12+0.01*(ABS(Games[[#This Row],[PreGmRate]]-Games[[#This Row],[OppPreGmRate]])))*IF(Games[[#This Row],[OT]]=1,0.9,1)</f>
        <v>0.35604803965456044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75.25</v>
      </c>
      <c r="Z37" s="4">
        <f>Games[[#This Row],[K]]*Games[[#This Row],[POMult]]</f>
        <v>75.25</v>
      </c>
      <c r="AA37" s="4">
        <f>(Games[[#This Row],[Keff]]*Games[[#This Row],[MOVMult]])*(Games[[#This Row],[Result]]-Games[[#This Row],[ExpectedWin%]])</f>
        <v>8.558864546182182</v>
      </c>
      <c r="AB37" s="4">
        <f>Games[[#This Row],[PreGmRate]]+Games[[#This Row],[RatingChange]]</f>
        <v>1611.5275930471673</v>
      </c>
      <c r="AC37" s="2">
        <f>IF(Games[[#This Row],[Type]]="R",IF(Games[[#This Row],[Result]]&gt;0.5,1,0),0)</f>
        <v>1</v>
      </c>
      <c r="AD37" s="2">
        <f>IF(Games[[#This Row],[Type]]="R",IF(Games[[#This Row],[Result]]&lt;0.5,1,0),0)</f>
        <v>0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43621</v>
      </c>
      <c r="B38" s="2">
        <v>2019</v>
      </c>
      <c r="C38" s="2">
        <f>COUNTIFS(Games[Team],Games[[#This Row],[Team]],Games[Season],Games[[#This Row],[Season]],Games[Date],"&lt;=" &amp; Games[[#This Row],[Date]])</f>
        <v>3</v>
      </c>
      <c r="D38" s="2" t="s">
        <v>79</v>
      </c>
      <c r="E38" s="2" t="s">
        <v>80</v>
      </c>
      <c r="F38" s="1" t="s">
        <v>75</v>
      </c>
      <c r="G38" s="1" t="s">
        <v>65</v>
      </c>
      <c r="H38" s="1" t="s">
        <v>81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" s="2">
        <f>Games[[#This Row],[DaysOff]]-Games[[#This Row],[OppDaysOff]]</f>
        <v>0</v>
      </c>
      <c r="L38" s="2">
        <f>Games[[#This Row],[OppDaysOff]]-Games[[#This Row],[DaysOff]]</f>
        <v>0</v>
      </c>
      <c r="M38" s="1">
        <f>MAX(-16, MIN(16, Games[[#This Row],[RestDiff]]*8))</f>
        <v>0</v>
      </c>
      <c r="N38" s="1">
        <f>MAX(-16, MIN(16, Games[[#This Row],[OppRestDiff]]*8))</f>
        <v>0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1450.9963216500605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1540.8190339281628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0.26882269115960794</v>
      </c>
      <c r="R38" s="1">
        <v>85</v>
      </c>
      <c r="S38" s="1">
        <v>103</v>
      </c>
      <c r="T38" s="1">
        <v>0</v>
      </c>
      <c r="U38" s="1">
        <f>Games[[#This Row],[PointsFor]]-Games[[#This Row],[PointsAgainst]]</f>
        <v>-18</v>
      </c>
      <c r="V38" s="1">
        <f>IF(Games[[#This Row],[MOV]]&gt;0,1,IF(Games[[#This Row],[MOV]]=0,0.5,0))</f>
        <v>0</v>
      </c>
      <c r="W38" s="4">
        <f>((ABS(Games[[#This Row],[MOV]])+5)^0.6)/(12+0.01*(ABS(Games[[#This Row],[PreGmRate]]-Games[[#This Row],[OppPreGmRate]])))*IF(Games[[#This Row],[OT]]=1,0.9,1)</f>
        <v>0.50875264662737629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75.55</v>
      </c>
      <c r="Z38" s="4">
        <f>Games[[#This Row],[K]]*Games[[#This Row],[POMult]]</f>
        <v>75.55</v>
      </c>
      <c r="AA38" s="4">
        <f>(Games[[#This Row],[Keff]]*Games[[#This Row],[MOVMult]])*(Games[[#This Row],[Result]]-Games[[#This Row],[ExpectedWin%]])</f>
        <v>-10.332539510651344</v>
      </c>
      <c r="AB38" s="4">
        <f>Games[[#This Row],[PreGmRate]]+Games[[#This Row],[RatingChange]]</f>
        <v>1440.6637821394092</v>
      </c>
      <c r="AC38" s="2">
        <f>IF(Games[[#This Row],[Type]]="R",IF(Games[[#This Row],[Result]]&gt;0.5,1,0),0)</f>
        <v>0</v>
      </c>
      <c r="AD38" s="2">
        <f>IF(Games[[#This Row],[Type]]="R",IF(Games[[#This Row],[Result]]&lt;0.5,1,0),0)</f>
        <v>1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43621</v>
      </c>
      <c r="B39" s="2">
        <v>2019</v>
      </c>
      <c r="C39" s="2">
        <f>COUNTIFS(Games[Team],Games[[#This Row],[Team]],Games[Season],Games[[#This Row],[Season]],Games[Date],"&lt;=" &amp; Games[[#This Row],[Date]])</f>
        <v>3</v>
      </c>
      <c r="D39" s="2" t="s">
        <v>79</v>
      </c>
      <c r="E39" s="2" t="s">
        <v>80</v>
      </c>
      <c r="F39" s="1" t="s">
        <v>65</v>
      </c>
      <c r="G39" s="1" t="s">
        <v>75</v>
      </c>
      <c r="H39" s="1" t="s">
        <v>82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9" s="2">
        <f>Games[[#This Row],[DaysOff]]-Games[[#This Row],[OppDaysOff]]</f>
        <v>0</v>
      </c>
      <c r="L39" s="2">
        <f>Games[[#This Row],[OppDaysOff]]-Games[[#This Row],[DaysOff]]</f>
        <v>0</v>
      </c>
      <c r="M39" s="1">
        <f>MAX(-16, MIN(16, Games[[#This Row],[RestDiff]]*8))</f>
        <v>0</v>
      </c>
      <c r="N39" s="1">
        <f>MAX(-16, MIN(16, Games[[#This Row],[OppRestDiff]]*8))</f>
        <v>0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1540.8190339281628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1450.9963216500605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0.73117730884039212</v>
      </c>
      <c r="R39" s="1">
        <v>103</v>
      </c>
      <c r="S39" s="1">
        <v>85</v>
      </c>
      <c r="T39" s="1">
        <v>0</v>
      </c>
      <c r="U39" s="1">
        <f>Games[[#This Row],[PointsFor]]-Games[[#This Row],[PointsAgainst]]</f>
        <v>18</v>
      </c>
      <c r="V39" s="1">
        <f>IF(Games[[#This Row],[MOV]]&gt;0,1,IF(Games[[#This Row],[MOV]]=0,0.5,0))</f>
        <v>1</v>
      </c>
      <c r="W39" s="4">
        <f>((ABS(Games[[#This Row],[MOV]])+5)^0.6)/(12+0.01*(ABS(Games[[#This Row],[PreGmRate]]-Games[[#This Row],[OppPreGmRate]])))*IF(Games[[#This Row],[OT]]=1,0.9,1)</f>
        <v>0.50875264662737629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75.55</v>
      </c>
      <c r="Z39" s="4">
        <f>Games[[#This Row],[K]]*Games[[#This Row],[POMult]]</f>
        <v>75.55</v>
      </c>
      <c r="AA39" s="4">
        <f>(Games[[#This Row],[Keff]]*Games[[#This Row],[MOVMult]])*(Games[[#This Row],[Result]]-Games[[#This Row],[ExpectedWin%]])</f>
        <v>10.332539510651342</v>
      </c>
      <c r="AB39" s="4">
        <f>Games[[#This Row],[PreGmRate]]+Games[[#This Row],[RatingChange]]</f>
        <v>1551.151573438814</v>
      </c>
      <c r="AC39" s="2">
        <f>IF(Games[[#This Row],[Type]]="R",IF(Games[[#This Row],[Result]]&gt;0.5,1,0),0)</f>
        <v>1</v>
      </c>
      <c r="AD39" s="2">
        <f>IF(Games[[#This Row],[Type]]="R",IF(Games[[#This Row],[Result]]&lt;0.5,1,0),0)</f>
        <v>0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43622</v>
      </c>
      <c r="B40" s="2">
        <v>2019</v>
      </c>
      <c r="C40" s="2">
        <f>COUNTIFS(Games[Team],Games[[#This Row],[Team]],Games[Season],Games[[#This Row],[Season]],Games[Date],"&lt;=" &amp; Games[[#This Row],[Date]])</f>
        <v>4</v>
      </c>
      <c r="D40" s="2" t="s">
        <v>79</v>
      </c>
      <c r="E40" s="2" t="s">
        <v>80</v>
      </c>
      <c r="F40" s="1" t="s">
        <v>86</v>
      </c>
      <c r="G40" s="1" t="s">
        <v>77</v>
      </c>
      <c r="H40" s="1" t="s">
        <v>81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3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0" s="2">
        <f>Games[[#This Row],[DaysOff]]-Games[[#This Row],[OppDaysOff]]</f>
        <v>-1</v>
      </c>
      <c r="L40" s="2">
        <f>Games[[#This Row],[OppDaysOff]]-Games[[#This Row],[DaysOff]]</f>
        <v>1</v>
      </c>
      <c r="M40" s="1">
        <f>MAX(-16, MIN(16, Games[[#This Row],[RestDiff]]*8))</f>
        <v>-8</v>
      </c>
      <c r="N40" s="1">
        <f>MAX(-16, MIN(16, Games[[#This Row],[OppRestDiff]]*8))</f>
        <v>8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1459.4970539053163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1504.1535704592559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0.30307239243951795</v>
      </c>
      <c r="R40" s="1">
        <v>92</v>
      </c>
      <c r="S40" s="1">
        <v>69</v>
      </c>
      <c r="T40" s="1">
        <v>0</v>
      </c>
      <c r="U40" s="1">
        <f>Games[[#This Row],[PointsFor]]-Games[[#This Row],[PointsAgainst]]</f>
        <v>23</v>
      </c>
      <c r="V40" s="1">
        <f>IF(Games[[#This Row],[MOV]]&gt;0,1,IF(Games[[#This Row],[MOV]]=0,0.5,0))</f>
        <v>1</v>
      </c>
      <c r="W40" s="4">
        <f>((ABS(Games[[#This Row],[MOV]])+5)^0.6)/(12+0.01*(ABS(Games[[#This Row],[PreGmRate]]-Games[[#This Row],[OppPreGmRate]])))*IF(Games[[#This Row],[OT]]=1,0.9,1)</f>
        <v>0.59326031981797922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75.400000000000006</v>
      </c>
      <c r="Z40" s="4">
        <f>Games[[#This Row],[K]]*Games[[#This Row],[POMult]]</f>
        <v>75.400000000000006</v>
      </c>
      <c r="AA40" s="4">
        <f>(Games[[#This Row],[Keff]]*Games[[#This Row],[MOVMult]])*(Games[[#This Row],[Result]]-Games[[#This Row],[ExpectedWin%]])</f>
        <v>31.174845949488827</v>
      </c>
      <c r="AB40" s="4">
        <f>Games[[#This Row],[PreGmRate]]+Games[[#This Row],[RatingChange]]</f>
        <v>1490.6718998548051</v>
      </c>
      <c r="AC40" s="2">
        <f>IF(Games[[#This Row],[Type]]="R",IF(Games[[#This Row],[Result]]&gt;0.5,1,0),0)</f>
        <v>1</v>
      </c>
      <c r="AD40" s="2">
        <f>IF(Games[[#This Row],[Type]]="R",IF(Games[[#This Row],[Result]]&lt;0.5,1,0),0)</f>
        <v>0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43622</v>
      </c>
      <c r="B41" s="2">
        <v>2019</v>
      </c>
      <c r="C41" s="2">
        <f>COUNTIFS(Games[Team],Games[[#This Row],[Team]],Games[Season],Games[[#This Row],[Season]],Games[Date],"&lt;=" &amp; Games[[#This Row],[Date]])</f>
        <v>4</v>
      </c>
      <c r="D41" s="2" t="s">
        <v>79</v>
      </c>
      <c r="E41" s="2" t="s">
        <v>80</v>
      </c>
      <c r="F41" s="1" t="s">
        <v>77</v>
      </c>
      <c r="G41" s="1" t="s">
        <v>86</v>
      </c>
      <c r="H41" s="1" t="s">
        <v>82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" s="2">
        <f>Games[[#This Row],[DaysOff]]-Games[[#This Row],[OppDaysOff]]</f>
        <v>1</v>
      </c>
      <c r="L41" s="2">
        <f>Games[[#This Row],[OppDaysOff]]-Games[[#This Row],[DaysOff]]</f>
        <v>-1</v>
      </c>
      <c r="M41" s="1">
        <f>MAX(-16, MIN(16, Games[[#This Row],[RestDiff]]*8))</f>
        <v>8</v>
      </c>
      <c r="N41" s="1">
        <f>MAX(-16, MIN(16, Games[[#This Row],[OppRestDiff]]*8))</f>
        <v>-8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1504.1535704592559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1459.4970539053163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0.69692760756048211</v>
      </c>
      <c r="R41" s="1">
        <v>69</v>
      </c>
      <c r="S41" s="1">
        <v>92</v>
      </c>
      <c r="T41" s="1">
        <v>0</v>
      </c>
      <c r="U41" s="1">
        <f>Games[[#This Row],[PointsFor]]-Games[[#This Row],[PointsAgainst]]</f>
        <v>-23</v>
      </c>
      <c r="V41" s="1">
        <f>IF(Games[[#This Row],[MOV]]&gt;0,1,IF(Games[[#This Row],[MOV]]=0,0.5,0))</f>
        <v>0</v>
      </c>
      <c r="W41" s="4">
        <f>((ABS(Games[[#This Row],[MOV]])+5)^0.6)/(12+0.01*(ABS(Games[[#This Row],[PreGmRate]]-Games[[#This Row],[OppPreGmRate]])))*IF(Games[[#This Row],[OT]]=1,0.9,1)</f>
        <v>0.59326031981797922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75.400000000000006</v>
      </c>
      <c r="Z41" s="4">
        <f>Games[[#This Row],[K]]*Games[[#This Row],[POMult]]</f>
        <v>75.400000000000006</v>
      </c>
      <c r="AA41" s="4">
        <f>(Games[[#This Row],[Keff]]*Games[[#This Row],[MOVMult]])*(Games[[#This Row],[Result]]-Games[[#This Row],[ExpectedWin%]])</f>
        <v>-31.17484594948883</v>
      </c>
      <c r="AB41" s="4">
        <f>Games[[#This Row],[PreGmRate]]+Games[[#This Row],[RatingChange]]</f>
        <v>1472.9787245097671</v>
      </c>
      <c r="AC41" s="2">
        <f>IF(Games[[#This Row],[Type]]="R",IF(Games[[#This Row],[Result]]&gt;0.5,1,0),0)</f>
        <v>0</v>
      </c>
      <c r="AD41" s="2">
        <f>IF(Games[[#This Row],[Type]]="R",IF(Games[[#This Row],[Result]]&lt;0.5,1,0),0)</f>
        <v>1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43622</v>
      </c>
      <c r="B42" s="2">
        <v>2019</v>
      </c>
      <c r="C42" s="2">
        <f>COUNTIFS(Games[Team],Games[[#This Row],[Team]],Games[Season],Games[[#This Row],[Season]],Games[Date],"&lt;=" &amp; Games[[#This Row],[Date]])</f>
        <v>4</v>
      </c>
      <c r="D42" s="2" t="s">
        <v>79</v>
      </c>
      <c r="E42" s="2" t="s">
        <v>80</v>
      </c>
      <c r="F42" s="1" t="s">
        <v>63</v>
      </c>
      <c r="G42" s="1" t="s">
        <v>74</v>
      </c>
      <c r="H42" s="1" t="s">
        <v>81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2" s="2">
        <f>Games[[#This Row],[DaysOff]]-Games[[#This Row],[OppDaysOff]]</f>
        <v>-2</v>
      </c>
      <c r="L42" s="2">
        <f>Games[[#This Row],[OppDaysOff]]-Games[[#This Row],[DaysOff]]</f>
        <v>2</v>
      </c>
      <c r="M42" s="1">
        <f>MAX(-16, MIN(16, Games[[#This Row],[RestDiff]]*8))</f>
        <v>-16</v>
      </c>
      <c r="N42" s="1">
        <f>MAX(-16, MIN(16, Games[[#This Row],[OppRestDiff]]*8))</f>
        <v>16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1522.9543621300493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1566.1698052444067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0.28566795473383982</v>
      </c>
      <c r="R42" s="1">
        <v>77</v>
      </c>
      <c r="S42" s="1">
        <v>89</v>
      </c>
      <c r="T42" s="1">
        <v>0</v>
      </c>
      <c r="U42" s="1">
        <f>Games[[#This Row],[PointsFor]]-Games[[#This Row],[PointsAgainst]]</f>
        <v>-12</v>
      </c>
      <c r="V42" s="1">
        <f>IF(Games[[#This Row],[MOV]]&gt;0,1,IF(Games[[#This Row],[MOV]]=0,0.5,0))</f>
        <v>0</v>
      </c>
      <c r="W42" s="4">
        <f>((ABS(Games[[#This Row],[MOV]])+5)^0.6)/(12+0.01*(ABS(Games[[#This Row],[PreGmRate]]-Games[[#This Row],[OppPreGmRate]])))*IF(Games[[#This Row],[OT]]=1,0.9,1)</f>
        <v>0.44027391609669719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75.400000000000006</v>
      </c>
      <c r="Z42" s="4">
        <f>Games[[#This Row],[K]]*Games[[#This Row],[POMult]]</f>
        <v>75.400000000000006</v>
      </c>
      <c r="AA42" s="4">
        <f>(Games[[#This Row],[Keff]]*Games[[#This Row],[MOVMult]])*(Games[[#This Row],[Result]]-Games[[#This Row],[ExpectedWin%]])</f>
        <v>-9.483220044703728</v>
      </c>
      <c r="AB42" s="4">
        <f>Games[[#This Row],[PreGmRate]]+Games[[#This Row],[RatingChange]]</f>
        <v>1513.4711420853455</v>
      </c>
      <c r="AC42" s="2">
        <f>IF(Games[[#This Row],[Type]]="R",IF(Games[[#This Row],[Result]]&gt;0.5,1,0),0)</f>
        <v>0</v>
      </c>
      <c r="AD42" s="2">
        <f>IF(Games[[#This Row],[Type]]="R",IF(Games[[#This Row],[Result]]&lt;0.5,1,0),0)</f>
        <v>1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43622</v>
      </c>
      <c r="B43" s="2">
        <v>2019</v>
      </c>
      <c r="C43" s="2">
        <f>COUNTIFS(Games[Team],Games[[#This Row],[Team]],Games[Season],Games[[#This Row],[Season]],Games[Date],"&lt;=" &amp; Games[[#This Row],[Date]])</f>
        <v>5</v>
      </c>
      <c r="D43" s="2" t="s">
        <v>79</v>
      </c>
      <c r="E43" s="2" t="s">
        <v>80</v>
      </c>
      <c r="F43" s="1" t="s">
        <v>74</v>
      </c>
      <c r="G43" s="1" t="s">
        <v>63</v>
      </c>
      <c r="H43" s="1" t="s">
        <v>82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" s="2">
        <f>Games[[#This Row],[DaysOff]]-Games[[#This Row],[OppDaysOff]]</f>
        <v>2</v>
      </c>
      <c r="L43" s="2">
        <f>Games[[#This Row],[OppDaysOff]]-Games[[#This Row],[DaysOff]]</f>
        <v>-2</v>
      </c>
      <c r="M43" s="1">
        <f>MAX(-16, MIN(16, Games[[#This Row],[RestDiff]]*8))</f>
        <v>16</v>
      </c>
      <c r="N43" s="1">
        <f>MAX(-16, MIN(16, Games[[#This Row],[OppRestDiff]]*8))</f>
        <v>-16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1566.1698052444067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1522.9543621300493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0.71433204526616012</v>
      </c>
      <c r="R43" s="1">
        <v>89</v>
      </c>
      <c r="S43" s="1">
        <v>77</v>
      </c>
      <c r="T43" s="1">
        <v>0</v>
      </c>
      <c r="U43" s="1">
        <f>Games[[#This Row],[PointsFor]]-Games[[#This Row],[PointsAgainst]]</f>
        <v>12</v>
      </c>
      <c r="V43" s="1">
        <f>IF(Games[[#This Row],[MOV]]&gt;0,1,IF(Games[[#This Row],[MOV]]=0,0.5,0))</f>
        <v>1</v>
      </c>
      <c r="W43" s="4">
        <f>((ABS(Games[[#This Row],[MOV]])+5)^0.6)/(12+0.01*(ABS(Games[[#This Row],[PreGmRate]]-Games[[#This Row],[OppPreGmRate]])))*IF(Games[[#This Row],[OT]]=1,0.9,1)</f>
        <v>0.44027391609669719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75.25</v>
      </c>
      <c r="Z43" s="4">
        <f>Games[[#This Row],[K]]*Games[[#This Row],[POMult]]</f>
        <v>75.25</v>
      </c>
      <c r="AA43" s="4">
        <f>(Games[[#This Row],[Keff]]*Games[[#This Row],[MOVMult]])*(Games[[#This Row],[Result]]-Games[[#This Row],[ExpectedWin%]])</f>
        <v>9.464354222333629</v>
      </c>
      <c r="AB43" s="4">
        <f>Games[[#This Row],[PreGmRate]]+Games[[#This Row],[RatingChange]]</f>
        <v>1575.6341594667404</v>
      </c>
      <c r="AC43" s="2">
        <f>IF(Games[[#This Row],[Type]]="R",IF(Games[[#This Row],[Result]]&gt;0.5,1,0),0)</f>
        <v>1</v>
      </c>
      <c r="AD43" s="2">
        <f>IF(Games[[#This Row],[Type]]="R",IF(Games[[#This Row],[Result]]&lt;0.5,1,0),0)</f>
        <v>0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43622</v>
      </c>
      <c r="B44" s="2">
        <v>2019</v>
      </c>
      <c r="C44" s="2">
        <f>COUNTIFS(Games[Team],Games[[#This Row],[Team]],Games[Season],Games[[#This Row],[Season]],Games[Date],"&lt;=" &amp; Games[[#This Row],[Date]])</f>
        <v>3</v>
      </c>
      <c r="D44" s="2" t="s">
        <v>79</v>
      </c>
      <c r="E44" s="2" t="s">
        <v>80</v>
      </c>
      <c r="F44" s="1" t="s">
        <v>40</v>
      </c>
      <c r="G44" s="1" t="s">
        <v>67</v>
      </c>
      <c r="H44" s="1" t="s">
        <v>81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5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" s="2">
        <f>Games[[#This Row],[DaysOff]]-Games[[#This Row],[OppDaysOff]]</f>
        <v>4</v>
      </c>
      <c r="L44" s="2">
        <f>Games[[#This Row],[OppDaysOff]]-Games[[#This Row],[DaysOff]]</f>
        <v>-4</v>
      </c>
      <c r="M44" s="1">
        <f>MAX(-16, MIN(16, Games[[#This Row],[RestDiff]]*8))</f>
        <v>16</v>
      </c>
      <c r="N44" s="1">
        <f>MAX(-16, MIN(16, Games[[#This Row],[OppRestDiff]]*8))</f>
        <v>-16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1538.5683597962582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1547.0088618285533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0.41388605793811345</v>
      </c>
      <c r="R44" s="1">
        <v>56</v>
      </c>
      <c r="S44" s="1">
        <v>58</v>
      </c>
      <c r="T44" s="1">
        <v>0</v>
      </c>
      <c r="U44" s="1">
        <f>Games[[#This Row],[PointsFor]]-Games[[#This Row],[PointsAgainst]]</f>
        <v>-2</v>
      </c>
      <c r="V44" s="1">
        <f>IF(Games[[#This Row],[MOV]]&gt;0,1,IF(Games[[#This Row],[MOV]]=0,0.5,0))</f>
        <v>0</v>
      </c>
      <c r="W44" s="4">
        <f>((ABS(Games[[#This Row],[MOV]])+5)^0.6)/(12+0.01*(ABS(Games[[#This Row],[PreGmRate]]-Games[[#This Row],[OppPreGmRate]])))*IF(Games[[#This Row],[OT]]=1,0.9,1)</f>
        <v>0.26597055000314301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75.55</v>
      </c>
      <c r="Z44" s="4">
        <f>Games[[#This Row],[K]]*Games[[#This Row],[POMult]]</f>
        <v>75.55</v>
      </c>
      <c r="AA44" s="4">
        <f>(Games[[#This Row],[Keff]]*Games[[#This Row],[MOVMult]])*(Games[[#This Row],[Result]]-Games[[#This Row],[ExpectedWin%]])</f>
        <v>-8.316657511490094</v>
      </c>
      <c r="AB44" s="4">
        <f>Games[[#This Row],[PreGmRate]]+Games[[#This Row],[RatingChange]]</f>
        <v>1530.251702284768</v>
      </c>
      <c r="AC44" s="2">
        <f>IF(Games[[#This Row],[Type]]="R",IF(Games[[#This Row],[Result]]&gt;0.5,1,0),0)</f>
        <v>0</v>
      </c>
      <c r="AD44" s="2">
        <f>IF(Games[[#This Row],[Type]]="R",IF(Games[[#This Row],[Result]]&lt;0.5,1,0),0)</f>
        <v>1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43622</v>
      </c>
      <c r="B45" s="2">
        <v>2019</v>
      </c>
      <c r="C45" s="2">
        <f>COUNTIFS(Games[Team],Games[[#This Row],[Team]],Games[Season],Games[[#This Row],[Season]],Games[Date],"&lt;=" &amp; Games[[#This Row],[Date]])</f>
        <v>5</v>
      </c>
      <c r="D45" s="2" t="s">
        <v>79</v>
      </c>
      <c r="E45" s="2" t="s">
        <v>80</v>
      </c>
      <c r="F45" s="1" t="s">
        <v>67</v>
      </c>
      <c r="G45" s="1" t="s">
        <v>40</v>
      </c>
      <c r="H45" s="1" t="s">
        <v>82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5" s="2">
        <f>Games[[#This Row],[DaysOff]]-Games[[#This Row],[OppDaysOff]]</f>
        <v>-4</v>
      </c>
      <c r="L45" s="2">
        <f>Games[[#This Row],[OppDaysOff]]-Games[[#This Row],[DaysOff]]</f>
        <v>4</v>
      </c>
      <c r="M45" s="1">
        <f>MAX(-16, MIN(16, Games[[#This Row],[RestDiff]]*8))</f>
        <v>-16</v>
      </c>
      <c r="N45" s="1">
        <f>MAX(-16, MIN(16, Games[[#This Row],[OppRestDiff]]*8))</f>
        <v>16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1547.0088618285533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1538.5683597962582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0.58611394206188649</v>
      </c>
      <c r="R45" s="1">
        <v>58</v>
      </c>
      <c r="S45" s="1">
        <v>56</v>
      </c>
      <c r="T45" s="1">
        <v>0</v>
      </c>
      <c r="U45" s="1">
        <f>Games[[#This Row],[PointsFor]]-Games[[#This Row],[PointsAgainst]]</f>
        <v>2</v>
      </c>
      <c r="V45" s="1">
        <f>IF(Games[[#This Row],[MOV]]&gt;0,1,IF(Games[[#This Row],[MOV]]=0,0.5,0))</f>
        <v>1</v>
      </c>
      <c r="W45" s="4">
        <f>((ABS(Games[[#This Row],[MOV]])+5)^0.6)/(12+0.01*(ABS(Games[[#This Row],[PreGmRate]]-Games[[#This Row],[OppPreGmRate]])))*IF(Games[[#This Row],[OT]]=1,0.9,1)</f>
        <v>0.26597055000314301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75.25</v>
      </c>
      <c r="Z45" s="4">
        <f>Games[[#This Row],[K]]*Games[[#This Row],[POMult]]</f>
        <v>75.25</v>
      </c>
      <c r="AA45" s="4">
        <f>(Games[[#This Row],[Keff]]*Games[[#This Row],[MOVMult]])*(Games[[#This Row],[Result]]-Games[[#This Row],[ExpectedWin%]])</f>
        <v>8.2836330607495654</v>
      </c>
      <c r="AB45" s="4">
        <f>Games[[#This Row],[PreGmRate]]+Games[[#This Row],[RatingChange]]</f>
        <v>1555.2924948893028</v>
      </c>
      <c r="AC45" s="2">
        <f>IF(Games[[#This Row],[Type]]="R",IF(Games[[#This Row],[Result]]&gt;0.5,1,0),0)</f>
        <v>1</v>
      </c>
      <c r="AD45" s="2">
        <f>IF(Games[[#This Row],[Type]]="R",IF(Games[[#This Row],[Result]]&lt;0.5,1,0),0)</f>
        <v>0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43623</v>
      </c>
      <c r="B46" s="2">
        <v>2019</v>
      </c>
      <c r="C46" s="2">
        <f>COUNTIFS(Games[Team],Games[[#This Row],[Team]],Games[Season],Games[[#This Row],[Season]],Games[Date],"&lt;=" &amp; Games[[#This Row],[Date]])</f>
        <v>3</v>
      </c>
      <c r="D46" s="2" t="s">
        <v>79</v>
      </c>
      <c r="E46" s="2" t="s">
        <v>80</v>
      </c>
      <c r="F46" s="1" t="s">
        <v>85</v>
      </c>
      <c r="G46" s="1" t="s">
        <v>69</v>
      </c>
      <c r="H46" s="1" t="s">
        <v>81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5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6" s="2">
        <f>Games[[#This Row],[DaysOff]]-Games[[#This Row],[OppDaysOff]]</f>
        <v>0</v>
      </c>
      <c r="L46" s="2">
        <f>Games[[#This Row],[OppDaysOff]]-Games[[#This Row],[DaysOff]]</f>
        <v>0</v>
      </c>
      <c r="M46" s="1">
        <f>MAX(-16, MIN(16, Games[[#This Row],[RestDiff]]*8))</f>
        <v>0</v>
      </c>
      <c r="N46" s="1">
        <f>MAX(-16, MIN(16, Games[[#This Row],[OppRestDiff]]*8))</f>
        <v>0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1457.3271581983117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1424.3725037600193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0.42706387847654625</v>
      </c>
      <c r="R46" s="1">
        <v>64</v>
      </c>
      <c r="S46" s="1">
        <v>79</v>
      </c>
      <c r="T46" s="1">
        <v>0</v>
      </c>
      <c r="U46" s="1">
        <f>Games[[#This Row],[PointsFor]]-Games[[#This Row],[PointsAgainst]]</f>
        <v>-15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0.48940780707739834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75.55</v>
      </c>
      <c r="Z46" s="4">
        <f>Games[[#This Row],[K]]*Games[[#This Row],[POMult]]</f>
        <v>75.55</v>
      </c>
      <c r="AA46" s="4">
        <f>(Games[[#This Row],[Keff]]*Games[[#This Row],[MOVMult]])*(Games[[#This Row],[Result]]-Games[[#This Row],[ExpectedWin%]])</f>
        <v>-15.790584336474074</v>
      </c>
      <c r="AB46" s="4">
        <f>Games[[#This Row],[PreGmRate]]+Games[[#This Row],[RatingChange]]</f>
        <v>1441.5365738618377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43623</v>
      </c>
      <c r="B47" s="2">
        <v>2019</v>
      </c>
      <c r="C47" s="2">
        <f>COUNTIFS(Games[Team],Games[[#This Row],[Team]],Games[Season],Games[[#This Row],[Season]],Games[Date],"&lt;=" &amp; Games[[#This Row],[Date]])</f>
        <v>4</v>
      </c>
      <c r="D47" s="2" t="s">
        <v>79</v>
      </c>
      <c r="E47" s="2" t="s">
        <v>80</v>
      </c>
      <c r="F47" s="1" t="s">
        <v>69</v>
      </c>
      <c r="G47" s="1" t="s">
        <v>85</v>
      </c>
      <c r="H47" s="1" t="s">
        <v>82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5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7" s="2">
        <f>Games[[#This Row],[DaysOff]]-Games[[#This Row],[OppDaysOff]]</f>
        <v>0</v>
      </c>
      <c r="L47" s="2">
        <f>Games[[#This Row],[OppDaysOff]]-Games[[#This Row],[DaysOff]]</f>
        <v>0</v>
      </c>
      <c r="M47" s="1">
        <f>MAX(-16, MIN(16, Games[[#This Row],[RestDiff]]*8))</f>
        <v>0</v>
      </c>
      <c r="N47" s="1">
        <f>MAX(-16, MIN(16, Games[[#This Row],[OppRestDiff]]*8))</f>
        <v>0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1424.3725037600193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1457.3271581983117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0.57293612152345375</v>
      </c>
      <c r="R47" s="1">
        <v>79</v>
      </c>
      <c r="S47" s="1">
        <v>64</v>
      </c>
      <c r="T47" s="1">
        <v>0</v>
      </c>
      <c r="U47" s="1">
        <f>Games[[#This Row],[PointsFor]]-Games[[#This Row],[PointsAgainst]]</f>
        <v>15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0.48940780707739834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75.400000000000006</v>
      </c>
      <c r="Z47" s="4">
        <f>Games[[#This Row],[K]]*Games[[#This Row],[POMult]]</f>
        <v>75.400000000000006</v>
      </c>
      <c r="AA47" s="4">
        <f>(Games[[#This Row],[Keff]]*Games[[#This Row],[MOVMult]])*(Games[[#This Row],[Result]]-Games[[#This Row],[ExpectedWin%]])</f>
        <v>15.759233077036999</v>
      </c>
      <c r="AB47" s="4">
        <f>Games[[#This Row],[PreGmRate]]+Games[[#This Row],[RatingChange]]</f>
        <v>1440.1317368370562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43623</v>
      </c>
      <c r="B48" s="2">
        <v>2019</v>
      </c>
      <c r="C48" s="2">
        <f>COUNTIFS(Games[Team],Games[[#This Row],[Team]],Games[Season],Games[[#This Row],[Season]],Games[Date],"&lt;=" &amp; Games[[#This Row],[Date]])</f>
        <v>4</v>
      </c>
      <c r="D48" s="2" t="s">
        <v>79</v>
      </c>
      <c r="E48" s="2" t="s">
        <v>80</v>
      </c>
      <c r="F48" s="1" t="s">
        <v>65</v>
      </c>
      <c r="G48" s="1" t="s">
        <v>60</v>
      </c>
      <c r="H48" s="1" t="s">
        <v>81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" s="2">
        <f>Games[[#This Row],[DaysOff]]-Games[[#This Row],[OppDaysOff]]</f>
        <v>-1</v>
      </c>
      <c r="L48" s="2">
        <f>Games[[#This Row],[OppDaysOff]]-Games[[#This Row],[DaysOff]]</f>
        <v>1</v>
      </c>
      <c r="M48" s="1">
        <f>MAX(-16, MIN(16, Games[[#This Row],[RestDiff]]*8))</f>
        <v>-8</v>
      </c>
      <c r="N48" s="1">
        <f>MAX(-16, MIN(16, Games[[#This Row],[OppRestDiff]]*8))</f>
        <v>8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1551.151573438814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1376.6187969119196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0.60564563613494216</v>
      </c>
      <c r="R48" s="1">
        <v>94</v>
      </c>
      <c r="S48" s="1">
        <v>85</v>
      </c>
      <c r="T48" s="1">
        <v>0</v>
      </c>
      <c r="U48" s="1">
        <f>Games[[#This Row],[PointsFor]]-Games[[#This Row],[PointsAgainst]]</f>
        <v>9</v>
      </c>
      <c r="V48" s="1">
        <f>IF(Games[[#This Row],[MOV]]&gt;0,1,IF(Games[[#This Row],[MOV]]=0,0.5,0))</f>
        <v>1</v>
      </c>
      <c r="W48" s="4">
        <f>((ABS(Games[[#This Row],[MOV]])+5)^0.6)/(12+0.01*(ABS(Games[[#This Row],[PreGmRate]]-Games[[#This Row],[OppPreGmRate]])))*IF(Games[[#This Row],[OT]]=1,0.9,1)</f>
        <v>0.35442285618509539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75.400000000000006</v>
      </c>
      <c r="Z48" s="4">
        <f>Games[[#This Row],[K]]*Games[[#This Row],[POMult]]</f>
        <v>75.400000000000006</v>
      </c>
      <c r="AA48" s="4">
        <f>(Games[[#This Row],[Keff]]*Games[[#This Row],[MOVMult]])*(Games[[#This Row],[Result]]-Games[[#This Row],[ExpectedWin%]])</f>
        <v>10.538522279254307</v>
      </c>
      <c r="AB48" s="4">
        <f>Games[[#This Row],[PreGmRate]]+Games[[#This Row],[RatingChange]]</f>
        <v>1561.6900957180683</v>
      </c>
      <c r="AC48" s="2">
        <f>IF(Games[[#This Row],[Type]]="R",IF(Games[[#This Row],[Result]]&gt;0.5,1,0),0)</f>
        <v>1</v>
      </c>
      <c r="AD48" s="2">
        <f>IF(Games[[#This Row],[Type]]="R",IF(Games[[#This Row],[Result]]&lt;0.5,1,0),0)</f>
        <v>0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43623</v>
      </c>
      <c r="B49" s="2">
        <v>2019</v>
      </c>
      <c r="C49" s="2">
        <f>COUNTIFS(Games[Team],Games[[#This Row],[Team]],Games[Season],Games[[#This Row],[Season]],Games[Date],"&lt;=" &amp; Games[[#This Row],[Date]])</f>
        <v>4</v>
      </c>
      <c r="D49" s="2" t="s">
        <v>79</v>
      </c>
      <c r="E49" s="2" t="s">
        <v>80</v>
      </c>
      <c r="F49" s="1" t="s">
        <v>60</v>
      </c>
      <c r="G49" s="1" t="s">
        <v>65</v>
      </c>
      <c r="H49" s="1" t="s">
        <v>82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" s="2">
        <f>Games[[#This Row],[DaysOff]]-Games[[#This Row],[OppDaysOff]]</f>
        <v>1</v>
      </c>
      <c r="L49" s="2">
        <f>Games[[#This Row],[OppDaysOff]]-Games[[#This Row],[DaysOff]]</f>
        <v>-1</v>
      </c>
      <c r="M49" s="1">
        <f>MAX(-16, MIN(16, Games[[#This Row],[RestDiff]]*8))</f>
        <v>8</v>
      </c>
      <c r="N49" s="1">
        <f>MAX(-16, MIN(16, Games[[#This Row],[OppRestDiff]]*8))</f>
        <v>-8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1376.6187969119196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1551.151573438814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0.3943543638650579</v>
      </c>
      <c r="R49" s="1">
        <v>85</v>
      </c>
      <c r="S49" s="1">
        <v>94</v>
      </c>
      <c r="T49" s="1">
        <v>0</v>
      </c>
      <c r="U49" s="1">
        <f>Games[[#This Row],[PointsFor]]-Games[[#This Row],[PointsAgainst]]</f>
        <v>-9</v>
      </c>
      <c r="V49" s="1">
        <f>IF(Games[[#This Row],[MOV]]&gt;0,1,IF(Games[[#This Row],[MOV]]=0,0.5,0))</f>
        <v>0</v>
      </c>
      <c r="W49" s="4">
        <f>((ABS(Games[[#This Row],[MOV]])+5)^0.6)/(12+0.01*(ABS(Games[[#This Row],[PreGmRate]]-Games[[#This Row],[OppPreGmRate]])))*IF(Games[[#This Row],[OT]]=1,0.9,1)</f>
        <v>0.35442285618509539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75.400000000000006</v>
      </c>
      <c r="Z49" s="4">
        <f>Games[[#This Row],[K]]*Games[[#This Row],[POMult]]</f>
        <v>75.400000000000006</v>
      </c>
      <c r="AA49" s="4">
        <f>(Games[[#This Row],[Keff]]*Games[[#This Row],[MOVMult]])*(Games[[#This Row],[Result]]-Games[[#This Row],[ExpectedWin%]])</f>
        <v>-10.538522279254309</v>
      </c>
      <c r="AB49" s="4">
        <f>Games[[#This Row],[PreGmRate]]+Games[[#This Row],[RatingChange]]</f>
        <v>1366.0802746326654</v>
      </c>
      <c r="AC49" s="2">
        <f>IF(Games[[#This Row],[Type]]="R",IF(Games[[#This Row],[Result]]&gt;0.5,1,0),0)</f>
        <v>0</v>
      </c>
      <c r="AD49" s="2">
        <f>IF(Games[[#This Row],[Type]]="R",IF(Games[[#This Row],[Result]]&lt;0.5,1,0),0)</f>
        <v>1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43624</v>
      </c>
      <c r="B50" s="2">
        <v>2019</v>
      </c>
      <c r="C50" s="2">
        <f>COUNTIFS(Games[Team],Games[[#This Row],[Team]],Games[Season],Games[[#This Row],[Season]],Games[Date],"&lt;=" &amp; Games[[#This Row],[Date]])</f>
        <v>5</v>
      </c>
      <c r="D50" s="2" t="s">
        <v>79</v>
      </c>
      <c r="E50" s="2" t="s">
        <v>80</v>
      </c>
      <c r="F50" s="1" t="s">
        <v>63</v>
      </c>
      <c r="G50" s="1" t="s">
        <v>67</v>
      </c>
      <c r="H50" s="1" t="s">
        <v>81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" s="2">
        <f>Games[[#This Row],[DaysOff]]-Games[[#This Row],[OppDaysOff]]</f>
        <v>0</v>
      </c>
      <c r="L50" s="2">
        <f>Games[[#This Row],[OppDaysOff]]-Games[[#This Row],[DaysOff]]</f>
        <v>0</v>
      </c>
      <c r="M50" s="1">
        <f>MAX(-16, MIN(16, Games[[#This Row],[RestDiff]]*8))</f>
        <v>0</v>
      </c>
      <c r="N50" s="1">
        <f>MAX(-16, MIN(16, Games[[#This Row],[OppRestDiff]]*8))</f>
        <v>0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1513.4711420853455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1555.2924948893028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0.32644989141099595</v>
      </c>
      <c r="R50" s="1">
        <v>89</v>
      </c>
      <c r="S50" s="1">
        <v>85</v>
      </c>
      <c r="T50" s="1">
        <v>0</v>
      </c>
      <c r="U50" s="1">
        <f>Games[[#This Row],[PointsFor]]-Games[[#This Row],[PointsAgainst]]</f>
        <v>4</v>
      </c>
      <c r="V50" s="1">
        <f>IF(Games[[#This Row],[MOV]]&gt;0,1,IF(Games[[#This Row],[MOV]]=0,0.5,0))</f>
        <v>1</v>
      </c>
      <c r="W50" s="4">
        <f>((ABS(Games[[#This Row],[MOV]])+5)^0.6)/(12+0.01*(ABS(Games[[#This Row],[PreGmRate]]-Games[[#This Row],[OppPreGmRate]])))*IF(Games[[#This Row],[OT]]=1,0.9,1)</f>
        <v>0.3009444804929628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75.25</v>
      </c>
      <c r="Z50" s="4">
        <f>Games[[#This Row],[K]]*Games[[#This Row],[POMult]]</f>
        <v>75.25</v>
      </c>
      <c r="AA50" s="4">
        <f>(Games[[#This Row],[Keff]]*Games[[#This Row],[MOVMult]])*(Games[[#This Row],[Result]]-Games[[#This Row],[ExpectedWin%]])</f>
        <v>15.253264360526062</v>
      </c>
      <c r="AB50" s="4">
        <f>Games[[#This Row],[PreGmRate]]+Games[[#This Row],[RatingChange]]</f>
        <v>1528.7244064458716</v>
      </c>
      <c r="AC50" s="2">
        <f>IF(Games[[#This Row],[Type]]="R",IF(Games[[#This Row],[Result]]&gt;0.5,1,0),0)</f>
        <v>1</v>
      </c>
      <c r="AD50" s="2">
        <f>IF(Games[[#This Row],[Type]]="R",IF(Games[[#This Row],[Result]]&lt;0.5,1,0),0)</f>
        <v>0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43624</v>
      </c>
      <c r="B51" s="2">
        <v>2019</v>
      </c>
      <c r="C51" s="2">
        <f>COUNTIFS(Games[Team],Games[[#This Row],[Team]],Games[Season],Games[[#This Row],[Season]],Games[Date],"&lt;=" &amp; Games[[#This Row],[Date]])</f>
        <v>6</v>
      </c>
      <c r="D51" s="2" t="s">
        <v>79</v>
      </c>
      <c r="E51" s="2" t="s">
        <v>80</v>
      </c>
      <c r="F51" s="1" t="s">
        <v>67</v>
      </c>
      <c r="G51" s="1" t="s">
        <v>63</v>
      </c>
      <c r="H51" s="1" t="s">
        <v>82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" s="2">
        <f>Games[[#This Row],[DaysOff]]-Games[[#This Row],[OppDaysOff]]</f>
        <v>0</v>
      </c>
      <c r="L51" s="2">
        <f>Games[[#This Row],[OppDaysOff]]-Games[[#This Row],[DaysOff]]</f>
        <v>0</v>
      </c>
      <c r="M51" s="1">
        <f>MAX(-16, MIN(16, Games[[#This Row],[RestDiff]]*8))</f>
        <v>0</v>
      </c>
      <c r="N51" s="1">
        <f>MAX(-16, MIN(16, Games[[#This Row],[OppRestDiff]]*8))</f>
        <v>0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1555.2924948893028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1513.4711420853455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0.67355010858900399</v>
      </c>
      <c r="R51" s="1">
        <v>85</v>
      </c>
      <c r="S51" s="1">
        <v>89</v>
      </c>
      <c r="T51" s="1">
        <v>0</v>
      </c>
      <c r="U51" s="1">
        <f>Games[[#This Row],[PointsFor]]-Games[[#This Row],[PointsAgainst]]</f>
        <v>-4</v>
      </c>
      <c r="V51" s="1">
        <f>IF(Games[[#This Row],[MOV]]&gt;0,1,IF(Games[[#This Row],[MOV]]=0,0.5,0))</f>
        <v>0</v>
      </c>
      <c r="W51" s="4">
        <f>((ABS(Games[[#This Row],[MOV]])+5)^0.6)/(12+0.01*(ABS(Games[[#This Row],[PreGmRate]]-Games[[#This Row],[OppPreGmRate]])))*IF(Games[[#This Row],[OT]]=1,0.9,1)</f>
        <v>0.3009444804929628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75.099999999999994</v>
      </c>
      <c r="Z51" s="4">
        <f>Games[[#This Row],[K]]*Games[[#This Row],[POMult]]</f>
        <v>75.099999999999994</v>
      </c>
      <c r="AA51" s="4">
        <f>(Games[[#This Row],[Keff]]*Games[[#This Row],[MOVMult]])*(Games[[#This Row],[Result]]-Games[[#This Row],[ExpectedWin%]])</f>
        <v>-15.222859182398764</v>
      </c>
      <c r="AB51" s="4">
        <f>Games[[#This Row],[PreGmRate]]+Games[[#This Row],[RatingChange]]</f>
        <v>1540.0696357069041</v>
      </c>
      <c r="AC51" s="2">
        <f>IF(Games[[#This Row],[Type]]="R",IF(Games[[#This Row],[Result]]&gt;0.5,1,0),0)</f>
        <v>0</v>
      </c>
      <c r="AD51" s="2">
        <f>IF(Games[[#This Row],[Type]]="R",IF(Games[[#This Row],[Result]]&lt;0.5,1,0),0)</f>
        <v>1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43625</v>
      </c>
      <c r="B52" s="2">
        <v>2019</v>
      </c>
      <c r="C52" s="2">
        <f>COUNTIFS(Games[Team],Games[[#This Row],[Team]],Games[Season],Games[[#This Row],[Season]],Games[Date],"&lt;=" &amp; Games[[#This Row],[Date]])</f>
        <v>6</v>
      </c>
      <c r="D52" s="2" t="s">
        <v>79</v>
      </c>
      <c r="E52" s="2" t="s">
        <v>80</v>
      </c>
      <c r="F52" s="1" t="s">
        <v>74</v>
      </c>
      <c r="G52" s="1" t="s">
        <v>77</v>
      </c>
      <c r="H52" s="1" t="s">
        <v>81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" s="2">
        <f>Games[[#This Row],[DaysOff]]-Games[[#This Row],[OppDaysOff]]</f>
        <v>0</v>
      </c>
      <c r="L52" s="2">
        <f>Games[[#This Row],[OppDaysOff]]-Games[[#This Row],[DaysOff]]</f>
        <v>0</v>
      </c>
      <c r="M52" s="1">
        <f>MAX(-16, MIN(16, Games[[#This Row],[RestDiff]]*8))</f>
        <v>0</v>
      </c>
      <c r="N52" s="1">
        <f>MAX(-16, MIN(16, Games[[#This Row],[OppRestDiff]]*8))</f>
        <v>0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1575.6341594667404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1472.9787245097671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0.52682155741863945</v>
      </c>
      <c r="R52" s="1">
        <v>65</v>
      </c>
      <c r="S52" s="1">
        <v>59</v>
      </c>
      <c r="T52" s="1">
        <v>0</v>
      </c>
      <c r="U52" s="1">
        <f>Games[[#This Row],[PointsFor]]-Games[[#This Row],[PointsAgainst]]</f>
        <v>6</v>
      </c>
      <c r="V52" s="1">
        <f>IF(Games[[#This Row],[MOV]]&gt;0,1,IF(Games[[#This Row],[MOV]]=0,0.5,0))</f>
        <v>1</v>
      </c>
      <c r="W52" s="4">
        <f>((ABS(Games[[#This Row],[MOV]])+5)^0.6)/(12+0.01*(ABS(Games[[#This Row],[PreGmRate]]-Games[[#This Row],[OppPreGmRate]])))*IF(Games[[#This Row],[OT]]=1,0.9,1)</f>
        <v>0.32359816878445175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75.099999999999994</v>
      </c>
      <c r="Z52" s="4">
        <f>Games[[#This Row],[K]]*Games[[#This Row],[POMult]]</f>
        <v>75.099999999999994</v>
      </c>
      <c r="AA52" s="4">
        <f>(Games[[#This Row],[Keff]]*Games[[#This Row],[MOVMult]])*(Games[[#This Row],[Result]]-Games[[#This Row],[ExpectedWin%]])</f>
        <v>11.499287782323293</v>
      </c>
      <c r="AB52" s="4">
        <f>Games[[#This Row],[PreGmRate]]+Games[[#This Row],[RatingChange]]</f>
        <v>1587.1334472490637</v>
      </c>
      <c r="AC52" s="2">
        <f>IF(Games[[#This Row],[Type]]="R",IF(Games[[#This Row],[Result]]&gt;0.5,1,0),0)</f>
        <v>1</v>
      </c>
      <c r="AD52" s="2">
        <f>IF(Games[[#This Row],[Type]]="R",IF(Games[[#This Row],[Result]]&lt;0.5,1,0),0)</f>
        <v>0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43625</v>
      </c>
      <c r="B53" s="2">
        <v>2019</v>
      </c>
      <c r="C53" s="2">
        <f>COUNTIFS(Games[Team],Games[[#This Row],[Team]],Games[Season],Games[[#This Row],[Season]],Games[Date],"&lt;=" &amp; Games[[#This Row],[Date]])</f>
        <v>5</v>
      </c>
      <c r="D53" s="2" t="s">
        <v>79</v>
      </c>
      <c r="E53" s="2" t="s">
        <v>80</v>
      </c>
      <c r="F53" s="1" t="s">
        <v>77</v>
      </c>
      <c r="G53" s="1" t="s">
        <v>74</v>
      </c>
      <c r="H53" s="1" t="s">
        <v>82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3" s="2">
        <f>Games[[#This Row],[DaysOff]]-Games[[#This Row],[OppDaysOff]]</f>
        <v>0</v>
      </c>
      <c r="L53" s="2">
        <f>Games[[#This Row],[OppDaysOff]]-Games[[#This Row],[DaysOff]]</f>
        <v>0</v>
      </c>
      <c r="M53" s="1">
        <f>MAX(-16, MIN(16, Games[[#This Row],[RestDiff]]*8))</f>
        <v>0</v>
      </c>
      <c r="N53" s="1">
        <f>MAX(-16, MIN(16, Games[[#This Row],[OppRestDiff]]*8))</f>
        <v>0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1472.9787245097671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1575.6341594667404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0.47317844258136049</v>
      </c>
      <c r="R53" s="1">
        <v>59</v>
      </c>
      <c r="S53" s="1">
        <v>65</v>
      </c>
      <c r="T53" s="1">
        <v>0</v>
      </c>
      <c r="U53" s="1">
        <f>Games[[#This Row],[PointsFor]]-Games[[#This Row],[PointsAgainst]]</f>
        <v>-6</v>
      </c>
      <c r="V53" s="1">
        <f>IF(Games[[#This Row],[MOV]]&gt;0,1,IF(Games[[#This Row],[MOV]]=0,0.5,0))</f>
        <v>0</v>
      </c>
      <c r="W53" s="4">
        <f>((ABS(Games[[#This Row],[MOV]])+5)^0.6)/(12+0.01*(ABS(Games[[#This Row],[PreGmRate]]-Games[[#This Row],[OppPreGmRate]])))*IF(Games[[#This Row],[OT]]=1,0.9,1)</f>
        <v>0.32359816878445175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75.25</v>
      </c>
      <c r="Z53" s="4">
        <f>Games[[#This Row],[K]]*Games[[#This Row],[POMult]]</f>
        <v>75.25</v>
      </c>
      <c r="AA53" s="4">
        <f>(Games[[#This Row],[Keff]]*Games[[#This Row],[MOVMult]])*(Games[[#This Row],[Result]]-Games[[#This Row],[ExpectedWin%]])</f>
        <v>-11.522255733952434</v>
      </c>
      <c r="AB53" s="4">
        <f>Games[[#This Row],[PreGmRate]]+Games[[#This Row],[RatingChange]]</f>
        <v>1461.4564687758145</v>
      </c>
      <c r="AC53" s="2">
        <f>IF(Games[[#This Row],[Type]]="R",IF(Games[[#This Row],[Result]]&gt;0.5,1,0),0)</f>
        <v>0</v>
      </c>
      <c r="AD53" s="2">
        <f>IF(Games[[#This Row],[Type]]="R",IF(Games[[#This Row],[Result]]&lt;0.5,1,0),0)</f>
        <v>1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43625</v>
      </c>
      <c r="B54" s="2">
        <v>2019</v>
      </c>
      <c r="C54" s="2">
        <f>COUNTIFS(Games[Team],Games[[#This Row],[Team]],Games[Season],Games[[#This Row],[Season]],Games[Date],"&lt;=" &amp; Games[[#This Row],[Date]])</f>
        <v>6</v>
      </c>
      <c r="D54" s="2" t="s">
        <v>79</v>
      </c>
      <c r="E54" s="2" t="s">
        <v>80</v>
      </c>
      <c r="F54" s="1" t="s">
        <v>71</v>
      </c>
      <c r="G54" s="1" t="s">
        <v>75</v>
      </c>
      <c r="H54" s="1" t="s">
        <v>81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4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4" s="2">
        <f>Games[[#This Row],[DaysOff]]-Games[[#This Row],[OppDaysOff]]</f>
        <v>1</v>
      </c>
      <c r="L54" s="2">
        <f>Games[[#This Row],[OppDaysOff]]-Games[[#This Row],[DaysOff]]</f>
        <v>-1</v>
      </c>
      <c r="M54" s="1">
        <f>MAX(-16, MIN(16, Games[[#This Row],[RestDiff]]*8))</f>
        <v>8</v>
      </c>
      <c r="N54" s="1">
        <f>MAX(-16, MIN(16, Games[[#This Row],[OppRestDiff]]*8))</f>
        <v>-8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1611.5275930471673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1440.6637821394092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0.64385410566942425</v>
      </c>
      <c r="R54" s="1">
        <v>71</v>
      </c>
      <c r="S54" s="1">
        <v>78</v>
      </c>
      <c r="T54" s="1">
        <v>0</v>
      </c>
      <c r="U54" s="1">
        <f>Games[[#This Row],[PointsFor]]-Games[[#This Row],[PointsAgainst]]</f>
        <v>-7</v>
      </c>
      <c r="V54" s="1">
        <f>IF(Games[[#This Row],[MOV]]&gt;0,1,IF(Games[[#This Row],[MOV]]=0,0.5,0))</f>
        <v>0</v>
      </c>
      <c r="W54" s="4">
        <f>((ABS(Games[[#This Row],[MOV]])+5)^0.6)/(12+0.01*(ABS(Games[[#This Row],[PreGmRate]]-Games[[#This Row],[OppPreGmRate]])))*IF(Games[[#This Row],[OT]]=1,0.9,1)</f>
        <v>0.32397719120653645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75.099999999999994</v>
      </c>
      <c r="Z54" s="4">
        <f>Games[[#This Row],[K]]*Games[[#This Row],[POMult]]</f>
        <v>75.099999999999994</v>
      </c>
      <c r="AA54" s="4">
        <f>(Games[[#This Row],[Keff]]*Games[[#This Row],[MOVMult]])*(Games[[#This Row],[Result]]-Games[[#This Row],[ExpectedWin%]])</f>
        <v>-15.665412757088399</v>
      </c>
      <c r="AB54" s="4">
        <f>Games[[#This Row],[PreGmRate]]+Games[[#This Row],[RatingChange]]</f>
        <v>1595.8621802900789</v>
      </c>
      <c r="AC54" s="2">
        <f>IF(Games[[#This Row],[Type]]="R",IF(Games[[#This Row],[Result]]&gt;0.5,1,0),0)</f>
        <v>0</v>
      </c>
      <c r="AD54" s="2">
        <f>IF(Games[[#This Row],[Type]]="R",IF(Games[[#This Row],[Result]]&lt;0.5,1,0),0)</f>
        <v>1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43625</v>
      </c>
      <c r="B55" s="2">
        <v>2019</v>
      </c>
      <c r="C55" s="2">
        <f>COUNTIFS(Games[Team],Games[[#This Row],[Team]],Games[Season],Games[[#This Row],[Season]],Games[Date],"&lt;=" &amp; Games[[#This Row],[Date]])</f>
        <v>4</v>
      </c>
      <c r="D55" s="2" t="s">
        <v>79</v>
      </c>
      <c r="E55" s="2" t="s">
        <v>80</v>
      </c>
      <c r="F55" s="1" t="s">
        <v>75</v>
      </c>
      <c r="G55" s="1" t="s">
        <v>71</v>
      </c>
      <c r="H55" s="1" t="s">
        <v>82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3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5" s="2">
        <f>Games[[#This Row],[DaysOff]]-Games[[#This Row],[OppDaysOff]]</f>
        <v>-1</v>
      </c>
      <c r="L55" s="2">
        <f>Games[[#This Row],[OppDaysOff]]-Games[[#This Row],[DaysOff]]</f>
        <v>1</v>
      </c>
      <c r="M55" s="1">
        <f>MAX(-16, MIN(16, Games[[#This Row],[RestDiff]]*8))</f>
        <v>-8</v>
      </c>
      <c r="N55" s="1">
        <f>MAX(-16, MIN(16, Games[[#This Row],[OppRestDiff]]*8))</f>
        <v>8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1440.6637821394092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1611.5275930471673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0.35614589433057581</v>
      </c>
      <c r="R55" s="1">
        <v>78</v>
      </c>
      <c r="S55" s="1">
        <v>71</v>
      </c>
      <c r="T55" s="1">
        <v>0</v>
      </c>
      <c r="U55" s="1">
        <f>Games[[#This Row],[PointsFor]]-Games[[#This Row],[PointsAgainst]]</f>
        <v>7</v>
      </c>
      <c r="V55" s="1">
        <f>IF(Games[[#This Row],[MOV]]&gt;0,1,IF(Games[[#This Row],[MOV]]=0,0.5,0))</f>
        <v>1</v>
      </c>
      <c r="W55" s="4">
        <f>((ABS(Games[[#This Row],[MOV]])+5)^0.6)/(12+0.01*(ABS(Games[[#This Row],[PreGmRate]]-Games[[#This Row],[OppPreGmRate]])))*IF(Games[[#This Row],[OT]]=1,0.9,1)</f>
        <v>0.32397719120653645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75.400000000000006</v>
      </c>
      <c r="Z55" s="4">
        <f>Games[[#This Row],[K]]*Games[[#This Row],[POMult]]</f>
        <v>75.400000000000006</v>
      </c>
      <c r="AA55" s="4">
        <f>(Games[[#This Row],[Keff]]*Games[[#This Row],[MOVMult]])*(Games[[#This Row],[Result]]-Games[[#This Row],[ExpectedWin%]])</f>
        <v>15.727990970498874</v>
      </c>
      <c r="AB55" s="4">
        <f>Games[[#This Row],[PreGmRate]]+Games[[#This Row],[RatingChange]]</f>
        <v>1456.3917731099082</v>
      </c>
      <c r="AC55" s="2">
        <f>IF(Games[[#This Row],[Type]]="R",IF(Games[[#This Row],[Result]]&gt;0.5,1,0),0)</f>
        <v>1</v>
      </c>
      <c r="AD55" s="2">
        <f>IF(Games[[#This Row],[Type]]="R",IF(Games[[#This Row],[Result]]&lt;0.5,1,0),0)</f>
        <v>0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43625</v>
      </c>
      <c r="B56" s="2">
        <v>2019</v>
      </c>
      <c r="C56" s="2">
        <f>COUNTIFS(Games[Team],Games[[#This Row],[Team]],Games[Season],Games[[#This Row],[Season]],Games[Date],"&lt;=" &amp; Games[[#This Row],[Date]])</f>
        <v>4</v>
      </c>
      <c r="D56" s="2" t="s">
        <v>79</v>
      </c>
      <c r="E56" s="2" t="s">
        <v>80</v>
      </c>
      <c r="F56" s="1" t="s">
        <v>40</v>
      </c>
      <c r="G56" s="1" t="s">
        <v>69</v>
      </c>
      <c r="H56" s="1" t="s">
        <v>81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6" s="2">
        <f>Games[[#This Row],[DaysOff]]-Games[[#This Row],[OppDaysOff]]</f>
        <v>1</v>
      </c>
      <c r="L56" s="2">
        <f>Games[[#This Row],[OppDaysOff]]-Games[[#This Row],[DaysOff]]</f>
        <v>-1</v>
      </c>
      <c r="M56" s="1">
        <f>MAX(-16, MIN(16, Games[[#This Row],[RestDiff]]*8))</f>
        <v>8</v>
      </c>
      <c r="N56" s="1">
        <f>MAX(-16, MIN(16, Games[[#This Row],[OppRestDiff]]*8))</f>
        <v>-8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1530.251702284768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1440.1317368370562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0.53179024784297613</v>
      </c>
      <c r="R56" s="1">
        <v>94</v>
      </c>
      <c r="S56" s="1">
        <v>87</v>
      </c>
      <c r="T56" s="1">
        <v>0</v>
      </c>
      <c r="U56" s="1">
        <f>Games[[#This Row],[PointsFor]]-Games[[#This Row],[PointsAgainst]]</f>
        <v>7</v>
      </c>
      <c r="V56" s="1">
        <f>IF(Games[[#This Row],[MOV]]&gt;0,1,IF(Games[[#This Row],[MOV]]=0,0.5,0))</f>
        <v>1</v>
      </c>
      <c r="W56" s="4">
        <f>((ABS(Games[[#This Row],[MOV]])+5)^0.6)/(12+0.01*(ABS(Games[[#This Row],[PreGmRate]]-Games[[#This Row],[OppPreGmRate]])))*IF(Games[[#This Row],[OT]]=1,0.9,1)</f>
        <v>0.34425372746669924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75.400000000000006</v>
      </c>
      <c r="Z56" s="4">
        <f>Games[[#This Row],[K]]*Games[[#This Row],[POMult]]</f>
        <v>75.400000000000006</v>
      </c>
      <c r="AA56" s="4">
        <f>(Games[[#This Row],[Keff]]*Games[[#This Row],[MOVMult]])*(Games[[#This Row],[Result]]-Games[[#This Row],[ExpectedWin%]])</f>
        <v>12.153194612190143</v>
      </c>
      <c r="AB56" s="4">
        <f>Games[[#This Row],[PreGmRate]]+Games[[#This Row],[RatingChange]]</f>
        <v>1542.4048968969582</v>
      </c>
      <c r="AC56" s="2">
        <f>IF(Games[[#This Row],[Type]]="R",IF(Games[[#This Row],[Result]]&gt;0.5,1,0),0)</f>
        <v>1</v>
      </c>
      <c r="AD56" s="2">
        <f>IF(Games[[#This Row],[Type]]="R",IF(Games[[#This Row],[Result]]&lt;0.5,1,0),0)</f>
        <v>0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43625</v>
      </c>
      <c r="B57" s="2">
        <v>2019</v>
      </c>
      <c r="C57" s="2">
        <f>COUNTIFS(Games[Team],Games[[#This Row],[Team]],Games[Season],Games[[#This Row],[Season]],Games[Date],"&lt;=" &amp; Games[[#This Row],[Date]])</f>
        <v>5</v>
      </c>
      <c r="D57" s="2" t="s">
        <v>79</v>
      </c>
      <c r="E57" s="2" t="s">
        <v>80</v>
      </c>
      <c r="F57" s="1" t="s">
        <v>69</v>
      </c>
      <c r="G57" s="1" t="s">
        <v>40</v>
      </c>
      <c r="H57" s="1" t="s">
        <v>82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7" s="2">
        <f>Games[[#This Row],[DaysOff]]-Games[[#This Row],[OppDaysOff]]</f>
        <v>-1</v>
      </c>
      <c r="L57" s="2">
        <f>Games[[#This Row],[OppDaysOff]]-Games[[#This Row],[DaysOff]]</f>
        <v>1</v>
      </c>
      <c r="M57" s="1">
        <f>MAX(-16, MIN(16, Games[[#This Row],[RestDiff]]*8))</f>
        <v>-8</v>
      </c>
      <c r="N57" s="1">
        <f>MAX(-16, MIN(16, Games[[#This Row],[OppRestDiff]]*8))</f>
        <v>8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1440.1317368370562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1530.251702284768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0.46820975215702387</v>
      </c>
      <c r="R57" s="1">
        <v>87</v>
      </c>
      <c r="S57" s="1">
        <v>94</v>
      </c>
      <c r="T57" s="1">
        <v>0</v>
      </c>
      <c r="U57" s="1">
        <f>Games[[#This Row],[PointsFor]]-Games[[#This Row],[PointsAgainst]]</f>
        <v>-7</v>
      </c>
      <c r="V57" s="1">
        <f>IF(Games[[#This Row],[MOV]]&gt;0,1,IF(Games[[#This Row],[MOV]]=0,0.5,0))</f>
        <v>0</v>
      </c>
      <c r="W57" s="4">
        <f>((ABS(Games[[#This Row],[MOV]])+5)^0.6)/(12+0.01*(ABS(Games[[#This Row],[PreGmRate]]-Games[[#This Row],[OppPreGmRate]])))*IF(Games[[#This Row],[OT]]=1,0.9,1)</f>
        <v>0.34425372746669924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75.25</v>
      </c>
      <c r="Z57" s="4">
        <f>Games[[#This Row],[K]]*Games[[#This Row],[POMult]]</f>
        <v>75.25</v>
      </c>
      <c r="AA57" s="4">
        <f>(Games[[#This Row],[Keff]]*Games[[#This Row],[MOVMult]])*(Games[[#This Row],[Result]]-Games[[#This Row],[ExpectedWin%]])</f>
        <v>-12.129017169327696</v>
      </c>
      <c r="AB57" s="4">
        <f>Games[[#This Row],[PreGmRate]]+Games[[#This Row],[RatingChange]]</f>
        <v>1428.0027196677286</v>
      </c>
      <c r="AC57" s="2">
        <f>IF(Games[[#This Row],[Type]]="R",IF(Games[[#This Row],[Result]]&gt;0.5,1,0),0)</f>
        <v>0</v>
      </c>
      <c r="AD57" s="2">
        <f>IF(Games[[#This Row],[Type]]="R",IF(Games[[#This Row],[Result]]&lt;0.5,1,0),0)</f>
        <v>1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43625</v>
      </c>
      <c r="B58" s="2">
        <v>2019</v>
      </c>
      <c r="C58" s="2">
        <f>COUNTIFS(Games[Team],Games[[#This Row],[Team]],Games[Season],Games[[#This Row],[Season]],Games[Date],"&lt;=" &amp; Games[[#This Row],[Date]])</f>
        <v>5</v>
      </c>
      <c r="D58" s="2" t="s">
        <v>79</v>
      </c>
      <c r="E58" s="2" t="s">
        <v>80</v>
      </c>
      <c r="F58" s="1" t="s">
        <v>86</v>
      </c>
      <c r="G58" s="1" t="s">
        <v>60</v>
      </c>
      <c r="H58" s="1" t="s">
        <v>81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8" s="2">
        <f>Games[[#This Row],[DaysOff]]-Games[[#This Row],[OppDaysOff]]</f>
        <v>1</v>
      </c>
      <c r="L58" s="2">
        <f>Games[[#This Row],[OppDaysOff]]-Games[[#This Row],[DaysOff]]</f>
        <v>-1</v>
      </c>
      <c r="M58" s="1">
        <f>MAX(-16, MIN(16, Games[[#This Row],[RestDiff]]*8))</f>
        <v>8</v>
      </c>
      <c r="N58" s="1">
        <f>MAX(-16, MIN(16, Games[[#This Row],[OppRestDiff]]*8))</f>
        <v>-8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1490.6718998548051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1366.0802746326654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0.58072920929718264</v>
      </c>
      <c r="R58" s="1">
        <v>78</v>
      </c>
      <c r="S58" s="1">
        <v>88</v>
      </c>
      <c r="T58" s="1">
        <v>0</v>
      </c>
      <c r="U58" s="1">
        <f>Games[[#This Row],[PointsFor]]-Games[[#This Row],[PointsAgainst]]</f>
        <v>-10</v>
      </c>
      <c r="V58" s="1">
        <f>IF(Games[[#This Row],[MOV]]&gt;0,1,IF(Games[[#This Row],[MOV]]=0,0.5,0))</f>
        <v>0</v>
      </c>
      <c r="W58" s="4">
        <f>((ABS(Games[[#This Row],[MOV]])+5)^0.6)/(12+0.01*(ABS(Games[[#This Row],[PreGmRate]]-Games[[#This Row],[OppPreGmRate]])))*IF(Games[[#This Row],[OT]]=1,0.9,1)</f>
        <v>0.38332994828771311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75.25</v>
      </c>
      <c r="Z58" s="4">
        <f>Games[[#This Row],[K]]*Games[[#This Row],[POMult]]</f>
        <v>75.25</v>
      </c>
      <c r="AA58" s="4">
        <f>(Games[[#This Row],[Keff]]*Games[[#This Row],[MOVMult]])*(Games[[#This Row],[Result]]-Games[[#This Row],[ExpectedWin%]])</f>
        <v>-16.751470057121278</v>
      </c>
      <c r="AB58" s="4">
        <f>Games[[#This Row],[PreGmRate]]+Games[[#This Row],[RatingChange]]</f>
        <v>1473.9204297976839</v>
      </c>
      <c r="AC58" s="2">
        <f>IF(Games[[#This Row],[Type]]="R",IF(Games[[#This Row],[Result]]&gt;0.5,1,0),0)</f>
        <v>0</v>
      </c>
      <c r="AD58" s="2">
        <f>IF(Games[[#This Row],[Type]]="R",IF(Games[[#This Row],[Result]]&lt;0.5,1,0),0)</f>
        <v>1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43625</v>
      </c>
      <c r="B59" s="2">
        <v>2019</v>
      </c>
      <c r="C59" s="2">
        <f>COUNTIFS(Games[Team],Games[[#This Row],[Team]],Games[Season],Games[[#This Row],[Season]],Games[Date],"&lt;=" &amp; Games[[#This Row],[Date]])</f>
        <v>5</v>
      </c>
      <c r="D59" s="2" t="s">
        <v>79</v>
      </c>
      <c r="E59" s="2" t="s">
        <v>80</v>
      </c>
      <c r="F59" s="1" t="s">
        <v>60</v>
      </c>
      <c r="G59" s="1" t="s">
        <v>86</v>
      </c>
      <c r="H59" s="1" t="s">
        <v>82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9" s="2">
        <f>Games[[#This Row],[DaysOff]]-Games[[#This Row],[OppDaysOff]]</f>
        <v>-1</v>
      </c>
      <c r="L59" s="2">
        <f>Games[[#This Row],[OppDaysOff]]-Games[[#This Row],[DaysOff]]</f>
        <v>1</v>
      </c>
      <c r="M59" s="1">
        <f>MAX(-16, MIN(16, Games[[#This Row],[RestDiff]]*8))</f>
        <v>-8</v>
      </c>
      <c r="N59" s="1">
        <f>MAX(-16, MIN(16, Games[[#This Row],[OppRestDiff]]*8))</f>
        <v>8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1366.0802746326654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1490.6718998548051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0.41927079070281731</v>
      </c>
      <c r="R59" s="1">
        <v>88</v>
      </c>
      <c r="S59" s="1">
        <v>78</v>
      </c>
      <c r="T59" s="1">
        <v>0</v>
      </c>
      <c r="U59" s="1">
        <f>Games[[#This Row],[PointsFor]]-Games[[#This Row],[PointsAgainst]]</f>
        <v>10</v>
      </c>
      <c r="V59" s="1">
        <f>IF(Games[[#This Row],[MOV]]&gt;0,1,IF(Games[[#This Row],[MOV]]=0,0.5,0))</f>
        <v>1</v>
      </c>
      <c r="W59" s="4">
        <f>((ABS(Games[[#This Row],[MOV]])+5)^0.6)/(12+0.01*(ABS(Games[[#This Row],[PreGmRate]]-Games[[#This Row],[OppPreGmRate]])))*IF(Games[[#This Row],[OT]]=1,0.9,1)</f>
        <v>0.38332994828771311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75.25</v>
      </c>
      <c r="Z59" s="4">
        <f>Games[[#This Row],[K]]*Games[[#This Row],[POMult]]</f>
        <v>75.25</v>
      </c>
      <c r="AA59" s="4">
        <f>(Games[[#This Row],[Keff]]*Games[[#This Row],[MOVMult]])*(Games[[#This Row],[Result]]-Games[[#This Row],[ExpectedWin%]])</f>
        <v>16.751470057121281</v>
      </c>
      <c r="AB59" s="4">
        <f>Games[[#This Row],[PreGmRate]]+Games[[#This Row],[RatingChange]]</f>
        <v>1382.8317446897865</v>
      </c>
      <c r="AC59" s="2">
        <f>IF(Games[[#This Row],[Type]]="R",IF(Games[[#This Row],[Result]]&gt;0.5,1,0),0)</f>
        <v>1</v>
      </c>
      <c r="AD59" s="2">
        <f>IF(Games[[#This Row],[Type]]="R",IF(Games[[#This Row],[Result]]&lt;0.5,1,0),0)</f>
        <v>0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43625</v>
      </c>
      <c r="B60" s="2">
        <v>2019</v>
      </c>
      <c r="C60" s="2">
        <f>COUNTIFS(Games[Team],Games[[#This Row],[Team]],Games[Season],Games[[#This Row],[Season]],Games[Date],"&lt;=" &amp; Games[[#This Row],[Date]])</f>
        <v>4</v>
      </c>
      <c r="D60" s="2" t="s">
        <v>79</v>
      </c>
      <c r="E60" s="2" t="s">
        <v>80</v>
      </c>
      <c r="F60" s="1" t="s">
        <v>85</v>
      </c>
      <c r="G60" s="1" t="s">
        <v>65</v>
      </c>
      <c r="H60" s="1" t="s">
        <v>81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0" s="2">
        <f>Games[[#This Row],[DaysOff]]-Games[[#This Row],[OppDaysOff]]</f>
        <v>0</v>
      </c>
      <c r="L60" s="2">
        <f>Games[[#This Row],[OppDaysOff]]-Games[[#This Row],[DaysOff]]</f>
        <v>0</v>
      </c>
      <c r="M60" s="1">
        <f>MAX(-16, MIN(16, Games[[#This Row],[RestDiff]]*8))</f>
        <v>0</v>
      </c>
      <c r="N60" s="1">
        <f>MAX(-16, MIN(16, Games[[#This Row],[OppRestDiff]]*8))</f>
        <v>0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1441.5365738618377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1561.6900957180683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0.2359159605289822</v>
      </c>
      <c r="R60" s="1">
        <v>62</v>
      </c>
      <c r="S60" s="1">
        <v>86</v>
      </c>
      <c r="T60" s="1">
        <v>0</v>
      </c>
      <c r="U60" s="1">
        <f>Games[[#This Row],[PointsFor]]-Games[[#This Row],[PointsAgainst]]</f>
        <v>-24</v>
      </c>
      <c r="V60" s="1">
        <f>IF(Games[[#This Row],[MOV]]&gt;0,1,IF(Games[[#This Row],[MOV]]=0,0.5,0))</f>
        <v>0</v>
      </c>
      <c r="W60" s="4">
        <f>((ABS(Games[[#This Row],[MOV]])+5)^0.6)/(12+0.01*(ABS(Games[[#This Row],[PreGmRate]]-Games[[#This Row],[OppPreGmRate]])))*IF(Games[[#This Row],[OT]]=1,0.9,1)</f>
        <v>0.57123440937188974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75.400000000000006</v>
      </c>
      <c r="Z60" s="4">
        <f>Games[[#This Row],[K]]*Games[[#This Row],[POMult]]</f>
        <v>75.400000000000006</v>
      </c>
      <c r="AA60" s="4">
        <f>(Games[[#This Row],[Keff]]*Games[[#This Row],[MOVMult]])*(Games[[#This Row],[Result]]-Games[[#This Row],[ExpectedWin%]])</f>
        <v>-10.16115390381281</v>
      </c>
      <c r="AB60" s="4">
        <f>Games[[#This Row],[PreGmRate]]+Games[[#This Row],[RatingChange]]</f>
        <v>1431.3754199580248</v>
      </c>
      <c r="AC60" s="2">
        <f>IF(Games[[#This Row],[Type]]="R",IF(Games[[#This Row],[Result]]&gt;0.5,1,0),0)</f>
        <v>0</v>
      </c>
      <c r="AD60" s="2">
        <f>IF(Games[[#This Row],[Type]]="R",IF(Games[[#This Row],[Result]]&lt;0.5,1,0),0)</f>
        <v>1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43625</v>
      </c>
      <c r="B61" s="2">
        <v>2019</v>
      </c>
      <c r="C61" s="2">
        <f>COUNTIFS(Games[Team],Games[[#This Row],[Team]],Games[Season],Games[[#This Row],[Season]],Games[Date],"&lt;=" &amp; Games[[#This Row],[Date]])</f>
        <v>5</v>
      </c>
      <c r="D61" s="2" t="s">
        <v>79</v>
      </c>
      <c r="E61" s="2" t="s">
        <v>80</v>
      </c>
      <c r="F61" s="1" t="s">
        <v>65</v>
      </c>
      <c r="G61" s="1" t="s">
        <v>85</v>
      </c>
      <c r="H61" s="1" t="s">
        <v>82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1" s="2">
        <f>Games[[#This Row],[DaysOff]]-Games[[#This Row],[OppDaysOff]]</f>
        <v>0</v>
      </c>
      <c r="L61" s="2">
        <f>Games[[#This Row],[OppDaysOff]]-Games[[#This Row],[DaysOff]]</f>
        <v>0</v>
      </c>
      <c r="M61" s="1">
        <f>MAX(-16, MIN(16, Games[[#This Row],[RestDiff]]*8))</f>
        <v>0</v>
      </c>
      <c r="N61" s="1">
        <f>MAX(-16, MIN(16, Games[[#This Row],[OppRestDiff]]*8))</f>
        <v>0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1561.6900957180683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1441.5365738618377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0.76408403947101777</v>
      </c>
      <c r="R61" s="1">
        <v>86</v>
      </c>
      <c r="S61" s="1">
        <v>62</v>
      </c>
      <c r="T61" s="1">
        <v>0</v>
      </c>
      <c r="U61" s="1">
        <f>Games[[#This Row],[PointsFor]]-Games[[#This Row],[PointsAgainst]]</f>
        <v>24</v>
      </c>
      <c r="V61" s="1">
        <f>IF(Games[[#This Row],[MOV]]&gt;0,1,IF(Games[[#This Row],[MOV]]=0,0.5,0))</f>
        <v>1</v>
      </c>
      <c r="W61" s="4">
        <f>((ABS(Games[[#This Row],[MOV]])+5)^0.6)/(12+0.01*(ABS(Games[[#This Row],[PreGmRate]]-Games[[#This Row],[OppPreGmRate]])))*IF(Games[[#This Row],[OT]]=1,0.9,1)</f>
        <v>0.57123440937188974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75.25</v>
      </c>
      <c r="Z61" s="4">
        <f>Games[[#This Row],[K]]*Games[[#This Row],[POMult]]</f>
        <v>75.25</v>
      </c>
      <c r="AA61" s="4">
        <f>(Games[[#This Row],[Keff]]*Games[[#This Row],[MOVMult]])*(Games[[#This Row],[Result]]-Games[[#This Row],[ExpectedWin%]])</f>
        <v>10.140939406656685</v>
      </c>
      <c r="AB61" s="4">
        <f>Games[[#This Row],[PreGmRate]]+Games[[#This Row],[RatingChange]]</f>
        <v>1571.8310351247251</v>
      </c>
      <c r="AC61" s="2">
        <f>IF(Games[[#This Row],[Type]]="R",IF(Games[[#This Row],[Result]]&gt;0.5,1,0),0)</f>
        <v>1</v>
      </c>
      <c r="AD61" s="2">
        <f>IF(Games[[#This Row],[Type]]="R",IF(Games[[#This Row],[Result]]&lt;0.5,1,0),0)</f>
        <v>0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43627</v>
      </c>
      <c r="B62" s="2">
        <v>2019</v>
      </c>
      <c r="C62" s="2">
        <f>COUNTIFS(Games[Team],Games[[#This Row],[Team]],Games[Season],Games[[#This Row],[Season]],Games[Date],"&lt;=" &amp; Games[[#This Row],[Date]])</f>
        <v>5</v>
      </c>
      <c r="D62" s="2" t="s">
        <v>79</v>
      </c>
      <c r="E62" s="2" t="s">
        <v>80</v>
      </c>
      <c r="F62" s="1" t="s">
        <v>40</v>
      </c>
      <c r="G62" s="1" t="s">
        <v>75</v>
      </c>
      <c r="H62" s="1" t="s">
        <v>81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2" s="2">
        <f>Games[[#This Row],[DaysOff]]-Games[[#This Row],[OppDaysOff]]</f>
        <v>0</v>
      </c>
      <c r="L62" s="2">
        <f>Games[[#This Row],[OppDaysOff]]-Games[[#This Row],[DaysOff]]</f>
        <v>0</v>
      </c>
      <c r="M62" s="1">
        <f>MAX(-16, MIN(16, Games[[#This Row],[RestDiff]]*8))</f>
        <v>0</v>
      </c>
      <c r="N62" s="1">
        <f>MAX(-16, MIN(16, Games[[#This Row],[OppRestDiff]]*8))</f>
        <v>0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1542.4048968969582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1456.3917731099082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0.50289708559263069</v>
      </c>
      <c r="R62" s="1">
        <v>75</v>
      </c>
      <c r="S62" s="1">
        <v>82</v>
      </c>
      <c r="T62" s="1">
        <v>0</v>
      </c>
      <c r="U62" s="1">
        <f>Games[[#This Row],[PointsFor]]-Games[[#This Row],[PointsAgainst]]</f>
        <v>-7</v>
      </c>
      <c r="V62" s="1">
        <f>IF(Games[[#This Row],[MOV]]&gt;0,1,IF(Games[[#This Row],[MOV]]=0,0.5,0))</f>
        <v>0</v>
      </c>
      <c r="W62" s="4">
        <f>((ABS(Games[[#This Row],[MOV]])+5)^0.6)/(12+0.01*(ABS(Games[[#This Row],[PreGmRate]]-Games[[#This Row],[OppPreGmRate]])))*IF(Games[[#This Row],[OT]]=1,0.9,1)</f>
        <v>0.34535309070308284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75.25</v>
      </c>
      <c r="Z62" s="4">
        <f>Games[[#This Row],[K]]*Games[[#This Row],[POMult]]</f>
        <v>75.25</v>
      </c>
      <c r="AA62" s="4">
        <f>(Games[[#This Row],[Keff]]*Games[[#This Row],[MOVMult]])*(Games[[#This Row],[Result]]-Games[[#This Row],[ExpectedWin%]])</f>
        <v>-13.069198976827831</v>
      </c>
      <c r="AB62" s="4">
        <f>Games[[#This Row],[PreGmRate]]+Games[[#This Row],[RatingChange]]</f>
        <v>1529.3356979201303</v>
      </c>
      <c r="AC62" s="2">
        <f>IF(Games[[#This Row],[Type]]="R",IF(Games[[#This Row],[Result]]&gt;0.5,1,0),0)</f>
        <v>0</v>
      </c>
      <c r="AD62" s="2">
        <f>IF(Games[[#This Row],[Type]]="R",IF(Games[[#This Row],[Result]]&lt;0.5,1,0),0)</f>
        <v>1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43627</v>
      </c>
      <c r="B63" s="2">
        <v>2019</v>
      </c>
      <c r="C63" s="2">
        <f>COUNTIFS(Games[Team],Games[[#This Row],[Team]],Games[Season],Games[[#This Row],[Season]],Games[Date],"&lt;=" &amp; Games[[#This Row],[Date]])</f>
        <v>5</v>
      </c>
      <c r="D63" s="2" t="s">
        <v>79</v>
      </c>
      <c r="E63" s="2" t="s">
        <v>80</v>
      </c>
      <c r="F63" s="1" t="s">
        <v>75</v>
      </c>
      <c r="G63" s="1" t="s">
        <v>40</v>
      </c>
      <c r="H63" s="1" t="s">
        <v>82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3" s="2">
        <f>Games[[#This Row],[DaysOff]]-Games[[#This Row],[OppDaysOff]]</f>
        <v>0</v>
      </c>
      <c r="L63" s="2">
        <f>Games[[#This Row],[OppDaysOff]]-Games[[#This Row],[DaysOff]]</f>
        <v>0</v>
      </c>
      <c r="M63" s="1">
        <f>MAX(-16, MIN(16, Games[[#This Row],[RestDiff]]*8))</f>
        <v>0</v>
      </c>
      <c r="N63" s="1">
        <f>MAX(-16, MIN(16, Games[[#This Row],[OppRestDiff]]*8))</f>
        <v>0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1456.3917731099082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1542.4048968969582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0.49710291440736931</v>
      </c>
      <c r="R63" s="1">
        <v>82</v>
      </c>
      <c r="S63" s="1">
        <v>75</v>
      </c>
      <c r="T63" s="1">
        <v>0</v>
      </c>
      <c r="U63" s="1">
        <f>Games[[#This Row],[PointsFor]]-Games[[#This Row],[PointsAgainst]]</f>
        <v>7</v>
      </c>
      <c r="V63" s="1">
        <f>IF(Games[[#This Row],[MOV]]&gt;0,1,IF(Games[[#This Row],[MOV]]=0,0.5,0))</f>
        <v>1</v>
      </c>
      <c r="W63" s="4">
        <f>((ABS(Games[[#This Row],[MOV]])+5)^0.6)/(12+0.01*(ABS(Games[[#This Row],[PreGmRate]]-Games[[#This Row],[OppPreGmRate]])))*IF(Games[[#This Row],[OT]]=1,0.9,1)</f>
        <v>0.34535309070308284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75.25</v>
      </c>
      <c r="Z63" s="4">
        <f>Games[[#This Row],[K]]*Games[[#This Row],[POMult]]</f>
        <v>75.25</v>
      </c>
      <c r="AA63" s="4">
        <f>(Games[[#This Row],[Keff]]*Games[[#This Row],[MOVMult]])*(Games[[#This Row],[Result]]-Games[[#This Row],[ExpectedWin%]])</f>
        <v>13.069198976827831</v>
      </c>
      <c r="AB63" s="4">
        <f>Games[[#This Row],[PreGmRate]]+Games[[#This Row],[RatingChange]]</f>
        <v>1469.4609720867361</v>
      </c>
      <c r="AC63" s="2">
        <f>IF(Games[[#This Row],[Type]]="R",IF(Games[[#This Row],[Result]]&gt;0.5,1,0),0)</f>
        <v>1</v>
      </c>
      <c r="AD63" s="2">
        <f>IF(Games[[#This Row],[Type]]="R",IF(Games[[#This Row],[Result]]&lt;0.5,1,0),0)</f>
        <v>0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43627</v>
      </c>
      <c r="B64" s="2">
        <v>2019</v>
      </c>
      <c r="C64" s="2">
        <f>COUNTIFS(Games[Team],Games[[#This Row],[Team]],Games[Season],Games[[#This Row],[Season]],Games[Date],"&lt;=" &amp; Games[[#This Row],[Date]])</f>
        <v>6</v>
      </c>
      <c r="D64" s="2" t="s">
        <v>79</v>
      </c>
      <c r="E64" s="2" t="s">
        <v>80</v>
      </c>
      <c r="F64" s="1" t="s">
        <v>65</v>
      </c>
      <c r="G64" s="1" t="s">
        <v>74</v>
      </c>
      <c r="H64" s="1" t="s">
        <v>81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4" s="2">
        <f>Games[[#This Row],[DaysOff]]-Games[[#This Row],[OppDaysOff]]</f>
        <v>0</v>
      </c>
      <c r="L64" s="2">
        <f>Games[[#This Row],[OppDaysOff]]-Games[[#This Row],[DaysOff]]</f>
        <v>0</v>
      </c>
      <c r="M64" s="1">
        <f>MAX(-16, MIN(16, Games[[#This Row],[RestDiff]]*8))</f>
        <v>0</v>
      </c>
      <c r="N64" s="1">
        <f>MAX(-16, MIN(16, Games[[#This Row],[OppRestDiff]]*8))</f>
        <v>0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1571.8310351247251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1587.1334472490637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0.36086064961927222</v>
      </c>
      <c r="R64" s="1">
        <v>75</v>
      </c>
      <c r="S64" s="1">
        <v>83</v>
      </c>
      <c r="T64" s="1">
        <v>0</v>
      </c>
      <c r="U64" s="1">
        <f>Games[[#This Row],[PointsFor]]-Games[[#This Row],[PointsAgainst]]</f>
        <v>-8</v>
      </c>
      <c r="V64" s="1">
        <f>IF(Games[[#This Row],[MOV]]&gt;0,1,IF(Games[[#This Row],[MOV]]=0,0.5,0))</f>
        <v>0</v>
      </c>
      <c r="W64" s="4">
        <f>((ABS(Games[[#This Row],[MOV]])+5)^0.6)/(12+0.01*(ABS(Games[[#This Row],[PreGmRate]]-Games[[#This Row],[OppPreGmRate]])))*IF(Games[[#This Row],[OT]]=1,0.9,1)</f>
        <v>0.38342608173473447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75.099999999999994</v>
      </c>
      <c r="Z64" s="4">
        <f>Games[[#This Row],[K]]*Games[[#This Row],[POMult]]</f>
        <v>75.099999999999994</v>
      </c>
      <c r="AA64" s="4">
        <f>(Games[[#This Row],[Keff]]*Games[[#This Row],[MOVMult]])*(Games[[#This Row],[Result]]-Games[[#This Row],[ExpectedWin%]])</f>
        <v>-10.391090208676211</v>
      </c>
      <c r="AB64" s="4">
        <f>Games[[#This Row],[PreGmRate]]+Games[[#This Row],[RatingChange]]</f>
        <v>1561.4399449160489</v>
      </c>
      <c r="AC64" s="2">
        <f>IF(Games[[#This Row],[Type]]="R",IF(Games[[#This Row],[Result]]&gt;0.5,1,0),0)</f>
        <v>0</v>
      </c>
      <c r="AD64" s="2">
        <f>IF(Games[[#This Row],[Type]]="R",IF(Games[[#This Row],[Result]]&lt;0.5,1,0),0)</f>
        <v>1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43627</v>
      </c>
      <c r="B65" s="2">
        <v>2019</v>
      </c>
      <c r="C65" s="2">
        <f>COUNTIFS(Games[Team],Games[[#This Row],[Team]],Games[Season],Games[[#This Row],[Season]],Games[Date],"&lt;=" &amp; Games[[#This Row],[Date]])</f>
        <v>7</v>
      </c>
      <c r="D65" s="2" t="s">
        <v>79</v>
      </c>
      <c r="E65" s="2" t="s">
        <v>80</v>
      </c>
      <c r="F65" s="1" t="s">
        <v>74</v>
      </c>
      <c r="G65" s="1" t="s">
        <v>65</v>
      </c>
      <c r="H65" s="1" t="s">
        <v>82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5" s="2">
        <f>Games[[#This Row],[DaysOff]]-Games[[#This Row],[OppDaysOff]]</f>
        <v>0</v>
      </c>
      <c r="L65" s="2">
        <f>Games[[#This Row],[OppDaysOff]]-Games[[#This Row],[DaysOff]]</f>
        <v>0</v>
      </c>
      <c r="M65" s="1">
        <f>MAX(-16, MIN(16, Games[[#This Row],[RestDiff]]*8))</f>
        <v>0</v>
      </c>
      <c r="N65" s="1">
        <f>MAX(-16, MIN(16, Games[[#This Row],[OppRestDiff]]*8))</f>
        <v>0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1587.1334472490637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1571.8310351247251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0.63913935038072778</v>
      </c>
      <c r="R65" s="1">
        <v>83</v>
      </c>
      <c r="S65" s="1">
        <v>75</v>
      </c>
      <c r="T65" s="1">
        <v>0</v>
      </c>
      <c r="U65" s="1">
        <f>Games[[#This Row],[PointsFor]]-Games[[#This Row],[PointsAgainst]]</f>
        <v>8</v>
      </c>
      <c r="V65" s="1">
        <f>IF(Games[[#This Row],[MOV]]&gt;0,1,IF(Games[[#This Row],[MOV]]=0,0.5,0))</f>
        <v>1</v>
      </c>
      <c r="W65" s="4">
        <f>((ABS(Games[[#This Row],[MOV]])+5)^0.6)/(12+0.01*(ABS(Games[[#This Row],[PreGmRate]]-Games[[#This Row],[OppPreGmRate]])))*IF(Games[[#This Row],[OT]]=1,0.9,1)</f>
        <v>0.38342608173473447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74.95</v>
      </c>
      <c r="Z65" s="4">
        <f>Games[[#This Row],[K]]*Games[[#This Row],[POMult]]</f>
        <v>74.95</v>
      </c>
      <c r="AA65" s="4">
        <f>(Games[[#This Row],[Keff]]*Games[[#This Row],[MOVMult]])*(Games[[#This Row],[Result]]-Games[[#This Row],[ExpectedWin%]])</f>
        <v>10.370335700935845</v>
      </c>
      <c r="AB65" s="4">
        <f>Games[[#This Row],[PreGmRate]]+Games[[#This Row],[RatingChange]]</f>
        <v>1597.5037829499995</v>
      </c>
      <c r="AC65" s="2">
        <f>IF(Games[[#This Row],[Type]]="R",IF(Games[[#This Row],[Result]]&gt;0.5,1,0),0)</f>
        <v>1</v>
      </c>
      <c r="AD65" s="2">
        <f>IF(Games[[#This Row],[Type]]="R",IF(Games[[#This Row],[Result]]&lt;0.5,1,0),0)</f>
        <v>0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43627</v>
      </c>
      <c r="B66" s="2">
        <v>2019</v>
      </c>
      <c r="C66" s="2">
        <f>COUNTIFS(Games[Team],Games[[#This Row],[Team]],Games[Season],Games[[#This Row],[Season]],Games[Date],"&lt;=" &amp; Games[[#This Row],[Date]])</f>
        <v>7</v>
      </c>
      <c r="D66" s="2" t="s">
        <v>79</v>
      </c>
      <c r="E66" s="2" t="s">
        <v>80</v>
      </c>
      <c r="F66" s="1" t="s">
        <v>71</v>
      </c>
      <c r="G66" s="1" t="s">
        <v>69</v>
      </c>
      <c r="H66" s="1" t="s">
        <v>81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6" s="2">
        <f>Games[[#This Row],[DaysOff]]-Games[[#This Row],[OppDaysOff]]</f>
        <v>0</v>
      </c>
      <c r="L66" s="2">
        <f>Games[[#This Row],[OppDaysOff]]-Games[[#This Row],[DaysOff]]</f>
        <v>0</v>
      </c>
      <c r="M66" s="1">
        <f>MAX(-16, MIN(16, Games[[#This Row],[RestDiff]]*8))</f>
        <v>0</v>
      </c>
      <c r="N66" s="1">
        <f>MAX(-16, MIN(16, Games[[#This Row],[OppRestDiff]]*8))</f>
        <v>0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1595.8621802900789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1428.0027196677286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0.61839322781461059</v>
      </c>
      <c r="R66" s="1">
        <v>84</v>
      </c>
      <c r="S66" s="1">
        <v>82</v>
      </c>
      <c r="T66" s="1">
        <v>0</v>
      </c>
      <c r="U66" s="1">
        <f>Games[[#This Row],[PointsFor]]-Games[[#This Row],[PointsAgainst]]</f>
        <v>2</v>
      </c>
      <c r="V66" s="1">
        <f>IF(Games[[#This Row],[MOV]]&gt;0,1,IF(Games[[#This Row],[MOV]]=0,0.5,0))</f>
        <v>1</v>
      </c>
      <c r="W66" s="4">
        <f>((ABS(Games[[#This Row],[MOV]])+5)^0.6)/(12+0.01*(ABS(Games[[#This Row],[PreGmRate]]-Games[[#This Row],[OppPreGmRate]])))*IF(Games[[#This Row],[OT]]=1,0.9,1)</f>
        <v>0.23497266658182012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74.95</v>
      </c>
      <c r="Z66" s="4">
        <f>Games[[#This Row],[K]]*Games[[#This Row],[POMult]]</f>
        <v>74.95</v>
      </c>
      <c r="AA66" s="4">
        <f>(Games[[#This Row],[Keff]]*Games[[#This Row],[MOVMult]])*(Games[[#This Row],[Result]]-Games[[#This Row],[ExpectedWin%]])</f>
        <v>6.7205537054138533</v>
      </c>
      <c r="AB66" s="4">
        <f>Games[[#This Row],[PreGmRate]]+Games[[#This Row],[RatingChange]]</f>
        <v>1602.5827339954926</v>
      </c>
      <c r="AC66" s="2">
        <f>IF(Games[[#This Row],[Type]]="R",IF(Games[[#This Row],[Result]]&gt;0.5,1,0),0)</f>
        <v>1</v>
      </c>
      <c r="AD66" s="2">
        <f>IF(Games[[#This Row],[Type]]="R",IF(Games[[#This Row],[Result]]&lt;0.5,1,0),0)</f>
        <v>0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43627</v>
      </c>
      <c r="B67" s="2">
        <v>2019</v>
      </c>
      <c r="C67" s="2">
        <f>COUNTIFS(Games[Team],Games[[#This Row],[Team]],Games[Season],Games[[#This Row],[Season]],Games[Date],"&lt;=" &amp; Games[[#This Row],[Date]])</f>
        <v>6</v>
      </c>
      <c r="D67" s="2" t="s">
        <v>79</v>
      </c>
      <c r="E67" s="2" t="s">
        <v>80</v>
      </c>
      <c r="F67" s="1" t="s">
        <v>69</v>
      </c>
      <c r="G67" s="1" t="s">
        <v>71</v>
      </c>
      <c r="H67" s="1" t="s">
        <v>82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7" s="2">
        <f>Games[[#This Row],[DaysOff]]-Games[[#This Row],[OppDaysOff]]</f>
        <v>0</v>
      </c>
      <c r="L67" s="2">
        <f>Games[[#This Row],[OppDaysOff]]-Games[[#This Row],[DaysOff]]</f>
        <v>0</v>
      </c>
      <c r="M67" s="1">
        <f>MAX(-16, MIN(16, Games[[#This Row],[RestDiff]]*8))</f>
        <v>0</v>
      </c>
      <c r="N67" s="1">
        <f>MAX(-16, MIN(16, Games[[#This Row],[OppRestDiff]]*8))</f>
        <v>0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1428.0027196677286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1595.8621802900789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0.38160677218538946</v>
      </c>
      <c r="R67" s="1">
        <v>82</v>
      </c>
      <c r="S67" s="1">
        <v>84</v>
      </c>
      <c r="T67" s="1">
        <v>0</v>
      </c>
      <c r="U67" s="1">
        <f>Games[[#This Row],[PointsFor]]-Games[[#This Row],[PointsAgainst]]</f>
        <v>-2</v>
      </c>
      <c r="V67" s="1">
        <f>IF(Games[[#This Row],[MOV]]&gt;0,1,IF(Games[[#This Row],[MOV]]=0,0.5,0))</f>
        <v>0</v>
      </c>
      <c r="W67" s="4">
        <f>((ABS(Games[[#This Row],[MOV]])+5)^0.6)/(12+0.01*(ABS(Games[[#This Row],[PreGmRate]]-Games[[#This Row],[OppPreGmRate]])))*IF(Games[[#This Row],[OT]]=1,0.9,1)</f>
        <v>0.23497266658182012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75.099999999999994</v>
      </c>
      <c r="Z67" s="4">
        <f>Games[[#This Row],[K]]*Games[[#This Row],[POMult]]</f>
        <v>75.099999999999994</v>
      </c>
      <c r="AA67" s="4">
        <f>(Games[[#This Row],[Keff]]*Games[[#This Row],[MOVMult]])*(Games[[#This Row],[Result]]-Games[[#This Row],[ExpectedWin%]])</f>
        <v>-6.7340037795407657</v>
      </c>
      <c r="AB67" s="4">
        <f>Games[[#This Row],[PreGmRate]]+Games[[#This Row],[RatingChange]]</f>
        <v>1421.2687158881879</v>
      </c>
      <c r="AC67" s="2">
        <f>IF(Games[[#This Row],[Type]]="R",IF(Games[[#This Row],[Result]]&gt;0.5,1,0),0)</f>
        <v>0</v>
      </c>
      <c r="AD67" s="2">
        <f>IF(Games[[#This Row],[Type]]="R",IF(Games[[#This Row],[Result]]&lt;0.5,1,0),0)</f>
        <v>1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43628</v>
      </c>
      <c r="B68" s="2">
        <v>2019</v>
      </c>
      <c r="C68" s="2">
        <f>COUNTIFS(Games[Team],Games[[#This Row],[Team]],Games[Season],Games[[#This Row],[Season]],Games[Date],"&lt;=" &amp; Games[[#This Row],[Date]])</f>
        <v>7</v>
      </c>
      <c r="D68" s="2" t="s">
        <v>79</v>
      </c>
      <c r="E68" s="2" t="s">
        <v>80</v>
      </c>
      <c r="F68" s="1" t="s">
        <v>67</v>
      </c>
      <c r="G68" s="1" t="s">
        <v>60</v>
      </c>
      <c r="H68" s="1" t="s">
        <v>81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3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8" s="2">
        <f>Games[[#This Row],[DaysOff]]-Games[[#This Row],[OppDaysOff]]</f>
        <v>1</v>
      </c>
      <c r="L68" s="2">
        <f>Games[[#This Row],[OppDaysOff]]-Games[[#This Row],[DaysOff]]</f>
        <v>-1</v>
      </c>
      <c r="M68" s="1">
        <f>MAX(-16, MIN(16, Games[[#This Row],[RestDiff]]*8))</f>
        <v>8</v>
      </c>
      <c r="N68" s="1">
        <f>MAX(-16, MIN(16, Games[[#This Row],[OppRestDiff]]*8))</f>
        <v>-8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1540.0696357069041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1382.8317446897865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0.62567217337380809</v>
      </c>
      <c r="R68" s="1">
        <v>69</v>
      </c>
      <c r="S68" s="1">
        <v>75</v>
      </c>
      <c r="T68" s="1">
        <v>0</v>
      </c>
      <c r="U68" s="1">
        <f>Games[[#This Row],[PointsFor]]-Games[[#This Row],[PointsAgainst]]</f>
        <v>-6</v>
      </c>
      <c r="V68" s="1">
        <f>IF(Games[[#This Row],[MOV]]&gt;0,1,IF(Games[[#This Row],[MOV]]=0,0.5,0))</f>
        <v>0</v>
      </c>
      <c r="W68" s="4">
        <f>((ABS(Games[[#This Row],[MOV]])+5)^0.6)/(12+0.01*(ABS(Games[[#This Row],[PreGmRate]]-Games[[#This Row],[OppPreGmRate]])))*IF(Games[[#This Row],[OT]]=1,0.9,1)</f>
        <v>0.31058439798883686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74.95</v>
      </c>
      <c r="Z68" s="4">
        <f>Games[[#This Row],[K]]*Games[[#This Row],[POMult]]</f>
        <v>74.95</v>
      </c>
      <c r="AA68" s="4">
        <f>(Games[[#This Row],[Keff]]*Games[[#This Row],[MOVMult]])*(Games[[#This Row],[Result]]-Games[[#This Row],[ExpectedWin%]])</f>
        <v>-14.564584947160068</v>
      </c>
      <c r="AB68" s="4">
        <f>Games[[#This Row],[PreGmRate]]+Games[[#This Row],[RatingChange]]</f>
        <v>1525.5050507597441</v>
      </c>
      <c r="AC68" s="2">
        <f>IF(Games[[#This Row],[Type]]="R",IF(Games[[#This Row],[Result]]&gt;0.5,1,0),0)</f>
        <v>0</v>
      </c>
      <c r="AD68" s="2">
        <f>IF(Games[[#This Row],[Type]]="R",IF(Games[[#This Row],[Result]]&lt;0.5,1,0),0)</f>
        <v>1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43628</v>
      </c>
      <c r="B69" s="2">
        <v>2019</v>
      </c>
      <c r="C69" s="2">
        <f>COUNTIFS(Games[Team],Games[[#This Row],[Team]],Games[Season],Games[[#This Row],[Season]],Games[Date],"&lt;=" &amp; Games[[#This Row],[Date]])</f>
        <v>6</v>
      </c>
      <c r="D69" s="2" t="s">
        <v>79</v>
      </c>
      <c r="E69" s="2" t="s">
        <v>80</v>
      </c>
      <c r="F69" s="1" t="s">
        <v>60</v>
      </c>
      <c r="G69" s="1" t="s">
        <v>67</v>
      </c>
      <c r="H69" s="1" t="s">
        <v>82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9" s="2">
        <f>Games[[#This Row],[DaysOff]]-Games[[#This Row],[OppDaysOff]]</f>
        <v>-1</v>
      </c>
      <c r="L69" s="2">
        <f>Games[[#This Row],[OppDaysOff]]-Games[[#This Row],[DaysOff]]</f>
        <v>1</v>
      </c>
      <c r="M69" s="1">
        <f>MAX(-16, MIN(16, Games[[#This Row],[RestDiff]]*8))</f>
        <v>-8</v>
      </c>
      <c r="N69" s="1">
        <f>MAX(-16, MIN(16, Games[[#This Row],[OppRestDiff]]*8))</f>
        <v>8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1382.8317446897865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1540.0696357069041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0.37432782662619185</v>
      </c>
      <c r="R69" s="1">
        <v>75</v>
      </c>
      <c r="S69" s="1">
        <v>69</v>
      </c>
      <c r="T69" s="1">
        <v>0</v>
      </c>
      <c r="U69" s="1">
        <f>Games[[#This Row],[PointsFor]]-Games[[#This Row],[PointsAgainst]]</f>
        <v>6</v>
      </c>
      <c r="V69" s="1">
        <f>IF(Games[[#This Row],[MOV]]&gt;0,1,IF(Games[[#This Row],[MOV]]=0,0.5,0))</f>
        <v>1</v>
      </c>
      <c r="W69" s="4">
        <f>((ABS(Games[[#This Row],[MOV]])+5)^0.6)/(12+0.01*(ABS(Games[[#This Row],[PreGmRate]]-Games[[#This Row],[OppPreGmRate]])))*IF(Games[[#This Row],[OT]]=1,0.9,1)</f>
        <v>0.31058439798883686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75.099999999999994</v>
      </c>
      <c r="Z69" s="4">
        <f>Games[[#This Row],[K]]*Games[[#This Row],[POMult]]</f>
        <v>75.099999999999994</v>
      </c>
      <c r="AA69" s="4">
        <f>(Games[[#This Row],[Keff]]*Games[[#This Row],[MOVMult]])*(Games[[#This Row],[Result]]-Games[[#This Row],[ExpectedWin%]])</f>
        <v>14.593733549455919</v>
      </c>
      <c r="AB69" s="4">
        <f>Games[[#This Row],[PreGmRate]]+Games[[#This Row],[RatingChange]]</f>
        <v>1397.4254782392425</v>
      </c>
      <c r="AC69" s="2">
        <f>IF(Games[[#This Row],[Type]]="R",IF(Games[[#This Row],[Result]]&gt;0.5,1,0),0)</f>
        <v>1</v>
      </c>
      <c r="AD69" s="2">
        <f>IF(Games[[#This Row],[Type]]="R",IF(Games[[#This Row],[Result]]&lt;0.5,1,0),0)</f>
        <v>0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43629</v>
      </c>
      <c r="B70" s="2">
        <v>2019</v>
      </c>
      <c r="C70" s="2">
        <f>COUNTIFS(Games[Team],Games[[#This Row],[Team]],Games[Season],Games[[#This Row],[Season]],Games[Date],"&lt;=" &amp; Games[[#This Row],[Date]])</f>
        <v>7</v>
      </c>
      <c r="D70" s="2" t="s">
        <v>79</v>
      </c>
      <c r="E70" s="2" t="s">
        <v>80</v>
      </c>
      <c r="F70" s="1" t="s">
        <v>69</v>
      </c>
      <c r="G70" s="1" t="s">
        <v>85</v>
      </c>
      <c r="H70" s="1" t="s">
        <v>81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0" s="2">
        <f>Games[[#This Row],[DaysOff]]-Games[[#This Row],[OppDaysOff]]</f>
        <v>-2</v>
      </c>
      <c r="L70" s="2">
        <f>Games[[#This Row],[OppDaysOff]]-Games[[#This Row],[DaysOff]]</f>
        <v>2</v>
      </c>
      <c r="M70" s="1">
        <f>MAX(-16, MIN(16, Games[[#This Row],[RestDiff]]*8))</f>
        <v>-16</v>
      </c>
      <c r="N70" s="1">
        <f>MAX(-16, MIN(16, Games[[#This Row],[OppRestDiff]]*8))</f>
        <v>16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1421.2687158881879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1431.3754199580248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0.32608881588463667</v>
      </c>
      <c r="R70" s="1">
        <v>76</v>
      </c>
      <c r="S70" s="1">
        <v>72</v>
      </c>
      <c r="T70" s="1">
        <v>0</v>
      </c>
      <c r="U70" s="1">
        <f>Games[[#This Row],[PointsFor]]-Games[[#This Row],[PointsAgainst]]</f>
        <v>4</v>
      </c>
      <c r="V70" s="1">
        <f>IF(Games[[#This Row],[MOV]]&gt;0,1,IF(Games[[#This Row],[MOV]]=0,0.5,0))</f>
        <v>1</v>
      </c>
      <c r="W70" s="4">
        <f>((ABS(Games[[#This Row],[MOV]])+5)^0.6)/(12+0.01*(ABS(Games[[#This Row],[PreGmRate]]-Games[[#This Row],[OppPreGmRate]])))*IF(Games[[#This Row],[OT]]=1,0.9,1)</f>
        <v>0.30883167627099384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74.95</v>
      </c>
      <c r="Z70" s="4">
        <f>Games[[#This Row],[K]]*Games[[#This Row],[POMult]]</f>
        <v>74.95</v>
      </c>
      <c r="AA70" s="4">
        <f>(Games[[#This Row],[Keff]]*Games[[#This Row],[MOVMult]])*(Games[[#This Row],[Result]]-Games[[#This Row],[ExpectedWin%]])</f>
        <v>15.598977792576445</v>
      </c>
      <c r="AB70" s="4">
        <f>Games[[#This Row],[PreGmRate]]+Games[[#This Row],[RatingChange]]</f>
        <v>1436.8676936807644</v>
      </c>
      <c r="AC70" s="2">
        <f>IF(Games[[#This Row],[Type]]="R",IF(Games[[#This Row],[Result]]&gt;0.5,1,0),0)</f>
        <v>1</v>
      </c>
      <c r="AD70" s="2">
        <f>IF(Games[[#This Row],[Type]]="R",IF(Games[[#This Row],[Result]]&lt;0.5,1,0),0)</f>
        <v>0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43629</v>
      </c>
      <c r="B71" s="2">
        <v>2019</v>
      </c>
      <c r="C71" s="2">
        <f>COUNTIFS(Games[Team],Games[[#This Row],[Team]],Games[Season],Games[[#This Row],[Season]],Games[Date],"&lt;=" &amp; Games[[#This Row],[Date]])</f>
        <v>5</v>
      </c>
      <c r="D71" s="2" t="s">
        <v>79</v>
      </c>
      <c r="E71" s="2" t="s">
        <v>80</v>
      </c>
      <c r="F71" s="1" t="s">
        <v>85</v>
      </c>
      <c r="G71" s="1" t="s">
        <v>69</v>
      </c>
      <c r="H71" s="1" t="s">
        <v>82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3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1" s="2">
        <f>Games[[#This Row],[DaysOff]]-Games[[#This Row],[OppDaysOff]]</f>
        <v>2</v>
      </c>
      <c r="L71" s="2">
        <f>Games[[#This Row],[OppDaysOff]]-Games[[#This Row],[DaysOff]]</f>
        <v>-2</v>
      </c>
      <c r="M71" s="1">
        <f>MAX(-16, MIN(16, Games[[#This Row],[RestDiff]]*8))</f>
        <v>16</v>
      </c>
      <c r="N71" s="1">
        <f>MAX(-16, MIN(16, Games[[#This Row],[OppRestDiff]]*8))</f>
        <v>-16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1431.3754199580248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1421.2687158881879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0.67391118411536333</v>
      </c>
      <c r="R71" s="1">
        <v>72</v>
      </c>
      <c r="S71" s="1">
        <v>76</v>
      </c>
      <c r="T71" s="1">
        <v>0</v>
      </c>
      <c r="U71" s="1">
        <f>Games[[#This Row],[PointsFor]]-Games[[#This Row],[PointsAgainst]]</f>
        <v>-4</v>
      </c>
      <c r="V71" s="1">
        <f>IF(Games[[#This Row],[MOV]]&gt;0,1,IF(Games[[#This Row],[MOV]]=0,0.5,0))</f>
        <v>0</v>
      </c>
      <c r="W71" s="4">
        <f>((ABS(Games[[#This Row],[MOV]])+5)^0.6)/(12+0.01*(ABS(Games[[#This Row],[PreGmRate]]-Games[[#This Row],[OppPreGmRate]])))*IF(Games[[#This Row],[OT]]=1,0.9,1)</f>
        <v>0.30883167627099384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75.25</v>
      </c>
      <c r="Z71" s="4">
        <f>Games[[#This Row],[K]]*Games[[#This Row],[POMult]]</f>
        <v>75.25</v>
      </c>
      <c r="AA71" s="4">
        <f>(Games[[#This Row],[Keff]]*Games[[#This Row],[MOVMult]])*(Games[[#This Row],[Result]]-Games[[#This Row],[ExpectedWin%]])</f>
        <v>-15.661415328770881</v>
      </c>
      <c r="AB71" s="4">
        <f>Games[[#This Row],[PreGmRate]]+Games[[#This Row],[RatingChange]]</f>
        <v>1415.7140046292541</v>
      </c>
      <c r="AC71" s="2">
        <f>IF(Games[[#This Row],[Type]]="R",IF(Games[[#This Row],[Result]]&gt;0.5,1,0),0)</f>
        <v>0</v>
      </c>
      <c r="AD71" s="2">
        <f>IF(Games[[#This Row],[Type]]="R",IF(Games[[#This Row],[Result]]&lt;0.5,1,0),0)</f>
        <v>1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43630</v>
      </c>
      <c r="B72" s="2">
        <v>2019</v>
      </c>
      <c r="C72" s="2">
        <f>COUNTIFS(Games[Team],Games[[#This Row],[Team]],Games[Season],Games[[#This Row],[Season]],Games[Date],"&lt;=" &amp; Games[[#This Row],[Date]])</f>
        <v>7</v>
      </c>
      <c r="D72" s="2" t="s">
        <v>79</v>
      </c>
      <c r="E72" s="2" t="s">
        <v>80</v>
      </c>
      <c r="F72" s="1" t="s">
        <v>60</v>
      </c>
      <c r="G72" s="1" t="s">
        <v>86</v>
      </c>
      <c r="H72" s="1" t="s">
        <v>81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2" s="2">
        <f>Games[[#This Row],[DaysOff]]-Games[[#This Row],[OppDaysOff]]</f>
        <v>-3</v>
      </c>
      <c r="L72" s="2">
        <f>Games[[#This Row],[OppDaysOff]]-Games[[#This Row],[DaysOff]]</f>
        <v>3</v>
      </c>
      <c r="M72" s="1">
        <f>MAX(-16, MIN(16, Games[[#This Row],[RestDiff]]*8))</f>
        <v>-16</v>
      </c>
      <c r="N72" s="1">
        <f>MAX(-16, MIN(16, Games[[#This Row],[OppRestDiff]]*8))</f>
        <v>16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1397.4254782392425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1473.9204297976839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0.2482271402838469</v>
      </c>
      <c r="R72" s="1">
        <v>65</v>
      </c>
      <c r="S72" s="1">
        <v>100</v>
      </c>
      <c r="T72" s="1">
        <v>0</v>
      </c>
      <c r="U72" s="1">
        <f>Games[[#This Row],[PointsFor]]-Games[[#This Row],[PointsAgainst]]</f>
        <v>-35</v>
      </c>
      <c r="V72" s="1">
        <f>IF(Games[[#This Row],[MOV]]&gt;0,1,IF(Games[[#This Row],[MOV]]=0,0.5,0))</f>
        <v>0</v>
      </c>
      <c r="W72" s="4">
        <f>((ABS(Games[[#This Row],[MOV]])+5)^0.6)/(12+0.01*(ABS(Games[[#This Row],[PreGmRate]]-Games[[#This Row],[OppPreGmRate]])))*IF(Games[[#This Row],[OT]]=1,0.9,1)</f>
        <v>0.71650115242369528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74.95</v>
      </c>
      <c r="Z72" s="4">
        <f>Games[[#This Row],[K]]*Games[[#This Row],[POMult]]</f>
        <v>74.95</v>
      </c>
      <c r="AA72" s="4">
        <f>(Games[[#This Row],[Keff]]*Games[[#This Row],[MOVMult]])*(Games[[#This Row],[Result]]-Games[[#This Row],[ExpectedWin%]])</f>
        <v>-13.330234654112283</v>
      </c>
      <c r="AB72" s="4">
        <f>Games[[#This Row],[PreGmRate]]+Games[[#This Row],[RatingChange]]</f>
        <v>1384.0952435851302</v>
      </c>
      <c r="AC72" s="2">
        <f>IF(Games[[#This Row],[Type]]="R",IF(Games[[#This Row],[Result]]&gt;0.5,1,0),0)</f>
        <v>0</v>
      </c>
      <c r="AD72" s="2">
        <f>IF(Games[[#This Row],[Type]]="R",IF(Games[[#This Row],[Result]]&lt;0.5,1,0),0)</f>
        <v>1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43630</v>
      </c>
      <c r="B73" s="2">
        <v>2019</v>
      </c>
      <c r="C73" s="2">
        <f>COUNTIFS(Games[Team],Games[[#This Row],[Team]],Games[Season],Games[[#This Row],[Season]],Games[Date],"&lt;=" &amp; Games[[#This Row],[Date]])</f>
        <v>6</v>
      </c>
      <c r="D73" s="2" t="s">
        <v>79</v>
      </c>
      <c r="E73" s="2" t="s">
        <v>80</v>
      </c>
      <c r="F73" s="1" t="s">
        <v>86</v>
      </c>
      <c r="G73" s="1" t="s">
        <v>60</v>
      </c>
      <c r="H73" s="1" t="s">
        <v>82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4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3" s="2">
        <f>Games[[#This Row],[DaysOff]]-Games[[#This Row],[OppDaysOff]]</f>
        <v>3</v>
      </c>
      <c r="L73" s="2">
        <f>Games[[#This Row],[OppDaysOff]]-Games[[#This Row],[DaysOff]]</f>
        <v>-3</v>
      </c>
      <c r="M73" s="1">
        <f>MAX(-16, MIN(16, Games[[#This Row],[RestDiff]]*8))</f>
        <v>16</v>
      </c>
      <c r="N73" s="1">
        <f>MAX(-16, MIN(16, Games[[#This Row],[OppRestDiff]]*8))</f>
        <v>-16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1473.9204297976839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1397.4254782392425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0.75177285971615304</v>
      </c>
      <c r="R73" s="1">
        <v>100</v>
      </c>
      <c r="S73" s="1">
        <v>65</v>
      </c>
      <c r="T73" s="1">
        <v>0</v>
      </c>
      <c r="U73" s="1">
        <f>Games[[#This Row],[PointsFor]]-Games[[#This Row],[PointsAgainst]]</f>
        <v>35</v>
      </c>
      <c r="V73" s="1">
        <f>IF(Games[[#This Row],[MOV]]&gt;0,1,IF(Games[[#This Row],[MOV]]=0,0.5,0))</f>
        <v>1</v>
      </c>
      <c r="W73" s="4">
        <f>((ABS(Games[[#This Row],[MOV]])+5)^0.6)/(12+0.01*(ABS(Games[[#This Row],[PreGmRate]]-Games[[#This Row],[OppPreGmRate]])))*IF(Games[[#This Row],[OT]]=1,0.9,1)</f>
        <v>0.71650115242369528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75.099999999999994</v>
      </c>
      <c r="Z73" s="4">
        <f>Games[[#This Row],[K]]*Games[[#This Row],[POMult]]</f>
        <v>75.099999999999994</v>
      </c>
      <c r="AA73" s="4">
        <f>(Games[[#This Row],[Keff]]*Games[[#This Row],[MOVMult]])*(Games[[#This Row],[Result]]-Games[[#This Row],[ExpectedWin%]])</f>
        <v>13.356912908923716</v>
      </c>
      <c r="AB73" s="4">
        <f>Games[[#This Row],[PreGmRate]]+Games[[#This Row],[RatingChange]]</f>
        <v>1487.2773427066077</v>
      </c>
      <c r="AC73" s="2">
        <f>IF(Games[[#This Row],[Type]]="R",IF(Games[[#This Row],[Result]]&gt;0.5,1,0),0)</f>
        <v>1</v>
      </c>
      <c r="AD73" s="2">
        <f>IF(Games[[#This Row],[Type]]="R",IF(Games[[#This Row],[Result]]&lt;0.5,1,0),0)</f>
        <v>0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43630</v>
      </c>
      <c r="B74" s="2">
        <v>2019</v>
      </c>
      <c r="C74" s="2">
        <f>COUNTIFS(Games[Team],Games[[#This Row],[Team]],Games[Season],Games[[#This Row],[Season]],Games[Date],"&lt;=" &amp; Games[[#This Row],[Date]])</f>
        <v>8</v>
      </c>
      <c r="D74" s="2" t="s">
        <v>79</v>
      </c>
      <c r="E74" s="2" t="s">
        <v>80</v>
      </c>
      <c r="F74" s="1" t="s">
        <v>74</v>
      </c>
      <c r="G74" s="1" t="s">
        <v>67</v>
      </c>
      <c r="H74" s="1" t="s">
        <v>81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4" s="2">
        <f>Games[[#This Row],[DaysOff]]-Games[[#This Row],[OppDaysOff]]</f>
        <v>1</v>
      </c>
      <c r="L74" s="2">
        <f>Games[[#This Row],[OppDaysOff]]-Games[[#This Row],[DaysOff]]</f>
        <v>-1</v>
      </c>
      <c r="M74" s="1">
        <f>MAX(-16, MIN(16, Games[[#This Row],[RestDiff]]*8))</f>
        <v>8</v>
      </c>
      <c r="N74" s="1">
        <f>MAX(-16, MIN(16, Games[[#This Row],[OppRestDiff]]*8))</f>
        <v>-8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1597.5037829499995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1525.5050507597441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0.50575438412799645</v>
      </c>
      <c r="R74" s="1">
        <v>85</v>
      </c>
      <c r="S74" s="1">
        <v>81</v>
      </c>
      <c r="T74" s="1">
        <v>0</v>
      </c>
      <c r="U74" s="1">
        <f>Games[[#This Row],[PointsFor]]-Games[[#This Row],[PointsAgainst]]</f>
        <v>4</v>
      </c>
      <c r="V74" s="1">
        <f>IF(Games[[#This Row],[MOV]]&gt;0,1,IF(Games[[#This Row],[MOV]]=0,0.5,0))</f>
        <v>1</v>
      </c>
      <c r="W74" s="4">
        <f>((ABS(Games[[#This Row],[MOV]])+5)^0.6)/(12+0.01*(ABS(Games[[#This Row],[PreGmRate]]-Games[[#This Row],[OppPreGmRate]])))*IF(Games[[#This Row],[OT]]=1,0.9,1)</f>
        <v>0.2938047597273527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74.8</v>
      </c>
      <c r="Z74" s="4">
        <f>Games[[#This Row],[K]]*Games[[#This Row],[POMult]]</f>
        <v>74.8</v>
      </c>
      <c r="AA74" s="4">
        <f>(Games[[#This Row],[Keff]]*Games[[#This Row],[MOVMult]])*(Games[[#This Row],[Result]]-Games[[#This Row],[ExpectedWin%]])</f>
        <v>10.861836238434346</v>
      </c>
      <c r="AB74" s="4">
        <f>Games[[#This Row],[PreGmRate]]+Games[[#This Row],[RatingChange]]</f>
        <v>1608.3656191884338</v>
      </c>
      <c r="AC74" s="2">
        <f>IF(Games[[#This Row],[Type]]="R",IF(Games[[#This Row],[Result]]&gt;0.5,1,0),0)</f>
        <v>1</v>
      </c>
      <c r="AD74" s="2">
        <f>IF(Games[[#This Row],[Type]]="R",IF(Games[[#This Row],[Result]]&lt;0.5,1,0),0)</f>
        <v>0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43630</v>
      </c>
      <c r="B75" s="2">
        <v>2019</v>
      </c>
      <c r="C75" s="2">
        <f>COUNTIFS(Games[Team],Games[[#This Row],[Team]],Games[Season],Games[[#This Row],[Season]],Games[Date],"&lt;=" &amp; Games[[#This Row],[Date]])</f>
        <v>8</v>
      </c>
      <c r="D75" s="2" t="s">
        <v>79</v>
      </c>
      <c r="E75" s="2" t="s">
        <v>80</v>
      </c>
      <c r="F75" s="1" t="s">
        <v>67</v>
      </c>
      <c r="G75" s="1" t="s">
        <v>74</v>
      </c>
      <c r="H75" s="1" t="s">
        <v>82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5" s="2">
        <f>Games[[#This Row],[DaysOff]]-Games[[#This Row],[OppDaysOff]]</f>
        <v>-1</v>
      </c>
      <c r="L75" s="2">
        <f>Games[[#This Row],[OppDaysOff]]-Games[[#This Row],[DaysOff]]</f>
        <v>1</v>
      </c>
      <c r="M75" s="1">
        <f>MAX(-16, MIN(16, Games[[#This Row],[RestDiff]]*8))</f>
        <v>-8</v>
      </c>
      <c r="N75" s="1">
        <f>MAX(-16, MIN(16, Games[[#This Row],[OppRestDiff]]*8))</f>
        <v>8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1525.5050507597441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1597.5037829499995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0.49424561587200361</v>
      </c>
      <c r="R75" s="1">
        <v>81</v>
      </c>
      <c r="S75" s="1">
        <v>85</v>
      </c>
      <c r="T75" s="1">
        <v>0</v>
      </c>
      <c r="U75" s="1">
        <f>Games[[#This Row],[PointsFor]]-Games[[#This Row],[PointsAgainst]]</f>
        <v>-4</v>
      </c>
      <c r="V75" s="1">
        <f>IF(Games[[#This Row],[MOV]]&gt;0,1,IF(Games[[#This Row],[MOV]]=0,0.5,0))</f>
        <v>0</v>
      </c>
      <c r="W75" s="4">
        <f>((ABS(Games[[#This Row],[MOV]])+5)^0.6)/(12+0.01*(ABS(Games[[#This Row],[PreGmRate]]-Games[[#This Row],[OppPreGmRate]])))*IF(Games[[#This Row],[OT]]=1,0.9,1)</f>
        <v>0.2938047597273527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74.8</v>
      </c>
      <c r="Z75" s="4">
        <f>Games[[#This Row],[K]]*Games[[#This Row],[POMult]]</f>
        <v>74.8</v>
      </c>
      <c r="AA75" s="4">
        <f>(Games[[#This Row],[Keff]]*Games[[#This Row],[MOVMult]])*(Games[[#This Row],[Result]]-Games[[#This Row],[ExpectedWin%]])</f>
        <v>-10.861836238434346</v>
      </c>
      <c r="AB75" s="4">
        <f>Games[[#This Row],[PreGmRate]]+Games[[#This Row],[RatingChange]]</f>
        <v>1514.6432145213098</v>
      </c>
      <c r="AC75" s="2">
        <f>IF(Games[[#This Row],[Type]]="R",IF(Games[[#This Row],[Result]]&gt;0.5,1,0),0)</f>
        <v>0</v>
      </c>
      <c r="AD75" s="2">
        <f>IF(Games[[#This Row],[Type]]="R",IF(Games[[#This Row],[Result]]&lt;0.5,1,0),0)</f>
        <v>1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43630</v>
      </c>
      <c r="B76" s="2">
        <v>2019</v>
      </c>
      <c r="C76" s="2">
        <f>COUNTIFS(Games[Team],Games[[#This Row],[Team]],Games[Season],Games[[#This Row],[Season]],Games[Date],"&lt;=" &amp; Games[[#This Row],[Date]])</f>
        <v>6</v>
      </c>
      <c r="D76" s="2" t="s">
        <v>79</v>
      </c>
      <c r="E76" s="2" t="s">
        <v>80</v>
      </c>
      <c r="F76" s="1" t="s">
        <v>63</v>
      </c>
      <c r="G76" s="1" t="s">
        <v>40</v>
      </c>
      <c r="H76" s="1" t="s">
        <v>81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5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6" s="2">
        <f>Games[[#This Row],[DaysOff]]-Games[[#This Row],[OppDaysOff]]</f>
        <v>3</v>
      </c>
      <c r="L76" s="2">
        <f>Games[[#This Row],[OppDaysOff]]-Games[[#This Row],[DaysOff]]</f>
        <v>-3</v>
      </c>
      <c r="M76" s="1">
        <f>MAX(-16, MIN(16, Games[[#This Row],[RestDiff]]*8))</f>
        <v>16</v>
      </c>
      <c r="N76" s="1">
        <f>MAX(-16, MIN(16, Games[[#This Row],[OppRestDiff]]*8))</f>
        <v>-16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1528.7244064458716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1529.3356979201303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0.42485971846782511</v>
      </c>
      <c r="R76" s="1">
        <v>85</v>
      </c>
      <c r="S76" s="1">
        <v>68</v>
      </c>
      <c r="T76" s="1">
        <v>0</v>
      </c>
      <c r="U76" s="1">
        <f>Games[[#This Row],[PointsFor]]-Games[[#This Row],[PointsAgainst]]</f>
        <v>17</v>
      </c>
      <c r="V76" s="1">
        <f>IF(Games[[#This Row],[MOV]]&gt;0,1,IF(Games[[#This Row],[MOV]]=0,0.5,0))</f>
        <v>1</v>
      </c>
      <c r="W76" s="4">
        <f>((ABS(Games[[#This Row],[MOV]])+5)^0.6)/(12+0.01*(ABS(Games[[#This Row],[PreGmRate]]-Games[[#This Row],[OppPreGmRate]])))*IF(Games[[#This Row],[OT]]=1,0.9,1)</f>
        <v>0.53217097609821662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75.099999999999994</v>
      </c>
      <c r="Z76" s="4">
        <f>Games[[#This Row],[K]]*Games[[#This Row],[POMult]]</f>
        <v>75.099999999999994</v>
      </c>
      <c r="AA76" s="4">
        <f>(Games[[#This Row],[Keff]]*Games[[#This Row],[MOVMult]])*(Games[[#This Row],[Result]]-Games[[#This Row],[ExpectedWin%]])</f>
        <v>22.986079672730181</v>
      </c>
      <c r="AB76" s="4">
        <f>Games[[#This Row],[PreGmRate]]+Games[[#This Row],[RatingChange]]</f>
        <v>1551.7104861186019</v>
      </c>
      <c r="AC76" s="2">
        <f>IF(Games[[#This Row],[Type]]="R",IF(Games[[#This Row],[Result]]&gt;0.5,1,0),0)</f>
        <v>1</v>
      </c>
      <c r="AD76" s="2">
        <f>IF(Games[[#This Row],[Type]]="R",IF(Games[[#This Row],[Result]]&lt;0.5,1,0),0)</f>
        <v>0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43630</v>
      </c>
      <c r="B77" s="2">
        <v>2019</v>
      </c>
      <c r="C77" s="2">
        <f>COUNTIFS(Games[Team],Games[[#This Row],[Team]],Games[Season],Games[[#This Row],[Season]],Games[Date],"&lt;=" &amp; Games[[#This Row],[Date]])</f>
        <v>6</v>
      </c>
      <c r="D77" s="2" t="s">
        <v>79</v>
      </c>
      <c r="E77" s="2" t="s">
        <v>80</v>
      </c>
      <c r="F77" s="1" t="s">
        <v>40</v>
      </c>
      <c r="G77" s="1" t="s">
        <v>63</v>
      </c>
      <c r="H77" s="1" t="s">
        <v>82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77" s="2">
        <f>Games[[#This Row],[DaysOff]]-Games[[#This Row],[OppDaysOff]]</f>
        <v>-3</v>
      </c>
      <c r="L77" s="2">
        <f>Games[[#This Row],[OppDaysOff]]-Games[[#This Row],[DaysOff]]</f>
        <v>3</v>
      </c>
      <c r="M77" s="1">
        <f>MAX(-16, MIN(16, Games[[#This Row],[RestDiff]]*8))</f>
        <v>-16</v>
      </c>
      <c r="N77" s="1">
        <f>MAX(-16, MIN(16, Games[[#This Row],[OppRestDiff]]*8))</f>
        <v>16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1529.3356979201303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1528.7244064458716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0.57514028153217489</v>
      </c>
      <c r="R77" s="1">
        <v>68</v>
      </c>
      <c r="S77" s="1">
        <v>85</v>
      </c>
      <c r="T77" s="1">
        <v>0</v>
      </c>
      <c r="U77" s="1">
        <f>Games[[#This Row],[PointsFor]]-Games[[#This Row],[PointsAgainst]]</f>
        <v>-17</v>
      </c>
      <c r="V77" s="1">
        <f>IF(Games[[#This Row],[MOV]]&gt;0,1,IF(Games[[#This Row],[MOV]]=0,0.5,0))</f>
        <v>0</v>
      </c>
      <c r="W77" s="4">
        <f>((ABS(Games[[#This Row],[MOV]])+5)^0.6)/(12+0.01*(ABS(Games[[#This Row],[PreGmRate]]-Games[[#This Row],[OppPreGmRate]])))*IF(Games[[#This Row],[OT]]=1,0.9,1)</f>
        <v>0.53217097609821662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75.099999999999994</v>
      </c>
      <c r="Z77" s="4">
        <f>Games[[#This Row],[K]]*Games[[#This Row],[POMult]]</f>
        <v>75.099999999999994</v>
      </c>
      <c r="AA77" s="4">
        <f>(Games[[#This Row],[Keff]]*Games[[#This Row],[MOVMult]])*(Games[[#This Row],[Result]]-Games[[#This Row],[ExpectedWin%]])</f>
        <v>-22.986079672730181</v>
      </c>
      <c r="AB77" s="4">
        <f>Games[[#This Row],[PreGmRate]]+Games[[#This Row],[RatingChange]]</f>
        <v>1506.3496182474</v>
      </c>
      <c r="AC77" s="2">
        <f>IF(Games[[#This Row],[Type]]="R",IF(Games[[#This Row],[Result]]&gt;0.5,1,0),0)</f>
        <v>0</v>
      </c>
      <c r="AD77" s="2">
        <f>IF(Games[[#This Row],[Type]]="R",IF(Games[[#This Row],[Result]]&lt;0.5,1,0),0)</f>
        <v>1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43630</v>
      </c>
      <c r="B78" s="2">
        <v>2019</v>
      </c>
      <c r="C78" s="2">
        <f>COUNTIFS(Games[Team],Games[[#This Row],[Team]],Games[Season],Games[[#This Row],[Season]],Games[Date],"&lt;=" &amp; Games[[#This Row],[Date]])</f>
        <v>8</v>
      </c>
      <c r="D78" s="2" t="s">
        <v>79</v>
      </c>
      <c r="E78" s="2" t="s">
        <v>80</v>
      </c>
      <c r="F78" s="1" t="s">
        <v>71</v>
      </c>
      <c r="G78" s="1" t="s">
        <v>65</v>
      </c>
      <c r="H78" s="1" t="s">
        <v>81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8" s="2">
        <f>Games[[#This Row],[DaysOff]]-Games[[#This Row],[OppDaysOff]]</f>
        <v>0</v>
      </c>
      <c r="L78" s="2">
        <f>Games[[#This Row],[OppDaysOff]]-Games[[#This Row],[DaysOff]]</f>
        <v>0</v>
      </c>
      <c r="M78" s="1">
        <f>MAX(-16, MIN(16, Games[[#This Row],[RestDiff]]*8))</f>
        <v>0</v>
      </c>
      <c r="N78" s="1">
        <f>MAX(-16, MIN(16, Games[[#This Row],[OppRestDiff]]*8))</f>
        <v>0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1602.5827339954926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1561.4399449160489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0.43863444552975095</v>
      </c>
      <c r="R78" s="1">
        <v>74</v>
      </c>
      <c r="S78" s="1">
        <v>71</v>
      </c>
      <c r="T78" s="1">
        <v>0</v>
      </c>
      <c r="U78" s="1">
        <f>Games[[#This Row],[PointsFor]]-Games[[#This Row],[PointsAgainst]]</f>
        <v>3</v>
      </c>
      <c r="V78" s="1">
        <f>IF(Games[[#This Row],[MOV]]&gt;0,1,IF(Games[[#This Row],[MOV]]=0,0.5,0))</f>
        <v>1</v>
      </c>
      <c r="W78" s="4">
        <f>((ABS(Games[[#This Row],[MOV]])+5)^0.6)/(12+0.01*(ABS(Games[[#This Row],[PreGmRate]]-Games[[#This Row],[OppPreGmRate]])))*IF(Games[[#This Row],[OT]]=1,0.9,1)</f>
        <v>0.28056419324381265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74.8</v>
      </c>
      <c r="Z78" s="4">
        <f>Games[[#This Row],[K]]*Games[[#This Row],[POMult]]</f>
        <v>74.8</v>
      </c>
      <c r="AA78" s="4">
        <f>(Games[[#This Row],[Keff]]*Games[[#This Row],[MOVMult]])*(Games[[#This Row],[Result]]-Games[[#This Row],[ExpectedWin%]])</f>
        <v>11.780930728079861</v>
      </c>
      <c r="AB78" s="4">
        <f>Games[[#This Row],[PreGmRate]]+Games[[#This Row],[RatingChange]]</f>
        <v>1614.3636647235726</v>
      </c>
      <c r="AC78" s="2">
        <f>IF(Games[[#This Row],[Type]]="R",IF(Games[[#This Row],[Result]]&gt;0.5,1,0),0)</f>
        <v>1</v>
      </c>
      <c r="AD78" s="2">
        <f>IF(Games[[#This Row],[Type]]="R",IF(Games[[#This Row],[Result]]&lt;0.5,1,0),0)</f>
        <v>0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43630</v>
      </c>
      <c r="B79" s="2">
        <v>2019</v>
      </c>
      <c r="C79" s="2">
        <f>COUNTIFS(Games[Team],Games[[#This Row],[Team]],Games[Season],Games[[#This Row],[Season]],Games[Date],"&lt;=" &amp; Games[[#This Row],[Date]])</f>
        <v>7</v>
      </c>
      <c r="D79" s="2" t="s">
        <v>79</v>
      </c>
      <c r="E79" s="2" t="s">
        <v>80</v>
      </c>
      <c r="F79" s="1" t="s">
        <v>65</v>
      </c>
      <c r="G79" s="1" t="s">
        <v>71</v>
      </c>
      <c r="H79" s="1" t="s">
        <v>82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9" s="2">
        <f>Games[[#This Row],[DaysOff]]-Games[[#This Row],[OppDaysOff]]</f>
        <v>0</v>
      </c>
      <c r="L79" s="2">
        <f>Games[[#This Row],[OppDaysOff]]-Games[[#This Row],[DaysOff]]</f>
        <v>0</v>
      </c>
      <c r="M79" s="1">
        <f>MAX(-16, MIN(16, Games[[#This Row],[RestDiff]]*8))</f>
        <v>0</v>
      </c>
      <c r="N79" s="1">
        <f>MAX(-16, MIN(16, Games[[#This Row],[OppRestDiff]]*8))</f>
        <v>0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1561.4399449160489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1602.5827339954926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0.56136555447024905</v>
      </c>
      <c r="R79" s="1">
        <v>71</v>
      </c>
      <c r="S79" s="1">
        <v>74</v>
      </c>
      <c r="T79" s="1">
        <v>0</v>
      </c>
      <c r="U79" s="1">
        <f>Games[[#This Row],[PointsFor]]-Games[[#This Row],[PointsAgainst]]</f>
        <v>-3</v>
      </c>
      <c r="V79" s="1">
        <f>IF(Games[[#This Row],[MOV]]&gt;0,1,IF(Games[[#This Row],[MOV]]=0,0.5,0))</f>
        <v>0</v>
      </c>
      <c r="W79" s="4">
        <f>((ABS(Games[[#This Row],[MOV]])+5)^0.6)/(12+0.01*(ABS(Games[[#This Row],[PreGmRate]]-Games[[#This Row],[OppPreGmRate]])))*IF(Games[[#This Row],[OT]]=1,0.9,1)</f>
        <v>0.28056419324381265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74.95</v>
      </c>
      <c r="Z79" s="4">
        <f>Games[[#This Row],[K]]*Games[[#This Row],[POMult]]</f>
        <v>74.95</v>
      </c>
      <c r="AA79" s="4">
        <f>(Games[[#This Row],[Keff]]*Games[[#This Row],[MOVMult]])*(Games[[#This Row],[Result]]-Games[[#This Row],[ExpectedWin%]])</f>
        <v>-11.804555589165584</v>
      </c>
      <c r="AB79" s="4">
        <f>Games[[#This Row],[PreGmRate]]+Games[[#This Row],[RatingChange]]</f>
        <v>1549.6353893268833</v>
      </c>
      <c r="AC79" s="2">
        <f>IF(Games[[#This Row],[Type]]="R",IF(Games[[#This Row],[Result]]&gt;0.5,1,0),0)</f>
        <v>0</v>
      </c>
      <c r="AD79" s="2">
        <f>IF(Games[[#This Row],[Type]]="R",IF(Games[[#This Row],[Result]]&lt;0.5,1,0),0)</f>
        <v>1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43631</v>
      </c>
      <c r="B80" s="2">
        <v>2019</v>
      </c>
      <c r="C80" s="2">
        <f>COUNTIFS(Games[Team],Games[[#This Row],[Team]],Games[Season],Games[[#This Row],[Season]],Games[Date],"&lt;=" &amp; Games[[#This Row],[Date]])</f>
        <v>6</v>
      </c>
      <c r="D80" s="2" t="s">
        <v>79</v>
      </c>
      <c r="E80" s="2" t="s">
        <v>80</v>
      </c>
      <c r="F80" s="1" t="s">
        <v>77</v>
      </c>
      <c r="G80" s="1" t="s">
        <v>85</v>
      </c>
      <c r="H80" s="1" t="s">
        <v>81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5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0" s="2">
        <f>Games[[#This Row],[DaysOff]]-Games[[#This Row],[OppDaysOff]]</f>
        <v>4</v>
      </c>
      <c r="L80" s="2">
        <f>Games[[#This Row],[OppDaysOff]]-Games[[#This Row],[DaysOff]]</f>
        <v>-4</v>
      </c>
      <c r="M80" s="1">
        <f>MAX(-16, MIN(16, Games[[#This Row],[RestDiff]]*8))</f>
        <v>16</v>
      </c>
      <c r="N80" s="1">
        <f>MAX(-16, MIN(16, Games[[#This Row],[OppRestDiff]]*8))</f>
        <v>-16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1461.4564687758145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1415.7140046292541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0.49099565561333947</v>
      </c>
      <c r="R80" s="1">
        <v>61</v>
      </c>
      <c r="S80" s="1">
        <v>71</v>
      </c>
      <c r="T80" s="1">
        <v>0</v>
      </c>
      <c r="U80" s="1">
        <f>Games[[#This Row],[PointsFor]]-Games[[#This Row],[PointsAgainst]]</f>
        <v>-10</v>
      </c>
      <c r="V80" s="1">
        <f>IF(Games[[#This Row],[MOV]]&gt;0,1,IF(Games[[#This Row],[MOV]]=0,0.5,0))</f>
        <v>0</v>
      </c>
      <c r="W80" s="4">
        <f>((ABS(Games[[#This Row],[MOV]])+5)^0.6)/(12+0.01*(ABS(Games[[#This Row],[PreGmRate]]-Games[[#This Row],[OppPreGmRate]])))*IF(Games[[#This Row],[OT]]=1,0.9,1)</f>
        <v>0.40759278407242588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75.099999999999994</v>
      </c>
      <c r="Z80" s="4">
        <f>Games[[#This Row],[K]]*Games[[#This Row],[POMult]]</f>
        <v>75.099999999999994</v>
      </c>
      <c r="AA80" s="4">
        <f>(Games[[#This Row],[Keff]]*Games[[#This Row],[MOVMult]])*(Games[[#This Row],[Result]]-Games[[#This Row],[ExpectedWin%]])</f>
        <v>-15.029484096541919</v>
      </c>
      <c r="AB80" s="4">
        <f>Games[[#This Row],[PreGmRate]]+Games[[#This Row],[RatingChange]]</f>
        <v>1446.4269846792727</v>
      </c>
      <c r="AC80" s="2">
        <f>IF(Games[[#This Row],[Type]]="R",IF(Games[[#This Row],[Result]]&gt;0.5,1,0),0)</f>
        <v>0</v>
      </c>
      <c r="AD80" s="2">
        <f>IF(Games[[#This Row],[Type]]="R",IF(Games[[#This Row],[Result]]&lt;0.5,1,0),0)</f>
        <v>1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43631</v>
      </c>
      <c r="B81" s="2">
        <v>2019</v>
      </c>
      <c r="C81" s="2">
        <f>COUNTIFS(Games[Team],Games[[#This Row],[Team]],Games[Season],Games[[#This Row],[Season]],Games[Date],"&lt;=" &amp; Games[[#This Row],[Date]])</f>
        <v>6</v>
      </c>
      <c r="D81" s="2" t="s">
        <v>79</v>
      </c>
      <c r="E81" s="2" t="s">
        <v>80</v>
      </c>
      <c r="F81" s="1" t="s">
        <v>85</v>
      </c>
      <c r="G81" s="1" t="s">
        <v>77</v>
      </c>
      <c r="H81" s="1" t="s">
        <v>82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81" s="2">
        <f>Games[[#This Row],[DaysOff]]-Games[[#This Row],[OppDaysOff]]</f>
        <v>-4</v>
      </c>
      <c r="L81" s="2">
        <f>Games[[#This Row],[OppDaysOff]]-Games[[#This Row],[DaysOff]]</f>
        <v>4</v>
      </c>
      <c r="M81" s="1">
        <f>MAX(-16, MIN(16, Games[[#This Row],[RestDiff]]*8))</f>
        <v>-16</v>
      </c>
      <c r="N81" s="1">
        <f>MAX(-16, MIN(16, Games[[#This Row],[OppRestDiff]]*8))</f>
        <v>16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1415.7140046292541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1461.4564687758145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0.50900434438666053</v>
      </c>
      <c r="R81" s="1">
        <v>71</v>
      </c>
      <c r="S81" s="1">
        <v>61</v>
      </c>
      <c r="T81" s="1">
        <v>0</v>
      </c>
      <c r="U81" s="1">
        <f>Games[[#This Row],[PointsFor]]-Games[[#This Row],[PointsAgainst]]</f>
        <v>10</v>
      </c>
      <c r="V81" s="1">
        <f>IF(Games[[#This Row],[MOV]]&gt;0,1,IF(Games[[#This Row],[MOV]]=0,0.5,0))</f>
        <v>1</v>
      </c>
      <c r="W81" s="4">
        <f>((ABS(Games[[#This Row],[MOV]])+5)^0.6)/(12+0.01*(ABS(Games[[#This Row],[PreGmRate]]-Games[[#This Row],[OppPreGmRate]])))*IF(Games[[#This Row],[OT]]=1,0.9,1)</f>
        <v>0.40759278407242588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75.099999999999994</v>
      </c>
      <c r="Z81" s="4">
        <f>Games[[#This Row],[K]]*Games[[#This Row],[POMult]]</f>
        <v>75.099999999999994</v>
      </c>
      <c r="AA81" s="4">
        <f>(Games[[#This Row],[Keff]]*Games[[#This Row],[MOVMult]])*(Games[[#This Row],[Result]]-Games[[#This Row],[ExpectedWin%]])</f>
        <v>15.029484096541919</v>
      </c>
      <c r="AB81" s="4">
        <f>Games[[#This Row],[PreGmRate]]+Games[[#This Row],[RatingChange]]</f>
        <v>1430.7434887257959</v>
      </c>
      <c r="AC81" s="2">
        <f>IF(Games[[#This Row],[Type]]="R",IF(Games[[#This Row],[Result]]&gt;0.5,1,0),0)</f>
        <v>1</v>
      </c>
      <c r="AD81" s="2">
        <f>IF(Games[[#This Row],[Type]]="R",IF(Games[[#This Row],[Result]]&lt;0.5,1,0),0)</f>
        <v>0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43631</v>
      </c>
      <c r="B82" s="2">
        <v>2019</v>
      </c>
      <c r="C82" s="2">
        <f>COUNTIFS(Games[Team],Games[[#This Row],[Team]],Games[Season],Games[[#This Row],[Season]],Games[Date],"&lt;=" &amp; Games[[#This Row],[Date]])</f>
        <v>6</v>
      </c>
      <c r="D82" s="2" t="s">
        <v>79</v>
      </c>
      <c r="E82" s="2" t="s">
        <v>80</v>
      </c>
      <c r="F82" s="1" t="s">
        <v>75</v>
      </c>
      <c r="G82" s="1" t="s">
        <v>69</v>
      </c>
      <c r="H82" s="1" t="s">
        <v>81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3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2" s="2">
        <f>Games[[#This Row],[DaysOff]]-Games[[#This Row],[OppDaysOff]]</f>
        <v>2</v>
      </c>
      <c r="L82" s="2">
        <f>Games[[#This Row],[OppDaysOff]]-Games[[#This Row],[DaysOff]]</f>
        <v>-2</v>
      </c>
      <c r="M82" s="1">
        <f>MAX(-16, MIN(16, Games[[#This Row],[RestDiff]]*8))</f>
        <v>16</v>
      </c>
      <c r="N82" s="1">
        <f>MAX(-16, MIN(16, Games[[#This Row],[OppRestDiff]]*8))</f>
        <v>-16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1469.4609720867361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1436.8676936807644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0.47210049212832861</v>
      </c>
      <c r="R82" s="1">
        <v>70</v>
      </c>
      <c r="S82" s="1">
        <v>64</v>
      </c>
      <c r="T82" s="1">
        <v>0</v>
      </c>
      <c r="U82" s="1">
        <f>Games[[#This Row],[PointsFor]]-Games[[#This Row],[PointsAgainst]]</f>
        <v>6</v>
      </c>
      <c r="V82" s="1">
        <f>IF(Games[[#This Row],[MOV]]&gt;0,1,IF(Games[[#This Row],[MOV]]=0,0.5,0))</f>
        <v>1</v>
      </c>
      <c r="W82" s="4">
        <f>((ABS(Games[[#This Row],[MOV]])+5)^0.6)/(12+0.01*(ABS(Games[[#This Row],[PreGmRate]]-Games[[#This Row],[OppPreGmRate]])))*IF(Games[[#This Row],[OT]]=1,0.9,1)</f>
        <v>0.3419918968358604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75.099999999999994</v>
      </c>
      <c r="Z82" s="4">
        <f>Games[[#This Row],[K]]*Games[[#This Row],[POMult]]</f>
        <v>75.099999999999994</v>
      </c>
      <c r="AA82" s="4">
        <f>(Games[[#This Row],[Keff]]*Games[[#This Row],[MOVMult]])*(Games[[#This Row],[Result]]-Games[[#This Row],[ExpectedWin%]])</f>
        <v>13.558355288084833</v>
      </c>
      <c r="AB82" s="4">
        <f>Games[[#This Row],[PreGmRate]]+Games[[#This Row],[RatingChange]]</f>
        <v>1483.0193273748209</v>
      </c>
      <c r="AC82" s="2">
        <f>IF(Games[[#This Row],[Type]]="R",IF(Games[[#This Row],[Result]]&gt;0.5,1,0),0)</f>
        <v>1</v>
      </c>
      <c r="AD82" s="2">
        <f>IF(Games[[#This Row],[Type]]="R",IF(Games[[#This Row],[Result]]&lt;0.5,1,0),0)</f>
        <v>0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43631</v>
      </c>
      <c r="B83" s="2">
        <v>2019</v>
      </c>
      <c r="C83" s="2">
        <f>COUNTIFS(Games[Team],Games[[#This Row],[Team]],Games[Season],Games[[#This Row],[Season]],Games[Date],"&lt;=" &amp; Games[[#This Row],[Date]])</f>
        <v>8</v>
      </c>
      <c r="D83" s="2" t="s">
        <v>79</v>
      </c>
      <c r="E83" s="2" t="s">
        <v>80</v>
      </c>
      <c r="F83" s="1" t="s">
        <v>69</v>
      </c>
      <c r="G83" s="1" t="s">
        <v>75</v>
      </c>
      <c r="H83" s="1" t="s">
        <v>82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3" s="2">
        <f>Games[[#This Row],[DaysOff]]-Games[[#This Row],[OppDaysOff]]</f>
        <v>-2</v>
      </c>
      <c r="L83" s="2">
        <f>Games[[#This Row],[OppDaysOff]]-Games[[#This Row],[DaysOff]]</f>
        <v>2</v>
      </c>
      <c r="M83" s="1">
        <f>MAX(-16, MIN(16, Games[[#This Row],[RestDiff]]*8))</f>
        <v>-16</v>
      </c>
      <c r="N83" s="1">
        <f>MAX(-16, MIN(16, Games[[#This Row],[OppRestDiff]]*8))</f>
        <v>16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1436.8676936807644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1469.4609720867361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0.52789950787167139</v>
      </c>
      <c r="R83" s="1">
        <v>64</v>
      </c>
      <c r="S83" s="1">
        <v>70</v>
      </c>
      <c r="T83" s="1">
        <v>0</v>
      </c>
      <c r="U83" s="1">
        <f>Games[[#This Row],[PointsFor]]-Games[[#This Row],[PointsAgainst]]</f>
        <v>-6</v>
      </c>
      <c r="V83" s="1">
        <f>IF(Games[[#This Row],[MOV]]&gt;0,1,IF(Games[[#This Row],[MOV]]=0,0.5,0))</f>
        <v>0</v>
      </c>
      <c r="W83" s="4">
        <f>((ABS(Games[[#This Row],[MOV]])+5)^0.6)/(12+0.01*(ABS(Games[[#This Row],[PreGmRate]]-Games[[#This Row],[OppPreGmRate]])))*IF(Games[[#This Row],[OT]]=1,0.9,1)</f>
        <v>0.3419918968358604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74.8</v>
      </c>
      <c r="Z83" s="4">
        <f>Games[[#This Row],[K]]*Games[[#This Row],[POMult]]</f>
        <v>74.8</v>
      </c>
      <c r="AA83" s="4">
        <f>(Games[[#This Row],[Keff]]*Games[[#This Row],[MOVMult]])*(Games[[#This Row],[Result]]-Games[[#This Row],[ExpectedWin%]])</f>
        <v>-13.504194081874108</v>
      </c>
      <c r="AB83" s="4">
        <f>Games[[#This Row],[PreGmRate]]+Games[[#This Row],[RatingChange]]</f>
        <v>1423.3634995988903</v>
      </c>
      <c r="AC83" s="2">
        <f>IF(Games[[#This Row],[Type]]="R",IF(Games[[#This Row],[Result]]&gt;0.5,1,0),0)</f>
        <v>0</v>
      </c>
      <c r="AD83" s="2">
        <f>IF(Games[[#This Row],[Type]]="R",IF(Games[[#This Row],[Result]]&lt;0.5,1,0),0)</f>
        <v>1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43631</v>
      </c>
      <c r="B84" s="2">
        <v>2019</v>
      </c>
      <c r="C84" s="2">
        <f>COUNTIFS(Games[Team],Games[[#This Row],[Team]],Games[Season],Games[[#This Row],[Season]],Games[Date],"&lt;=" &amp; Games[[#This Row],[Date]])</f>
        <v>8</v>
      </c>
      <c r="D84" s="2" t="s">
        <v>79</v>
      </c>
      <c r="E84" s="2" t="s">
        <v>80</v>
      </c>
      <c r="F84" s="1" t="s">
        <v>60</v>
      </c>
      <c r="G84" s="1" t="s">
        <v>63</v>
      </c>
      <c r="H84" s="1" t="s">
        <v>81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0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4" s="2">
        <f>Games[[#This Row],[DaysOff]]-Games[[#This Row],[OppDaysOff]]</f>
        <v>0</v>
      </c>
      <c r="L84" s="2">
        <f>Games[[#This Row],[OppDaysOff]]-Games[[#This Row],[DaysOff]]</f>
        <v>0</v>
      </c>
      <c r="M84" s="1">
        <f>MAX(-16, MIN(16, Games[[#This Row],[RestDiff]]*8))</f>
        <v>0</v>
      </c>
      <c r="N84" s="1">
        <f>MAX(-16, MIN(16, Games[[#This Row],[OppRestDiff]]*8))</f>
        <v>0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1384.0952435851302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1551.7104861186019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0.19024580893076729</v>
      </c>
      <c r="R84" s="1">
        <v>98</v>
      </c>
      <c r="S84" s="1">
        <v>92</v>
      </c>
      <c r="T84" s="1">
        <v>0</v>
      </c>
      <c r="U84" s="1">
        <f>Games[[#This Row],[PointsFor]]-Games[[#This Row],[PointsAgainst]]</f>
        <v>6</v>
      </c>
      <c r="V84" s="1">
        <f>IF(Games[[#This Row],[MOV]]&gt;0,1,IF(Games[[#This Row],[MOV]]=0,0.5,0))</f>
        <v>1</v>
      </c>
      <c r="W84" s="4">
        <f>((ABS(Games[[#This Row],[MOV]])+5)^0.6)/(12+0.01*(ABS(Games[[#This Row],[PreGmRate]]-Games[[#This Row],[OppPreGmRate]])))*IF(Games[[#This Row],[OT]]=1,0.9,1)</f>
        <v>0.30822770922639314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74.8</v>
      </c>
      <c r="Z84" s="4">
        <f>Games[[#This Row],[K]]*Games[[#This Row],[POMult]]</f>
        <v>74.8</v>
      </c>
      <c r="AA84" s="4">
        <f>(Games[[#This Row],[Keff]]*Games[[#This Row],[MOVMult]])*(Games[[#This Row],[Result]]-Games[[#This Row],[ExpectedWin%]])</f>
        <v>18.669233215360602</v>
      </c>
      <c r="AB84" s="4">
        <f>Games[[#This Row],[PreGmRate]]+Games[[#This Row],[RatingChange]]</f>
        <v>1402.7644768004909</v>
      </c>
      <c r="AC84" s="2">
        <f>IF(Games[[#This Row],[Type]]="R",IF(Games[[#This Row],[Result]]&gt;0.5,1,0),0)</f>
        <v>1</v>
      </c>
      <c r="AD84" s="2">
        <f>IF(Games[[#This Row],[Type]]="R",IF(Games[[#This Row],[Result]]&lt;0.5,1,0),0)</f>
        <v>0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43631</v>
      </c>
      <c r="B85" s="2">
        <v>2019</v>
      </c>
      <c r="C85" s="2">
        <f>COUNTIFS(Games[Team],Games[[#This Row],[Team]],Games[Season],Games[[#This Row],[Season]],Games[Date],"&lt;=" &amp; Games[[#This Row],[Date]])</f>
        <v>7</v>
      </c>
      <c r="D85" s="2" t="s">
        <v>79</v>
      </c>
      <c r="E85" s="2" t="s">
        <v>80</v>
      </c>
      <c r="F85" s="1" t="s">
        <v>63</v>
      </c>
      <c r="G85" s="1" t="s">
        <v>60</v>
      </c>
      <c r="H85" s="1" t="s">
        <v>82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0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5" s="2">
        <f>Games[[#This Row],[DaysOff]]-Games[[#This Row],[OppDaysOff]]</f>
        <v>0</v>
      </c>
      <c r="L85" s="2">
        <f>Games[[#This Row],[OppDaysOff]]-Games[[#This Row],[DaysOff]]</f>
        <v>0</v>
      </c>
      <c r="M85" s="1">
        <f>MAX(-16, MIN(16, Games[[#This Row],[RestDiff]]*8))</f>
        <v>0</v>
      </c>
      <c r="N85" s="1">
        <f>MAX(-16, MIN(16, Games[[#This Row],[OppRestDiff]]*8))</f>
        <v>0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1551.7104861186019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1384.0952435851302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0.80975419106923274</v>
      </c>
      <c r="R85" s="1">
        <v>92</v>
      </c>
      <c r="S85" s="1">
        <v>98</v>
      </c>
      <c r="T85" s="1">
        <v>0</v>
      </c>
      <c r="U85" s="1">
        <f>Games[[#This Row],[PointsFor]]-Games[[#This Row],[PointsAgainst]]</f>
        <v>-6</v>
      </c>
      <c r="V85" s="1">
        <f>IF(Games[[#This Row],[MOV]]&gt;0,1,IF(Games[[#This Row],[MOV]]=0,0.5,0))</f>
        <v>0</v>
      </c>
      <c r="W85" s="4">
        <f>((ABS(Games[[#This Row],[MOV]])+5)^0.6)/(12+0.01*(ABS(Games[[#This Row],[PreGmRate]]-Games[[#This Row],[OppPreGmRate]])))*IF(Games[[#This Row],[OT]]=1,0.9,1)</f>
        <v>0.30822770922639314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74.95</v>
      </c>
      <c r="Z85" s="4">
        <f>Games[[#This Row],[K]]*Games[[#This Row],[POMult]]</f>
        <v>74.95</v>
      </c>
      <c r="AA85" s="4">
        <f>(Games[[#This Row],[Keff]]*Games[[#This Row],[MOVMult]])*(Games[[#This Row],[Result]]-Games[[#This Row],[ExpectedWin%]])</f>
        <v>-18.706671517263064</v>
      </c>
      <c r="AB85" s="4">
        <f>Games[[#This Row],[PreGmRate]]+Games[[#This Row],[RatingChange]]</f>
        <v>1533.0038146013389</v>
      </c>
      <c r="AC85" s="2">
        <f>IF(Games[[#This Row],[Type]]="R",IF(Games[[#This Row],[Result]]&gt;0.5,1,0),0)</f>
        <v>0</v>
      </c>
      <c r="AD85" s="2">
        <f>IF(Games[[#This Row],[Type]]="R",IF(Games[[#This Row],[Result]]&lt;0.5,1,0),0)</f>
        <v>1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43632</v>
      </c>
      <c r="B86" s="2">
        <v>2019</v>
      </c>
      <c r="C86" s="2">
        <f>COUNTIFS(Games[Team],Games[[#This Row],[Team]],Games[Season],Games[[#This Row],[Season]],Games[Date],"&lt;=" &amp; Games[[#This Row],[Date]])</f>
        <v>9</v>
      </c>
      <c r="D86" s="2" t="s">
        <v>79</v>
      </c>
      <c r="E86" s="2" t="s">
        <v>80</v>
      </c>
      <c r="F86" s="1" t="s">
        <v>71</v>
      </c>
      <c r="G86" s="1" t="s">
        <v>74</v>
      </c>
      <c r="H86" s="1" t="s">
        <v>81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6" s="2">
        <f>Games[[#This Row],[DaysOff]]-Games[[#This Row],[OppDaysOff]]</f>
        <v>0</v>
      </c>
      <c r="L86" s="2">
        <f>Games[[#This Row],[OppDaysOff]]-Games[[#This Row],[DaysOff]]</f>
        <v>0</v>
      </c>
      <c r="M86" s="1">
        <f>MAX(-16, MIN(16, Games[[#This Row],[RestDiff]]*8))</f>
        <v>0</v>
      </c>
      <c r="N86" s="1">
        <f>MAX(-16, MIN(16, Games[[#This Row],[OppRestDiff]]*8))</f>
        <v>0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1614.3636647235726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1608.3656191884338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0.38959490234021843</v>
      </c>
      <c r="R86" s="1">
        <v>67</v>
      </c>
      <c r="S86" s="1">
        <v>81</v>
      </c>
      <c r="T86" s="1">
        <v>0</v>
      </c>
      <c r="U86" s="1">
        <f>Games[[#This Row],[PointsFor]]-Games[[#This Row],[PointsAgainst]]</f>
        <v>-14</v>
      </c>
      <c r="V86" s="1">
        <f>IF(Games[[#This Row],[MOV]]&gt;0,1,IF(Games[[#This Row],[MOV]]=0,0.5,0))</f>
        <v>0</v>
      </c>
      <c r="W86" s="4">
        <f>((ABS(Games[[#This Row],[MOV]])+5)^0.6)/(12+0.01*(ABS(Games[[#This Row],[PreGmRate]]-Games[[#This Row],[OppPreGmRate]])))*IF(Games[[#This Row],[OT]]=1,0.9,1)</f>
        <v>0.48518297886733414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74.650000000000006</v>
      </c>
      <c r="Z86" s="4">
        <f>Games[[#This Row],[K]]*Games[[#This Row],[POMult]]</f>
        <v>74.650000000000006</v>
      </c>
      <c r="AA86" s="4">
        <f>(Games[[#This Row],[Keff]]*Games[[#This Row],[MOVMult]])*(Games[[#This Row],[Result]]-Games[[#This Row],[ExpectedWin%]])</f>
        <v>-14.110702459827515</v>
      </c>
      <c r="AB86" s="4">
        <f>Games[[#This Row],[PreGmRate]]+Games[[#This Row],[RatingChange]]</f>
        <v>1600.2529622637451</v>
      </c>
      <c r="AC86" s="2">
        <f>IF(Games[[#This Row],[Type]]="R",IF(Games[[#This Row],[Result]]&gt;0.5,1,0),0)</f>
        <v>0</v>
      </c>
      <c r="AD86" s="2">
        <f>IF(Games[[#This Row],[Type]]="R",IF(Games[[#This Row],[Result]]&lt;0.5,1,0),0)</f>
        <v>1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43632</v>
      </c>
      <c r="B87" s="2">
        <v>2019</v>
      </c>
      <c r="C87" s="2">
        <f>COUNTIFS(Games[Team],Games[[#This Row],[Team]],Games[Season],Games[[#This Row],[Season]],Games[Date],"&lt;=" &amp; Games[[#This Row],[Date]])</f>
        <v>9</v>
      </c>
      <c r="D87" s="2" t="s">
        <v>79</v>
      </c>
      <c r="E87" s="2" t="s">
        <v>80</v>
      </c>
      <c r="F87" s="1" t="s">
        <v>74</v>
      </c>
      <c r="G87" s="1" t="s">
        <v>71</v>
      </c>
      <c r="H87" s="1" t="s">
        <v>82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7" s="2">
        <f>Games[[#This Row],[DaysOff]]-Games[[#This Row],[OppDaysOff]]</f>
        <v>0</v>
      </c>
      <c r="L87" s="2">
        <f>Games[[#This Row],[OppDaysOff]]-Games[[#This Row],[DaysOff]]</f>
        <v>0</v>
      </c>
      <c r="M87" s="1">
        <f>MAX(-16, MIN(16, Games[[#This Row],[RestDiff]]*8))</f>
        <v>0</v>
      </c>
      <c r="N87" s="1">
        <f>MAX(-16, MIN(16, Games[[#This Row],[OppRestDiff]]*8))</f>
        <v>0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1608.3656191884338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1614.3636647235726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0.61040509765978168</v>
      </c>
      <c r="R87" s="1">
        <v>81</v>
      </c>
      <c r="S87" s="1">
        <v>67</v>
      </c>
      <c r="T87" s="1">
        <v>0</v>
      </c>
      <c r="U87" s="1">
        <f>Games[[#This Row],[PointsFor]]-Games[[#This Row],[PointsAgainst]]</f>
        <v>14</v>
      </c>
      <c r="V87" s="1">
        <f>IF(Games[[#This Row],[MOV]]&gt;0,1,IF(Games[[#This Row],[MOV]]=0,0.5,0))</f>
        <v>1</v>
      </c>
      <c r="W87" s="4">
        <f>((ABS(Games[[#This Row],[MOV]])+5)^0.6)/(12+0.01*(ABS(Games[[#This Row],[PreGmRate]]-Games[[#This Row],[OppPreGmRate]])))*IF(Games[[#This Row],[OT]]=1,0.9,1)</f>
        <v>0.48518297886733414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74.650000000000006</v>
      </c>
      <c r="Z87" s="4">
        <f>Games[[#This Row],[K]]*Games[[#This Row],[POMult]]</f>
        <v>74.650000000000006</v>
      </c>
      <c r="AA87" s="4">
        <f>(Games[[#This Row],[Keff]]*Games[[#This Row],[MOVMult]])*(Games[[#This Row],[Result]]-Games[[#This Row],[ExpectedWin%]])</f>
        <v>14.110702459827511</v>
      </c>
      <c r="AB87" s="4">
        <f>Games[[#This Row],[PreGmRate]]+Games[[#This Row],[RatingChange]]</f>
        <v>1622.4763216482613</v>
      </c>
      <c r="AC87" s="2">
        <f>IF(Games[[#This Row],[Type]]="R",IF(Games[[#This Row],[Result]]&gt;0.5,1,0),0)</f>
        <v>1</v>
      </c>
      <c r="AD87" s="2">
        <f>IF(Games[[#This Row],[Type]]="R",IF(Games[[#This Row],[Result]]&lt;0.5,1,0),0)</f>
        <v>0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43632</v>
      </c>
      <c r="B88" s="2">
        <v>2019</v>
      </c>
      <c r="C88" s="2">
        <f>COUNTIFS(Games[Team],Games[[#This Row],[Team]],Games[Season],Games[[#This Row],[Season]],Games[Date],"&lt;=" &amp; Games[[#This Row],[Date]])</f>
        <v>7</v>
      </c>
      <c r="D88" s="2" t="s">
        <v>79</v>
      </c>
      <c r="E88" s="2" t="s">
        <v>80</v>
      </c>
      <c r="F88" s="1" t="s">
        <v>86</v>
      </c>
      <c r="G88" s="1" t="s">
        <v>67</v>
      </c>
      <c r="H88" s="1" t="s">
        <v>81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8" s="2">
        <f>Games[[#This Row],[DaysOff]]-Games[[#This Row],[OppDaysOff]]</f>
        <v>0</v>
      </c>
      <c r="L88" s="2">
        <f>Games[[#This Row],[OppDaysOff]]-Games[[#This Row],[DaysOff]]</f>
        <v>0</v>
      </c>
      <c r="M88" s="1">
        <f>MAX(-16, MIN(16, Games[[#This Row],[RestDiff]]*8))</f>
        <v>0</v>
      </c>
      <c r="N88" s="1">
        <f>MAX(-16, MIN(16, Games[[#This Row],[OppRestDiff]]*8))</f>
        <v>0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1487.2773427066077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1514.6432145213098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0.34500391566731781</v>
      </c>
      <c r="R88" s="1">
        <v>80</v>
      </c>
      <c r="S88" s="1">
        <v>75</v>
      </c>
      <c r="T88" s="1">
        <v>0</v>
      </c>
      <c r="U88" s="1">
        <f>Games[[#This Row],[PointsFor]]-Games[[#This Row],[PointsAgainst]]</f>
        <v>5</v>
      </c>
      <c r="V88" s="1">
        <f>IF(Games[[#This Row],[MOV]]&gt;0,1,IF(Games[[#This Row],[MOV]]=0,0.5,0))</f>
        <v>1</v>
      </c>
      <c r="W88" s="4">
        <f>((ABS(Games[[#This Row],[MOV]])+5)^0.6)/(12+0.01*(ABS(Games[[#This Row],[PreGmRate]]-Games[[#This Row],[OppPreGmRate]])))*IF(Games[[#This Row],[OT]]=1,0.9,1)</f>
        <v>0.32435900304518184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74.95</v>
      </c>
      <c r="Z88" s="4">
        <f>Games[[#This Row],[K]]*Games[[#This Row],[POMult]]</f>
        <v>74.95</v>
      </c>
      <c r="AA88" s="4">
        <f>(Games[[#This Row],[Keff]]*Games[[#This Row],[MOVMult]])*(Games[[#This Row],[Result]]-Games[[#This Row],[ExpectedWin%]])</f>
        <v>15.923418074602866</v>
      </c>
      <c r="AB88" s="4">
        <f>Games[[#This Row],[PreGmRate]]+Games[[#This Row],[RatingChange]]</f>
        <v>1503.2007607812106</v>
      </c>
      <c r="AC88" s="2">
        <f>IF(Games[[#This Row],[Type]]="R",IF(Games[[#This Row],[Result]]&gt;0.5,1,0),0)</f>
        <v>1</v>
      </c>
      <c r="AD88" s="2">
        <f>IF(Games[[#This Row],[Type]]="R",IF(Games[[#This Row],[Result]]&lt;0.5,1,0),0)</f>
        <v>0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43632</v>
      </c>
      <c r="B89" s="2">
        <v>2019</v>
      </c>
      <c r="C89" s="2">
        <f>COUNTIFS(Games[Team],Games[[#This Row],[Team]],Games[Season],Games[[#This Row],[Season]],Games[Date],"&lt;=" &amp; Games[[#This Row],[Date]])</f>
        <v>9</v>
      </c>
      <c r="D89" s="2" t="s">
        <v>79</v>
      </c>
      <c r="E89" s="2" t="s">
        <v>80</v>
      </c>
      <c r="F89" s="1" t="s">
        <v>67</v>
      </c>
      <c r="G89" s="1" t="s">
        <v>86</v>
      </c>
      <c r="H89" s="1" t="s">
        <v>82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9" s="2">
        <f>Games[[#This Row],[DaysOff]]-Games[[#This Row],[OppDaysOff]]</f>
        <v>0</v>
      </c>
      <c r="L89" s="2">
        <f>Games[[#This Row],[OppDaysOff]]-Games[[#This Row],[DaysOff]]</f>
        <v>0</v>
      </c>
      <c r="M89" s="1">
        <f>MAX(-16, MIN(16, Games[[#This Row],[RestDiff]]*8))</f>
        <v>0</v>
      </c>
      <c r="N89" s="1">
        <f>MAX(-16, MIN(16, Games[[#This Row],[OppRestDiff]]*8))</f>
        <v>0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1514.6432145213098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1487.2773427066077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0.65499608433268208</v>
      </c>
      <c r="R89" s="1">
        <v>75</v>
      </c>
      <c r="S89" s="1">
        <v>80</v>
      </c>
      <c r="T89" s="1">
        <v>0</v>
      </c>
      <c r="U89" s="1">
        <f>Games[[#This Row],[PointsFor]]-Games[[#This Row],[PointsAgainst]]</f>
        <v>-5</v>
      </c>
      <c r="V89" s="1">
        <f>IF(Games[[#This Row],[MOV]]&gt;0,1,IF(Games[[#This Row],[MOV]]=0,0.5,0))</f>
        <v>0</v>
      </c>
      <c r="W89" s="4">
        <f>((ABS(Games[[#This Row],[MOV]])+5)^0.6)/(12+0.01*(ABS(Games[[#This Row],[PreGmRate]]-Games[[#This Row],[OppPreGmRate]])))*IF(Games[[#This Row],[OT]]=1,0.9,1)</f>
        <v>0.32435900304518184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74.650000000000006</v>
      </c>
      <c r="Z89" s="4">
        <f>Games[[#This Row],[K]]*Games[[#This Row],[POMult]]</f>
        <v>74.650000000000006</v>
      </c>
      <c r="AA89" s="4">
        <f>(Games[[#This Row],[Keff]]*Games[[#This Row],[MOVMult]])*(Games[[#This Row],[Result]]-Games[[#This Row],[ExpectedWin%]])</f>
        <v>-15.859681911529069</v>
      </c>
      <c r="AB89" s="4">
        <f>Games[[#This Row],[PreGmRate]]+Games[[#This Row],[RatingChange]]</f>
        <v>1498.7835326097807</v>
      </c>
      <c r="AC89" s="2">
        <f>IF(Games[[#This Row],[Type]]="R",IF(Games[[#This Row],[Result]]&gt;0.5,1,0),0)</f>
        <v>0</v>
      </c>
      <c r="AD89" s="2">
        <f>IF(Games[[#This Row],[Type]]="R",IF(Games[[#This Row],[Result]]&lt;0.5,1,0),0)</f>
        <v>1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43634</v>
      </c>
      <c r="B90" s="2">
        <v>2019</v>
      </c>
      <c r="C90" s="2">
        <f>COUNTIFS(Games[Team],Games[[#This Row],[Team]],Games[Season],Games[[#This Row],[Season]],Games[Date],"&lt;=" &amp; Games[[#This Row],[Date]])</f>
        <v>8</v>
      </c>
      <c r="D90" s="2" t="s">
        <v>79</v>
      </c>
      <c r="E90" s="2" t="s">
        <v>80</v>
      </c>
      <c r="F90" s="1" t="s">
        <v>65</v>
      </c>
      <c r="G90" s="1" t="s">
        <v>63</v>
      </c>
      <c r="H90" s="1" t="s">
        <v>81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3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0" s="2">
        <f>Games[[#This Row],[DaysOff]]-Games[[#This Row],[OppDaysOff]]</f>
        <v>1</v>
      </c>
      <c r="L90" s="2">
        <f>Games[[#This Row],[OppDaysOff]]-Games[[#This Row],[DaysOff]]</f>
        <v>-1</v>
      </c>
      <c r="M90" s="1">
        <f>MAX(-16, MIN(16, Games[[#This Row],[RestDiff]]*8))</f>
        <v>8</v>
      </c>
      <c r="N90" s="1">
        <f>MAX(-16, MIN(16, Games[[#This Row],[OppRestDiff]]*8))</f>
        <v>-8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1549.6353893268833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1533.0038146013389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0.42660888476167691</v>
      </c>
      <c r="R90" s="1">
        <v>81</v>
      </c>
      <c r="S90" s="1">
        <v>52</v>
      </c>
      <c r="T90" s="1">
        <v>0</v>
      </c>
      <c r="U90" s="1">
        <f>Games[[#This Row],[PointsFor]]-Games[[#This Row],[PointsAgainst]]</f>
        <v>29</v>
      </c>
      <c r="V90" s="1">
        <f>IF(Games[[#This Row],[MOV]]&gt;0,1,IF(Games[[#This Row],[MOV]]=0,0.5,0))</f>
        <v>1</v>
      </c>
      <c r="W90" s="4">
        <f>((ABS(Games[[#This Row],[MOV]])+5)^0.6)/(12+0.01*(ABS(Games[[#This Row],[PreGmRate]]-Games[[#This Row],[OppPreGmRate]])))*IF(Games[[#This Row],[OT]]=1,0.9,1)</f>
        <v>0.68191189613033321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74.8</v>
      </c>
      <c r="Z90" s="4">
        <f>Games[[#This Row],[K]]*Games[[#This Row],[POMult]]</f>
        <v>74.8</v>
      </c>
      <c r="AA90" s="4">
        <f>(Games[[#This Row],[Keff]]*Games[[#This Row],[MOVMult]])*(Games[[#This Row],[Result]]-Games[[#This Row],[ExpectedWin%]])</f>
        <v>29.246966251710557</v>
      </c>
      <c r="AB90" s="4">
        <f>Games[[#This Row],[PreGmRate]]+Games[[#This Row],[RatingChange]]</f>
        <v>1578.8823555785939</v>
      </c>
      <c r="AC90" s="2">
        <f>IF(Games[[#This Row],[Type]]="R",IF(Games[[#This Row],[Result]]&gt;0.5,1,0),0)</f>
        <v>1</v>
      </c>
      <c r="AD90" s="2">
        <f>IF(Games[[#This Row],[Type]]="R",IF(Games[[#This Row],[Result]]&lt;0.5,1,0),0)</f>
        <v>0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43634</v>
      </c>
      <c r="B91" s="2">
        <v>2019</v>
      </c>
      <c r="C91" s="2">
        <f>COUNTIFS(Games[Team],Games[[#This Row],[Team]],Games[Season],Games[[#This Row],[Season]],Games[Date],"&lt;=" &amp; Games[[#This Row],[Date]])</f>
        <v>8</v>
      </c>
      <c r="D91" s="2" t="s">
        <v>79</v>
      </c>
      <c r="E91" s="2" t="s">
        <v>80</v>
      </c>
      <c r="F91" s="1" t="s">
        <v>63</v>
      </c>
      <c r="G91" s="1" t="s">
        <v>65</v>
      </c>
      <c r="H91" s="1" t="s">
        <v>82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1" s="2">
        <f>Games[[#This Row],[DaysOff]]-Games[[#This Row],[OppDaysOff]]</f>
        <v>-1</v>
      </c>
      <c r="L91" s="2">
        <f>Games[[#This Row],[OppDaysOff]]-Games[[#This Row],[DaysOff]]</f>
        <v>1</v>
      </c>
      <c r="M91" s="1">
        <f>MAX(-16, MIN(16, Games[[#This Row],[RestDiff]]*8))</f>
        <v>-8</v>
      </c>
      <c r="N91" s="1">
        <f>MAX(-16, MIN(16, Games[[#This Row],[OppRestDiff]]*8))</f>
        <v>8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1533.0038146013389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1549.6353893268833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0.57339111523832309</v>
      </c>
      <c r="R91" s="1">
        <v>52</v>
      </c>
      <c r="S91" s="1">
        <v>81</v>
      </c>
      <c r="T91" s="1">
        <v>0</v>
      </c>
      <c r="U91" s="1">
        <f>Games[[#This Row],[PointsFor]]-Games[[#This Row],[PointsAgainst]]</f>
        <v>-29</v>
      </c>
      <c r="V91" s="1">
        <f>IF(Games[[#This Row],[MOV]]&gt;0,1,IF(Games[[#This Row],[MOV]]=0,0.5,0))</f>
        <v>0</v>
      </c>
      <c r="W91" s="4">
        <f>((ABS(Games[[#This Row],[MOV]])+5)^0.6)/(12+0.01*(ABS(Games[[#This Row],[PreGmRate]]-Games[[#This Row],[OppPreGmRate]])))*IF(Games[[#This Row],[OT]]=1,0.9,1)</f>
        <v>0.68191189613033321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74.8</v>
      </c>
      <c r="Z91" s="4">
        <f>Games[[#This Row],[K]]*Games[[#This Row],[POMult]]</f>
        <v>74.8</v>
      </c>
      <c r="AA91" s="4">
        <f>(Games[[#This Row],[Keff]]*Games[[#This Row],[MOVMult]])*(Games[[#This Row],[Result]]-Games[[#This Row],[ExpectedWin%]])</f>
        <v>-29.246966251710557</v>
      </c>
      <c r="AB91" s="4">
        <f>Games[[#This Row],[PreGmRate]]+Games[[#This Row],[RatingChange]]</f>
        <v>1503.7568483496284</v>
      </c>
      <c r="AC91" s="2">
        <f>IF(Games[[#This Row],[Type]]="R",IF(Games[[#This Row],[Result]]&gt;0.5,1,0),0)</f>
        <v>0</v>
      </c>
      <c r="AD91" s="2">
        <f>IF(Games[[#This Row],[Type]]="R",IF(Games[[#This Row],[Result]]&lt;0.5,1,0),0)</f>
        <v>1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43635</v>
      </c>
      <c r="B92" s="2">
        <v>2019</v>
      </c>
      <c r="C92" s="2">
        <f>COUNTIFS(Games[Team],Games[[#This Row],[Team]],Games[Season],Games[[#This Row],[Season]],Games[Date],"&lt;=" &amp; Games[[#This Row],[Date]])</f>
        <v>9</v>
      </c>
      <c r="D92" s="2" t="s">
        <v>79</v>
      </c>
      <c r="E92" s="2" t="s">
        <v>80</v>
      </c>
      <c r="F92" s="1" t="s">
        <v>69</v>
      </c>
      <c r="G92" s="1" t="s">
        <v>77</v>
      </c>
      <c r="H92" s="1" t="s">
        <v>81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3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2" s="2">
        <f>Games[[#This Row],[DaysOff]]-Games[[#This Row],[OppDaysOff]]</f>
        <v>0</v>
      </c>
      <c r="L92" s="2">
        <f>Games[[#This Row],[OppDaysOff]]-Games[[#This Row],[DaysOff]]</f>
        <v>0</v>
      </c>
      <c r="M92" s="1">
        <f>MAX(-16, MIN(16, Games[[#This Row],[RestDiff]]*8))</f>
        <v>0</v>
      </c>
      <c r="N92" s="1">
        <f>MAX(-16, MIN(16, Games[[#This Row],[OppRestDiff]]*8))</f>
        <v>0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1423.3634995988903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1446.4269846792727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0.35062184055221668</v>
      </c>
      <c r="R92" s="1">
        <v>78</v>
      </c>
      <c r="S92" s="1">
        <v>88</v>
      </c>
      <c r="T92" s="1">
        <v>0</v>
      </c>
      <c r="U92" s="1">
        <f>Games[[#This Row],[PointsFor]]-Games[[#This Row],[PointsAgainst]]</f>
        <v>-10</v>
      </c>
      <c r="V92" s="1">
        <f>IF(Games[[#This Row],[MOV]]&gt;0,1,IF(Games[[#This Row],[MOV]]=0,0.5,0))</f>
        <v>0</v>
      </c>
      <c r="W92" s="4">
        <f>((ABS(Games[[#This Row],[MOV]])+5)^0.6)/(12+0.01*(ABS(Games[[#This Row],[PreGmRate]]-Games[[#This Row],[OppPreGmRate]])))*IF(Games[[#This Row],[OT]]=1,0.9,1)</f>
        <v>0.41515068137723848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74.650000000000006</v>
      </c>
      <c r="Z92" s="4">
        <f>Games[[#This Row],[K]]*Games[[#This Row],[POMult]]</f>
        <v>74.650000000000006</v>
      </c>
      <c r="AA92" s="4">
        <f>(Games[[#This Row],[Keff]]*Games[[#This Row],[MOVMult]])*(Games[[#This Row],[Result]]-Games[[#This Row],[ExpectedWin%]])</f>
        <v>-10.86612088722072</v>
      </c>
      <c r="AB92" s="4">
        <f>Games[[#This Row],[PreGmRate]]+Games[[#This Row],[RatingChange]]</f>
        <v>1412.4973787116696</v>
      </c>
      <c r="AC92" s="2">
        <f>IF(Games[[#This Row],[Type]]="R",IF(Games[[#This Row],[Result]]&gt;0.5,1,0),0)</f>
        <v>0</v>
      </c>
      <c r="AD92" s="2">
        <f>IF(Games[[#This Row],[Type]]="R",IF(Games[[#This Row],[Result]]&lt;0.5,1,0),0)</f>
        <v>1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43635</v>
      </c>
      <c r="B93" s="2">
        <v>2019</v>
      </c>
      <c r="C93" s="2">
        <f>COUNTIFS(Games[Team],Games[[#This Row],[Team]],Games[Season],Games[[#This Row],[Season]],Games[Date],"&lt;=" &amp; Games[[#This Row],[Date]])</f>
        <v>7</v>
      </c>
      <c r="D93" s="2" t="s">
        <v>79</v>
      </c>
      <c r="E93" s="2" t="s">
        <v>80</v>
      </c>
      <c r="F93" s="1" t="s">
        <v>77</v>
      </c>
      <c r="G93" s="1" t="s">
        <v>69</v>
      </c>
      <c r="H93" s="1" t="s">
        <v>82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3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3" s="2">
        <f>Games[[#This Row],[DaysOff]]-Games[[#This Row],[OppDaysOff]]</f>
        <v>0</v>
      </c>
      <c r="L93" s="2">
        <f>Games[[#This Row],[OppDaysOff]]-Games[[#This Row],[DaysOff]]</f>
        <v>0</v>
      </c>
      <c r="M93" s="1">
        <f>MAX(-16, MIN(16, Games[[#This Row],[RestDiff]]*8))</f>
        <v>0</v>
      </c>
      <c r="N93" s="1">
        <f>MAX(-16, MIN(16, Games[[#This Row],[OppRestDiff]]*8))</f>
        <v>0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1446.4269846792727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1423.3634995988903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0.64937815944778321</v>
      </c>
      <c r="R93" s="1">
        <v>88</v>
      </c>
      <c r="S93" s="1">
        <v>78</v>
      </c>
      <c r="T93" s="1">
        <v>0</v>
      </c>
      <c r="U93" s="1">
        <f>Games[[#This Row],[PointsFor]]-Games[[#This Row],[PointsAgainst]]</f>
        <v>10</v>
      </c>
      <c r="V93" s="1">
        <f>IF(Games[[#This Row],[MOV]]&gt;0,1,IF(Games[[#This Row],[MOV]]=0,0.5,0))</f>
        <v>1</v>
      </c>
      <c r="W93" s="4">
        <f>((ABS(Games[[#This Row],[MOV]])+5)^0.6)/(12+0.01*(ABS(Games[[#This Row],[PreGmRate]]-Games[[#This Row],[OppPreGmRate]])))*IF(Games[[#This Row],[OT]]=1,0.9,1)</f>
        <v>0.41515068137723848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74.95</v>
      </c>
      <c r="Z93" s="4">
        <f>Games[[#This Row],[K]]*Games[[#This Row],[POMult]]</f>
        <v>74.95</v>
      </c>
      <c r="AA93" s="4">
        <f>(Games[[#This Row],[Keff]]*Games[[#This Row],[MOVMult]])*(Games[[#This Row],[Result]]-Games[[#This Row],[ExpectedWin%]])</f>
        <v>10.909789156024022</v>
      </c>
      <c r="AB93" s="4">
        <f>Games[[#This Row],[PreGmRate]]+Games[[#This Row],[RatingChange]]</f>
        <v>1457.3367738352968</v>
      </c>
      <c r="AC93" s="2">
        <f>IF(Games[[#This Row],[Type]]="R",IF(Games[[#This Row],[Result]]&gt;0.5,1,0),0)</f>
        <v>1</v>
      </c>
      <c r="AD93" s="2">
        <f>IF(Games[[#This Row],[Type]]="R",IF(Games[[#This Row],[Result]]&lt;0.5,1,0),0)</f>
        <v>0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43635</v>
      </c>
      <c r="B94" s="2">
        <v>2019</v>
      </c>
      <c r="C94" s="2">
        <f>COUNTIFS(Games[Team],Games[[#This Row],[Team]],Games[Season],Games[[#This Row],[Season]],Games[Date],"&lt;=" &amp; Games[[#This Row],[Date]])</f>
        <v>7</v>
      </c>
      <c r="D94" s="2" t="s">
        <v>79</v>
      </c>
      <c r="E94" s="2" t="s">
        <v>80</v>
      </c>
      <c r="F94" s="1" t="s">
        <v>75</v>
      </c>
      <c r="G94" s="1" t="s">
        <v>60</v>
      </c>
      <c r="H94" s="1" t="s">
        <v>81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3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4" s="2">
        <f>Games[[#This Row],[DaysOff]]-Games[[#This Row],[OppDaysOff]]</f>
        <v>0</v>
      </c>
      <c r="L94" s="2">
        <f>Games[[#This Row],[OppDaysOff]]-Games[[#This Row],[DaysOff]]</f>
        <v>0</v>
      </c>
      <c r="M94" s="1">
        <f>MAX(-16, MIN(16, Games[[#This Row],[RestDiff]]*8))</f>
        <v>0</v>
      </c>
      <c r="N94" s="1">
        <f>MAX(-16, MIN(16, Games[[#This Row],[OppRestDiff]]*8))</f>
        <v>0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1483.0193273748209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1402.7644768004909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0.49461050546946222</v>
      </c>
      <c r="R94" s="1">
        <v>91</v>
      </c>
      <c r="S94" s="1">
        <v>83</v>
      </c>
      <c r="T94" s="1">
        <v>0</v>
      </c>
      <c r="U94" s="1">
        <f>Games[[#This Row],[PointsFor]]-Games[[#This Row],[PointsAgainst]]</f>
        <v>8</v>
      </c>
      <c r="V94" s="1">
        <f>IF(Games[[#This Row],[MOV]]&gt;0,1,IF(Games[[#This Row],[MOV]]=0,0.5,0))</f>
        <v>1</v>
      </c>
      <c r="W94" s="4">
        <f>((ABS(Games[[#This Row],[MOV]])+5)^0.6)/(12+0.01*(ABS(Games[[#This Row],[PreGmRate]]-Games[[#This Row],[OppPreGmRate]])))*IF(Games[[#This Row],[OT]]=1,0.9,1)</f>
        <v>0.36397334624005978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74.95</v>
      </c>
      <c r="Z94" s="4">
        <f>Games[[#This Row],[K]]*Games[[#This Row],[POMult]]</f>
        <v>74.95</v>
      </c>
      <c r="AA94" s="4">
        <f>(Games[[#This Row],[Keff]]*Games[[#This Row],[MOVMult]])*(Games[[#This Row],[Result]]-Games[[#This Row],[ExpectedWin%]])</f>
        <v>13.786925495639974</v>
      </c>
      <c r="AB94" s="4">
        <f>Games[[#This Row],[PreGmRate]]+Games[[#This Row],[RatingChange]]</f>
        <v>1496.8062528704609</v>
      </c>
      <c r="AC94" s="2">
        <f>IF(Games[[#This Row],[Type]]="R",IF(Games[[#This Row],[Result]]&gt;0.5,1,0),0)</f>
        <v>1</v>
      </c>
      <c r="AD94" s="2">
        <f>IF(Games[[#This Row],[Type]]="R",IF(Games[[#This Row],[Result]]&lt;0.5,1,0),0)</f>
        <v>0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43635</v>
      </c>
      <c r="B95" s="2">
        <v>2019</v>
      </c>
      <c r="C95" s="2">
        <f>COUNTIFS(Games[Team],Games[[#This Row],[Team]],Games[Season],Games[[#This Row],[Season]],Games[Date],"&lt;=" &amp; Games[[#This Row],[Date]])</f>
        <v>9</v>
      </c>
      <c r="D95" s="2" t="s">
        <v>79</v>
      </c>
      <c r="E95" s="2" t="s">
        <v>80</v>
      </c>
      <c r="F95" s="1" t="s">
        <v>60</v>
      </c>
      <c r="G95" s="1" t="s">
        <v>75</v>
      </c>
      <c r="H95" s="1" t="s">
        <v>82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3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5" s="2">
        <f>Games[[#This Row],[DaysOff]]-Games[[#This Row],[OppDaysOff]]</f>
        <v>0</v>
      </c>
      <c r="L95" s="2">
        <f>Games[[#This Row],[OppDaysOff]]-Games[[#This Row],[DaysOff]]</f>
        <v>0</v>
      </c>
      <c r="M95" s="1">
        <f>MAX(-16, MIN(16, Games[[#This Row],[RestDiff]]*8))</f>
        <v>0</v>
      </c>
      <c r="N95" s="1">
        <f>MAX(-16, MIN(16, Games[[#This Row],[OppRestDiff]]*8))</f>
        <v>0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1402.7644768004909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1483.0193273748209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0.50538949453053783</v>
      </c>
      <c r="R95" s="1">
        <v>83</v>
      </c>
      <c r="S95" s="1">
        <v>91</v>
      </c>
      <c r="T95" s="1">
        <v>0</v>
      </c>
      <c r="U95" s="1">
        <f>Games[[#This Row],[PointsFor]]-Games[[#This Row],[PointsAgainst]]</f>
        <v>-8</v>
      </c>
      <c r="V95" s="1">
        <f>IF(Games[[#This Row],[MOV]]&gt;0,1,IF(Games[[#This Row],[MOV]]=0,0.5,0))</f>
        <v>0</v>
      </c>
      <c r="W95" s="4">
        <f>((ABS(Games[[#This Row],[MOV]])+5)^0.6)/(12+0.01*(ABS(Games[[#This Row],[PreGmRate]]-Games[[#This Row],[OppPreGmRate]])))*IF(Games[[#This Row],[OT]]=1,0.9,1)</f>
        <v>0.36397334624005978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74.650000000000006</v>
      </c>
      <c r="Z95" s="4">
        <f>Games[[#This Row],[K]]*Games[[#This Row],[POMult]]</f>
        <v>74.650000000000006</v>
      </c>
      <c r="AA95" s="4">
        <f>(Games[[#This Row],[Keff]]*Games[[#This Row],[MOVMult]])*(Games[[#This Row],[Result]]-Games[[#This Row],[ExpectedWin%]])</f>
        <v>-13.731741003996321</v>
      </c>
      <c r="AB95" s="4">
        <f>Games[[#This Row],[PreGmRate]]+Games[[#This Row],[RatingChange]]</f>
        <v>1389.0327357964945</v>
      </c>
      <c r="AC95" s="2">
        <f>IF(Games[[#This Row],[Type]]="R",IF(Games[[#This Row],[Result]]&gt;0.5,1,0),0)</f>
        <v>0</v>
      </c>
      <c r="AD95" s="2">
        <f>IF(Games[[#This Row],[Type]]="R",IF(Games[[#This Row],[Result]]&lt;0.5,1,0),0)</f>
        <v>1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43636</v>
      </c>
      <c r="B96" s="2">
        <v>2019</v>
      </c>
      <c r="C96" s="2">
        <f>COUNTIFS(Games[Team],Games[[#This Row],[Team]],Games[Season],Games[[#This Row],[Season]],Games[Date],"&lt;=" &amp; Games[[#This Row],[Date]])</f>
        <v>7</v>
      </c>
      <c r="D96" s="2" t="s">
        <v>79</v>
      </c>
      <c r="E96" s="2" t="s">
        <v>80</v>
      </c>
      <c r="F96" s="1" t="s">
        <v>40</v>
      </c>
      <c r="G96" s="1" t="s">
        <v>85</v>
      </c>
      <c r="H96" s="1" t="s">
        <v>81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5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96" s="2">
        <f>Games[[#This Row],[DaysOff]]-Games[[#This Row],[OppDaysOff]]</f>
        <v>1</v>
      </c>
      <c r="L96" s="2">
        <f>Games[[#This Row],[OppDaysOff]]-Games[[#This Row],[DaysOff]]</f>
        <v>-1</v>
      </c>
      <c r="M96" s="1">
        <f>MAX(-16, MIN(16, Games[[#This Row],[RestDiff]]*8))</f>
        <v>8</v>
      </c>
      <c r="N96" s="1">
        <f>MAX(-16, MIN(16, Games[[#This Row],[OppRestDiff]]*8))</f>
        <v>-8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1506.3496182474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1430.7434887257959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0.51094435191074472</v>
      </c>
      <c r="R96" s="1">
        <v>54</v>
      </c>
      <c r="S96" s="1">
        <v>69</v>
      </c>
      <c r="T96" s="1">
        <v>0</v>
      </c>
      <c r="U96" s="1">
        <f>Games[[#This Row],[PointsFor]]-Games[[#This Row],[PointsAgainst]]</f>
        <v>-15</v>
      </c>
      <c r="V96" s="1">
        <f>IF(Games[[#This Row],[MOV]]&gt;0,1,IF(Games[[#This Row],[MOV]]=0,0.5,0))</f>
        <v>0</v>
      </c>
      <c r="W96" s="4">
        <f>((ABS(Games[[#This Row],[MOV]])+5)^0.6)/(12+0.01*(ABS(Games[[#This Row],[PreGmRate]]-Games[[#This Row],[OppPreGmRate]])))*IF(Games[[#This Row],[OT]]=1,0.9,1)</f>
        <v>0.47304384926467735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74.95</v>
      </c>
      <c r="Z96" s="4">
        <f>Games[[#This Row],[K]]*Games[[#This Row],[POMult]]</f>
        <v>74.95</v>
      </c>
      <c r="AA96" s="4">
        <f>(Games[[#This Row],[Keff]]*Games[[#This Row],[MOVMult]])*(Games[[#This Row],[Result]]-Games[[#This Row],[ExpectedWin%]])</f>
        <v>-18.115346269943451</v>
      </c>
      <c r="AB96" s="4">
        <f>Games[[#This Row],[PreGmRate]]+Games[[#This Row],[RatingChange]]</f>
        <v>1488.2342719774565</v>
      </c>
      <c r="AC96" s="2">
        <f>IF(Games[[#This Row],[Type]]="R",IF(Games[[#This Row],[Result]]&gt;0.5,1,0),0)</f>
        <v>0</v>
      </c>
      <c r="AD96" s="2">
        <f>IF(Games[[#This Row],[Type]]="R",IF(Games[[#This Row],[Result]]&lt;0.5,1,0),0)</f>
        <v>1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43636</v>
      </c>
      <c r="B97" s="2">
        <v>2019</v>
      </c>
      <c r="C97" s="2">
        <f>COUNTIFS(Games[Team],Games[[#This Row],[Team]],Games[Season],Games[[#This Row],[Season]],Games[Date],"&lt;=" &amp; Games[[#This Row],[Date]])</f>
        <v>7</v>
      </c>
      <c r="D97" s="2" t="s">
        <v>79</v>
      </c>
      <c r="E97" s="2" t="s">
        <v>80</v>
      </c>
      <c r="F97" s="1" t="s">
        <v>85</v>
      </c>
      <c r="G97" s="1" t="s">
        <v>40</v>
      </c>
      <c r="H97" s="1" t="s">
        <v>82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4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97" s="2">
        <f>Games[[#This Row],[DaysOff]]-Games[[#This Row],[OppDaysOff]]</f>
        <v>-1</v>
      </c>
      <c r="L97" s="2">
        <f>Games[[#This Row],[OppDaysOff]]-Games[[#This Row],[DaysOff]]</f>
        <v>1</v>
      </c>
      <c r="M97" s="1">
        <f>MAX(-16, MIN(16, Games[[#This Row],[RestDiff]]*8))</f>
        <v>-8</v>
      </c>
      <c r="N97" s="1">
        <f>MAX(-16, MIN(16, Games[[#This Row],[OppRestDiff]]*8))</f>
        <v>8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1430.7434887257959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1506.3496182474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0.48905564808925528</v>
      </c>
      <c r="R97" s="1">
        <v>69</v>
      </c>
      <c r="S97" s="1">
        <v>54</v>
      </c>
      <c r="T97" s="1">
        <v>0</v>
      </c>
      <c r="U97" s="1">
        <f>Games[[#This Row],[PointsFor]]-Games[[#This Row],[PointsAgainst]]</f>
        <v>15</v>
      </c>
      <c r="V97" s="1">
        <f>IF(Games[[#This Row],[MOV]]&gt;0,1,IF(Games[[#This Row],[MOV]]=0,0.5,0))</f>
        <v>1</v>
      </c>
      <c r="W97" s="4">
        <f>((ABS(Games[[#This Row],[MOV]])+5)^0.6)/(12+0.01*(ABS(Games[[#This Row],[PreGmRate]]-Games[[#This Row],[OppPreGmRate]])))*IF(Games[[#This Row],[OT]]=1,0.9,1)</f>
        <v>0.47304384926467735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74.95</v>
      </c>
      <c r="Z97" s="4">
        <f>Games[[#This Row],[K]]*Games[[#This Row],[POMult]]</f>
        <v>74.95</v>
      </c>
      <c r="AA97" s="4">
        <f>(Games[[#This Row],[Keff]]*Games[[#This Row],[MOVMult]])*(Games[[#This Row],[Result]]-Games[[#This Row],[ExpectedWin%]])</f>
        <v>18.115346269943451</v>
      </c>
      <c r="AB97" s="4">
        <f>Games[[#This Row],[PreGmRate]]+Games[[#This Row],[RatingChange]]</f>
        <v>1448.8588349957395</v>
      </c>
      <c r="AC97" s="2">
        <f>IF(Games[[#This Row],[Type]]="R",IF(Games[[#This Row],[Result]]&gt;0.5,1,0),0)</f>
        <v>1</v>
      </c>
      <c r="AD97" s="2">
        <f>IF(Games[[#This Row],[Type]]="R",IF(Games[[#This Row],[Result]]&lt;0.5,1,0),0)</f>
        <v>0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43636</v>
      </c>
      <c r="B98" s="2">
        <v>2019</v>
      </c>
      <c r="C98" s="2">
        <f>COUNTIFS(Games[Team],Games[[#This Row],[Team]],Games[Season],Games[[#This Row],[Season]],Games[Date],"&lt;=" &amp; Games[[#This Row],[Date]])</f>
        <v>9</v>
      </c>
      <c r="D98" s="2" t="s">
        <v>79</v>
      </c>
      <c r="E98" s="2" t="s">
        <v>80</v>
      </c>
      <c r="F98" s="1" t="s">
        <v>65</v>
      </c>
      <c r="G98" s="1" t="s">
        <v>86</v>
      </c>
      <c r="H98" s="1" t="s">
        <v>81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8" s="2">
        <f>Games[[#This Row],[DaysOff]]-Games[[#This Row],[OppDaysOff]]</f>
        <v>-2</v>
      </c>
      <c r="L98" s="2">
        <f>Games[[#This Row],[OppDaysOff]]-Games[[#This Row],[DaysOff]]</f>
        <v>2</v>
      </c>
      <c r="M98" s="1">
        <f>MAX(-16, MIN(16, Games[[#This Row],[RestDiff]]*8))</f>
        <v>-16</v>
      </c>
      <c r="N98" s="1">
        <f>MAX(-16, MIN(16, Games[[#This Row],[OppRestDiff]]*8))</f>
        <v>16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1578.8823555785939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1503.2007607812106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0.44223621228619248</v>
      </c>
      <c r="R98" s="1">
        <v>95</v>
      </c>
      <c r="S98" s="1">
        <v>72</v>
      </c>
      <c r="T98" s="1">
        <v>0</v>
      </c>
      <c r="U98" s="1">
        <f>Games[[#This Row],[PointsFor]]-Games[[#This Row],[PointsAgainst]]</f>
        <v>23</v>
      </c>
      <c r="V98" s="1">
        <f>IF(Games[[#This Row],[MOV]]&gt;0,1,IF(Games[[#This Row],[MOV]]=0,0.5,0))</f>
        <v>1</v>
      </c>
      <c r="W98" s="4">
        <f>((ABS(Games[[#This Row],[MOV]])+5)^0.6)/(12+0.01*(ABS(Games[[#This Row],[PreGmRate]]-Games[[#This Row],[OppPreGmRate]])))*IF(Games[[#This Row],[OT]]=1,0.9,1)</f>
        <v>0.57883199544914898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74.650000000000006</v>
      </c>
      <c r="Z98" s="4">
        <f>Games[[#This Row],[K]]*Games[[#This Row],[POMult]]</f>
        <v>74.650000000000006</v>
      </c>
      <c r="AA98" s="4">
        <f>(Games[[#This Row],[Keff]]*Games[[#This Row],[MOVMult]])*(Games[[#This Row],[Result]]-Games[[#This Row],[ExpectedWin%]])</f>
        <v>24.100866433193328</v>
      </c>
      <c r="AB98" s="4">
        <f>Games[[#This Row],[PreGmRate]]+Games[[#This Row],[RatingChange]]</f>
        <v>1602.9832220117871</v>
      </c>
      <c r="AC98" s="2">
        <f>IF(Games[[#This Row],[Type]]="R",IF(Games[[#This Row],[Result]]&gt;0.5,1,0),0)</f>
        <v>1</v>
      </c>
      <c r="AD98" s="2">
        <f>IF(Games[[#This Row],[Type]]="R",IF(Games[[#This Row],[Result]]&lt;0.5,1,0),0)</f>
        <v>0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43636</v>
      </c>
      <c r="B99" s="2">
        <v>2019</v>
      </c>
      <c r="C99" s="2">
        <f>COUNTIFS(Games[Team],Games[[#This Row],[Team]],Games[Season],Games[[#This Row],[Season]],Games[Date],"&lt;=" &amp; Games[[#This Row],[Date]])</f>
        <v>8</v>
      </c>
      <c r="D99" s="2" t="s">
        <v>79</v>
      </c>
      <c r="E99" s="2" t="s">
        <v>80</v>
      </c>
      <c r="F99" s="1" t="s">
        <v>86</v>
      </c>
      <c r="G99" s="1" t="s">
        <v>65</v>
      </c>
      <c r="H99" s="1" t="s">
        <v>82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3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9" s="2">
        <f>Games[[#This Row],[DaysOff]]-Games[[#This Row],[OppDaysOff]]</f>
        <v>2</v>
      </c>
      <c r="L99" s="2">
        <f>Games[[#This Row],[OppDaysOff]]-Games[[#This Row],[DaysOff]]</f>
        <v>-2</v>
      </c>
      <c r="M99" s="1">
        <f>MAX(-16, MIN(16, Games[[#This Row],[RestDiff]]*8))</f>
        <v>16</v>
      </c>
      <c r="N99" s="1">
        <f>MAX(-16, MIN(16, Games[[#This Row],[OppRestDiff]]*8))</f>
        <v>-16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1503.2007607812106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1578.8823555785939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0.55776378771380741</v>
      </c>
      <c r="R99" s="1">
        <v>72</v>
      </c>
      <c r="S99" s="1">
        <v>95</v>
      </c>
      <c r="T99" s="1">
        <v>0</v>
      </c>
      <c r="U99" s="1">
        <f>Games[[#This Row],[PointsFor]]-Games[[#This Row],[PointsAgainst]]</f>
        <v>-23</v>
      </c>
      <c r="V99" s="1">
        <f>IF(Games[[#This Row],[MOV]]&gt;0,1,IF(Games[[#This Row],[MOV]]=0,0.5,0))</f>
        <v>0</v>
      </c>
      <c r="W99" s="4">
        <f>((ABS(Games[[#This Row],[MOV]])+5)^0.6)/(12+0.01*(ABS(Games[[#This Row],[PreGmRate]]-Games[[#This Row],[OppPreGmRate]])))*IF(Games[[#This Row],[OT]]=1,0.9,1)</f>
        <v>0.57883199544914898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74.8</v>
      </c>
      <c r="Z99" s="4">
        <f>Games[[#This Row],[K]]*Games[[#This Row],[POMult]]</f>
        <v>74.8</v>
      </c>
      <c r="AA99" s="4">
        <f>(Games[[#This Row],[Keff]]*Games[[#This Row],[MOVMult]])*(Games[[#This Row],[Result]]-Games[[#This Row],[ExpectedWin%]])</f>
        <v>-24.149294162128069</v>
      </c>
      <c r="AB99" s="4">
        <f>Games[[#This Row],[PreGmRate]]+Games[[#This Row],[RatingChange]]</f>
        <v>1479.0514666190825</v>
      </c>
      <c r="AC99" s="2">
        <f>IF(Games[[#This Row],[Type]]="R",IF(Games[[#This Row],[Result]]&gt;0.5,1,0),0)</f>
        <v>0</v>
      </c>
      <c r="AD99" s="2">
        <f>IF(Games[[#This Row],[Type]]="R",IF(Games[[#This Row],[Result]]&lt;0.5,1,0),0)</f>
        <v>1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43637</v>
      </c>
      <c r="B100" s="2">
        <v>2019</v>
      </c>
      <c r="C100" s="2">
        <f>COUNTIFS(Games[Team],Games[[#This Row],[Team]],Games[Season],Games[[#This Row],[Season]],Games[Date],"&lt;=" &amp; Games[[#This Row],[Date]])</f>
        <v>10</v>
      </c>
      <c r="D100" s="2" t="s">
        <v>79</v>
      </c>
      <c r="E100" s="2" t="s">
        <v>80</v>
      </c>
      <c r="F100" s="1" t="s">
        <v>69</v>
      </c>
      <c r="G100" s="1" t="s">
        <v>75</v>
      </c>
      <c r="H100" s="1" t="s">
        <v>81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0" s="2">
        <f>Games[[#This Row],[DaysOff]]-Games[[#This Row],[OppDaysOff]]</f>
        <v>0</v>
      </c>
      <c r="L100" s="2">
        <f>Games[[#This Row],[OppDaysOff]]-Games[[#This Row],[DaysOff]]</f>
        <v>0</v>
      </c>
      <c r="M100" s="1">
        <f>MAX(-16, MIN(16, Games[[#This Row],[RestDiff]]*8))</f>
        <v>0</v>
      </c>
      <c r="N100" s="1">
        <f>MAX(-16, MIN(16, Games[[#This Row],[OppRestDiff]]*8))</f>
        <v>0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1412.4973787116696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1496.8062528704609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0.27510703653727792</v>
      </c>
      <c r="R100" s="1">
        <v>76</v>
      </c>
      <c r="S100" s="1">
        <v>69</v>
      </c>
      <c r="T100" s="1">
        <v>0</v>
      </c>
      <c r="U100" s="1">
        <f>Games[[#This Row],[PointsFor]]-Games[[#This Row],[PointsAgainst]]</f>
        <v>7</v>
      </c>
      <c r="V100" s="1">
        <f>IF(Games[[#This Row],[MOV]]&gt;0,1,IF(Games[[#This Row],[MOV]]=0,0.5,0))</f>
        <v>1</v>
      </c>
      <c r="W100" s="4">
        <f>((ABS(Games[[#This Row],[MOV]])+5)^0.6)/(12+0.01*(ABS(Games[[#This Row],[PreGmRate]]-Games[[#This Row],[OppPreGmRate]])))*IF(Games[[#This Row],[OT]]=1,0.9,1)</f>
        <v>0.34581136665857232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74.5</v>
      </c>
      <c r="Z100" s="4">
        <f>Games[[#This Row],[K]]*Games[[#This Row],[POMult]]</f>
        <v>74.5</v>
      </c>
      <c r="AA100" s="4">
        <f>(Games[[#This Row],[Keff]]*Games[[#This Row],[MOVMult]])*(Games[[#This Row],[Result]]-Games[[#This Row],[ExpectedWin%]])</f>
        <v>18.675378865028872</v>
      </c>
      <c r="AB100" s="4">
        <f>Games[[#This Row],[PreGmRate]]+Games[[#This Row],[RatingChange]]</f>
        <v>1431.1727575766986</v>
      </c>
      <c r="AC100" s="2">
        <f>IF(Games[[#This Row],[Type]]="R",IF(Games[[#This Row],[Result]]&gt;0.5,1,0),0)</f>
        <v>1</v>
      </c>
      <c r="AD100" s="2">
        <f>IF(Games[[#This Row],[Type]]="R",IF(Games[[#This Row],[Result]]&lt;0.5,1,0),0)</f>
        <v>0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43637</v>
      </c>
      <c r="B101" s="2">
        <v>2019</v>
      </c>
      <c r="C101" s="2">
        <f>COUNTIFS(Games[Team],Games[[#This Row],[Team]],Games[Season],Games[[#This Row],[Season]],Games[Date],"&lt;=" &amp; Games[[#This Row],[Date]])</f>
        <v>8</v>
      </c>
      <c r="D101" s="2" t="s">
        <v>79</v>
      </c>
      <c r="E101" s="2" t="s">
        <v>80</v>
      </c>
      <c r="F101" s="1" t="s">
        <v>75</v>
      </c>
      <c r="G101" s="1" t="s">
        <v>69</v>
      </c>
      <c r="H101" s="1" t="s">
        <v>82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1" s="2">
        <f>Games[[#This Row],[DaysOff]]-Games[[#This Row],[OppDaysOff]]</f>
        <v>0</v>
      </c>
      <c r="L101" s="2">
        <f>Games[[#This Row],[OppDaysOff]]-Games[[#This Row],[DaysOff]]</f>
        <v>0</v>
      </c>
      <c r="M101" s="1">
        <f>MAX(-16, MIN(16, Games[[#This Row],[RestDiff]]*8))</f>
        <v>0</v>
      </c>
      <c r="N101" s="1">
        <f>MAX(-16, MIN(16, Games[[#This Row],[OppRestDiff]]*8))</f>
        <v>0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1496.8062528704609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1412.4973787116696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0.72489296346272203</v>
      </c>
      <c r="R101" s="1">
        <v>69</v>
      </c>
      <c r="S101" s="1">
        <v>76</v>
      </c>
      <c r="T101" s="1">
        <v>0</v>
      </c>
      <c r="U101" s="1">
        <f>Games[[#This Row],[PointsFor]]-Games[[#This Row],[PointsAgainst]]</f>
        <v>-7</v>
      </c>
      <c r="V101" s="1">
        <f>IF(Games[[#This Row],[MOV]]&gt;0,1,IF(Games[[#This Row],[MOV]]=0,0.5,0))</f>
        <v>0</v>
      </c>
      <c r="W101" s="4">
        <f>((ABS(Games[[#This Row],[MOV]])+5)^0.6)/(12+0.01*(ABS(Games[[#This Row],[PreGmRate]]-Games[[#This Row],[OppPreGmRate]])))*IF(Games[[#This Row],[OT]]=1,0.9,1)</f>
        <v>0.34581136665857232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74.8</v>
      </c>
      <c r="Z101" s="4">
        <f>Games[[#This Row],[K]]*Games[[#This Row],[POMult]]</f>
        <v>74.8</v>
      </c>
      <c r="AA101" s="4">
        <f>(Games[[#This Row],[Keff]]*Games[[#This Row],[MOVMult]])*(Games[[#This Row],[Result]]-Games[[#This Row],[ExpectedWin%]])</f>
        <v>-18.750581732941736</v>
      </c>
      <c r="AB101" s="4">
        <f>Games[[#This Row],[PreGmRate]]+Games[[#This Row],[RatingChange]]</f>
        <v>1478.0556711375191</v>
      </c>
      <c r="AC101" s="2">
        <f>IF(Games[[#This Row],[Type]]="R",IF(Games[[#This Row],[Result]]&gt;0.5,1,0),0)</f>
        <v>0</v>
      </c>
      <c r="AD101" s="2">
        <f>IF(Games[[#This Row],[Type]]="R",IF(Games[[#This Row],[Result]]&lt;0.5,1,0),0)</f>
        <v>1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43637</v>
      </c>
      <c r="B102" s="2">
        <v>2019</v>
      </c>
      <c r="C102" s="2">
        <f>COUNTIFS(Games[Team],Games[[#This Row],[Team]],Games[Season],Games[[#This Row],[Season]],Games[Date],"&lt;=" &amp; Games[[#This Row],[Date]])</f>
        <v>8</v>
      </c>
      <c r="D102" s="2" t="s">
        <v>79</v>
      </c>
      <c r="E102" s="2" t="s">
        <v>80</v>
      </c>
      <c r="F102" s="1" t="s">
        <v>77</v>
      </c>
      <c r="G102" s="1" t="s">
        <v>74</v>
      </c>
      <c r="H102" s="1" t="s">
        <v>81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2" s="2">
        <f>Games[[#This Row],[DaysOff]]-Games[[#This Row],[OppDaysOff]]</f>
        <v>-3</v>
      </c>
      <c r="L102" s="2">
        <f>Games[[#This Row],[OppDaysOff]]-Games[[#This Row],[DaysOff]]</f>
        <v>3</v>
      </c>
      <c r="M102" s="1">
        <f>MAX(-16, MIN(16, Games[[#This Row],[RestDiff]]*8))</f>
        <v>-16</v>
      </c>
      <c r="N102" s="1">
        <f>MAX(-16, MIN(16, Games[[#This Row],[OppRestDiff]]*8))</f>
        <v>16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1457.3367738352968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1622.4763216482613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0.16542988235888528</v>
      </c>
      <c r="R102" s="1">
        <v>76</v>
      </c>
      <c r="S102" s="1">
        <v>86</v>
      </c>
      <c r="T102" s="1">
        <v>0</v>
      </c>
      <c r="U102" s="1">
        <f>Games[[#This Row],[PointsFor]]-Games[[#This Row],[PointsAgainst]]</f>
        <v>-10</v>
      </c>
      <c r="V102" s="1">
        <f>IF(Games[[#This Row],[MOV]]&gt;0,1,IF(Games[[#This Row],[MOV]]=0,0.5,0))</f>
        <v>0</v>
      </c>
      <c r="W102" s="4">
        <f>((ABS(Games[[#This Row],[MOV]])+5)^0.6)/(12+0.01*(ABS(Games[[#This Row],[PreGmRate]]-Games[[#This Row],[OppPreGmRate]])))*IF(Games[[#This Row],[OT]]=1,0.9,1)</f>
        <v>0.37194412835830282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74.8</v>
      </c>
      <c r="Z102" s="4">
        <f>Games[[#This Row],[K]]*Games[[#This Row],[POMult]]</f>
        <v>74.8</v>
      </c>
      <c r="AA102" s="4">
        <f>(Games[[#This Row],[Keff]]*Games[[#This Row],[MOVMult]])*(Games[[#This Row],[Result]]-Games[[#This Row],[ExpectedWin%]])</f>
        <v>-4.6024943701997341</v>
      </c>
      <c r="AB102" s="4">
        <f>Games[[#This Row],[PreGmRate]]+Games[[#This Row],[RatingChange]]</f>
        <v>1452.734279465097</v>
      </c>
      <c r="AC102" s="2">
        <f>IF(Games[[#This Row],[Type]]="R",IF(Games[[#This Row],[Result]]&gt;0.5,1,0),0)</f>
        <v>0</v>
      </c>
      <c r="AD102" s="2">
        <f>IF(Games[[#This Row],[Type]]="R",IF(Games[[#This Row],[Result]]&lt;0.5,1,0),0)</f>
        <v>1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43637</v>
      </c>
      <c r="B103" s="2">
        <v>2019</v>
      </c>
      <c r="C103" s="2">
        <f>COUNTIFS(Games[Team],Games[[#This Row],[Team]],Games[Season],Games[[#This Row],[Season]],Games[Date],"&lt;=" &amp; Games[[#This Row],[Date]])</f>
        <v>10</v>
      </c>
      <c r="D103" s="2" t="s">
        <v>79</v>
      </c>
      <c r="E103" s="2" t="s">
        <v>80</v>
      </c>
      <c r="F103" s="1" t="s">
        <v>74</v>
      </c>
      <c r="G103" s="1" t="s">
        <v>77</v>
      </c>
      <c r="H103" s="1" t="s">
        <v>82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3" s="2">
        <f>Games[[#This Row],[DaysOff]]-Games[[#This Row],[OppDaysOff]]</f>
        <v>3</v>
      </c>
      <c r="L103" s="2">
        <f>Games[[#This Row],[OppDaysOff]]-Games[[#This Row],[DaysOff]]</f>
        <v>-3</v>
      </c>
      <c r="M103" s="1">
        <f>MAX(-16, MIN(16, Games[[#This Row],[RestDiff]]*8))</f>
        <v>16</v>
      </c>
      <c r="N103" s="1">
        <f>MAX(-16, MIN(16, Games[[#This Row],[OppRestDiff]]*8))</f>
        <v>-16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1622.4763216482613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1457.3367738352968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0.83457011764111477</v>
      </c>
      <c r="R103" s="1">
        <v>86</v>
      </c>
      <c r="S103" s="1">
        <v>76</v>
      </c>
      <c r="T103" s="1">
        <v>0</v>
      </c>
      <c r="U103" s="1">
        <f>Games[[#This Row],[PointsFor]]-Games[[#This Row],[PointsAgainst]]</f>
        <v>10</v>
      </c>
      <c r="V103" s="1">
        <f>IF(Games[[#This Row],[MOV]]&gt;0,1,IF(Games[[#This Row],[MOV]]=0,0.5,0))</f>
        <v>1</v>
      </c>
      <c r="W103" s="4">
        <f>((ABS(Games[[#This Row],[MOV]])+5)^0.6)/(12+0.01*(ABS(Games[[#This Row],[PreGmRate]]-Games[[#This Row],[OppPreGmRate]])))*IF(Games[[#This Row],[OT]]=1,0.9,1)</f>
        <v>0.37194412835830282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74.5</v>
      </c>
      <c r="Z103" s="4">
        <f>Games[[#This Row],[K]]*Games[[#This Row],[POMult]]</f>
        <v>74.5</v>
      </c>
      <c r="AA103" s="4">
        <f>(Games[[#This Row],[Keff]]*Games[[#This Row],[MOVMult]])*(Games[[#This Row],[Result]]-Games[[#This Row],[ExpectedWin%]])</f>
        <v>4.5840351681802147</v>
      </c>
      <c r="AB103" s="4">
        <f>Games[[#This Row],[PreGmRate]]+Games[[#This Row],[RatingChange]]</f>
        <v>1627.0603568164415</v>
      </c>
      <c r="AC103" s="2">
        <f>IF(Games[[#This Row],[Type]]="R",IF(Games[[#This Row],[Result]]&gt;0.5,1,0),0)</f>
        <v>1</v>
      </c>
      <c r="AD103" s="2">
        <f>IF(Games[[#This Row],[Type]]="R",IF(Games[[#This Row],[Result]]&lt;0.5,1,0),0)</f>
        <v>0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43637</v>
      </c>
      <c r="B104" s="2">
        <v>2019</v>
      </c>
      <c r="C104" s="2">
        <f>COUNTIFS(Games[Team],Games[[#This Row],[Team]],Games[Season],Games[[#This Row],[Season]],Games[Date],"&lt;=" &amp; Games[[#This Row],[Date]])</f>
        <v>9</v>
      </c>
      <c r="D104" s="2" t="s">
        <v>79</v>
      </c>
      <c r="E104" s="2" t="s">
        <v>80</v>
      </c>
      <c r="F104" s="1" t="s">
        <v>63</v>
      </c>
      <c r="G104" s="1" t="s">
        <v>71</v>
      </c>
      <c r="H104" s="1" t="s">
        <v>81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4" s="2">
        <f>Games[[#This Row],[DaysOff]]-Games[[#This Row],[OppDaysOff]]</f>
        <v>-2</v>
      </c>
      <c r="L104" s="2">
        <f>Games[[#This Row],[OppDaysOff]]-Games[[#This Row],[DaysOff]]</f>
        <v>2</v>
      </c>
      <c r="M104" s="1">
        <f>MAX(-16, MIN(16, Games[[#This Row],[RestDiff]]*8))</f>
        <v>-16</v>
      </c>
      <c r="N104" s="1">
        <f>MAX(-16, MIN(16, Games[[#This Row],[OppRestDiff]]*8))</f>
        <v>16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1503.7568483496284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1600.2529622637451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0.22736923975307391</v>
      </c>
      <c r="R104" s="1">
        <v>62</v>
      </c>
      <c r="S104" s="1">
        <v>84</v>
      </c>
      <c r="T104" s="1">
        <v>0</v>
      </c>
      <c r="U104" s="1">
        <f>Games[[#This Row],[PointsFor]]-Games[[#This Row],[PointsAgainst]]</f>
        <v>-22</v>
      </c>
      <c r="V104" s="1">
        <f>IF(Games[[#This Row],[MOV]]&gt;0,1,IF(Games[[#This Row],[MOV]]=0,0.5,0))</f>
        <v>0</v>
      </c>
      <c r="W104" s="4">
        <f>((ABS(Games[[#This Row],[MOV]])+5)^0.6)/(12+0.01*(ABS(Games[[#This Row],[PreGmRate]]-Games[[#This Row],[OppPreGmRate]])))*IF(Games[[#This Row],[OT]]=1,0.9,1)</f>
        <v>0.55724610188231216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74.650000000000006</v>
      </c>
      <c r="Z104" s="4">
        <f>Games[[#This Row],[K]]*Games[[#This Row],[POMult]]</f>
        <v>74.650000000000006</v>
      </c>
      <c r="AA104" s="4">
        <f>(Games[[#This Row],[Keff]]*Games[[#This Row],[MOVMult]])*(Games[[#This Row],[Result]]-Games[[#This Row],[ExpectedWin%]])</f>
        <v>-9.4582014726367767</v>
      </c>
      <c r="AB104" s="4">
        <f>Games[[#This Row],[PreGmRate]]+Games[[#This Row],[RatingChange]]</f>
        <v>1494.2986468769916</v>
      </c>
      <c r="AC104" s="2">
        <f>IF(Games[[#This Row],[Type]]="R",IF(Games[[#This Row],[Result]]&gt;0.5,1,0),0)</f>
        <v>0</v>
      </c>
      <c r="AD104" s="2">
        <f>IF(Games[[#This Row],[Type]]="R",IF(Games[[#This Row],[Result]]&lt;0.5,1,0),0)</f>
        <v>1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43637</v>
      </c>
      <c r="B105" s="2">
        <v>2019</v>
      </c>
      <c r="C105" s="2">
        <f>COUNTIFS(Games[Team],Games[[#This Row],[Team]],Games[Season],Games[[#This Row],[Season]],Games[Date],"&lt;=" &amp; Games[[#This Row],[Date]])</f>
        <v>10</v>
      </c>
      <c r="D105" s="2" t="s">
        <v>79</v>
      </c>
      <c r="E105" s="2" t="s">
        <v>80</v>
      </c>
      <c r="F105" s="1" t="s">
        <v>71</v>
      </c>
      <c r="G105" s="1" t="s">
        <v>63</v>
      </c>
      <c r="H105" s="1" t="s">
        <v>82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5" s="2">
        <f>Games[[#This Row],[DaysOff]]-Games[[#This Row],[OppDaysOff]]</f>
        <v>2</v>
      </c>
      <c r="L105" s="2">
        <f>Games[[#This Row],[OppDaysOff]]-Games[[#This Row],[DaysOff]]</f>
        <v>-2</v>
      </c>
      <c r="M105" s="1">
        <f>MAX(-16, MIN(16, Games[[#This Row],[RestDiff]]*8))</f>
        <v>16</v>
      </c>
      <c r="N105" s="1">
        <f>MAX(-16, MIN(16, Games[[#This Row],[OppRestDiff]]*8))</f>
        <v>-16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1600.2529622637451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1503.7568483496284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0.77263076024692612</v>
      </c>
      <c r="R105" s="1">
        <v>84</v>
      </c>
      <c r="S105" s="1">
        <v>62</v>
      </c>
      <c r="T105" s="1">
        <v>0</v>
      </c>
      <c r="U105" s="1">
        <f>Games[[#This Row],[PointsFor]]-Games[[#This Row],[PointsAgainst]]</f>
        <v>22</v>
      </c>
      <c r="V105" s="1">
        <f>IF(Games[[#This Row],[MOV]]&gt;0,1,IF(Games[[#This Row],[MOV]]=0,0.5,0))</f>
        <v>1</v>
      </c>
      <c r="W105" s="4">
        <f>((ABS(Games[[#This Row],[MOV]])+5)^0.6)/(12+0.01*(ABS(Games[[#This Row],[PreGmRate]]-Games[[#This Row],[OppPreGmRate]])))*IF(Games[[#This Row],[OT]]=1,0.9,1)</f>
        <v>0.55724610188231216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74.5</v>
      </c>
      <c r="Z105" s="4">
        <f>Games[[#This Row],[K]]*Games[[#This Row],[POMult]]</f>
        <v>74.5</v>
      </c>
      <c r="AA105" s="4">
        <f>(Games[[#This Row],[Keff]]*Games[[#This Row],[MOVMult]])*(Games[[#This Row],[Result]]-Games[[#This Row],[ExpectedWin%]])</f>
        <v>9.4391963792557227</v>
      </c>
      <c r="AB105" s="4">
        <f>Games[[#This Row],[PreGmRate]]+Games[[#This Row],[RatingChange]]</f>
        <v>1609.6921586430008</v>
      </c>
      <c r="AC105" s="2">
        <f>IF(Games[[#This Row],[Type]]="R",IF(Games[[#This Row],[Result]]&gt;0.5,1,0),0)</f>
        <v>1</v>
      </c>
      <c r="AD105" s="2">
        <f>IF(Games[[#This Row],[Type]]="R",IF(Games[[#This Row],[Result]]&lt;0.5,1,0),0)</f>
        <v>0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43638</v>
      </c>
      <c r="B106" s="2">
        <v>2019</v>
      </c>
      <c r="C106" s="2">
        <f>COUNTIFS(Games[Team],Games[[#This Row],[Team]],Games[Season],Games[[#This Row],[Season]],Games[Date],"&lt;=" &amp; Games[[#This Row],[Date]])</f>
        <v>8</v>
      </c>
      <c r="D106" s="2" t="s">
        <v>79</v>
      </c>
      <c r="E106" s="2" t="s">
        <v>80</v>
      </c>
      <c r="F106" s="1" t="s">
        <v>85</v>
      </c>
      <c r="G106" s="1" t="s">
        <v>86</v>
      </c>
      <c r="H106" s="1" t="s">
        <v>81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6" s="2">
        <f>Games[[#This Row],[DaysOff]]-Games[[#This Row],[OppDaysOff]]</f>
        <v>0</v>
      </c>
      <c r="L106" s="2">
        <f>Games[[#This Row],[OppDaysOff]]-Games[[#This Row],[DaysOff]]</f>
        <v>0</v>
      </c>
      <c r="M106" s="1">
        <f>MAX(-16, MIN(16, Games[[#This Row],[RestDiff]]*8))</f>
        <v>0</v>
      </c>
      <c r="N106" s="1">
        <f>MAX(-16, MIN(16, Games[[#This Row],[OppRestDiff]]*8))</f>
        <v>0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1448.8588349957395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1479.0514666190825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0.34133613115963879</v>
      </c>
      <c r="R106" s="1">
        <v>68</v>
      </c>
      <c r="S106" s="1">
        <v>86</v>
      </c>
      <c r="T106" s="1">
        <v>0</v>
      </c>
      <c r="U106" s="1">
        <f>Games[[#This Row],[PointsFor]]-Games[[#This Row],[PointsAgainst]]</f>
        <v>-18</v>
      </c>
      <c r="V106" s="1">
        <f>IF(Games[[#This Row],[MOV]]&gt;0,1,IF(Games[[#This Row],[MOV]]=0,0.5,0))</f>
        <v>0</v>
      </c>
      <c r="W106" s="4">
        <f>((ABS(Games[[#This Row],[MOV]])+5)^0.6)/(12+0.01*(ABS(Games[[#This Row],[PreGmRate]]-Games[[#This Row],[OppPreGmRate]])))*IF(Games[[#This Row],[OT]]=1,0.9,1)</f>
        <v>0.53341298076681953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74.8</v>
      </c>
      <c r="Z106" s="4">
        <f>Games[[#This Row],[K]]*Games[[#This Row],[POMult]]</f>
        <v>74.8</v>
      </c>
      <c r="AA106" s="4">
        <f>(Games[[#This Row],[Keff]]*Games[[#This Row],[MOVMult]])*(Games[[#This Row],[Result]]-Games[[#This Row],[ExpectedWin%]])</f>
        <v>-13.619069612762718</v>
      </c>
      <c r="AB106" s="4">
        <f>Games[[#This Row],[PreGmRate]]+Games[[#This Row],[RatingChange]]</f>
        <v>1435.2397653829767</v>
      </c>
      <c r="AC106" s="2">
        <f>IF(Games[[#This Row],[Type]]="R",IF(Games[[#This Row],[Result]]&gt;0.5,1,0),0)</f>
        <v>0</v>
      </c>
      <c r="AD106" s="2">
        <f>IF(Games[[#This Row],[Type]]="R",IF(Games[[#This Row],[Result]]&lt;0.5,1,0),0)</f>
        <v>1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43638</v>
      </c>
      <c r="B107" s="2">
        <v>2019</v>
      </c>
      <c r="C107" s="2">
        <f>COUNTIFS(Games[Team],Games[[#This Row],[Team]],Games[Season],Games[[#This Row],[Season]],Games[Date],"&lt;=" &amp; Games[[#This Row],[Date]])</f>
        <v>9</v>
      </c>
      <c r="D107" s="2" t="s">
        <v>79</v>
      </c>
      <c r="E107" s="2" t="s">
        <v>80</v>
      </c>
      <c r="F107" s="1" t="s">
        <v>86</v>
      </c>
      <c r="G107" s="1" t="s">
        <v>85</v>
      </c>
      <c r="H107" s="1" t="s">
        <v>82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7" s="2">
        <f>Games[[#This Row],[DaysOff]]-Games[[#This Row],[OppDaysOff]]</f>
        <v>0</v>
      </c>
      <c r="L107" s="2">
        <f>Games[[#This Row],[OppDaysOff]]-Games[[#This Row],[DaysOff]]</f>
        <v>0</v>
      </c>
      <c r="M107" s="1">
        <f>MAX(-16, MIN(16, Games[[#This Row],[RestDiff]]*8))</f>
        <v>0</v>
      </c>
      <c r="N107" s="1">
        <f>MAX(-16, MIN(16, Games[[#This Row],[OppRestDiff]]*8))</f>
        <v>0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1479.0514666190825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1448.8588349957395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0.65866386884036121</v>
      </c>
      <c r="R107" s="1">
        <v>86</v>
      </c>
      <c r="S107" s="1">
        <v>68</v>
      </c>
      <c r="T107" s="1">
        <v>0</v>
      </c>
      <c r="U107" s="1">
        <f>Games[[#This Row],[PointsFor]]-Games[[#This Row],[PointsAgainst]]</f>
        <v>18</v>
      </c>
      <c r="V107" s="1">
        <f>IF(Games[[#This Row],[MOV]]&gt;0,1,IF(Games[[#This Row],[MOV]]=0,0.5,0))</f>
        <v>1</v>
      </c>
      <c r="W107" s="4">
        <f>((ABS(Games[[#This Row],[MOV]])+5)^0.6)/(12+0.01*(ABS(Games[[#This Row],[PreGmRate]]-Games[[#This Row],[OppPreGmRate]])))*IF(Games[[#This Row],[OT]]=1,0.9,1)</f>
        <v>0.53341298076681953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74.650000000000006</v>
      </c>
      <c r="Z107" s="4">
        <f>Games[[#This Row],[K]]*Games[[#This Row],[POMult]]</f>
        <v>74.650000000000006</v>
      </c>
      <c r="AA107" s="4">
        <f>(Games[[#This Row],[Keff]]*Games[[#This Row],[MOVMult]])*(Games[[#This Row],[Result]]-Games[[#This Row],[ExpectedWin%]])</f>
        <v>13.591758644287928</v>
      </c>
      <c r="AB107" s="4">
        <f>Games[[#This Row],[PreGmRate]]+Games[[#This Row],[RatingChange]]</f>
        <v>1492.6432252633704</v>
      </c>
      <c r="AC107" s="2">
        <f>IF(Games[[#This Row],[Type]]="R",IF(Games[[#This Row],[Result]]&gt;0.5,1,0),0)</f>
        <v>1</v>
      </c>
      <c r="AD107" s="2">
        <f>IF(Games[[#This Row],[Type]]="R",IF(Games[[#This Row],[Result]]&lt;0.5,1,0),0)</f>
        <v>0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43638</v>
      </c>
      <c r="B108" s="2">
        <v>2019</v>
      </c>
      <c r="C108" s="2">
        <f>COUNTIFS(Games[Team],Games[[#This Row],[Team]],Games[Season],Games[[#This Row],[Season]],Games[Date],"&lt;=" &amp; Games[[#This Row],[Date]])</f>
        <v>10</v>
      </c>
      <c r="D108" s="2" t="s">
        <v>79</v>
      </c>
      <c r="E108" s="2" t="s">
        <v>80</v>
      </c>
      <c r="F108" s="1" t="s">
        <v>60</v>
      </c>
      <c r="G108" s="1" t="s">
        <v>67</v>
      </c>
      <c r="H108" s="1" t="s">
        <v>81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08" s="2">
        <f>Games[[#This Row],[DaysOff]]-Games[[#This Row],[OppDaysOff]]</f>
        <v>-3</v>
      </c>
      <c r="L108" s="2">
        <f>Games[[#This Row],[OppDaysOff]]-Games[[#This Row],[DaysOff]]</f>
        <v>3</v>
      </c>
      <c r="M108" s="1">
        <f>MAX(-16, MIN(16, Games[[#This Row],[RestDiff]]*8))</f>
        <v>-16</v>
      </c>
      <c r="N108" s="1">
        <f>MAX(-16, MIN(16, Games[[#This Row],[OppRestDiff]]*8))</f>
        <v>16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1389.0327357964945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1498.7835326097807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0.21424479299364507</v>
      </c>
      <c r="R108" s="1">
        <v>83</v>
      </c>
      <c r="S108" s="1">
        <v>92</v>
      </c>
      <c r="T108" s="1">
        <v>0</v>
      </c>
      <c r="U108" s="1">
        <f>Games[[#This Row],[PointsFor]]-Games[[#This Row],[PointsAgainst]]</f>
        <v>-9</v>
      </c>
      <c r="V108" s="1">
        <f>IF(Games[[#This Row],[MOV]]&gt;0,1,IF(Games[[#This Row],[MOV]]=0,0.5,0))</f>
        <v>0</v>
      </c>
      <c r="W108" s="4">
        <f>((ABS(Games[[#This Row],[MOV]])+5)^0.6)/(12+0.01*(ABS(Games[[#This Row],[PreGmRate]]-Games[[#This Row],[OppPreGmRate]])))*IF(Games[[#This Row],[OT]]=1,0.9,1)</f>
        <v>0.37195307211264877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74.5</v>
      </c>
      <c r="Z108" s="4">
        <f>Games[[#This Row],[K]]*Games[[#This Row],[POMult]]</f>
        <v>74.5</v>
      </c>
      <c r="AA108" s="4">
        <f>(Games[[#This Row],[Keff]]*Games[[#This Row],[MOVMult]])*(Games[[#This Row],[Result]]-Games[[#This Row],[ExpectedWin%]])</f>
        <v>-5.9368311658902959</v>
      </c>
      <c r="AB108" s="4">
        <f>Games[[#This Row],[PreGmRate]]+Games[[#This Row],[RatingChange]]</f>
        <v>1383.0959046306043</v>
      </c>
      <c r="AC108" s="2">
        <f>IF(Games[[#This Row],[Type]]="R",IF(Games[[#This Row],[Result]]&gt;0.5,1,0),0)</f>
        <v>0</v>
      </c>
      <c r="AD108" s="2">
        <f>IF(Games[[#This Row],[Type]]="R",IF(Games[[#This Row],[Result]]&lt;0.5,1,0),0)</f>
        <v>1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43638</v>
      </c>
      <c r="B109" s="2">
        <v>2019</v>
      </c>
      <c r="C109" s="2">
        <f>COUNTIFS(Games[Team],Games[[#This Row],[Team]],Games[Season],Games[[#This Row],[Season]],Games[Date],"&lt;=" &amp; Games[[#This Row],[Date]])</f>
        <v>10</v>
      </c>
      <c r="D109" s="2" t="s">
        <v>79</v>
      </c>
      <c r="E109" s="2" t="s">
        <v>80</v>
      </c>
      <c r="F109" s="1" t="s">
        <v>67</v>
      </c>
      <c r="G109" s="1" t="s">
        <v>60</v>
      </c>
      <c r="H109" s="1" t="s">
        <v>82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5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9" s="2">
        <f>Games[[#This Row],[DaysOff]]-Games[[#This Row],[OppDaysOff]]</f>
        <v>3</v>
      </c>
      <c r="L109" s="2">
        <f>Games[[#This Row],[OppDaysOff]]-Games[[#This Row],[DaysOff]]</f>
        <v>-3</v>
      </c>
      <c r="M109" s="1">
        <f>MAX(-16, MIN(16, Games[[#This Row],[RestDiff]]*8))</f>
        <v>16</v>
      </c>
      <c r="N109" s="1">
        <f>MAX(-16, MIN(16, Games[[#This Row],[OppRestDiff]]*8))</f>
        <v>-16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1498.7835326097807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1389.0327357964945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0.78575520700635493</v>
      </c>
      <c r="R109" s="1">
        <v>92</v>
      </c>
      <c r="S109" s="1">
        <v>83</v>
      </c>
      <c r="T109" s="1">
        <v>0</v>
      </c>
      <c r="U109" s="1">
        <f>Games[[#This Row],[PointsFor]]-Games[[#This Row],[PointsAgainst]]</f>
        <v>9</v>
      </c>
      <c r="V109" s="1">
        <f>IF(Games[[#This Row],[MOV]]&gt;0,1,IF(Games[[#This Row],[MOV]]=0,0.5,0))</f>
        <v>1</v>
      </c>
      <c r="W109" s="4">
        <f>((ABS(Games[[#This Row],[MOV]])+5)^0.6)/(12+0.01*(ABS(Games[[#This Row],[PreGmRate]]-Games[[#This Row],[OppPreGmRate]])))*IF(Games[[#This Row],[OT]]=1,0.9,1)</f>
        <v>0.37195307211264877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74.5</v>
      </c>
      <c r="Z109" s="4">
        <f>Games[[#This Row],[K]]*Games[[#This Row],[POMult]]</f>
        <v>74.5</v>
      </c>
      <c r="AA109" s="4">
        <f>(Games[[#This Row],[Keff]]*Games[[#This Row],[MOVMult]])*(Games[[#This Row],[Result]]-Games[[#This Row],[ExpectedWin%]])</f>
        <v>5.9368311658902959</v>
      </c>
      <c r="AB109" s="4">
        <f>Games[[#This Row],[PreGmRate]]+Games[[#This Row],[RatingChange]]</f>
        <v>1504.7203637756709</v>
      </c>
      <c r="AC109" s="2">
        <f>IF(Games[[#This Row],[Type]]="R",IF(Games[[#This Row],[Result]]&gt;0.5,1,0),0)</f>
        <v>1</v>
      </c>
      <c r="AD109" s="2">
        <f>IF(Games[[#This Row],[Type]]="R",IF(Games[[#This Row],[Result]]&lt;0.5,1,0),0)</f>
        <v>0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43639</v>
      </c>
      <c r="B110" s="2">
        <v>2019</v>
      </c>
      <c r="C110" s="2">
        <f>COUNTIFS(Games[Team],Games[[#This Row],[Team]],Games[Season],Games[[#This Row],[Season]],Games[Date],"&lt;=" &amp; Games[[#This Row],[Date]])</f>
        <v>10</v>
      </c>
      <c r="D110" s="2" t="s">
        <v>79</v>
      </c>
      <c r="E110" s="2" t="s">
        <v>80</v>
      </c>
      <c r="F110" s="1" t="s">
        <v>65</v>
      </c>
      <c r="G110" s="1" t="s">
        <v>77</v>
      </c>
      <c r="H110" s="1" t="s">
        <v>81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0" s="2">
        <f>Games[[#This Row],[DaysOff]]-Games[[#This Row],[OppDaysOff]]</f>
        <v>1</v>
      </c>
      <c r="L110" s="2">
        <f>Games[[#This Row],[OppDaysOff]]-Games[[#This Row],[DaysOff]]</f>
        <v>-1</v>
      </c>
      <c r="M110" s="1">
        <f>MAX(-16, MIN(16, Games[[#This Row],[RestDiff]]*8))</f>
        <v>8</v>
      </c>
      <c r="N110" s="1">
        <f>MAX(-16, MIN(16, Games[[#This Row],[OppRestDiff]]*8))</f>
        <v>-8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1602.9832220117871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1452.734279465097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0.61620306736101171</v>
      </c>
      <c r="R110" s="1">
        <v>89</v>
      </c>
      <c r="S110" s="1">
        <v>73</v>
      </c>
      <c r="T110" s="1">
        <v>0</v>
      </c>
      <c r="U110" s="1">
        <f>Games[[#This Row],[PointsFor]]-Games[[#This Row],[PointsAgainst]]</f>
        <v>16</v>
      </c>
      <c r="V110" s="1">
        <f>IF(Games[[#This Row],[MOV]]&gt;0,1,IF(Games[[#This Row],[MOV]]=0,0.5,0))</f>
        <v>1</v>
      </c>
      <c r="W110" s="4">
        <f>((ABS(Games[[#This Row],[MOV]])+5)^0.6)/(12+0.01*(ABS(Games[[#This Row],[PreGmRate]]-Games[[#This Row],[OppPreGmRate]])))*IF(Games[[#This Row],[OT]]=1,0.9,1)</f>
        <v>0.46016939481112673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74.5</v>
      </c>
      <c r="Z110" s="4">
        <f>Games[[#This Row],[K]]*Games[[#This Row],[POMult]]</f>
        <v>74.5</v>
      </c>
      <c r="AA110" s="4">
        <f>(Games[[#This Row],[Keff]]*Games[[#This Row],[MOVMult]])*(Games[[#This Row],[Result]]-Games[[#This Row],[ExpectedWin%]])</f>
        <v>13.157564365602324</v>
      </c>
      <c r="AB110" s="4">
        <f>Games[[#This Row],[PreGmRate]]+Games[[#This Row],[RatingChange]]</f>
        <v>1616.1407863773895</v>
      </c>
      <c r="AC110" s="2">
        <f>IF(Games[[#This Row],[Type]]="R",IF(Games[[#This Row],[Result]]&gt;0.5,1,0),0)</f>
        <v>1</v>
      </c>
      <c r="AD110" s="2">
        <f>IF(Games[[#This Row],[Type]]="R",IF(Games[[#This Row],[Result]]&lt;0.5,1,0),0)</f>
        <v>0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43639</v>
      </c>
      <c r="B111" s="2">
        <v>2019</v>
      </c>
      <c r="C111" s="2">
        <f>COUNTIFS(Games[Team],Games[[#This Row],[Team]],Games[Season],Games[[#This Row],[Season]],Games[Date],"&lt;=" &amp; Games[[#This Row],[Date]])</f>
        <v>9</v>
      </c>
      <c r="D111" s="2" t="s">
        <v>79</v>
      </c>
      <c r="E111" s="2" t="s">
        <v>80</v>
      </c>
      <c r="F111" s="1" t="s">
        <v>77</v>
      </c>
      <c r="G111" s="1" t="s">
        <v>65</v>
      </c>
      <c r="H111" s="1" t="s">
        <v>82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1" s="2">
        <f>Games[[#This Row],[DaysOff]]-Games[[#This Row],[OppDaysOff]]</f>
        <v>-1</v>
      </c>
      <c r="L111" s="2">
        <f>Games[[#This Row],[OppDaysOff]]-Games[[#This Row],[DaysOff]]</f>
        <v>1</v>
      </c>
      <c r="M111" s="1">
        <f>MAX(-16, MIN(16, Games[[#This Row],[RestDiff]]*8))</f>
        <v>-8</v>
      </c>
      <c r="N111" s="1">
        <f>MAX(-16, MIN(16, Games[[#This Row],[OppRestDiff]]*8))</f>
        <v>8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1452.734279465097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1602.9832220117871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0.38379693263898818</v>
      </c>
      <c r="R111" s="1">
        <v>73</v>
      </c>
      <c r="S111" s="1">
        <v>89</v>
      </c>
      <c r="T111" s="1">
        <v>0</v>
      </c>
      <c r="U111" s="1">
        <f>Games[[#This Row],[PointsFor]]-Games[[#This Row],[PointsAgainst]]</f>
        <v>-16</v>
      </c>
      <c r="V111" s="1">
        <f>IF(Games[[#This Row],[MOV]]&gt;0,1,IF(Games[[#This Row],[MOV]]=0,0.5,0))</f>
        <v>0</v>
      </c>
      <c r="W111" s="4">
        <f>((ABS(Games[[#This Row],[MOV]])+5)^0.6)/(12+0.01*(ABS(Games[[#This Row],[PreGmRate]]-Games[[#This Row],[OppPreGmRate]])))*IF(Games[[#This Row],[OT]]=1,0.9,1)</f>
        <v>0.46016939481112673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74.650000000000006</v>
      </c>
      <c r="Z111" s="4">
        <f>Games[[#This Row],[K]]*Games[[#This Row],[POMult]]</f>
        <v>74.650000000000006</v>
      </c>
      <c r="AA111" s="4">
        <f>(Games[[#This Row],[Keff]]*Games[[#This Row],[MOVMult]])*(Games[[#This Row],[Result]]-Games[[#This Row],[ExpectedWin%]])</f>
        <v>-13.184056105935751</v>
      </c>
      <c r="AB111" s="4">
        <f>Games[[#This Row],[PreGmRate]]+Games[[#This Row],[RatingChange]]</f>
        <v>1439.5502233591612</v>
      </c>
      <c r="AC111" s="2">
        <f>IF(Games[[#This Row],[Type]]="R",IF(Games[[#This Row],[Result]]&gt;0.5,1,0),0)</f>
        <v>0</v>
      </c>
      <c r="AD111" s="2">
        <f>IF(Games[[#This Row],[Type]]="R",IF(Games[[#This Row],[Result]]&lt;0.5,1,0),0)</f>
        <v>1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43639</v>
      </c>
      <c r="B112" s="2">
        <v>2019</v>
      </c>
      <c r="C112" s="2">
        <f>COUNTIFS(Games[Team],Games[[#This Row],[Team]],Games[Season],Games[[#This Row],[Season]],Games[Date],"&lt;=" &amp; Games[[#This Row],[Date]])</f>
        <v>11</v>
      </c>
      <c r="D112" s="2" t="s">
        <v>79</v>
      </c>
      <c r="E112" s="2" t="s">
        <v>80</v>
      </c>
      <c r="F112" s="1" t="s">
        <v>74</v>
      </c>
      <c r="G112" s="1" t="s">
        <v>75</v>
      </c>
      <c r="H112" s="1" t="s">
        <v>81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2" s="2">
        <f>Games[[#This Row],[DaysOff]]-Games[[#This Row],[OppDaysOff]]</f>
        <v>0</v>
      </c>
      <c r="L112" s="2">
        <f>Games[[#This Row],[OppDaysOff]]-Games[[#This Row],[DaysOff]]</f>
        <v>0</v>
      </c>
      <c r="M112" s="1">
        <f>MAX(-16, MIN(16, Games[[#This Row],[RestDiff]]*8))</f>
        <v>0</v>
      </c>
      <c r="N112" s="1">
        <f>MAX(-16, MIN(16, Games[[#This Row],[OppRestDiff]]*8))</f>
        <v>0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1627.0603568164415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1478.0556711375191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0.5924727431834057</v>
      </c>
      <c r="R112" s="1">
        <v>75</v>
      </c>
      <c r="S112" s="1">
        <v>93</v>
      </c>
      <c r="T112" s="1">
        <v>0</v>
      </c>
      <c r="U112" s="1">
        <f>Games[[#This Row],[PointsFor]]-Games[[#This Row],[PointsAgainst]]</f>
        <v>-18</v>
      </c>
      <c r="V112" s="1">
        <f>IF(Games[[#This Row],[MOV]]&gt;0,1,IF(Games[[#This Row],[MOV]]=0,0.5,0))</f>
        <v>0</v>
      </c>
      <c r="W112" s="4">
        <f>((ABS(Games[[#This Row],[MOV]])+5)^0.6)/(12+0.01*(ABS(Games[[#This Row],[PreGmRate]]-Games[[#This Row],[OppPreGmRate]])))*IF(Games[[#This Row],[OT]]=1,0.9,1)</f>
        <v>0.48643323890408507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74.349999999999994</v>
      </c>
      <c r="Z112" s="4">
        <f>Games[[#This Row],[K]]*Games[[#This Row],[POMult]]</f>
        <v>74.349999999999994</v>
      </c>
      <c r="AA112" s="4">
        <f>(Games[[#This Row],[Keff]]*Games[[#This Row],[MOVMult]])*(Games[[#This Row],[Result]]-Games[[#This Row],[ExpectedWin%]])</f>
        <v>-21.427553674153007</v>
      </c>
      <c r="AB112" s="4">
        <f>Games[[#This Row],[PreGmRate]]+Games[[#This Row],[RatingChange]]</f>
        <v>1605.6328031422886</v>
      </c>
      <c r="AC112" s="2">
        <f>IF(Games[[#This Row],[Type]]="R",IF(Games[[#This Row],[Result]]&gt;0.5,1,0),0)</f>
        <v>0</v>
      </c>
      <c r="AD112" s="2">
        <f>IF(Games[[#This Row],[Type]]="R",IF(Games[[#This Row],[Result]]&lt;0.5,1,0),0)</f>
        <v>1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43639</v>
      </c>
      <c r="B113" s="2">
        <v>2019</v>
      </c>
      <c r="C113" s="2">
        <f>COUNTIFS(Games[Team],Games[[#This Row],[Team]],Games[Season],Games[[#This Row],[Season]],Games[Date],"&lt;=" &amp; Games[[#This Row],[Date]])</f>
        <v>9</v>
      </c>
      <c r="D113" s="2" t="s">
        <v>79</v>
      </c>
      <c r="E113" s="2" t="s">
        <v>80</v>
      </c>
      <c r="F113" s="1" t="s">
        <v>75</v>
      </c>
      <c r="G113" s="1" t="s">
        <v>74</v>
      </c>
      <c r="H113" s="1" t="s">
        <v>82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3" s="2">
        <f>Games[[#This Row],[DaysOff]]-Games[[#This Row],[OppDaysOff]]</f>
        <v>0</v>
      </c>
      <c r="L113" s="2">
        <f>Games[[#This Row],[OppDaysOff]]-Games[[#This Row],[DaysOff]]</f>
        <v>0</v>
      </c>
      <c r="M113" s="1">
        <f>MAX(-16, MIN(16, Games[[#This Row],[RestDiff]]*8))</f>
        <v>0</v>
      </c>
      <c r="N113" s="1">
        <f>MAX(-16, MIN(16, Games[[#This Row],[OppRestDiff]]*8))</f>
        <v>0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1478.0556711375191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1627.0603568164415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0.40752725681659424</v>
      </c>
      <c r="R113" s="1">
        <v>93</v>
      </c>
      <c r="S113" s="1">
        <v>75</v>
      </c>
      <c r="T113" s="1">
        <v>0</v>
      </c>
      <c r="U113" s="1">
        <f>Games[[#This Row],[PointsFor]]-Games[[#This Row],[PointsAgainst]]</f>
        <v>18</v>
      </c>
      <c r="V113" s="1">
        <f>IF(Games[[#This Row],[MOV]]&gt;0,1,IF(Games[[#This Row],[MOV]]=0,0.5,0))</f>
        <v>1</v>
      </c>
      <c r="W113" s="4">
        <f>((ABS(Games[[#This Row],[MOV]])+5)^0.6)/(12+0.01*(ABS(Games[[#This Row],[PreGmRate]]-Games[[#This Row],[OppPreGmRate]])))*IF(Games[[#This Row],[OT]]=1,0.9,1)</f>
        <v>0.48643323890408507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74.650000000000006</v>
      </c>
      <c r="Z113" s="4">
        <f>Games[[#This Row],[K]]*Games[[#This Row],[POMult]]</f>
        <v>74.650000000000006</v>
      </c>
      <c r="AA113" s="4">
        <f>(Games[[#This Row],[Keff]]*Games[[#This Row],[MOVMult]])*(Games[[#This Row],[Result]]-Games[[#This Row],[ExpectedWin%]])</f>
        <v>21.51401320478174</v>
      </c>
      <c r="AB113" s="4">
        <f>Games[[#This Row],[PreGmRate]]+Games[[#This Row],[RatingChange]]</f>
        <v>1499.5696843423009</v>
      </c>
      <c r="AC113" s="2">
        <f>IF(Games[[#This Row],[Type]]="R",IF(Games[[#This Row],[Result]]&gt;0.5,1,0),0)</f>
        <v>1</v>
      </c>
      <c r="AD113" s="2">
        <f>IF(Games[[#This Row],[Type]]="R",IF(Games[[#This Row],[Result]]&lt;0.5,1,0),0)</f>
        <v>0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43639</v>
      </c>
      <c r="B114" s="2">
        <v>2019</v>
      </c>
      <c r="C114" s="2">
        <f>COUNTIFS(Games[Team],Games[[#This Row],[Team]],Games[Season],Games[[#This Row],[Season]],Games[Date],"&lt;=" &amp; Games[[#This Row],[Date]])</f>
        <v>10</v>
      </c>
      <c r="D114" s="2" t="s">
        <v>79</v>
      </c>
      <c r="E114" s="2" t="s">
        <v>80</v>
      </c>
      <c r="F114" s="1" t="s">
        <v>63</v>
      </c>
      <c r="G114" s="1" t="s">
        <v>40</v>
      </c>
      <c r="H114" s="1" t="s">
        <v>81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4" s="2">
        <f>Games[[#This Row],[DaysOff]]-Games[[#This Row],[OppDaysOff]]</f>
        <v>-1</v>
      </c>
      <c r="L114" s="2">
        <f>Games[[#This Row],[OppDaysOff]]-Games[[#This Row],[DaysOff]]</f>
        <v>1</v>
      </c>
      <c r="M114" s="1">
        <f>MAX(-16, MIN(16, Games[[#This Row],[RestDiff]]*8))</f>
        <v>-8</v>
      </c>
      <c r="N114" s="1">
        <f>MAX(-16, MIN(16, Games[[#This Row],[OppRestDiff]]*8))</f>
        <v>8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1494.2986468769916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1488.2342719774565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0.36801617135175829</v>
      </c>
      <c r="R114" s="1">
        <v>72</v>
      </c>
      <c r="S114" s="1">
        <v>82</v>
      </c>
      <c r="T114" s="1">
        <v>0</v>
      </c>
      <c r="U114" s="1">
        <f>Games[[#This Row],[PointsFor]]-Games[[#This Row],[PointsAgainst]]</f>
        <v>-10</v>
      </c>
      <c r="V114" s="1">
        <f>IF(Games[[#This Row],[MOV]]&gt;0,1,IF(Games[[#This Row],[MOV]]=0,0.5,0))</f>
        <v>0</v>
      </c>
      <c r="W114" s="4">
        <f>((ABS(Games[[#This Row],[MOV]])+5)^0.6)/(12+0.01*(ABS(Games[[#This Row],[PreGmRate]]-Games[[#This Row],[OppPreGmRate]])))*IF(Games[[#This Row],[OT]]=1,0.9,1)</f>
        <v>0.42100210383963677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74.5</v>
      </c>
      <c r="Z114" s="4">
        <f>Games[[#This Row],[K]]*Games[[#This Row],[POMult]]</f>
        <v>74.5</v>
      </c>
      <c r="AA114" s="4">
        <f>(Games[[#This Row],[Keff]]*Games[[#This Row],[MOVMult]])*(Games[[#This Row],[Result]]-Games[[#This Row],[ExpectedWin%]])</f>
        <v>-11.542700887764338</v>
      </c>
      <c r="AB114" s="4">
        <f>Games[[#This Row],[PreGmRate]]+Games[[#This Row],[RatingChange]]</f>
        <v>1482.7559459892273</v>
      </c>
      <c r="AC114" s="2">
        <f>IF(Games[[#This Row],[Type]]="R",IF(Games[[#This Row],[Result]]&gt;0.5,1,0),0)</f>
        <v>0</v>
      </c>
      <c r="AD114" s="2">
        <f>IF(Games[[#This Row],[Type]]="R",IF(Games[[#This Row],[Result]]&lt;0.5,1,0),0)</f>
        <v>1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43639</v>
      </c>
      <c r="B115" s="2">
        <v>2019</v>
      </c>
      <c r="C115" s="2">
        <f>COUNTIFS(Games[Team],Games[[#This Row],[Team]],Games[Season],Games[[#This Row],[Season]],Games[Date],"&lt;=" &amp; Games[[#This Row],[Date]])</f>
        <v>8</v>
      </c>
      <c r="D115" s="2" t="s">
        <v>79</v>
      </c>
      <c r="E115" s="2" t="s">
        <v>80</v>
      </c>
      <c r="F115" s="1" t="s">
        <v>40</v>
      </c>
      <c r="G115" s="1" t="s">
        <v>63</v>
      </c>
      <c r="H115" s="1" t="s">
        <v>82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5" s="2">
        <f>Games[[#This Row],[DaysOff]]-Games[[#This Row],[OppDaysOff]]</f>
        <v>1</v>
      </c>
      <c r="L115" s="2">
        <f>Games[[#This Row],[OppDaysOff]]-Games[[#This Row],[DaysOff]]</f>
        <v>-1</v>
      </c>
      <c r="M115" s="1">
        <f>MAX(-16, MIN(16, Games[[#This Row],[RestDiff]]*8))</f>
        <v>8</v>
      </c>
      <c r="N115" s="1">
        <f>MAX(-16, MIN(16, Games[[#This Row],[OppRestDiff]]*8))</f>
        <v>-8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1488.2342719774565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1494.2986468769916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0.63198382864824176</v>
      </c>
      <c r="R115" s="1">
        <v>82</v>
      </c>
      <c r="S115" s="1">
        <v>72</v>
      </c>
      <c r="T115" s="1">
        <v>0</v>
      </c>
      <c r="U115" s="1">
        <f>Games[[#This Row],[PointsFor]]-Games[[#This Row],[PointsAgainst]]</f>
        <v>10</v>
      </c>
      <c r="V115" s="1">
        <f>IF(Games[[#This Row],[MOV]]&gt;0,1,IF(Games[[#This Row],[MOV]]=0,0.5,0))</f>
        <v>1</v>
      </c>
      <c r="W115" s="4">
        <f>((ABS(Games[[#This Row],[MOV]])+5)^0.6)/(12+0.01*(ABS(Games[[#This Row],[PreGmRate]]-Games[[#This Row],[OppPreGmRate]])))*IF(Games[[#This Row],[OT]]=1,0.9,1)</f>
        <v>0.42100210383963677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74.8</v>
      </c>
      <c r="Z115" s="4">
        <f>Games[[#This Row],[K]]*Games[[#This Row],[POMult]]</f>
        <v>74.8</v>
      </c>
      <c r="AA115" s="4">
        <f>(Games[[#This Row],[Keff]]*Games[[#This Row],[MOVMult]])*(Games[[#This Row],[Result]]-Games[[#This Row],[ExpectedWin%]])</f>
        <v>11.589181562480166</v>
      </c>
      <c r="AB115" s="4">
        <f>Games[[#This Row],[PreGmRate]]+Games[[#This Row],[RatingChange]]</f>
        <v>1499.8234535399367</v>
      </c>
      <c r="AC115" s="2">
        <f>IF(Games[[#This Row],[Type]]="R",IF(Games[[#This Row],[Result]]&gt;0.5,1,0),0)</f>
        <v>1</v>
      </c>
      <c r="AD115" s="2">
        <f>IF(Games[[#This Row],[Type]]="R",IF(Games[[#This Row],[Result]]&lt;0.5,1,0),0)</f>
        <v>0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43639</v>
      </c>
      <c r="B116" s="2">
        <v>2019</v>
      </c>
      <c r="C116" s="2">
        <f>COUNTIFS(Games[Team],Games[[#This Row],[Team]],Games[Season],Games[[#This Row],[Season]],Games[Date],"&lt;=" &amp; Games[[#This Row],[Date]])</f>
        <v>11</v>
      </c>
      <c r="D116" s="2" t="s">
        <v>79</v>
      </c>
      <c r="E116" s="2" t="s">
        <v>80</v>
      </c>
      <c r="F116" s="1" t="s">
        <v>69</v>
      </c>
      <c r="G116" s="1" t="s">
        <v>71</v>
      </c>
      <c r="H116" s="1" t="s">
        <v>81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6" s="2">
        <f>Games[[#This Row],[DaysOff]]-Games[[#This Row],[OppDaysOff]]</f>
        <v>0</v>
      </c>
      <c r="L116" s="2">
        <f>Games[[#This Row],[OppDaysOff]]-Games[[#This Row],[DaysOff]]</f>
        <v>0</v>
      </c>
      <c r="M116" s="1">
        <f>MAX(-16, MIN(16, Games[[#This Row],[RestDiff]]*8))</f>
        <v>0</v>
      </c>
      <c r="N116" s="1">
        <f>MAX(-16, MIN(16, Games[[#This Row],[OppRestDiff]]*8))</f>
        <v>0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1431.1727575766986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1609.6921586430008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0.18076351675139066</v>
      </c>
      <c r="R116" s="1">
        <v>61</v>
      </c>
      <c r="S116" s="1">
        <v>65</v>
      </c>
      <c r="T116" s="1">
        <v>0</v>
      </c>
      <c r="U116" s="1">
        <f>Games[[#This Row],[PointsFor]]-Games[[#This Row],[PointsAgainst]]</f>
        <v>-4</v>
      </c>
      <c r="V116" s="1">
        <f>IF(Games[[#This Row],[MOV]]&gt;0,1,IF(Games[[#This Row],[MOV]]=0,0.5,0))</f>
        <v>0</v>
      </c>
      <c r="W116" s="4">
        <f>((ABS(Games[[#This Row],[MOV]])+5)^0.6)/(12+0.01*(ABS(Games[[#This Row],[PreGmRate]]-Games[[#This Row],[OppPreGmRate]])))*IF(Games[[#This Row],[OT]]=1,0.9,1)</f>
        <v>0.27110193849689651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74.349999999999994</v>
      </c>
      <c r="Z116" s="4">
        <f>Games[[#This Row],[K]]*Games[[#This Row],[POMult]]</f>
        <v>74.349999999999994</v>
      </c>
      <c r="AA116" s="4">
        <f>(Games[[#This Row],[Keff]]*Games[[#This Row],[MOVMult]])*(Games[[#This Row],[Result]]-Games[[#This Row],[ExpectedWin%]])</f>
        <v>-3.6435470141908355</v>
      </c>
      <c r="AB116" s="4">
        <f>Games[[#This Row],[PreGmRate]]+Games[[#This Row],[RatingChange]]</f>
        <v>1427.5292105625078</v>
      </c>
      <c r="AC116" s="2">
        <f>IF(Games[[#This Row],[Type]]="R",IF(Games[[#This Row],[Result]]&gt;0.5,1,0),0)</f>
        <v>0</v>
      </c>
      <c r="AD116" s="2">
        <f>IF(Games[[#This Row],[Type]]="R",IF(Games[[#This Row],[Result]]&lt;0.5,1,0),0)</f>
        <v>1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43639</v>
      </c>
      <c r="B117" s="2">
        <v>2019</v>
      </c>
      <c r="C117" s="2">
        <f>COUNTIFS(Games[Team],Games[[#This Row],[Team]],Games[Season],Games[[#This Row],[Season]],Games[Date],"&lt;=" &amp; Games[[#This Row],[Date]])</f>
        <v>11</v>
      </c>
      <c r="D117" s="2" t="s">
        <v>79</v>
      </c>
      <c r="E117" s="2" t="s">
        <v>80</v>
      </c>
      <c r="F117" s="1" t="s">
        <v>71</v>
      </c>
      <c r="G117" s="1" t="s">
        <v>69</v>
      </c>
      <c r="H117" s="1" t="s">
        <v>82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7" s="2">
        <f>Games[[#This Row],[DaysOff]]-Games[[#This Row],[OppDaysOff]]</f>
        <v>0</v>
      </c>
      <c r="L117" s="2">
        <f>Games[[#This Row],[OppDaysOff]]-Games[[#This Row],[DaysOff]]</f>
        <v>0</v>
      </c>
      <c r="M117" s="1">
        <f>MAX(-16, MIN(16, Games[[#This Row],[RestDiff]]*8))</f>
        <v>0</v>
      </c>
      <c r="N117" s="1">
        <f>MAX(-16, MIN(16, Games[[#This Row],[OppRestDiff]]*8))</f>
        <v>0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1609.6921586430008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1431.1727575766986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0.81923648324860932</v>
      </c>
      <c r="R117" s="1">
        <v>65</v>
      </c>
      <c r="S117" s="1">
        <v>61</v>
      </c>
      <c r="T117" s="1">
        <v>0</v>
      </c>
      <c r="U117" s="1">
        <f>Games[[#This Row],[PointsFor]]-Games[[#This Row],[PointsAgainst]]</f>
        <v>4</v>
      </c>
      <c r="V117" s="1">
        <f>IF(Games[[#This Row],[MOV]]&gt;0,1,IF(Games[[#This Row],[MOV]]=0,0.5,0))</f>
        <v>1</v>
      </c>
      <c r="W117" s="4">
        <f>((ABS(Games[[#This Row],[MOV]])+5)^0.6)/(12+0.01*(ABS(Games[[#This Row],[PreGmRate]]-Games[[#This Row],[OppPreGmRate]])))*IF(Games[[#This Row],[OT]]=1,0.9,1)</f>
        <v>0.27110193849689651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74.349999999999994</v>
      </c>
      <c r="Z117" s="4">
        <f>Games[[#This Row],[K]]*Games[[#This Row],[POMult]]</f>
        <v>74.349999999999994</v>
      </c>
      <c r="AA117" s="4">
        <f>(Games[[#This Row],[Keff]]*Games[[#This Row],[MOVMult]])*(Games[[#This Row],[Result]]-Games[[#This Row],[ExpectedWin%]])</f>
        <v>3.6435470141908359</v>
      </c>
      <c r="AB117" s="4">
        <f>Games[[#This Row],[PreGmRate]]+Games[[#This Row],[RatingChange]]</f>
        <v>1613.3357056571915</v>
      </c>
      <c r="AC117" s="2">
        <f>IF(Games[[#This Row],[Type]]="R",IF(Games[[#This Row],[Result]]&gt;0.5,1,0),0)</f>
        <v>1</v>
      </c>
      <c r="AD117" s="2">
        <f>IF(Games[[#This Row],[Type]]="R",IF(Games[[#This Row],[Result]]&lt;0.5,1,0),0)</f>
        <v>0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43641</v>
      </c>
      <c r="B118" s="2">
        <v>2019</v>
      </c>
      <c r="C118" s="2">
        <f>COUNTIFS(Games[Team],Games[[#This Row],[Team]],Games[Season],Games[[#This Row],[Season]],Games[Date],"&lt;=" &amp; Games[[#This Row],[Date]])</f>
        <v>11</v>
      </c>
      <c r="D118" s="2" t="s">
        <v>79</v>
      </c>
      <c r="E118" s="2" t="s">
        <v>80</v>
      </c>
      <c r="F118" s="1" t="s">
        <v>67</v>
      </c>
      <c r="G118" s="1" t="s">
        <v>69</v>
      </c>
      <c r="H118" s="1" t="s">
        <v>81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8" s="2">
        <f>Games[[#This Row],[DaysOff]]-Games[[#This Row],[OppDaysOff]]</f>
        <v>1</v>
      </c>
      <c r="L118" s="2">
        <f>Games[[#This Row],[OppDaysOff]]-Games[[#This Row],[DaysOff]]</f>
        <v>-1</v>
      </c>
      <c r="M118" s="1">
        <f>MAX(-16, MIN(16, Games[[#This Row],[RestDiff]]*8))</f>
        <v>8</v>
      </c>
      <c r="N118" s="1">
        <f>MAX(-16, MIN(16, Games[[#This Row],[OppRestDiff]]*8))</f>
        <v>-8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1504.7203637756709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1427.5292105625078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0.51322404802520905</v>
      </c>
      <c r="R118" s="1">
        <v>78</v>
      </c>
      <c r="S118" s="1">
        <v>74</v>
      </c>
      <c r="T118" s="1">
        <v>0</v>
      </c>
      <c r="U118" s="1">
        <f>Games[[#This Row],[PointsFor]]-Games[[#This Row],[PointsAgainst]]</f>
        <v>4</v>
      </c>
      <c r="V118" s="1">
        <f>IF(Games[[#This Row],[MOV]]&gt;0,1,IF(Games[[#This Row],[MOV]]=0,0.5,0))</f>
        <v>1</v>
      </c>
      <c r="W118" s="4">
        <f>((ABS(Games[[#This Row],[MOV]])+5)^0.6)/(12+0.01*(ABS(Games[[#This Row],[PreGmRate]]-Games[[#This Row],[OppPreGmRate]])))*IF(Games[[#This Row],[OT]]=1,0.9,1)</f>
        <v>0.29261029638707614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74.349999999999994</v>
      </c>
      <c r="Z118" s="4">
        <f>Games[[#This Row],[K]]*Games[[#This Row],[POMult]]</f>
        <v>74.349999999999994</v>
      </c>
      <c r="AA118" s="4">
        <f>(Games[[#This Row],[Keff]]*Games[[#This Row],[MOVMult]])*(Games[[#This Row],[Result]]-Games[[#This Row],[ExpectedWin%]])</f>
        <v>10.590090992480414</v>
      </c>
      <c r="AB118" s="4">
        <f>Games[[#This Row],[PreGmRate]]+Games[[#This Row],[RatingChange]]</f>
        <v>1515.3104547681512</v>
      </c>
      <c r="AC118" s="2">
        <f>IF(Games[[#This Row],[Type]]="R",IF(Games[[#This Row],[Result]]&gt;0.5,1,0),0)</f>
        <v>1</v>
      </c>
      <c r="AD118" s="2">
        <f>IF(Games[[#This Row],[Type]]="R",IF(Games[[#This Row],[Result]]&lt;0.5,1,0),0)</f>
        <v>0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43641</v>
      </c>
      <c r="B119" s="2">
        <v>2019</v>
      </c>
      <c r="C119" s="2">
        <f>COUNTIFS(Games[Team],Games[[#This Row],[Team]],Games[Season],Games[[#This Row],[Season]],Games[Date],"&lt;=" &amp; Games[[#This Row],[Date]])</f>
        <v>12</v>
      </c>
      <c r="D119" s="2" t="s">
        <v>79</v>
      </c>
      <c r="E119" s="2" t="s">
        <v>80</v>
      </c>
      <c r="F119" s="1" t="s">
        <v>69</v>
      </c>
      <c r="G119" s="1" t="s">
        <v>67</v>
      </c>
      <c r="H119" s="1" t="s">
        <v>82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9" s="2">
        <f>Games[[#This Row],[DaysOff]]-Games[[#This Row],[OppDaysOff]]</f>
        <v>-1</v>
      </c>
      <c r="L119" s="2">
        <f>Games[[#This Row],[OppDaysOff]]-Games[[#This Row],[DaysOff]]</f>
        <v>1</v>
      </c>
      <c r="M119" s="1">
        <f>MAX(-16, MIN(16, Games[[#This Row],[RestDiff]]*8))</f>
        <v>-8</v>
      </c>
      <c r="N119" s="1">
        <f>MAX(-16, MIN(16, Games[[#This Row],[OppRestDiff]]*8))</f>
        <v>8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1427.5292105625078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1504.7203637756709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0.4867759519747909</v>
      </c>
      <c r="R119" s="1">
        <v>74</v>
      </c>
      <c r="S119" s="1">
        <v>78</v>
      </c>
      <c r="T119" s="1">
        <v>0</v>
      </c>
      <c r="U119" s="1">
        <f>Games[[#This Row],[PointsFor]]-Games[[#This Row],[PointsAgainst]]</f>
        <v>-4</v>
      </c>
      <c r="V119" s="1">
        <f>IF(Games[[#This Row],[MOV]]&gt;0,1,IF(Games[[#This Row],[MOV]]=0,0.5,0))</f>
        <v>0</v>
      </c>
      <c r="W119" s="4">
        <f>((ABS(Games[[#This Row],[MOV]])+5)^0.6)/(12+0.01*(ABS(Games[[#This Row],[PreGmRate]]-Games[[#This Row],[OppPreGmRate]])))*IF(Games[[#This Row],[OT]]=1,0.9,1)</f>
        <v>0.29261029638707614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74.2</v>
      </c>
      <c r="Z119" s="4">
        <f>Games[[#This Row],[K]]*Games[[#This Row],[POMult]]</f>
        <v>74.2</v>
      </c>
      <c r="AA119" s="4">
        <f>(Games[[#This Row],[Keff]]*Games[[#This Row],[MOVMult]])*(Games[[#This Row],[Result]]-Games[[#This Row],[ExpectedWin%]])</f>
        <v>-10.568725644143196</v>
      </c>
      <c r="AB119" s="4">
        <f>Games[[#This Row],[PreGmRate]]+Games[[#This Row],[RatingChange]]</f>
        <v>1416.9604849183647</v>
      </c>
      <c r="AC119" s="2">
        <f>IF(Games[[#This Row],[Type]]="R",IF(Games[[#This Row],[Result]]&gt;0.5,1,0),0)</f>
        <v>0</v>
      </c>
      <c r="AD119" s="2">
        <f>IF(Games[[#This Row],[Type]]="R",IF(Games[[#This Row],[Result]]&lt;0.5,1,0),0)</f>
        <v>1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43641</v>
      </c>
      <c r="B120" s="2">
        <v>2019</v>
      </c>
      <c r="C120" s="2">
        <f>COUNTIFS(Games[Team],Games[[#This Row],[Team]],Games[Season],Games[[#This Row],[Season]],Games[Date],"&lt;=" &amp; Games[[#This Row],[Date]])</f>
        <v>12</v>
      </c>
      <c r="D120" s="2" t="s">
        <v>79</v>
      </c>
      <c r="E120" s="2" t="s">
        <v>80</v>
      </c>
      <c r="F120" s="1" t="s">
        <v>71</v>
      </c>
      <c r="G120" s="1" t="s">
        <v>86</v>
      </c>
      <c r="H120" s="1" t="s">
        <v>81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0" s="2">
        <f>Games[[#This Row],[DaysOff]]-Games[[#This Row],[OppDaysOff]]</f>
        <v>-1</v>
      </c>
      <c r="L120" s="2">
        <f>Games[[#This Row],[OppDaysOff]]-Games[[#This Row],[DaysOff]]</f>
        <v>1</v>
      </c>
      <c r="M120" s="1">
        <f>MAX(-16, MIN(16, Games[[#This Row],[RestDiff]]*8))</f>
        <v>-8</v>
      </c>
      <c r="N120" s="1">
        <f>MAX(-16, MIN(16, Games[[#This Row],[OppRestDiff]]*8))</f>
        <v>8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1613.3357056571915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1492.6432252633704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0.52974371314698065</v>
      </c>
      <c r="R120" s="1">
        <v>56</v>
      </c>
      <c r="S120" s="1">
        <v>60</v>
      </c>
      <c r="T120" s="1">
        <v>0</v>
      </c>
      <c r="U120" s="1">
        <f>Games[[#This Row],[PointsFor]]-Games[[#This Row],[PointsAgainst]]</f>
        <v>-4</v>
      </c>
      <c r="V120" s="1">
        <f>IF(Games[[#This Row],[MOV]]&gt;0,1,IF(Games[[#This Row],[MOV]]=0,0.5,0))</f>
        <v>0</v>
      </c>
      <c r="W120" s="4">
        <f>((ABS(Games[[#This Row],[MOV]])+5)^0.6)/(12+0.01*(ABS(Games[[#This Row],[PreGmRate]]-Games[[#This Row],[OppPreGmRate]])))*IF(Games[[#This Row],[OT]]=1,0.9,1)</f>
        <v>0.28297221906890452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74.2</v>
      </c>
      <c r="Z120" s="4">
        <f>Games[[#This Row],[K]]*Games[[#This Row],[POMult]]</f>
        <v>74.2</v>
      </c>
      <c r="AA120" s="4">
        <f>(Games[[#This Row],[Keff]]*Games[[#This Row],[MOVMult]])*(Games[[#This Row],[Result]]-Games[[#This Row],[ExpectedWin%]])</f>
        <v>-11.122784350287573</v>
      </c>
      <c r="AB120" s="4">
        <f>Games[[#This Row],[PreGmRate]]+Games[[#This Row],[RatingChange]]</f>
        <v>1602.212921306904</v>
      </c>
      <c r="AC120" s="2">
        <f>IF(Games[[#This Row],[Type]]="R",IF(Games[[#This Row],[Result]]&gt;0.5,1,0),0)</f>
        <v>0</v>
      </c>
      <c r="AD120" s="2">
        <f>IF(Games[[#This Row],[Type]]="R",IF(Games[[#This Row],[Result]]&lt;0.5,1,0),0)</f>
        <v>1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43641</v>
      </c>
      <c r="B121" s="2">
        <v>2019</v>
      </c>
      <c r="C121" s="2">
        <f>COUNTIFS(Games[Team],Games[[#This Row],[Team]],Games[Season],Games[[#This Row],[Season]],Games[Date],"&lt;=" &amp; Games[[#This Row],[Date]])</f>
        <v>10</v>
      </c>
      <c r="D121" s="2" t="s">
        <v>79</v>
      </c>
      <c r="E121" s="2" t="s">
        <v>80</v>
      </c>
      <c r="F121" s="1" t="s">
        <v>86</v>
      </c>
      <c r="G121" s="1" t="s">
        <v>71</v>
      </c>
      <c r="H121" s="1" t="s">
        <v>82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1" s="2">
        <f>Games[[#This Row],[DaysOff]]-Games[[#This Row],[OppDaysOff]]</f>
        <v>1</v>
      </c>
      <c r="L121" s="2">
        <f>Games[[#This Row],[OppDaysOff]]-Games[[#This Row],[DaysOff]]</f>
        <v>-1</v>
      </c>
      <c r="M121" s="1">
        <f>MAX(-16, MIN(16, Games[[#This Row],[RestDiff]]*8))</f>
        <v>8</v>
      </c>
      <c r="N121" s="1">
        <f>MAX(-16, MIN(16, Games[[#This Row],[OppRestDiff]]*8))</f>
        <v>-8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1492.6432252633704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1613.3357056571915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0.47025628685301929</v>
      </c>
      <c r="R121" s="1">
        <v>60</v>
      </c>
      <c r="S121" s="1">
        <v>56</v>
      </c>
      <c r="T121" s="1">
        <v>0</v>
      </c>
      <c r="U121" s="1">
        <f>Games[[#This Row],[PointsFor]]-Games[[#This Row],[PointsAgainst]]</f>
        <v>4</v>
      </c>
      <c r="V121" s="1">
        <f>IF(Games[[#This Row],[MOV]]&gt;0,1,IF(Games[[#This Row],[MOV]]=0,0.5,0))</f>
        <v>1</v>
      </c>
      <c r="W121" s="4">
        <f>((ABS(Games[[#This Row],[MOV]])+5)^0.6)/(12+0.01*(ABS(Games[[#This Row],[PreGmRate]]-Games[[#This Row],[OppPreGmRate]])))*IF(Games[[#This Row],[OT]]=1,0.9,1)</f>
        <v>0.28297221906890452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74.5</v>
      </c>
      <c r="Z121" s="4">
        <f>Games[[#This Row],[K]]*Games[[#This Row],[POMult]]</f>
        <v>74.5</v>
      </c>
      <c r="AA121" s="4">
        <f>(Games[[#This Row],[Keff]]*Games[[#This Row],[MOVMult]])*(Games[[#This Row],[Result]]-Games[[#This Row],[ExpectedWin%]])</f>
        <v>11.167755176501673</v>
      </c>
      <c r="AB121" s="4">
        <f>Games[[#This Row],[PreGmRate]]+Games[[#This Row],[RatingChange]]</f>
        <v>1503.8109804398721</v>
      </c>
      <c r="AC121" s="2">
        <f>IF(Games[[#This Row],[Type]]="R",IF(Games[[#This Row],[Result]]&gt;0.5,1,0),0)</f>
        <v>1</v>
      </c>
      <c r="AD121" s="2">
        <f>IF(Games[[#This Row],[Type]]="R",IF(Games[[#This Row],[Result]]&lt;0.5,1,0),0)</f>
        <v>0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43642</v>
      </c>
      <c r="B122" s="2">
        <v>2019</v>
      </c>
      <c r="C122" s="2">
        <f>COUNTIFS(Games[Team],Games[[#This Row],[Team]],Games[Season],Games[[#This Row],[Season]],Games[Date],"&lt;=" &amp; Games[[#This Row],[Date]])</f>
        <v>11</v>
      </c>
      <c r="D122" s="2" t="s">
        <v>79</v>
      </c>
      <c r="E122" s="2" t="s">
        <v>80</v>
      </c>
      <c r="F122" s="1" t="s">
        <v>65</v>
      </c>
      <c r="G122" s="1" t="s">
        <v>75</v>
      </c>
      <c r="H122" s="1" t="s">
        <v>81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2" s="2">
        <f>Games[[#This Row],[DaysOff]]-Games[[#This Row],[OppDaysOff]]</f>
        <v>0</v>
      </c>
      <c r="L122" s="2">
        <f>Games[[#This Row],[OppDaysOff]]-Games[[#This Row],[DaysOff]]</f>
        <v>0</v>
      </c>
      <c r="M122" s="1">
        <f>MAX(-16, MIN(16, Games[[#This Row],[RestDiff]]*8))</f>
        <v>0</v>
      </c>
      <c r="N122" s="1">
        <f>MAX(-16, MIN(16, Games[[#This Row],[OppRestDiff]]*8))</f>
        <v>0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1616.1407863773895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1499.5696843423009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0.54673674811437256</v>
      </c>
      <c r="R122" s="1">
        <v>81</v>
      </c>
      <c r="S122" s="1">
        <v>74</v>
      </c>
      <c r="T122" s="1">
        <v>0</v>
      </c>
      <c r="U122" s="1">
        <f>Games[[#This Row],[PointsFor]]-Games[[#This Row],[PointsAgainst]]</f>
        <v>7</v>
      </c>
      <c r="V122" s="1">
        <f>IF(Games[[#This Row],[MOV]]&gt;0,1,IF(Games[[#This Row],[MOV]]=0,0.5,0))</f>
        <v>1</v>
      </c>
      <c r="W122" s="4">
        <f>((ABS(Games[[#This Row],[MOV]])+5)^0.6)/(12+0.01*(ABS(Games[[#This Row],[PreGmRate]]-Games[[#This Row],[OppPreGmRate]])))*IF(Games[[#This Row],[OT]]=1,0.9,1)</f>
        <v>0.33733735025633826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74.349999999999994</v>
      </c>
      <c r="Z122" s="4">
        <f>Games[[#This Row],[K]]*Games[[#This Row],[POMult]]</f>
        <v>74.349999999999994</v>
      </c>
      <c r="AA122" s="4">
        <f>(Games[[#This Row],[Keff]]*Games[[#This Row],[MOVMult]])*(Games[[#This Row],[Result]]-Games[[#This Row],[ExpectedWin%]])</f>
        <v>11.368310121141374</v>
      </c>
      <c r="AB122" s="4">
        <f>Games[[#This Row],[PreGmRate]]+Games[[#This Row],[RatingChange]]</f>
        <v>1627.5090964985309</v>
      </c>
      <c r="AC122" s="2">
        <f>IF(Games[[#This Row],[Type]]="R",IF(Games[[#This Row],[Result]]&gt;0.5,1,0),0)</f>
        <v>1</v>
      </c>
      <c r="AD122" s="2">
        <f>IF(Games[[#This Row],[Type]]="R",IF(Games[[#This Row],[Result]]&lt;0.5,1,0),0)</f>
        <v>0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43642</v>
      </c>
      <c r="B123" s="2">
        <v>2019</v>
      </c>
      <c r="C123" s="2">
        <f>COUNTIFS(Games[Team],Games[[#This Row],[Team]],Games[Season],Games[[#This Row],[Season]],Games[Date],"&lt;=" &amp; Games[[#This Row],[Date]])</f>
        <v>10</v>
      </c>
      <c r="D123" s="2" t="s">
        <v>79</v>
      </c>
      <c r="E123" s="2" t="s">
        <v>80</v>
      </c>
      <c r="F123" s="1" t="s">
        <v>75</v>
      </c>
      <c r="G123" s="1" t="s">
        <v>65</v>
      </c>
      <c r="H123" s="1" t="s">
        <v>82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3" s="2">
        <f>Games[[#This Row],[DaysOff]]-Games[[#This Row],[OppDaysOff]]</f>
        <v>0</v>
      </c>
      <c r="L123" s="2">
        <f>Games[[#This Row],[OppDaysOff]]-Games[[#This Row],[DaysOff]]</f>
        <v>0</v>
      </c>
      <c r="M123" s="1">
        <f>MAX(-16, MIN(16, Games[[#This Row],[RestDiff]]*8))</f>
        <v>0</v>
      </c>
      <c r="N123" s="1">
        <f>MAX(-16, MIN(16, Games[[#This Row],[OppRestDiff]]*8))</f>
        <v>0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1499.5696843423009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1616.1407863773895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0.45326325188562749</v>
      </c>
      <c r="R123" s="1">
        <v>74</v>
      </c>
      <c r="S123" s="1">
        <v>81</v>
      </c>
      <c r="T123" s="1">
        <v>0</v>
      </c>
      <c r="U123" s="1">
        <f>Games[[#This Row],[PointsFor]]-Games[[#This Row],[PointsAgainst]]</f>
        <v>-7</v>
      </c>
      <c r="V123" s="1">
        <f>IF(Games[[#This Row],[MOV]]&gt;0,1,IF(Games[[#This Row],[MOV]]=0,0.5,0))</f>
        <v>0</v>
      </c>
      <c r="W123" s="4">
        <f>((ABS(Games[[#This Row],[MOV]])+5)^0.6)/(12+0.01*(ABS(Games[[#This Row],[PreGmRate]]-Games[[#This Row],[OppPreGmRate]])))*IF(Games[[#This Row],[OT]]=1,0.9,1)</f>
        <v>0.33733735025633826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74.5</v>
      </c>
      <c r="Z123" s="4">
        <f>Games[[#This Row],[K]]*Games[[#This Row],[POMult]]</f>
        <v>74.5</v>
      </c>
      <c r="AA123" s="4">
        <f>(Games[[#This Row],[Keff]]*Games[[#This Row],[MOVMult]])*(Games[[#This Row],[Result]]-Games[[#This Row],[ExpectedWin%]])</f>
        <v>-11.391245514795326</v>
      </c>
      <c r="AB123" s="4">
        <f>Games[[#This Row],[PreGmRate]]+Games[[#This Row],[RatingChange]]</f>
        <v>1488.1784388275055</v>
      </c>
      <c r="AC123" s="2">
        <f>IF(Games[[#This Row],[Type]]="R",IF(Games[[#This Row],[Result]]&gt;0.5,1,0),0)</f>
        <v>0</v>
      </c>
      <c r="AD123" s="2">
        <f>IF(Games[[#This Row],[Type]]="R",IF(Games[[#This Row],[Result]]&lt;0.5,1,0),0)</f>
        <v>1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43642</v>
      </c>
      <c r="B124" s="2">
        <v>2019</v>
      </c>
      <c r="C124" s="2">
        <f>COUNTIFS(Games[Team],Games[[#This Row],[Team]],Games[Season],Games[[#This Row],[Season]],Games[Date],"&lt;=" &amp; Games[[#This Row],[Date]])</f>
        <v>12</v>
      </c>
      <c r="D124" s="2" t="s">
        <v>79</v>
      </c>
      <c r="E124" s="2" t="s">
        <v>80</v>
      </c>
      <c r="F124" s="1" t="s">
        <v>74</v>
      </c>
      <c r="G124" s="1" t="s">
        <v>85</v>
      </c>
      <c r="H124" s="1" t="s">
        <v>81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4" s="2">
        <f>Games[[#This Row],[DaysOff]]-Games[[#This Row],[OppDaysOff]]</f>
        <v>-1</v>
      </c>
      <c r="L124" s="2">
        <f>Games[[#This Row],[OppDaysOff]]-Games[[#This Row],[DaysOff]]</f>
        <v>1</v>
      </c>
      <c r="M124" s="1">
        <f>MAX(-16, MIN(16, Games[[#This Row],[RestDiff]]*8))</f>
        <v>-8</v>
      </c>
      <c r="N124" s="1">
        <f>MAX(-16, MIN(16, Games[[#This Row],[OppRestDiff]]*8))</f>
        <v>8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1605.6328031422886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1435.2397653829767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0.59993994818889496</v>
      </c>
      <c r="R124" s="1">
        <v>73</v>
      </c>
      <c r="S124" s="1">
        <v>74</v>
      </c>
      <c r="T124" s="1">
        <v>0</v>
      </c>
      <c r="U124" s="1">
        <f>Games[[#This Row],[PointsFor]]-Games[[#This Row],[PointsAgainst]]</f>
        <v>-1</v>
      </c>
      <c r="V124" s="1">
        <f>IF(Games[[#This Row],[MOV]]&gt;0,1,IF(Games[[#This Row],[MOV]]=0,0.5,0))</f>
        <v>0</v>
      </c>
      <c r="W124" s="4">
        <f>((ABS(Games[[#This Row],[MOV]])+5)^0.6)/(12+0.01*(ABS(Games[[#This Row],[PreGmRate]]-Games[[#This Row],[OppPreGmRate]])))*IF(Games[[#This Row],[OT]]=1,0.9,1)</f>
        <v>0.21381866156986104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74.2</v>
      </c>
      <c r="Z124" s="4">
        <f>Games[[#This Row],[K]]*Games[[#This Row],[POMult]]</f>
        <v>74.2</v>
      </c>
      <c r="AA124" s="4">
        <f>(Games[[#This Row],[Keff]]*Games[[#This Row],[MOVMult]])*(Games[[#This Row],[Result]]-Games[[#This Row],[ExpectedWin%]])</f>
        <v>-9.5182540704078651</v>
      </c>
      <c r="AB124" s="4">
        <f>Games[[#This Row],[PreGmRate]]+Games[[#This Row],[RatingChange]]</f>
        <v>1596.1145490718807</v>
      </c>
      <c r="AC124" s="2">
        <f>IF(Games[[#This Row],[Type]]="R",IF(Games[[#This Row],[Result]]&gt;0.5,1,0),0)</f>
        <v>0</v>
      </c>
      <c r="AD124" s="2">
        <f>IF(Games[[#This Row],[Type]]="R",IF(Games[[#This Row],[Result]]&lt;0.5,1,0),0)</f>
        <v>1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43642</v>
      </c>
      <c r="B125" s="2">
        <v>2019</v>
      </c>
      <c r="C125" s="2">
        <f>COUNTIFS(Games[Team],Games[[#This Row],[Team]],Games[Season],Games[[#This Row],[Season]],Games[Date],"&lt;=" &amp; Games[[#This Row],[Date]])</f>
        <v>9</v>
      </c>
      <c r="D125" s="2" t="s">
        <v>79</v>
      </c>
      <c r="E125" s="2" t="s">
        <v>80</v>
      </c>
      <c r="F125" s="1" t="s">
        <v>85</v>
      </c>
      <c r="G125" s="1" t="s">
        <v>74</v>
      </c>
      <c r="H125" s="1" t="s">
        <v>82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5" s="2">
        <f>Games[[#This Row],[DaysOff]]-Games[[#This Row],[OppDaysOff]]</f>
        <v>1</v>
      </c>
      <c r="L125" s="2">
        <f>Games[[#This Row],[OppDaysOff]]-Games[[#This Row],[DaysOff]]</f>
        <v>-1</v>
      </c>
      <c r="M125" s="1">
        <f>MAX(-16, MIN(16, Games[[#This Row],[RestDiff]]*8))</f>
        <v>8</v>
      </c>
      <c r="N125" s="1">
        <f>MAX(-16, MIN(16, Games[[#This Row],[OppRestDiff]]*8))</f>
        <v>-8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1435.2397653829767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1605.6328031422886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0.40006005181110504</v>
      </c>
      <c r="R125" s="1">
        <v>74</v>
      </c>
      <c r="S125" s="1">
        <v>73</v>
      </c>
      <c r="T125" s="1">
        <v>0</v>
      </c>
      <c r="U125" s="1">
        <f>Games[[#This Row],[PointsFor]]-Games[[#This Row],[PointsAgainst]]</f>
        <v>1</v>
      </c>
      <c r="V125" s="1">
        <f>IF(Games[[#This Row],[MOV]]&gt;0,1,IF(Games[[#This Row],[MOV]]=0,0.5,0))</f>
        <v>1</v>
      </c>
      <c r="W125" s="4">
        <f>((ABS(Games[[#This Row],[MOV]])+5)^0.6)/(12+0.01*(ABS(Games[[#This Row],[PreGmRate]]-Games[[#This Row],[OppPreGmRate]])))*IF(Games[[#This Row],[OT]]=1,0.9,1)</f>
        <v>0.21381866156986104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74.650000000000006</v>
      </c>
      <c r="Z125" s="4">
        <f>Games[[#This Row],[K]]*Games[[#This Row],[POMult]]</f>
        <v>74.650000000000006</v>
      </c>
      <c r="AA125" s="4">
        <f>(Games[[#This Row],[Keff]]*Games[[#This Row],[MOVMult]])*(Games[[#This Row],[Result]]-Games[[#This Row],[ExpectedWin%]])</f>
        <v>9.5759793309426833</v>
      </c>
      <c r="AB125" s="4">
        <f>Games[[#This Row],[PreGmRate]]+Games[[#This Row],[RatingChange]]</f>
        <v>1444.8157447139192</v>
      </c>
      <c r="AC125" s="2">
        <f>IF(Games[[#This Row],[Type]]="R",IF(Games[[#This Row],[Result]]&gt;0.5,1,0),0)</f>
        <v>1</v>
      </c>
      <c r="AD125" s="2">
        <f>IF(Games[[#This Row],[Type]]="R",IF(Games[[#This Row],[Result]]&lt;0.5,1,0),0)</f>
        <v>0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43643</v>
      </c>
      <c r="B126" s="2">
        <v>2019</v>
      </c>
      <c r="C126" s="2">
        <f>COUNTIFS(Games[Team],Games[[#This Row],[Team]],Games[Season],Games[[#This Row],[Season]],Games[Date],"&lt;=" &amp; Games[[#This Row],[Date]])</f>
        <v>11</v>
      </c>
      <c r="D126" s="2" t="s">
        <v>79</v>
      </c>
      <c r="E126" s="2" t="s">
        <v>80</v>
      </c>
      <c r="F126" s="1" t="s">
        <v>86</v>
      </c>
      <c r="G126" s="1" t="s">
        <v>63</v>
      </c>
      <c r="H126" s="1" t="s">
        <v>81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6" s="2">
        <f>Games[[#This Row],[DaysOff]]-Games[[#This Row],[OppDaysOff]]</f>
        <v>-2</v>
      </c>
      <c r="L126" s="2">
        <f>Games[[#This Row],[OppDaysOff]]-Games[[#This Row],[DaysOff]]</f>
        <v>2</v>
      </c>
      <c r="M126" s="1">
        <f>MAX(-16, MIN(16, Games[[#This Row],[RestDiff]]*8))</f>
        <v>-16</v>
      </c>
      <c r="N126" s="1">
        <f>MAX(-16, MIN(16, Games[[#This Row],[OppRestDiff]]*8))</f>
        <v>16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1503.8109804398721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1482.7559459892273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0.3666658656271905</v>
      </c>
      <c r="R126" s="1">
        <v>74</v>
      </c>
      <c r="S126" s="1">
        <v>86</v>
      </c>
      <c r="T126" s="1">
        <v>0</v>
      </c>
      <c r="U126" s="1">
        <f>Games[[#This Row],[PointsFor]]-Games[[#This Row],[PointsAgainst]]</f>
        <v>-12</v>
      </c>
      <c r="V126" s="1">
        <f>IF(Games[[#This Row],[MOV]]&gt;0,1,IF(Games[[#This Row],[MOV]]=0,0.5,0))</f>
        <v>0</v>
      </c>
      <c r="W126" s="4">
        <f>((ABS(Games[[#This Row],[MOV]])+5)^0.6)/(12+0.01*(ABS(Games[[#This Row],[PreGmRate]]-Games[[#This Row],[OppPreGmRate]])))*IF(Games[[#This Row],[OT]]=1,0.9,1)</f>
        <v>0.44826426020847226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74.349999999999994</v>
      </c>
      <c r="Z126" s="4">
        <f>Games[[#This Row],[K]]*Games[[#This Row],[POMult]]</f>
        <v>74.349999999999994</v>
      </c>
      <c r="AA126" s="4">
        <f>(Games[[#This Row],[Keff]]*Games[[#This Row],[MOVMult]])*(Games[[#This Row],[Result]]-Games[[#This Row],[ExpectedWin%]])</f>
        <v>-12.220404142980977</v>
      </c>
      <c r="AB126" s="4">
        <f>Games[[#This Row],[PreGmRate]]+Games[[#This Row],[RatingChange]]</f>
        <v>1491.5905762968912</v>
      </c>
      <c r="AC126" s="2">
        <f>IF(Games[[#This Row],[Type]]="R",IF(Games[[#This Row],[Result]]&gt;0.5,1,0),0)</f>
        <v>0</v>
      </c>
      <c r="AD126" s="2">
        <f>IF(Games[[#This Row],[Type]]="R",IF(Games[[#This Row],[Result]]&lt;0.5,1,0),0)</f>
        <v>1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43643</v>
      </c>
      <c r="B127" s="2">
        <v>2019</v>
      </c>
      <c r="C127" s="2">
        <f>COUNTIFS(Games[Team],Games[[#This Row],[Team]],Games[Season],Games[[#This Row],[Season]],Games[Date],"&lt;=" &amp; Games[[#This Row],[Date]])</f>
        <v>11</v>
      </c>
      <c r="D127" s="2" t="s">
        <v>79</v>
      </c>
      <c r="E127" s="2" t="s">
        <v>80</v>
      </c>
      <c r="F127" s="1" t="s">
        <v>63</v>
      </c>
      <c r="G127" s="1" t="s">
        <v>86</v>
      </c>
      <c r="H127" s="1" t="s">
        <v>82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7" s="2">
        <f>Games[[#This Row],[DaysOff]]-Games[[#This Row],[OppDaysOff]]</f>
        <v>2</v>
      </c>
      <c r="L127" s="2">
        <f>Games[[#This Row],[OppDaysOff]]-Games[[#This Row],[DaysOff]]</f>
        <v>-2</v>
      </c>
      <c r="M127" s="1">
        <f>MAX(-16, MIN(16, Games[[#This Row],[RestDiff]]*8))</f>
        <v>16</v>
      </c>
      <c r="N127" s="1">
        <f>MAX(-16, MIN(16, Games[[#This Row],[OppRestDiff]]*8))</f>
        <v>-16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1482.7559459892273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1503.8109804398721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0.6333341343728095</v>
      </c>
      <c r="R127" s="1">
        <v>86</v>
      </c>
      <c r="S127" s="1">
        <v>74</v>
      </c>
      <c r="T127" s="1">
        <v>0</v>
      </c>
      <c r="U127" s="1">
        <f>Games[[#This Row],[PointsFor]]-Games[[#This Row],[PointsAgainst]]</f>
        <v>12</v>
      </c>
      <c r="V127" s="1">
        <f>IF(Games[[#This Row],[MOV]]&gt;0,1,IF(Games[[#This Row],[MOV]]=0,0.5,0))</f>
        <v>1</v>
      </c>
      <c r="W127" s="4">
        <f>((ABS(Games[[#This Row],[MOV]])+5)^0.6)/(12+0.01*(ABS(Games[[#This Row],[PreGmRate]]-Games[[#This Row],[OppPreGmRate]])))*IF(Games[[#This Row],[OT]]=1,0.9,1)</f>
        <v>0.44826426020847226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74.349999999999994</v>
      </c>
      <c r="Z127" s="4">
        <f>Games[[#This Row],[K]]*Games[[#This Row],[POMult]]</f>
        <v>74.349999999999994</v>
      </c>
      <c r="AA127" s="4">
        <f>(Games[[#This Row],[Keff]]*Games[[#This Row],[MOVMult]])*(Games[[#This Row],[Result]]-Games[[#This Row],[ExpectedWin%]])</f>
        <v>12.220404142980977</v>
      </c>
      <c r="AB127" s="4">
        <f>Games[[#This Row],[PreGmRate]]+Games[[#This Row],[RatingChange]]</f>
        <v>1494.9763501322082</v>
      </c>
      <c r="AC127" s="2">
        <f>IF(Games[[#This Row],[Type]]="R",IF(Games[[#This Row],[Result]]&gt;0.5,1,0),0)</f>
        <v>1</v>
      </c>
      <c r="AD127" s="2">
        <f>IF(Games[[#This Row],[Type]]="R",IF(Games[[#This Row],[Result]]&lt;0.5,1,0),0)</f>
        <v>0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43644</v>
      </c>
      <c r="B128" s="2">
        <v>2019</v>
      </c>
      <c r="C128" s="2">
        <f>COUNTIFS(Games[Team],Games[[#This Row],[Team]],Games[Season],Games[[#This Row],[Season]],Games[Date],"&lt;=" &amp; Games[[#This Row],[Date]])</f>
        <v>10</v>
      </c>
      <c r="D128" s="2" t="s">
        <v>79</v>
      </c>
      <c r="E128" s="2" t="s">
        <v>80</v>
      </c>
      <c r="F128" s="1" t="s">
        <v>85</v>
      </c>
      <c r="G128" s="1" t="s">
        <v>60</v>
      </c>
      <c r="H128" s="1" t="s">
        <v>81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28" s="2">
        <f>Games[[#This Row],[DaysOff]]-Games[[#This Row],[OppDaysOff]]</f>
        <v>-4</v>
      </c>
      <c r="L128" s="2">
        <f>Games[[#This Row],[OppDaysOff]]-Games[[#This Row],[DaysOff]]</f>
        <v>4</v>
      </c>
      <c r="M128" s="1">
        <f>MAX(-16, MIN(16, Games[[#This Row],[RestDiff]]*8))</f>
        <v>-16</v>
      </c>
      <c r="N128" s="1">
        <f>MAX(-16, MIN(16, Games[[#This Row],[OppRestDiff]]*8))</f>
        <v>16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1444.8157447139192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1383.0959046306043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0.42251397551774456</v>
      </c>
      <c r="R128" s="1">
        <v>68</v>
      </c>
      <c r="S128" s="1">
        <v>69</v>
      </c>
      <c r="T128" s="1">
        <v>0</v>
      </c>
      <c r="U128" s="1">
        <f>Games[[#This Row],[PointsFor]]-Games[[#This Row],[PointsAgainst]]</f>
        <v>-1</v>
      </c>
      <c r="V128" s="1">
        <f>IF(Games[[#This Row],[MOV]]&gt;0,1,IF(Games[[#This Row],[MOV]]=0,0.5,0))</f>
        <v>0</v>
      </c>
      <c r="W128" s="4">
        <f>((ABS(Games[[#This Row],[MOV]])+5)^0.6)/(12+0.01*(ABS(Games[[#This Row],[PreGmRate]]-Games[[#This Row],[OppPreGmRate]])))*IF(Games[[#This Row],[OT]]=1,0.9,1)</f>
        <v>0.23223507774832441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74.5</v>
      </c>
      <c r="Z128" s="4">
        <f>Games[[#This Row],[K]]*Games[[#This Row],[POMult]]</f>
        <v>74.5</v>
      </c>
      <c r="AA128" s="4">
        <f>(Games[[#This Row],[Keff]]*Games[[#This Row],[MOVMult]])*(Games[[#This Row],[Result]]-Games[[#This Row],[ExpectedWin%]])</f>
        <v>-7.3101311635817208</v>
      </c>
      <c r="AB128" s="4">
        <f>Games[[#This Row],[PreGmRate]]+Games[[#This Row],[RatingChange]]</f>
        <v>1437.5056135503376</v>
      </c>
      <c r="AC128" s="2">
        <f>IF(Games[[#This Row],[Type]]="R",IF(Games[[#This Row],[Result]]&gt;0.5,1,0),0)</f>
        <v>0</v>
      </c>
      <c r="AD128" s="2">
        <f>IF(Games[[#This Row],[Type]]="R",IF(Games[[#This Row],[Result]]&lt;0.5,1,0),0)</f>
        <v>1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43644</v>
      </c>
      <c r="B129" s="2">
        <v>2019</v>
      </c>
      <c r="C129" s="2">
        <f>COUNTIFS(Games[Team],Games[[#This Row],[Team]],Games[Season],Games[[#This Row],[Season]],Games[Date],"&lt;=" &amp; Games[[#This Row],[Date]])</f>
        <v>11</v>
      </c>
      <c r="D129" s="2" t="s">
        <v>79</v>
      </c>
      <c r="E129" s="2" t="s">
        <v>80</v>
      </c>
      <c r="F129" s="1" t="s">
        <v>60</v>
      </c>
      <c r="G129" s="1" t="s">
        <v>85</v>
      </c>
      <c r="H129" s="1" t="s">
        <v>82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5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9" s="2">
        <f>Games[[#This Row],[DaysOff]]-Games[[#This Row],[OppDaysOff]]</f>
        <v>4</v>
      </c>
      <c r="L129" s="2">
        <f>Games[[#This Row],[OppDaysOff]]-Games[[#This Row],[DaysOff]]</f>
        <v>-4</v>
      </c>
      <c r="M129" s="1">
        <f>MAX(-16, MIN(16, Games[[#This Row],[RestDiff]]*8))</f>
        <v>16</v>
      </c>
      <c r="N129" s="1">
        <f>MAX(-16, MIN(16, Games[[#This Row],[OppRestDiff]]*8))</f>
        <v>-16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1383.0959046306043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1444.8157447139192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0.57748602448225539</v>
      </c>
      <c r="R129" s="1">
        <v>69</v>
      </c>
      <c r="S129" s="1">
        <v>68</v>
      </c>
      <c r="T129" s="1">
        <v>0</v>
      </c>
      <c r="U129" s="1">
        <f>Games[[#This Row],[PointsFor]]-Games[[#This Row],[PointsAgainst]]</f>
        <v>1</v>
      </c>
      <c r="V129" s="1">
        <f>IF(Games[[#This Row],[MOV]]&gt;0,1,IF(Games[[#This Row],[MOV]]=0,0.5,0))</f>
        <v>1</v>
      </c>
      <c r="W129" s="4">
        <f>((ABS(Games[[#This Row],[MOV]])+5)^0.6)/(12+0.01*(ABS(Games[[#This Row],[PreGmRate]]-Games[[#This Row],[OppPreGmRate]])))*IF(Games[[#This Row],[OT]]=1,0.9,1)</f>
        <v>0.23223507774832441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74.349999999999994</v>
      </c>
      <c r="Z129" s="4">
        <f>Games[[#This Row],[K]]*Games[[#This Row],[POMult]]</f>
        <v>74.349999999999994</v>
      </c>
      <c r="AA129" s="4">
        <f>(Games[[#This Row],[Keff]]*Games[[#This Row],[MOVMult]])*(Games[[#This Row],[Result]]-Games[[#This Row],[ExpectedWin%]])</f>
        <v>7.2954127786886023</v>
      </c>
      <c r="AB129" s="4">
        <f>Games[[#This Row],[PreGmRate]]+Games[[#This Row],[RatingChange]]</f>
        <v>1390.3913174092929</v>
      </c>
      <c r="AC129" s="2">
        <f>IF(Games[[#This Row],[Type]]="R",IF(Games[[#This Row],[Result]]&gt;0.5,1,0),0)</f>
        <v>1</v>
      </c>
      <c r="AD129" s="2">
        <f>IF(Games[[#This Row],[Type]]="R",IF(Games[[#This Row],[Result]]&lt;0.5,1,0),0)</f>
        <v>0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43644</v>
      </c>
      <c r="B130" s="2">
        <v>2019</v>
      </c>
      <c r="C130" s="2">
        <f>COUNTIFS(Games[Team],Games[[#This Row],[Team]],Games[Season],Games[[#This Row],[Season]],Games[Date],"&lt;=" &amp; Games[[#This Row],[Date]])</f>
        <v>13</v>
      </c>
      <c r="D130" s="2" t="s">
        <v>79</v>
      </c>
      <c r="E130" s="2" t="s">
        <v>80</v>
      </c>
      <c r="F130" s="1" t="s">
        <v>69</v>
      </c>
      <c r="G130" s="1" t="s">
        <v>40</v>
      </c>
      <c r="H130" s="1" t="s">
        <v>81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30" s="2">
        <f>Games[[#This Row],[DaysOff]]-Games[[#This Row],[OppDaysOff]]</f>
        <v>-2</v>
      </c>
      <c r="L130" s="2">
        <f>Games[[#This Row],[OppDaysOff]]-Games[[#This Row],[DaysOff]]</f>
        <v>2</v>
      </c>
      <c r="M130" s="1">
        <f>MAX(-16, MIN(16, Games[[#This Row],[RestDiff]]*8))</f>
        <v>-16</v>
      </c>
      <c r="N130" s="1">
        <f>MAX(-16, MIN(16, Games[[#This Row],[OppRestDiff]]*8))</f>
        <v>16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1416.9604849183647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1499.8234535399367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0.241449823465995</v>
      </c>
      <c r="R130" s="1">
        <v>69</v>
      </c>
      <c r="S130" s="1">
        <v>91</v>
      </c>
      <c r="T130" s="1">
        <v>0</v>
      </c>
      <c r="U130" s="1">
        <f>Games[[#This Row],[PointsFor]]-Games[[#This Row],[PointsAgainst]]</f>
        <v>-22</v>
      </c>
      <c r="V130" s="1">
        <f>IF(Games[[#This Row],[MOV]]&gt;0,1,IF(Games[[#This Row],[MOV]]=0,0.5,0))</f>
        <v>0</v>
      </c>
      <c r="W130" s="4">
        <f>((ABS(Games[[#This Row],[MOV]])+5)^0.6)/(12+0.01*(ABS(Games[[#This Row],[PreGmRate]]-Games[[#This Row],[OppPreGmRate]])))*IF(Games[[#This Row],[OT]]=1,0.9,1)</f>
        <v>0.56316802593537652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74.05</v>
      </c>
      <c r="Z130" s="4">
        <f>Games[[#This Row],[K]]*Games[[#This Row],[POMult]]</f>
        <v>74.05</v>
      </c>
      <c r="AA130" s="4">
        <f>(Games[[#This Row],[Keff]]*Games[[#This Row],[MOVMult]])*(Games[[#This Row],[Result]]-Games[[#This Row],[ExpectedWin%]])</f>
        <v>-10.069083553862617</v>
      </c>
      <c r="AB130" s="4">
        <f>Games[[#This Row],[PreGmRate]]+Games[[#This Row],[RatingChange]]</f>
        <v>1406.8914013645021</v>
      </c>
      <c r="AC130" s="2">
        <f>IF(Games[[#This Row],[Type]]="R",IF(Games[[#This Row],[Result]]&gt;0.5,1,0),0)</f>
        <v>0</v>
      </c>
      <c r="AD130" s="2">
        <f>IF(Games[[#This Row],[Type]]="R",IF(Games[[#This Row],[Result]]&lt;0.5,1,0),0)</f>
        <v>1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43644</v>
      </c>
      <c r="B131" s="2">
        <v>2019</v>
      </c>
      <c r="C131" s="2">
        <f>COUNTIFS(Games[Team],Games[[#This Row],[Team]],Games[Season],Games[[#This Row],[Season]],Games[Date],"&lt;=" &amp; Games[[#This Row],[Date]])</f>
        <v>9</v>
      </c>
      <c r="D131" s="2" t="s">
        <v>79</v>
      </c>
      <c r="E131" s="2" t="s">
        <v>80</v>
      </c>
      <c r="F131" s="1" t="s">
        <v>40</v>
      </c>
      <c r="G131" s="1" t="s">
        <v>69</v>
      </c>
      <c r="H131" s="1" t="s">
        <v>82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1" s="2">
        <f>Games[[#This Row],[DaysOff]]-Games[[#This Row],[OppDaysOff]]</f>
        <v>2</v>
      </c>
      <c r="L131" s="2">
        <f>Games[[#This Row],[OppDaysOff]]-Games[[#This Row],[DaysOff]]</f>
        <v>-2</v>
      </c>
      <c r="M131" s="1">
        <f>MAX(-16, MIN(16, Games[[#This Row],[RestDiff]]*8))</f>
        <v>16</v>
      </c>
      <c r="N131" s="1">
        <f>MAX(-16, MIN(16, Games[[#This Row],[OppRestDiff]]*8))</f>
        <v>-16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1499.8234535399367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1416.9604849183647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0.75855017653400492</v>
      </c>
      <c r="R131" s="1">
        <v>91</v>
      </c>
      <c r="S131" s="1">
        <v>69</v>
      </c>
      <c r="T131" s="1">
        <v>0</v>
      </c>
      <c r="U131" s="1">
        <f>Games[[#This Row],[PointsFor]]-Games[[#This Row],[PointsAgainst]]</f>
        <v>22</v>
      </c>
      <c r="V131" s="1">
        <f>IF(Games[[#This Row],[MOV]]&gt;0,1,IF(Games[[#This Row],[MOV]]=0,0.5,0))</f>
        <v>1</v>
      </c>
      <c r="W131" s="4">
        <f>((ABS(Games[[#This Row],[MOV]])+5)^0.6)/(12+0.01*(ABS(Games[[#This Row],[PreGmRate]]-Games[[#This Row],[OppPreGmRate]])))*IF(Games[[#This Row],[OT]]=1,0.9,1)</f>
        <v>0.56316802593537652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74.650000000000006</v>
      </c>
      <c r="Z131" s="4">
        <f>Games[[#This Row],[K]]*Games[[#This Row],[POMult]]</f>
        <v>74.650000000000006</v>
      </c>
      <c r="AA131" s="4">
        <f>(Games[[#This Row],[Keff]]*Games[[#This Row],[MOVMult]])*(Games[[#This Row],[Result]]-Games[[#This Row],[ExpectedWin%]])</f>
        <v>10.150669646128895</v>
      </c>
      <c r="AB131" s="4">
        <f>Games[[#This Row],[PreGmRate]]+Games[[#This Row],[RatingChange]]</f>
        <v>1509.9741231860655</v>
      </c>
      <c r="AC131" s="2">
        <f>IF(Games[[#This Row],[Type]]="R",IF(Games[[#This Row],[Result]]&gt;0.5,1,0),0)</f>
        <v>1</v>
      </c>
      <c r="AD131" s="2">
        <f>IF(Games[[#This Row],[Type]]="R",IF(Games[[#This Row],[Result]]&lt;0.5,1,0),0)</f>
        <v>0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43644</v>
      </c>
      <c r="B132" s="2">
        <v>2019</v>
      </c>
      <c r="C132" s="2">
        <f>COUNTIFS(Games[Team],Games[[#This Row],[Team]],Games[Season],Games[[#This Row],[Season]],Games[Date],"&lt;=" &amp; Games[[#This Row],[Date]])</f>
        <v>11</v>
      </c>
      <c r="D132" s="2" t="s">
        <v>79</v>
      </c>
      <c r="E132" s="2" t="s">
        <v>80</v>
      </c>
      <c r="F132" s="1" t="s">
        <v>75</v>
      </c>
      <c r="G132" s="1" t="s">
        <v>71</v>
      </c>
      <c r="H132" s="1" t="s">
        <v>81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2" s="2">
        <f>Games[[#This Row],[DaysOff]]-Games[[#This Row],[OppDaysOff]]</f>
        <v>-1</v>
      </c>
      <c r="L132" s="2">
        <f>Games[[#This Row],[OppDaysOff]]-Games[[#This Row],[DaysOff]]</f>
        <v>1</v>
      </c>
      <c r="M132" s="1">
        <f>MAX(-16, MIN(16, Games[[#This Row],[RestDiff]]*8))</f>
        <v>-8</v>
      </c>
      <c r="N132" s="1">
        <f>MAX(-16, MIN(16, Games[[#This Row],[OppRestDiff]]*8))</f>
        <v>8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1488.1784388275055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1602.212921306904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0.22581731837957045</v>
      </c>
      <c r="R132" s="1">
        <v>76</v>
      </c>
      <c r="S132" s="1">
        <v>79</v>
      </c>
      <c r="T132" s="1">
        <v>0</v>
      </c>
      <c r="U132" s="1">
        <f>Games[[#This Row],[PointsFor]]-Games[[#This Row],[PointsAgainst]]</f>
        <v>-3</v>
      </c>
      <c r="V132" s="1">
        <f>IF(Games[[#This Row],[MOV]]&gt;0,1,IF(Games[[#This Row],[MOV]]=0,0.5,0))</f>
        <v>0</v>
      </c>
      <c r="W132" s="4">
        <f>((ABS(Games[[#This Row],[MOV]])+5)^0.6)/(12+0.01*(ABS(Games[[#This Row],[PreGmRate]]-Games[[#This Row],[OppPreGmRate]])))*IF(Games[[#This Row],[OT]]=1,0.9,1)</f>
        <v>0.26500082757448418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74.349999999999994</v>
      </c>
      <c r="Z132" s="4">
        <f>Games[[#This Row],[K]]*Games[[#This Row],[POMult]]</f>
        <v>74.349999999999994</v>
      </c>
      <c r="AA132" s="4">
        <f>(Games[[#This Row],[Keff]]*Games[[#This Row],[MOVMult]])*(Games[[#This Row],[Result]]-Games[[#This Row],[ExpectedWin%]])</f>
        <v>-4.4492360642794662</v>
      </c>
      <c r="AB132" s="4">
        <f>Games[[#This Row],[PreGmRate]]+Games[[#This Row],[RatingChange]]</f>
        <v>1483.7292027632261</v>
      </c>
      <c r="AC132" s="2">
        <f>IF(Games[[#This Row],[Type]]="R",IF(Games[[#This Row],[Result]]&gt;0.5,1,0),0)</f>
        <v>0</v>
      </c>
      <c r="AD132" s="2">
        <f>IF(Games[[#This Row],[Type]]="R",IF(Games[[#This Row],[Result]]&lt;0.5,1,0),0)</f>
        <v>1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43644</v>
      </c>
      <c r="B133" s="2">
        <v>2019</v>
      </c>
      <c r="C133" s="2">
        <f>COUNTIFS(Games[Team],Games[[#This Row],[Team]],Games[Season],Games[[#This Row],[Season]],Games[Date],"&lt;=" &amp; Games[[#This Row],[Date]])</f>
        <v>13</v>
      </c>
      <c r="D133" s="2" t="s">
        <v>79</v>
      </c>
      <c r="E133" s="2" t="s">
        <v>80</v>
      </c>
      <c r="F133" s="1" t="s">
        <v>71</v>
      </c>
      <c r="G133" s="1" t="s">
        <v>75</v>
      </c>
      <c r="H133" s="1" t="s">
        <v>82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3" s="2">
        <f>Games[[#This Row],[DaysOff]]-Games[[#This Row],[OppDaysOff]]</f>
        <v>1</v>
      </c>
      <c r="L133" s="2">
        <f>Games[[#This Row],[OppDaysOff]]-Games[[#This Row],[DaysOff]]</f>
        <v>-1</v>
      </c>
      <c r="M133" s="1">
        <f>MAX(-16, MIN(16, Games[[#This Row],[RestDiff]]*8))</f>
        <v>8</v>
      </c>
      <c r="N133" s="1">
        <f>MAX(-16, MIN(16, Games[[#This Row],[OppRestDiff]]*8))</f>
        <v>-8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1602.212921306904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1488.1784388275055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0.77418268162042947</v>
      </c>
      <c r="R133" s="1">
        <v>79</v>
      </c>
      <c r="S133" s="1">
        <v>76</v>
      </c>
      <c r="T133" s="1">
        <v>0</v>
      </c>
      <c r="U133" s="1">
        <f>Games[[#This Row],[PointsFor]]-Games[[#This Row],[PointsAgainst]]</f>
        <v>3</v>
      </c>
      <c r="V133" s="1">
        <f>IF(Games[[#This Row],[MOV]]&gt;0,1,IF(Games[[#This Row],[MOV]]=0,0.5,0))</f>
        <v>1</v>
      </c>
      <c r="W133" s="4">
        <f>((ABS(Games[[#This Row],[MOV]])+5)^0.6)/(12+0.01*(ABS(Games[[#This Row],[PreGmRate]]-Games[[#This Row],[OppPreGmRate]])))*IF(Games[[#This Row],[OT]]=1,0.9,1)</f>
        <v>0.26500082757448418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74.05</v>
      </c>
      <c r="Z133" s="4">
        <f>Games[[#This Row],[K]]*Games[[#This Row],[POMult]]</f>
        <v>74.05</v>
      </c>
      <c r="AA133" s="4">
        <f>(Games[[#This Row],[Keff]]*Games[[#This Row],[MOVMult]])*(Games[[#This Row],[Result]]-Games[[#This Row],[ExpectedWin%]])</f>
        <v>4.4312835314040973</v>
      </c>
      <c r="AB133" s="4">
        <f>Games[[#This Row],[PreGmRate]]+Games[[#This Row],[RatingChange]]</f>
        <v>1606.644204838308</v>
      </c>
      <c r="AC133" s="2">
        <f>IF(Games[[#This Row],[Type]]="R",IF(Games[[#This Row],[Result]]&gt;0.5,1,0),0)</f>
        <v>1</v>
      </c>
      <c r="AD133" s="2">
        <f>IF(Games[[#This Row],[Type]]="R",IF(Games[[#This Row],[Result]]&lt;0.5,1,0),0)</f>
        <v>0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43645</v>
      </c>
      <c r="B134" s="2">
        <v>2019</v>
      </c>
      <c r="C134" s="2">
        <f>COUNTIFS(Games[Team],Games[[#This Row],[Team]],Games[Season],Games[[#This Row],[Season]],Games[Date],"&lt;=" &amp; Games[[#This Row],[Date]])</f>
        <v>14</v>
      </c>
      <c r="D134" s="2" t="s">
        <v>79</v>
      </c>
      <c r="E134" s="2" t="s">
        <v>80</v>
      </c>
      <c r="F134" s="1" t="s">
        <v>69</v>
      </c>
      <c r="G134" s="1" t="s">
        <v>86</v>
      </c>
      <c r="H134" s="1" t="s">
        <v>81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4" s="2">
        <f>Games[[#This Row],[DaysOff]]-Games[[#This Row],[OppDaysOff]]</f>
        <v>-1</v>
      </c>
      <c r="L134" s="2">
        <f>Games[[#This Row],[OppDaysOff]]-Games[[#This Row],[DaysOff]]</f>
        <v>1</v>
      </c>
      <c r="M134" s="1">
        <f>MAX(-16, MIN(16, Games[[#This Row],[RestDiff]]*8))</f>
        <v>-8</v>
      </c>
      <c r="N134" s="1">
        <f>MAX(-16, MIN(16, Games[[#This Row],[OppRestDiff]]*8))</f>
        <v>8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1406.8914013645021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1491.5905762968912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0.256695750151192</v>
      </c>
      <c r="R134" s="1">
        <v>97</v>
      </c>
      <c r="S134" s="1">
        <v>102</v>
      </c>
      <c r="T134" s="1">
        <v>1</v>
      </c>
      <c r="U134" s="1">
        <f>Games[[#This Row],[PointsFor]]-Games[[#This Row],[PointsAgainst]]</f>
        <v>-5</v>
      </c>
      <c r="V134" s="1">
        <f>IF(Games[[#This Row],[MOV]]&gt;0,1,IF(Games[[#This Row],[MOV]]=0,0.5,0))</f>
        <v>0</v>
      </c>
      <c r="W134" s="4">
        <f>((ABS(Games[[#This Row],[MOV]])+5)^0.6)/(12+0.01*(ABS(Games[[#This Row],[PreGmRate]]-Games[[#This Row],[OppPreGmRate]])))*IF(Games[[#This Row],[OT]]=1,0.9,1)</f>
        <v>0.27889521569670495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73.900000000000006</v>
      </c>
      <c r="Z134" s="4">
        <f>Games[[#This Row],[K]]*Games[[#This Row],[POMult]]</f>
        <v>73.900000000000006</v>
      </c>
      <c r="AA134" s="4">
        <f>(Games[[#This Row],[Keff]]*Games[[#This Row],[MOVMult]])*(Games[[#This Row],[Result]]-Games[[#This Row],[ExpectedWin%]])</f>
        <v>-5.2905909072457851</v>
      </c>
      <c r="AB134" s="4">
        <f>Games[[#This Row],[PreGmRate]]+Games[[#This Row],[RatingChange]]</f>
        <v>1401.6008104572563</v>
      </c>
      <c r="AC134" s="2">
        <f>IF(Games[[#This Row],[Type]]="R",IF(Games[[#This Row],[Result]]&gt;0.5,1,0),0)</f>
        <v>0</v>
      </c>
      <c r="AD134" s="2">
        <f>IF(Games[[#This Row],[Type]]="R",IF(Games[[#This Row],[Result]]&lt;0.5,1,0),0)</f>
        <v>1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43645</v>
      </c>
      <c r="B135" s="2">
        <v>2019</v>
      </c>
      <c r="C135" s="2">
        <f>COUNTIFS(Games[Team],Games[[#This Row],[Team]],Games[Season],Games[[#This Row],[Season]],Games[Date],"&lt;=" &amp; Games[[#This Row],[Date]])</f>
        <v>12</v>
      </c>
      <c r="D135" s="2" t="s">
        <v>79</v>
      </c>
      <c r="E135" s="2" t="s">
        <v>80</v>
      </c>
      <c r="F135" s="1" t="s">
        <v>86</v>
      </c>
      <c r="G135" s="1" t="s">
        <v>69</v>
      </c>
      <c r="H135" s="1" t="s">
        <v>82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5" s="2">
        <f>Games[[#This Row],[DaysOff]]-Games[[#This Row],[OppDaysOff]]</f>
        <v>1</v>
      </c>
      <c r="L135" s="2">
        <f>Games[[#This Row],[OppDaysOff]]-Games[[#This Row],[DaysOff]]</f>
        <v>-1</v>
      </c>
      <c r="M135" s="1">
        <f>MAX(-16, MIN(16, Games[[#This Row],[RestDiff]]*8))</f>
        <v>8</v>
      </c>
      <c r="N135" s="1">
        <f>MAX(-16, MIN(16, Games[[#This Row],[OppRestDiff]]*8))</f>
        <v>-8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1491.5905762968912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1406.8914013645021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0.74330424984880794</v>
      </c>
      <c r="R135" s="1">
        <v>102</v>
      </c>
      <c r="S135" s="1">
        <v>97</v>
      </c>
      <c r="T135" s="1">
        <v>1</v>
      </c>
      <c r="U135" s="1">
        <f>Games[[#This Row],[PointsFor]]-Games[[#This Row],[PointsAgainst]]</f>
        <v>5</v>
      </c>
      <c r="V135" s="1">
        <f>IF(Games[[#This Row],[MOV]]&gt;0,1,IF(Games[[#This Row],[MOV]]=0,0.5,0))</f>
        <v>1</v>
      </c>
      <c r="W135" s="4">
        <f>((ABS(Games[[#This Row],[MOV]])+5)^0.6)/(12+0.01*(ABS(Games[[#This Row],[PreGmRate]]-Games[[#This Row],[OppPreGmRate]])))*IF(Games[[#This Row],[OT]]=1,0.9,1)</f>
        <v>0.27889521569670495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74.2</v>
      </c>
      <c r="Z135" s="4">
        <f>Games[[#This Row],[K]]*Games[[#This Row],[POMult]]</f>
        <v>74.2</v>
      </c>
      <c r="AA135" s="4">
        <f>(Games[[#This Row],[Keff]]*Games[[#This Row],[MOVMult]])*(Games[[#This Row],[Result]]-Games[[#This Row],[ExpectedWin%]])</f>
        <v>5.3120682722278394</v>
      </c>
      <c r="AB135" s="4">
        <f>Games[[#This Row],[PreGmRate]]+Games[[#This Row],[RatingChange]]</f>
        <v>1496.902644569119</v>
      </c>
      <c r="AC135" s="2">
        <f>IF(Games[[#This Row],[Type]]="R",IF(Games[[#This Row],[Result]]&gt;0.5,1,0),0)</f>
        <v>1</v>
      </c>
      <c r="AD135" s="2">
        <f>IF(Games[[#This Row],[Type]]="R",IF(Games[[#This Row],[Result]]&lt;0.5,1,0),0)</f>
        <v>0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43645</v>
      </c>
      <c r="B136" s="2">
        <v>2019</v>
      </c>
      <c r="C136" s="2">
        <f>COUNTIFS(Games[Team],Games[[#This Row],[Team]],Games[Season],Games[[#This Row],[Season]],Games[Date],"&lt;=" &amp; Games[[#This Row],[Date]])</f>
        <v>13</v>
      </c>
      <c r="D136" s="2" t="s">
        <v>79</v>
      </c>
      <c r="E136" s="2" t="s">
        <v>80</v>
      </c>
      <c r="F136" s="1" t="s">
        <v>74</v>
      </c>
      <c r="G136" s="1" t="s">
        <v>65</v>
      </c>
      <c r="H136" s="1" t="s">
        <v>81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6" s="2">
        <f>Games[[#This Row],[DaysOff]]-Games[[#This Row],[OppDaysOff]]</f>
        <v>0</v>
      </c>
      <c r="L136" s="2">
        <f>Games[[#This Row],[OppDaysOff]]-Games[[#This Row],[DaysOff]]</f>
        <v>0</v>
      </c>
      <c r="M136" s="1">
        <f>MAX(-16, MIN(16, Games[[#This Row],[RestDiff]]*8))</f>
        <v>0</v>
      </c>
      <c r="N136" s="1">
        <f>MAX(-16, MIN(16, Games[[#This Row],[OppRestDiff]]*8))</f>
        <v>0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1596.1145490718807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1627.5090964985309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0.33978232218784343</v>
      </c>
      <c r="R136" s="1">
        <v>59</v>
      </c>
      <c r="S136" s="1">
        <v>102</v>
      </c>
      <c r="T136" s="1">
        <v>0</v>
      </c>
      <c r="U136" s="1">
        <f>Games[[#This Row],[PointsFor]]-Games[[#This Row],[PointsAgainst]]</f>
        <v>-43</v>
      </c>
      <c r="V136" s="1">
        <f>IF(Games[[#This Row],[MOV]]&gt;0,1,IF(Games[[#This Row],[MOV]]=0,0.5,0))</f>
        <v>0</v>
      </c>
      <c r="W136" s="4">
        <f>((ABS(Games[[#This Row],[MOV]])+5)^0.6)/(12+0.01*(ABS(Games[[#This Row],[PreGmRate]]-Games[[#This Row],[OppPreGmRate]])))*IF(Games[[#This Row],[OT]]=1,0.9,1)</f>
        <v>0.82860493627564236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74.05</v>
      </c>
      <c r="Z136" s="4">
        <f>Games[[#This Row],[K]]*Games[[#This Row],[POMult]]</f>
        <v>74.05</v>
      </c>
      <c r="AA136" s="4">
        <f>(Games[[#This Row],[Keff]]*Games[[#This Row],[MOVMult]])*(Games[[#This Row],[Result]]-Games[[#This Row],[ExpectedWin%]])</f>
        <v>-20.84843016285074</v>
      </c>
      <c r="AB136" s="4">
        <f>Games[[#This Row],[PreGmRate]]+Games[[#This Row],[RatingChange]]</f>
        <v>1575.26611890903</v>
      </c>
      <c r="AC136" s="2">
        <f>IF(Games[[#This Row],[Type]]="R",IF(Games[[#This Row],[Result]]&gt;0.5,1,0),0)</f>
        <v>0</v>
      </c>
      <c r="AD136" s="2">
        <f>IF(Games[[#This Row],[Type]]="R",IF(Games[[#This Row],[Result]]&lt;0.5,1,0),0)</f>
        <v>1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43645</v>
      </c>
      <c r="B137" s="2">
        <v>2019</v>
      </c>
      <c r="C137" s="2">
        <f>COUNTIFS(Games[Team],Games[[#This Row],[Team]],Games[Season],Games[[#This Row],[Season]],Games[Date],"&lt;=" &amp; Games[[#This Row],[Date]])</f>
        <v>12</v>
      </c>
      <c r="D137" s="2" t="s">
        <v>79</v>
      </c>
      <c r="E137" s="2" t="s">
        <v>80</v>
      </c>
      <c r="F137" s="1" t="s">
        <v>65</v>
      </c>
      <c r="G137" s="1" t="s">
        <v>74</v>
      </c>
      <c r="H137" s="1" t="s">
        <v>82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7" s="2">
        <f>Games[[#This Row],[DaysOff]]-Games[[#This Row],[OppDaysOff]]</f>
        <v>0</v>
      </c>
      <c r="L137" s="2">
        <f>Games[[#This Row],[OppDaysOff]]-Games[[#This Row],[DaysOff]]</f>
        <v>0</v>
      </c>
      <c r="M137" s="1">
        <f>MAX(-16, MIN(16, Games[[#This Row],[RestDiff]]*8))</f>
        <v>0</v>
      </c>
      <c r="N137" s="1">
        <f>MAX(-16, MIN(16, Games[[#This Row],[OppRestDiff]]*8))</f>
        <v>0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1627.5090964985309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1596.1145490718807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0.66021767781215657</v>
      </c>
      <c r="R137" s="1">
        <v>102</v>
      </c>
      <c r="S137" s="1">
        <v>59</v>
      </c>
      <c r="T137" s="1">
        <v>0</v>
      </c>
      <c r="U137" s="1">
        <f>Games[[#This Row],[PointsFor]]-Games[[#This Row],[PointsAgainst]]</f>
        <v>43</v>
      </c>
      <c r="V137" s="1">
        <f>IF(Games[[#This Row],[MOV]]&gt;0,1,IF(Games[[#This Row],[MOV]]=0,0.5,0))</f>
        <v>1</v>
      </c>
      <c r="W137" s="4">
        <f>((ABS(Games[[#This Row],[MOV]])+5)^0.6)/(12+0.01*(ABS(Games[[#This Row],[PreGmRate]]-Games[[#This Row],[OppPreGmRate]])))*IF(Games[[#This Row],[OT]]=1,0.9,1)</f>
        <v>0.82860493627564236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74.2</v>
      </c>
      <c r="Z137" s="4">
        <f>Games[[#This Row],[K]]*Games[[#This Row],[POMult]]</f>
        <v>74.2</v>
      </c>
      <c r="AA137" s="4">
        <f>(Games[[#This Row],[Keff]]*Games[[#This Row],[MOVMult]])*(Games[[#This Row],[Result]]-Games[[#This Row],[ExpectedWin%]])</f>
        <v>20.890661959264346</v>
      </c>
      <c r="AB137" s="4">
        <f>Games[[#This Row],[PreGmRate]]+Games[[#This Row],[RatingChange]]</f>
        <v>1648.3997584577953</v>
      </c>
      <c r="AC137" s="2">
        <f>IF(Games[[#This Row],[Type]]="R",IF(Games[[#This Row],[Result]]&gt;0.5,1,0),0)</f>
        <v>1</v>
      </c>
      <c r="AD137" s="2">
        <f>IF(Games[[#This Row],[Type]]="R",IF(Games[[#This Row],[Result]]&lt;0.5,1,0),0)</f>
        <v>0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43646</v>
      </c>
      <c r="B138" s="2">
        <v>2019</v>
      </c>
      <c r="C138" s="2">
        <f>COUNTIFS(Games[Team],Games[[#This Row],[Team]],Games[Season],Games[[#This Row],[Season]],Games[Date],"&lt;=" &amp; Games[[#This Row],[Date]])</f>
        <v>12</v>
      </c>
      <c r="D138" s="2" t="s">
        <v>79</v>
      </c>
      <c r="E138" s="2" t="s">
        <v>80</v>
      </c>
      <c r="F138" s="1" t="s">
        <v>60</v>
      </c>
      <c r="G138" s="1" t="s">
        <v>77</v>
      </c>
      <c r="H138" s="1" t="s">
        <v>81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38" s="2">
        <f>Games[[#This Row],[DaysOff]]-Games[[#This Row],[OppDaysOff]]</f>
        <v>-5</v>
      </c>
      <c r="L138" s="2">
        <f>Games[[#This Row],[OppDaysOff]]-Games[[#This Row],[DaysOff]]</f>
        <v>5</v>
      </c>
      <c r="M138" s="1">
        <f>MAX(-16, MIN(16, Games[[#This Row],[RestDiff]]*8))</f>
        <v>-16</v>
      </c>
      <c r="N138" s="1">
        <f>MAX(-16, MIN(16, Games[[#This Row],[OppRestDiff]]*8))</f>
        <v>16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1390.3913174092929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1439.5502233591612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0.27873781823830712</v>
      </c>
      <c r="R138" s="1">
        <v>74</v>
      </c>
      <c r="S138" s="1">
        <v>58</v>
      </c>
      <c r="T138" s="1">
        <v>0</v>
      </c>
      <c r="U138" s="1">
        <f>Games[[#This Row],[PointsFor]]-Games[[#This Row],[PointsAgainst]]</f>
        <v>16</v>
      </c>
      <c r="V138" s="1">
        <f>IF(Games[[#This Row],[MOV]]&gt;0,1,IF(Games[[#This Row],[MOV]]=0,0.5,0))</f>
        <v>1</v>
      </c>
      <c r="W138" s="4">
        <f>((ABS(Games[[#This Row],[MOV]])+5)^0.6)/(12+0.01*(ABS(Games[[#This Row],[PreGmRate]]-Games[[#This Row],[OppPreGmRate]])))*IF(Games[[#This Row],[OT]]=1,0.9,1)</f>
        <v>0.49740928538119095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74.2</v>
      </c>
      <c r="Z138" s="4">
        <f>Games[[#This Row],[K]]*Games[[#This Row],[POMult]]</f>
        <v>74.2</v>
      </c>
      <c r="AA138" s="4">
        <f>(Games[[#This Row],[Keff]]*Games[[#This Row],[MOVMult]])*(Games[[#This Row],[Result]]-Games[[#This Row],[ExpectedWin%]])</f>
        <v>26.620177975070124</v>
      </c>
      <c r="AB138" s="4">
        <f>Games[[#This Row],[PreGmRate]]+Games[[#This Row],[RatingChange]]</f>
        <v>1417.0114953843631</v>
      </c>
      <c r="AC138" s="2">
        <f>IF(Games[[#This Row],[Type]]="R",IF(Games[[#This Row],[Result]]&gt;0.5,1,0),0)</f>
        <v>1</v>
      </c>
      <c r="AD138" s="2">
        <f>IF(Games[[#This Row],[Type]]="R",IF(Games[[#This Row],[Result]]&lt;0.5,1,0),0)</f>
        <v>0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43646</v>
      </c>
      <c r="B139" s="2">
        <v>2019</v>
      </c>
      <c r="C139" s="2">
        <f>COUNTIFS(Games[Team],Games[[#This Row],[Team]],Games[Season],Games[[#This Row],[Season]],Games[Date],"&lt;=" &amp; Games[[#This Row],[Date]])</f>
        <v>10</v>
      </c>
      <c r="D139" s="2" t="s">
        <v>79</v>
      </c>
      <c r="E139" s="2" t="s">
        <v>80</v>
      </c>
      <c r="F139" s="1" t="s">
        <v>77</v>
      </c>
      <c r="G139" s="1" t="s">
        <v>60</v>
      </c>
      <c r="H139" s="1" t="s">
        <v>82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6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9" s="2">
        <f>Games[[#This Row],[DaysOff]]-Games[[#This Row],[OppDaysOff]]</f>
        <v>5</v>
      </c>
      <c r="L139" s="2">
        <f>Games[[#This Row],[OppDaysOff]]-Games[[#This Row],[DaysOff]]</f>
        <v>-5</v>
      </c>
      <c r="M139" s="1">
        <f>MAX(-16, MIN(16, Games[[#This Row],[RestDiff]]*8))</f>
        <v>16</v>
      </c>
      <c r="N139" s="1">
        <f>MAX(-16, MIN(16, Games[[#This Row],[OppRestDiff]]*8))</f>
        <v>-16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1439.5502233591612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1390.3913174092929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0.72126218176169277</v>
      </c>
      <c r="R139" s="1">
        <v>58</v>
      </c>
      <c r="S139" s="1">
        <v>74</v>
      </c>
      <c r="T139" s="1">
        <v>0</v>
      </c>
      <c r="U139" s="1">
        <f>Games[[#This Row],[PointsFor]]-Games[[#This Row],[PointsAgainst]]</f>
        <v>-16</v>
      </c>
      <c r="V139" s="1">
        <f>IF(Games[[#This Row],[MOV]]&gt;0,1,IF(Games[[#This Row],[MOV]]=0,0.5,0))</f>
        <v>0</v>
      </c>
      <c r="W139" s="4">
        <f>((ABS(Games[[#This Row],[MOV]])+5)^0.6)/(12+0.01*(ABS(Games[[#This Row],[PreGmRate]]-Games[[#This Row],[OppPreGmRate]])))*IF(Games[[#This Row],[OT]]=1,0.9,1)</f>
        <v>0.49740928538119095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74.5</v>
      </c>
      <c r="Z139" s="4">
        <f>Games[[#This Row],[K]]*Games[[#This Row],[POMult]]</f>
        <v>74.5</v>
      </c>
      <c r="AA139" s="4">
        <f>(Games[[#This Row],[Keff]]*Games[[#This Row],[MOVMult]])*(Games[[#This Row],[Result]]-Games[[#This Row],[ExpectedWin%]])</f>
        <v>-26.727806726990888</v>
      </c>
      <c r="AB139" s="4">
        <f>Games[[#This Row],[PreGmRate]]+Games[[#This Row],[RatingChange]]</f>
        <v>1412.8224166321704</v>
      </c>
      <c r="AC139" s="2">
        <f>IF(Games[[#This Row],[Type]]="R",IF(Games[[#This Row],[Result]]&gt;0.5,1,0),0)</f>
        <v>0</v>
      </c>
      <c r="AD139" s="2">
        <f>IF(Games[[#This Row],[Type]]="R",IF(Games[[#This Row],[Result]]&lt;0.5,1,0),0)</f>
        <v>1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43646</v>
      </c>
      <c r="B140" s="2">
        <v>2019</v>
      </c>
      <c r="C140" s="2">
        <f>COUNTIFS(Games[Team],Games[[#This Row],[Team]],Games[Season],Games[[#This Row],[Season]],Games[Date],"&lt;=" &amp; Games[[#This Row],[Date]])</f>
        <v>12</v>
      </c>
      <c r="D140" s="2" t="s">
        <v>79</v>
      </c>
      <c r="E140" s="2" t="s">
        <v>80</v>
      </c>
      <c r="F140" s="1" t="s">
        <v>67</v>
      </c>
      <c r="G140" s="1" t="s">
        <v>85</v>
      </c>
      <c r="H140" s="1" t="s">
        <v>81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0" s="2">
        <f>Games[[#This Row],[DaysOff]]-Games[[#This Row],[OppDaysOff]]</f>
        <v>3</v>
      </c>
      <c r="L140" s="2">
        <f>Games[[#This Row],[OppDaysOff]]-Games[[#This Row],[DaysOff]]</f>
        <v>-3</v>
      </c>
      <c r="M140" s="1">
        <f>MAX(-16, MIN(16, Games[[#This Row],[RestDiff]]*8))</f>
        <v>16</v>
      </c>
      <c r="N140" s="1">
        <f>MAX(-16, MIN(16, Games[[#This Row],[OppRestDiff]]*8))</f>
        <v>-16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1515.3104547681512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1437.5056135503376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0.53706801639011503</v>
      </c>
      <c r="R140" s="1">
        <v>86</v>
      </c>
      <c r="S140" s="1">
        <v>89</v>
      </c>
      <c r="T140" s="1">
        <v>0</v>
      </c>
      <c r="U140" s="1">
        <f>Games[[#This Row],[PointsFor]]-Games[[#This Row],[PointsAgainst]]</f>
        <v>-3</v>
      </c>
      <c r="V140" s="1">
        <f>IF(Games[[#This Row],[MOV]]&gt;0,1,IF(Games[[#This Row],[MOV]]=0,0.5,0))</f>
        <v>0</v>
      </c>
      <c r="W140" s="4">
        <f>((ABS(Games[[#This Row],[MOV]])+5)^0.6)/(12+0.01*(ABS(Games[[#This Row],[PreGmRate]]-Games[[#This Row],[OppPreGmRate]])))*IF(Games[[#This Row],[OT]]=1,0.9,1)</f>
        <v>0.27251440445833486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74.2</v>
      </c>
      <c r="Z140" s="4">
        <f>Games[[#This Row],[K]]*Games[[#This Row],[POMult]]</f>
        <v>74.2</v>
      </c>
      <c r="AA140" s="4">
        <f>(Games[[#This Row],[Keff]]*Games[[#This Row],[MOVMult]])*(Games[[#This Row],[Result]]-Games[[#This Row],[ExpectedWin%]])</f>
        <v>-10.859820781500721</v>
      </c>
      <c r="AB140" s="4">
        <f>Games[[#This Row],[PreGmRate]]+Games[[#This Row],[RatingChange]]</f>
        <v>1504.4506339866505</v>
      </c>
      <c r="AC140" s="2">
        <f>IF(Games[[#This Row],[Type]]="R",IF(Games[[#This Row],[Result]]&gt;0.5,1,0),0)</f>
        <v>0</v>
      </c>
      <c r="AD140" s="2">
        <f>IF(Games[[#This Row],[Type]]="R",IF(Games[[#This Row],[Result]]&lt;0.5,1,0),0)</f>
        <v>1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43646</v>
      </c>
      <c r="B141" s="2">
        <v>2019</v>
      </c>
      <c r="C141" s="2">
        <f>COUNTIFS(Games[Team],Games[[#This Row],[Team]],Games[Season],Games[[#This Row],[Season]],Games[Date],"&lt;=" &amp; Games[[#This Row],[Date]])</f>
        <v>11</v>
      </c>
      <c r="D141" s="2" t="s">
        <v>79</v>
      </c>
      <c r="E141" s="2" t="s">
        <v>80</v>
      </c>
      <c r="F141" s="1" t="s">
        <v>85</v>
      </c>
      <c r="G141" s="1" t="s">
        <v>67</v>
      </c>
      <c r="H141" s="1" t="s">
        <v>82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1" s="2">
        <f>Games[[#This Row],[DaysOff]]-Games[[#This Row],[OppDaysOff]]</f>
        <v>-3</v>
      </c>
      <c r="L141" s="2">
        <f>Games[[#This Row],[OppDaysOff]]-Games[[#This Row],[DaysOff]]</f>
        <v>3</v>
      </c>
      <c r="M141" s="1">
        <f>MAX(-16, MIN(16, Games[[#This Row],[RestDiff]]*8))</f>
        <v>-16</v>
      </c>
      <c r="N141" s="1">
        <f>MAX(-16, MIN(16, Games[[#This Row],[OppRestDiff]]*8))</f>
        <v>16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1437.5056135503376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1515.3104547681512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0.46293198360988497</v>
      </c>
      <c r="R141" s="1">
        <v>89</v>
      </c>
      <c r="S141" s="1">
        <v>86</v>
      </c>
      <c r="T141" s="1">
        <v>0</v>
      </c>
      <c r="U141" s="1">
        <f>Games[[#This Row],[PointsFor]]-Games[[#This Row],[PointsAgainst]]</f>
        <v>3</v>
      </c>
      <c r="V141" s="1">
        <f>IF(Games[[#This Row],[MOV]]&gt;0,1,IF(Games[[#This Row],[MOV]]=0,0.5,0))</f>
        <v>1</v>
      </c>
      <c r="W141" s="4">
        <f>((ABS(Games[[#This Row],[MOV]])+5)^0.6)/(12+0.01*(ABS(Games[[#This Row],[PreGmRate]]-Games[[#This Row],[OppPreGmRate]])))*IF(Games[[#This Row],[OT]]=1,0.9,1)</f>
        <v>0.27251440445833486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74.349999999999994</v>
      </c>
      <c r="Z141" s="4">
        <f>Games[[#This Row],[K]]*Games[[#This Row],[POMult]]</f>
        <v>74.349999999999994</v>
      </c>
      <c r="AA141" s="4">
        <f>(Games[[#This Row],[Keff]]*Games[[#This Row],[MOVMult]])*(Games[[#This Row],[Result]]-Games[[#This Row],[ExpectedWin%]])</f>
        <v>10.881774597096744</v>
      </c>
      <c r="AB141" s="4">
        <f>Games[[#This Row],[PreGmRate]]+Games[[#This Row],[RatingChange]]</f>
        <v>1448.3873881474342</v>
      </c>
      <c r="AC141" s="2">
        <f>IF(Games[[#This Row],[Type]]="R",IF(Games[[#This Row],[Result]]&gt;0.5,1,0),0)</f>
        <v>1</v>
      </c>
      <c r="AD141" s="2">
        <f>IF(Games[[#This Row],[Type]]="R",IF(Games[[#This Row],[Result]]&lt;0.5,1,0),0)</f>
        <v>0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43646</v>
      </c>
      <c r="B142" s="2">
        <v>2019</v>
      </c>
      <c r="C142" s="2">
        <f>COUNTIFS(Games[Team],Games[[#This Row],[Team]],Games[Season],Games[[#This Row],[Season]],Games[Date],"&lt;=" &amp; Games[[#This Row],[Date]])</f>
        <v>12</v>
      </c>
      <c r="D142" s="2" t="s">
        <v>79</v>
      </c>
      <c r="E142" s="2" t="s">
        <v>80</v>
      </c>
      <c r="F142" s="1" t="s">
        <v>75</v>
      </c>
      <c r="G142" s="1" t="s">
        <v>63</v>
      </c>
      <c r="H142" s="1" t="s">
        <v>81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2" s="2">
        <f>Games[[#This Row],[DaysOff]]-Games[[#This Row],[OppDaysOff]]</f>
        <v>-1</v>
      </c>
      <c r="L142" s="2">
        <f>Games[[#This Row],[OppDaysOff]]-Games[[#This Row],[DaysOff]]</f>
        <v>1</v>
      </c>
      <c r="M142" s="1">
        <f>MAX(-16, MIN(16, Games[[#This Row],[RestDiff]]*8))</f>
        <v>-8</v>
      </c>
      <c r="N142" s="1">
        <f>MAX(-16, MIN(16, Games[[#This Row],[OppRestDiff]]*8))</f>
        <v>8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1483.7292027632261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1494.9763501322082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0.34515837158996171</v>
      </c>
      <c r="R142" s="1">
        <v>69</v>
      </c>
      <c r="S142" s="1">
        <v>94</v>
      </c>
      <c r="T142" s="1">
        <v>0</v>
      </c>
      <c r="U142" s="1">
        <f>Games[[#This Row],[PointsFor]]-Games[[#This Row],[PointsAgainst]]</f>
        <v>-25</v>
      </c>
      <c r="V142" s="1">
        <f>IF(Games[[#This Row],[MOV]]&gt;0,1,IF(Games[[#This Row],[MOV]]=0,0.5,0))</f>
        <v>0</v>
      </c>
      <c r="W142" s="4">
        <f>((ABS(Games[[#This Row],[MOV]])+5)^0.6)/(12+0.01*(ABS(Games[[#This Row],[PreGmRate]]-Games[[#This Row],[OppPreGmRate]])))*IF(Games[[#This Row],[OT]]=1,0.9,1)</f>
        <v>0.63538942960099332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74.2</v>
      </c>
      <c r="Z142" s="4">
        <f>Games[[#This Row],[K]]*Games[[#This Row],[POMult]]</f>
        <v>74.2</v>
      </c>
      <c r="AA142" s="4">
        <f>(Games[[#This Row],[Keff]]*Games[[#This Row],[MOVMult]])*(Games[[#This Row],[Result]]-Games[[#This Row],[ExpectedWin%]])</f>
        <v>-16.27280057881427</v>
      </c>
      <c r="AB142" s="4">
        <f>Games[[#This Row],[PreGmRate]]+Games[[#This Row],[RatingChange]]</f>
        <v>1467.4564021844119</v>
      </c>
      <c r="AC142" s="2">
        <f>IF(Games[[#This Row],[Type]]="R",IF(Games[[#This Row],[Result]]&gt;0.5,1,0),0)</f>
        <v>0</v>
      </c>
      <c r="AD142" s="2">
        <f>IF(Games[[#This Row],[Type]]="R",IF(Games[[#This Row],[Result]]&lt;0.5,1,0),0)</f>
        <v>1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43646</v>
      </c>
      <c r="B143" s="2">
        <v>2019</v>
      </c>
      <c r="C143" s="2">
        <f>COUNTIFS(Games[Team],Games[[#This Row],[Team]],Games[Season],Games[[#This Row],[Season]],Games[Date],"&lt;=" &amp; Games[[#This Row],[Date]])</f>
        <v>12</v>
      </c>
      <c r="D143" s="2" t="s">
        <v>79</v>
      </c>
      <c r="E143" s="2" t="s">
        <v>80</v>
      </c>
      <c r="F143" s="1" t="s">
        <v>63</v>
      </c>
      <c r="G143" s="1" t="s">
        <v>75</v>
      </c>
      <c r="H143" s="1" t="s">
        <v>82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3" s="2">
        <f>Games[[#This Row],[DaysOff]]-Games[[#This Row],[OppDaysOff]]</f>
        <v>1</v>
      </c>
      <c r="L143" s="2">
        <f>Games[[#This Row],[OppDaysOff]]-Games[[#This Row],[DaysOff]]</f>
        <v>-1</v>
      </c>
      <c r="M143" s="1">
        <f>MAX(-16, MIN(16, Games[[#This Row],[RestDiff]]*8))</f>
        <v>8</v>
      </c>
      <c r="N143" s="1">
        <f>MAX(-16, MIN(16, Games[[#This Row],[OppRestDiff]]*8))</f>
        <v>-8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1494.9763501322082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1483.7292027632261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0.65484162841003823</v>
      </c>
      <c r="R143" s="1">
        <v>94</v>
      </c>
      <c r="S143" s="1">
        <v>69</v>
      </c>
      <c r="T143" s="1">
        <v>0</v>
      </c>
      <c r="U143" s="1">
        <f>Games[[#This Row],[PointsFor]]-Games[[#This Row],[PointsAgainst]]</f>
        <v>25</v>
      </c>
      <c r="V143" s="1">
        <f>IF(Games[[#This Row],[MOV]]&gt;0,1,IF(Games[[#This Row],[MOV]]=0,0.5,0))</f>
        <v>1</v>
      </c>
      <c r="W143" s="4">
        <f>((ABS(Games[[#This Row],[MOV]])+5)^0.6)/(12+0.01*(ABS(Games[[#This Row],[PreGmRate]]-Games[[#This Row],[OppPreGmRate]])))*IF(Games[[#This Row],[OT]]=1,0.9,1)</f>
        <v>0.63538942960099332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74.2</v>
      </c>
      <c r="Z143" s="4">
        <f>Games[[#This Row],[K]]*Games[[#This Row],[POMult]]</f>
        <v>74.2</v>
      </c>
      <c r="AA143" s="4">
        <f>(Games[[#This Row],[Keff]]*Games[[#This Row],[MOVMult]])*(Games[[#This Row],[Result]]-Games[[#This Row],[ExpectedWin%]])</f>
        <v>16.27280057881427</v>
      </c>
      <c r="AB143" s="4">
        <f>Games[[#This Row],[PreGmRate]]+Games[[#This Row],[RatingChange]]</f>
        <v>1511.2491507110224</v>
      </c>
      <c r="AC143" s="2">
        <f>IF(Games[[#This Row],[Type]]="R",IF(Games[[#This Row],[Result]]&gt;0.5,1,0),0)</f>
        <v>1</v>
      </c>
      <c r="AD143" s="2">
        <f>IF(Games[[#This Row],[Type]]="R",IF(Games[[#This Row],[Result]]&lt;0.5,1,0),0)</f>
        <v>0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43646</v>
      </c>
      <c r="B144" s="2">
        <v>2019</v>
      </c>
      <c r="C144" s="2">
        <f>COUNTIFS(Games[Team],Games[[#This Row],[Team]],Games[Season],Games[[#This Row],[Season]],Games[Date],"&lt;=" &amp; Games[[#This Row],[Date]])</f>
        <v>10</v>
      </c>
      <c r="D144" s="2" t="s">
        <v>79</v>
      </c>
      <c r="E144" s="2" t="s">
        <v>80</v>
      </c>
      <c r="F144" s="1" t="s">
        <v>40</v>
      </c>
      <c r="G144" s="1" t="s">
        <v>71</v>
      </c>
      <c r="H144" s="1" t="s">
        <v>81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4" s="2">
        <f>Games[[#This Row],[DaysOff]]-Games[[#This Row],[OppDaysOff]]</f>
        <v>0</v>
      </c>
      <c r="L144" s="2">
        <f>Games[[#This Row],[OppDaysOff]]-Games[[#This Row],[DaysOff]]</f>
        <v>0</v>
      </c>
      <c r="M144" s="1">
        <f>MAX(-16, MIN(16, Games[[#This Row],[RestDiff]]*8))</f>
        <v>0</v>
      </c>
      <c r="N144" s="1">
        <f>MAX(-16, MIN(16, Games[[#This Row],[OppRestDiff]]*8))</f>
        <v>0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1509.9741231860655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1606.644204838308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0.26114602071310489</v>
      </c>
      <c r="R144" s="1">
        <v>69</v>
      </c>
      <c r="S144" s="1">
        <v>67</v>
      </c>
      <c r="T144" s="1">
        <v>0</v>
      </c>
      <c r="U144" s="1">
        <f>Games[[#This Row],[PointsFor]]-Games[[#This Row],[PointsAgainst]]</f>
        <v>2</v>
      </c>
      <c r="V144" s="1">
        <f>IF(Games[[#This Row],[MOV]]&gt;0,1,IF(Games[[#This Row],[MOV]]=0,0.5,0))</f>
        <v>1</v>
      </c>
      <c r="W144" s="4">
        <f>((ABS(Games[[#This Row],[MOV]])+5)^0.6)/(12+0.01*(ABS(Games[[#This Row],[PreGmRate]]-Games[[#This Row],[OppPreGmRate]])))*IF(Games[[#This Row],[OT]]=1,0.9,1)</f>
        <v>0.24787306310180104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74.5</v>
      </c>
      <c r="Z144" s="4">
        <f>Games[[#This Row],[K]]*Games[[#This Row],[POMult]]</f>
        <v>74.5</v>
      </c>
      <c r="AA144" s="4">
        <f>(Games[[#This Row],[Keff]]*Games[[#This Row],[MOVMult]])*(Games[[#This Row],[Result]]-Games[[#This Row],[ExpectedWin%]])</f>
        <v>13.644078927794403</v>
      </c>
      <c r="AB144" s="4">
        <f>Games[[#This Row],[PreGmRate]]+Games[[#This Row],[RatingChange]]</f>
        <v>1523.61820211386</v>
      </c>
      <c r="AC144" s="2">
        <f>IF(Games[[#This Row],[Type]]="R",IF(Games[[#This Row],[Result]]&gt;0.5,1,0),0)</f>
        <v>1</v>
      </c>
      <c r="AD144" s="2">
        <f>IF(Games[[#This Row],[Type]]="R",IF(Games[[#This Row],[Result]]&lt;0.5,1,0),0)</f>
        <v>0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43646</v>
      </c>
      <c r="B145" s="2">
        <v>2019</v>
      </c>
      <c r="C145" s="2">
        <f>COUNTIFS(Games[Team],Games[[#This Row],[Team]],Games[Season],Games[[#This Row],[Season]],Games[Date],"&lt;=" &amp; Games[[#This Row],[Date]])</f>
        <v>14</v>
      </c>
      <c r="D145" s="2" t="s">
        <v>79</v>
      </c>
      <c r="E145" s="2" t="s">
        <v>80</v>
      </c>
      <c r="F145" s="1" t="s">
        <v>71</v>
      </c>
      <c r="G145" s="1" t="s">
        <v>40</v>
      </c>
      <c r="H145" s="1" t="s">
        <v>82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5" s="2">
        <f>Games[[#This Row],[DaysOff]]-Games[[#This Row],[OppDaysOff]]</f>
        <v>0</v>
      </c>
      <c r="L145" s="2">
        <f>Games[[#This Row],[OppDaysOff]]-Games[[#This Row],[DaysOff]]</f>
        <v>0</v>
      </c>
      <c r="M145" s="1">
        <f>MAX(-16, MIN(16, Games[[#This Row],[RestDiff]]*8))</f>
        <v>0</v>
      </c>
      <c r="N145" s="1">
        <f>MAX(-16, MIN(16, Games[[#This Row],[OppRestDiff]]*8))</f>
        <v>0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1606.644204838308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1509.9741231860655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0.73885397928689511</v>
      </c>
      <c r="R145" s="1">
        <v>67</v>
      </c>
      <c r="S145" s="1">
        <v>69</v>
      </c>
      <c r="T145" s="1">
        <v>0</v>
      </c>
      <c r="U145" s="1">
        <f>Games[[#This Row],[PointsFor]]-Games[[#This Row],[PointsAgainst]]</f>
        <v>-2</v>
      </c>
      <c r="V145" s="1">
        <f>IF(Games[[#This Row],[MOV]]&gt;0,1,IF(Games[[#This Row],[MOV]]=0,0.5,0))</f>
        <v>0</v>
      </c>
      <c r="W145" s="4">
        <f>((ABS(Games[[#This Row],[MOV]])+5)^0.6)/(12+0.01*(ABS(Games[[#This Row],[PreGmRate]]-Games[[#This Row],[OppPreGmRate]])))*IF(Games[[#This Row],[OT]]=1,0.9,1)</f>
        <v>0.24787306310180104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73.900000000000006</v>
      </c>
      <c r="Z145" s="4">
        <f>Games[[#This Row],[K]]*Games[[#This Row],[POMult]]</f>
        <v>73.900000000000006</v>
      </c>
      <c r="AA145" s="4">
        <f>(Games[[#This Row],[Keff]]*Games[[#This Row],[MOVMult]])*(Games[[#This Row],[Result]]-Games[[#This Row],[ExpectedWin%]])</f>
        <v>-13.534193728375925</v>
      </c>
      <c r="AB145" s="4">
        <f>Games[[#This Row],[PreGmRate]]+Games[[#This Row],[RatingChange]]</f>
        <v>1593.1100111099322</v>
      </c>
      <c r="AC145" s="2">
        <f>IF(Games[[#This Row],[Type]]="R",IF(Games[[#This Row],[Result]]&gt;0.5,1,0),0)</f>
        <v>0</v>
      </c>
      <c r="AD145" s="2">
        <f>IF(Games[[#This Row],[Type]]="R",IF(Games[[#This Row],[Result]]&lt;0.5,1,0),0)</f>
        <v>1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43648</v>
      </c>
      <c r="B146" s="2">
        <v>2019</v>
      </c>
      <c r="C146" s="2">
        <f>COUNTIFS(Games[Team],Games[[#This Row],[Team]],Games[Season],Games[[#This Row],[Season]],Games[Date],"&lt;=" &amp; Games[[#This Row],[Date]])</f>
        <v>13</v>
      </c>
      <c r="D146" s="2" t="s">
        <v>79</v>
      </c>
      <c r="E146" s="2" t="s">
        <v>80</v>
      </c>
      <c r="F146" s="1" t="s">
        <v>75</v>
      </c>
      <c r="G146" s="1" t="s">
        <v>86</v>
      </c>
      <c r="H146" s="1" t="s">
        <v>81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6" s="2">
        <f>Games[[#This Row],[DaysOff]]-Games[[#This Row],[OppDaysOff]]</f>
        <v>-1</v>
      </c>
      <c r="L146" s="2">
        <f>Games[[#This Row],[OppDaysOff]]-Games[[#This Row],[DaysOff]]</f>
        <v>1</v>
      </c>
      <c r="M146" s="1">
        <f>MAX(-16, MIN(16, Games[[#This Row],[RestDiff]]*8))</f>
        <v>-8</v>
      </c>
      <c r="N146" s="1">
        <f>MAX(-16, MIN(16, Games[[#This Row],[OppRestDiff]]*8))</f>
        <v>8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1467.4564021844119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1496.902644569119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0.3218784694706503</v>
      </c>
      <c r="R146" s="1">
        <v>82</v>
      </c>
      <c r="S146" s="1">
        <v>90</v>
      </c>
      <c r="T146" s="1">
        <v>0</v>
      </c>
      <c r="U146" s="1">
        <f>Games[[#This Row],[PointsFor]]-Games[[#This Row],[PointsAgainst]]</f>
        <v>-8</v>
      </c>
      <c r="V146" s="1">
        <f>IF(Games[[#This Row],[MOV]]&gt;0,1,IF(Games[[#This Row],[MOV]]=0,0.5,0))</f>
        <v>0</v>
      </c>
      <c r="W146" s="4">
        <f>((ABS(Games[[#This Row],[MOV]])+5)^0.6)/(12+0.01*(ABS(Games[[#This Row],[PreGmRate]]-Games[[#This Row],[OppPreGmRate]])))*IF(Games[[#This Row],[OT]]=1,0.9,1)</f>
        <v>0.3790150605526002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74.05</v>
      </c>
      <c r="Z146" s="4">
        <f>Games[[#This Row],[K]]*Games[[#This Row],[POMult]]</f>
        <v>74.05</v>
      </c>
      <c r="AA146" s="4">
        <f>(Games[[#This Row],[Keff]]*Games[[#This Row],[MOVMult]])*(Games[[#This Row],[Result]]-Games[[#This Row],[ExpectedWin%]])</f>
        <v>-9.0338621215576129</v>
      </c>
      <c r="AB146" s="4">
        <f>Games[[#This Row],[PreGmRate]]+Games[[#This Row],[RatingChange]]</f>
        <v>1458.4225400628543</v>
      </c>
      <c r="AC146" s="2">
        <f>IF(Games[[#This Row],[Type]]="R",IF(Games[[#This Row],[Result]]&gt;0.5,1,0),0)</f>
        <v>0</v>
      </c>
      <c r="AD146" s="2">
        <f>IF(Games[[#This Row],[Type]]="R",IF(Games[[#This Row],[Result]]&lt;0.5,1,0),0)</f>
        <v>1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43648</v>
      </c>
      <c r="B147" s="2">
        <v>2019</v>
      </c>
      <c r="C147" s="2">
        <f>COUNTIFS(Games[Team],Games[[#This Row],[Team]],Games[Season],Games[[#This Row],[Season]],Games[Date],"&lt;=" &amp; Games[[#This Row],[Date]])</f>
        <v>13</v>
      </c>
      <c r="D147" s="2" t="s">
        <v>79</v>
      </c>
      <c r="E147" s="2" t="s">
        <v>80</v>
      </c>
      <c r="F147" s="1" t="s">
        <v>86</v>
      </c>
      <c r="G147" s="1" t="s">
        <v>75</v>
      </c>
      <c r="H147" s="1" t="s">
        <v>82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7" s="2">
        <f>Games[[#This Row],[DaysOff]]-Games[[#This Row],[OppDaysOff]]</f>
        <v>1</v>
      </c>
      <c r="L147" s="2">
        <f>Games[[#This Row],[OppDaysOff]]-Games[[#This Row],[DaysOff]]</f>
        <v>-1</v>
      </c>
      <c r="M147" s="1">
        <f>MAX(-16, MIN(16, Games[[#This Row],[RestDiff]]*8))</f>
        <v>8</v>
      </c>
      <c r="N147" s="1">
        <f>MAX(-16, MIN(16, Games[[#This Row],[OppRestDiff]]*8))</f>
        <v>-8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1496.902644569119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1467.4564021844119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0.67812153052934965</v>
      </c>
      <c r="R147" s="1">
        <v>90</v>
      </c>
      <c r="S147" s="1">
        <v>82</v>
      </c>
      <c r="T147" s="1">
        <v>0</v>
      </c>
      <c r="U147" s="1">
        <f>Games[[#This Row],[PointsFor]]-Games[[#This Row],[PointsAgainst]]</f>
        <v>8</v>
      </c>
      <c r="V147" s="1">
        <f>IF(Games[[#This Row],[MOV]]&gt;0,1,IF(Games[[#This Row],[MOV]]=0,0.5,0))</f>
        <v>1</v>
      </c>
      <c r="W147" s="4">
        <f>((ABS(Games[[#This Row],[MOV]])+5)^0.6)/(12+0.01*(ABS(Games[[#This Row],[PreGmRate]]-Games[[#This Row],[OppPreGmRate]])))*IF(Games[[#This Row],[OT]]=1,0.9,1)</f>
        <v>0.3790150605526002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74.05</v>
      </c>
      <c r="Z147" s="4">
        <f>Games[[#This Row],[K]]*Games[[#This Row],[POMult]]</f>
        <v>74.05</v>
      </c>
      <c r="AA147" s="4">
        <f>(Games[[#This Row],[Keff]]*Games[[#This Row],[MOVMult]])*(Games[[#This Row],[Result]]-Games[[#This Row],[ExpectedWin%]])</f>
        <v>9.0338621215576129</v>
      </c>
      <c r="AB147" s="4">
        <f>Games[[#This Row],[PreGmRate]]+Games[[#This Row],[RatingChange]]</f>
        <v>1505.9365066906767</v>
      </c>
      <c r="AC147" s="2">
        <f>IF(Games[[#This Row],[Type]]="R",IF(Games[[#This Row],[Result]]&gt;0.5,1,0),0)</f>
        <v>1</v>
      </c>
      <c r="AD147" s="2">
        <f>IF(Games[[#This Row],[Type]]="R",IF(Games[[#This Row],[Result]]&lt;0.5,1,0),0)</f>
        <v>0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43648</v>
      </c>
      <c r="B148" s="2">
        <v>2019</v>
      </c>
      <c r="C148" s="2">
        <f>COUNTIFS(Games[Team],Games[[#This Row],[Team]],Games[Season],Games[[#This Row],[Season]],Games[Date],"&lt;=" &amp; Games[[#This Row],[Date]])</f>
        <v>11</v>
      </c>
      <c r="D148" s="2" t="s">
        <v>79</v>
      </c>
      <c r="E148" s="2" t="s">
        <v>80</v>
      </c>
      <c r="F148" s="1" t="s">
        <v>77</v>
      </c>
      <c r="G148" s="1" t="s">
        <v>67</v>
      </c>
      <c r="H148" s="1" t="s">
        <v>81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8" s="2">
        <f>Games[[#This Row],[DaysOff]]-Games[[#This Row],[OppDaysOff]]</f>
        <v>0</v>
      </c>
      <c r="L148" s="2">
        <f>Games[[#This Row],[OppDaysOff]]-Games[[#This Row],[DaysOff]]</f>
        <v>0</v>
      </c>
      <c r="M148" s="1">
        <f>MAX(-16, MIN(16, Games[[#This Row],[RestDiff]]*8))</f>
        <v>0</v>
      </c>
      <c r="N148" s="1">
        <f>MAX(-16, MIN(16, Games[[#This Row],[OppRestDiff]]*8))</f>
        <v>0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1412.8224166321704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1504.4506339866505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0.26678472526001074</v>
      </c>
      <c r="R148" s="1">
        <v>68</v>
      </c>
      <c r="S148" s="1">
        <v>85</v>
      </c>
      <c r="T148" s="1">
        <v>0</v>
      </c>
      <c r="U148" s="1">
        <f>Games[[#This Row],[PointsFor]]-Games[[#This Row],[PointsAgainst]]</f>
        <v>-17</v>
      </c>
      <c r="V148" s="1">
        <f>IF(Games[[#This Row],[MOV]]&gt;0,1,IF(Games[[#This Row],[MOV]]=0,0.5,0))</f>
        <v>0</v>
      </c>
      <c r="W148" s="4">
        <f>((ABS(Games[[#This Row],[MOV]])+5)^0.6)/(12+0.01*(ABS(Games[[#This Row],[PreGmRate]]-Games[[#This Row],[OppPreGmRate]])))*IF(Games[[#This Row],[OT]]=1,0.9,1)</f>
        <v>0.49467058269062725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74.349999999999994</v>
      </c>
      <c r="Z148" s="4">
        <f>Games[[#This Row],[K]]*Games[[#This Row],[POMult]]</f>
        <v>74.349999999999994</v>
      </c>
      <c r="AA148" s="4">
        <f>(Games[[#This Row],[Keff]]*Games[[#This Row],[MOVMult]])*(Games[[#This Row],[Result]]-Games[[#This Row],[ExpectedWin%]])</f>
        <v>-9.812010801226366</v>
      </c>
      <c r="AB148" s="4">
        <f>Games[[#This Row],[PreGmRate]]+Games[[#This Row],[RatingChange]]</f>
        <v>1403.0104058309441</v>
      </c>
      <c r="AC148" s="2">
        <f>IF(Games[[#This Row],[Type]]="R",IF(Games[[#This Row],[Result]]&gt;0.5,1,0),0)</f>
        <v>0</v>
      </c>
      <c r="AD148" s="2">
        <f>IF(Games[[#This Row],[Type]]="R",IF(Games[[#This Row],[Result]]&lt;0.5,1,0),0)</f>
        <v>1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43648</v>
      </c>
      <c r="B149" s="2">
        <v>2019</v>
      </c>
      <c r="C149" s="2">
        <f>COUNTIFS(Games[Team],Games[[#This Row],[Team]],Games[Season],Games[[#This Row],[Season]],Games[Date],"&lt;=" &amp; Games[[#This Row],[Date]])</f>
        <v>13</v>
      </c>
      <c r="D149" s="2" t="s">
        <v>79</v>
      </c>
      <c r="E149" s="2" t="s">
        <v>80</v>
      </c>
      <c r="F149" s="1" t="s">
        <v>67</v>
      </c>
      <c r="G149" s="1" t="s">
        <v>77</v>
      </c>
      <c r="H149" s="1" t="s">
        <v>82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9" s="2">
        <f>Games[[#This Row],[DaysOff]]-Games[[#This Row],[OppDaysOff]]</f>
        <v>0</v>
      </c>
      <c r="L149" s="2">
        <f>Games[[#This Row],[OppDaysOff]]-Games[[#This Row],[DaysOff]]</f>
        <v>0</v>
      </c>
      <c r="M149" s="1">
        <f>MAX(-16, MIN(16, Games[[#This Row],[RestDiff]]*8))</f>
        <v>0</v>
      </c>
      <c r="N149" s="1">
        <f>MAX(-16, MIN(16, Games[[#This Row],[OppRestDiff]]*8))</f>
        <v>0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1504.4506339866505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1412.8224166321704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0.73321527473998938</v>
      </c>
      <c r="R149" s="1">
        <v>85</v>
      </c>
      <c r="S149" s="1">
        <v>68</v>
      </c>
      <c r="T149" s="1">
        <v>0</v>
      </c>
      <c r="U149" s="1">
        <f>Games[[#This Row],[PointsFor]]-Games[[#This Row],[PointsAgainst]]</f>
        <v>17</v>
      </c>
      <c r="V149" s="1">
        <f>IF(Games[[#This Row],[MOV]]&gt;0,1,IF(Games[[#This Row],[MOV]]=0,0.5,0))</f>
        <v>1</v>
      </c>
      <c r="W149" s="4">
        <f>((ABS(Games[[#This Row],[MOV]])+5)^0.6)/(12+0.01*(ABS(Games[[#This Row],[PreGmRate]]-Games[[#This Row],[OppPreGmRate]])))*IF(Games[[#This Row],[OT]]=1,0.9,1)</f>
        <v>0.49467058269062725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74.05</v>
      </c>
      <c r="Z149" s="4">
        <f>Games[[#This Row],[K]]*Games[[#This Row],[POMult]]</f>
        <v>74.05</v>
      </c>
      <c r="AA149" s="4">
        <f>(Games[[#This Row],[Keff]]*Games[[#This Row],[MOVMult]])*(Games[[#This Row],[Result]]-Games[[#This Row],[ExpectedWin%]])</f>
        <v>9.7724196345771652</v>
      </c>
      <c r="AB149" s="4">
        <f>Games[[#This Row],[PreGmRate]]+Games[[#This Row],[RatingChange]]</f>
        <v>1514.2230536212276</v>
      </c>
      <c r="AC149" s="2">
        <f>IF(Games[[#This Row],[Type]]="R",IF(Games[[#This Row],[Result]]&gt;0.5,1,0),0)</f>
        <v>1</v>
      </c>
      <c r="AD149" s="2">
        <f>IF(Games[[#This Row],[Type]]="R",IF(Games[[#This Row],[Result]]&lt;0.5,1,0),0)</f>
        <v>0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43649</v>
      </c>
      <c r="B150" s="2">
        <v>2019</v>
      </c>
      <c r="C150" s="2">
        <f>COUNTIFS(Games[Team],Games[[#This Row],[Team]],Games[Season],Games[[#This Row],[Season]],Games[Date],"&lt;=" &amp; Games[[#This Row],[Date]])</f>
        <v>13</v>
      </c>
      <c r="D150" s="2" t="s">
        <v>79</v>
      </c>
      <c r="E150" s="2" t="s">
        <v>80</v>
      </c>
      <c r="F150" s="1" t="s">
        <v>60</v>
      </c>
      <c r="G150" s="1" t="s">
        <v>71</v>
      </c>
      <c r="H150" s="1" t="s">
        <v>81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0" s="2">
        <f>Games[[#This Row],[DaysOff]]-Games[[#This Row],[OppDaysOff]]</f>
        <v>0</v>
      </c>
      <c r="L150" s="2">
        <f>Games[[#This Row],[OppDaysOff]]-Games[[#This Row],[DaysOff]]</f>
        <v>0</v>
      </c>
      <c r="M150" s="1">
        <f>MAX(-16, MIN(16, Games[[#This Row],[RestDiff]]*8))</f>
        <v>0</v>
      </c>
      <c r="N150" s="1">
        <f>MAX(-16, MIN(16, Games[[#This Row],[OppRestDiff]]*8))</f>
        <v>0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1417.0114953843631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1593.1100111099322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0.18283642138600087</v>
      </c>
      <c r="R150" s="1">
        <v>84</v>
      </c>
      <c r="S150" s="1">
        <v>83</v>
      </c>
      <c r="T150" s="1">
        <v>0</v>
      </c>
      <c r="U150" s="1">
        <f>Games[[#This Row],[PointsFor]]-Games[[#This Row],[PointsAgainst]]</f>
        <v>1</v>
      </c>
      <c r="V150" s="1">
        <f>IF(Games[[#This Row],[MOV]]&gt;0,1,IF(Games[[#This Row],[MOV]]=0,0.5,0))</f>
        <v>1</v>
      </c>
      <c r="W150" s="4">
        <f>((ABS(Games[[#This Row],[MOV]])+5)^0.6)/(12+0.01*(ABS(Games[[#This Row],[PreGmRate]]-Games[[#This Row],[OppPreGmRate]])))*IF(Games[[#This Row],[OT]]=1,0.9,1)</f>
        <v>0.21293214243738584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74.05</v>
      </c>
      <c r="Z150" s="4">
        <f>Games[[#This Row],[K]]*Games[[#This Row],[POMult]]</f>
        <v>74.05</v>
      </c>
      <c r="AA150" s="4">
        <f>(Games[[#This Row],[Keff]]*Games[[#This Row],[MOVMult]])*(Games[[#This Row],[Result]]-Games[[#This Row],[ExpectedWin%]])</f>
        <v>12.884728991765723</v>
      </c>
      <c r="AB150" s="4">
        <f>Games[[#This Row],[PreGmRate]]+Games[[#This Row],[RatingChange]]</f>
        <v>1429.8962243761289</v>
      </c>
      <c r="AC150" s="2">
        <f>IF(Games[[#This Row],[Type]]="R",IF(Games[[#This Row],[Result]]&gt;0.5,1,0),0)</f>
        <v>1</v>
      </c>
      <c r="AD150" s="2">
        <f>IF(Games[[#This Row],[Type]]="R",IF(Games[[#This Row],[Result]]&lt;0.5,1,0),0)</f>
        <v>0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43649</v>
      </c>
      <c r="B151" s="2">
        <v>2019</v>
      </c>
      <c r="C151" s="2">
        <f>COUNTIFS(Games[Team],Games[[#This Row],[Team]],Games[Season],Games[[#This Row],[Season]],Games[Date],"&lt;=" &amp; Games[[#This Row],[Date]])</f>
        <v>15</v>
      </c>
      <c r="D151" s="2" t="s">
        <v>79</v>
      </c>
      <c r="E151" s="2" t="s">
        <v>80</v>
      </c>
      <c r="F151" s="1" t="s">
        <v>71</v>
      </c>
      <c r="G151" s="1" t="s">
        <v>60</v>
      </c>
      <c r="H151" s="1" t="s">
        <v>82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1" s="2">
        <f>Games[[#This Row],[DaysOff]]-Games[[#This Row],[OppDaysOff]]</f>
        <v>0</v>
      </c>
      <c r="L151" s="2">
        <f>Games[[#This Row],[OppDaysOff]]-Games[[#This Row],[DaysOff]]</f>
        <v>0</v>
      </c>
      <c r="M151" s="1">
        <f>MAX(-16, MIN(16, Games[[#This Row],[RestDiff]]*8))</f>
        <v>0</v>
      </c>
      <c r="N151" s="1">
        <f>MAX(-16, MIN(16, Games[[#This Row],[OppRestDiff]]*8))</f>
        <v>0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1593.1100111099322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1417.0114953843631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0.81716357861399913</v>
      </c>
      <c r="R151" s="1">
        <v>83</v>
      </c>
      <c r="S151" s="1">
        <v>84</v>
      </c>
      <c r="T151" s="1">
        <v>0</v>
      </c>
      <c r="U151" s="1">
        <f>Games[[#This Row],[PointsFor]]-Games[[#This Row],[PointsAgainst]]</f>
        <v>-1</v>
      </c>
      <c r="V151" s="1">
        <f>IF(Games[[#This Row],[MOV]]&gt;0,1,IF(Games[[#This Row],[MOV]]=0,0.5,0))</f>
        <v>0</v>
      </c>
      <c r="W151" s="4">
        <f>((ABS(Games[[#This Row],[MOV]])+5)^0.6)/(12+0.01*(ABS(Games[[#This Row],[PreGmRate]]-Games[[#This Row],[OppPreGmRate]])))*IF(Games[[#This Row],[OT]]=1,0.9,1)</f>
        <v>0.21293214243738584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73.75</v>
      </c>
      <c r="Z151" s="4">
        <f>Games[[#This Row],[K]]*Games[[#This Row],[POMult]]</f>
        <v>73.75</v>
      </c>
      <c r="AA151" s="4">
        <f>(Games[[#This Row],[Keff]]*Games[[#This Row],[MOVMult]])*(Games[[#This Row],[Result]]-Games[[#This Row],[ExpectedWin%]])</f>
        <v>-12.832528874310901</v>
      </c>
      <c r="AB151" s="4">
        <f>Games[[#This Row],[PreGmRate]]+Games[[#This Row],[RatingChange]]</f>
        <v>1580.2774822356214</v>
      </c>
      <c r="AC151" s="2">
        <f>IF(Games[[#This Row],[Type]]="R",IF(Games[[#This Row],[Result]]&gt;0.5,1,0),0)</f>
        <v>0</v>
      </c>
      <c r="AD151" s="2">
        <f>IF(Games[[#This Row],[Type]]="R",IF(Games[[#This Row],[Result]]&lt;0.5,1,0),0)</f>
        <v>1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43651</v>
      </c>
      <c r="B152" s="2">
        <v>2019</v>
      </c>
      <c r="C152" s="2">
        <f>COUNTIFS(Games[Team],Games[[#This Row],[Team]],Games[Season],Games[[#This Row],[Season]],Games[Date],"&lt;=" &amp; Games[[#This Row],[Date]])</f>
        <v>15</v>
      </c>
      <c r="D152" s="2" t="s">
        <v>79</v>
      </c>
      <c r="E152" s="2" t="s">
        <v>80</v>
      </c>
      <c r="F152" s="1" t="s">
        <v>69</v>
      </c>
      <c r="G152" s="1" t="s">
        <v>85</v>
      </c>
      <c r="H152" s="1" t="s">
        <v>81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5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52" s="2">
        <f>Games[[#This Row],[DaysOff]]-Games[[#This Row],[OppDaysOff]]</f>
        <v>1</v>
      </c>
      <c r="L152" s="2">
        <f>Games[[#This Row],[OppDaysOff]]-Games[[#This Row],[DaysOff]]</f>
        <v>-1</v>
      </c>
      <c r="M152" s="1">
        <f>MAX(-16, MIN(16, Games[[#This Row],[RestDiff]]*8))</f>
        <v>8</v>
      </c>
      <c r="N152" s="1">
        <f>MAX(-16, MIN(16, Games[[#This Row],[OppRestDiff]]*8))</f>
        <v>-8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1401.6008104572563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1448.3873881474342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0.34056786295990132</v>
      </c>
      <c r="R152" s="1">
        <v>76</v>
      </c>
      <c r="S152" s="1">
        <v>56</v>
      </c>
      <c r="T152" s="1">
        <v>0</v>
      </c>
      <c r="U152" s="1">
        <f>Games[[#This Row],[PointsFor]]-Games[[#This Row],[PointsAgainst]]</f>
        <v>20</v>
      </c>
      <c r="V152" s="1">
        <f>IF(Games[[#This Row],[MOV]]&gt;0,1,IF(Games[[#This Row],[MOV]]=0,0.5,0))</f>
        <v>1</v>
      </c>
      <c r="W152" s="4">
        <f>((ABS(Games[[#This Row],[MOV]])+5)^0.6)/(12+0.01*(ABS(Games[[#This Row],[PreGmRate]]-Games[[#This Row],[OppPreGmRate]])))*IF(Games[[#This Row],[OT]]=1,0.9,1)</f>
        <v>0.55331429057302239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73.75</v>
      </c>
      <c r="Z152" s="4">
        <f>Games[[#This Row],[K]]*Games[[#This Row],[POMult]]</f>
        <v>73.75</v>
      </c>
      <c r="AA152" s="4">
        <f>(Games[[#This Row],[Keff]]*Games[[#This Row],[MOVMult]])*(Games[[#This Row],[Result]]-Games[[#This Row],[ExpectedWin%]])</f>
        <v>26.909400350195327</v>
      </c>
      <c r="AB152" s="4">
        <f>Games[[#This Row],[PreGmRate]]+Games[[#This Row],[RatingChange]]</f>
        <v>1428.5102108074516</v>
      </c>
      <c r="AC152" s="2">
        <f>IF(Games[[#This Row],[Type]]="R",IF(Games[[#This Row],[Result]]&gt;0.5,1,0),0)</f>
        <v>1</v>
      </c>
      <c r="AD152" s="2">
        <f>IF(Games[[#This Row],[Type]]="R",IF(Games[[#This Row],[Result]]&lt;0.5,1,0),0)</f>
        <v>0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43651</v>
      </c>
      <c r="B153" s="2">
        <v>2019</v>
      </c>
      <c r="C153" s="2">
        <f>COUNTIFS(Games[Team],Games[[#This Row],[Team]],Games[Season],Games[[#This Row],[Season]],Games[Date],"&lt;=" &amp; Games[[#This Row],[Date]])</f>
        <v>12</v>
      </c>
      <c r="D153" s="2" t="s">
        <v>79</v>
      </c>
      <c r="E153" s="2" t="s">
        <v>80</v>
      </c>
      <c r="F153" s="1" t="s">
        <v>85</v>
      </c>
      <c r="G153" s="1" t="s">
        <v>69</v>
      </c>
      <c r="H153" s="1" t="s">
        <v>82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4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53" s="2">
        <f>Games[[#This Row],[DaysOff]]-Games[[#This Row],[OppDaysOff]]</f>
        <v>-1</v>
      </c>
      <c r="L153" s="2">
        <f>Games[[#This Row],[OppDaysOff]]-Games[[#This Row],[DaysOff]]</f>
        <v>1</v>
      </c>
      <c r="M153" s="1">
        <f>MAX(-16, MIN(16, Games[[#This Row],[RestDiff]]*8))</f>
        <v>-8</v>
      </c>
      <c r="N153" s="1">
        <f>MAX(-16, MIN(16, Games[[#This Row],[OppRestDiff]]*8))</f>
        <v>8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1448.3873881474342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1401.6008104572563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0.65943213704009862</v>
      </c>
      <c r="R153" s="1">
        <v>56</v>
      </c>
      <c r="S153" s="1">
        <v>76</v>
      </c>
      <c r="T153" s="1">
        <v>0</v>
      </c>
      <c r="U153" s="1">
        <f>Games[[#This Row],[PointsFor]]-Games[[#This Row],[PointsAgainst]]</f>
        <v>-20</v>
      </c>
      <c r="V153" s="1">
        <f>IF(Games[[#This Row],[MOV]]&gt;0,1,IF(Games[[#This Row],[MOV]]=0,0.5,0))</f>
        <v>0</v>
      </c>
      <c r="W153" s="4">
        <f>((ABS(Games[[#This Row],[MOV]])+5)^0.6)/(12+0.01*(ABS(Games[[#This Row],[PreGmRate]]-Games[[#This Row],[OppPreGmRate]])))*IF(Games[[#This Row],[OT]]=1,0.9,1)</f>
        <v>0.55331429057302239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74.2</v>
      </c>
      <c r="Z153" s="4">
        <f>Games[[#This Row],[K]]*Games[[#This Row],[POMult]]</f>
        <v>74.2</v>
      </c>
      <c r="AA153" s="4">
        <f>(Games[[#This Row],[Keff]]*Games[[#This Row],[MOVMult]])*(Games[[#This Row],[Result]]-Games[[#This Row],[ExpectedWin%]])</f>
        <v>-27.073593301484657</v>
      </c>
      <c r="AB153" s="4">
        <f>Games[[#This Row],[PreGmRate]]+Games[[#This Row],[RatingChange]]</f>
        <v>1421.3137948459496</v>
      </c>
      <c r="AC153" s="2">
        <f>IF(Games[[#This Row],[Type]]="R",IF(Games[[#This Row],[Result]]&gt;0.5,1,0),0)</f>
        <v>0</v>
      </c>
      <c r="AD153" s="2">
        <f>IF(Games[[#This Row],[Type]]="R",IF(Games[[#This Row],[Result]]&lt;0.5,1,0),0)</f>
        <v>1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43651</v>
      </c>
      <c r="B154" s="2">
        <v>2019</v>
      </c>
      <c r="C154" s="2">
        <f>COUNTIFS(Games[Team],Games[[#This Row],[Team]],Games[Season],Games[[#This Row],[Season]],Games[Date],"&lt;=" &amp; Games[[#This Row],[Date]])</f>
        <v>14</v>
      </c>
      <c r="D154" s="2" t="s">
        <v>79</v>
      </c>
      <c r="E154" s="2" t="s">
        <v>80</v>
      </c>
      <c r="F154" s="1" t="s">
        <v>60</v>
      </c>
      <c r="G154" s="1" t="s">
        <v>40</v>
      </c>
      <c r="H154" s="1" t="s">
        <v>81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54" s="2">
        <f>Games[[#This Row],[DaysOff]]-Games[[#This Row],[OppDaysOff]]</f>
        <v>-3</v>
      </c>
      <c r="L154" s="2">
        <f>Games[[#This Row],[OppDaysOff]]-Games[[#This Row],[DaysOff]]</f>
        <v>3</v>
      </c>
      <c r="M154" s="1">
        <f>MAX(-16, MIN(16, Games[[#This Row],[RestDiff]]*8))</f>
        <v>-16</v>
      </c>
      <c r="N154" s="1">
        <f>MAX(-16, MIN(16, Games[[#This Row],[OppRestDiff]]*8))</f>
        <v>16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1429.8962243761289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1523.61820211386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0.23018679748052756</v>
      </c>
      <c r="R154" s="1">
        <v>80</v>
      </c>
      <c r="S154" s="1">
        <v>76</v>
      </c>
      <c r="T154" s="1">
        <v>0</v>
      </c>
      <c r="U154" s="1">
        <f>Games[[#This Row],[PointsFor]]-Games[[#This Row],[PointsAgainst]]</f>
        <v>4</v>
      </c>
      <c r="V154" s="1">
        <f>IF(Games[[#This Row],[MOV]]&gt;0,1,IF(Games[[#This Row],[MOV]]=0,0.5,0))</f>
        <v>1</v>
      </c>
      <c r="W154" s="4">
        <f>((ABS(Games[[#This Row],[MOV]])+5)^0.6)/(12+0.01*(ABS(Games[[#This Row],[PreGmRate]]-Games[[#This Row],[OppPreGmRate]])))*IF(Games[[#This Row],[OT]]=1,0.9,1)</f>
        <v>0.28887140229167318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73.900000000000006</v>
      </c>
      <c r="Z154" s="4">
        <f>Games[[#This Row],[K]]*Games[[#This Row],[POMult]]</f>
        <v>73.900000000000006</v>
      </c>
      <c r="AA154" s="4">
        <f>(Games[[#This Row],[Keff]]*Games[[#This Row],[MOVMult]])*(Games[[#This Row],[Result]]-Games[[#This Row],[ExpectedWin%]])</f>
        <v>16.433661727337398</v>
      </c>
      <c r="AB154" s="4">
        <f>Games[[#This Row],[PreGmRate]]+Games[[#This Row],[RatingChange]]</f>
        <v>1446.3298861034664</v>
      </c>
      <c r="AC154" s="2">
        <f>IF(Games[[#This Row],[Type]]="R",IF(Games[[#This Row],[Result]]&gt;0.5,1,0),0)</f>
        <v>1</v>
      </c>
      <c r="AD154" s="2">
        <f>IF(Games[[#This Row],[Type]]="R",IF(Games[[#This Row],[Result]]&lt;0.5,1,0),0)</f>
        <v>0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43651</v>
      </c>
      <c r="B155" s="2">
        <v>2019</v>
      </c>
      <c r="C155" s="2">
        <f>COUNTIFS(Games[Team],Games[[#This Row],[Team]],Games[Season],Games[[#This Row],[Season]],Games[Date],"&lt;=" &amp; Games[[#This Row],[Date]])</f>
        <v>11</v>
      </c>
      <c r="D155" s="2" t="s">
        <v>79</v>
      </c>
      <c r="E155" s="2" t="s">
        <v>80</v>
      </c>
      <c r="F155" s="1" t="s">
        <v>40</v>
      </c>
      <c r="G155" s="1" t="s">
        <v>60</v>
      </c>
      <c r="H155" s="1" t="s">
        <v>82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4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5" s="2">
        <f>Games[[#This Row],[DaysOff]]-Games[[#This Row],[OppDaysOff]]</f>
        <v>3</v>
      </c>
      <c r="L155" s="2">
        <f>Games[[#This Row],[OppDaysOff]]-Games[[#This Row],[DaysOff]]</f>
        <v>-3</v>
      </c>
      <c r="M155" s="1">
        <f>MAX(-16, MIN(16, Games[[#This Row],[RestDiff]]*8))</f>
        <v>16</v>
      </c>
      <c r="N155" s="1">
        <f>MAX(-16, MIN(16, Games[[#This Row],[OppRestDiff]]*8))</f>
        <v>-16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1523.61820211386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1429.8962243761289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0.76981320251947249</v>
      </c>
      <c r="R155" s="1">
        <v>76</v>
      </c>
      <c r="S155" s="1">
        <v>80</v>
      </c>
      <c r="T155" s="1">
        <v>0</v>
      </c>
      <c r="U155" s="1">
        <f>Games[[#This Row],[PointsFor]]-Games[[#This Row],[PointsAgainst]]</f>
        <v>-4</v>
      </c>
      <c r="V155" s="1">
        <f>IF(Games[[#This Row],[MOV]]&gt;0,1,IF(Games[[#This Row],[MOV]]=0,0.5,0))</f>
        <v>0</v>
      </c>
      <c r="W155" s="4">
        <f>((ABS(Games[[#This Row],[MOV]])+5)^0.6)/(12+0.01*(ABS(Games[[#This Row],[PreGmRate]]-Games[[#This Row],[OppPreGmRate]])))*IF(Games[[#This Row],[OT]]=1,0.9,1)</f>
        <v>0.28887140229167318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74.349999999999994</v>
      </c>
      <c r="Z155" s="4">
        <f>Games[[#This Row],[K]]*Games[[#This Row],[POMult]]</f>
        <v>74.349999999999994</v>
      </c>
      <c r="AA155" s="4">
        <f>(Games[[#This Row],[Keff]]*Games[[#This Row],[MOVMult]])*(Games[[#This Row],[Result]]-Games[[#This Row],[ExpectedWin%]])</f>
        <v>-16.533731386028897</v>
      </c>
      <c r="AB155" s="4">
        <f>Games[[#This Row],[PreGmRate]]+Games[[#This Row],[RatingChange]]</f>
        <v>1507.0844707278311</v>
      </c>
      <c r="AC155" s="2">
        <f>IF(Games[[#This Row],[Type]]="R",IF(Games[[#This Row],[Result]]&gt;0.5,1,0),0)</f>
        <v>0</v>
      </c>
      <c r="AD155" s="2">
        <f>IF(Games[[#This Row],[Type]]="R",IF(Games[[#This Row],[Result]]&lt;0.5,1,0),0)</f>
        <v>1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43651</v>
      </c>
      <c r="B156" s="2">
        <v>2019</v>
      </c>
      <c r="C156" s="2">
        <f>COUNTIFS(Games[Team],Games[[#This Row],[Team]],Games[Season],Games[[#This Row],[Season]],Games[Date],"&lt;=" &amp; Games[[#This Row],[Date]])</f>
        <v>12</v>
      </c>
      <c r="D156" s="2" t="s">
        <v>79</v>
      </c>
      <c r="E156" s="2" t="s">
        <v>80</v>
      </c>
      <c r="F156" s="1" t="s">
        <v>77</v>
      </c>
      <c r="G156" s="1" t="s">
        <v>71</v>
      </c>
      <c r="H156" s="1" t="s">
        <v>81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6" s="2">
        <f>Games[[#This Row],[DaysOff]]-Games[[#This Row],[OppDaysOff]]</f>
        <v>1</v>
      </c>
      <c r="L156" s="2">
        <f>Games[[#This Row],[OppDaysOff]]-Games[[#This Row],[DaysOff]]</f>
        <v>-1</v>
      </c>
      <c r="M156" s="1">
        <f>MAX(-16, MIN(16, Games[[#This Row],[RestDiff]]*8))</f>
        <v>8</v>
      </c>
      <c r="N156" s="1">
        <f>MAX(-16, MIN(16, Games[[#This Row],[OppRestDiff]]*8))</f>
        <v>-8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1403.0104058309441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1580.2774822356214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0.19593915216172675</v>
      </c>
      <c r="R156" s="1">
        <v>77</v>
      </c>
      <c r="S156" s="1">
        <v>66</v>
      </c>
      <c r="T156" s="1">
        <v>0</v>
      </c>
      <c r="U156" s="1">
        <f>Games[[#This Row],[PointsFor]]-Games[[#This Row],[PointsAgainst]]</f>
        <v>11</v>
      </c>
      <c r="V156" s="1">
        <f>IF(Games[[#This Row],[MOV]]&gt;0,1,IF(Games[[#This Row],[MOV]]=0,0.5,0))</f>
        <v>1</v>
      </c>
      <c r="W156" s="4">
        <f>((ABS(Games[[#This Row],[MOV]])+5)^0.6)/(12+0.01*(ABS(Games[[#This Row],[PreGmRate]]-Games[[#This Row],[OppPreGmRate]])))*IF(Games[[#This Row],[OT]]=1,0.9,1)</f>
        <v>0.38322499197975113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74.2</v>
      </c>
      <c r="Z156" s="4">
        <f>Games[[#This Row],[K]]*Games[[#This Row],[POMult]]</f>
        <v>74.2</v>
      </c>
      <c r="AA156" s="4">
        <f>(Games[[#This Row],[Keff]]*Games[[#This Row],[MOVMult]])*(Games[[#This Row],[Result]]-Games[[#This Row],[ExpectedWin%]])</f>
        <v>22.863706927732817</v>
      </c>
      <c r="AB156" s="4">
        <f>Games[[#This Row],[PreGmRate]]+Games[[#This Row],[RatingChange]]</f>
        <v>1425.874112758677</v>
      </c>
      <c r="AC156" s="2">
        <f>IF(Games[[#This Row],[Type]]="R",IF(Games[[#This Row],[Result]]&gt;0.5,1,0),0)</f>
        <v>1</v>
      </c>
      <c r="AD156" s="2">
        <f>IF(Games[[#This Row],[Type]]="R",IF(Games[[#This Row],[Result]]&lt;0.5,1,0),0)</f>
        <v>0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43651</v>
      </c>
      <c r="B157" s="2">
        <v>2019</v>
      </c>
      <c r="C157" s="2">
        <f>COUNTIFS(Games[Team],Games[[#This Row],[Team]],Games[Season],Games[[#This Row],[Season]],Games[Date],"&lt;=" &amp; Games[[#This Row],[Date]])</f>
        <v>16</v>
      </c>
      <c r="D157" s="2" t="s">
        <v>79</v>
      </c>
      <c r="E157" s="2" t="s">
        <v>80</v>
      </c>
      <c r="F157" s="1" t="s">
        <v>71</v>
      </c>
      <c r="G157" s="1" t="s">
        <v>77</v>
      </c>
      <c r="H157" s="1" t="s">
        <v>82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7" s="2">
        <f>Games[[#This Row],[DaysOff]]-Games[[#This Row],[OppDaysOff]]</f>
        <v>-1</v>
      </c>
      <c r="L157" s="2">
        <f>Games[[#This Row],[OppDaysOff]]-Games[[#This Row],[DaysOff]]</f>
        <v>1</v>
      </c>
      <c r="M157" s="1">
        <f>MAX(-16, MIN(16, Games[[#This Row],[RestDiff]]*8))</f>
        <v>-8</v>
      </c>
      <c r="N157" s="1">
        <f>MAX(-16, MIN(16, Games[[#This Row],[OppRestDiff]]*8))</f>
        <v>8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1580.2774822356214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1403.0104058309441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0.80406084783827325</v>
      </c>
      <c r="R157" s="1">
        <v>66</v>
      </c>
      <c r="S157" s="1">
        <v>77</v>
      </c>
      <c r="T157" s="1">
        <v>0</v>
      </c>
      <c r="U157" s="1">
        <f>Games[[#This Row],[PointsFor]]-Games[[#This Row],[PointsAgainst]]</f>
        <v>-11</v>
      </c>
      <c r="V157" s="1">
        <f>IF(Games[[#This Row],[MOV]]&gt;0,1,IF(Games[[#This Row],[MOV]]=0,0.5,0))</f>
        <v>0</v>
      </c>
      <c r="W157" s="4">
        <f>((ABS(Games[[#This Row],[MOV]])+5)^0.6)/(12+0.01*(ABS(Games[[#This Row],[PreGmRate]]-Games[[#This Row],[OppPreGmRate]])))*IF(Games[[#This Row],[OT]]=1,0.9,1)</f>
        <v>0.38322499197975113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73.599999999999994</v>
      </c>
      <c r="Z157" s="4">
        <f>Games[[#This Row],[K]]*Games[[#This Row],[POMult]]</f>
        <v>73.599999999999994</v>
      </c>
      <c r="AA157" s="4">
        <f>(Games[[#This Row],[Keff]]*Games[[#This Row],[MOVMult]])*(Games[[#This Row],[Result]]-Games[[#This Row],[ExpectedWin%]])</f>
        <v>-22.678825200554382</v>
      </c>
      <c r="AB157" s="4">
        <f>Games[[#This Row],[PreGmRate]]+Games[[#This Row],[RatingChange]]</f>
        <v>1557.5986570350669</v>
      </c>
      <c r="AC157" s="2">
        <f>IF(Games[[#This Row],[Type]]="R",IF(Games[[#This Row],[Result]]&gt;0.5,1,0),0)</f>
        <v>0</v>
      </c>
      <c r="AD157" s="2">
        <f>IF(Games[[#This Row],[Type]]="R",IF(Games[[#This Row],[Result]]&lt;0.5,1,0),0)</f>
        <v>1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43652</v>
      </c>
      <c r="B158" s="2">
        <v>2019</v>
      </c>
      <c r="C158" s="2">
        <f>COUNTIFS(Games[Team],Games[[#This Row],[Team]],Games[Season],Games[[#This Row],[Season]],Games[Date],"&lt;=" &amp; Games[[#This Row],[Date]])</f>
        <v>14</v>
      </c>
      <c r="D158" s="2" t="s">
        <v>79</v>
      </c>
      <c r="E158" s="2" t="s">
        <v>80</v>
      </c>
      <c r="F158" s="1" t="s">
        <v>67</v>
      </c>
      <c r="G158" s="1" t="s">
        <v>74</v>
      </c>
      <c r="H158" s="1" t="s">
        <v>81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58" s="2">
        <f>Games[[#This Row],[DaysOff]]-Games[[#This Row],[OppDaysOff]]</f>
        <v>-3</v>
      </c>
      <c r="L158" s="2">
        <f>Games[[#This Row],[OppDaysOff]]-Games[[#This Row],[DaysOff]]</f>
        <v>3</v>
      </c>
      <c r="M158" s="1">
        <f>MAX(-16, MIN(16, Games[[#This Row],[RestDiff]]*8))</f>
        <v>-16</v>
      </c>
      <c r="N158" s="1">
        <f>MAX(-16, MIN(16, Games[[#This Row],[OppRestDiff]]*8))</f>
        <v>16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1514.2230536212276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1575.26611890903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0.26519459975930909</v>
      </c>
      <c r="R158" s="1">
        <v>74</v>
      </c>
      <c r="S158" s="1">
        <v>71</v>
      </c>
      <c r="T158" s="1">
        <v>0</v>
      </c>
      <c r="U158" s="1">
        <f>Games[[#This Row],[PointsFor]]-Games[[#This Row],[PointsAgainst]]</f>
        <v>3</v>
      </c>
      <c r="V158" s="1">
        <f>IF(Games[[#This Row],[MOV]]&gt;0,1,IF(Games[[#This Row],[MOV]]=0,0.5,0))</f>
        <v>1</v>
      </c>
      <c r="W158" s="4">
        <f>((ABS(Games[[#This Row],[MOV]])+5)^0.6)/(12+0.01*(ABS(Games[[#This Row],[PreGmRate]]-Games[[#This Row],[OppPreGmRate]])))*IF(Games[[#This Row],[OT]]=1,0.9,1)</f>
        <v>0.27613666408686594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73.900000000000006</v>
      </c>
      <c r="Z158" s="4">
        <f>Games[[#This Row],[K]]*Games[[#This Row],[POMult]]</f>
        <v>73.900000000000006</v>
      </c>
      <c r="AA158" s="4">
        <f>(Games[[#This Row],[Keff]]*Games[[#This Row],[MOVMult]])*(Games[[#This Row],[Result]]-Games[[#This Row],[ExpectedWin%]])</f>
        <v>14.994806014987882</v>
      </c>
      <c r="AB158" s="4">
        <f>Games[[#This Row],[PreGmRate]]+Games[[#This Row],[RatingChange]]</f>
        <v>1529.2178596362155</v>
      </c>
      <c r="AC158" s="2">
        <f>IF(Games[[#This Row],[Type]]="R",IF(Games[[#This Row],[Result]]&gt;0.5,1,0),0)</f>
        <v>1</v>
      </c>
      <c r="AD158" s="2">
        <f>IF(Games[[#This Row],[Type]]="R",IF(Games[[#This Row],[Result]]&lt;0.5,1,0),0)</f>
        <v>0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43652</v>
      </c>
      <c r="B159" s="2">
        <v>2019</v>
      </c>
      <c r="C159" s="2">
        <f>COUNTIFS(Games[Team],Games[[#This Row],[Team]],Games[Season],Games[[#This Row],[Season]],Games[Date],"&lt;=" &amp; Games[[#This Row],[Date]])</f>
        <v>14</v>
      </c>
      <c r="D159" s="2" t="s">
        <v>79</v>
      </c>
      <c r="E159" s="2" t="s">
        <v>80</v>
      </c>
      <c r="F159" s="1" t="s">
        <v>74</v>
      </c>
      <c r="G159" s="1" t="s">
        <v>67</v>
      </c>
      <c r="H159" s="1" t="s">
        <v>82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6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9" s="2">
        <f>Games[[#This Row],[DaysOff]]-Games[[#This Row],[OppDaysOff]]</f>
        <v>3</v>
      </c>
      <c r="L159" s="2">
        <f>Games[[#This Row],[OppDaysOff]]-Games[[#This Row],[DaysOff]]</f>
        <v>-3</v>
      </c>
      <c r="M159" s="1">
        <f>MAX(-16, MIN(16, Games[[#This Row],[RestDiff]]*8))</f>
        <v>16</v>
      </c>
      <c r="N159" s="1">
        <f>MAX(-16, MIN(16, Games[[#This Row],[OppRestDiff]]*8))</f>
        <v>-16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1575.26611890903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1514.2230536212276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0.73480540024069096</v>
      </c>
      <c r="R159" s="1">
        <v>71</v>
      </c>
      <c r="S159" s="1">
        <v>74</v>
      </c>
      <c r="T159" s="1">
        <v>0</v>
      </c>
      <c r="U159" s="1">
        <f>Games[[#This Row],[PointsFor]]-Games[[#This Row],[PointsAgainst]]</f>
        <v>-3</v>
      </c>
      <c r="V159" s="1">
        <f>IF(Games[[#This Row],[MOV]]&gt;0,1,IF(Games[[#This Row],[MOV]]=0,0.5,0))</f>
        <v>0</v>
      </c>
      <c r="W159" s="4">
        <f>((ABS(Games[[#This Row],[MOV]])+5)^0.6)/(12+0.01*(ABS(Games[[#This Row],[PreGmRate]]-Games[[#This Row],[OppPreGmRate]])))*IF(Games[[#This Row],[OT]]=1,0.9,1)</f>
        <v>0.27613666408686594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73.900000000000006</v>
      </c>
      <c r="Z159" s="4">
        <f>Games[[#This Row],[K]]*Games[[#This Row],[POMult]]</f>
        <v>73.900000000000006</v>
      </c>
      <c r="AA159" s="4">
        <f>(Games[[#This Row],[Keff]]*Games[[#This Row],[MOVMult]])*(Games[[#This Row],[Result]]-Games[[#This Row],[ExpectedWin%]])</f>
        <v>-14.994806014987882</v>
      </c>
      <c r="AB159" s="4">
        <f>Games[[#This Row],[PreGmRate]]+Games[[#This Row],[RatingChange]]</f>
        <v>1560.271312894042</v>
      </c>
      <c r="AC159" s="2">
        <f>IF(Games[[#This Row],[Type]]="R",IF(Games[[#This Row],[Result]]&gt;0.5,1,0),0)</f>
        <v>0</v>
      </c>
      <c r="AD159" s="2">
        <f>IF(Games[[#This Row],[Type]]="R",IF(Games[[#This Row],[Result]]&lt;0.5,1,0),0)</f>
        <v>1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43653</v>
      </c>
      <c r="B160" s="2">
        <v>2019</v>
      </c>
      <c r="C160" s="2">
        <f>COUNTIFS(Games[Team],Games[[#This Row],[Team]],Games[Season],Games[[#This Row],[Season]],Games[Date],"&lt;=" &amp; Games[[#This Row],[Date]])</f>
        <v>13</v>
      </c>
      <c r="D160" s="2" t="s">
        <v>79</v>
      </c>
      <c r="E160" s="2" t="s">
        <v>80</v>
      </c>
      <c r="F160" s="1" t="s">
        <v>85</v>
      </c>
      <c r="G160" s="1" t="s">
        <v>75</v>
      </c>
      <c r="H160" s="1" t="s">
        <v>81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60" s="2">
        <f>Games[[#This Row],[DaysOff]]-Games[[#This Row],[OppDaysOff]]</f>
        <v>-3</v>
      </c>
      <c r="L160" s="2">
        <f>Games[[#This Row],[OppDaysOff]]-Games[[#This Row],[DaysOff]]</f>
        <v>3</v>
      </c>
      <c r="M160" s="1">
        <f>MAX(-16, MIN(16, Games[[#This Row],[RestDiff]]*8))</f>
        <v>-16</v>
      </c>
      <c r="N160" s="1">
        <f>MAX(-16, MIN(16, Games[[#This Row],[OppRestDiff]]*8))</f>
        <v>16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1421.3137948459496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1458.4225400628543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0.29289504159687396</v>
      </c>
      <c r="R160" s="1">
        <v>66</v>
      </c>
      <c r="S160" s="1">
        <v>78</v>
      </c>
      <c r="T160" s="1">
        <v>0</v>
      </c>
      <c r="U160" s="1">
        <f>Games[[#This Row],[PointsFor]]-Games[[#This Row],[PointsAgainst]]</f>
        <v>-12</v>
      </c>
      <c r="V160" s="1">
        <f>IF(Games[[#This Row],[MOV]]&gt;0,1,IF(Games[[#This Row],[MOV]]=0,0.5,0))</f>
        <v>0</v>
      </c>
      <c r="W160" s="4">
        <f>((ABS(Games[[#This Row],[MOV]])+5)^0.6)/(12+0.01*(ABS(Games[[#This Row],[PreGmRate]]-Games[[#This Row],[OppPreGmRate]])))*IF(Games[[#This Row],[OT]]=1,0.9,1)</f>
        <v>0.44244722528081393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74.05</v>
      </c>
      <c r="Z160" s="4">
        <f>Games[[#This Row],[K]]*Games[[#This Row],[POMult]]</f>
        <v>74.05</v>
      </c>
      <c r="AA160" s="4">
        <f>(Games[[#This Row],[Keff]]*Games[[#This Row],[MOVMult]])*(Games[[#This Row],[Result]]-Games[[#This Row],[ExpectedWin%]])</f>
        <v>-9.5961838154480148</v>
      </c>
      <c r="AB160" s="4">
        <f>Games[[#This Row],[PreGmRate]]+Games[[#This Row],[RatingChange]]</f>
        <v>1411.7176110305015</v>
      </c>
      <c r="AC160" s="2">
        <f>IF(Games[[#This Row],[Type]]="R",IF(Games[[#This Row],[Result]]&gt;0.5,1,0),0)</f>
        <v>0</v>
      </c>
      <c r="AD160" s="2">
        <f>IF(Games[[#This Row],[Type]]="R",IF(Games[[#This Row],[Result]]&lt;0.5,1,0),0)</f>
        <v>1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43653</v>
      </c>
      <c r="B161" s="2">
        <v>2019</v>
      </c>
      <c r="C161" s="2">
        <f>COUNTIFS(Games[Team],Games[[#This Row],[Team]],Games[Season],Games[[#This Row],[Season]],Games[Date],"&lt;=" &amp; Games[[#This Row],[Date]])</f>
        <v>14</v>
      </c>
      <c r="D161" s="2" t="s">
        <v>79</v>
      </c>
      <c r="E161" s="2" t="s">
        <v>80</v>
      </c>
      <c r="F161" s="1" t="s">
        <v>75</v>
      </c>
      <c r="G161" s="1" t="s">
        <v>85</v>
      </c>
      <c r="H161" s="1" t="s">
        <v>82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1" s="2">
        <f>Games[[#This Row],[DaysOff]]-Games[[#This Row],[OppDaysOff]]</f>
        <v>3</v>
      </c>
      <c r="L161" s="2">
        <f>Games[[#This Row],[OppDaysOff]]-Games[[#This Row],[DaysOff]]</f>
        <v>-3</v>
      </c>
      <c r="M161" s="1">
        <f>MAX(-16, MIN(16, Games[[#This Row],[RestDiff]]*8))</f>
        <v>16</v>
      </c>
      <c r="N161" s="1">
        <f>MAX(-16, MIN(16, Games[[#This Row],[OppRestDiff]]*8))</f>
        <v>-16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1458.4225400628543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1421.3137948459496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0.70710495840312604</v>
      </c>
      <c r="R161" s="1">
        <v>78</v>
      </c>
      <c r="S161" s="1">
        <v>66</v>
      </c>
      <c r="T161" s="1">
        <v>0</v>
      </c>
      <c r="U161" s="1">
        <f>Games[[#This Row],[PointsFor]]-Games[[#This Row],[PointsAgainst]]</f>
        <v>12</v>
      </c>
      <c r="V161" s="1">
        <f>IF(Games[[#This Row],[MOV]]&gt;0,1,IF(Games[[#This Row],[MOV]]=0,0.5,0))</f>
        <v>1</v>
      </c>
      <c r="W161" s="4">
        <f>((ABS(Games[[#This Row],[MOV]])+5)^0.6)/(12+0.01*(ABS(Games[[#This Row],[PreGmRate]]-Games[[#This Row],[OppPreGmRate]])))*IF(Games[[#This Row],[OT]]=1,0.9,1)</f>
        <v>0.44244722528081393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73.900000000000006</v>
      </c>
      <c r="Z161" s="4">
        <f>Games[[#This Row],[K]]*Games[[#This Row],[POMult]]</f>
        <v>73.900000000000006</v>
      </c>
      <c r="AA161" s="4">
        <f>(Games[[#This Row],[Keff]]*Games[[#This Row],[MOVMult]])*(Games[[#This Row],[Result]]-Games[[#This Row],[ExpectedWin%]])</f>
        <v>9.5767452256800603</v>
      </c>
      <c r="AB161" s="4">
        <f>Games[[#This Row],[PreGmRate]]+Games[[#This Row],[RatingChange]]</f>
        <v>1467.9992852885343</v>
      </c>
      <c r="AC161" s="2">
        <f>IF(Games[[#This Row],[Type]]="R",IF(Games[[#This Row],[Result]]&gt;0.5,1,0),0)</f>
        <v>1</v>
      </c>
      <c r="AD161" s="2">
        <f>IF(Games[[#This Row],[Type]]="R",IF(Games[[#This Row],[Result]]&lt;0.5,1,0),0)</f>
        <v>0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43653</v>
      </c>
      <c r="B162" s="2">
        <v>2019</v>
      </c>
      <c r="C162" s="2">
        <f>COUNTIFS(Games[Team],Games[[#This Row],[Team]],Games[Season],Games[[#This Row],[Season]],Games[Date],"&lt;=" &amp; Games[[#This Row],[Date]])</f>
        <v>13</v>
      </c>
      <c r="D162" s="2" t="s">
        <v>79</v>
      </c>
      <c r="E162" s="2" t="s">
        <v>80</v>
      </c>
      <c r="F162" s="1" t="s">
        <v>65</v>
      </c>
      <c r="G162" s="1" t="s">
        <v>63</v>
      </c>
      <c r="H162" s="1" t="s">
        <v>81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7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62" s="2">
        <f>Games[[#This Row],[DaysOff]]-Games[[#This Row],[OppDaysOff]]</f>
        <v>1</v>
      </c>
      <c r="L162" s="2">
        <f>Games[[#This Row],[OppDaysOff]]-Games[[#This Row],[DaysOff]]</f>
        <v>-1</v>
      </c>
      <c r="M162" s="1">
        <f>MAX(-16, MIN(16, Games[[#This Row],[RestDiff]]*8))</f>
        <v>8</v>
      </c>
      <c r="N162" s="1">
        <f>MAX(-16, MIN(16, Games[[#This Row],[OppRestDiff]]*8))</f>
        <v>-8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1648.3997584577953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1511.2491507110224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0.59822216131944705</v>
      </c>
      <c r="R162" s="1">
        <v>81</v>
      </c>
      <c r="S162" s="1">
        <v>98</v>
      </c>
      <c r="T162" s="1">
        <v>0</v>
      </c>
      <c r="U162" s="1">
        <f>Games[[#This Row],[PointsFor]]-Games[[#This Row],[PointsAgainst]]</f>
        <v>-17</v>
      </c>
      <c r="V162" s="1">
        <f>IF(Games[[#This Row],[MOV]]&gt;0,1,IF(Games[[#This Row],[MOV]]=0,0.5,0))</f>
        <v>0</v>
      </c>
      <c r="W162" s="4">
        <f>((ABS(Games[[#This Row],[MOV]])+5)^0.6)/(12+0.01*(ABS(Games[[#This Row],[PreGmRate]]-Games[[#This Row],[OppPreGmRate]])))*IF(Games[[#This Row],[OT]]=1,0.9,1)</f>
        <v>0.47782985641015857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74.05</v>
      </c>
      <c r="Z162" s="4">
        <f>Games[[#This Row],[K]]*Games[[#This Row],[POMult]]</f>
        <v>74.05</v>
      </c>
      <c r="AA162" s="4">
        <f>(Games[[#This Row],[Keff]]*Games[[#This Row],[MOVMult]])*(Games[[#This Row],[Result]]-Games[[#This Row],[ExpectedWin%]])</f>
        <v>-21.167074719376043</v>
      </c>
      <c r="AB162" s="4">
        <f>Games[[#This Row],[PreGmRate]]+Games[[#This Row],[RatingChange]]</f>
        <v>1627.2326837384194</v>
      </c>
      <c r="AC162" s="2">
        <f>IF(Games[[#This Row],[Type]]="R",IF(Games[[#This Row],[Result]]&gt;0.5,1,0),0)</f>
        <v>0</v>
      </c>
      <c r="AD162" s="2">
        <f>IF(Games[[#This Row],[Type]]="R",IF(Games[[#This Row],[Result]]&lt;0.5,1,0),0)</f>
        <v>1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43653</v>
      </c>
      <c r="B163" s="2">
        <v>2019</v>
      </c>
      <c r="C163" s="2">
        <f>COUNTIFS(Games[Team],Games[[#This Row],[Team]],Games[Season],Games[[#This Row],[Season]],Games[Date],"&lt;=" &amp; Games[[#This Row],[Date]])</f>
        <v>13</v>
      </c>
      <c r="D163" s="2" t="s">
        <v>79</v>
      </c>
      <c r="E163" s="2" t="s">
        <v>80</v>
      </c>
      <c r="F163" s="1" t="s">
        <v>63</v>
      </c>
      <c r="G163" s="1" t="s">
        <v>65</v>
      </c>
      <c r="H163" s="1" t="s">
        <v>82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6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163" s="2">
        <f>Games[[#This Row],[DaysOff]]-Games[[#This Row],[OppDaysOff]]</f>
        <v>-1</v>
      </c>
      <c r="L163" s="2">
        <f>Games[[#This Row],[OppDaysOff]]-Games[[#This Row],[DaysOff]]</f>
        <v>1</v>
      </c>
      <c r="M163" s="1">
        <f>MAX(-16, MIN(16, Games[[#This Row],[RestDiff]]*8))</f>
        <v>-8</v>
      </c>
      <c r="N163" s="1">
        <f>MAX(-16, MIN(16, Games[[#This Row],[OppRestDiff]]*8))</f>
        <v>8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1511.2491507110224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1648.3997584577953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0.40177783868055289</v>
      </c>
      <c r="R163" s="1">
        <v>98</v>
      </c>
      <c r="S163" s="1">
        <v>81</v>
      </c>
      <c r="T163" s="1">
        <v>0</v>
      </c>
      <c r="U163" s="1">
        <f>Games[[#This Row],[PointsFor]]-Games[[#This Row],[PointsAgainst]]</f>
        <v>17</v>
      </c>
      <c r="V163" s="1">
        <f>IF(Games[[#This Row],[MOV]]&gt;0,1,IF(Games[[#This Row],[MOV]]=0,0.5,0))</f>
        <v>1</v>
      </c>
      <c r="W163" s="4">
        <f>((ABS(Games[[#This Row],[MOV]])+5)^0.6)/(12+0.01*(ABS(Games[[#This Row],[PreGmRate]]-Games[[#This Row],[OppPreGmRate]])))*IF(Games[[#This Row],[OT]]=1,0.9,1)</f>
        <v>0.47782985641015857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74.05</v>
      </c>
      <c r="Z163" s="4">
        <f>Games[[#This Row],[K]]*Games[[#This Row],[POMult]]</f>
        <v>74.05</v>
      </c>
      <c r="AA163" s="4">
        <f>(Games[[#This Row],[Keff]]*Games[[#This Row],[MOVMult]])*(Games[[#This Row],[Result]]-Games[[#This Row],[ExpectedWin%]])</f>
        <v>21.167074719376046</v>
      </c>
      <c r="AB163" s="4">
        <f>Games[[#This Row],[PreGmRate]]+Games[[#This Row],[RatingChange]]</f>
        <v>1532.4162254303983</v>
      </c>
      <c r="AC163" s="2">
        <f>IF(Games[[#This Row],[Type]]="R",IF(Games[[#This Row],[Result]]&gt;0.5,1,0),0)</f>
        <v>1</v>
      </c>
      <c r="AD163" s="2">
        <f>IF(Games[[#This Row],[Type]]="R",IF(Games[[#This Row],[Result]]&lt;0.5,1,0),0)</f>
        <v>0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43653</v>
      </c>
      <c r="B164" s="2">
        <v>2019</v>
      </c>
      <c r="C164" s="2">
        <f>COUNTIFS(Games[Team],Games[[#This Row],[Team]],Games[Season],Games[[#This Row],[Season]],Games[Date],"&lt;=" &amp; Games[[#This Row],[Date]])</f>
        <v>14</v>
      </c>
      <c r="D164" s="2" t="s">
        <v>79</v>
      </c>
      <c r="E164" s="2" t="s">
        <v>80</v>
      </c>
      <c r="F164" s="1" t="s">
        <v>86</v>
      </c>
      <c r="G164" s="1" t="s">
        <v>60</v>
      </c>
      <c r="H164" s="1" t="s">
        <v>81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4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4" s="2">
        <f>Games[[#This Row],[DaysOff]]-Games[[#This Row],[OppDaysOff]]</f>
        <v>3</v>
      </c>
      <c r="L164" s="2">
        <f>Games[[#This Row],[OppDaysOff]]-Games[[#This Row],[DaysOff]]</f>
        <v>-3</v>
      </c>
      <c r="M164" s="1">
        <f>MAX(-16, MIN(16, Games[[#This Row],[RestDiff]]*8))</f>
        <v>16</v>
      </c>
      <c r="N164" s="1">
        <f>MAX(-16, MIN(16, Games[[#This Row],[OppRestDiff]]*8))</f>
        <v>-16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1505.9365066906767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1446.3298861034664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0.51094505827234726</v>
      </c>
      <c r="R164" s="1">
        <v>90</v>
      </c>
      <c r="S164" s="1">
        <v>58</v>
      </c>
      <c r="T164" s="1">
        <v>0</v>
      </c>
      <c r="U164" s="1">
        <f>Games[[#This Row],[PointsFor]]-Games[[#This Row],[PointsAgainst]]</f>
        <v>32</v>
      </c>
      <c r="V164" s="1">
        <f>IF(Games[[#This Row],[MOV]]&gt;0,1,IF(Games[[#This Row],[MOV]]=0,0.5,0))</f>
        <v>1</v>
      </c>
      <c r="W164" s="4">
        <f>((ABS(Games[[#This Row],[MOV]])+5)^0.6)/(12+0.01*(ABS(Games[[#This Row],[PreGmRate]]-Games[[#This Row],[OppPreGmRate]])))*IF(Games[[#This Row],[OT]]=1,0.9,1)</f>
        <v>0.69292479144061703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73.900000000000006</v>
      </c>
      <c r="Z164" s="4">
        <f>Games[[#This Row],[K]]*Games[[#This Row],[POMult]]</f>
        <v>73.900000000000006</v>
      </c>
      <c r="AA164" s="4">
        <f>(Games[[#This Row],[Keff]]*Games[[#This Row],[MOVMult]])*(Games[[#This Row],[Result]]-Games[[#This Row],[ExpectedWin%]])</f>
        <v>25.04310588962317</v>
      </c>
      <c r="AB164" s="4">
        <f>Games[[#This Row],[PreGmRate]]+Games[[#This Row],[RatingChange]]</f>
        <v>1530.9796125802998</v>
      </c>
      <c r="AC164" s="2">
        <f>IF(Games[[#This Row],[Type]]="R",IF(Games[[#This Row],[Result]]&gt;0.5,1,0),0)</f>
        <v>1</v>
      </c>
      <c r="AD164" s="2">
        <f>IF(Games[[#This Row],[Type]]="R",IF(Games[[#This Row],[Result]]&lt;0.5,1,0),0)</f>
        <v>0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43653</v>
      </c>
      <c r="B165" s="2">
        <v>2019</v>
      </c>
      <c r="C165" s="2">
        <f>COUNTIFS(Games[Team],Games[[#This Row],[Team]],Games[Season],Games[[#This Row],[Season]],Games[Date],"&lt;=" &amp; Games[[#This Row],[Date]])</f>
        <v>15</v>
      </c>
      <c r="D165" s="2" t="s">
        <v>79</v>
      </c>
      <c r="E165" s="2" t="s">
        <v>80</v>
      </c>
      <c r="F165" s="1" t="s">
        <v>60</v>
      </c>
      <c r="G165" s="1" t="s">
        <v>86</v>
      </c>
      <c r="H165" s="1" t="s">
        <v>82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65" s="2">
        <f>Games[[#This Row],[DaysOff]]-Games[[#This Row],[OppDaysOff]]</f>
        <v>-3</v>
      </c>
      <c r="L165" s="2">
        <f>Games[[#This Row],[OppDaysOff]]-Games[[#This Row],[DaysOff]]</f>
        <v>3</v>
      </c>
      <c r="M165" s="1">
        <f>MAX(-16, MIN(16, Games[[#This Row],[RestDiff]]*8))</f>
        <v>-16</v>
      </c>
      <c r="N165" s="1">
        <f>MAX(-16, MIN(16, Games[[#This Row],[OppRestDiff]]*8))</f>
        <v>16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1446.3298861034664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1505.9365066906767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0.48905494172765274</v>
      </c>
      <c r="R165" s="1">
        <v>58</v>
      </c>
      <c r="S165" s="1">
        <v>90</v>
      </c>
      <c r="T165" s="1">
        <v>0</v>
      </c>
      <c r="U165" s="1">
        <f>Games[[#This Row],[PointsFor]]-Games[[#This Row],[PointsAgainst]]</f>
        <v>-32</v>
      </c>
      <c r="V165" s="1">
        <f>IF(Games[[#This Row],[MOV]]&gt;0,1,IF(Games[[#This Row],[MOV]]=0,0.5,0))</f>
        <v>0</v>
      </c>
      <c r="W165" s="4">
        <f>((ABS(Games[[#This Row],[MOV]])+5)^0.6)/(12+0.01*(ABS(Games[[#This Row],[PreGmRate]]-Games[[#This Row],[OppPreGmRate]])))*IF(Games[[#This Row],[OT]]=1,0.9,1)</f>
        <v>0.69292479144061703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73.75</v>
      </c>
      <c r="Z165" s="4">
        <f>Games[[#This Row],[K]]*Games[[#This Row],[POMult]]</f>
        <v>73.75</v>
      </c>
      <c r="AA165" s="4">
        <f>(Games[[#This Row],[Keff]]*Games[[#This Row],[MOVMult]])*(Games[[#This Row],[Result]]-Games[[#This Row],[ExpectedWin%]])</f>
        <v>-24.99227414559822</v>
      </c>
      <c r="AB165" s="4">
        <f>Games[[#This Row],[PreGmRate]]+Games[[#This Row],[RatingChange]]</f>
        <v>1421.3376119578681</v>
      </c>
      <c r="AC165" s="2">
        <f>IF(Games[[#This Row],[Type]]="R",IF(Games[[#This Row],[Result]]&gt;0.5,1,0),0)</f>
        <v>0</v>
      </c>
      <c r="AD165" s="2">
        <f>IF(Games[[#This Row],[Type]]="R",IF(Games[[#This Row],[Result]]&lt;0.5,1,0),0)</f>
        <v>1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43653</v>
      </c>
      <c r="B166" s="2">
        <v>2019</v>
      </c>
      <c r="C166" s="2">
        <f>COUNTIFS(Games[Team],Games[[#This Row],[Team]],Games[Season],Games[[#This Row],[Season]],Games[Date],"&lt;=" &amp; Games[[#This Row],[Date]])</f>
        <v>13</v>
      </c>
      <c r="D166" s="2" t="s">
        <v>79</v>
      </c>
      <c r="E166" s="2" t="s">
        <v>80</v>
      </c>
      <c r="F166" s="1" t="s">
        <v>77</v>
      </c>
      <c r="G166" s="1" t="s">
        <v>40</v>
      </c>
      <c r="H166" s="1" t="s">
        <v>81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6" s="2">
        <f>Games[[#This Row],[DaysOff]]-Games[[#This Row],[OppDaysOff]]</f>
        <v>0</v>
      </c>
      <c r="L166" s="2">
        <f>Games[[#This Row],[OppDaysOff]]-Games[[#This Row],[DaysOff]]</f>
        <v>0</v>
      </c>
      <c r="M166" s="1">
        <f>MAX(-16, MIN(16, Games[[#This Row],[RestDiff]]*8))</f>
        <v>0</v>
      </c>
      <c r="N166" s="1">
        <f>MAX(-16, MIN(16, Games[[#This Row],[OppRestDiff]]*8))</f>
        <v>0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1425.874112758677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1507.0844707278311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0.27867827688306823</v>
      </c>
      <c r="R166" s="1">
        <v>63</v>
      </c>
      <c r="S166" s="1">
        <v>65</v>
      </c>
      <c r="T166" s="1">
        <v>0</v>
      </c>
      <c r="U166" s="1">
        <f>Games[[#This Row],[PointsFor]]-Games[[#This Row],[PointsAgainst]]</f>
        <v>-2</v>
      </c>
      <c r="V166" s="1">
        <f>IF(Games[[#This Row],[MOV]]&gt;0,1,IF(Games[[#This Row],[MOV]]=0,0.5,0))</f>
        <v>0</v>
      </c>
      <c r="W166" s="4">
        <f>((ABS(Games[[#This Row],[MOV]])+5)^0.6)/(12+0.01*(ABS(Games[[#This Row],[PreGmRate]]-Games[[#This Row],[OppPreGmRate]])))*IF(Games[[#This Row],[OT]]=1,0.9,1)</f>
        <v>0.25086402320464379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74.05</v>
      </c>
      <c r="Z166" s="4">
        <f>Games[[#This Row],[K]]*Games[[#This Row],[POMult]]</f>
        <v>74.05</v>
      </c>
      <c r="AA166" s="4">
        <f>(Games[[#This Row],[Keff]]*Games[[#This Row],[MOVMult]])*(Games[[#This Row],[Result]]-Games[[#This Row],[ExpectedWin%]])</f>
        <v>-5.1768616928641205</v>
      </c>
      <c r="AB166" s="4">
        <f>Games[[#This Row],[PreGmRate]]+Games[[#This Row],[RatingChange]]</f>
        <v>1420.6972510658129</v>
      </c>
      <c r="AC166" s="2">
        <f>IF(Games[[#This Row],[Type]]="R",IF(Games[[#This Row],[Result]]&gt;0.5,1,0),0)</f>
        <v>0</v>
      </c>
      <c r="AD166" s="2">
        <f>IF(Games[[#This Row],[Type]]="R",IF(Games[[#This Row],[Result]]&lt;0.5,1,0),0)</f>
        <v>1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43653</v>
      </c>
      <c r="B167" s="2">
        <v>2019</v>
      </c>
      <c r="C167" s="2">
        <f>COUNTIFS(Games[Team],Games[[#This Row],[Team]],Games[Season],Games[[#This Row],[Season]],Games[Date],"&lt;=" &amp; Games[[#This Row],[Date]])</f>
        <v>12</v>
      </c>
      <c r="D167" s="2" t="s">
        <v>79</v>
      </c>
      <c r="E167" s="2" t="s">
        <v>80</v>
      </c>
      <c r="F167" s="1" t="s">
        <v>40</v>
      </c>
      <c r="G167" s="1" t="s">
        <v>77</v>
      </c>
      <c r="H167" s="1" t="s">
        <v>82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7" s="2">
        <f>Games[[#This Row],[DaysOff]]-Games[[#This Row],[OppDaysOff]]</f>
        <v>0</v>
      </c>
      <c r="L167" s="2">
        <f>Games[[#This Row],[OppDaysOff]]-Games[[#This Row],[DaysOff]]</f>
        <v>0</v>
      </c>
      <c r="M167" s="1">
        <f>MAX(-16, MIN(16, Games[[#This Row],[RestDiff]]*8))</f>
        <v>0</v>
      </c>
      <c r="N167" s="1">
        <f>MAX(-16, MIN(16, Games[[#This Row],[OppRestDiff]]*8))</f>
        <v>0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1507.0844707278311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1425.874112758677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0.72132172311693177</v>
      </c>
      <c r="R167" s="1">
        <v>65</v>
      </c>
      <c r="S167" s="1">
        <v>63</v>
      </c>
      <c r="T167" s="1">
        <v>0</v>
      </c>
      <c r="U167" s="1">
        <f>Games[[#This Row],[PointsFor]]-Games[[#This Row],[PointsAgainst]]</f>
        <v>2</v>
      </c>
      <c r="V167" s="1">
        <f>IF(Games[[#This Row],[MOV]]&gt;0,1,IF(Games[[#This Row],[MOV]]=0,0.5,0))</f>
        <v>1</v>
      </c>
      <c r="W167" s="4">
        <f>((ABS(Games[[#This Row],[MOV]])+5)^0.6)/(12+0.01*(ABS(Games[[#This Row],[PreGmRate]]-Games[[#This Row],[OppPreGmRate]])))*IF(Games[[#This Row],[OT]]=1,0.9,1)</f>
        <v>0.25086402320464379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74.2</v>
      </c>
      <c r="Z167" s="4">
        <f>Games[[#This Row],[K]]*Games[[#This Row],[POMult]]</f>
        <v>74.2</v>
      </c>
      <c r="AA167" s="4">
        <f>(Games[[#This Row],[Keff]]*Games[[#This Row],[MOVMult]])*(Games[[#This Row],[Result]]-Games[[#This Row],[ExpectedWin%]])</f>
        <v>5.187348245921914</v>
      </c>
      <c r="AB167" s="4">
        <f>Games[[#This Row],[PreGmRate]]+Games[[#This Row],[RatingChange]]</f>
        <v>1512.2718189737529</v>
      </c>
      <c r="AC167" s="2">
        <f>IF(Games[[#This Row],[Type]]="R",IF(Games[[#This Row],[Result]]&gt;0.5,1,0),0)</f>
        <v>1</v>
      </c>
      <c r="AD167" s="2">
        <f>IF(Games[[#This Row],[Type]]="R",IF(Games[[#This Row],[Result]]&lt;0.5,1,0),0)</f>
        <v>0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43655</v>
      </c>
      <c r="B168" s="2">
        <v>2019</v>
      </c>
      <c r="C168" s="2">
        <f>COUNTIFS(Games[Team],Games[[#This Row],[Team]],Games[Season],Games[[#This Row],[Season]],Games[Date],"&lt;=" &amp; Games[[#This Row],[Date]])</f>
        <v>14</v>
      </c>
      <c r="D168" s="2" t="s">
        <v>79</v>
      </c>
      <c r="E168" s="2" t="s">
        <v>80</v>
      </c>
      <c r="F168" s="1" t="s">
        <v>63</v>
      </c>
      <c r="G168" s="1" t="s">
        <v>85</v>
      </c>
      <c r="H168" s="1" t="s">
        <v>81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8" s="2">
        <f>Games[[#This Row],[DaysOff]]-Games[[#This Row],[OppDaysOff]]</f>
        <v>0</v>
      </c>
      <c r="L168" s="2">
        <f>Games[[#This Row],[OppDaysOff]]-Games[[#This Row],[DaysOff]]</f>
        <v>0</v>
      </c>
      <c r="M168" s="1">
        <f>MAX(-16, MIN(16, Games[[#This Row],[RestDiff]]*8))</f>
        <v>0</v>
      </c>
      <c r="N168" s="1">
        <f>MAX(-16, MIN(16, Games[[#This Row],[OppRestDiff]]*8))</f>
        <v>0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1532.4162254303983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1411.7176110305015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0.55261800906612912</v>
      </c>
      <c r="R168" s="1">
        <v>62</v>
      </c>
      <c r="S168" s="1">
        <v>74</v>
      </c>
      <c r="T168" s="1">
        <v>0</v>
      </c>
      <c r="U168" s="1">
        <f>Games[[#This Row],[PointsFor]]-Games[[#This Row],[PointsAgainst]]</f>
        <v>-12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0.41444378431528672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73.900000000000006</v>
      </c>
      <c r="Z168" s="4">
        <f>Games[[#This Row],[K]]*Games[[#This Row],[POMult]]</f>
        <v>73.900000000000006</v>
      </c>
      <c r="AA168" s="4">
        <f>(Games[[#This Row],[Keff]]*Games[[#This Row],[MOVMult]])*(Games[[#This Row],[Result]]-Games[[#This Row],[ExpectedWin%]])</f>
        <v>-16.925250413006989</v>
      </c>
      <c r="AB168" s="4">
        <f>Games[[#This Row],[PreGmRate]]+Games[[#This Row],[RatingChange]]</f>
        <v>1515.4909750173913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43655</v>
      </c>
      <c r="B169" s="2">
        <v>2019</v>
      </c>
      <c r="C169" s="2">
        <f>COUNTIFS(Games[Team],Games[[#This Row],[Team]],Games[Season],Games[[#This Row],[Season]],Games[Date],"&lt;=" &amp; Games[[#This Row],[Date]])</f>
        <v>14</v>
      </c>
      <c r="D169" s="2" t="s">
        <v>79</v>
      </c>
      <c r="E169" s="2" t="s">
        <v>80</v>
      </c>
      <c r="F169" s="1" t="s">
        <v>85</v>
      </c>
      <c r="G169" s="1" t="s">
        <v>63</v>
      </c>
      <c r="H169" s="1" t="s">
        <v>82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9" s="2">
        <f>Games[[#This Row],[DaysOff]]-Games[[#This Row],[OppDaysOff]]</f>
        <v>0</v>
      </c>
      <c r="L169" s="2">
        <f>Games[[#This Row],[OppDaysOff]]-Games[[#This Row],[DaysOff]]</f>
        <v>0</v>
      </c>
      <c r="M169" s="1">
        <f>MAX(-16, MIN(16, Games[[#This Row],[RestDiff]]*8))</f>
        <v>0</v>
      </c>
      <c r="N169" s="1">
        <f>MAX(-16, MIN(16, Games[[#This Row],[OppRestDiff]]*8))</f>
        <v>0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1411.7176110305015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1532.4162254303983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0.44738199093387088</v>
      </c>
      <c r="R169" s="1">
        <v>74</v>
      </c>
      <c r="S169" s="1">
        <v>62</v>
      </c>
      <c r="T169" s="1">
        <v>0</v>
      </c>
      <c r="U169" s="1">
        <f>Games[[#This Row],[PointsFor]]-Games[[#This Row],[PointsAgainst]]</f>
        <v>12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0.41444378431528672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73.900000000000006</v>
      </c>
      <c r="Z169" s="4">
        <f>Games[[#This Row],[K]]*Games[[#This Row],[POMult]]</f>
        <v>73.900000000000006</v>
      </c>
      <c r="AA169" s="4">
        <f>(Games[[#This Row],[Keff]]*Games[[#This Row],[MOVMult]])*(Games[[#This Row],[Result]]-Games[[#This Row],[ExpectedWin%]])</f>
        <v>16.925250413006989</v>
      </c>
      <c r="AB169" s="4">
        <f>Games[[#This Row],[PreGmRate]]+Games[[#This Row],[RatingChange]]</f>
        <v>1428.6428614435085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43656</v>
      </c>
      <c r="B170" s="2">
        <v>2019</v>
      </c>
      <c r="C170" s="2">
        <f>COUNTIFS(Games[Team],Games[[#This Row],[Team]],Games[Season],Games[[#This Row],[Season]],Games[Date],"&lt;=" &amp; Games[[#This Row],[Date]])</f>
        <v>15</v>
      </c>
      <c r="D170" s="2" t="s">
        <v>79</v>
      </c>
      <c r="E170" s="2" t="s">
        <v>80</v>
      </c>
      <c r="F170" s="1" t="s">
        <v>74</v>
      </c>
      <c r="G170" s="1" t="s">
        <v>77</v>
      </c>
      <c r="H170" s="1" t="s">
        <v>81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0" s="2">
        <f>Games[[#This Row],[DaysOff]]-Games[[#This Row],[OppDaysOff]]</f>
        <v>1</v>
      </c>
      <c r="L170" s="2">
        <f>Games[[#This Row],[OppDaysOff]]-Games[[#This Row],[DaysOff]]</f>
        <v>-1</v>
      </c>
      <c r="M170" s="1">
        <f>MAX(-16, MIN(16, Games[[#This Row],[RestDiff]]*8))</f>
        <v>8</v>
      </c>
      <c r="N170" s="1">
        <f>MAX(-16, MIN(16, Games[[#This Row],[OppRestDiff]]*8))</f>
        <v>-8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1560.271312894042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1420.6972510658129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0.60157056067624537</v>
      </c>
      <c r="R170" s="1">
        <v>75</v>
      </c>
      <c r="S170" s="1">
        <v>78</v>
      </c>
      <c r="T170" s="1">
        <v>0</v>
      </c>
      <c r="U170" s="1">
        <f>Games[[#This Row],[PointsFor]]-Games[[#This Row],[PointsAgainst]]</f>
        <v>-3</v>
      </c>
      <c r="V170" s="1">
        <f>IF(Games[[#This Row],[MOV]]&gt;0,1,IF(Games[[#This Row],[MOV]]=0,0.5,0))</f>
        <v>0</v>
      </c>
      <c r="W170" s="4">
        <f>((ABS(Games[[#This Row],[MOV]])+5)^0.6)/(12+0.01*(ABS(Games[[#This Row],[PreGmRate]]-Games[[#This Row],[OppPreGmRate]])))*IF(Games[[#This Row],[OT]]=1,0.9,1)</f>
        <v>0.25994846812964134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73.75</v>
      </c>
      <c r="Z170" s="4">
        <f>Games[[#This Row],[K]]*Games[[#This Row],[POMult]]</f>
        <v>73.75</v>
      </c>
      <c r="AA170" s="4">
        <f>(Games[[#This Row],[Keff]]*Games[[#This Row],[MOVMult]])*(Games[[#This Row],[Result]]-Games[[#This Row],[ExpectedWin%]])</f>
        <v>-11.53282924682636</v>
      </c>
      <c r="AB170" s="4">
        <f>Games[[#This Row],[PreGmRate]]+Games[[#This Row],[RatingChange]]</f>
        <v>1548.7384836472156</v>
      </c>
      <c r="AC170" s="2">
        <f>IF(Games[[#This Row],[Type]]="R",IF(Games[[#This Row],[Result]]&gt;0.5,1,0),0)</f>
        <v>0</v>
      </c>
      <c r="AD170" s="2">
        <f>IF(Games[[#This Row],[Type]]="R",IF(Games[[#This Row],[Result]]&lt;0.5,1,0),0)</f>
        <v>1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43656</v>
      </c>
      <c r="B171" s="2">
        <v>2019</v>
      </c>
      <c r="C171" s="2">
        <f>COUNTIFS(Games[Team],Games[[#This Row],[Team]],Games[Season],Games[[#This Row],[Season]],Games[Date],"&lt;=" &amp; Games[[#This Row],[Date]])</f>
        <v>14</v>
      </c>
      <c r="D171" s="2" t="s">
        <v>79</v>
      </c>
      <c r="E171" s="2" t="s">
        <v>80</v>
      </c>
      <c r="F171" s="1" t="s">
        <v>77</v>
      </c>
      <c r="G171" s="1" t="s">
        <v>74</v>
      </c>
      <c r="H171" s="1" t="s">
        <v>82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1" s="2">
        <f>Games[[#This Row],[DaysOff]]-Games[[#This Row],[OppDaysOff]]</f>
        <v>-1</v>
      </c>
      <c r="L171" s="2">
        <f>Games[[#This Row],[OppDaysOff]]-Games[[#This Row],[DaysOff]]</f>
        <v>1</v>
      </c>
      <c r="M171" s="1">
        <f>MAX(-16, MIN(16, Games[[#This Row],[RestDiff]]*8))</f>
        <v>-8</v>
      </c>
      <c r="N171" s="1">
        <f>MAX(-16, MIN(16, Games[[#This Row],[OppRestDiff]]*8))</f>
        <v>8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1420.6972510658129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1560.271312894042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0.39842943932375458</v>
      </c>
      <c r="R171" s="1">
        <v>78</v>
      </c>
      <c r="S171" s="1">
        <v>75</v>
      </c>
      <c r="T171" s="1">
        <v>0</v>
      </c>
      <c r="U171" s="1">
        <f>Games[[#This Row],[PointsFor]]-Games[[#This Row],[PointsAgainst]]</f>
        <v>3</v>
      </c>
      <c r="V171" s="1">
        <f>IF(Games[[#This Row],[MOV]]&gt;0,1,IF(Games[[#This Row],[MOV]]=0,0.5,0))</f>
        <v>1</v>
      </c>
      <c r="W171" s="4">
        <f>((ABS(Games[[#This Row],[MOV]])+5)^0.6)/(12+0.01*(ABS(Games[[#This Row],[PreGmRate]]-Games[[#This Row],[OppPreGmRate]])))*IF(Games[[#This Row],[OT]]=1,0.9,1)</f>
        <v>0.25994846812964134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73.900000000000006</v>
      </c>
      <c r="Z171" s="4">
        <f>Games[[#This Row],[K]]*Games[[#This Row],[POMult]]</f>
        <v>73.900000000000006</v>
      </c>
      <c r="AA171" s="4">
        <f>(Games[[#This Row],[Keff]]*Games[[#This Row],[MOVMult]])*(Games[[#This Row],[Result]]-Games[[#This Row],[ExpectedWin%]])</f>
        <v>11.556285848684311</v>
      </c>
      <c r="AB171" s="4">
        <f>Games[[#This Row],[PreGmRate]]+Games[[#This Row],[RatingChange]]</f>
        <v>1432.2535369144973</v>
      </c>
      <c r="AC171" s="2">
        <f>IF(Games[[#This Row],[Type]]="R",IF(Games[[#This Row],[Result]]&gt;0.5,1,0),0)</f>
        <v>1</v>
      </c>
      <c r="AD171" s="2">
        <f>IF(Games[[#This Row],[Type]]="R",IF(Games[[#This Row],[Result]]&lt;0.5,1,0),0)</f>
        <v>0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43656</v>
      </c>
      <c r="B172" s="2">
        <v>2019</v>
      </c>
      <c r="C172" s="2">
        <f>COUNTIFS(Games[Team],Games[[#This Row],[Team]],Games[Season],Games[[#This Row],[Season]],Games[Date],"&lt;=" &amp; Games[[#This Row],[Date]])</f>
        <v>15</v>
      </c>
      <c r="D172" s="2" t="s">
        <v>79</v>
      </c>
      <c r="E172" s="2" t="s">
        <v>80</v>
      </c>
      <c r="F172" s="1" t="s">
        <v>67</v>
      </c>
      <c r="G172" s="1" t="s">
        <v>75</v>
      </c>
      <c r="H172" s="1" t="s">
        <v>81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2" s="2">
        <f>Games[[#This Row],[DaysOff]]-Games[[#This Row],[OppDaysOff]]</f>
        <v>1</v>
      </c>
      <c r="L172" s="2">
        <f>Games[[#This Row],[OppDaysOff]]-Games[[#This Row],[DaysOff]]</f>
        <v>-1</v>
      </c>
      <c r="M172" s="1">
        <f>MAX(-16, MIN(16, Games[[#This Row],[RestDiff]]*8))</f>
        <v>8</v>
      </c>
      <c r="N172" s="1">
        <f>MAX(-16, MIN(16, Games[[#This Row],[OppRestDiff]]*8))</f>
        <v>-8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1529.2178596362155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1467.9992852885343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0.49024198313643536</v>
      </c>
      <c r="R172" s="1">
        <v>73</v>
      </c>
      <c r="S172" s="1">
        <v>72</v>
      </c>
      <c r="T172" s="1">
        <v>0</v>
      </c>
      <c r="U172" s="1">
        <f>Games[[#This Row],[PointsFor]]-Games[[#This Row],[PointsAgainst]]</f>
        <v>1</v>
      </c>
      <c r="V172" s="1">
        <f>IF(Games[[#This Row],[MOV]]&gt;0,1,IF(Games[[#This Row],[MOV]]=0,0.5,0))</f>
        <v>1</v>
      </c>
      <c r="W172" s="4">
        <f>((ABS(Games[[#This Row],[MOV]])+5)^0.6)/(12+0.01*(ABS(Games[[#This Row],[PreGmRate]]-Games[[#This Row],[OppPreGmRate]])))*IF(Games[[#This Row],[OT]]=1,0.9,1)</f>
        <v>0.23232737855125837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73.75</v>
      </c>
      <c r="Z172" s="4">
        <f>Games[[#This Row],[K]]*Games[[#This Row],[POMult]]</f>
        <v>73.75</v>
      </c>
      <c r="AA172" s="4">
        <f>(Games[[#This Row],[Keff]]*Games[[#This Row],[MOVMult]])*(Games[[#This Row],[Result]]-Games[[#This Row],[ExpectedWin%]])</f>
        <v>8.7342673518132603</v>
      </c>
      <c r="AB172" s="4">
        <f>Games[[#This Row],[PreGmRate]]+Games[[#This Row],[RatingChange]]</f>
        <v>1537.9521269880288</v>
      </c>
      <c r="AC172" s="2">
        <f>IF(Games[[#This Row],[Type]]="R",IF(Games[[#This Row],[Result]]&gt;0.5,1,0),0)</f>
        <v>1</v>
      </c>
      <c r="AD172" s="2">
        <f>IF(Games[[#This Row],[Type]]="R",IF(Games[[#This Row],[Result]]&lt;0.5,1,0),0)</f>
        <v>0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43656</v>
      </c>
      <c r="B173" s="2">
        <v>2019</v>
      </c>
      <c r="C173" s="2">
        <f>COUNTIFS(Games[Team],Games[[#This Row],[Team]],Games[Season],Games[[#This Row],[Season]],Games[Date],"&lt;=" &amp; Games[[#This Row],[Date]])</f>
        <v>15</v>
      </c>
      <c r="D173" s="2" t="s">
        <v>79</v>
      </c>
      <c r="E173" s="2" t="s">
        <v>80</v>
      </c>
      <c r="F173" s="1" t="s">
        <v>75</v>
      </c>
      <c r="G173" s="1" t="s">
        <v>67</v>
      </c>
      <c r="H173" s="1" t="s">
        <v>82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3" s="2">
        <f>Games[[#This Row],[DaysOff]]-Games[[#This Row],[OppDaysOff]]</f>
        <v>-1</v>
      </c>
      <c r="L173" s="2">
        <f>Games[[#This Row],[OppDaysOff]]-Games[[#This Row],[DaysOff]]</f>
        <v>1</v>
      </c>
      <c r="M173" s="1">
        <f>MAX(-16, MIN(16, Games[[#This Row],[RestDiff]]*8))</f>
        <v>-8</v>
      </c>
      <c r="N173" s="1">
        <f>MAX(-16, MIN(16, Games[[#This Row],[OppRestDiff]]*8))</f>
        <v>8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1467.9992852885343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1529.2178596362155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0.5097580168635647</v>
      </c>
      <c r="R173" s="1">
        <v>72</v>
      </c>
      <c r="S173" s="1">
        <v>73</v>
      </c>
      <c r="T173" s="1">
        <v>0</v>
      </c>
      <c r="U173" s="1">
        <f>Games[[#This Row],[PointsFor]]-Games[[#This Row],[PointsAgainst]]</f>
        <v>-1</v>
      </c>
      <c r="V173" s="1">
        <f>IF(Games[[#This Row],[MOV]]&gt;0,1,IF(Games[[#This Row],[MOV]]=0,0.5,0))</f>
        <v>0</v>
      </c>
      <c r="W173" s="4">
        <f>((ABS(Games[[#This Row],[MOV]])+5)^0.6)/(12+0.01*(ABS(Games[[#This Row],[PreGmRate]]-Games[[#This Row],[OppPreGmRate]])))*IF(Games[[#This Row],[OT]]=1,0.9,1)</f>
        <v>0.23232737855125837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73.75</v>
      </c>
      <c r="Z173" s="4">
        <f>Games[[#This Row],[K]]*Games[[#This Row],[POMult]]</f>
        <v>73.75</v>
      </c>
      <c r="AA173" s="4">
        <f>(Games[[#This Row],[Keff]]*Games[[#This Row],[MOVMult]])*(Games[[#This Row],[Result]]-Games[[#This Row],[ExpectedWin%]])</f>
        <v>-8.7342673518132603</v>
      </c>
      <c r="AB173" s="4">
        <f>Games[[#This Row],[PreGmRate]]+Games[[#This Row],[RatingChange]]</f>
        <v>1459.2650179367211</v>
      </c>
      <c r="AC173" s="2">
        <f>IF(Games[[#This Row],[Type]]="R",IF(Games[[#This Row],[Result]]&gt;0.5,1,0),0)</f>
        <v>0</v>
      </c>
      <c r="AD173" s="2">
        <f>IF(Games[[#This Row],[Type]]="R",IF(Games[[#This Row],[Result]]&lt;0.5,1,0),0)</f>
        <v>1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43656</v>
      </c>
      <c r="B174" s="2">
        <v>2019</v>
      </c>
      <c r="C174" s="2">
        <f>COUNTIFS(Games[Team],Games[[#This Row],[Team]],Games[Season],Games[[#This Row],[Season]],Games[Date],"&lt;=" &amp; Games[[#This Row],[Date]])</f>
        <v>15</v>
      </c>
      <c r="D174" s="2" t="s">
        <v>79</v>
      </c>
      <c r="E174" s="2" t="s">
        <v>80</v>
      </c>
      <c r="F174" s="1" t="s">
        <v>86</v>
      </c>
      <c r="G174" s="1" t="s">
        <v>69</v>
      </c>
      <c r="H174" s="1" t="s">
        <v>81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4" s="2">
        <f>Games[[#This Row],[DaysOff]]-Games[[#This Row],[OppDaysOff]]</f>
        <v>-2</v>
      </c>
      <c r="L174" s="2">
        <f>Games[[#This Row],[OppDaysOff]]-Games[[#This Row],[DaysOff]]</f>
        <v>2</v>
      </c>
      <c r="M174" s="1">
        <f>MAX(-16, MIN(16, Games[[#This Row],[RestDiff]]*8))</f>
        <v>-16</v>
      </c>
      <c r="N174" s="1">
        <f>MAX(-16, MIN(16, Games[[#This Row],[OppRestDiff]]*8))</f>
        <v>16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1530.9796125802998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1428.5102108074516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0.48053774203981148</v>
      </c>
      <c r="R174" s="1">
        <v>74</v>
      </c>
      <c r="S174" s="1">
        <v>71</v>
      </c>
      <c r="T174" s="1">
        <v>0</v>
      </c>
      <c r="U174" s="1">
        <f>Games[[#This Row],[PointsFor]]-Games[[#This Row],[PointsAgainst]]</f>
        <v>3</v>
      </c>
      <c r="V174" s="1">
        <f>IF(Games[[#This Row],[MOV]]&gt;0,1,IF(Games[[#This Row],[MOV]]=0,0.5,0))</f>
        <v>1</v>
      </c>
      <c r="W174" s="4">
        <f>((ABS(Games[[#This Row],[MOV]])+5)^0.6)/(12+0.01*(ABS(Games[[#This Row],[PreGmRate]]-Games[[#This Row],[OppPreGmRate]])))*IF(Games[[#This Row],[OT]]=1,0.9,1)</f>
        <v>0.26735386247421383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73.75</v>
      </c>
      <c r="Z174" s="4">
        <f>Games[[#This Row],[K]]*Games[[#This Row],[POMult]]</f>
        <v>73.75</v>
      </c>
      <c r="AA174" s="4">
        <f>(Games[[#This Row],[Keff]]*Games[[#This Row],[MOVMult]])*(Games[[#This Row],[Result]]-Games[[#This Row],[ExpectedWin%]])</f>
        <v>10.242417779298421</v>
      </c>
      <c r="AB174" s="4">
        <f>Games[[#This Row],[PreGmRate]]+Games[[#This Row],[RatingChange]]</f>
        <v>1541.2220303595982</v>
      </c>
      <c r="AC174" s="2">
        <f>IF(Games[[#This Row],[Type]]="R",IF(Games[[#This Row],[Result]]&gt;0.5,1,0),0)</f>
        <v>1</v>
      </c>
      <c r="AD174" s="2">
        <f>IF(Games[[#This Row],[Type]]="R",IF(Games[[#This Row],[Result]]&lt;0.5,1,0),0)</f>
        <v>0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43656</v>
      </c>
      <c r="B175" s="2">
        <v>2019</v>
      </c>
      <c r="C175" s="2">
        <f>COUNTIFS(Games[Team],Games[[#This Row],[Team]],Games[Season],Games[[#This Row],[Season]],Games[Date],"&lt;=" &amp; Games[[#This Row],[Date]])</f>
        <v>16</v>
      </c>
      <c r="D175" s="2" t="s">
        <v>79</v>
      </c>
      <c r="E175" s="2" t="s">
        <v>80</v>
      </c>
      <c r="F175" s="1" t="s">
        <v>69</v>
      </c>
      <c r="G175" s="1" t="s">
        <v>86</v>
      </c>
      <c r="H175" s="1" t="s">
        <v>82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5" s="2">
        <f>Games[[#This Row],[DaysOff]]-Games[[#This Row],[OppDaysOff]]</f>
        <v>2</v>
      </c>
      <c r="L175" s="2">
        <f>Games[[#This Row],[OppDaysOff]]-Games[[#This Row],[DaysOff]]</f>
        <v>-2</v>
      </c>
      <c r="M175" s="1">
        <f>MAX(-16, MIN(16, Games[[#This Row],[RestDiff]]*8))</f>
        <v>16</v>
      </c>
      <c r="N175" s="1">
        <f>MAX(-16, MIN(16, Games[[#This Row],[OppRestDiff]]*8))</f>
        <v>-16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1428.5102108074516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1530.9796125802998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0.51946225796018852</v>
      </c>
      <c r="R175" s="1">
        <v>71</v>
      </c>
      <c r="S175" s="1">
        <v>74</v>
      </c>
      <c r="T175" s="1">
        <v>0</v>
      </c>
      <c r="U175" s="1">
        <f>Games[[#This Row],[PointsFor]]-Games[[#This Row],[PointsAgainst]]</f>
        <v>-3</v>
      </c>
      <c r="V175" s="1">
        <f>IF(Games[[#This Row],[MOV]]&gt;0,1,IF(Games[[#This Row],[MOV]]=0,0.5,0))</f>
        <v>0</v>
      </c>
      <c r="W175" s="4">
        <f>((ABS(Games[[#This Row],[MOV]])+5)^0.6)/(12+0.01*(ABS(Games[[#This Row],[PreGmRate]]-Games[[#This Row],[OppPreGmRate]])))*IF(Games[[#This Row],[OT]]=1,0.9,1)</f>
        <v>0.26735386247421383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73.599999999999994</v>
      </c>
      <c r="Z175" s="4">
        <f>Games[[#This Row],[K]]*Games[[#This Row],[POMult]]</f>
        <v>73.599999999999994</v>
      </c>
      <c r="AA175" s="4">
        <f>(Games[[#This Row],[Keff]]*Games[[#This Row],[MOVMult]])*(Games[[#This Row],[Result]]-Games[[#This Row],[ExpectedWin%]])</f>
        <v>-10.221585743137135</v>
      </c>
      <c r="AB175" s="4">
        <f>Games[[#This Row],[PreGmRate]]+Games[[#This Row],[RatingChange]]</f>
        <v>1418.2886250643144</v>
      </c>
      <c r="AC175" s="2">
        <f>IF(Games[[#This Row],[Type]]="R",IF(Games[[#This Row],[Result]]&gt;0.5,1,0),0)</f>
        <v>0</v>
      </c>
      <c r="AD175" s="2">
        <f>IF(Games[[#This Row],[Type]]="R",IF(Games[[#This Row],[Result]]&lt;0.5,1,0),0)</f>
        <v>1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43656</v>
      </c>
      <c r="B176" s="2">
        <v>2019</v>
      </c>
      <c r="C176" s="2">
        <f>COUNTIFS(Games[Team],Games[[#This Row],[Team]],Games[Season],Games[[#This Row],[Season]],Games[Date],"&lt;=" &amp; Games[[#This Row],[Date]])</f>
        <v>13</v>
      </c>
      <c r="D176" s="2" t="s">
        <v>79</v>
      </c>
      <c r="E176" s="2" t="s">
        <v>80</v>
      </c>
      <c r="F176" s="1" t="s">
        <v>40</v>
      </c>
      <c r="G176" s="1" t="s">
        <v>65</v>
      </c>
      <c r="H176" s="1" t="s">
        <v>81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6" s="2">
        <f>Games[[#This Row],[DaysOff]]-Games[[#This Row],[OppDaysOff]]</f>
        <v>0</v>
      </c>
      <c r="L176" s="2">
        <f>Games[[#This Row],[OppDaysOff]]-Games[[#This Row],[DaysOff]]</f>
        <v>0</v>
      </c>
      <c r="M176" s="1">
        <f>MAX(-16, MIN(16, Games[[#This Row],[RestDiff]]*8))</f>
        <v>0</v>
      </c>
      <c r="N176" s="1">
        <f>MAX(-16, MIN(16, Games[[#This Row],[OppRestDiff]]*8))</f>
        <v>0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1512.2718189737529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1627.2326837384194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0.24134662596025325</v>
      </c>
      <c r="R176" s="1">
        <v>91</v>
      </c>
      <c r="S176" s="1">
        <v>68</v>
      </c>
      <c r="T176" s="1">
        <v>0</v>
      </c>
      <c r="U176" s="1">
        <f>Games[[#This Row],[PointsFor]]-Games[[#This Row],[PointsAgainst]]</f>
        <v>23</v>
      </c>
      <c r="V176" s="1">
        <f>IF(Games[[#This Row],[MOV]]&gt;0,1,IF(Games[[#This Row],[MOV]]=0,0.5,0))</f>
        <v>1</v>
      </c>
      <c r="W176" s="4">
        <f>((ABS(Games[[#This Row],[MOV]])+5)^0.6)/(12+0.01*(ABS(Games[[#This Row],[PreGmRate]]-Games[[#This Row],[OppPreGmRate]])))*IF(Games[[#This Row],[OT]]=1,0.9,1)</f>
        <v>0.56154167234967234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74.05</v>
      </c>
      <c r="Z176" s="4">
        <f>Games[[#This Row],[K]]*Games[[#This Row],[POMult]]</f>
        <v>74.05</v>
      </c>
      <c r="AA176" s="4">
        <f>(Games[[#This Row],[Keff]]*Games[[#This Row],[MOVMult]])*(Games[[#This Row],[Result]]-Games[[#This Row],[ExpectedWin%]])</f>
        <v>31.546446619227662</v>
      </c>
      <c r="AB176" s="4">
        <f>Games[[#This Row],[PreGmRate]]+Games[[#This Row],[RatingChange]]</f>
        <v>1543.8182655929807</v>
      </c>
      <c r="AC176" s="2">
        <f>IF(Games[[#This Row],[Type]]="R",IF(Games[[#This Row],[Result]]&gt;0.5,1,0),0)</f>
        <v>1</v>
      </c>
      <c r="AD176" s="2">
        <f>IF(Games[[#This Row],[Type]]="R",IF(Games[[#This Row],[Result]]&lt;0.5,1,0),0)</f>
        <v>0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43656</v>
      </c>
      <c r="B177" s="2">
        <v>2019</v>
      </c>
      <c r="C177" s="2">
        <f>COUNTIFS(Games[Team],Games[[#This Row],[Team]],Games[Season],Games[[#This Row],[Season]],Games[Date],"&lt;=" &amp; Games[[#This Row],[Date]])</f>
        <v>14</v>
      </c>
      <c r="D177" s="2" t="s">
        <v>79</v>
      </c>
      <c r="E177" s="2" t="s">
        <v>80</v>
      </c>
      <c r="F177" s="1" t="s">
        <v>65</v>
      </c>
      <c r="G177" s="1" t="s">
        <v>40</v>
      </c>
      <c r="H177" s="1" t="s">
        <v>82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7" s="2">
        <f>Games[[#This Row],[DaysOff]]-Games[[#This Row],[OppDaysOff]]</f>
        <v>0</v>
      </c>
      <c r="L177" s="2">
        <f>Games[[#This Row],[OppDaysOff]]-Games[[#This Row],[DaysOff]]</f>
        <v>0</v>
      </c>
      <c r="M177" s="1">
        <f>MAX(-16, MIN(16, Games[[#This Row],[RestDiff]]*8))</f>
        <v>0</v>
      </c>
      <c r="N177" s="1">
        <f>MAX(-16, MIN(16, Games[[#This Row],[OppRestDiff]]*8))</f>
        <v>0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1627.2326837384194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1512.2718189737529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0.75865337403974675</v>
      </c>
      <c r="R177" s="1">
        <v>68</v>
      </c>
      <c r="S177" s="1">
        <v>91</v>
      </c>
      <c r="T177" s="1">
        <v>0</v>
      </c>
      <c r="U177" s="1">
        <f>Games[[#This Row],[PointsFor]]-Games[[#This Row],[PointsAgainst]]</f>
        <v>-23</v>
      </c>
      <c r="V177" s="1">
        <f>IF(Games[[#This Row],[MOV]]&gt;0,1,IF(Games[[#This Row],[MOV]]=0,0.5,0))</f>
        <v>0</v>
      </c>
      <c r="W177" s="4">
        <f>((ABS(Games[[#This Row],[MOV]])+5)^0.6)/(12+0.01*(ABS(Games[[#This Row],[PreGmRate]]-Games[[#This Row],[OppPreGmRate]])))*IF(Games[[#This Row],[OT]]=1,0.9,1)</f>
        <v>0.56154167234967234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73.900000000000006</v>
      </c>
      <c r="Z177" s="4">
        <f>Games[[#This Row],[K]]*Games[[#This Row],[POMult]]</f>
        <v>73.900000000000006</v>
      </c>
      <c r="AA177" s="4">
        <f>(Games[[#This Row],[Keff]]*Games[[#This Row],[MOVMult]])*(Games[[#This Row],[Result]]-Games[[#This Row],[ExpectedWin%]])</f>
        <v>-31.482544296568864</v>
      </c>
      <c r="AB177" s="4">
        <f>Games[[#This Row],[PreGmRate]]+Games[[#This Row],[RatingChange]]</f>
        <v>1595.7501394418505</v>
      </c>
      <c r="AC177" s="2">
        <f>IF(Games[[#This Row],[Type]]="R",IF(Games[[#This Row],[Result]]&gt;0.5,1,0),0)</f>
        <v>0</v>
      </c>
      <c r="AD177" s="2">
        <f>IF(Games[[#This Row],[Type]]="R",IF(Games[[#This Row],[Result]]&lt;0.5,1,0),0)</f>
        <v>1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43658</v>
      </c>
      <c r="B178" s="2">
        <v>2019</v>
      </c>
      <c r="C178" s="2">
        <f>COUNTIFS(Games[Team],Games[[#This Row],[Team]],Games[Season],Games[[#This Row],[Season]],Games[Date],"&lt;=" &amp; Games[[#This Row],[Date]])</f>
        <v>16</v>
      </c>
      <c r="D178" s="2" t="s">
        <v>79</v>
      </c>
      <c r="E178" s="2" t="s">
        <v>80</v>
      </c>
      <c r="F178" s="1" t="s">
        <v>67</v>
      </c>
      <c r="G178" s="1" t="s">
        <v>77</v>
      </c>
      <c r="H178" s="1" t="s">
        <v>81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8" s="2">
        <f>Games[[#This Row],[DaysOff]]-Games[[#This Row],[OppDaysOff]]</f>
        <v>0</v>
      </c>
      <c r="L178" s="2">
        <f>Games[[#This Row],[OppDaysOff]]-Games[[#This Row],[DaysOff]]</f>
        <v>0</v>
      </c>
      <c r="M178" s="1">
        <f>MAX(-16, MIN(16, Games[[#This Row],[RestDiff]]*8))</f>
        <v>0</v>
      </c>
      <c r="N178" s="1">
        <f>MAX(-16, MIN(16, Games[[#This Row],[OppRestDiff]]*8))</f>
        <v>0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1537.9521269880288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1432.2535369144973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0.53118624504564027</v>
      </c>
      <c r="R178" s="1">
        <v>53</v>
      </c>
      <c r="S178" s="1">
        <v>60</v>
      </c>
      <c r="T178" s="1">
        <v>0</v>
      </c>
      <c r="U178" s="1">
        <f>Games[[#This Row],[PointsFor]]-Games[[#This Row],[PointsAgainst]]</f>
        <v>-7</v>
      </c>
      <c r="V178" s="1">
        <f>IF(Games[[#This Row],[MOV]]&gt;0,1,IF(Games[[#This Row],[MOV]]=0,0.5,0))</f>
        <v>0</v>
      </c>
      <c r="W178" s="4">
        <f>((ABS(Games[[#This Row],[MOV]])+5)^0.6)/(12+0.01*(ABS(Games[[#This Row],[PreGmRate]]-Games[[#This Row],[OppPreGmRate]])))*IF(Games[[#This Row],[OT]]=1,0.9,1)</f>
        <v>0.34014634798646182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73.599999999999994</v>
      </c>
      <c r="Z178" s="4">
        <f>Games[[#This Row],[K]]*Games[[#This Row],[POMult]]</f>
        <v>73.599999999999994</v>
      </c>
      <c r="AA178" s="4">
        <f>(Games[[#This Row],[Keff]]*Games[[#This Row],[MOVMult]])*(Games[[#This Row],[Result]]-Games[[#This Row],[ExpectedWin%]])</f>
        <v>-13.298126115574641</v>
      </c>
      <c r="AB178" s="4">
        <f>Games[[#This Row],[PreGmRate]]+Games[[#This Row],[RatingChange]]</f>
        <v>1524.6540008724542</v>
      </c>
      <c r="AC178" s="2">
        <f>IF(Games[[#This Row],[Type]]="R",IF(Games[[#This Row],[Result]]&gt;0.5,1,0),0)</f>
        <v>0</v>
      </c>
      <c r="AD178" s="2">
        <f>IF(Games[[#This Row],[Type]]="R",IF(Games[[#This Row],[Result]]&lt;0.5,1,0),0)</f>
        <v>1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43658</v>
      </c>
      <c r="B179" s="2">
        <v>2019</v>
      </c>
      <c r="C179" s="2">
        <f>COUNTIFS(Games[Team],Games[[#This Row],[Team]],Games[Season],Games[[#This Row],[Season]],Games[Date],"&lt;=" &amp; Games[[#This Row],[Date]])</f>
        <v>15</v>
      </c>
      <c r="D179" s="2" t="s">
        <v>79</v>
      </c>
      <c r="E179" s="2" t="s">
        <v>80</v>
      </c>
      <c r="F179" s="1" t="s">
        <v>77</v>
      </c>
      <c r="G179" s="1" t="s">
        <v>67</v>
      </c>
      <c r="H179" s="1" t="s">
        <v>82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9" s="2">
        <f>Games[[#This Row],[DaysOff]]-Games[[#This Row],[OppDaysOff]]</f>
        <v>0</v>
      </c>
      <c r="L179" s="2">
        <f>Games[[#This Row],[OppDaysOff]]-Games[[#This Row],[DaysOff]]</f>
        <v>0</v>
      </c>
      <c r="M179" s="1">
        <f>MAX(-16, MIN(16, Games[[#This Row],[RestDiff]]*8))</f>
        <v>0</v>
      </c>
      <c r="N179" s="1">
        <f>MAX(-16, MIN(16, Games[[#This Row],[OppRestDiff]]*8))</f>
        <v>0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1432.2535369144973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1537.9521269880288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0.46881375495435973</v>
      </c>
      <c r="R179" s="1">
        <v>60</v>
      </c>
      <c r="S179" s="1">
        <v>53</v>
      </c>
      <c r="T179" s="1">
        <v>0</v>
      </c>
      <c r="U179" s="1">
        <f>Games[[#This Row],[PointsFor]]-Games[[#This Row],[PointsAgainst]]</f>
        <v>7</v>
      </c>
      <c r="V179" s="1">
        <f>IF(Games[[#This Row],[MOV]]&gt;0,1,IF(Games[[#This Row],[MOV]]=0,0.5,0))</f>
        <v>1</v>
      </c>
      <c r="W179" s="4">
        <f>((ABS(Games[[#This Row],[MOV]])+5)^0.6)/(12+0.01*(ABS(Games[[#This Row],[PreGmRate]]-Games[[#This Row],[OppPreGmRate]])))*IF(Games[[#This Row],[OT]]=1,0.9,1)</f>
        <v>0.34014634798646182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73.75</v>
      </c>
      <c r="Z179" s="4">
        <f>Games[[#This Row],[K]]*Games[[#This Row],[POMult]]</f>
        <v>73.75</v>
      </c>
      <c r="AA179" s="4">
        <f>(Games[[#This Row],[Keff]]*Games[[#This Row],[MOVMult]])*(Games[[#This Row],[Result]]-Games[[#This Row],[ExpectedWin%]])</f>
        <v>13.325228274777579</v>
      </c>
      <c r="AB179" s="4">
        <f>Games[[#This Row],[PreGmRate]]+Games[[#This Row],[RatingChange]]</f>
        <v>1445.5787651892749</v>
      </c>
      <c r="AC179" s="2">
        <f>IF(Games[[#This Row],[Type]]="R",IF(Games[[#This Row],[Result]]&gt;0.5,1,0),0)</f>
        <v>1</v>
      </c>
      <c r="AD179" s="2">
        <f>IF(Games[[#This Row],[Type]]="R",IF(Games[[#This Row],[Result]]&lt;0.5,1,0),0)</f>
        <v>0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43658</v>
      </c>
      <c r="B180" s="2">
        <v>2019</v>
      </c>
      <c r="C180" s="2">
        <f>COUNTIFS(Games[Team],Games[[#This Row],[Team]],Games[Season],Games[[#This Row],[Season]],Games[Date],"&lt;=" &amp; Games[[#This Row],[Date]])</f>
        <v>16</v>
      </c>
      <c r="D180" s="2" t="s">
        <v>79</v>
      </c>
      <c r="E180" s="2" t="s">
        <v>80</v>
      </c>
      <c r="F180" s="1" t="s">
        <v>60</v>
      </c>
      <c r="G180" s="1" t="s">
        <v>75</v>
      </c>
      <c r="H180" s="1" t="s">
        <v>81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4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0" s="2">
        <f>Games[[#This Row],[DaysOff]]-Games[[#This Row],[OppDaysOff]]</f>
        <v>3</v>
      </c>
      <c r="L180" s="2">
        <f>Games[[#This Row],[OppDaysOff]]-Games[[#This Row],[DaysOff]]</f>
        <v>-3</v>
      </c>
      <c r="M180" s="1">
        <f>MAX(-16, MIN(16, Games[[#This Row],[RestDiff]]*8))</f>
        <v>16</v>
      </c>
      <c r="N180" s="1">
        <f>MAX(-16, MIN(16, Games[[#This Row],[OppRestDiff]]*8))</f>
        <v>-16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1421.3376119578681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1459.2650179367211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0.37339868654145758</v>
      </c>
      <c r="R180" s="1">
        <v>83</v>
      </c>
      <c r="S180" s="1">
        <v>99</v>
      </c>
      <c r="T180" s="1">
        <v>0</v>
      </c>
      <c r="U180" s="1">
        <f>Games[[#This Row],[PointsFor]]-Games[[#This Row],[PointsAgainst]]</f>
        <v>-16</v>
      </c>
      <c r="V180" s="1">
        <f>IF(Games[[#This Row],[MOV]]&gt;0,1,IF(Games[[#This Row],[MOV]]=0,0.5,0))</f>
        <v>0</v>
      </c>
      <c r="W180" s="4">
        <f>((ABS(Games[[#This Row],[MOV]])+5)^0.6)/(12+0.01*(ABS(Games[[#This Row],[PreGmRate]]-Games[[#This Row],[OppPreGmRate]])))*IF(Games[[#This Row],[OT]]=1,0.9,1)</f>
        <v>0.50192219328464283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73.599999999999994</v>
      </c>
      <c r="Z180" s="4">
        <f>Games[[#This Row],[K]]*Games[[#This Row],[POMult]]</f>
        <v>73.599999999999994</v>
      </c>
      <c r="AA180" s="4">
        <f>(Games[[#This Row],[Keff]]*Games[[#This Row],[MOVMult]])*(Games[[#This Row],[Result]]-Games[[#This Row],[ExpectedWin%]])</f>
        <v>-13.7938976560811</v>
      </c>
      <c r="AB180" s="4">
        <f>Games[[#This Row],[PreGmRate]]+Games[[#This Row],[RatingChange]]</f>
        <v>1407.5437143017871</v>
      </c>
      <c r="AC180" s="2">
        <f>IF(Games[[#This Row],[Type]]="R",IF(Games[[#This Row],[Result]]&gt;0.5,1,0),0)</f>
        <v>0</v>
      </c>
      <c r="AD180" s="2">
        <f>IF(Games[[#This Row],[Type]]="R",IF(Games[[#This Row],[Result]]&lt;0.5,1,0),0)</f>
        <v>1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43658</v>
      </c>
      <c r="B181" s="2">
        <v>2019</v>
      </c>
      <c r="C181" s="2">
        <f>COUNTIFS(Games[Team],Games[[#This Row],[Team]],Games[Season],Games[[#This Row],[Season]],Games[Date],"&lt;=" &amp; Games[[#This Row],[Date]])</f>
        <v>16</v>
      </c>
      <c r="D181" s="2" t="s">
        <v>79</v>
      </c>
      <c r="E181" s="2" t="s">
        <v>80</v>
      </c>
      <c r="F181" s="1" t="s">
        <v>75</v>
      </c>
      <c r="G181" s="1" t="s">
        <v>60</v>
      </c>
      <c r="H181" s="1" t="s">
        <v>82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81" s="2">
        <f>Games[[#This Row],[DaysOff]]-Games[[#This Row],[OppDaysOff]]</f>
        <v>-3</v>
      </c>
      <c r="L181" s="2">
        <f>Games[[#This Row],[OppDaysOff]]-Games[[#This Row],[DaysOff]]</f>
        <v>3</v>
      </c>
      <c r="M181" s="1">
        <f>MAX(-16, MIN(16, Games[[#This Row],[RestDiff]]*8))</f>
        <v>-16</v>
      </c>
      <c r="N181" s="1">
        <f>MAX(-16, MIN(16, Games[[#This Row],[OppRestDiff]]*8))</f>
        <v>16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1459.2650179367211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1421.3376119578681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0.62660131345854242</v>
      </c>
      <c r="R181" s="1">
        <v>99</v>
      </c>
      <c r="S181" s="1">
        <v>83</v>
      </c>
      <c r="T181" s="1">
        <v>0</v>
      </c>
      <c r="U181" s="1">
        <f>Games[[#This Row],[PointsFor]]-Games[[#This Row],[PointsAgainst]]</f>
        <v>16</v>
      </c>
      <c r="V181" s="1">
        <f>IF(Games[[#This Row],[MOV]]&gt;0,1,IF(Games[[#This Row],[MOV]]=0,0.5,0))</f>
        <v>1</v>
      </c>
      <c r="W181" s="4">
        <f>((ABS(Games[[#This Row],[MOV]])+5)^0.6)/(12+0.01*(ABS(Games[[#This Row],[PreGmRate]]-Games[[#This Row],[OppPreGmRate]])))*IF(Games[[#This Row],[OT]]=1,0.9,1)</f>
        <v>0.50192219328464283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73.599999999999994</v>
      </c>
      <c r="Z181" s="4">
        <f>Games[[#This Row],[K]]*Games[[#This Row],[POMult]]</f>
        <v>73.599999999999994</v>
      </c>
      <c r="AA181" s="4">
        <f>(Games[[#This Row],[Keff]]*Games[[#This Row],[MOVMult]])*(Games[[#This Row],[Result]]-Games[[#This Row],[ExpectedWin%]])</f>
        <v>13.7938976560811</v>
      </c>
      <c r="AB181" s="4">
        <f>Games[[#This Row],[PreGmRate]]+Games[[#This Row],[RatingChange]]</f>
        <v>1473.0589155928021</v>
      </c>
      <c r="AC181" s="2">
        <f>IF(Games[[#This Row],[Type]]="R",IF(Games[[#This Row],[Result]]&gt;0.5,1,0),0)</f>
        <v>1</v>
      </c>
      <c r="AD181" s="2">
        <f>IF(Games[[#This Row],[Type]]="R",IF(Games[[#This Row],[Result]]&lt;0.5,1,0),0)</f>
        <v>0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43658</v>
      </c>
      <c r="B182" s="2">
        <v>2019</v>
      </c>
      <c r="C182" s="2">
        <f>COUNTIFS(Games[Team],Games[[#This Row],[Team]],Games[Season],Games[[#This Row],[Season]],Games[Date],"&lt;=" &amp; Games[[#This Row],[Date]])</f>
        <v>14</v>
      </c>
      <c r="D182" s="2" t="s">
        <v>79</v>
      </c>
      <c r="E182" s="2" t="s">
        <v>80</v>
      </c>
      <c r="F182" s="1" t="s">
        <v>40</v>
      </c>
      <c r="G182" s="1" t="s">
        <v>74</v>
      </c>
      <c r="H182" s="1" t="s">
        <v>81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2" s="2">
        <f>Games[[#This Row],[DaysOff]]-Games[[#This Row],[OppDaysOff]]</f>
        <v>0</v>
      </c>
      <c r="L182" s="2">
        <f>Games[[#This Row],[OppDaysOff]]-Games[[#This Row],[DaysOff]]</f>
        <v>0</v>
      </c>
      <c r="M182" s="1">
        <f>MAX(-16, MIN(16, Games[[#This Row],[RestDiff]]*8))</f>
        <v>0</v>
      </c>
      <c r="N182" s="1">
        <f>MAX(-16, MIN(16, Games[[#This Row],[OppRestDiff]]*8))</f>
        <v>0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1543.8182655929807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1548.7384836472156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0.37475621196701653</v>
      </c>
      <c r="R182" s="1">
        <v>64</v>
      </c>
      <c r="S182" s="1">
        <v>79</v>
      </c>
      <c r="T182" s="1">
        <v>0</v>
      </c>
      <c r="U182" s="1">
        <f>Games[[#This Row],[PointsFor]]-Games[[#This Row],[PointsAgainst]]</f>
        <v>-15</v>
      </c>
      <c r="V182" s="1">
        <f>IF(Games[[#This Row],[MOV]]&gt;0,1,IF(Games[[#This Row],[MOV]]=0,0.5,0))</f>
        <v>0</v>
      </c>
      <c r="W182" s="4">
        <f>((ABS(Games[[#This Row],[MOV]])+5)^0.6)/(12+0.01*(ABS(Games[[#This Row],[PreGmRate]]-Games[[#This Row],[OppPreGmRate]])))*IF(Games[[#This Row],[OT]]=1,0.9,1)</f>
        <v>0.5007946788617631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73.900000000000006</v>
      </c>
      <c r="Z182" s="4">
        <f>Games[[#This Row],[K]]*Games[[#This Row],[POMult]]</f>
        <v>73.900000000000006</v>
      </c>
      <c r="AA182" s="4">
        <f>(Games[[#This Row],[Keff]]*Games[[#This Row],[MOVMult]])*(Games[[#This Row],[Result]]-Games[[#This Row],[ExpectedWin%]])</f>
        <v>-13.869250253254647</v>
      </c>
      <c r="AB182" s="4">
        <f>Games[[#This Row],[PreGmRate]]+Games[[#This Row],[RatingChange]]</f>
        <v>1529.949015339726</v>
      </c>
      <c r="AC182" s="2">
        <f>IF(Games[[#This Row],[Type]]="R",IF(Games[[#This Row],[Result]]&gt;0.5,1,0),0)</f>
        <v>0</v>
      </c>
      <c r="AD182" s="2">
        <f>IF(Games[[#This Row],[Type]]="R",IF(Games[[#This Row],[Result]]&lt;0.5,1,0),0)</f>
        <v>1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43658</v>
      </c>
      <c r="B183" s="2">
        <v>2019</v>
      </c>
      <c r="C183" s="2">
        <f>COUNTIFS(Games[Team],Games[[#This Row],[Team]],Games[Season],Games[[#This Row],[Season]],Games[Date],"&lt;=" &amp; Games[[#This Row],[Date]])</f>
        <v>16</v>
      </c>
      <c r="D183" s="2" t="s">
        <v>79</v>
      </c>
      <c r="E183" s="2" t="s">
        <v>80</v>
      </c>
      <c r="F183" s="1" t="s">
        <v>74</v>
      </c>
      <c r="G183" s="1" t="s">
        <v>40</v>
      </c>
      <c r="H183" s="1" t="s">
        <v>82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3" s="2">
        <f>Games[[#This Row],[DaysOff]]-Games[[#This Row],[OppDaysOff]]</f>
        <v>0</v>
      </c>
      <c r="L183" s="2">
        <f>Games[[#This Row],[OppDaysOff]]-Games[[#This Row],[DaysOff]]</f>
        <v>0</v>
      </c>
      <c r="M183" s="1">
        <f>MAX(-16, MIN(16, Games[[#This Row],[RestDiff]]*8))</f>
        <v>0</v>
      </c>
      <c r="N183" s="1">
        <f>MAX(-16, MIN(16, Games[[#This Row],[OppRestDiff]]*8))</f>
        <v>0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1548.7384836472156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1543.8182655929807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0.62524378803298342</v>
      </c>
      <c r="R183" s="1">
        <v>79</v>
      </c>
      <c r="S183" s="1">
        <v>64</v>
      </c>
      <c r="T183" s="1">
        <v>0</v>
      </c>
      <c r="U183" s="1">
        <f>Games[[#This Row],[PointsFor]]-Games[[#This Row],[PointsAgainst]]</f>
        <v>15</v>
      </c>
      <c r="V183" s="1">
        <f>IF(Games[[#This Row],[MOV]]&gt;0,1,IF(Games[[#This Row],[MOV]]=0,0.5,0))</f>
        <v>1</v>
      </c>
      <c r="W183" s="4">
        <f>((ABS(Games[[#This Row],[MOV]])+5)^0.6)/(12+0.01*(ABS(Games[[#This Row],[PreGmRate]]-Games[[#This Row],[OppPreGmRate]])))*IF(Games[[#This Row],[OT]]=1,0.9,1)</f>
        <v>0.5007946788617631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73.599999999999994</v>
      </c>
      <c r="Z183" s="4">
        <f>Games[[#This Row],[K]]*Games[[#This Row],[POMult]]</f>
        <v>73.599999999999994</v>
      </c>
      <c r="AA183" s="4">
        <f>(Games[[#This Row],[Keff]]*Games[[#This Row],[MOVMult]])*(Games[[#This Row],[Result]]-Games[[#This Row],[ExpectedWin%]])</f>
        <v>13.812947478207604</v>
      </c>
      <c r="AB183" s="4">
        <f>Games[[#This Row],[PreGmRate]]+Games[[#This Row],[RatingChange]]</f>
        <v>1562.5514311254233</v>
      </c>
      <c r="AC183" s="2">
        <f>IF(Games[[#This Row],[Type]]="R",IF(Games[[#This Row],[Result]]&gt;0.5,1,0),0)</f>
        <v>1</v>
      </c>
      <c r="AD183" s="2">
        <f>IF(Games[[#This Row],[Type]]="R",IF(Games[[#This Row],[Result]]&lt;0.5,1,0),0)</f>
        <v>0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43658</v>
      </c>
      <c r="B184" s="2">
        <v>2019</v>
      </c>
      <c r="C184" s="2">
        <f>COUNTIFS(Games[Team],Games[[#This Row],[Team]],Games[Season],Games[[#This Row],[Season]],Games[Date],"&lt;=" &amp; Games[[#This Row],[Date]])</f>
        <v>15</v>
      </c>
      <c r="D184" s="2" t="s">
        <v>79</v>
      </c>
      <c r="E184" s="2" t="s">
        <v>80</v>
      </c>
      <c r="F184" s="1" t="s">
        <v>63</v>
      </c>
      <c r="G184" s="1" t="s">
        <v>69</v>
      </c>
      <c r="H184" s="1" t="s">
        <v>81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4" s="2">
        <f>Games[[#This Row],[DaysOff]]-Games[[#This Row],[OppDaysOff]]</f>
        <v>1</v>
      </c>
      <c r="L184" s="2">
        <f>Games[[#This Row],[OppDaysOff]]-Games[[#This Row],[DaysOff]]</f>
        <v>-1</v>
      </c>
      <c r="M184" s="1">
        <f>MAX(-16, MIN(16, Games[[#This Row],[RestDiff]]*8))</f>
        <v>8</v>
      </c>
      <c r="N184" s="1">
        <f>MAX(-16, MIN(16, Games[[#This Row],[OppRestDiff]]*8))</f>
        <v>-8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1515.4909750173913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1418.2886250643144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0.54192687420170249</v>
      </c>
      <c r="R184" s="1">
        <v>90</v>
      </c>
      <c r="S184" s="1">
        <v>84</v>
      </c>
      <c r="T184" s="1">
        <v>0</v>
      </c>
      <c r="U184" s="1">
        <f>Games[[#This Row],[PointsFor]]-Games[[#This Row],[PointsAgainst]]</f>
        <v>6</v>
      </c>
      <c r="V184" s="1">
        <f>IF(Games[[#This Row],[MOV]]&gt;0,1,IF(Games[[#This Row],[MOV]]=0,0.5,0))</f>
        <v>1</v>
      </c>
      <c r="W184" s="4">
        <f>((ABS(Games[[#This Row],[MOV]])+5)^0.6)/(12+0.01*(ABS(Games[[#This Row],[PreGmRate]]-Games[[#This Row],[OppPreGmRate]])))*IF(Games[[#This Row],[OT]]=1,0.9,1)</f>
        <v>0.32495848725870569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73.75</v>
      </c>
      <c r="Z184" s="4">
        <f>Games[[#This Row],[K]]*Games[[#This Row],[POMult]]</f>
        <v>73.75</v>
      </c>
      <c r="AA184" s="4">
        <f>(Games[[#This Row],[Keff]]*Games[[#This Row],[MOVMult]])*(Games[[#This Row],[Result]]-Games[[#This Row],[ExpectedWin%]])</f>
        <v>10.978037813479514</v>
      </c>
      <c r="AB184" s="4">
        <f>Games[[#This Row],[PreGmRate]]+Games[[#This Row],[RatingChange]]</f>
        <v>1526.4690128308707</v>
      </c>
      <c r="AC184" s="2">
        <f>IF(Games[[#This Row],[Type]]="R",IF(Games[[#This Row],[Result]]&gt;0.5,1,0),0)</f>
        <v>1</v>
      </c>
      <c r="AD184" s="2">
        <f>IF(Games[[#This Row],[Type]]="R",IF(Games[[#This Row],[Result]]&lt;0.5,1,0),0)</f>
        <v>0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43658</v>
      </c>
      <c r="B185" s="2">
        <v>2019</v>
      </c>
      <c r="C185" s="2">
        <f>COUNTIFS(Games[Team],Games[[#This Row],[Team]],Games[Season],Games[[#This Row],[Season]],Games[Date],"&lt;=" &amp; Games[[#This Row],[Date]])</f>
        <v>17</v>
      </c>
      <c r="D185" s="2" t="s">
        <v>79</v>
      </c>
      <c r="E185" s="2" t="s">
        <v>80</v>
      </c>
      <c r="F185" s="1" t="s">
        <v>69</v>
      </c>
      <c r="G185" s="1" t="s">
        <v>63</v>
      </c>
      <c r="H185" s="1" t="s">
        <v>82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5" s="2">
        <f>Games[[#This Row],[DaysOff]]-Games[[#This Row],[OppDaysOff]]</f>
        <v>-1</v>
      </c>
      <c r="L185" s="2">
        <f>Games[[#This Row],[OppDaysOff]]-Games[[#This Row],[DaysOff]]</f>
        <v>1</v>
      </c>
      <c r="M185" s="1">
        <f>MAX(-16, MIN(16, Games[[#This Row],[RestDiff]]*8))</f>
        <v>-8</v>
      </c>
      <c r="N185" s="1">
        <f>MAX(-16, MIN(16, Games[[#This Row],[OppRestDiff]]*8))</f>
        <v>8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1418.2886250643144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1515.4909750173913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0.45807312579829756</v>
      </c>
      <c r="R185" s="1">
        <v>84</v>
      </c>
      <c r="S185" s="1">
        <v>90</v>
      </c>
      <c r="T185" s="1">
        <v>0</v>
      </c>
      <c r="U185" s="1">
        <f>Games[[#This Row],[PointsFor]]-Games[[#This Row],[PointsAgainst]]</f>
        <v>-6</v>
      </c>
      <c r="V185" s="1">
        <f>IF(Games[[#This Row],[MOV]]&gt;0,1,IF(Games[[#This Row],[MOV]]=0,0.5,0))</f>
        <v>0</v>
      </c>
      <c r="W185" s="4">
        <f>((ABS(Games[[#This Row],[MOV]])+5)^0.6)/(12+0.01*(ABS(Games[[#This Row],[PreGmRate]]-Games[[#This Row],[OppPreGmRate]])))*IF(Games[[#This Row],[OT]]=1,0.9,1)</f>
        <v>0.32495848725870569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73.45</v>
      </c>
      <c r="Z185" s="4">
        <f>Games[[#This Row],[K]]*Games[[#This Row],[POMult]]</f>
        <v>73.45</v>
      </c>
      <c r="AA185" s="4">
        <f>(Games[[#This Row],[Keff]]*Games[[#This Row],[MOVMult]])*(Games[[#This Row],[Result]]-Games[[#This Row],[ExpectedWin%]])</f>
        <v>-10.933381388475532</v>
      </c>
      <c r="AB185" s="4">
        <f>Games[[#This Row],[PreGmRate]]+Games[[#This Row],[RatingChange]]</f>
        <v>1407.3552436758389</v>
      </c>
      <c r="AC185" s="2">
        <f>IF(Games[[#This Row],[Type]]="R",IF(Games[[#This Row],[Result]]&gt;0.5,1,0),0)</f>
        <v>0</v>
      </c>
      <c r="AD185" s="2">
        <f>IF(Games[[#This Row],[Type]]="R",IF(Games[[#This Row],[Result]]&lt;0.5,1,0),0)</f>
        <v>1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43658</v>
      </c>
      <c r="B186" s="2">
        <v>2019</v>
      </c>
      <c r="C186" s="2">
        <f>COUNTIFS(Games[Team],Games[[#This Row],[Team]],Games[Season],Games[[#This Row],[Season]],Games[Date],"&lt;=" &amp; Games[[#This Row],[Date]])</f>
        <v>15</v>
      </c>
      <c r="D186" s="2" t="s">
        <v>79</v>
      </c>
      <c r="E186" s="2" t="s">
        <v>80</v>
      </c>
      <c r="F186" s="1" t="s">
        <v>85</v>
      </c>
      <c r="G186" s="1" t="s">
        <v>71</v>
      </c>
      <c r="H186" s="1" t="s">
        <v>81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86" s="2">
        <f>Games[[#This Row],[DaysOff]]-Games[[#This Row],[OppDaysOff]]</f>
        <v>-4</v>
      </c>
      <c r="L186" s="2">
        <f>Games[[#This Row],[OppDaysOff]]-Games[[#This Row],[DaysOff]]</f>
        <v>4</v>
      </c>
      <c r="M186" s="1">
        <f>MAX(-16, MIN(16, Games[[#This Row],[RestDiff]]*8))</f>
        <v>-16</v>
      </c>
      <c r="N186" s="1">
        <f>MAX(-16, MIN(16, Games[[#This Row],[OppRestDiff]]*8))</f>
        <v>16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1428.6428614435085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1557.5986570350669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0.1962216107333791</v>
      </c>
      <c r="R186" s="1">
        <v>81</v>
      </c>
      <c r="S186" s="1">
        <v>95</v>
      </c>
      <c r="T186" s="1">
        <v>0</v>
      </c>
      <c r="U186" s="1">
        <f>Games[[#This Row],[PointsFor]]-Games[[#This Row],[PointsAgainst]]</f>
        <v>-14</v>
      </c>
      <c r="V186" s="1">
        <f>IF(Games[[#This Row],[MOV]]&gt;0,1,IF(Games[[#This Row],[MOV]]=0,0.5,0))</f>
        <v>0</v>
      </c>
      <c r="W186" s="4">
        <f>((ABS(Games[[#This Row],[MOV]])+5)^0.6)/(12+0.01*(ABS(Games[[#This Row],[PreGmRate]]-Games[[#This Row],[OppPreGmRate]])))*IF(Games[[#This Row],[OT]]=1,0.9,1)</f>
        <v>0.44029284208092312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73.75</v>
      </c>
      <c r="Z186" s="4">
        <f>Games[[#This Row],[K]]*Games[[#This Row],[POMult]]</f>
        <v>73.75</v>
      </c>
      <c r="AA186" s="4">
        <f>(Games[[#This Row],[Keff]]*Games[[#This Row],[MOVMult]])*(Games[[#This Row],[Result]]-Games[[#This Row],[ExpectedWin%]])</f>
        <v>-6.3716290867278333</v>
      </c>
      <c r="AB186" s="4">
        <f>Games[[#This Row],[PreGmRate]]+Games[[#This Row],[RatingChange]]</f>
        <v>1422.2712323567807</v>
      </c>
      <c r="AC186" s="2">
        <f>IF(Games[[#This Row],[Type]]="R",IF(Games[[#This Row],[Result]]&gt;0.5,1,0),0)</f>
        <v>0</v>
      </c>
      <c r="AD186" s="2">
        <f>IF(Games[[#This Row],[Type]]="R",IF(Games[[#This Row],[Result]]&lt;0.5,1,0),0)</f>
        <v>1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43658</v>
      </c>
      <c r="B187" s="2">
        <v>2019</v>
      </c>
      <c r="C187" s="2">
        <f>COUNTIFS(Games[Team],Games[[#This Row],[Team]],Games[Season],Games[[#This Row],[Season]],Games[Date],"&lt;=" &amp; Games[[#This Row],[Date]])</f>
        <v>17</v>
      </c>
      <c r="D187" s="2" t="s">
        <v>79</v>
      </c>
      <c r="E187" s="2" t="s">
        <v>80</v>
      </c>
      <c r="F187" s="1" t="s">
        <v>71</v>
      </c>
      <c r="G187" s="1" t="s">
        <v>85</v>
      </c>
      <c r="H187" s="1" t="s">
        <v>82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6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7" s="2">
        <f>Games[[#This Row],[DaysOff]]-Games[[#This Row],[OppDaysOff]]</f>
        <v>4</v>
      </c>
      <c r="L187" s="2">
        <f>Games[[#This Row],[OppDaysOff]]-Games[[#This Row],[DaysOff]]</f>
        <v>-4</v>
      </c>
      <c r="M187" s="1">
        <f>MAX(-16, MIN(16, Games[[#This Row],[RestDiff]]*8))</f>
        <v>16</v>
      </c>
      <c r="N187" s="1">
        <f>MAX(-16, MIN(16, Games[[#This Row],[OppRestDiff]]*8))</f>
        <v>-16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1557.5986570350669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1428.6428614435085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0.80377838926662093</v>
      </c>
      <c r="R187" s="1">
        <v>95</v>
      </c>
      <c r="S187" s="1">
        <v>81</v>
      </c>
      <c r="T187" s="1">
        <v>0</v>
      </c>
      <c r="U187" s="1">
        <f>Games[[#This Row],[PointsFor]]-Games[[#This Row],[PointsAgainst]]</f>
        <v>14</v>
      </c>
      <c r="V187" s="1">
        <f>IF(Games[[#This Row],[MOV]]&gt;0,1,IF(Games[[#This Row],[MOV]]=0,0.5,0))</f>
        <v>1</v>
      </c>
      <c r="W187" s="4">
        <f>((ABS(Games[[#This Row],[MOV]])+5)^0.6)/(12+0.01*(ABS(Games[[#This Row],[PreGmRate]]-Games[[#This Row],[OppPreGmRate]])))*IF(Games[[#This Row],[OT]]=1,0.9,1)</f>
        <v>0.44029284208092312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73.45</v>
      </c>
      <c r="Z187" s="4">
        <f>Games[[#This Row],[K]]*Games[[#This Row],[POMult]]</f>
        <v>73.45</v>
      </c>
      <c r="AA187" s="4">
        <f>(Games[[#This Row],[Keff]]*Games[[#This Row],[MOVMult]])*(Games[[#This Row],[Result]]-Games[[#This Row],[ExpectedWin%]])</f>
        <v>6.3457105955275841</v>
      </c>
      <c r="AB187" s="4">
        <f>Games[[#This Row],[PreGmRate]]+Games[[#This Row],[RatingChange]]</f>
        <v>1563.9443676305946</v>
      </c>
      <c r="AC187" s="2">
        <f>IF(Games[[#This Row],[Type]]="R",IF(Games[[#This Row],[Result]]&gt;0.5,1,0),0)</f>
        <v>1</v>
      </c>
      <c r="AD187" s="2">
        <f>IF(Games[[#This Row],[Type]]="R",IF(Games[[#This Row],[Result]]&lt;0.5,1,0),0)</f>
        <v>0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43659</v>
      </c>
      <c r="B188" s="2">
        <v>2019</v>
      </c>
      <c r="C188" s="2">
        <f>COUNTIFS(Games[Team],Games[[#This Row],[Team]],Games[Season],Games[[#This Row],[Season]],Games[Date],"&lt;=" &amp; Games[[#This Row],[Date]])</f>
        <v>16</v>
      </c>
      <c r="D188" s="2" t="s">
        <v>79</v>
      </c>
      <c r="E188" s="2" t="s">
        <v>80</v>
      </c>
      <c r="F188" s="1" t="s">
        <v>86</v>
      </c>
      <c r="G188" s="1" t="s">
        <v>65</v>
      </c>
      <c r="H188" s="1" t="s">
        <v>81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8" s="2">
        <f>Games[[#This Row],[DaysOff]]-Games[[#This Row],[OppDaysOff]]</f>
        <v>0</v>
      </c>
      <c r="L188" s="2">
        <f>Games[[#This Row],[OppDaysOff]]-Games[[#This Row],[DaysOff]]</f>
        <v>0</v>
      </c>
      <c r="M188" s="1">
        <f>MAX(-16, MIN(16, Games[[#This Row],[RestDiff]]*8))</f>
        <v>0</v>
      </c>
      <c r="N188" s="1">
        <f>MAX(-16, MIN(16, Games[[#This Row],[OppRestDiff]]*8))</f>
        <v>0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1541.2220303595982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1595.7501394418505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0.31057512877268778</v>
      </c>
      <c r="R188" s="1">
        <v>85</v>
      </c>
      <c r="S188" s="1">
        <v>81</v>
      </c>
      <c r="T188" s="1">
        <v>0</v>
      </c>
      <c r="U188" s="1">
        <f>Games[[#This Row],[PointsFor]]-Games[[#This Row],[PointsAgainst]]</f>
        <v>4</v>
      </c>
      <c r="V188" s="1">
        <f>IF(Games[[#This Row],[MOV]]&gt;0,1,IF(Games[[#This Row],[MOV]]=0,0.5,0))</f>
        <v>1</v>
      </c>
      <c r="W188" s="4">
        <f>((ABS(Games[[#This Row],[MOV]])+5)^0.6)/(12+0.01*(ABS(Games[[#This Row],[PreGmRate]]-Games[[#This Row],[OppPreGmRate]])))*IF(Games[[#This Row],[OT]]=1,0.9,1)</f>
        <v>0.29789629995460915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73.599999999999994</v>
      </c>
      <c r="Z188" s="4">
        <f>Games[[#This Row],[K]]*Games[[#This Row],[POMult]]</f>
        <v>73.599999999999994</v>
      </c>
      <c r="AA188" s="4">
        <f>(Games[[#This Row],[Keff]]*Games[[#This Row],[MOVMult]])*(Games[[#This Row],[Result]]-Games[[#This Row],[ExpectedWin%]])</f>
        <v>15.115755902118019</v>
      </c>
      <c r="AB188" s="4">
        <f>Games[[#This Row],[PreGmRate]]+Games[[#This Row],[RatingChange]]</f>
        <v>1556.3377862617162</v>
      </c>
      <c r="AC188" s="2">
        <f>IF(Games[[#This Row],[Type]]="R",IF(Games[[#This Row],[Result]]&gt;0.5,1,0),0)</f>
        <v>1</v>
      </c>
      <c r="AD188" s="2">
        <f>IF(Games[[#This Row],[Type]]="R",IF(Games[[#This Row],[Result]]&lt;0.5,1,0),0)</f>
        <v>0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43659</v>
      </c>
      <c r="B189" s="2">
        <v>2019</v>
      </c>
      <c r="C189" s="2">
        <f>COUNTIFS(Games[Team],Games[[#This Row],[Team]],Games[Season],Games[[#This Row],[Season]],Games[Date],"&lt;=" &amp; Games[[#This Row],[Date]])</f>
        <v>15</v>
      </c>
      <c r="D189" s="2" t="s">
        <v>79</v>
      </c>
      <c r="E189" s="2" t="s">
        <v>80</v>
      </c>
      <c r="F189" s="1" t="s">
        <v>65</v>
      </c>
      <c r="G189" s="1" t="s">
        <v>86</v>
      </c>
      <c r="H189" s="1" t="s">
        <v>82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9" s="2">
        <f>Games[[#This Row],[DaysOff]]-Games[[#This Row],[OppDaysOff]]</f>
        <v>0</v>
      </c>
      <c r="L189" s="2">
        <f>Games[[#This Row],[OppDaysOff]]-Games[[#This Row],[DaysOff]]</f>
        <v>0</v>
      </c>
      <c r="M189" s="1">
        <f>MAX(-16, MIN(16, Games[[#This Row],[RestDiff]]*8))</f>
        <v>0</v>
      </c>
      <c r="N189" s="1">
        <f>MAX(-16, MIN(16, Games[[#This Row],[OppRestDiff]]*8))</f>
        <v>0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1595.7501394418505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1541.2220303595982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0.68942487122731211</v>
      </c>
      <c r="R189" s="1">
        <v>81</v>
      </c>
      <c r="S189" s="1">
        <v>85</v>
      </c>
      <c r="T189" s="1">
        <v>0</v>
      </c>
      <c r="U189" s="1">
        <f>Games[[#This Row],[PointsFor]]-Games[[#This Row],[PointsAgainst]]</f>
        <v>-4</v>
      </c>
      <c r="V189" s="1">
        <f>IF(Games[[#This Row],[MOV]]&gt;0,1,IF(Games[[#This Row],[MOV]]=0,0.5,0))</f>
        <v>0</v>
      </c>
      <c r="W189" s="4">
        <f>((ABS(Games[[#This Row],[MOV]])+5)^0.6)/(12+0.01*(ABS(Games[[#This Row],[PreGmRate]]-Games[[#This Row],[OppPreGmRate]])))*IF(Games[[#This Row],[OT]]=1,0.9,1)</f>
        <v>0.29789629995460915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73.75</v>
      </c>
      <c r="Z189" s="4">
        <f>Games[[#This Row],[K]]*Games[[#This Row],[POMult]]</f>
        <v>73.75</v>
      </c>
      <c r="AA189" s="4">
        <f>(Games[[#This Row],[Keff]]*Games[[#This Row],[MOVMult]])*(Games[[#This Row],[Result]]-Games[[#This Row],[ExpectedWin%]])</f>
        <v>-15.146562469853311</v>
      </c>
      <c r="AB189" s="4">
        <f>Games[[#This Row],[PreGmRate]]+Games[[#This Row],[RatingChange]]</f>
        <v>1580.6035769719972</v>
      </c>
      <c r="AC189" s="2">
        <f>IF(Games[[#This Row],[Type]]="R",IF(Games[[#This Row],[Result]]&gt;0.5,1,0),0)</f>
        <v>0</v>
      </c>
      <c r="AD189" s="2">
        <f>IF(Games[[#This Row],[Type]]="R",IF(Games[[#This Row],[Result]]&lt;0.5,1,0),0)</f>
        <v>1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43660</v>
      </c>
      <c r="B190" s="2">
        <v>2019</v>
      </c>
      <c r="C190" s="2">
        <f>COUNTIFS(Games[Team],Games[[#This Row],[Team]],Games[Season],Games[[#This Row],[Season]],Games[Date],"&lt;=" &amp; Games[[#This Row],[Date]])</f>
        <v>16</v>
      </c>
      <c r="D190" s="2" t="s">
        <v>79</v>
      </c>
      <c r="E190" s="2" t="s">
        <v>80</v>
      </c>
      <c r="F190" s="1" t="s">
        <v>63</v>
      </c>
      <c r="G190" s="1" t="s">
        <v>77</v>
      </c>
      <c r="H190" s="1" t="s">
        <v>81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0" s="2">
        <f>Games[[#This Row],[DaysOff]]-Games[[#This Row],[OppDaysOff]]</f>
        <v>0</v>
      </c>
      <c r="L190" s="2">
        <f>Games[[#This Row],[OppDaysOff]]-Games[[#This Row],[DaysOff]]</f>
        <v>0</v>
      </c>
      <c r="M190" s="1">
        <f>MAX(-16, MIN(16, Games[[#This Row],[RestDiff]]*8))</f>
        <v>0</v>
      </c>
      <c r="N190" s="1">
        <f>MAX(-16, MIN(16, Games[[#This Row],[OppRestDiff]]*8))</f>
        <v>0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1526.4690128308707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1445.5787651892749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0.49552482611629944</v>
      </c>
      <c r="R190" s="1">
        <v>76</v>
      </c>
      <c r="S190" s="1">
        <v>71</v>
      </c>
      <c r="T190" s="1">
        <v>1</v>
      </c>
      <c r="U190" s="1">
        <f>Games[[#This Row],[PointsFor]]-Games[[#This Row],[PointsAgainst]]</f>
        <v>5</v>
      </c>
      <c r="V190" s="1">
        <f>IF(Games[[#This Row],[MOV]]&gt;0,1,IF(Games[[#This Row],[MOV]]=0,0.5,0))</f>
        <v>1</v>
      </c>
      <c r="W190" s="4">
        <f>((ABS(Games[[#This Row],[MOV]])+5)^0.6)/(12+0.01*(ABS(Games[[#This Row],[PreGmRate]]-Games[[#This Row],[OppPreGmRate]])))*IF(Games[[#This Row],[OT]]=1,0.9,1)</f>
        <v>0.27972455419802839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73.599999999999994</v>
      </c>
      <c r="Z190" s="4">
        <f>Games[[#This Row],[K]]*Games[[#This Row],[POMult]]</f>
        <v>73.599999999999994</v>
      </c>
      <c r="AA190" s="4">
        <f>(Games[[#This Row],[Keff]]*Games[[#This Row],[MOVMult]])*(Games[[#This Row],[Result]]-Games[[#This Row],[ExpectedWin%]])</f>
        <v>10.385997253528297</v>
      </c>
      <c r="AB190" s="4">
        <f>Games[[#This Row],[PreGmRate]]+Games[[#This Row],[RatingChange]]</f>
        <v>1536.8550100843991</v>
      </c>
      <c r="AC190" s="2">
        <f>IF(Games[[#This Row],[Type]]="R",IF(Games[[#This Row],[Result]]&gt;0.5,1,0),0)</f>
        <v>1</v>
      </c>
      <c r="AD190" s="2">
        <f>IF(Games[[#This Row],[Type]]="R",IF(Games[[#This Row],[Result]]&lt;0.5,1,0),0)</f>
        <v>0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43660</v>
      </c>
      <c r="B191" s="2">
        <v>2019</v>
      </c>
      <c r="C191" s="2">
        <f>COUNTIFS(Games[Team],Games[[#This Row],[Team]],Games[Season],Games[[#This Row],[Season]],Games[Date],"&lt;=" &amp; Games[[#This Row],[Date]])</f>
        <v>16</v>
      </c>
      <c r="D191" s="2" t="s">
        <v>79</v>
      </c>
      <c r="E191" s="2" t="s">
        <v>80</v>
      </c>
      <c r="F191" s="1" t="s">
        <v>77</v>
      </c>
      <c r="G191" s="1" t="s">
        <v>63</v>
      </c>
      <c r="H191" s="1" t="s">
        <v>82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1" s="2">
        <f>Games[[#This Row],[DaysOff]]-Games[[#This Row],[OppDaysOff]]</f>
        <v>0</v>
      </c>
      <c r="L191" s="2">
        <f>Games[[#This Row],[OppDaysOff]]-Games[[#This Row],[DaysOff]]</f>
        <v>0</v>
      </c>
      <c r="M191" s="1">
        <f>MAX(-16, MIN(16, Games[[#This Row],[RestDiff]]*8))</f>
        <v>0</v>
      </c>
      <c r="N191" s="1">
        <f>MAX(-16, MIN(16, Games[[#This Row],[OppRestDiff]]*8))</f>
        <v>0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1445.5787651892749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1526.4690128308707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0.50447517388370045</v>
      </c>
      <c r="R191" s="1">
        <v>71</v>
      </c>
      <c r="S191" s="1">
        <v>76</v>
      </c>
      <c r="T191" s="1">
        <v>1</v>
      </c>
      <c r="U191" s="1">
        <f>Games[[#This Row],[PointsFor]]-Games[[#This Row],[PointsAgainst]]</f>
        <v>-5</v>
      </c>
      <c r="V191" s="1">
        <f>IF(Games[[#This Row],[MOV]]&gt;0,1,IF(Games[[#This Row],[MOV]]=0,0.5,0))</f>
        <v>0</v>
      </c>
      <c r="W191" s="4">
        <f>((ABS(Games[[#This Row],[MOV]])+5)^0.6)/(12+0.01*(ABS(Games[[#This Row],[PreGmRate]]-Games[[#This Row],[OppPreGmRate]])))*IF(Games[[#This Row],[OT]]=1,0.9,1)</f>
        <v>0.27972455419802839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73.599999999999994</v>
      </c>
      <c r="Z191" s="4">
        <f>Games[[#This Row],[K]]*Games[[#This Row],[POMult]]</f>
        <v>73.599999999999994</v>
      </c>
      <c r="AA191" s="4">
        <f>(Games[[#This Row],[Keff]]*Games[[#This Row],[MOVMult]])*(Games[[#This Row],[Result]]-Games[[#This Row],[ExpectedWin%]])</f>
        <v>-10.385997253528295</v>
      </c>
      <c r="AB191" s="4">
        <f>Games[[#This Row],[PreGmRate]]+Games[[#This Row],[RatingChange]]</f>
        <v>1435.1927679357466</v>
      </c>
      <c r="AC191" s="2">
        <f>IF(Games[[#This Row],[Type]]="R",IF(Games[[#This Row],[Result]]&gt;0.5,1,0),0)</f>
        <v>0</v>
      </c>
      <c r="AD191" s="2">
        <f>IF(Games[[#This Row],[Type]]="R",IF(Games[[#This Row],[Result]]&lt;0.5,1,0),0)</f>
        <v>1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43660</v>
      </c>
      <c r="B192" s="2">
        <v>2019</v>
      </c>
      <c r="C192" s="2">
        <f>COUNTIFS(Games[Team],Games[[#This Row],[Team]],Games[Season],Games[[#This Row],[Season]],Games[Date],"&lt;=" &amp; Games[[#This Row],[Date]])</f>
        <v>17</v>
      </c>
      <c r="D192" s="2" t="s">
        <v>79</v>
      </c>
      <c r="E192" s="2" t="s">
        <v>80</v>
      </c>
      <c r="F192" s="1" t="s">
        <v>75</v>
      </c>
      <c r="G192" s="1" t="s">
        <v>85</v>
      </c>
      <c r="H192" s="1" t="s">
        <v>81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2" s="2">
        <f>Games[[#This Row],[DaysOff]]-Games[[#This Row],[OppDaysOff]]</f>
        <v>0</v>
      </c>
      <c r="L192" s="2">
        <f>Games[[#This Row],[OppDaysOff]]-Games[[#This Row],[DaysOff]]</f>
        <v>0</v>
      </c>
      <c r="M192" s="1">
        <f>MAX(-16, MIN(16, Games[[#This Row],[RestDiff]]*8))</f>
        <v>0</v>
      </c>
      <c r="N192" s="1">
        <f>MAX(-16, MIN(16, Games[[#This Row],[OppRestDiff]]*8))</f>
        <v>0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1473.0589155928021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1422.2712323567807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0.45234869114310627</v>
      </c>
      <c r="R192" s="1">
        <v>89</v>
      </c>
      <c r="S192" s="1">
        <v>79</v>
      </c>
      <c r="T192" s="1">
        <v>0</v>
      </c>
      <c r="U192" s="1">
        <f>Games[[#This Row],[PointsFor]]-Games[[#This Row],[PointsAgainst]]</f>
        <v>10</v>
      </c>
      <c r="V192" s="1">
        <f>IF(Games[[#This Row],[MOV]]&gt;0,1,IF(Games[[#This Row],[MOV]]=0,0.5,0))</f>
        <v>1</v>
      </c>
      <c r="W192" s="4">
        <f>((ABS(Games[[#This Row],[MOV]])+5)^0.6)/(12+0.01*(ABS(Games[[#This Row],[PreGmRate]]-Games[[#This Row],[OppPreGmRate]])))*IF(Games[[#This Row],[OT]]=1,0.9,1)</f>
        <v>0.40594870416782652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73.45</v>
      </c>
      <c r="Z192" s="4">
        <f>Games[[#This Row],[K]]*Games[[#This Row],[POMult]]</f>
        <v>73.45</v>
      </c>
      <c r="AA192" s="4">
        <f>(Games[[#This Row],[Keff]]*Games[[#This Row],[MOVMult]])*(Games[[#This Row],[Result]]-Games[[#This Row],[ExpectedWin%]])</f>
        <v>16.329282011762544</v>
      </c>
      <c r="AB192" s="4">
        <f>Games[[#This Row],[PreGmRate]]+Games[[#This Row],[RatingChange]]</f>
        <v>1489.3881976045648</v>
      </c>
      <c r="AC192" s="2">
        <f>IF(Games[[#This Row],[Type]]="R",IF(Games[[#This Row],[Result]]&gt;0.5,1,0),0)</f>
        <v>1</v>
      </c>
      <c r="AD192" s="2">
        <f>IF(Games[[#This Row],[Type]]="R",IF(Games[[#This Row],[Result]]&lt;0.5,1,0),0)</f>
        <v>0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43660</v>
      </c>
      <c r="B193" s="2">
        <v>2019</v>
      </c>
      <c r="C193" s="2">
        <f>COUNTIFS(Games[Team],Games[[#This Row],[Team]],Games[Season],Games[[#This Row],[Season]],Games[Date],"&lt;=" &amp; Games[[#This Row],[Date]])</f>
        <v>16</v>
      </c>
      <c r="D193" s="2" t="s">
        <v>79</v>
      </c>
      <c r="E193" s="2" t="s">
        <v>80</v>
      </c>
      <c r="F193" s="1" t="s">
        <v>85</v>
      </c>
      <c r="G193" s="1" t="s">
        <v>75</v>
      </c>
      <c r="H193" s="1" t="s">
        <v>82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3" s="2">
        <f>Games[[#This Row],[DaysOff]]-Games[[#This Row],[OppDaysOff]]</f>
        <v>0</v>
      </c>
      <c r="L193" s="2">
        <f>Games[[#This Row],[OppDaysOff]]-Games[[#This Row],[DaysOff]]</f>
        <v>0</v>
      </c>
      <c r="M193" s="1">
        <f>MAX(-16, MIN(16, Games[[#This Row],[RestDiff]]*8))</f>
        <v>0</v>
      </c>
      <c r="N193" s="1">
        <f>MAX(-16, MIN(16, Games[[#This Row],[OppRestDiff]]*8))</f>
        <v>0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1422.2712323567807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1473.0589155928021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0.54765130885689373</v>
      </c>
      <c r="R193" s="1">
        <v>79</v>
      </c>
      <c r="S193" s="1">
        <v>89</v>
      </c>
      <c r="T193" s="1">
        <v>0</v>
      </c>
      <c r="U193" s="1">
        <f>Games[[#This Row],[PointsFor]]-Games[[#This Row],[PointsAgainst]]</f>
        <v>-10</v>
      </c>
      <c r="V193" s="1">
        <f>IF(Games[[#This Row],[MOV]]&gt;0,1,IF(Games[[#This Row],[MOV]]=0,0.5,0))</f>
        <v>0</v>
      </c>
      <c r="W193" s="4">
        <f>((ABS(Games[[#This Row],[MOV]])+5)^0.6)/(12+0.01*(ABS(Games[[#This Row],[PreGmRate]]-Games[[#This Row],[OppPreGmRate]])))*IF(Games[[#This Row],[OT]]=1,0.9,1)</f>
        <v>0.40594870416782652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73.599999999999994</v>
      </c>
      <c r="Z193" s="4">
        <f>Games[[#This Row],[K]]*Games[[#This Row],[POMult]]</f>
        <v>73.599999999999994</v>
      </c>
      <c r="AA193" s="4">
        <f>(Games[[#This Row],[Keff]]*Games[[#This Row],[MOVMult]])*(Games[[#This Row],[Result]]-Games[[#This Row],[ExpectedWin%]])</f>
        <v>-16.362629762637482</v>
      </c>
      <c r="AB193" s="4">
        <f>Games[[#This Row],[PreGmRate]]+Games[[#This Row],[RatingChange]]</f>
        <v>1405.9086025941433</v>
      </c>
      <c r="AC193" s="2">
        <f>IF(Games[[#This Row],[Type]]="R",IF(Games[[#This Row],[Result]]&gt;0.5,1,0),0)</f>
        <v>0</v>
      </c>
      <c r="AD193" s="2">
        <f>IF(Games[[#This Row],[Type]]="R",IF(Games[[#This Row],[Result]]&lt;0.5,1,0),0)</f>
        <v>1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43660</v>
      </c>
      <c r="B194" s="2">
        <v>2019</v>
      </c>
      <c r="C194" s="2">
        <f>COUNTIFS(Games[Team],Games[[#This Row],[Team]],Games[Season],Games[[#This Row],[Season]],Games[Date],"&lt;=" &amp; Games[[#This Row],[Date]])</f>
        <v>17</v>
      </c>
      <c r="D194" s="2" t="s">
        <v>79</v>
      </c>
      <c r="E194" s="2" t="s">
        <v>80</v>
      </c>
      <c r="F194" s="1" t="s">
        <v>74</v>
      </c>
      <c r="G194" s="1" t="s">
        <v>69</v>
      </c>
      <c r="H194" s="1" t="s">
        <v>81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4" s="2">
        <f>Games[[#This Row],[DaysOff]]-Games[[#This Row],[OppDaysOff]]</f>
        <v>0</v>
      </c>
      <c r="L194" s="2">
        <f>Games[[#This Row],[OppDaysOff]]-Games[[#This Row],[DaysOff]]</f>
        <v>0</v>
      </c>
      <c r="M194" s="1">
        <f>MAX(-16, MIN(16, Games[[#This Row],[RestDiff]]*8))</f>
        <v>0</v>
      </c>
      <c r="N194" s="1">
        <f>MAX(-16, MIN(16, Games[[#This Row],[OppRestDiff]]*8))</f>
        <v>0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1562.5514311254233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1407.3552436758389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0.60104908154883929</v>
      </c>
      <c r="R194" s="1">
        <v>76</v>
      </c>
      <c r="S194" s="1">
        <v>63</v>
      </c>
      <c r="T194" s="1">
        <v>0</v>
      </c>
      <c r="U194" s="1">
        <f>Games[[#This Row],[PointsFor]]-Games[[#This Row],[PointsAgainst]]</f>
        <v>13</v>
      </c>
      <c r="V194" s="1">
        <f>IF(Games[[#This Row],[MOV]]&gt;0,1,IF(Games[[#This Row],[MOV]]=0,0.5,0))</f>
        <v>1</v>
      </c>
      <c r="W194" s="4">
        <f>((ABS(Games[[#This Row],[MOV]])+5)^0.6)/(12+0.01*(ABS(Games[[#This Row],[PreGmRate]]-Games[[#This Row],[OppPreGmRate]])))*IF(Games[[#This Row],[OT]]=1,0.9,1)</f>
        <v>0.41798561125159167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73.45</v>
      </c>
      <c r="Z194" s="4">
        <f>Games[[#This Row],[K]]*Games[[#This Row],[POMult]]</f>
        <v>73.45</v>
      </c>
      <c r="AA194" s="4">
        <f>(Games[[#This Row],[Keff]]*Games[[#This Row],[MOVMult]])*(Games[[#This Row],[Result]]-Games[[#This Row],[ExpectedWin%]])</f>
        <v>12.248209360676725</v>
      </c>
      <c r="AB194" s="4">
        <f>Games[[#This Row],[PreGmRate]]+Games[[#This Row],[RatingChange]]</f>
        <v>1574.7996404861001</v>
      </c>
      <c r="AC194" s="2">
        <f>IF(Games[[#This Row],[Type]]="R",IF(Games[[#This Row],[Result]]&gt;0.5,1,0),0)</f>
        <v>1</v>
      </c>
      <c r="AD194" s="2">
        <f>IF(Games[[#This Row],[Type]]="R",IF(Games[[#This Row],[Result]]&lt;0.5,1,0),0)</f>
        <v>0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43660</v>
      </c>
      <c r="B195" s="2">
        <v>2019</v>
      </c>
      <c r="C195" s="2">
        <f>COUNTIFS(Games[Team],Games[[#This Row],[Team]],Games[Season],Games[[#This Row],[Season]],Games[Date],"&lt;=" &amp; Games[[#This Row],[Date]])</f>
        <v>18</v>
      </c>
      <c r="D195" s="2" t="s">
        <v>79</v>
      </c>
      <c r="E195" s="2" t="s">
        <v>80</v>
      </c>
      <c r="F195" s="1" t="s">
        <v>69</v>
      </c>
      <c r="G195" s="1" t="s">
        <v>74</v>
      </c>
      <c r="H195" s="1" t="s">
        <v>82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5" s="2">
        <f>Games[[#This Row],[DaysOff]]-Games[[#This Row],[OppDaysOff]]</f>
        <v>0</v>
      </c>
      <c r="L195" s="2">
        <f>Games[[#This Row],[OppDaysOff]]-Games[[#This Row],[DaysOff]]</f>
        <v>0</v>
      </c>
      <c r="M195" s="1">
        <f>MAX(-16, MIN(16, Games[[#This Row],[RestDiff]]*8))</f>
        <v>0</v>
      </c>
      <c r="N195" s="1">
        <f>MAX(-16, MIN(16, Games[[#This Row],[OppRestDiff]]*8))</f>
        <v>0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1407.3552436758389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1562.5514311254233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0.39895091845116065</v>
      </c>
      <c r="R195" s="1">
        <v>63</v>
      </c>
      <c r="S195" s="1">
        <v>76</v>
      </c>
      <c r="T195" s="1">
        <v>0</v>
      </c>
      <c r="U195" s="1">
        <f>Games[[#This Row],[PointsFor]]-Games[[#This Row],[PointsAgainst]]</f>
        <v>-13</v>
      </c>
      <c r="V195" s="1">
        <f>IF(Games[[#This Row],[MOV]]&gt;0,1,IF(Games[[#This Row],[MOV]]=0,0.5,0))</f>
        <v>0</v>
      </c>
      <c r="W195" s="4">
        <f>((ABS(Games[[#This Row],[MOV]])+5)^0.6)/(12+0.01*(ABS(Games[[#This Row],[PreGmRate]]-Games[[#This Row],[OppPreGmRate]])))*IF(Games[[#This Row],[OT]]=1,0.9,1)</f>
        <v>0.41798561125159167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73.3</v>
      </c>
      <c r="Z195" s="4">
        <f>Games[[#This Row],[K]]*Games[[#This Row],[POMult]]</f>
        <v>73.3</v>
      </c>
      <c r="AA195" s="4">
        <f>(Games[[#This Row],[Keff]]*Games[[#This Row],[MOVMult]])*(Games[[#This Row],[Result]]-Games[[#This Row],[ExpectedWin%]])</f>
        <v>-12.223195999150494</v>
      </c>
      <c r="AB195" s="4">
        <f>Games[[#This Row],[PreGmRate]]+Games[[#This Row],[RatingChange]]</f>
        <v>1395.1320476766884</v>
      </c>
      <c r="AC195" s="2">
        <f>IF(Games[[#This Row],[Type]]="R",IF(Games[[#This Row],[Result]]&gt;0.5,1,0),0)</f>
        <v>0</v>
      </c>
      <c r="AD195" s="2">
        <f>IF(Games[[#This Row],[Type]]="R",IF(Games[[#This Row],[Result]]&lt;0.5,1,0),0)</f>
        <v>1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43660</v>
      </c>
      <c r="B196" s="2">
        <v>2019</v>
      </c>
      <c r="C196" s="2">
        <f>COUNTIFS(Games[Team],Games[[#This Row],[Team]],Games[Season],Games[[#This Row],[Season]],Games[Date],"&lt;=" &amp; Games[[#This Row],[Date]])</f>
        <v>15</v>
      </c>
      <c r="D196" s="2" t="s">
        <v>79</v>
      </c>
      <c r="E196" s="2" t="s">
        <v>80</v>
      </c>
      <c r="F196" s="1" t="s">
        <v>40</v>
      </c>
      <c r="G196" s="1" t="s">
        <v>67</v>
      </c>
      <c r="H196" s="1" t="s">
        <v>81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6" s="2">
        <f>Games[[#This Row],[DaysOff]]-Games[[#This Row],[OppDaysOff]]</f>
        <v>0</v>
      </c>
      <c r="L196" s="2">
        <f>Games[[#This Row],[OppDaysOff]]-Games[[#This Row],[DaysOff]]</f>
        <v>0</v>
      </c>
      <c r="M196" s="1">
        <f>MAX(-16, MIN(16, Games[[#This Row],[RestDiff]]*8))</f>
        <v>0</v>
      </c>
      <c r="N196" s="1">
        <f>MAX(-16, MIN(16, Games[[#This Row],[OppRestDiff]]*8))</f>
        <v>0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1529.949015339726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1524.6540008724542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0.38863292013664485</v>
      </c>
      <c r="R196" s="1">
        <v>62</v>
      </c>
      <c r="S196" s="1">
        <v>75</v>
      </c>
      <c r="T196" s="1">
        <v>0</v>
      </c>
      <c r="U196" s="1">
        <f>Games[[#This Row],[PointsFor]]-Games[[#This Row],[PointsAgainst]]</f>
        <v>-13</v>
      </c>
      <c r="V196" s="1">
        <f>IF(Games[[#This Row],[MOV]]&gt;0,1,IF(Games[[#This Row],[MOV]]=0,0.5,0))</f>
        <v>0</v>
      </c>
      <c r="W196" s="4">
        <f>((ABS(Games[[#This Row],[MOV]])+5)^0.6)/(12+0.01*(ABS(Games[[#This Row],[PreGmRate]]-Games[[#This Row],[OppPreGmRate]])))*IF(Games[[#This Row],[OT]]=1,0.9,1)</f>
        <v>0.46997000732414662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73.75</v>
      </c>
      <c r="Z196" s="4">
        <f>Games[[#This Row],[K]]*Games[[#This Row],[POMult]]</f>
        <v>73.75</v>
      </c>
      <c r="AA196" s="4">
        <f>(Games[[#This Row],[Keff]]*Games[[#This Row],[MOVMult]])*(Games[[#This Row],[Result]]-Games[[#This Row],[ExpectedWin%]])</f>
        <v>-13.47012895382298</v>
      </c>
      <c r="AB196" s="4">
        <f>Games[[#This Row],[PreGmRate]]+Games[[#This Row],[RatingChange]]</f>
        <v>1516.478886385903</v>
      </c>
      <c r="AC196" s="2">
        <f>IF(Games[[#This Row],[Type]]="R",IF(Games[[#This Row],[Result]]&gt;0.5,1,0),0)</f>
        <v>0</v>
      </c>
      <c r="AD196" s="2">
        <f>IF(Games[[#This Row],[Type]]="R",IF(Games[[#This Row],[Result]]&lt;0.5,1,0),0)</f>
        <v>1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43660</v>
      </c>
      <c r="B197" s="2">
        <v>2019</v>
      </c>
      <c r="C197" s="2">
        <f>COUNTIFS(Games[Team],Games[[#This Row],[Team]],Games[Season],Games[[#This Row],[Season]],Games[Date],"&lt;=" &amp; Games[[#This Row],[Date]])</f>
        <v>17</v>
      </c>
      <c r="D197" s="2" t="s">
        <v>79</v>
      </c>
      <c r="E197" s="2" t="s">
        <v>80</v>
      </c>
      <c r="F197" s="1" t="s">
        <v>67</v>
      </c>
      <c r="G197" s="1" t="s">
        <v>40</v>
      </c>
      <c r="H197" s="1" t="s">
        <v>82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7" s="2">
        <f>Games[[#This Row],[DaysOff]]-Games[[#This Row],[OppDaysOff]]</f>
        <v>0</v>
      </c>
      <c r="L197" s="2">
        <f>Games[[#This Row],[OppDaysOff]]-Games[[#This Row],[DaysOff]]</f>
        <v>0</v>
      </c>
      <c r="M197" s="1">
        <f>MAX(-16, MIN(16, Games[[#This Row],[RestDiff]]*8))</f>
        <v>0</v>
      </c>
      <c r="N197" s="1">
        <f>MAX(-16, MIN(16, Games[[#This Row],[OppRestDiff]]*8))</f>
        <v>0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1524.6540008724542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1529.949015339726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0.61136707986335515</v>
      </c>
      <c r="R197" s="1">
        <v>75</v>
      </c>
      <c r="S197" s="1">
        <v>62</v>
      </c>
      <c r="T197" s="1">
        <v>0</v>
      </c>
      <c r="U197" s="1">
        <f>Games[[#This Row],[PointsFor]]-Games[[#This Row],[PointsAgainst]]</f>
        <v>13</v>
      </c>
      <c r="V197" s="1">
        <f>IF(Games[[#This Row],[MOV]]&gt;0,1,IF(Games[[#This Row],[MOV]]=0,0.5,0))</f>
        <v>1</v>
      </c>
      <c r="W197" s="4">
        <f>((ABS(Games[[#This Row],[MOV]])+5)^0.6)/(12+0.01*(ABS(Games[[#This Row],[PreGmRate]]-Games[[#This Row],[OppPreGmRate]])))*IF(Games[[#This Row],[OT]]=1,0.9,1)</f>
        <v>0.46997000732414662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73.45</v>
      </c>
      <c r="Z197" s="4">
        <f>Games[[#This Row],[K]]*Games[[#This Row],[POMult]]</f>
        <v>73.45</v>
      </c>
      <c r="AA197" s="4">
        <f>(Games[[#This Row],[Keff]]*Games[[#This Row],[MOVMult]])*(Games[[#This Row],[Result]]-Games[[#This Row],[ExpectedWin%]])</f>
        <v>13.415335208926075</v>
      </c>
      <c r="AB197" s="4">
        <f>Games[[#This Row],[PreGmRate]]+Games[[#This Row],[RatingChange]]</f>
        <v>1538.0693360813802</v>
      </c>
      <c r="AC197" s="2">
        <f>IF(Games[[#This Row],[Type]]="R",IF(Games[[#This Row],[Result]]&gt;0.5,1,0),0)</f>
        <v>1</v>
      </c>
      <c r="AD197" s="2">
        <f>IF(Games[[#This Row],[Type]]="R",IF(Games[[#This Row],[Result]]&lt;0.5,1,0),0)</f>
        <v>0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43660</v>
      </c>
      <c r="B198" s="2">
        <v>2019</v>
      </c>
      <c r="C198" s="2">
        <f>COUNTIFS(Games[Team],Games[[#This Row],[Team]],Games[Season],Games[[#This Row],[Season]],Games[Date],"&lt;=" &amp; Games[[#This Row],[Date]])</f>
        <v>17</v>
      </c>
      <c r="D198" s="2" t="s">
        <v>79</v>
      </c>
      <c r="E198" s="2" t="s">
        <v>80</v>
      </c>
      <c r="F198" s="1" t="s">
        <v>60</v>
      </c>
      <c r="G198" s="1" t="s">
        <v>71</v>
      </c>
      <c r="H198" s="1" t="s">
        <v>81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8" s="2">
        <f>Games[[#This Row],[DaysOff]]-Games[[#This Row],[OppDaysOff]]</f>
        <v>0</v>
      </c>
      <c r="L198" s="2">
        <f>Games[[#This Row],[OppDaysOff]]-Games[[#This Row],[DaysOff]]</f>
        <v>0</v>
      </c>
      <c r="M198" s="1">
        <f>MAX(-16, MIN(16, Games[[#This Row],[RestDiff]]*8))</f>
        <v>0</v>
      </c>
      <c r="N198" s="1">
        <f>MAX(-16, MIN(16, Games[[#This Row],[OppRestDiff]]*8))</f>
        <v>0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1407.5437143017871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1563.9443676305946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0.20039019857511942</v>
      </c>
      <c r="R198" s="1">
        <v>69</v>
      </c>
      <c r="S198" s="1">
        <v>78</v>
      </c>
      <c r="T198" s="1">
        <v>0</v>
      </c>
      <c r="U198" s="1">
        <f>Games[[#This Row],[PointsFor]]-Games[[#This Row],[PointsAgainst]]</f>
        <v>-9</v>
      </c>
      <c r="V198" s="1">
        <f>IF(Games[[#This Row],[MOV]]&gt;0,1,IF(Games[[#This Row],[MOV]]=0,0.5,0))</f>
        <v>0</v>
      </c>
      <c r="W198" s="4">
        <f>((ABS(Games[[#This Row],[MOV]])+5)^0.6)/(12+0.01*(ABS(Games[[#This Row],[PreGmRate]]-Games[[#This Row],[OppPreGmRate]])))*IF(Games[[#This Row],[OT]]=1,0.9,1)</f>
        <v>0.35916071802318472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73.45</v>
      </c>
      <c r="Z198" s="4">
        <f>Games[[#This Row],[K]]*Games[[#This Row],[POMult]]</f>
        <v>73.45</v>
      </c>
      <c r="AA198" s="4">
        <f>(Games[[#This Row],[Keff]]*Games[[#This Row],[MOVMult]])*(Games[[#This Row],[Result]]-Games[[#This Row],[ExpectedWin%]])</f>
        <v>-5.2863645245908089</v>
      </c>
      <c r="AB198" s="4">
        <f>Games[[#This Row],[PreGmRate]]+Games[[#This Row],[RatingChange]]</f>
        <v>1402.2573497771962</v>
      </c>
      <c r="AC198" s="2">
        <f>IF(Games[[#This Row],[Type]]="R",IF(Games[[#This Row],[Result]]&gt;0.5,1,0),0)</f>
        <v>0</v>
      </c>
      <c r="AD198" s="2">
        <f>IF(Games[[#This Row],[Type]]="R",IF(Games[[#This Row],[Result]]&lt;0.5,1,0),0)</f>
        <v>1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43660</v>
      </c>
      <c r="B199" s="2">
        <v>2019</v>
      </c>
      <c r="C199" s="2">
        <f>COUNTIFS(Games[Team],Games[[#This Row],[Team]],Games[Season],Games[[#This Row],[Season]],Games[Date],"&lt;=" &amp; Games[[#This Row],[Date]])</f>
        <v>18</v>
      </c>
      <c r="D199" s="2" t="s">
        <v>79</v>
      </c>
      <c r="E199" s="2" t="s">
        <v>80</v>
      </c>
      <c r="F199" s="1" t="s">
        <v>71</v>
      </c>
      <c r="G199" s="1" t="s">
        <v>60</v>
      </c>
      <c r="H199" s="1" t="s">
        <v>82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9" s="2">
        <f>Games[[#This Row],[DaysOff]]-Games[[#This Row],[OppDaysOff]]</f>
        <v>0</v>
      </c>
      <c r="L199" s="2">
        <f>Games[[#This Row],[OppDaysOff]]-Games[[#This Row],[DaysOff]]</f>
        <v>0</v>
      </c>
      <c r="M199" s="1">
        <f>MAX(-16, MIN(16, Games[[#This Row],[RestDiff]]*8))</f>
        <v>0</v>
      </c>
      <c r="N199" s="1">
        <f>MAX(-16, MIN(16, Games[[#This Row],[OppRestDiff]]*8))</f>
        <v>0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1563.9443676305946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1407.5437143017871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0.79960980142488047</v>
      </c>
      <c r="R199" s="1">
        <v>78</v>
      </c>
      <c r="S199" s="1">
        <v>69</v>
      </c>
      <c r="T199" s="1">
        <v>0</v>
      </c>
      <c r="U199" s="1">
        <f>Games[[#This Row],[PointsFor]]-Games[[#This Row],[PointsAgainst]]</f>
        <v>9</v>
      </c>
      <c r="V199" s="1">
        <f>IF(Games[[#This Row],[MOV]]&gt;0,1,IF(Games[[#This Row],[MOV]]=0,0.5,0))</f>
        <v>1</v>
      </c>
      <c r="W199" s="4">
        <f>((ABS(Games[[#This Row],[MOV]])+5)^0.6)/(12+0.01*(ABS(Games[[#This Row],[PreGmRate]]-Games[[#This Row],[OppPreGmRate]])))*IF(Games[[#This Row],[OT]]=1,0.9,1)</f>
        <v>0.35916071802318472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73.3</v>
      </c>
      <c r="Z199" s="4">
        <f>Games[[#This Row],[K]]*Games[[#This Row],[POMult]]</f>
        <v>73.3</v>
      </c>
      <c r="AA199" s="4">
        <f>(Games[[#This Row],[Keff]]*Games[[#This Row],[MOVMult]])*(Games[[#This Row],[Result]]-Games[[#This Row],[ExpectedWin%]])</f>
        <v>5.2755686814500544</v>
      </c>
      <c r="AB199" s="4">
        <f>Games[[#This Row],[PreGmRate]]+Games[[#This Row],[RatingChange]]</f>
        <v>1569.2199363120446</v>
      </c>
      <c r="AC199" s="2">
        <f>IF(Games[[#This Row],[Type]]="R",IF(Games[[#This Row],[Result]]&gt;0.5,1,0),0)</f>
        <v>1</v>
      </c>
      <c r="AD199" s="2">
        <f>IF(Games[[#This Row],[Type]]="R",IF(Games[[#This Row],[Result]]&lt;0.5,1,0),0)</f>
        <v>0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43663</v>
      </c>
      <c r="B200" s="2">
        <v>2019</v>
      </c>
      <c r="C200" s="2">
        <f>COUNTIFS(Games[Team],Games[[#This Row],[Team]],Games[Season],Games[[#This Row],[Season]],Games[Date],"&lt;=" &amp; Games[[#This Row],[Date]])</f>
        <v>17</v>
      </c>
      <c r="D200" s="2" t="s">
        <v>79</v>
      </c>
      <c r="E200" s="2" t="s">
        <v>80</v>
      </c>
      <c r="F200" s="1" t="s">
        <v>77</v>
      </c>
      <c r="G200" s="1" t="s">
        <v>75</v>
      </c>
      <c r="H200" s="1" t="s">
        <v>81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0" s="2">
        <f>Games[[#This Row],[DaysOff]]-Games[[#This Row],[OppDaysOff]]</f>
        <v>0</v>
      </c>
      <c r="L200" s="2">
        <f>Games[[#This Row],[OppDaysOff]]-Games[[#This Row],[DaysOff]]</f>
        <v>0</v>
      </c>
      <c r="M200" s="1">
        <f>MAX(-16, MIN(16, Games[[#This Row],[RestDiff]]*8))</f>
        <v>0</v>
      </c>
      <c r="N200" s="1">
        <f>MAX(-16, MIN(16, Games[[#This Row],[OppRestDiff]]*8))</f>
        <v>0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1435.1927679357466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1489.3881976045648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0.31098532596676198</v>
      </c>
      <c r="R200" s="1">
        <v>76</v>
      </c>
      <c r="S200" s="1">
        <v>77</v>
      </c>
      <c r="T200" s="1">
        <v>0</v>
      </c>
      <c r="U200" s="1">
        <f>Games[[#This Row],[PointsFor]]-Games[[#This Row],[PointsAgainst]]</f>
        <v>-1</v>
      </c>
      <c r="V200" s="1">
        <f>IF(Games[[#This Row],[MOV]]&gt;0,1,IF(Games[[#This Row],[MOV]]=0,0.5,0))</f>
        <v>0</v>
      </c>
      <c r="W200" s="4">
        <f>((ABS(Games[[#This Row],[MOV]])+5)^0.6)/(12+0.01*(ABS(Games[[#This Row],[PreGmRate]]-Games[[#This Row],[OppPreGmRate]])))*IF(Games[[#This Row],[OT]]=1,0.9,1)</f>
        <v>0.23362834708760308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73.45</v>
      </c>
      <c r="Z200" s="4">
        <f>Games[[#This Row],[K]]*Games[[#This Row],[POMult]]</f>
        <v>73.45</v>
      </c>
      <c r="AA200" s="4">
        <f>(Games[[#This Row],[Keff]]*Games[[#This Row],[MOVMult]])*(Games[[#This Row],[Result]]-Games[[#This Row],[ExpectedWin%]])</f>
        <v>-5.336508844663677</v>
      </c>
      <c r="AB200" s="4">
        <f>Games[[#This Row],[PreGmRate]]+Games[[#This Row],[RatingChange]]</f>
        <v>1429.8562590910828</v>
      </c>
      <c r="AC200" s="2">
        <f>IF(Games[[#This Row],[Type]]="R",IF(Games[[#This Row],[Result]]&gt;0.5,1,0),0)</f>
        <v>0</v>
      </c>
      <c r="AD200" s="2">
        <f>IF(Games[[#This Row],[Type]]="R",IF(Games[[#This Row],[Result]]&lt;0.5,1,0),0)</f>
        <v>1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43663</v>
      </c>
      <c r="B201" s="2">
        <v>2019</v>
      </c>
      <c r="C201" s="2">
        <f>COUNTIFS(Games[Team],Games[[#This Row],[Team]],Games[Season],Games[[#This Row],[Season]],Games[Date],"&lt;=" &amp; Games[[#This Row],[Date]])</f>
        <v>18</v>
      </c>
      <c r="D201" s="2" t="s">
        <v>79</v>
      </c>
      <c r="E201" s="2" t="s">
        <v>80</v>
      </c>
      <c r="F201" s="1" t="s">
        <v>75</v>
      </c>
      <c r="G201" s="1" t="s">
        <v>77</v>
      </c>
      <c r="H201" s="1" t="s">
        <v>82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1" s="2">
        <f>Games[[#This Row],[DaysOff]]-Games[[#This Row],[OppDaysOff]]</f>
        <v>0</v>
      </c>
      <c r="L201" s="2">
        <f>Games[[#This Row],[OppDaysOff]]-Games[[#This Row],[DaysOff]]</f>
        <v>0</v>
      </c>
      <c r="M201" s="1">
        <f>MAX(-16, MIN(16, Games[[#This Row],[RestDiff]]*8))</f>
        <v>0</v>
      </c>
      <c r="N201" s="1">
        <f>MAX(-16, MIN(16, Games[[#This Row],[OppRestDiff]]*8))</f>
        <v>0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1489.3881976045648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1435.1927679357466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0.68901467403323802</v>
      </c>
      <c r="R201" s="1">
        <v>77</v>
      </c>
      <c r="S201" s="1">
        <v>76</v>
      </c>
      <c r="T201" s="1">
        <v>0</v>
      </c>
      <c r="U201" s="1">
        <f>Games[[#This Row],[PointsFor]]-Games[[#This Row],[PointsAgainst]]</f>
        <v>1</v>
      </c>
      <c r="V201" s="1">
        <f>IF(Games[[#This Row],[MOV]]&gt;0,1,IF(Games[[#This Row],[MOV]]=0,0.5,0))</f>
        <v>1</v>
      </c>
      <c r="W201" s="4">
        <f>((ABS(Games[[#This Row],[MOV]])+5)^0.6)/(12+0.01*(ABS(Games[[#This Row],[PreGmRate]]-Games[[#This Row],[OppPreGmRate]])))*IF(Games[[#This Row],[OT]]=1,0.9,1)</f>
        <v>0.23362834708760308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73.3</v>
      </c>
      <c r="Z201" s="4">
        <f>Games[[#This Row],[K]]*Games[[#This Row],[POMult]]</f>
        <v>73.3</v>
      </c>
      <c r="AA201" s="4">
        <f>(Games[[#This Row],[Keff]]*Games[[#This Row],[MOVMult]])*(Games[[#This Row],[Result]]-Games[[#This Row],[ExpectedWin%]])</f>
        <v>5.3256105965125595</v>
      </c>
      <c r="AB201" s="4">
        <f>Games[[#This Row],[PreGmRate]]+Games[[#This Row],[RatingChange]]</f>
        <v>1494.7138082010774</v>
      </c>
      <c r="AC201" s="2">
        <f>IF(Games[[#This Row],[Type]]="R",IF(Games[[#This Row],[Result]]&gt;0.5,1,0),0)</f>
        <v>1</v>
      </c>
      <c r="AD201" s="2">
        <f>IF(Games[[#This Row],[Type]]="R",IF(Games[[#This Row],[Result]]&lt;0.5,1,0),0)</f>
        <v>0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43663</v>
      </c>
      <c r="B202" s="2">
        <v>2019</v>
      </c>
      <c r="C202" s="2">
        <f>COUNTIFS(Games[Team],Games[[#This Row],[Team]],Games[Season],Games[[#This Row],[Season]],Games[Date],"&lt;=" &amp; Games[[#This Row],[Date]])</f>
        <v>19</v>
      </c>
      <c r="D202" s="2" t="s">
        <v>79</v>
      </c>
      <c r="E202" s="2" t="s">
        <v>80</v>
      </c>
      <c r="F202" s="1" t="s">
        <v>71</v>
      </c>
      <c r="G202" s="1" t="s">
        <v>67</v>
      </c>
      <c r="H202" s="1" t="s">
        <v>81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2" s="2">
        <f>Games[[#This Row],[DaysOff]]-Games[[#This Row],[OppDaysOff]]</f>
        <v>0</v>
      </c>
      <c r="L202" s="2">
        <f>Games[[#This Row],[OppDaysOff]]-Games[[#This Row],[DaysOff]]</f>
        <v>0</v>
      </c>
      <c r="M202" s="1">
        <f>MAX(-16, MIN(16, Games[[#This Row],[RestDiff]]*8))</f>
        <v>0</v>
      </c>
      <c r="N202" s="1">
        <f>MAX(-16, MIN(16, Games[[#This Row],[OppRestDiff]]*8))</f>
        <v>0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1569.2199363120446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1538.0693360813802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0.42452482646952683</v>
      </c>
      <c r="R202" s="1">
        <v>90</v>
      </c>
      <c r="S202" s="1">
        <v>79</v>
      </c>
      <c r="T202" s="1">
        <v>0</v>
      </c>
      <c r="U202" s="1">
        <f>Games[[#This Row],[PointsFor]]-Games[[#This Row],[PointsAgainst]]</f>
        <v>11</v>
      </c>
      <c r="V202" s="1">
        <f>IF(Games[[#This Row],[MOV]]&gt;0,1,IF(Games[[#This Row],[MOV]]=0,0.5,0))</f>
        <v>1</v>
      </c>
      <c r="W202" s="4">
        <f>((ABS(Games[[#This Row],[MOV]])+5)^0.6)/(12+0.01*(ABS(Games[[#This Row],[PreGmRate]]-Games[[#This Row],[OppPreGmRate]])))*IF(Games[[#This Row],[OT]]=1,0.9,1)</f>
        <v>0.42870723062659449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73.150000000000006</v>
      </c>
      <c r="Z202" s="4">
        <f>Games[[#This Row],[K]]*Games[[#This Row],[POMult]]</f>
        <v>73.150000000000006</v>
      </c>
      <c r="AA202" s="4">
        <f>(Games[[#This Row],[Keff]]*Games[[#This Row],[MOVMult]])*(Games[[#This Row],[Result]]-Games[[#This Row],[ExpectedWin%]])</f>
        <v>18.046863414709179</v>
      </c>
      <c r="AB202" s="4">
        <f>Games[[#This Row],[PreGmRate]]+Games[[#This Row],[RatingChange]]</f>
        <v>1587.2667997267538</v>
      </c>
      <c r="AC202" s="2">
        <f>IF(Games[[#This Row],[Type]]="R",IF(Games[[#This Row],[Result]]&gt;0.5,1,0),0)</f>
        <v>1</v>
      </c>
      <c r="AD202" s="2">
        <f>IF(Games[[#This Row],[Type]]="R",IF(Games[[#This Row],[Result]]&lt;0.5,1,0),0)</f>
        <v>0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43663</v>
      </c>
      <c r="B203" s="2">
        <v>2019</v>
      </c>
      <c r="C203" s="2">
        <f>COUNTIFS(Games[Team],Games[[#This Row],[Team]],Games[Season],Games[[#This Row],[Season]],Games[Date],"&lt;=" &amp; Games[[#This Row],[Date]])</f>
        <v>18</v>
      </c>
      <c r="D203" s="2" t="s">
        <v>79</v>
      </c>
      <c r="E203" s="2" t="s">
        <v>80</v>
      </c>
      <c r="F203" s="1" t="s">
        <v>67</v>
      </c>
      <c r="G203" s="1" t="s">
        <v>71</v>
      </c>
      <c r="H203" s="1" t="s">
        <v>82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3" s="2">
        <f>Games[[#This Row],[DaysOff]]-Games[[#This Row],[OppDaysOff]]</f>
        <v>0</v>
      </c>
      <c r="L203" s="2">
        <f>Games[[#This Row],[OppDaysOff]]-Games[[#This Row],[DaysOff]]</f>
        <v>0</v>
      </c>
      <c r="M203" s="1">
        <f>MAX(-16, MIN(16, Games[[#This Row],[RestDiff]]*8))</f>
        <v>0</v>
      </c>
      <c r="N203" s="1">
        <f>MAX(-16, MIN(16, Games[[#This Row],[OppRestDiff]]*8))</f>
        <v>0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1538.0693360813802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1569.2199363120446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0.57547517353047317</v>
      </c>
      <c r="R203" s="1">
        <v>79</v>
      </c>
      <c r="S203" s="1">
        <v>90</v>
      </c>
      <c r="T203" s="1">
        <v>0</v>
      </c>
      <c r="U203" s="1">
        <f>Games[[#This Row],[PointsFor]]-Games[[#This Row],[PointsAgainst]]</f>
        <v>-11</v>
      </c>
      <c r="V203" s="1">
        <f>IF(Games[[#This Row],[MOV]]&gt;0,1,IF(Games[[#This Row],[MOV]]=0,0.5,0))</f>
        <v>0</v>
      </c>
      <c r="W203" s="4">
        <f>((ABS(Games[[#This Row],[MOV]])+5)^0.6)/(12+0.01*(ABS(Games[[#This Row],[PreGmRate]]-Games[[#This Row],[OppPreGmRate]])))*IF(Games[[#This Row],[OT]]=1,0.9,1)</f>
        <v>0.42870723062659449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73.3</v>
      </c>
      <c r="Z203" s="4">
        <f>Games[[#This Row],[K]]*Games[[#This Row],[POMult]]</f>
        <v>73.3</v>
      </c>
      <c r="AA203" s="4">
        <f>(Games[[#This Row],[Keff]]*Games[[#This Row],[MOVMult]])*(Games[[#This Row],[Result]]-Games[[#This Row],[ExpectedWin%]])</f>
        <v>-18.083869969899968</v>
      </c>
      <c r="AB203" s="4">
        <f>Games[[#This Row],[PreGmRate]]+Games[[#This Row],[RatingChange]]</f>
        <v>1519.9854661114803</v>
      </c>
      <c r="AC203" s="2">
        <f>IF(Games[[#This Row],[Type]]="R",IF(Games[[#This Row],[Result]]&gt;0.5,1,0),0)</f>
        <v>0</v>
      </c>
      <c r="AD203" s="2">
        <f>IF(Games[[#This Row],[Type]]="R",IF(Games[[#This Row],[Result]]&lt;0.5,1,0),0)</f>
        <v>1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43663</v>
      </c>
      <c r="B204" s="2">
        <v>2019</v>
      </c>
      <c r="C204" s="2">
        <f>COUNTIFS(Games[Team],Games[[#This Row],[Team]],Games[Season],Games[[#This Row],[Season]],Games[Date],"&lt;=" &amp; Games[[#This Row],[Date]])</f>
        <v>17</v>
      </c>
      <c r="D204" s="2" t="s">
        <v>79</v>
      </c>
      <c r="E204" s="2" t="s">
        <v>80</v>
      </c>
      <c r="F204" s="1" t="s">
        <v>85</v>
      </c>
      <c r="G204" s="1" t="s">
        <v>40</v>
      </c>
      <c r="H204" s="1" t="s">
        <v>81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4" s="2">
        <f>Games[[#This Row],[DaysOff]]-Games[[#This Row],[OppDaysOff]]</f>
        <v>0</v>
      </c>
      <c r="L204" s="2">
        <f>Games[[#This Row],[OppDaysOff]]-Games[[#This Row],[DaysOff]]</f>
        <v>0</v>
      </c>
      <c r="M204" s="1">
        <f>MAX(-16, MIN(16, Games[[#This Row],[RestDiff]]*8))</f>
        <v>0</v>
      </c>
      <c r="N204" s="1">
        <f>MAX(-16, MIN(16, Games[[#This Row],[OppRestDiff]]*8))</f>
        <v>0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1405.9086025941433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1516.478886385903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0.24600449700923532</v>
      </c>
      <c r="R204" s="1">
        <v>64</v>
      </c>
      <c r="S204" s="1">
        <v>69</v>
      </c>
      <c r="T204" s="1">
        <v>0</v>
      </c>
      <c r="U204" s="1">
        <f>Games[[#This Row],[PointsFor]]-Games[[#This Row],[PointsAgainst]]</f>
        <v>-5</v>
      </c>
      <c r="V204" s="1">
        <f>IF(Games[[#This Row],[MOV]]&gt;0,1,IF(Games[[#This Row],[MOV]]=0,0.5,0))</f>
        <v>0</v>
      </c>
      <c r="W204" s="4">
        <f>((ABS(Games[[#This Row],[MOV]])+5)^0.6)/(12+0.01*(ABS(Games[[#This Row],[PreGmRate]]-Games[[#This Row],[OppPreGmRate]])))*IF(Games[[#This Row],[OT]]=1,0.9,1)</f>
        <v>0.30376636451857292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73.45</v>
      </c>
      <c r="Z204" s="4">
        <f>Games[[#This Row],[K]]*Games[[#This Row],[POMult]]</f>
        <v>73.45</v>
      </c>
      <c r="AA204" s="4">
        <f>(Games[[#This Row],[Keff]]*Games[[#This Row],[MOVMult]])*(Games[[#This Row],[Result]]-Games[[#This Row],[ExpectedWin%]])</f>
        <v>-5.4887636462255074</v>
      </c>
      <c r="AB204" s="4">
        <f>Games[[#This Row],[PreGmRate]]+Games[[#This Row],[RatingChange]]</f>
        <v>1400.4198389479177</v>
      </c>
      <c r="AC204" s="2">
        <f>IF(Games[[#This Row],[Type]]="R",IF(Games[[#This Row],[Result]]&gt;0.5,1,0),0)</f>
        <v>0</v>
      </c>
      <c r="AD204" s="2">
        <f>IF(Games[[#This Row],[Type]]="R",IF(Games[[#This Row],[Result]]&lt;0.5,1,0),0)</f>
        <v>1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43663</v>
      </c>
      <c r="B205" s="2">
        <v>2019</v>
      </c>
      <c r="C205" s="2">
        <f>COUNTIFS(Games[Team],Games[[#This Row],[Team]],Games[Season],Games[[#This Row],[Season]],Games[Date],"&lt;=" &amp; Games[[#This Row],[Date]])</f>
        <v>16</v>
      </c>
      <c r="D205" s="2" t="s">
        <v>79</v>
      </c>
      <c r="E205" s="2" t="s">
        <v>80</v>
      </c>
      <c r="F205" s="1" t="s">
        <v>40</v>
      </c>
      <c r="G205" s="1" t="s">
        <v>85</v>
      </c>
      <c r="H205" s="1" t="s">
        <v>82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5" s="2">
        <f>Games[[#This Row],[DaysOff]]-Games[[#This Row],[OppDaysOff]]</f>
        <v>0</v>
      </c>
      <c r="L205" s="2">
        <f>Games[[#This Row],[OppDaysOff]]-Games[[#This Row],[DaysOff]]</f>
        <v>0</v>
      </c>
      <c r="M205" s="1">
        <f>MAX(-16, MIN(16, Games[[#This Row],[RestDiff]]*8))</f>
        <v>0</v>
      </c>
      <c r="N205" s="1">
        <f>MAX(-16, MIN(16, Games[[#This Row],[OppRestDiff]]*8))</f>
        <v>0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1516.478886385903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1405.9086025941433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0.75399550299076468</v>
      </c>
      <c r="R205" s="1">
        <v>69</v>
      </c>
      <c r="S205" s="1">
        <v>64</v>
      </c>
      <c r="T205" s="1">
        <v>0</v>
      </c>
      <c r="U205" s="1">
        <f>Games[[#This Row],[PointsFor]]-Games[[#This Row],[PointsAgainst]]</f>
        <v>5</v>
      </c>
      <c r="V205" s="1">
        <f>IF(Games[[#This Row],[MOV]]&gt;0,1,IF(Games[[#This Row],[MOV]]=0,0.5,0))</f>
        <v>1</v>
      </c>
      <c r="W205" s="4">
        <f>((ABS(Games[[#This Row],[MOV]])+5)^0.6)/(12+0.01*(ABS(Games[[#This Row],[PreGmRate]]-Games[[#This Row],[OppPreGmRate]])))*IF(Games[[#This Row],[OT]]=1,0.9,1)</f>
        <v>0.30376636451857292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73.599999999999994</v>
      </c>
      <c r="Z205" s="4">
        <f>Games[[#This Row],[K]]*Games[[#This Row],[POMult]]</f>
        <v>73.599999999999994</v>
      </c>
      <c r="AA205" s="4">
        <f>(Games[[#This Row],[Keff]]*Games[[#This Row],[MOVMult]])*(Games[[#This Row],[Result]]-Games[[#This Row],[ExpectedWin%]])</f>
        <v>5.4999728299822648</v>
      </c>
      <c r="AB205" s="4">
        <f>Games[[#This Row],[PreGmRate]]+Games[[#This Row],[RatingChange]]</f>
        <v>1521.9788592158852</v>
      </c>
      <c r="AC205" s="2">
        <f>IF(Games[[#This Row],[Type]]="R",IF(Games[[#This Row],[Result]]&gt;0.5,1,0),0)</f>
        <v>1</v>
      </c>
      <c r="AD205" s="2">
        <f>IF(Games[[#This Row],[Type]]="R",IF(Games[[#This Row],[Result]]&lt;0.5,1,0),0)</f>
        <v>0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43664</v>
      </c>
      <c r="B206" s="2">
        <v>2019</v>
      </c>
      <c r="C206" s="2">
        <f>COUNTIFS(Games[Team],Games[[#This Row],[Team]],Games[Season],Games[[#This Row],[Season]],Games[Date],"&lt;=" &amp; Games[[#This Row],[Date]])</f>
        <v>18</v>
      </c>
      <c r="D206" s="2" t="s">
        <v>79</v>
      </c>
      <c r="E206" s="2" t="s">
        <v>80</v>
      </c>
      <c r="F206" s="1" t="s">
        <v>85</v>
      </c>
      <c r="G206" s="1" t="s">
        <v>63</v>
      </c>
      <c r="H206" s="1" t="s">
        <v>81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6" s="2">
        <f>Games[[#This Row],[DaysOff]]-Games[[#This Row],[OppDaysOff]]</f>
        <v>-3</v>
      </c>
      <c r="L206" s="2">
        <f>Games[[#This Row],[OppDaysOff]]-Games[[#This Row],[DaysOff]]</f>
        <v>3</v>
      </c>
      <c r="M206" s="1">
        <f>MAX(-16, MIN(16, Games[[#This Row],[RestDiff]]*8))</f>
        <v>-16</v>
      </c>
      <c r="N206" s="1">
        <f>MAX(-16, MIN(16, Games[[#This Row],[OppRestDiff]]*8))</f>
        <v>16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1400.4198389479177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1536.8550100843991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0.18951976189820191</v>
      </c>
      <c r="R206" s="1">
        <v>64</v>
      </c>
      <c r="S206" s="1">
        <v>69</v>
      </c>
      <c r="T206" s="1">
        <v>0</v>
      </c>
      <c r="U206" s="1">
        <f>Games[[#This Row],[PointsFor]]-Games[[#This Row],[PointsAgainst]]</f>
        <v>-5</v>
      </c>
      <c r="V206" s="1">
        <f>IF(Games[[#This Row],[MOV]]&gt;0,1,IF(Games[[#This Row],[MOV]]=0,0.5,0))</f>
        <v>0</v>
      </c>
      <c r="W206" s="4">
        <f>((ABS(Games[[#This Row],[MOV]])+5)^0.6)/(12+0.01*(ABS(Games[[#This Row],[PreGmRate]]-Games[[#This Row],[OppPreGmRate]])))*IF(Games[[#This Row],[OT]]=1,0.9,1)</f>
        <v>0.29788737916479241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73.3</v>
      </c>
      <c r="Z206" s="4">
        <f>Games[[#This Row],[K]]*Games[[#This Row],[POMult]]</f>
        <v>73.3</v>
      </c>
      <c r="AA206" s="4">
        <f>(Games[[#This Row],[Keff]]*Games[[#This Row],[MOVMult]])*(Games[[#This Row],[Result]]-Games[[#This Row],[ExpectedWin%]])</f>
        <v>-4.1381914610922692</v>
      </c>
      <c r="AB206" s="4">
        <f>Games[[#This Row],[PreGmRate]]+Games[[#This Row],[RatingChange]]</f>
        <v>1396.2816474868255</v>
      </c>
      <c r="AC206" s="2">
        <f>IF(Games[[#This Row],[Type]]="R",IF(Games[[#This Row],[Result]]&gt;0.5,1,0),0)</f>
        <v>0</v>
      </c>
      <c r="AD206" s="2">
        <f>IF(Games[[#This Row],[Type]]="R",IF(Games[[#This Row],[Result]]&lt;0.5,1,0),0)</f>
        <v>1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43664</v>
      </c>
      <c r="B207" s="2">
        <v>2019</v>
      </c>
      <c r="C207" s="2">
        <f>COUNTIFS(Games[Team],Games[[#This Row],[Team]],Games[Season],Games[[#This Row],[Season]],Games[Date],"&lt;=" &amp; Games[[#This Row],[Date]])</f>
        <v>17</v>
      </c>
      <c r="D207" s="2" t="s">
        <v>79</v>
      </c>
      <c r="E207" s="2" t="s">
        <v>80</v>
      </c>
      <c r="F207" s="1" t="s">
        <v>63</v>
      </c>
      <c r="G207" s="1" t="s">
        <v>85</v>
      </c>
      <c r="H207" s="1" t="s">
        <v>82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7" s="2">
        <f>Games[[#This Row],[DaysOff]]-Games[[#This Row],[OppDaysOff]]</f>
        <v>3</v>
      </c>
      <c r="L207" s="2">
        <f>Games[[#This Row],[OppDaysOff]]-Games[[#This Row],[DaysOff]]</f>
        <v>-3</v>
      </c>
      <c r="M207" s="1">
        <f>MAX(-16, MIN(16, Games[[#This Row],[RestDiff]]*8))</f>
        <v>16</v>
      </c>
      <c r="N207" s="1">
        <f>MAX(-16, MIN(16, Games[[#This Row],[OppRestDiff]]*8))</f>
        <v>-16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1536.8550100843991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1400.4198389479177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0.81048023810179803</v>
      </c>
      <c r="R207" s="1">
        <v>69</v>
      </c>
      <c r="S207" s="1">
        <v>64</v>
      </c>
      <c r="T207" s="1">
        <v>0</v>
      </c>
      <c r="U207" s="1">
        <f>Games[[#This Row],[PointsFor]]-Games[[#This Row],[PointsAgainst]]</f>
        <v>5</v>
      </c>
      <c r="V207" s="1">
        <f>IF(Games[[#This Row],[MOV]]&gt;0,1,IF(Games[[#This Row],[MOV]]=0,0.5,0))</f>
        <v>1</v>
      </c>
      <c r="W207" s="4">
        <f>((ABS(Games[[#This Row],[MOV]])+5)^0.6)/(12+0.01*(ABS(Games[[#This Row],[PreGmRate]]-Games[[#This Row],[OppPreGmRate]])))*IF(Games[[#This Row],[OT]]=1,0.9,1)</f>
        <v>0.29788737916479241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73.45</v>
      </c>
      <c r="Z207" s="4">
        <f>Games[[#This Row],[K]]*Games[[#This Row],[POMult]]</f>
        <v>73.45</v>
      </c>
      <c r="AA207" s="4">
        <f>(Games[[#This Row],[Keff]]*Games[[#This Row],[MOVMult]])*(Games[[#This Row],[Result]]-Games[[#This Row],[ExpectedWin%]])</f>
        <v>4.1466597928680393</v>
      </c>
      <c r="AB207" s="4">
        <f>Games[[#This Row],[PreGmRate]]+Games[[#This Row],[RatingChange]]</f>
        <v>1541.0016698772672</v>
      </c>
      <c r="AC207" s="2">
        <f>IF(Games[[#This Row],[Type]]="R",IF(Games[[#This Row],[Result]]&gt;0.5,1,0),0)</f>
        <v>1</v>
      </c>
      <c r="AD207" s="2">
        <f>IF(Games[[#This Row],[Type]]="R",IF(Games[[#This Row],[Result]]&lt;0.5,1,0),0)</f>
        <v>0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43665</v>
      </c>
      <c r="B208" s="2">
        <v>2019</v>
      </c>
      <c r="C208" s="2">
        <f>COUNTIFS(Games[Team],Games[[#This Row],[Team]],Games[Season],Games[[#This Row],[Season]],Games[Date],"&lt;=" &amp; Games[[#This Row],[Date]])</f>
        <v>18</v>
      </c>
      <c r="D208" s="2" t="s">
        <v>79</v>
      </c>
      <c r="E208" s="2" t="s">
        <v>80</v>
      </c>
      <c r="F208" s="1" t="s">
        <v>77</v>
      </c>
      <c r="G208" s="1" t="s">
        <v>74</v>
      </c>
      <c r="H208" s="1" t="s">
        <v>81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8" s="2">
        <f>Games[[#This Row],[DaysOff]]-Games[[#This Row],[OppDaysOff]]</f>
        <v>-3</v>
      </c>
      <c r="L208" s="2">
        <f>Games[[#This Row],[OppDaysOff]]-Games[[#This Row],[DaysOff]]</f>
        <v>3</v>
      </c>
      <c r="M208" s="1">
        <f>MAX(-16, MIN(16, Games[[#This Row],[RestDiff]]*8))</f>
        <v>-16</v>
      </c>
      <c r="N208" s="1">
        <f>MAX(-16, MIN(16, Games[[#This Row],[OppRestDiff]]*8))</f>
        <v>16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1429.8562590910828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1574.7996404861001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0.18211090899443269</v>
      </c>
      <c r="R208" s="1">
        <v>69</v>
      </c>
      <c r="S208" s="1">
        <v>98</v>
      </c>
      <c r="T208" s="1">
        <v>0</v>
      </c>
      <c r="U208" s="1">
        <f>Games[[#This Row],[PointsFor]]-Games[[#This Row],[PointsAgainst]]</f>
        <v>-29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0.61685536766061133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73.3</v>
      </c>
      <c r="Z208" s="4">
        <f>Games[[#This Row],[K]]*Games[[#This Row],[POMult]]</f>
        <v>73.3</v>
      </c>
      <c r="AA208" s="4">
        <f>(Games[[#This Row],[Keff]]*Games[[#This Row],[MOVMult]])*(Games[[#This Row],[Result]]-Games[[#This Row],[ExpectedWin%]])</f>
        <v>-8.2342355232789615</v>
      </c>
      <c r="AB208" s="4">
        <f>Games[[#This Row],[PreGmRate]]+Games[[#This Row],[RatingChange]]</f>
        <v>1421.6220235678038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43665</v>
      </c>
      <c r="B209" s="2">
        <v>2019</v>
      </c>
      <c r="C209" s="2">
        <f>COUNTIFS(Games[Team],Games[[#This Row],[Team]],Games[Season],Games[[#This Row],[Season]],Games[Date],"&lt;=" &amp; Games[[#This Row],[Date]])</f>
        <v>18</v>
      </c>
      <c r="D209" s="2" t="s">
        <v>79</v>
      </c>
      <c r="E209" s="2" t="s">
        <v>80</v>
      </c>
      <c r="F209" s="1" t="s">
        <v>74</v>
      </c>
      <c r="G209" s="1" t="s">
        <v>77</v>
      </c>
      <c r="H209" s="1" t="s">
        <v>82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4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9" s="2">
        <f>Games[[#This Row],[DaysOff]]-Games[[#This Row],[OppDaysOff]]</f>
        <v>3</v>
      </c>
      <c r="L209" s="2">
        <f>Games[[#This Row],[OppDaysOff]]-Games[[#This Row],[DaysOff]]</f>
        <v>-3</v>
      </c>
      <c r="M209" s="1">
        <f>MAX(-16, MIN(16, Games[[#This Row],[RestDiff]]*8))</f>
        <v>16</v>
      </c>
      <c r="N209" s="1">
        <f>MAX(-16, MIN(16, Games[[#This Row],[OppRestDiff]]*8))</f>
        <v>-16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1574.7996404861001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1429.8562590910828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0.81788909100556739</v>
      </c>
      <c r="R209" s="1">
        <v>98</v>
      </c>
      <c r="S209" s="1">
        <v>69</v>
      </c>
      <c r="T209" s="1">
        <v>0</v>
      </c>
      <c r="U209" s="1">
        <f>Games[[#This Row],[PointsFor]]-Games[[#This Row],[PointsAgainst]]</f>
        <v>29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0.61685536766061133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73.3</v>
      </c>
      <c r="Z209" s="4">
        <f>Games[[#This Row],[K]]*Games[[#This Row],[POMult]]</f>
        <v>73.3</v>
      </c>
      <c r="AA209" s="4">
        <f>(Games[[#This Row],[Keff]]*Games[[#This Row],[MOVMult]])*(Games[[#This Row],[Result]]-Games[[#This Row],[ExpectedWin%]])</f>
        <v>8.2342355232789579</v>
      </c>
      <c r="AB209" s="4">
        <f>Games[[#This Row],[PreGmRate]]+Games[[#This Row],[RatingChange]]</f>
        <v>1583.0338760093791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43665</v>
      </c>
      <c r="B210" s="2">
        <v>2019</v>
      </c>
      <c r="C210" s="2">
        <f>COUNTIFS(Games[Team],Games[[#This Row],[Team]],Games[Season],Games[[#This Row],[Season]],Games[Date],"&lt;=" &amp; Games[[#This Row],[Date]])</f>
        <v>16</v>
      </c>
      <c r="D210" s="2" t="s">
        <v>79</v>
      </c>
      <c r="E210" s="2" t="s">
        <v>80</v>
      </c>
      <c r="F210" s="1" t="s">
        <v>65</v>
      </c>
      <c r="G210" s="1" t="s">
        <v>69</v>
      </c>
      <c r="H210" s="1" t="s">
        <v>81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5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0" s="2">
        <f>Games[[#This Row],[DaysOff]]-Games[[#This Row],[OppDaysOff]]</f>
        <v>1</v>
      </c>
      <c r="L210" s="2">
        <f>Games[[#This Row],[OppDaysOff]]-Games[[#This Row],[DaysOff]]</f>
        <v>-1</v>
      </c>
      <c r="M210" s="1">
        <f>MAX(-16, MIN(16, Games[[#This Row],[RestDiff]]*8))</f>
        <v>8</v>
      </c>
      <c r="N210" s="1">
        <f>MAX(-16, MIN(16, Games[[#This Row],[OppRestDiff]]*8))</f>
        <v>-8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1580.6035769719972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1395.1320476766884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0.66289462646377828</v>
      </c>
      <c r="R210" s="1">
        <v>95</v>
      </c>
      <c r="S210" s="1">
        <v>88</v>
      </c>
      <c r="T210" s="1">
        <v>1</v>
      </c>
      <c r="U210" s="1">
        <f>Games[[#This Row],[PointsFor]]-Games[[#This Row],[PointsAgainst]]</f>
        <v>7</v>
      </c>
      <c r="V210" s="1">
        <f>IF(Games[[#This Row],[MOV]]&gt;0,1,IF(Games[[#This Row],[MOV]]=0,0.5,0))</f>
        <v>1</v>
      </c>
      <c r="W210" s="4">
        <f>((ABS(Games[[#This Row],[MOV]])+5)^0.6)/(12+0.01*(ABS(Games[[#This Row],[PreGmRate]]-Games[[#This Row],[OppPreGmRate]])))*IF(Games[[#This Row],[OT]]=1,0.9,1)</f>
        <v>0.2885052040653861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73.599999999999994</v>
      </c>
      <c r="Z210" s="4">
        <f>Games[[#This Row],[K]]*Games[[#This Row],[POMult]]</f>
        <v>73.599999999999994</v>
      </c>
      <c r="AA210" s="4">
        <f>(Games[[#This Row],[Keff]]*Games[[#This Row],[MOVMult]])*(Games[[#This Row],[Result]]-Games[[#This Row],[ExpectedWin%]])</f>
        <v>7.1580897773533909</v>
      </c>
      <c r="AB210" s="4">
        <f>Games[[#This Row],[PreGmRate]]+Games[[#This Row],[RatingChange]]</f>
        <v>1587.7616667493505</v>
      </c>
      <c r="AC210" s="2">
        <f>IF(Games[[#This Row],[Type]]="R",IF(Games[[#This Row],[Result]]&gt;0.5,1,0),0)</f>
        <v>1</v>
      </c>
      <c r="AD210" s="2">
        <f>IF(Games[[#This Row],[Type]]="R",IF(Games[[#This Row],[Result]]&lt;0.5,1,0),0)</f>
        <v>0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43665</v>
      </c>
      <c r="B211" s="2">
        <v>2019</v>
      </c>
      <c r="C211" s="2">
        <f>COUNTIFS(Games[Team],Games[[#This Row],[Team]],Games[Season],Games[[#This Row],[Season]],Games[Date],"&lt;=" &amp; Games[[#This Row],[Date]])</f>
        <v>19</v>
      </c>
      <c r="D211" s="2" t="s">
        <v>79</v>
      </c>
      <c r="E211" s="2" t="s">
        <v>80</v>
      </c>
      <c r="F211" s="1" t="s">
        <v>69</v>
      </c>
      <c r="G211" s="1" t="s">
        <v>65</v>
      </c>
      <c r="H211" s="1" t="s">
        <v>82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11" s="2">
        <f>Games[[#This Row],[DaysOff]]-Games[[#This Row],[OppDaysOff]]</f>
        <v>-1</v>
      </c>
      <c r="L211" s="2">
        <f>Games[[#This Row],[OppDaysOff]]-Games[[#This Row],[DaysOff]]</f>
        <v>1</v>
      </c>
      <c r="M211" s="1">
        <f>MAX(-16, MIN(16, Games[[#This Row],[RestDiff]]*8))</f>
        <v>-8</v>
      </c>
      <c r="N211" s="1">
        <f>MAX(-16, MIN(16, Games[[#This Row],[OppRestDiff]]*8))</f>
        <v>8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1395.1320476766884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1580.6035769719972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0.33710537353622166</v>
      </c>
      <c r="R211" s="1">
        <v>88</v>
      </c>
      <c r="S211" s="1">
        <v>95</v>
      </c>
      <c r="T211" s="1">
        <v>1</v>
      </c>
      <c r="U211" s="1">
        <f>Games[[#This Row],[PointsFor]]-Games[[#This Row],[PointsAgainst]]</f>
        <v>-7</v>
      </c>
      <c r="V211" s="1">
        <f>IF(Games[[#This Row],[MOV]]&gt;0,1,IF(Games[[#This Row],[MOV]]=0,0.5,0))</f>
        <v>0</v>
      </c>
      <c r="W211" s="4">
        <f>((ABS(Games[[#This Row],[MOV]])+5)^0.6)/(12+0.01*(ABS(Games[[#This Row],[PreGmRate]]-Games[[#This Row],[OppPreGmRate]])))*IF(Games[[#This Row],[OT]]=1,0.9,1)</f>
        <v>0.2885052040653861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73.150000000000006</v>
      </c>
      <c r="Z211" s="4">
        <f>Games[[#This Row],[K]]*Games[[#This Row],[POMult]]</f>
        <v>73.150000000000006</v>
      </c>
      <c r="AA211" s="4">
        <f>(Games[[#This Row],[Keff]]*Games[[#This Row],[MOVMult]])*(Games[[#This Row],[Result]]-Games[[#This Row],[ExpectedWin%]])</f>
        <v>-7.1143242827907676</v>
      </c>
      <c r="AB211" s="4">
        <f>Games[[#This Row],[PreGmRate]]+Games[[#This Row],[RatingChange]]</f>
        <v>1388.0177233938978</v>
      </c>
      <c r="AC211" s="2">
        <f>IF(Games[[#This Row],[Type]]="R",IF(Games[[#This Row],[Result]]&gt;0.5,1,0),0)</f>
        <v>0</v>
      </c>
      <c r="AD211" s="2">
        <f>IF(Games[[#This Row],[Type]]="R",IF(Games[[#This Row],[Result]]&lt;0.5,1,0),0)</f>
        <v>1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43665</v>
      </c>
      <c r="B212" s="2">
        <v>2019</v>
      </c>
      <c r="C212" s="2">
        <f>COUNTIFS(Games[Team],Games[[#This Row],[Team]],Games[Season],Games[[#This Row],[Season]],Games[Date],"&lt;=" &amp; Games[[#This Row],[Date]])</f>
        <v>17</v>
      </c>
      <c r="D212" s="2" t="s">
        <v>79</v>
      </c>
      <c r="E212" s="2" t="s">
        <v>80</v>
      </c>
      <c r="F212" s="1" t="s">
        <v>86</v>
      </c>
      <c r="G212" s="1" t="s">
        <v>71</v>
      </c>
      <c r="H212" s="1" t="s">
        <v>81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5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2" s="2">
        <f>Games[[#This Row],[DaysOff]]-Games[[#This Row],[OppDaysOff]]</f>
        <v>4</v>
      </c>
      <c r="L212" s="2">
        <f>Games[[#This Row],[OppDaysOff]]-Games[[#This Row],[DaysOff]]</f>
        <v>-4</v>
      </c>
      <c r="M212" s="1">
        <f>MAX(-16, MIN(16, Games[[#This Row],[RestDiff]]*8))</f>
        <v>16</v>
      </c>
      <c r="N212" s="1">
        <f>MAX(-16, MIN(16, Games[[#This Row],[OppRestDiff]]*8))</f>
        <v>-16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1556.3377862617162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1587.2667997267538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0.38287151626170768</v>
      </c>
      <c r="R212" s="1">
        <v>66</v>
      </c>
      <c r="S212" s="1">
        <v>69</v>
      </c>
      <c r="T212" s="1">
        <v>0</v>
      </c>
      <c r="U212" s="1">
        <f>Games[[#This Row],[PointsFor]]-Games[[#This Row],[PointsAgainst]]</f>
        <v>-3</v>
      </c>
      <c r="V212" s="1">
        <f>IF(Games[[#This Row],[MOV]]&gt;0,1,IF(Games[[#This Row],[MOV]]=0,0.5,0))</f>
        <v>0</v>
      </c>
      <c r="W212" s="4">
        <f>((ABS(Games[[#This Row],[MOV]])+5)^0.6)/(12+0.01*(ABS(Games[[#This Row],[PreGmRate]]-Games[[#This Row],[OppPreGmRate]])))*IF(Games[[#This Row],[OT]]=1,0.9,1)</f>
        <v>0.28289220703167728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73.45</v>
      </c>
      <c r="Z212" s="4">
        <f>Games[[#This Row],[K]]*Games[[#This Row],[POMult]]</f>
        <v>73.45</v>
      </c>
      <c r="AA212" s="4">
        <f>(Games[[#This Row],[Keff]]*Games[[#This Row],[MOVMult]])*(Games[[#This Row],[Result]]-Games[[#This Row],[ExpectedWin%]])</f>
        <v>-7.9554699975834406</v>
      </c>
      <c r="AB212" s="4">
        <f>Games[[#This Row],[PreGmRate]]+Games[[#This Row],[RatingChange]]</f>
        <v>1548.3823162641329</v>
      </c>
      <c r="AC212" s="2">
        <f>IF(Games[[#This Row],[Type]]="R",IF(Games[[#This Row],[Result]]&gt;0.5,1,0),0)</f>
        <v>0</v>
      </c>
      <c r="AD212" s="2">
        <f>IF(Games[[#This Row],[Type]]="R",IF(Games[[#This Row],[Result]]&lt;0.5,1,0),0)</f>
        <v>1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43665</v>
      </c>
      <c r="B213" s="2">
        <v>2019</v>
      </c>
      <c r="C213" s="2">
        <f>COUNTIFS(Games[Team],Games[[#This Row],[Team]],Games[Season],Games[[#This Row],[Season]],Games[Date],"&lt;=" &amp; Games[[#This Row],[Date]])</f>
        <v>20</v>
      </c>
      <c r="D213" s="2" t="s">
        <v>79</v>
      </c>
      <c r="E213" s="2" t="s">
        <v>80</v>
      </c>
      <c r="F213" s="1" t="s">
        <v>71</v>
      </c>
      <c r="G213" s="1" t="s">
        <v>86</v>
      </c>
      <c r="H213" s="1" t="s">
        <v>82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13" s="2">
        <f>Games[[#This Row],[DaysOff]]-Games[[#This Row],[OppDaysOff]]</f>
        <v>-4</v>
      </c>
      <c r="L213" s="2">
        <f>Games[[#This Row],[OppDaysOff]]-Games[[#This Row],[DaysOff]]</f>
        <v>4</v>
      </c>
      <c r="M213" s="1">
        <f>MAX(-16, MIN(16, Games[[#This Row],[RestDiff]]*8))</f>
        <v>-16</v>
      </c>
      <c r="N213" s="1">
        <f>MAX(-16, MIN(16, Games[[#This Row],[OppRestDiff]]*8))</f>
        <v>16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1587.2667997267538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1556.3377862617162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0.61712848373829232</v>
      </c>
      <c r="R213" s="1">
        <v>69</v>
      </c>
      <c r="S213" s="1">
        <v>66</v>
      </c>
      <c r="T213" s="1">
        <v>0</v>
      </c>
      <c r="U213" s="1">
        <f>Games[[#This Row],[PointsFor]]-Games[[#This Row],[PointsAgainst]]</f>
        <v>3</v>
      </c>
      <c r="V213" s="1">
        <f>IF(Games[[#This Row],[MOV]]&gt;0,1,IF(Games[[#This Row],[MOV]]=0,0.5,0))</f>
        <v>1</v>
      </c>
      <c r="W213" s="4">
        <f>((ABS(Games[[#This Row],[MOV]])+5)^0.6)/(12+0.01*(ABS(Games[[#This Row],[PreGmRate]]-Games[[#This Row],[OppPreGmRate]])))*IF(Games[[#This Row],[OT]]=1,0.9,1)</f>
        <v>0.28289220703167728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</v>
      </c>
      <c r="Z213" s="4">
        <f>Games[[#This Row],[K]]*Games[[#This Row],[POMult]]</f>
        <v>73</v>
      </c>
      <c r="AA213" s="4">
        <f>(Games[[#This Row],[Keff]]*Games[[#This Row],[MOVMult]])*(Games[[#This Row],[Result]]-Games[[#This Row],[ExpectedWin%]])</f>
        <v>7.9067298818732619</v>
      </c>
      <c r="AB213" s="4">
        <f>Games[[#This Row],[PreGmRate]]+Games[[#This Row],[RatingChange]]</f>
        <v>1595.1735296086269</v>
      </c>
      <c r="AC213" s="2">
        <f>IF(Games[[#This Row],[Type]]="R",IF(Games[[#This Row],[Result]]&gt;0.5,1,0),0)</f>
        <v>1</v>
      </c>
      <c r="AD213" s="2">
        <f>IF(Games[[#This Row],[Type]]="R",IF(Games[[#This Row],[Result]]&lt;0.5,1,0),0)</f>
        <v>0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43666</v>
      </c>
      <c r="B214" s="2">
        <v>2019</v>
      </c>
      <c r="C214" s="2">
        <f>COUNTIFS(Games[Team],Games[[#This Row],[Team]],Games[Season],Games[[#This Row],[Season]],Games[Date],"&lt;=" &amp; Games[[#This Row],[Date]])</f>
        <v>17</v>
      </c>
      <c r="D214" s="2" t="s">
        <v>79</v>
      </c>
      <c r="E214" s="2" t="s">
        <v>80</v>
      </c>
      <c r="F214" s="1" t="s">
        <v>40</v>
      </c>
      <c r="G214" s="1" t="s">
        <v>85</v>
      </c>
      <c r="H214" s="1" t="s">
        <v>81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4" s="2">
        <f>Games[[#This Row],[DaysOff]]-Games[[#This Row],[OppDaysOff]]</f>
        <v>1</v>
      </c>
      <c r="L214" s="2">
        <f>Games[[#This Row],[OppDaysOff]]-Games[[#This Row],[DaysOff]]</f>
        <v>-1</v>
      </c>
      <c r="M214" s="1">
        <f>MAX(-16, MIN(16, Games[[#This Row],[RestDiff]]*8))</f>
        <v>8</v>
      </c>
      <c r="N214" s="1">
        <f>MAX(-16, MIN(16, Games[[#This Row],[OppRestDiff]]*8))</f>
        <v>-8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1521.9788592158852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1396.2816474868255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0.5822779979728715</v>
      </c>
      <c r="R214" s="1">
        <v>70</v>
      </c>
      <c r="S214" s="1">
        <v>66</v>
      </c>
      <c r="T214" s="1">
        <v>0</v>
      </c>
      <c r="U214" s="1">
        <f>Games[[#This Row],[PointsFor]]-Games[[#This Row],[PointsAgainst]]</f>
        <v>4</v>
      </c>
      <c r="V214" s="1">
        <f>IF(Games[[#This Row],[MOV]]&gt;0,1,IF(Games[[#This Row],[MOV]]=0,0.5,0))</f>
        <v>1</v>
      </c>
      <c r="W214" s="4">
        <f>((ABS(Games[[#This Row],[MOV]])+5)^0.6)/(12+0.01*(ABS(Games[[#This Row],[PreGmRate]]-Games[[#This Row],[OppPreGmRate]])))*IF(Games[[#This Row],[OT]]=1,0.9,1)</f>
        <v>0.28190395105170846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73.45</v>
      </c>
      <c r="Z214" s="4">
        <f>Games[[#This Row],[K]]*Games[[#This Row],[POMult]]</f>
        <v>73.45</v>
      </c>
      <c r="AA214" s="4">
        <f>(Games[[#This Row],[Keff]]*Games[[#This Row],[MOVMult]])*(Games[[#This Row],[Result]]-Games[[#This Row],[ExpectedWin%]])</f>
        <v>8.6492871125911481</v>
      </c>
      <c r="AB214" s="4">
        <f>Games[[#This Row],[PreGmRate]]+Games[[#This Row],[RatingChange]]</f>
        <v>1530.6281463284763</v>
      </c>
      <c r="AC214" s="2">
        <f>IF(Games[[#This Row],[Type]]="R",IF(Games[[#This Row],[Result]]&gt;0.5,1,0),0)</f>
        <v>1</v>
      </c>
      <c r="AD214" s="2">
        <f>IF(Games[[#This Row],[Type]]="R",IF(Games[[#This Row],[Result]]&lt;0.5,1,0),0)</f>
        <v>0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43666</v>
      </c>
      <c r="B215" s="2">
        <v>2019</v>
      </c>
      <c r="C215" s="2">
        <f>COUNTIFS(Games[Team],Games[[#This Row],[Team]],Games[Season],Games[[#This Row],[Season]],Games[Date],"&lt;=" &amp; Games[[#This Row],[Date]])</f>
        <v>19</v>
      </c>
      <c r="D215" s="2" t="s">
        <v>79</v>
      </c>
      <c r="E215" s="2" t="s">
        <v>80</v>
      </c>
      <c r="F215" s="1" t="s">
        <v>85</v>
      </c>
      <c r="G215" s="1" t="s">
        <v>40</v>
      </c>
      <c r="H215" s="1" t="s">
        <v>82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5" s="2">
        <f>Games[[#This Row],[DaysOff]]-Games[[#This Row],[OppDaysOff]]</f>
        <v>-1</v>
      </c>
      <c r="L215" s="2">
        <f>Games[[#This Row],[OppDaysOff]]-Games[[#This Row],[DaysOff]]</f>
        <v>1</v>
      </c>
      <c r="M215" s="1">
        <f>MAX(-16, MIN(16, Games[[#This Row],[RestDiff]]*8))</f>
        <v>-8</v>
      </c>
      <c r="N215" s="1">
        <f>MAX(-16, MIN(16, Games[[#This Row],[OppRestDiff]]*8))</f>
        <v>8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1396.2816474868255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1521.9788592158852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0.4177220020271285</v>
      </c>
      <c r="R215" s="1">
        <v>66</v>
      </c>
      <c r="S215" s="1">
        <v>70</v>
      </c>
      <c r="T215" s="1">
        <v>0</v>
      </c>
      <c r="U215" s="1">
        <f>Games[[#This Row],[PointsFor]]-Games[[#This Row],[PointsAgainst]]</f>
        <v>-4</v>
      </c>
      <c r="V215" s="1">
        <f>IF(Games[[#This Row],[MOV]]&gt;0,1,IF(Games[[#This Row],[MOV]]=0,0.5,0))</f>
        <v>0</v>
      </c>
      <c r="W215" s="4">
        <f>((ABS(Games[[#This Row],[MOV]])+5)^0.6)/(12+0.01*(ABS(Games[[#This Row],[PreGmRate]]-Games[[#This Row],[OppPreGmRate]])))*IF(Games[[#This Row],[OT]]=1,0.9,1)</f>
        <v>0.28190395105170846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73.150000000000006</v>
      </c>
      <c r="Z215" s="4">
        <f>Games[[#This Row],[K]]*Games[[#This Row],[POMult]]</f>
        <v>73.150000000000006</v>
      </c>
      <c r="AA215" s="4">
        <f>(Games[[#This Row],[Keff]]*Games[[#This Row],[MOVMult]])*(Games[[#This Row],[Result]]-Games[[#This Row],[ExpectedWin%]])</f>
        <v>-8.6139598677473455</v>
      </c>
      <c r="AB215" s="4">
        <f>Games[[#This Row],[PreGmRate]]+Games[[#This Row],[RatingChange]]</f>
        <v>1387.6676876190782</v>
      </c>
      <c r="AC215" s="2">
        <f>IF(Games[[#This Row],[Type]]="R",IF(Games[[#This Row],[Result]]&gt;0.5,1,0),0)</f>
        <v>0</v>
      </c>
      <c r="AD215" s="2">
        <f>IF(Games[[#This Row],[Type]]="R",IF(Games[[#This Row],[Result]]&lt;0.5,1,0),0)</f>
        <v>1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43666</v>
      </c>
      <c r="B216" s="2">
        <v>2019</v>
      </c>
      <c r="C216" s="2">
        <f>COUNTIFS(Games[Team],Games[[#This Row],[Team]],Games[Season],Games[[#This Row],[Season]],Games[Date],"&lt;=" &amp; Games[[#This Row],[Date]])</f>
        <v>18</v>
      </c>
      <c r="D216" s="2" t="s">
        <v>79</v>
      </c>
      <c r="E216" s="2" t="s">
        <v>80</v>
      </c>
      <c r="F216" s="1" t="s">
        <v>63</v>
      </c>
      <c r="G216" s="1" t="s">
        <v>60</v>
      </c>
      <c r="H216" s="1" t="s">
        <v>81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16" s="2">
        <f>Games[[#This Row],[DaysOff]]-Games[[#This Row],[OppDaysOff]]</f>
        <v>-4</v>
      </c>
      <c r="L216" s="2">
        <f>Games[[#This Row],[OppDaysOff]]-Games[[#This Row],[DaysOff]]</f>
        <v>4</v>
      </c>
      <c r="M216" s="1">
        <f>MAX(-16, MIN(16, Games[[#This Row],[RestDiff]]*8))</f>
        <v>-16</v>
      </c>
      <c r="N216" s="1">
        <f>MAX(-16, MIN(16, Games[[#This Row],[OppRestDiff]]*8))</f>
        <v>16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1541.0016698772672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1402.2573497771962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0.53268503097418274</v>
      </c>
      <c r="R216" s="1">
        <v>78</v>
      </c>
      <c r="S216" s="1">
        <v>83</v>
      </c>
      <c r="T216" s="1">
        <v>0</v>
      </c>
      <c r="U216" s="1">
        <f>Games[[#This Row],[PointsFor]]-Games[[#This Row],[PointsAgainst]]</f>
        <v>-5</v>
      </c>
      <c r="V216" s="1">
        <f>IF(Games[[#This Row],[MOV]]&gt;0,1,IF(Games[[#This Row],[MOV]]=0,0.5,0))</f>
        <v>0</v>
      </c>
      <c r="W216" s="4">
        <f>((ABS(Games[[#This Row],[MOV]])+5)^0.6)/(12+0.01*(ABS(Games[[#This Row],[PreGmRate]]-Games[[#This Row],[OppPreGmRate]])))*IF(Games[[#This Row],[OT]]=1,0.9,1)</f>
        <v>0.29737356459800984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73.3</v>
      </c>
      <c r="Z216" s="4">
        <f>Games[[#This Row],[K]]*Games[[#This Row],[POMult]]</f>
        <v>73.3</v>
      </c>
      <c r="AA216" s="4">
        <f>(Games[[#This Row],[Keff]]*Games[[#This Row],[MOVMult]])*(Games[[#This Row],[Result]]-Games[[#This Row],[ExpectedWin%]])</f>
        <v>-11.611192526162601</v>
      </c>
      <c r="AB216" s="4">
        <f>Games[[#This Row],[PreGmRate]]+Games[[#This Row],[RatingChange]]</f>
        <v>1529.3904773511047</v>
      </c>
      <c r="AC216" s="2">
        <f>IF(Games[[#This Row],[Type]]="R",IF(Games[[#This Row],[Result]]&gt;0.5,1,0),0)</f>
        <v>0</v>
      </c>
      <c r="AD216" s="2">
        <f>IF(Games[[#This Row],[Type]]="R",IF(Games[[#This Row],[Result]]&lt;0.5,1,0),0)</f>
        <v>1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43666</v>
      </c>
      <c r="B217" s="2">
        <v>2019</v>
      </c>
      <c r="C217" s="2">
        <f>COUNTIFS(Games[Team],Games[[#This Row],[Team]],Games[Season],Games[[#This Row],[Season]],Games[Date],"&lt;=" &amp; Games[[#This Row],[Date]])</f>
        <v>18</v>
      </c>
      <c r="D217" s="2" t="s">
        <v>79</v>
      </c>
      <c r="E217" s="2" t="s">
        <v>80</v>
      </c>
      <c r="F217" s="1" t="s">
        <v>60</v>
      </c>
      <c r="G217" s="1" t="s">
        <v>63</v>
      </c>
      <c r="H217" s="1" t="s">
        <v>82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5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7" s="2">
        <f>Games[[#This Row],[DaysOff]]-Games[[#This Row],[OppDaysOff]]</f>
        <v>4</v>
      </c>
      <c r="L217" s="2">
        <f>Games[[#This Row],[OppDaysOff]]-Games[[#This Row],[DaysOff]]</f>
        <v>-4</v>
      </c>
      <c r="M217" s="1">
        <f>MAX(-16, MIN(16, Games[[#This Row],[RestDiff]]*8))</f>
        <v>16</v>
      </c>
      <c r="N217" s="1">
        <f>MAX(-16, MIN(16, Games[[#This Row],[OppRestDiff]]*8))</f>
        <v>-16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1402.2573497771962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1541.0016698772672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0.46731496902581715</v>
      </c>
      <c r="R217" s="1">
        <v>83</v>
      </c>
      <c r="S217" s="1">
        <v>78</v>
      </c>
      <c r="T217" s="1">
        <v>0</v>
      </c>
      <c r="U217" s="1">
        <f>Games[[#This Row],[PointsFor]]-Games[[#This Row],[PointsAgainst]]</f>
        <v>5</v>
      </c>
      <c r="V217" s="1">
        <f>IF(Games[[#This Row],[MOV]]&gt;0,1,IF(Games[[#This Row],[MOV]]=0,0.5,0))</f>
        <v>1</v>
      </c>
      <c r="W217" s="4">
        <f>((ABS(Games[[#This Row],[MOV]])+5)^0.6)/(12+0.01*(ABS(Games[[#This Row],[PreGmRate]]-Games[[#This Row],[OppPreGmRate]])))*IF(Games[[#This Row],[OT]]=1,0.9,1)</f>
        <v>0.29737356459800984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73.3</v>
      </c>
      <c r="Z217" s="4">
        <f>Games[[#This Row],[K]]*Games[[#This Row],[POMult]]</f>
        <v>73.3</v>
      </c>
      <c r="AA217" s="4">
        <f>(Games[[#This Row],[Keff]]*Games[[#This Row],[MOVMult]])*(Games[[#This Row],[Result]]-Games[[#This Row],[ExpectedWin%]])</f>
        <v>11.611192526162602</v>
      </c>
      <c r="AB217" s="4">
        <f>Games[[#This Row],[PreGmRate]]+Games[[#This Row],[RatingChange]]</f>
        <v>1413.8685423033587</v>
      </c>
      <c r="AC217" s="2">
        <f>IF(Games[[#This Row],[Type]]="R",IF(Games[[#This Row],[Result]]&gt;0.5,1,0),0)</f>
        <v>1</v>
      </c>
      <c r="AD217" s="2">
        <f>IF(Games[[#This Row],[Type]]="R",IF(Games[[#This Row],[Result]]&lt;0.5,1,0),0)</f>
        <v>0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43667</v>
      </c>
      <c r="B218" s="2">
        <v>2019</v>
      </c>
      <c r="C218" s="2">
        <f>COUNTIFS(Games[Team],Games[[#This Row],[Team]],Games[Season],Games[[#This Row],[Season]],Games[Date],"&lt;=" &amp; Games[[#This Row],[Date]])</f>
        <v>20</v>
      </c>
      <c r="D218" s="2" t="s">
        <v>79</v>
      </c>
      <c r="E218" s="2" t="s">
        <v>80</v>
      </c>
      <c r="F218" s="1" t="s">
        <v>69</v>
      </c>
      <c r="G218" s="1" t="s">
        <v>75</v>
      </c>
      <c r="H218" s="1" t="s">
        <v>81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8" s="2">
        <f>Games[[#This Row],[DaysOff]]-Games[[#This Row],[OppDaysOff]]</f>
        <v>-2</v>
      </c>
      <c r="L218" s="2">
        <f>Games[[#This Row],[OppDaysOff]]-Games[[#This Row],[DaysOff]]</f>
        <v>2</v>
      </c>
      <c r="M218" s="1">
        <f>MAX(-16, MIN(16, Games[[#This Row],[RestDiff]]*8))</f>
        <v>-16</v>
      </c>
      <c r="N218" s="1">
        <f>MAX(-16, MIN(16, Games[[#This Row],[OppRestDiff]]*8))</f>
        <v>16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1388.0177233938978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1494.7138082010774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0.21721988236448464</v>
      </c>
      <c r="R218" s="1">
        <v>70</v>
      </c>
      <c r="S218" s="1">
        <v>78</v>
      </c>
      <c r="T218" s="1">
        <v>0</v>
      </c>
      <c r="U218" s="1">
        <f>Games[[#This Row],[PointsFor]]-Games[[#This Row],[PointsAgainst]]</f>
        <v>-8</v>
      </c>
      <c r="V218" s="1">
        <f>IF(Games[[#This Row],[MOV]]&gt;0,1,IF(Games[[#This Row],[MOV]]=0,0.5,0))</f>
        <v>0</v>
      </c>
      <c r="W218" s="4">
        <f>((ABS(Games[[#This Row],[MOV]])+5)^0.6)/(12+0.01*(ABS(Games[[#This Row],[PreGmRate]]-Games[[#This Row],[OppPreGmRate]])))*IF(Games[[#This Row],[OT]]=1,0.9,1)</f>
        <v>0.35660827901873438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</v>
      </c>
      <c r="Z218" s="4">
        <f>Games[[#This Row],[K]]*Games[[#This Row],[POMult]]</f>
        <v>73</v>
      </c>
      <c r="AA218" s="4">
        <f>(Games[[#This Row],[Keff]]*Games[[#This Row],[MOVMult]])*(Games[[#This Row],[Result]]-Games[[#This Row],[ExpectedWin%]])</f>
        <v>-5.6547558145615078</v>
      </c>
      <c r="AB218" s="4">
        <f>Games[[#This Row],[PreGmRate]]+Games[[#This Row],[RatingChange]]</f>
        <v>1382.3629675793363</v>
      </c>
      <c r="AC218" s="2">
        <f>IF(Games[[#This Row],[Type]]="R",IF(Games[[#This Row],[Result]]&gt;0.5,1,0),0)</f>
        <v>0</v>
      </c>
      <c r="AD218" s="2">
        <f>IF(Games[[#This Row],[Type]]="R",IF(Games[[#This Row],[Result]]&lt;0.5,1,0),0)</f>
        <v>1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43667</v>
      </c>
      <c r="B219" s="2">
        <v>2019</v>
      </c>
      <c r="C219" s="2">
        <f>COUNTIFS(Games[Team],Games[[#This Row],[Team]],Games[Season],Games[[#This Row],[Season]],Games[Date],"&lt;=" &amp; Games[[#This Row],[Date]])</f>
        <v>19</v>
      </c>
      <c r="D219" s="2" t="s">
        <v>79</v>
      </c>
      <c r="E219" s="2" t="s">
        <v>80</v>
      </c>
      <c r="F219" s="1" t="s">
        <v>75</v>
      </c>
      <c r="G219" s="1" t="s">
        <v>69</v>
      </c>
      <c r="H219" s="1" t="s">
        <v>82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9" s="2">
        <f>Games[[#This Row],[DaysOff]]-Games[[#This Row],[OppDaysOff]]</f>
        <v>2</v>
      </c>
      <c r="L219" s="2">
        <f>Games[[#This Row],[OppDaysOff]]-Games[[#This Row],[DaysOff]]</f>
        <v>-2</v>
      </c>
      <c r="M219" s="1">
        <f>MAX(-16, MIN(16, Games[[#This Row],[RestDiff]]*8))</f>
        <v>16</v>
      </c>
      <c r="N219" s="1">
        <f>MAX(-16, MIN(16, Games[[#This Row],[OppRestDiff]]*8))</f>
        <v>-16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1494.7138082010774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1388.0177233938978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0.78278011763551536</v>
      </c>
      <c r="R219" s="1">
        <v>78</v>
      </c>
      <c r="S219" s="1">
        <v>70</v>
      </c>
      <c r="T219" s="1">
        <v>0</v>
      </c>
      <c r="U219" s="1">
        <f>Games[[#This Row],[PointsFor]]-Games[[#This Row],[PointsAgainst]]</f>
        <v>8</v>
      </c>
      <c r="V219" s="1">
        <f>IF(Games[[#This Row],[MOV]]&gt;0,1,IF(Games[[#This Row],[MOV]]=0,0.5,0))</f>
        <v>1</v>
      </c>
      <c r="W219" s="4">
        <f>((ABS(Games[[#This Row],[MOV]])+5)^0.6)/(12+0.01*(ABS(Games[[#This Row],[PreGmRate]]-Games[[#This Row],[OppPreGmRate]])))*IF(Games[[#This Row],[OT]]=1,0.9,1)</f>
        <v>0.35660827901873438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73.150000000000006</v>
      </c>
      <c r="Z219" s="4">
        <f>Games[[#This Row],[K]]*Games[[#This Row],[POMult]]</f>
        <v>73.150000000000006</v>
      </c>
      <c r="AA219" s="4">
        <f>(Games[[#This Row],[Keff]]*Games[[#This Row],[MOVMult]])*(Games[[#This Row],[Result]]-Games[[#This Row],[ExpectedWin%]])</f>
        <v>5.6663751758243066</v>
      </c>
      <c r="AB219" s="4">
        <f>Games[[#This Row],[PreGmRate]]+Games[[#This Row],[RatingChange]]</f>
        <v>1500.3801833769016</v>
      </c>
      <c r="AC219" s="2">
        <f>IF(Games[[#This Row],[Type]]="R",IF(Games[[#This Row],[Result]]&gt;0.5,1,0),0)</f>
        <v>1</v>
      </c>
      <c r="AD219" s="2">
        <f>IF(Games[[#This Row],[Type]]="R",IF(Games[[#This Row],[Result]]&lt;0.5,1,0),0)</f>
        <v>0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43667</v>
      </c>
      <c r="B220" s="2">
        <v>2019</v>
      </c>
      <c r="C220" s="2">
        <f>COUNTIFS(Games[Team],Games[[#This Row],[Team]],Games[Season],Games[[#This Row],[Season]],Games[Date],"&lt;=" &amp; Games[[#This Row],[Date]])</f>
        <v>19</v>
      </c>
      <c r="D220" s="2" t="s">
        <v>79</v>
      </c>
      <c r="E220" s="2" t="s">
        <v>80</v>
      </c>
      <c r="F220" s="1" t="s">
        <v>67</v>
      </c>
      <c r="G220" s="1" t="s">
        <v>86</v>
      </c>
      <c r="H220" s="1" t="s">
        <v>81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0" s="2">
        <f>Games[[#This Row],[DaysOff]]-Games[[#This Row],[OppDaysOff]]</f>
        <v>2</v>
      </c>
      <c r="L220" s="2">
        <f>Games[[#This Row],[OppDaysOff]]-Games[[#This Row],[DaysOff]]</f>
        <v>-2</v>
      </c>
      <c r="M220" s="1">
        <f>MAX(-16, MIN(16, Games[[#This Row],[RestDiff]]*8))</f>
        <v>16</v>
      </c>
      <c r="N220" s="1">
        <f>MAX(-16, MIN(16, Games[[#This Row],[OppRestDiff]]*8))</f>
        <v>-16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1519.9854661114803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1548.3823162641329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0.38632144768068427</v>
      </c>
      <c r="R220" s="1">
        <v>74</v>
      </c>
      <c r="S220" s="1">
        <v>79</v>
      </c>
      <c r="T220" s="1">
        <v>0</v>
      </c>
      <c r="U220" s="1">
        <f>Games[[#This Row],[PointsFor]]-Games[[#This Row],[PointsAgainst]]</f>
        <v>-5</v>
      </c>
      <c r="V220" s="1">
        <f>IF(Games[[#This Row],[MOV]]&gt;0,1,IF(Games[[#This Row],[MOV]]=0,0.5,0))</f>
        <v>0</v>
      </c>
      <c r="W220" s="4">
        <f>((ABS(Games[[#This Row],[MOV]])+5)^0.6)/(12+0.01*(ABS(Games[[#This Row],[PreGmRate]]-Games[[#This Row],[OppPreGmRate]])))*IF(Games[[#This Row],[OT]]=1,0.9,1)</f>
        <v>0.32408677253122603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73.150000000000006</v>
      </c>
      <c r="Z220" s="4">
        <f>Games[[#This Row],[K]]*Games[[#This Row],[POMult]]</f>
        <v>73.150000000000006</v>
      </c>
      <c r="AA220" s="4">
        <f>(Games[[#This Row],[Keff]]*Games[[#This Row],[MOVMult]])*(Games[[#This Row],[Result]]-Games[[#This Row],[ExpectedWin%]])</f>
        <v>-9.1585022437757058</v>
      </c>
      <c r="AB220" s="4">
        <f>Games[[#This Row],[PreGmRate]]+Games[[#This Row],[RatingChange]]</f>
        <v>1510.8269638677045</v>
      </c>
      <c r="AC220" s="2">
        <f>IF(Games[[#This Row],[Type]]="R",IF(Games[[#This Row],[Result]]&gt;0.5,1,0),0)</f>
        <v>0</v>
      </c>
      <c r="AD220" s="2">
        <f>IF(Games[[#This Row],[Type]]="R",IF(Games[[#This Row],[Result]]&lt;0.5,1,0),0)</f>
        <v>1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43667</v>
      </c>
      <c r="B221" s="2">
        <v>2019</v>
      </c>
      <c r="C221" s="2">
        <f>COUNTIFS(Games[Team],Games[[#This Row],[Team]],Games[Season],Games[[#This Row],[Season]],Games[Date],"&lt;=" &amp; Games[[#This Row],[Date]])</f>
        <v>18</v>
      </c>
      <c r="D221" s="2" t="s">
        <v>79</v>
      </c>
      <c r="E221" s="2" t="s">
        <v>80</v>
      </c>
      <c r="F221" s="1" t="s">
        <v>86</v>
      </c>
      <c r="G221" s="1" t="s">
        <v>67</v>
      </c>
      <c r="H221" s="1" t="s">
        <v>82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1" s="2">
        <f>Games[[#This Row],[DaysOff]]-Games[[#This Row],[OppDaysOff]]</f>
        <v>-2</v>
      </c>
      <c r="L221" s="2">
        <f>Games[[#This Row],[OppDaysOff]]-Games[[#This Row],[DaysOff]]</f>
        <v>2</v>
      </c>
      <c r="M221" s="1">
        <f>MAX(-16, MIN(16, Games[[#This Row],[RestDiff]]*8))</f>
        <v>-16</v>
      </c>
      <c r="N221" s="1">
        <f>MAX(-16, MIN(16, Games[[#This Row],[OppRestDiff]]*8))</f>
        <v>16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1548.3823162641329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1519.9854661114803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0.61367855231931567</v>
      </c>
      <c r="R221" s="1">
        <v>79</v>
      </c>
      <c r="S221" s="1">
        <v>74</v>
      </c>
      <c r="T221" s="1">
        <v>0</v>
      </c>
      <c r="U221" s="1">
        <f>Games[[#This Row],[PointsFor]]-Games[[#This Row],[PointsAgainst]]</f>
        <v>5</v>
      </c>
      <c r="V221" s="1">
        <f>IF(Games[[#This Row],[MOV]]&gt;0,1,IF(Games[[#This Row],[MOV]]=0,0.5,0))</f>
        <v>1</v>
      </c>
      <c r="W221" s="4">
        <f>((ABS(Games[[#This Row],[MOV]])+5)^0.6)/(12+0.01*(ABS(Games[[#This Row],[PreGmRate]]-Games[[#This Row],[OppPreGmRate]])))*IF(Games[[#This Row],[OT]]=1,0.9,1)</f>
        <v>0.32408677253122603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73.3</v>
      </c>
      <c r="Z221" s="4">
        <f>Games[[#This Row],[K]]*Games[[#This Row],[POMult]]</f>
        <v>73.3</v>
      </c>
      <c r="AA221" s="4">
        <f>(Games[[#This Row],[Keff]]*Games[[#This Row],[MOVMult]])*(Games[[#This Row],[Result]]-Games[[#This Row],[ExpectedWin%]])</f>
        <v>9.1772824944464695</v>
      </c>
      <c r="AB221" s="4">
        <f>Games[[#This Row],[PreGmRate]]+Games[[#This Row],[RatingChange]]</f>
        <v>1557.5595987585793</v>
      </c>
      <c r="AC221" s="2">
        <f>IF(Games[[#This Row],[Type]]="R",IF(Games[[#This Row],[Result]]&gt;0.5,1,0),0)</f>
        <v>1</v>
      </c>
      <c r="AD221" s="2">
        <f>IF(Games[[#This Row],[Type]]="R",IF(Games[[#This Row],[Result]]&lt;0.5,1,0),0)</f>
        <v>0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43667</v>
      </c>
      <c r="B222" s="2">
        <v>2019</v>
      </c>
      <c r="C222" s="2">
        <f>COUNTIFS(Games[Team],Games[[#This Row],[Team]],Games[Season],Games[[#This Row],[Season]],Games[Date],"&lt;=" &amp; Games[[#This Row],[Date]])</f>
        <v>19</v>
      </c>
      <c r="D222" s="2" t="s">
        <v>79</v>
      </c>
      <c r="E222" s="2" t="s">
        <v>80</v>
      </c>
      <c r="F222" s="1" t="s">
        <v>77</v>
      </c>
      <c r="G222" s="1" t="s">
        <v>65</v>
      </c>
      <c r="H222" s="1" t="s">
        <v>81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2" s="2">
        <f>Games[[#This Row],[DaysOff]]-Games[[#This Row],[OppDaysOff]]</f>
        <v>0</v>
      </c>
      <c r="L222" s="2">
        <f>Games[[#This Row],[OppDaysOff]]-Games[[#This Row],[DaysOff]]</f>
        <v>0</v>
      </c>
      <c r="M222" s="1">
        <f>MAX(-16, MIN(16, Games[[#This Row],[RestDiff]]*8))</f>
        <v>0</v>
      </c>
      <c r="N222" s="1">
        <f>MAX(-16, MIN(16, Games[[#This Row],[OppRestDiff]]*8))</f>
        <v>0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1421.6220235678038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1587.7616667493505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0.19155780950852419</v>
      </c>
      <c r="R222" s="1">
        <v>65</v>
      </c>
      <c r="S222" s="1">
        <v>93</v>
      </c>
      <c r="T222" s="1">
        <v>0</v>
      </c>
      <c r="U222" s="1">
        <f>Games[[#This Row],[PointsFor]]-Games[[#This Row],[PointsAgainst]]</f>
        <v>-28</v>
      </c>
      <c r="V222" s="1">
        <f>IF(Games[[#This Row],[MOV]]&gt;0,1,IF(Games[[#This Row],[MOV]]=0,0.5,0))</f>
        <v>0</v>
      </c>
      <c r="W222" s="4">
        <f>((ABS(Games[[#This Row],[MOV]])+5)^0.6)/(12+0.01*(ABS(Games[[#This Row],[PreGmRate]]-Games[[#This Row],[OppPreGmRate]])))*IF(Games[[#This Row],[OT]]=1,0.9,1)</f>
        <v>0.59650387583181319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73.150000000000006</v>
      </c>
      <c r="Z222" s="4">
        <f>Games[[#This Row],[K]]*Games[[#This Row],[POMult]]</f>
        <v>73.150000000000006</v>
      </c>
      <c r="AA222" s="4">
        <f>(Games[[#This Row],[Keff]]*Games[[#This Row],[MOVMult]])*(Games[[#This Row],[Result]]-Games[[#This Row],[ExpectedWin%]])</f>
        <v>-8.3584829810637924</v>
      </c>
      <c r="AB222" s="4">
        <f>Games[[#This Row],[PreGmRate]]+Games[[#This Row],[RatingChange]]</f>
        <v>1413.26354058674</v>
      </c>
      <c r="AC222" s="2">
        <f>IF(Games[[#This Row],[Type]]="R",IF(Games[[#This Row],[Result]]&gt;0.5,1,0),0)</f>
        <v>0</v>
      </c>
      <c r="AD222" s="2">
        <f>IF(Games[[#This Row],[Type]]="R",IF(Games[[#This Row],[Result]]&lt;0.5,1,0),0)</f>
        <v>1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43667</v>
      </c>
      <c r="B223" s="2">
        <v>2019</v>
      </c>
      <c r="C223" s="2">
        <f>COUNTIFS(Games[Team],Games[[#This Row],[Team]],Games[Season],Games[[#This Row],[Season]],Games[Date],"&lt;=" &amp; Games[[#This Row],[Date]])</f>
        <v>17</v>
      </c>
      <c r="D223" s="2" t="s">
        <v>79</v>
      </c>
      <c r="E223" s="2" t="s">
        <v>80</v>
      </c>
      <c r="F223" s="1" t="s">
        <v>65</v>
      </c>
      <c r="G223" s="1" t="s">
        <v>77</v>
      </c>
      <c r="H223" s="1" t="s">
        <v>82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3" s="2">
        <f>Games[[#This Row],[DaysOff]]-Games[[#This Row],[OppDaysOff]]</f>
        <v>0</v>
      </c>
      <c r="L223" s="2">
        <f>Games[[#This Row],[OppDaysOff]]-Games[[#This Row],[DaysOff]]</f>
        <v>0</v>
      </c>
      <c r="M223" s="1">
        <f>MAX(-16, MIN(16, Games[[#This Row],[RestDiff]]*8))</f>
        <v>0</v>
      </c>
      <c r="N223" s="1">
        <f>MAX(-16, MIN(16, Games[[#This Row],[OppRestDiff]]*8))</f>
        <v>0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1587.7616667493505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1421.6220235678038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0.80844219049147581</v>
      </c>
      <c r="R223" s="1">
        <v>93</v>
      </c>
      <c r="S223" s="1">
        <v>65</v>
      </c>
      <c r="T223" s="1">
        <v>0</v>
      </c>
      <c r="U223" s="1">
        <f>Games[[#This Row],[PointsFor]]-Games[[#This Row],[PointsAgainst]]</f>
        <v>28</v>
      </c>
      <c r="V223" s="1">
        <f>IF(Games[[#This Row],[MOV]]&gt;0,1,IF(Games[[#This Row],[MOV]]=0,0.5,0))</f>
        <v>1</v>
      </c>
      <c r="W223" s="4">
        <f>((ABS(Games[[#This Row],[MOV]])+5)^0.6)/(12+0.01*(ABS(Games[[#This Row],[PreGmRate]]-Games[[#This Row],[OppPreGmRate]])))*IF(Games[[#This Row],[OT]]=1,0.9,1)</f>
        <v>0.59650387583181319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73.45</v>
      </c>
      <c r="Z223" s="4">
        <f>Games[[#This Row],[K]]*Games[[#This Row],[POMult]]</f>
        <v>73.45</v>
      </c>
      <c r="AA223" s="4">
        <f>(Games[[#This Row],[Keff]]*Games[[#This Row],[MOVMult]])*(Games[[#This Row],[Result]]-Games[[#This Row],[ExpectedWin%]])</f>
        <v>8.392762473809098</v>
      </c>
      <c r="AB223" s="4">
        <f>Games[[#This Row],[PreGmRate]]+Games[[#This Row],[RatingChange]]</f>
        <v>1596.1544292231597</v>
      </c>
      <c r="AC223" s="2">
        <f>IF(Games[[#This Row],[Type]]="R",IF(Games[[#This Row],[Result]]&gt;0.5,1,0),0)</f>
        <v>1</v>
      </c>
      <c r="AD223" s="2">
        <f>IF(Games[[#This Row],[Type]]="R",IF(Games[[#This Row],[Result]]&lt;0.5,1,0),0)</f>
        <v>0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43669</v>
      </c>
      <c r="B224" s="2">
        <v>2019</v>
      </c>
      <c r="C224" s="2">
        <f>COUNTIFS(Games[Team],Games[[#This Row],[Team]],Games[Season],Games[[#This Row],[Season]],Games[Date],"&lt;=" &amp; Games[[#This Row],[Date]])</f>
        <v>19</v>
      </c>
      <c r="D224" s="2" t="s">
        <v>79</v>
      </c>
      <c r="E224" s="2" t="s">
        <v>80</v>
      </c>
      <c r="F224" s="1" t="s">
        <v>63</v>
      </c>
      <c r="G224" s="1" t="s">
        <v>77</v>
      </c>
      <c r="H224" s="1" t="s">
        <v>81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4" s="2">
        <f>Games[[#This Row],[DaysOff]]-Games[[#This Row],[OppDaysOff]]</f>
        <v>1</v>
      </c>
      <c r="L224" s="2">
        <f>Games[[#This Row],[OppDaysOff]]-Games[[#This Row],[DaysOff]]</f>
        <v>-1</v>
      </c>
      <c r="M224" s="1">
        <f>MAX(-16, MIN(16, Games[[#This Row],[RestDiff]]*8))</f>
        <v>8</v>
      </c>
      <c r="N224" s="1">
        <f>MAX(-16, MIN(16, Games[[#This Row],[OppRestDiff]]*8))</f>
        <v>-8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1529.3904773511047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1413.26354058674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0.56882061674705775</v>
      </c>
      <c r="R224" s="1">
        <v>78</v>
      </c>
      <c r="S224" s="1">
        <v>66</v>
      </c>
      <c r="T224" s="1">
        <v>0</v>
      </c>
      <c r="U224" s="1">
        <f>Games[[#This Row],[PointsFor]]-Games[[#This Row],[PointsAgainst]]</f>
        <v>12</v>
      </c>
      <c r="V224" s="1">
        <f>IF(Games[[#This Row],[MOV]]&gt;0,1,IF(Games[[#This Row],[MOV]]=0,0.5,0))</f>
        <v>1</v>
      </c>
      <c r="W224" s="4">
        <f>((ABS(Games[[#This Row],[MOV]])+5)^0.6)/(12+0.01*(ABS(Games[[#This Row],[PreGmRate]]-Games[[#This Row],[OppPreGmRate]])))*IF(Games[[#This Row],[OT]]=1,0.9,1)</f>
        <v>0.41588338966566235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73.150000000000006</v>
      </c>
      <c r="Z224" s="4">
        <f>Games[[#This Row],[K]]*Games[[#This Row],[POMult]]</f>
        <v>73.150000000000006</v>
      </c>
      <c r="AA224" s="4">
        <f>(Games[[#This Row],[Keff]]*Games[[#This Row],[MOVMult]])*(Games[[#This Row],[Result]]-Games[[#This Row],[ExpectedWin%]])</f>
        <v>13.117283124185562</v>
      </c>
      <c r="AB224" s="4">
        <f>Games[[#This Row],[PreGmRate]]+Games[[#This Row],[RatingChange]]</f>
        <v>1542.5077604752903</v>
      </c>
      <c r="AC224" s="2">
        <f>IF(Games[[#This Row],[Type]]="R",IF(Games[[#This Row],[Result]]&gt;0.5,1,0),0)</f>
        <v>1</v>
      </c>
      <c r="AD224" s="2">
        <f>IF(Games[[#This Row],[Type]]="R",IF(Games[[#This Row],[Result]]&lt;0.5,1,0),0)</f>
        <v>0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43669</v>
      </c>
      <c r="B225" s="2">
        <v>2019</v>
      </c>
      <c r="C225" s="2">
        <f>COUNTIFS(Games[Team],Games[[#This Row],[Team]],Games[Season],Games[[#This Row],[Season]],Games[Date],"&lt;=" &amp; Games[[#This Row],[Date]])</f>
        <v>20</v>
      </c>
      <c r="D225" s="2" t="s">
        <v>79</v>
      </c>
      <c r="E225" s="2" t="s">
        <v>80</v>
      </c>
      <c r="F225" s="1" t="s">
        <v>77</v>
      </c>
      <c r="G225" s="1" t="s">
        <v>63</v>
      </c>
      <c r="H225" s="1" t="s">
        <v>82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5" s="2">
        <f>Games[[#This Row],[DaysOff]]-Games[[#This Row],[OppDaysOff]]</f>
        <v>-1</v>
      </c>
      <c r="L225" s="2">
        <f>Games[[#This Row],[OppDaysOff]]-Games[[#This Row],[DaysOff]]</f>
        <v>1</v>
      </c>
      <c r="M225" s="1">
        <f>MAX(-16, MIN(16, Games[[#This Row],[RestDiff]]*8))</f>
        <v>-8</v>
      </c>
      <c r="N225" s="1">
        <f>MAX(-16, MIN(16, Games[[#This Row],[OppRestDiff]]*8))</f>
        <v>8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1413.26354058674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1529.3904773511047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0.43117938325294231</v>
      </c>
      <c r="R225" s="1">
        <v>66</v>
      </c>
      <c r="S225" s="1">
        <v>78</v>
      </c>
      <c r="T225" s="1">
        <v>0</v>
      </c>
      <c r="U225" s="1">
        <f>Games[[#This Row],[PointsFor]]-Games[[#This Row],[PointsAgainst]]</f>
        <v>-12</v>
      </c>
      <c r="V225" s="1">
        <f>IF(Games[[#This Row],[MOV]]&gt;0,1,IF(Games[[#This Row],[MOV]]=0,0.5,0))</f>
        <v>0</v>
      </c>
      <c r="W225" s="4">
        <f>((ABS(Games[[#This Row],[MOV]])+5)^0.6)/(12+0.01*(ABS(Games[[#This Row],[PreGmRate]]-Games[[#This Row],[OppPreGmRate]])))*IF(Games[[#This Row],[OT]]=1,0.9,1)</f>
        <v>0.41588338966566235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</v>
      </c>
      <c r="Z225" s="4">
        <f>Games[[#This Row],[K]]*Games[[#This Row],[POMult]]</f>
        <v>73</v>
      </c>
      <c r="AA225" s="4">
        <f>(Games[[#This Row],[Keff]]*Games[[#This Row],[MOVMult]])*(Games[[#This Row],[Result]]-Games[[#This Row],[ExpectedWin%]])</f>
        <v>-13.090385072666386</v>
      </c>
      <c r="AB225" s="4">
        <f>Games[[#This Row],[PreGmRate]]+Games[[#This Row],[RatingChange]]</f>
        <v>1400.1731555140736</v>
      </c>
      <c r="AC225" s="2">
        <f>IF(Games[[#This Row],[Type]]="R",IF(Games[[#This Row],[Result]]&gt;0.5,1,0),0)</f>
        <v>0</v>
      </c>
      <c r="AD225" s="2">
        <f>IF(Games[[#This Row],[Type]]="R",IF(Games[[#This Row],[Result]]&lt;0.5,1,0),0)</f>
        <v>1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43669</v>
      </c>
      <c r="B226" s="2">
        <v>2019</v>
      </c>
      <c r="C226" s="2">
        <f>COUNTIFS(Games[Team],Games[[#This Row],[Team]],Games[Season],Games[[#This Row],[Season]],Games[Date],"&lt;=" &amp; Games[[#This Row],[Date]])</f>
        <v>21</v>
      </c>
      <c r="D226" s="2" t="s">
        <v>79</v>
      </c>
      <c r="E226" s="2" t="s">
        <v>80</v>
      </c>
      <c r="F226" s="1" t="s">
        <v>71</v>
      </c>
      <c r="G226" s="1" t="s">
        <v>86</v>
      </c>
      <c r="H226" s="1" t="s">
        <v>81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6" s="2">
        <f>Games[[#This Row],[DaysOff]]-Games[[#This Row],[OppDaysOff]]</f>
        <v>2</v>
      </c>
      <c r="L226" s="2">
        <f>Games[[#This Row],[OppDaysOff]]-Games[[#This Row],[DaysOff]]</f>
        <v>-2</v>
      </c>
      <c r="M226" s="1">
        <f>MAX(-16, MIN(16, Games[[#This Row],[RestDiff]]*8))</f>
        <v>16</v>
      </c>
      <c r="N226" s="1">
        <f>MAX(-16, MIN(16, Games[[#This Row],[OppRestDiff]]*8))</f>
        <v>-16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1595.1735296086269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1557.5595987585793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0.47930860599914271</v>
      </c>
      <c r="R226" s="1">
        <v>62</v>
      </c>
      <c r="S226" s="1">
        <v>79</v>
      </c>
      <c r="T226" s="1">
        <v>0</v>
      </c>
      <c r="U226" s="1">
        <f>Games[[#This Row],[PointsFor]]-Games[[#This Row],[PointsAgainst]]</f>
        <v>-17</v>
      </c>
      <c r="V226" s="1">
        <f>IF(Games[[#This Row],[MOV]]&gt;0,1,IF(Games[[#This Row],[MOV]]=0,0.5,0))</f>
        <v>0</v>
      </c>
      <c r="W226" s="4">
        <f>((ABS(Games[[#This Row],[MOV]])+5)^0.6)/(12+0.01*(ABS(Games[[#This Row],[PreGmRate]]-Games[[#This Row],[OppPreGmRate]])))*IF(Games[[#This Row],[OT]]=1,0.9,1)</f>
        <v>0.51625993128531711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72.849999999999994</v>
      </c>
      <c r="Z226" s="4">
        <f>Games[[#This Row],[K]]*Games[[#This Row],[POMult]]</f>
        <v>72.849999999999994</v>
      </c>
      <c r="AA226" s="4">
        <f>(Games[[#This Row],[Keff]]*Games[[#This Row],[MOVMult]])*(Games[[#This Row],[Result]]-Games[[#This Row],[ExpectedWin%]])</f>
        <v>-18.026574269623595</v>
      </c>
      <c r="AB226" s="4">
        <f>Games[[#This Row],[PreGmRate]]+Games[[#This Row],[RatingChange]]</f>
        <v>1577.1469553390034</v>
      </c>
      <c r="AC226" s="2">
        <f>IF(Games[[#This Row],[Type]]="R",IF(Games[[#This Row],[Result]]&gt;0.5,1,0),0)</f>
        <v>0</v>
      </c>
      <c r="AD226" s="2">
        <f>IF(Games[[#This Row],[Type]]="R",IF(Games[[#This Row],[Result]]&lt;0.5,1,0),0)</f>
        <v>1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43669</v>
      </c>
      <c r="B227" s="2">
        <v>2019</v>
      </c>
      <c r="C227" s="2">
        <f>COUNTIFS(Games[Team],Games[[#This Row],[Team]],Games[Season],Games[[#This Row],[Season]],Games[Date],"&lt;=" &amp; Games[[#This Row],[Date]])</f>
        <v>19</v>
      </c>
      <c r="D227" s="2" t="s">
        <v>79</v>
      </c>
      <c r="E227" s="2" t="s">
        <v>80</v>
      </c>
      <c r="F227" s="1" t="s">
        <v>86</v>
      </c>
      <c r="G227" s="1" t="s">
        <v>71</v>
      </c>
      <c r="H227" s="1" t="s">
        <v>82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7" s="2">
        <f>Games[[#This Row],[DaysOff]]-Games[[#This Row],[OppDaysOff]]</f>
        <v>-2</v>
      </c>
      <c r="L227" s="2">
        <f>Games[[#This Row],[OppDaysOff]]-Games[[#This Row],[DaysOff]]</f>
        <v>2</v>
      </c>
      <c r="M227" s="1">
        <f>MAX(-16, MIN(16, Games[[#This Row],[RestDiff]]*8))</f>
        <v>-16</v>
      </c>
      <c r="N227" s="1">
        <f>MAX(-16, MIN(16, Games[[#This Row],[OppRestDiff]]*8))</f>
        <v>16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1557.5595987585793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1595.1735296086269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0.52069139400085729</v>
      </c>
      <c r="R227" s="1">
        <v>79</v>
      </c>
      <c r="S227" s="1">
        <v>62</v>
      </c>
      <c r="T227" s="1">
        <v>0</v>
      </c>
      <c r="U227" s="1">
        <f>Games[[#This Row],[PointsFor]]-Games[[#This Row],[PointsAgainst]]</f>
        <v>17</v>
      </c>
      <c r="V227" s="1">
        <f>IF(Games[[#This Row],[MOV]]&gt;0,1,IF(Games[[#This Row],[MOV]]=0,0.5,0))</f>
        <v>1</v>
      </c>
      <c r="W227" s="4">
        <f>((ABS(Games[[#This Row],[MOV]])+5)^0.6)/(12+0.01*(ABS(Games[[#This Row],[PreGmRate]]-Games[[#This Row],[OppPreGmRate]])))*IF(Games[[#This Row],[OT]]=1,0.9,1)</f>
        <v>0.51625993128531711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73.150000000000006</v>
      </c>
      <c r="Z227" s="4">
        <f>Games[[#This Row],[K]]*Games[[#This Row],[POMult]]</f>
        <v>73.150000000000006</v>
      </c>
      <c r="AA227" s="4">
        <f>(Games[[#This Row],[Keff]]*Games[[#This Row],[MOVMult]])*(Games[[#This Row],[Result]]-Games[[#This Row],[ExpectedWin%]])</f>
        <v>18.100808618022874</v>
      </c>
      <c r="AB227" s="4">
        <f>Games[[#This Row],[PreGmRate]]+Games[[#This Row],[RatingChange]]</f>
        <v>1575.6604073766023</v>
      </c>
      <c r="AC227" s="2">
        <f>IF(Games[[#This Row],[Type]]="R",IF(Games[[#This Row],[Result]]&gt;0.5,1,0),0)</f>
        <v>1</v>
      </c>
      <c r="AD227" s="2">
        <f>IF(Games[[#This Row],[Type]]="R",IF(Games[[#This Row],[Result]]&lt;0.5,1,0),0)</f>
        <v>0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43669</v>
      </c>
      <c r="B228" s="2">
        <v>2019</v>
      </c>
      <c r="C228" s="2">
        <f>COUNTIFS(Games[Team],Games[[#This Row],[Team]],Games[Season],Games[[#This Row],[Season]],Games[Date],"&lt;=" &amp; Games[[#This Row],[Date]])</f>
        <v>21</v>
      </c>
      <c r="D228" s="2" t="s">
        <v>79</v>
      </c>
      <c r="E228" s="2" t="s">
        <v>80</v>
      </c>
      <c r="F228" s="1" t="s">
        <v>69</v>
      </c>
      <c r="G228" s="1" t="s">
        <v>40</v>
      </c>
      <c r="H228" s="1" t="s">
        <v>81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8" s="2">
        <f>Games[[#This Row],[DaysOff]]-Games[[#This Row],[OppDaysOff]]</f>
        <v>-1</v>
      </c>
      <c r="L228" s="2">
        <f>Games[[#This Row],[OppDaysOff]]-Games[[#This Row],[DaysOff]]</f>
        <v>1</v>
      </c>
      <c r="M228" s="1">
        <f>MAX(-16, MIN(16, Games[[#This Row],[RestDiff]]*8))</f>
        <v>-8</v>
      </c>
      <c r="N228" s="1">
        <f>MAX(-16, MIN(16, Games[[#This Row],[OppRestDiff]]*8))</f>
        <v>8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1382.3629675793363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1530.6281463284763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0.1932343935441381</v>
      </c>
      <c r="R228" s="1">
        <v>77</v>
      </c>
      <c r="S228" s="1">
        <v>95</v>
      </c>
      <c r="T228" s="1">
        <v>0</v>
      </c>
      <c r="U228" s="1">
        <f>Games[[#This Row],[PointsFor]]-Games[[#This Row],[PointsAgainst]]</f>
        <v>-18</v>
      </c>
      <c r="V228" s="1">
        <f>IF(Games[[#This Row],[MOV]]&gt;0,1,IF(Games[[#This Row],[MOV]]=0,0.5,0))</f>
        <v>0</v>
      </c>
      <c r="W228" s="4">
        <f>((ABS(Games[[#This Row],[MOV]])+5)^0.6)/(12+0.01*(ABS(Games[[#This Row],[PreGmRate]]-Games[[#This Row],[OppPreGmRate]])))*IF(Games[[#This Row],[OT]]=1,0.9,1)</f>
        <v>0.48670004157518859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72.849999999999994</v>
      </c>
      <c r="Z228" s="4">
        <f>Games[[#This Row],[K]]*Games[[#This Row],[POMult]]</f>
        <v>72.849999999999994</v>
      </c>
      <c r="AA228" s="4">
        <f>(Games[[#This Row],[Keff]]*Games[[#This Row],[MOVMult]])*(Games[[#This Row],[Result]]-Games[[#This Row],[ExpectedWin%]])</f>
        <v>-6.851337600027497</v>
      </c>
      <c r="AB228" s="4">
        <f>Games[[#This Row],[PreGmRate]]+Games[[#This Row],[RatingChange]]</f>
        <v>1375.5116299793087</v>
      </c>
      <c r="AC228" s="2">
        <f>IF(Games[[#This Row],[Type]]="R",IF(Games[[#This Row],[Result]]&gt;0.5,1,0),0)</f>
        <v>0</v>
      </c>
      <c r="AD228" s="2">
        <f>IF(Games[[#This Row],[Type]]="R",IF(Games[[#This Row],[Result]]&lt;0.5,1,0),0)</f>
        <v>1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43669</v>
      </c>
      <c r="B229" s="2">
        <v>2019</v>
      </c>
      <c r="C229" s="2">
        <f>COUNTIFS(Games[Team],Games[[#This Row],[Team]],Games[Season],Games[[#This Row],[Season]],Games[Date],"&lt;=" &amp; Games[[#This Row],[Date]])</f>
        <v>18</v>
      </c>
      <c r="D229" s="2" t="s">
        <v>79</v>
      </c>
      <c r="E229" s="2" t="s">
        <v>80</v>
      </c>
      <c r="F229" s="1" t="s">
        <v>40</v>
      </c>
      <c r="G229" s="1" t="s">
        <v>69</v>
      </c>
      <c r="H229" s="1" t="s">
        <v>82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9" s="2">
        <f>Games[[#This Row],[DaysOff]]-Games[[#This Row],[OppDaysOff]]</f>
        <v>1</v>
      </c>
      <c r="L229" s="2">
        <f>Games[[#This Row],[OppDaysOff]]-Games[[#This Row],[DaysOff]]</f>
        <v>-1</v>
      </c>
      <c r="M229" s="1">
        <f>MAX(-16, MIN(16, Games[[#This Row],[RestDiff]]*8))</f>
        <v>8</v>
      </c>
      <c r="N229" s="1">
        <f>MAX(-16, MIN(16, Games[[#This Row],[OppRestDiff]]*8))</f>
        <v>-8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1530.6281463284763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1382.3629675793363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0.80676560645586182</v>
      </c>
      <c r="R229" s="1">
        <v>95</v>
      </c>
      <c r="S229" s="1">
        <v>77</v>
      </c>
      <c r="T229" s="1">
        <v>0</v>
      </c>
      <c r="U229" s="1">
        <f>Games[[#This Row],[PointsFor]]-Games[[#This Row],[PointsAgainst]]</f>
        <v>18</v>
      </c>
      <c r="V229" s="1">
        <f>IF(Games[[#This Row],[MOV]]&gt;0,1,IF(Games[[#This Row],[MOV]]=0,0.5,0))</f>
        <v>1</v>
      </c>
      <c r="W229" s="4">
        <f>((ABS(Games[[#This Row],[MOV]])+5)^0.6)/(12+0.01*(ABS(Games[[#This Row],[PreGmRate]]-Games[[#This Row],[OppPreGmRate]])))*IF(Games[[#This Row],[OT]]=1,0.9,1)</f>
        <v>0.48670004157518859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73.3</v>
      </c>
      <c r="Z229" s="4">
        <f>Games[[#This Row],[K]]*Games[[#This Row],[POMult]]</f>
        <v>73.3</v>
      </c>
      <c r="AA229" s="4">
        <f>(Games[[#This Row],[Keff]]*Games[[#This Row],[MOVMult]])*(Games[[#This Row],[Result]]-Games[[#This Row],[ExpectedWin%]])</f>
        <v>6.8936588343447598</v>
      </c>
      <c r="AB229" s="4">
        <f>Games[[#This Row],[PreGmRate]]+Games[[#This Row],[RatingChange]]</f>
        <v>1537.521805162821</v>
      </c>
      <c r="AC229" s="2">
        <f>IF(Games[[#This Row],[Type]]="R",IF(Games[[#This Row],[Result]]&gt;0.5,1,0),0)</f>
        <v>1</v>
      </c>
      <c r="AD229" s="2">
        <f>IF(Games[[#This Row],[Type]]="R",IF(Games[[#This Row],[Result]]&lt;0.5,1,0),0)</f>
        <v>0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43670</v>
      </c>
      <c r="B230" s="2">
        <v>2019</v>
      </c>
      <c r="C230" s="2">
        <f>COUNTIFS(Games[Team],Games[[#This Row],[Team]],Games[Season],Games[[#This Row],[Season]],Games[Date],"&lt;=" &amp; Games[[#This Row],[Date]])</f>
        <v>19</v>
      </c>
      <c r="D230" s="2" t="s">
        <v>79</v>
      </c>
      <c r="E230" s="2" t="s">
        <v>80</v>
      </c>
      <c r="F230" s="1" t="s">
        <v>60</v>
      </c>
      <c r="G230" s="1" t="s">
        <v>74</v>
      </c>
      <c r="H230" s="1" t="s">
        <v>81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30" s="2">
        <f>Games[[#This Row],[DaysOff]]-Games[[#This Row],[OppDaysOff]]</f>
        <v>-1</v>
      </c>
      <c r="L230" s="2">
        <f>Games[[#This Row],[OppDaysOff]]-Games[[#This Row],[DaysOff]]</f>
        <v>1</v>
      </c>
      <c r="M230" s="1">
        <f>MAX(-16, MIN(16, Games[[#This Row],[RestDiff]]*8))</f>
        <v>-8</v>
      </c>
      <c r="N230" s="1">
        <f>MAX(-16, MIN(16, Games[[#This Row],[OppRestDiff]]*8))</f>
        <v>8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1413.8685423033587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1583.0338760093791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0.17516713359664521</v>
      </c>
      <c r="R230" s="1">
        <v>63</v>
      </c>
      <c r="S230" s="1">
        <v>70</v>
      </c>
      <c r="T230" s="1">
        <v>0</v>
      </c>
      <c r="U230" s="1">
        <f>Games[[#This Row],[PointsFor]]-Games[[#This Row],[PointsAgainst]]</f>
        <v>-7</v>
      </c>
      <c r="V230" s="1">
        <f>IF(Games[[#This Row],[MOV]]&gt;0,1,IF(Games[[#This Row],[MOV]]=0,0.5,0))</f>
        <v>0</v>
      </c>
      <c r="W230" s="4">
        <f>((ABS(Games[[#This Row],[MOV]])+5)^0.6)/(12+0.01*(ABS(Games[[#This Row],[PreGmRate]]-Games[[#This Row],[OppPreGmRate]])))*IF(Games[[#This Row],[OT]]=1,0.9,1)</f>
        <v>0.32437909144429511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73.150000000000006</v>
      </c>
      <c r="Z230" s="4">
        <f>Games[[#This Row],[K]]*Games[[#This Row],[POMult]]</f>
        <v>73.150000000000006</v>
      </c>
      <c r="AA230" s="4">
        <f>(Games[[#This Row],[Keff]]*Games[[#This Row],[MOVMult]])*(Games[[#This Row],[Result]]-Games[[#This Row],[ExpectedWin%]])</f>
        <v>-4.1564236455766777</v>
      </c>
      <c r="AB230" s="4">
        <f>Games[[#This Row],[PreGmRate]]+Games[[#This Row],[RatingChange]]</f>
        <v>1409.712118657782</v>
      </c>
      <c r="AC230" s="2">
        <f>IF(Games[[#This Row],[Type]]="R",IF(Games[[#This Row],[Result]]&gt;0.5,1,0),0)</f>
        <v>0</v>
      </c>
      <c r="AD230" s="2">
        <f>IF(Games[[#This Row],[Type]]="R",IF(Games[[#This Row],[Result]]&lt;0.5,1,0),0)</f>
        <v>1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43670</v>
      </c>
      <c r="B231" s="2">
        <v>2019</v>
      </c>
      <c r="C231" s="2">
        <f>COUNTIFS(Games[Team],Games[[#This Row],[Team]],Games[Season],Games[[#This Row],[Season]],Games[Date],"&lt;=" &amp; Games[[#This Row],[Date]])</f>
        <v>19</v>
      </c>
      <c r="D231" s="2" t="s">
        <v>79</v>
      </c>
      <c r="E231" s="2" t="s">
        <v>80</v>
      </c>
      <c r="F231" s="1" t="s">
        <v>74</v>
      </c>
      <c r="G231" s="1" t="s">
        <v>60</v>
      </c>
      <c r="H231" s="1" t="s">
        <v>82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1" s="2">
        <f>Games[[#This Row],[DaysOff]]-Games[[#This Row],[OppDaysOff]]</f>
        <v>1</v>
      </c>
      <c r="L231" s="2">
        <f>Games[[#This Row],[OppDaysOff]]-Games[[#This Row],[DaysOff]]</f>
        <v>-1</v>
      </c>
      <c r="M231" s="1">
        <f>MAX(-16, MIN(16, Games[[#This Row],[RestDiff]]*8))</f>
        <v>8</v>
      </c>
      <c r="N231" s="1">
        <f>MAX(-16, MIN(16, Games[[#This Row],[OppRestDiff]]*8))</f>
        <v>-8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1583.0338760093791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1413.8685423033587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0.82483286640335485</v>
      </c>
      <c r="R231" s="1">
        <v>70</v>
      </c>
      <c r="S231" s="1">
        <v>63</v>
      </c>
      <c r="T231" s="1">
        <v>0</v>
      </c>
      <c r="U231" s="1">
        <f>Games[[#This Row],[PointsFor]]-Games[[#This Row],[PointsAgainst]]</f>
        <v>7</v>
      </c>
      <c r="V231" s="1">
        <f>IF(Games[[#This Row],[MOV]]&gt;0,1,IF(Games[[#This Row],[MOV]]=0,0.5,0))</f>
        <v>1</v>
      </c>
      <c r="W231" s="4">
        <f>((ABS(Games[[#This Row],[MOV]])+5)^0.6)/(12+0.01*(ABS(Games[[#This Row],[PreGmRate]]-Games[[#This Row],[OppPreGmRate]])))*IF(Games[[#This Row],[OT]]=1,0.9,1)</f>
        <v>0.32437909144429511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73.150000000000006</v>
      </c>
      <c r="Z231" s="4">
        <f>Games[[#This Row],[K]]*Games[[#This Row],[POMult]]</f>
        <v>73.150000000000006</v>
      </c>
      <c r="AA231" s="4">
        <f>(Games[[#This Row],[Keff]]*Games[[#This Row],[MOVMult]])*(Games[[#This Row],[Result]]-Games[[#This Row],[ExpectedWin%]])</f>
        <v>4.1564236455766759</v>
      </c>
      <c r="AB231" s="4">
        <f>Games[[#This Row],[PreGmRate]]+Games[[#This Row],[RatingChange]]</f>
        <v>1587.1902996549559</v>
      </c>
      <c r="AC231" s="2">
        <f>IF(Games[[#This Row],[Type]]="R",IF(Games[[#This Row],[Result]]&gt;0.5,1,0),0)</f>
        <v>1</v>
      </c>
      <c r="AD231" s="2">
        <f>IF(Games[[#This Row],[Type]]="R",IF(Games[[#This Row],[Result]]&lt;0.5,1,0),0)</f>
        <v>0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43670</v>
      </c>
      <c r="B232" s="2">
        <v>2019</v>
      </c>
      <c r="C232" s="2">
        <f>COUNTIFS(Games[Team],Games[[#This Row],[Team]],Games[Season],Games[[#This Row],[Season]],Games[Date],"&lt;=" &amp; Games[[#This Row],[Date]])</f>
        <v>18</v>
      </c>
      <c r="D232" s="2" t="s">
        <v>79</v>
      </c>
      <c r="E232" s="2" t="s">
        <v>80</v>
      </c>
      <c r="F232" s="1" t="s">
        <v>65</v>
      </c>
      <c r="G232" s="1" t="s">
        <v>67</v>
      </c>
      <c r="H232" s="1" t="s">
        <v>81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2" s="2">
        <f>Games[[#This Row],[DaysOff]]-Games[[#This Row],[OppDaysOff]]</f>
        <v>0</v>
      </c>
      <c r="L232" s="2">
        <f>Games[[#This Row],[OppDaysOff]]-Games[[#This Row],[DaysOff]]</f>
        <v>0</v>
      </c>
      <c r="M232" s="1">
        <f>MAX(-16, MIN(16, Games[[#This Row],[RestDiff]]*8))</f>
        <v>0</v>
      </c>
      <c r="N232" s="1">
        <f>MAX(-16, MIN(16, Games[[#This Row],[OppRestDiff]]*8))</f>
        <v>0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1596.1544292231597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1510.8269638677045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0.50191036691590429</v>
      </c>
      <c r="R232" s="1">
        <v>79</v>
      </c>
      <c r="S232" s="1">
        <v>71</v>
      </c>
      <c r="T232" s="1">
        <v>0</v>
      </c>
      <c r="U232" s="1">
        <f>Games[[#This Row],[PointsFor]]-Games[[#This Row],[PointsAgainst]]</f>
        <v>8</v>
      </c>
      <c r="V232" s="1">
        <f>IF(Games[[#This Row],[MOV]]&gt;0,1,IF(Games[[#This Row],[MOV]]=0,0.5,0))</f>
        <v>1</v>
      </c>
      <c r="W232" s="4">
        <f>((ABS(Games[[#This Row],[MOV]])+5)^0.6)/(12+0.01*(ABS(Games[[#This Row],[PreGmRate]]-Games[[#This Row],[OppPreGmRate]])))*IF(Games[[#This Row],[OT]]=1,0.9,1)</f>
        <v>0.36253690562407842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73.3</v>
      </c>
      <c r="Z232" s="4">
        <f>Games[[#This Row],[K]]*Games[[#This Row],[POMult]]</f>
        <v>73.3</v>
      </c>
      <c r="AA232" s="4">
        <f>(Games[[#This Row],[Keff]]*Games[[#This Row],[MOVMult]])*(Games[[#This Row],[Result]]-Games[[#This Row],[ExpectedWin%]])</f>
        <v>13.236211586317589</v>
      </c>
      <c r="AB232" s="4">
        <f>Games[[#This Row],[PreGmRate]]+Games[[#This Row],[RatingChange]]</f>
        <v>1609.3906408094772</v>
      </c>
      <c r="AC232" s="2">
        <f>IF(Games[[#This Row],[Type]]="R",IF(Games[[#This Row],[Result]]&gt;0.5,1,0),0)</f>
        <v>1</v>
      </c>
      <c r="AD232" s="2">
        <f>IF(Games[[#This Row],[Type]]="R",IF(Games[[#This Row],[Result]]&lt;0.5,1,0),0)</f>
        <v>0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43670</v>
      </c>
      <c r="B233" s="2">
        <v>2019</v>
      </c>
      <c r="C233" s="2">
        <f>COUNTIFS(Games[Team],Games[[#This Row],[Team]],Games[Season],Games[[#This Row],[Season]],Games[Date],"&lt;=" &amp; Games[[#This Row],[Date]])</f>
        <v>20</v>
      </c>
      <c r="D233" s="2" t="s">
        <v>79</v>
      </c>
      <c r="E233" s="2" t="s">
        <v>80</v>
      </c>
      <c r="F233" s="1" t="s">
        <v>67</v>
      </c>
      <c r="G233" s="1" t="s">
        <v>65</v>
      </c>
      <c r="H233" s="1" t="s">
        <v>82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3" s="2">
        <f>Games[[#This Row],[DaysOff]]-Games[[#This Row],[OppDaysOff]]</f>
        <v>0</v>
      </c>
      <c r="L233" s="2">
        <f>Games[[#This Row],[OppDaysOff]]-Games[[#This Row],[DaysOff]]</f>
        <v>0</v>
      </c>
      <c r="M233" s="1">
        <f>MAX(-16, MIN(16, Games[[#This Row],[RestDiff]]*8))</f>
        <v>0</v>
      </c>
      <c r="N233" s="1">
        <f>MAX(-16, MIN(16, Games[[#This Row],[OppRestDiff]]*8))</f>
        <v>0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1510.8269638677045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1596.1544292231597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0.49808963308409571</v>
      </c>
      <c r="R233" s="1">
        <v>71</v>
      </c>
      <c r="S233" s="1">
        <v>79</v>
      </c>
      <c r="T233" s="1">
        <v>0</v>
      </c>
      <c r="U233" s="1">
        <f>Games[[#This Row],[PointsFor]]-Games[[#This Row],[PointsAgainst]]</f>
        <v>-8</v>
      </c>
      <c r="V233" s="1">
        <f>IF(Games[[#This Row],[MOV]]&gt;0,1,IF(Games[[#This Row],[MOV]]=0,0.5,0))</f>
        <v>0</v>
      </c>
      <c r="W233" s="4">
        <f>((ABS(Games[[#This Row],[MOV]])+5)^0.6)/(12+0.01*(ABS(Games[[#This Row],[PreGmRate]]-Games[[#This Row],[OppPreGmRate]])))*IF(Games[[#This Row],[OT]]=1,0.9,1)</f>
        <v>0.36253690562407842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</v>
      </c>
      <c r="Z233" s="4">
        <f>Games[[#This Row],[K]]*Games[[#This Row],[POMult]]</f>
        <v>73</v>
      </c>
      <c r="AA233" s="4">
        <f>(Games[[#This Row],[Keff]]*Games[[#This Row],[MOVMult]])*(Games[[#This Row],[Result]]-Games[[#This Row],[ExpectedWin%]])</f>
        <v>-13.182038824027067</v>
      </c>
      <c r="AB233" s="4">
        <f>Games[[#This Row],[PreGmRate]]+Games[[#This Row],[RatingChange]]</f>
        <v>1497.6449250436774</v>
      </c>
      <c r="AC233" s="2">
        <f>IF(Games[[#This Row],[Type]]="R",IF(Games[[#This Row],[Result]]&gt;0.5,1,0),0)</f>
        <v>0</v>
      </c>
      <c r="AD233" s="2">
        <f>IF(Games[[#This Row],[Type]]="R",IF(Games[[#This Row],[Result]]&lt;0.5,1,0),0)</f>
        <v>1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43676</v>
      </c>
      <c r="B234" s="2">
        <v>2019</v>
      </c>
      <c r="C234" s="2">
        <f>COUNTIFS(Games[Team],Games[[#This Row],[Team]],Games[Season],Games[[#This Row],[Season]],Games[Date],"&lt;=" &amp; Games[[#This Row],[Date]])</f>
        <v>20</v>
      </c>
      <c r="D234" s="2" t="s">
        <v>79</v>
      </c>
      <c r="E234" s="2" t="s">
        <v>80</v>
      </c>
      <c r="F234" s="1" t="s">
        <v>75</v>
      </c>
      <c r="G234" s="1" t="s">
        <v>74</v>
      </c>
      <c r="H234" s="1" t="s">
        <v>81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8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34" s="2">
        <f>Games[[#This Row],[DaysOff]]-Games[[#This Row],[OppDaysOff]]</f>
        <v>3</v>
      </c>
      <c r="L234" s="2">
        <f>Games[[#This Row],[OppDaysOff]]-Games[[#This Row],[DaysOff]]</f>
        <v>-3</v>
      </c>
      <c r="M234" s="1">
        <f>MAX(-16, MIN(16, Games[[#This Row],[RestDiff]]*8))</f>
        <v>16</v>
      </c>
      <c r="N234" s="1">
        <f>MAX(-16, MIN(16, Games[[#This Row],[OppRestDiff]]*8))</f>
        <v>-16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1500.3801833769016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1587.1902996549559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0.31022764391404201</v>
      </c>
      <c r="R234" s="1">
        <v>94</v>
      </c>
      <c r="S234" s="1">
        <v>100</v>
      </c>
      <c r="T234" s="1">
        <v>0</v>
      </c>
      <c r="U234" s="1">
        <f>Games[[#This Row],[PointsFor]]-Games[[#This Row],[PointsAgainst]]</f>
        <v>-6</v>
      </c>
      <c r="V234" s="1">
        <f>IF(Games[[#This Row],[MOV]]&gt;0,1,IF(Games[[#This Row],[MOV]]=0,0.5,0))</f>
        <v>0</v>
      </c>
      <c r="W234" s="4">
        <f>((ABS(Games[[#This Row],[MOV]])+5)^0.6)/(12+0.01*(ABS(Games[[#This Row],[PreGmRate]]-Games[[#This Row],[OppPreGmRate]])))*IF(Games[[#This Row],[OT]]=1,0.9,1)</f>
        <v>0.32758284068238103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73</v>
      </c>
      <c r="Z234" s="4">
        <f>Games[[#This Row],[K]]*Games[[#This Row],[POMult]]</f>
        <v>73</v>
      </c>
      <c r="AA234" s="4">
        <f>(Games[[#This Row],[Keff]]*Games[[#This Row],[MOVMult]])*(Games[[#This Row],[Result]]-Games[[#This Row],[ExpectedWin%]])</f>
        <v>-7.4186434581641763</v>
      </c>
      <c r="AB234" s="4">
        <f>Games[[#This Row],[PreGmRate]]+Games[[#This Row],[RatingChange]]</f>
        <v>1492.9615399187376</v>
      </c>
      <c r="AC234" s="2">
        <f>IF(Games[[#This Row],[Type]]="R",IF(Games[[#This Row],[Result]]&gt;0.5,1,0),0)</f>
        <v>0</v>
      </c>
      <c r="AD234" s="2">
        <f>IF(Games[[#This Row],[Type]]="R",IF(Games[[#This Row],[Result]]&lt;0.5,1,0),0)</f>
        <v>1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43676</v>
      </c>
      <c r="B235" s="2">
        <v>2019</v>
      </c>
      <c r="C235" s="2">
        <f>COUNTIFS(Games[Team],Games[[#This Row],[Team]],Games[Season],Games[[#This Row],[Season]],Games[Date],"&lt;=" &amp; Games[[#This Row],[Date]])</f>
        <v>20</v>
      </c>
      <c r="D235" s="2" t="s">
        <v>79</v>
      </c>
      <c r="E235" s="2" t="s">
        <v>80</v>
      </c>
      <c r="F235" s="1" t="s">
        <v>74</v>
      </c>
      <c r="G235" s="1" t="s">
        <v>75</v>
      </c>
      <c r="H235" s="1" t="s">
        <v>82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5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235" s="2">
        <f>Games[[#This Row],[DaysOff]]-Games[[#This Row],[OppDaysOff]]</f>
        <v>-3</v>
      </c>
      <c r="L235" s="2">
        <f>Games[[#This Row],[OppDaysOff]]-Games[[#This Row],[DaysOff]]</f>
        <v>3</v>
      </c>
      <c r="M235" s="1">
        <f>MAX(-16, MIN(16, Games[[#This Row],[RestDiff]]*8))</f>
        <v>-16</v>
      </c>
      <c r="N235" s="1">
        <f>MAX(-16, MIN(16, Games[[#This Row],[OppRestDiff]]*8))</f>
        <v>16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1587.1902996549559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1500.3801833769016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0.68977235608595799</v>
      </c>
      <c r="R235" s="1">
        <v>100</v>
      </c>
      <c r="S235" s="1">
        <v>94</v>
      </c>
      <c r="T235" s="1">
        <v>0</v>
      </c>
      <c r="U235" s="1">
        <f>Games[[#This Row],[PointsFor]]-Games[[#This Row],[PointsAgainst]]</f>
        <v>6</v>
      </c>
      <c r="V235" s="1">
        <f>IF(Games[[#This Row],[MOV]]&gt;0,1,IF(Games[[#This Row],[MOV]]=0,0.5,0))</f>
        <v>1</v>
      </c>
      <c r="W235" s="4">
        <f>((ABS(Games[[#This Row],[MOV]])+5)^0.6)/(12+0.01*(ABS(Games[[#This Row],[PreGmRate]]-Games[[#This Row],[OppPreGmRate]])))*IF(Games[[#This Row],[OT]]=1,0.9,1)</f>
        <v>0.32758284068238103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73</v>
      </c>
      <c r="Z235" s="4">
        <f>Games[[#This Row],[K]]*Games[[#This Row],[POMult]]</f>
        <v>73</v>
      </c>
      <c r="AA235" s="4">
        <f>(Games[[#This Row],[Keff]]*Games[[#This Row],[MOVMult]])*(Games[[#This Row],[Result]]-Games[[#This Row],[ExpectedWin%]])</f>
        <v>7.4186434581641763</v>
      </c>
      <c r="AB235" s="4">
        <f>Games[[#This Row],[PreGmRate]]+Games[[#This Row],[RatingChange]]</f>
        <v>1594.6089431131199</v>
      </c>
      <c r="AC235" s="2">
        <f>IF(Games[[#This Row],[Type]]="R",IF(Games[[#This Row],[Result]]&gt;0.5,1,0),0)</f>
        <v>1</v>
      </c>
      <c r="AD235" s="2">
        <f>IF(Games[[#This Row],[Type]]="R",IF(Games[[#This Row],[Result]]&lt;0.5,1,0),0)</f>
        <v>0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43676</v>
      </c>
      <c r="B236" s="2">
        <v>2019</v>
      </c>
      <c r="C236" s="2">
        <f>COUNTIFS(Games[Team],Games[[#This Row],[Team]],Games[Season],Games[[#This Row],[Season]],Games[Date],"&lt;=" &amp; Games[[#This Row],[Date]])</f>
        <v>20</v>
      </c>
      <c r="D236" s="2" t="s">
        <v>79</v>
      </c>
      <c r="E236" s="2" t="s">
        <v>80</v>
      </c>
      <c r="F236" s="1" t="s">
        <v>85</v>
      </c>
      <c r="G236" s="1" t="s">
        <v>86</v>
      </c>
      <c r="H236" s="1" t="s">
        <v>81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9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36" s="2">
        <f>Games[[#This Row],[DaysOff]]-Games[[#This Row],[OppDaysOff]]</f>
        <v>3</v>
      </c>
      <c r="L236" s="2">
        <f>Games[[#This Row],[OppDaysOff]]-Games[[#This Row],[DaysOff]]</f>
        <v>-3</v>
      </c>
      <c r="M236" s="1">
        <f>MAX(-16, MIN(16, Games[[#This Row],[RestDiff]]*8))</f>
        <v>16</v>
      </c>
      <c r="N236" s="1">
        <f>MAX(-16, MIN(16, Games[[#This Row],[OppRestDiff]]*8))</f>
        <v>-16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1387.6676876190782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1575.6604073766023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0.20076673343481807</v>
      </c>
      <c r="R236" s="1">
        <v>54</v>
      </c>
      <c r="S236" s="1">
        <v>86</v>
      </c>
      <c r="T236" s="1">
        <v>0</v>
      </c>
      <c r="U236" s="1">
        <f>Games[[#This Row],[PointsFor]]-Games[[#This Row],[PointsAgainst]]</f>
        <v>-32</v>
      </c>
      <c r="V236" s="1">
        <f>IF(Games[[#This Row],[MOV]]&gt;0,1,IF(Games[[#This Row],[MOV]]=0,0.5,0))</f>
        <v>0</v>
      </c>
      <c r="W236" s="4">
        <f>((ABS(Games[[#This Row],[MOV]])+5)^0.6)/(12+0.01*(ABS(Games[[#This Row],[PreGmRate]]-Games[[#This Row],[OppPreGmRate]])))*IF(Games[[#This Row],[OT]]=1,0.9,1)</f>
        <v>0.62883085944434147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73</v>
      </c>
      <c r="Z236" s="4">
        <f>Games[[#This Row],[K]]*Games[[#This Row],[POMult]]</f>
        <v>73</v>
      </c>
      <c r="AA236" s="4">
        <f>(Games[[#This Row],[Keff]]*Games[[#This Row],[MOVMult]])*(Games[[#This Row],[Result]]-Games[[#This Row],[ExpectedWin%]])</f>
        <v>-9.2161271799564251</v>
      </c>
      <c r="AB236" s="4">
        <f>Games[[#This Row],[PreGmRate]]+Games[[#This Row],[RatingChange]]</f>
        <v>1378.4515604391217</v>
      </c>
      <c r="AC236" s="2">
        <f>IF(Games[[#This Row],[Type]]="R",IF(Games[[#This Row],[Result]]&gt;0.5,1,0),0)</f>
        <v>0</v>
      </c>
      <c r="AD236" s="2">
        <f>IF(Games[[#This Row],[Type]]="R",IF(Games[[#This Row],[Result]]&lt;0.5,1,0),0)</f>
        <v>1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43676</v>
      </c>
      <c r="B237" s="2">
        <v>2019</v>
      </c>
      <c r="C237" s="2">
        <f>COUNTIFS(Games[Team],Games[[#This Row],[Team]],Games[Season],Games[[#This Row],[Season]],Games[Date],"&lt;=" &amp; Games[[#This Row],[Date]])</f>
        <v>20</v>
      </c>
      <c r="D237" s="2" t="s">
        <v>79</v>
      </c>
      <c r="E237" s="2" t="s">
        <v>80</v>
      </c>
      <c r="F237" s="1" t="s">
        <v>86</v>
      </c>
      <c r="G237" s="1" t="s">
        <v>85</v>
      </c>
      <c r="H237" s="1" t="s">
        <v>82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6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9</v>
      </c>
      <c r="K237" s="2">
        <f>Games[[#This Row],[DaysOff]]-Games[[#This Row],[OppDaysOff]]</f>
        <v>-3</v>
      </c>
      <c r="L237" s="2">
        <f>Games[[#This Row],[OppDaysOff]]-Games[[#This Row],[DaysOff]]</f>
        <v>3</v>
      </c>
      <c r="M237" s="1">
        <f>MAX(-16, MIN(16, Games[[#This Row],[RestDiff]]*8))</f>
        <v>-16</v>
      </c>
      <c r="N237" s="1">
        <f>MAX(-16, MIN(16, Games[[#This Row],[OppRestDiff]]*8))</f>
        <v>16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1575.6604073766023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1387.6676876190782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0.7992332665651819</v>
      </c>
      <c r="R237" s="1">
        <v>86</v>
      </c>
      <c r="S237" s="1">
        <v>54</v>
      </c>
      <c r="T237" s="1">
        <v>0</v>
      </c>
      <c r="U237" s="1">
        <f>Games[[#This Row],[PointsFor]]-Games[[#This Row],[PointsAgainst]]</f>
        <v>32</v>
      </c>
      <c r="V237" s="1">
        <f>IF(Games[[#This Row],[MOV]]&gt;0,1,IF(Games[[#This Row],[MOV]]=0,0.5,0))</f>
        <v>1</v>
      </c>
      <c r="W237" s="4">
        <f>((ABS(Games[[#This Row],[MOV]])+5)^0.6)/(12+0.01*(ABS(Games[[#This Row],[PreGmRate]]-Games[[#This Row],[OppPreGmRate]])))*IF(Games[[#This Row],[OT]]=1,0.9,1)</f>
        <v>0.62883085944434147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73</v>
      </c>
      <c r="Z237" s="4">
        <f>Games[[#This Row],[K]]*Games[[#This Row],[POMult]]</f>
        <v>73</v>
      </c>
      <c r="AA237" s="4">
        <f>(Games[[#This Row],[Keff]]*Games[[#This Row],[MOVMult]])*(Games[[#This Row],[Result]]-Games[[#This Row],[ExpectedWin%]])</f>
        <v>9.2161271799564251</v>
      </c>
      <c r="AB237" s="4">
        <f>Games[[#This Row],[PreGmRate]]+Games[[#This Row],[RatingChange]]</f>
        <v>1584.8765345565587</v>
      </c>
      <c r="AC237" s="2">
        <f>IF(Games[[#This Row],[Type]]="R",IF(Games[[#This Row],[Result]]&gt;0.5,1,0),0)</f>
        <v>1</v>
      </c>
      <c r="AD237" s="2">
        <f>IF(Games[[#This Row],[Type]]="R",IF(Games[[#This Row],[Result]]&lt;0.5,1,0),0)</f>
        <v>0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43676</v>
      </c>
      <c r="B238" s="2">
        <v>2019</v>
      </c>
      <c r="C238" s="2">
        <f>COUNTIFS(Games[Team],Games[[#This Row],[Team]],Games[Season],Games[[#This Row],[Season]],Games[Date],"&lt;=" &amp; Games[[#This Row],[Date]])</f>
        <v>19</v>
      </c>
      <c r="D238" s="2" t="s">
        <v>79</v>
      </c>
      <c r="E238" s="2" t="s">
        <v>80</v>
      </c>
      <c r="F238" s="1" t="s">
        <v>40</v>
      </c>
      <c r="G238" s="1" t="s">
        <v>65</v>
      </c>
      <c r="H238" s="1" t="s">
        <v>81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6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38" s="2">
        <f>Games[[#This Row],[DaysOff]]-Games[[#This Row],[OppDaysOff]]</f>
        <v>1</v>
      </c>
      <c r="L238" s="2">
        <f>Games[[#This Row],[OppDaysOff]]-Games[[#This Row],[DaysOff]]</f>
        <v>-1</v>
      </c>
      <c r="M238" s="1">
        <f>MAX(-16, MIN(16, Games[[#This Row],[RestDiff]]*8))</f>
        <v>8</v>
      </c>
      <c r="N238" s="1">
        <f>MAX(-16, MIN(16, Games[[#This Row],[OppRestDiff]]*8))</f>
        <v>-8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1537.521805162821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1609.3906408094772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0.30892501865942157</v>
      </c>
      <c r="R238" s="1">
        <v>93</v>
      </c>
      <c r="S238" s="1">
        <v>99</v>
      </c>
      <c r="T238" s="1">
        <v>0</v>
      </c>
      <c r="U238" s="1">
        <f>Games[[#This Row],[PointsFor]]-Games[[#This Row],[PointsAgainst]]</f>
        <v>-6</v>
      </c>
      <c r="V238" s="1">
        <f>IF(Games[[#This Row],[MOV]]&gt;0,1,IF(Games[[#This Row],[MOV]]=0,0.5,0))</f>
        <v>0</v>
      </c>
      <c r="W238" s="4">
        <f>((ABS(Games[[#This Row],[MOV]])+5)^0.6)/(12+0.01*(ABS(Games[[#This Row],[PreGmRate]]-Games[[#This Row],[OppPreGmRate]])))*IF(Games[[#This Row],[OT]]=1,0.9,1)</f>
        <v>0.33143112048568124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73.150000000000006</v>
      </c>
      <c r="Z238" s="4">
        <f>Games[[#This Row],[K]]*Games[[#This Row],[POMult]]</f>
        <v>73.150000000000006</v>
      </c>
      <c r="AA238" s="4">
        <f>(Games[[#This Row],[Keff]]*Games[[#This Row],[MOVMult]])*(Games[[#This Row],[Result]]-Games[[#This Row],[ExpectedWin%]])</f>
        <v>-7.4896357556277549</v>
      </c>
      <c r="AB238" s="4">
        <f>Games[[#This Row],[PreGmRate]]+Games[[#This Row],[RatingChange]]</f>
        <v>1530.0321694071934</v>
      </c>
      <c r="AC238" s="2">
        <f>IF(Games[[#This Row],[Type]]="R",IF(Games[[#This Row],[Result]]&gt;0.5,1,0),0)</f>
        <v>0</v>
      </c>
      <c r="AD238" s="2">
        <f>IF(Games[[#This Row],[Type]]="R",IF(Games[[#This Row],[Result]]&lt;0.5,1,0),0)</f>
        <v>1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43676</v>
      </c>
      <c r="B239" s="2">
        <v>2019</v>
      </c>
      <c r="C239" s="2">
        <f>COUNTIFS(Games[Team],Games[[#This Row],[Team]],Games[Season],Games[[#This Row],[Season]],Games[Date],"&lt;=" &amp; Games[[#This Row],[Date]])</f>
        <v>19</v>
      </c>
      <c r="D239" s="2" t="s">
        <v>79</v>
      </c>
      <c r="E239" s="2" t="s">
        <v>80</v>
      </c>
      <c r="F239" s="1" t="s">
        <v>65</v>
      </c>
      <c r="G239" s="1" t="s">
        <v>40</v>
      </c>
      <c r="H239" s="1" t="s">
        <v>82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5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39" s="2">
        <f>Games[[#This Row],[DaysOff]]-Games[[#This Row],[OppDaysOff]]</f>
        <v>-1</v>
      </c>
      <c r="L239" s="2">
        <f>Games[[#This Row],[OppDaysOff]]-Games[[#This Row],[DaysOff]]</f>
        <v>1</v>
      </c>
      <c r="M239" s="1">
        <f>MAX(-16, MIN(16, Games[[#This Row],[RestDiff]]*8))</f>
        <v>-8</v>
      </c>
      <c r="N239" s="1">
        <f>MAX(-16, MIN(16, Games[[#This Row],[OppRestDiff]]*8))</f>
        <v>8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1609.3906408094772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1537.521805162821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0.69107498134057832</v>
      </c>
      <c r="R239" s="1">
        <v>99</v>
      </c>
      <c r="S239" s="1">
        <v>93</v>
      </c>
      <c r="T239" s="1">
        <v>0</v>
      </c>
      <c r="U239" s="1">
        <f>Games[[#This Row],[PointsFor]]-Games[[#This Row],[PointsAgainst]]</f>
        <v>6</v>
      </c>
      <c r="V239" s="1">
        <f>IF(Games[[#This Row],[MOV]]&gt;0,1,IF(Games[[#This Row],[MOV]]=0,0.5,0))</f>
        <v>1</v>
      </c>
      <c r="W239" s="4">
        <f>((ABS(Games[[#This Row],[MOV]])+5)^0.6)/(12+0.01*(ABS(Games[[#This Row],[PreGmRate]]-Games[[#This Row],[OppPreGmRate]])))*IF(Games[[#This Row],[OT]]=1,0.9,1)</f>
        <v>0.33143112048568124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73.150000000000006</v>
      </c>
      <c r="Z239" s="4">
        <f>Games[[#This Row],[K]]*Games[[#This Row],[POMult]]</f>
        <v>73.150000000000006</v>
      </c>
      <c r="AA239" s="4">
        <f>(Games[[#This Row],[Keff]]*Games[[#This Row],[MOVMult]])*(Games[[#This Row],[Result]]-Games[[#This Row],[ExpectedWin%]])</f>
        <v>7.4896357556277575</v>
      </c>
      <c r="AB239" s="4">
        <f>Games[[#This Row],[PreGmRate]]+Games[[#This Row],[RatingChange]]</f>
        <v>1616.8802765651049</v>
      </c>
      <c r="AC239" s="2">
        <f>IF(Games[[#This Row],[Type]]="R",IF(Games[[#This Row],[Result]]&gt;0.5,1,0),0)</f>
        <v>1</v>
      </c>
      <c r="AD239" s="2">
        <f>IF(Games[[#This Row],[Type]]="R",IF(Games[[#This Row],[Result]]&lt;0.5,1,0),0)</f>
        <v>0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43677</v>
      </c>
      <c r="B240" s="2">
        <v>2019</v>
      </c>
      <c r="C240" s="2">
        <f>COUNTIFS(Games[Team],Games[[#This Row],[Team]],Games[Season],Games[[#This Row],[Season]],Games[Date],"&lt;=" &amp; Games[[#This Row],[Date]])</f>
        <v>21</v>
      </c>
      <c r="D240" s="2" t="s">
        <v>79</v>
      </c>
      <c r="E240" s="2" t="s">
        <v>80</v>
      </c>
      <c r="F240" s="1" t="s">
        <v>77</v>
      </c>
      <c r="G240" s="1" t="s">
        <v>69</v>
      </c>
      <c r="H240" s="1" t="s">
        <v>81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7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40" s="2">
        <f>Games[[#This Row],[DaysOff]]-Games[[#This Row],[OppDaysOff]]</f>
        <v>0</v>
      </c>
      <c r="L240" s="2">
        <f>Games[[#This Row],[OppDaysOff]]-Games[[#This Row],[DaysOff]]</f>
        <v>0</v>
      </c>
      <c r="M240" s="1">
        <f>MAX(-16, MIN(16, Games[[#This Row],[RestDiff]]*8))</f>
        <v>0</v>
      </c>
      <c r="N240" s="1">
        <f>MAX(-16, MIN(16, Games[[#This Row],[OppRestDiff]]*8))</f>
        <v>0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1400.1731555140736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1375.5116299793087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0.41542579606032926</v>
      </c>
      <c r="R240" s="1">
        <v>59</v>
      </c>
      <c r="S240" s="1">
        <v>61</v>
      </c>
      <c r="T240" s="1">
        <v>0</v>
      </c>
      <c r="U240" s="1">
        <f>Games[[#This Row],[PointsFor]]-Games[[#This Row],[PointsAgainst]]</f>
        <v>-2</v>
      </c>
      <c r="V240" s="1">
        <f>IF(Games[[#This Row],[MOV]]&gt;0,1,IF(Games[[#This Row],[MOV]]=0,0.5,0))</f>
        <v>0</v>
      </c>
      <c r="W240" s="4">
        <f>((ABS(Games[[#This Row],[MOV]])+5)^0.6)/(12+0.01*(ABS(Games[[#This Row],[PreGmRate]]-Games[[#This Row],[OppPreGmRate]])))*IF(Games[[#This Row],[OT]]=1,0.9,1)</f>
        <v>0.26244768719361539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72.849999999999994</v>
      </c>
      <c r="Z240" s="4">
        <f>Games[[#This Row],[K]]*Games[[#This Row],[POMult]]</f>
        <v>72.849999999999994</v>
      </c>
      <c r="AA240" s="4">
        <f>(Games[[#This Row],[Keff]]*Games[[#This Row],[MOVMult]])*(Games[[#This Row],[Result]]-Games[[#This Row],[ExpectedWin%]])</f>
        <v>-7.9426562435853061</v>
      </c>
      <c r="AB240" s="4">
        <f>Games[[#This Row],[PreGmRate]]+Games[[#This Row],[RatingChange]]</f>
        <v>1392.2304992704883</v>
      </c>
      <c r="AC240" s="2">
        <f>IF(Games[[#This Row],[Type]]="R",IF(Games[[#This Row],[Result]]&gt;0.5,1,0),0)</f>
        <v>0</v>
      </c>
      <c r="AD240" s="2">
        <f>IF(Games[[#This Row],[Type]]="R",IF(Games[[#This Row],[Result]]&lt;0.5,1,0),0)</f>
        <v>1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43677</v>
      </c>
      <c r="B241" s="2">
        <v>2019</v>
      </c>
      <c r="C241" s="2">
        <f>COUNTIFS(Games[Team],Games[[#This Row],[Team]],Games[Season],Games[[#This Row],[Season]],Games[Date],"&lt;=" &amp; Games[[#This Row],[Date]])</f>
        <v>22</v>
      </c>
      <c r="D241" s="2" t="s">
        <v>79</v>
      </c>
      <c r="E241" s="2" t="s">
        <v>80</v>
      </c>
      <c r="F241" s="1" t="s">
        <v>69</v>
      </c>
      <c r="G241" s="1" t="s">
        <v>77</v>
      </c>
      <c r="H241" s="1" t="s">
        <v>82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7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41" s="2">
        <f>Games[[#This Row],[DaysOff]]-Games[[#This Row],[OppDaysOff]]</f>
        <v>0</v>
      </c>
      <c r="L241" s="2">
        <f>Games[[#This Row],[OppDaysOff]]-Games[[#This Row],[DaysOff]]</f>
        <v>0</v>
      </c>
      <c r="M241" s="1">
        <f>MAX(-16, MIN(16, Games[[#This Row],[RestDiff]]*8))</f>
        <v>0</v>
      </c>
      <c r="N241" s="1">
        <f>MAX(-16, MIN(16, Games[[#This Row],[OppRestDiff]]*8))</f>
        <v>0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1375.5116299793087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1400.1731555140736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0.58457420393967074</v>
      </c>
      <c r="R241" s="1">
        <v>61</v>
      </c>
      <c r="S241" s="1">
        <v>59</v>
      </c>
      <c r="T241" s="1">
        <v>0</v>
      </c>
      <c r="U241" s="1">
        <f>Games[[#This Row],[PointsFor]]-Games[[#This Row],[PointsAgainst]]</f>
        <v>2</v>
      </c>
      <c r="V241" s="1">
        <f>IF(Games[[#This Row],[MOV]]&gt;0,1,IF(Games[[#This Row],[MOV]]=0,0.5,0))</f>
        <v>1</v>
      </c>
      <c r="W241" s="4">
        <f>((ABS(Games[[#This Row],[MOV]])+5)^0.6)/(12+0.01*(ABS(Games[[#This Row],[PreGmRate]]-Games[[#This Row],[OppPreGmRate]])))*IF(Games[[#This Row],[OT]]=1,0.9,1)</f>
        <v>0.26244768719361539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72.7</v>
      </c>
      <c r="Z241" s="4">
        <f>Games[[#This Row],[K]]*Games[[#This Row],[POMult]]</f>
        <v>72.7</v>
      </c>
      <c r="AA241" s="4">
        <f>(Games[[#This Row],[Keff]]*Games[[#This Row],[MOVMult]])*(Games[[#This Row],[Result]]-Games[[#This Row],[ExpectedWin%]])</f>
        <v>7.9263021126788162</v>
      </c>
      <c r="AB241" s="4">
        <f>Games[[#This Row],[PreGmRate]]+Games[[#This Row],[RatingChange]]</f>
        <v>1383.4379320919875</v>
      </c>
      <c r="AC241" s="2">
        <f>IF(Games[[#This Row],[Type]]="R",IF(Games[[#This Row],[Result]]&gt;0.5,1,0),0)</f>
        <v>1</v>
      </c>
      <c r="AD241" s="2">
        <f>IF(Games[[#This Row],[Type]]="R",IF(Games[[#This Row],[Result]]&lt;0.5,1,0),0)</f>
        <v>0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43678</v>
      </c>
      <c r="B242" s="2">
        <v>2019</v>
      </c>
      <c r="C242" s="2">
        <f>COUNTIFS(Games[Team],Games[[#This Row],[Team]],Games[Season],Games[[#This Row],[Season]],Games[Date],"&lt;=" &amp; Games[[#This Row],[Date]])</f>
        <v>20</v>
      </c>
      <c r="D242" s="2" t="s">
        <v>79</v>
      </c>
      <c r="E242" s="2" t="s">
        <v>80</v>
      </c>
      <c r="F242" s="1" t="s">
        <v>40</v>
      </c>
      <c r="G242" s="1" t="s">
        <v>74</v>
      </c>
      <c r="H242" s="1" t="s">
        <v>81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2" s="2">
        <f>Games[[#This Row],[DaysOff]]-Games[[#This Row],[OppDaysOff]]</f>
        <v>0</v>
      </c>
      <c r="L242" s="2">
        <f>Games[[#This Row],[OppDaysOff]]-Games[[#This Row],[DaysOff]]</f>
        <v>0</v>
      </c>
      <c r="M242" s="1">
        <f>MAX(-16, MIN(16, Games[[#This Row],[RestDiff]]*8))</f>
        <v>0</v>
      </c>
      <c r="N242" s="1">
        <f>MAX(-16, MIN(16, Games[[#This Row],[OppRestDiff]]*8))</f>
        <v>0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1530.0321694071934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1594.6089431131199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0.29832713029701252</v>
      </c>
      <c r="R242" s="1">
        <v>62</v>
      </c>
      <c r="S242" s="1">
        <v>68</v>
      </c>
      <c r="T242" s="1">
        <v>0</v>
      </c>
      <c r="U242" s="1">
        <f>Games[[#This Row],[PointsFor]]-Games[[#This Row],[PointsAgainst]]</f>
        <v>-6</v>
      </c>
      <c r="V242" s="1">
        <f>IF(Games[[#This Row],[MOV]]&gt;0,1,IF(Games[[#This Row],[MOV]]=0,0.5,0))</f>
        <v>0</v>
      </c>
      <c r="W242" s="4">
        <f>((ABS(Games[[#This Row],[MOV]])+5)^0.6)/(12+0.01*(ABS(Games[[#This Row],[PreGmRate]]-Games[[#This Row],[OppPreGmRate]])))*IF(Games[[#This Row],[OT]]=1,0.9,1)</f>
        <v>0.33334228658482151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73</v>
      </c>
      <c r="Z242" s="4">
        <f>Games[[#This Row],[K]]*Games[[#This Row],[POMult]]</f>
        <v>73</v>
      </c>
      <c r="AA242" s="4">
        <f>(Games[[#This Row],[Keff]]*Games[[#This Row],[MOVMult]])*(Games[[#This Row],[Result]]-Games[[#This Row],[ExpectedWin%]])</f>
        <v>-7.259488486735072</v>
      </c>
      <c r="AB242" s="4">
        <f>Games[[#This Row],[PreGmRate]]+Games[[#This Row],[RatingChange]]</f>
        <v>1522.7726809204582</v>
      </c>
      <c r="AC242" s="2">
        <f>IF(Games[[#This Row],[Type]]="R",IF(Games[[#This Row],[Result]]&gt;0.5,1,0),0)</f>
        <v>0</v>
      </c>
      <c r="AD242" s="2">
        <f>IF(Games[[#This Row],[Type]]="R",IF(Games[[#This Row],[Result]]&lt;0.5,1,0),0)</f>
        <v>1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43678</v>
      </c>
      <c r="B243" s="2">
        <v>2019</v>
      </c>
      <c r="C243" s="2">
        <f>COUNTIFS(Games[Team],Games[[#This Row],[Team]],Games[Season],Games[[#This Row],[Season]],Games[Date],"&lt;=" &amp; Games[[#This Row],[Date]])</f>
        <v>21</v>
      </c>
      <c r="D243" s="2" t="s">
        <v>79</v>
      </c>
      <c r="E243" s="2" t="s">
        <v>80</v>
      </c>
      <c r="F243" s="1" t="s">
        <v>74</v>
      </c>
      <c r="G243" s="1" t="s">
        <v>40</v>
      </c>
      <c r="H243" s="1" t="s">
        <v>82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3" s="2">
        <f>Games[[#This Row],[DaysOff]]-Games[[#This Row],[OppDaysOff]]</f>
        <v>0</v>
      </c>
      <c r="L243" s="2">
        <f>Games[[#This Row],[OppDaysOff]]-Games[[#This Row],[DaysOff]]</f>
        <v>0</v>
      </c>
      <c r="M243" s="1">
        <f>MAX(-16, MIN(16, Games[[#This Row],[RestDiff]]*8))</f>
        <v>0</v>
      </c>
      <c r="N243" s="1">
        <f>MAX(-16, MIN(16, Games[[#This Row],[OppRestDiff]]*8))</f>
        <v>0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1594.6089431131199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1530.0321694071934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0.70167286970298748</v>
      </c>
      <c r="R243" s="1">
        <v>68</v>
      </c>
      <c r="S243" s="1">
        <v>62</v>
      </c>
      <c r="T243" s="1">
        <v>0</v>
      </c>
      <c r="U243" s="1">
        <f>Games[[#This Row],[PointsFor]]-Games[[#This Row],[PointsAgainst]]</f>
        <v>6</v>
      </c>
      <c r="V243" s="1">
        <f>IF(Games[[#This Row],[MOV]]&gt;0,1,IF(Games[[#This Row],[MOV]]=0,0.5,0))</f>
        <v>1</v>
      </c>
      <c r="W243" s="4">
        <f>((ABS(Games[[#This Row],[MOV]])+5)^0.6)/(12+0.01*(ABS(Games[[#This Row],[PreGmRate]]-Games[[#This Row],[OppPreGmRate]])))*IF(Games[[#This Row],[OT]]=1,0.9,1)</f>
        <v>0.33334228658482151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72.849999999999994</v>
      </c>
      <c r="Z243" s="4">
        <f>Games[[#This Row],[K]]*Games[[#This Row],[POMult]]</f>
        <v>72.849999999999994</v>
      </c>
      <c r="AA243" s="4">
        <f>(Games[[#This Row],[Keff]]*Games[[#This Row],[MOVMult]])*(Games[[#This Row],[Result]]-Games[[#This Row],[ExpectedWin%]])</f>
        <v>7.2445717295705476</v>
      </c>
      <c r="AB243" s="4">
        <f>Games[[#This Row],[PreGmRate]]+Games[[#This Row],[RatingChange]]</f>
        <v>1601.8535148426904</v>
      </c>
      <c r="AC243" s="2">
        <f>IF(Games[[#This Row],[Type]]="R",IF(Games[[#This Row],[Result]]&gt;0.5,1,0),0)</f>
        <v>1</v>
      </c>
      <c r="AD243" s="2">
        <f>IF(Games[[#This Row],[Type]]="R",IF(Games[[#This Row],[Result]]&lt;0.5,1,0),0)</f>
        <v>0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43678</v>
      </c>
      <c r="B244" s="2">
        <v>2019</v>
      </c>
      <c r="C244" s="2">
        <f>COUNTIFS(Games[Team],Games[[#This Row],[Team]],Games[Season],Games[[#This Row],[Season]],Games[Date],"&lt;=" &amp; Games[[#This Row],[Date]])</f>
        <v>20</v>
      </c>
      <c r="D244" s="2" t="s">
        <v>79</v>
      </c>
      <c r="E244" s="2" t="s">
        <v>80</v>
      </c>
      <c r="F244" s="1" t="s">
        <v>60</v>
      </c>
      <c r="G244" s="1" t="s">
        <v>85</v>
      </c>
      <c r="H244" s="1" t="s">
        <v>81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7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4" s="2">
        <f>Games[[#This Row],[DaysOff]]-Games[[#This Row],[OppDaysOff]]</f>
        <v>6</v>
      </c>
      <c r="L244" s="2">
        <f>Games[[#This Row],[OppDaysOff]]-Games[[#This Row],[DaysOff]]</f>
        <v>-6</v>
      </c>
      <c r="M244" s="1">
        <f>MAX(-16, MIN(16, Games[[#This Row],[RestDiff]]*8))</f>
        <v>16</v>
      </c>
      <c r="N244" s="1">
        <f>MAX(-16, MIN(16, Games[[#This Row],[OppRestDiff]]*8))</f>
        <v>-16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1409.712118657782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1378.4515604391217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0.47018894368477532</v>
      </c>
      <c r="R244" s="1">
        <v>64</v>
      </c>
      <c r="S244" s="1">
        <v>87</v>
      </c>
      <c r="T244" s="1">
        <v>0</v>
      </c>
      <c r="U244" s="1">
        <f>Games[[#This Row],[PointsFor]]-Games[[#This Row],[PointsAgainst]]</f>
        <v>-23</v>
      </c>
      <c r="V244" s="1">
        <f>IF(Games[[#This Row],[MOV]]&gt;0,1,IF(Games[[#This Row],[MOV]]=0,0.5,0))</f>
        <v>0</v>
      </c>
      <c r="W244" s="4">
        <f>((ABS(Games[[#This Row],[MOV]])+5)^0.6)/(12+0.01*(ABS(Games[[#This Row],[PreGmRate]]-Games[[#This Row],[OppPreGmRate]])))*IF(Games[[#This Row],[OT]]=1,0.9,1)</f>
        <v>0.59971491667256693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73</v>
      </c>
      <c r="Z244" s="4">
        <f>Games[[#This Row],[K]]*Games[[#This Row],[POMult]]</f>
        <v>73</v>
      </c>
      <c r="AA244" s="4">
        <f>(Games[[#This Row],[Keff]]*Games[[#This Row],[MOVMult]])*(Games[[#This Row],[Result]]-Games[[#This Row],[ExpectedWin%]])</f>
        <v>-20.584490592306242</v>
      </c>
      <c r="AB244" s="4">
        <f>Games[[#This Row],[PreGmRate]]+Games[[#This Row],[RatingChange]]</f>
        <v>1389.1276280654756</v>
      </c>
      <c r="AC244" s="2">
        <f>IF(Games[[#This Row],[Type]]="R",IF(Games[[#This Row],[Result]]&gt;0.5,1,0),0)</f>
        <v>0</v>
      </c>
      <c r="AD244" s="2">
        <f>IF(Games[[#This Row],[Type]]="R",IF(Games[[#This Row],[Result]]&lt;0.5,1,0),0)</f>
        <v>1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43678</v>
      </c>
      <c r="B245" s="2">
        <v>2019</v>
      </c>
      <c r="C245" s="2">
        <f>COUNTIFS(Games[Team],Games[[#This Row],[Team]],Games[Season],Games[[#This Row],[Season]],Games[Date],"&lt;=" &amp; Games[[#This Row],[Date]])</f>
        <v>21</v>
      </c>
      <c r="D245" s="2" t="s">
        <v>79</v>
      </c>
      <c r="E245" s="2" t="s">
        <v>80</v>
      </c>
      <c r="F245" s="1" t="s">
        <v>85</v>
      </c>
      <c r="G245" s="1" t="s">
        <v>60</v>
      </c>
      <c r="H245" s="1" t="s">
        <v>82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45" s="2">
        <f>Games[[#This Row],[DaysOff]]-Games[[#This Row],[OppDaysOff]]</f>
        <v>-6</v>
      </c>
      <c r="L245" s="2">
        <f>Games[[#This Row],[OppDaysOff]]-Games[[#This Row],[DaysOff]]</f>
        <v>6</v>
      </c>
      <c r="M245" s="1">
        <f>MAX(-16, MIN(16, Games[[#This Row],[RestDiff]]*8))</f>
        <v>-16</v>
      </c>
      <c r="N245" s="1">
        <f>MAX(-16, MIN(16, Games[[#This Row],[OppRestDiff]]*8))</f>
        <v>16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1378.4515604391217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1409.712118657782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0.52981105631522474</v>
      </c>
      <c r="R245" s="1">
        <v>87</v>
      </c>
      <c r="S245" s="1">
        <v>64</v>
      </c>
      <c r="T245" s="1">
        <v>0</v>
      </c>
      <c r="U245" s="1">
        <f>Games[[#This Row],[PointsFor]]-Games[[#This Row],[PointsAgainst]]</f>
        <v>23</v>
      </c>
      <c r="V245" s="1">
        <f>IF(Games[[#This Row],[MOV]]&gt;0,1,IF(Games[[#This Row],[MOV]]=0,0.5,0))</f>
        <v>1</v>
      </c>
      <c r="W245" s="4">
        <f>((ABS(Games[[#This Row],[MOV]])+5)^0.6)/(12+0.01*(ABS(Games[[#This Row],[PreGmRate]]-Games[[#This Row],[OppPreGmRate]])))*IF(Games[[#This Row],[OT]]=1,0.9,1)</f>
        <v>0.59971491667256693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72.849999999999994</v>
      </c>
      <c r="Z245" s="4">
        <f>Games[[#This Row],[K]]*Games[[#This Row],[POMult]]</f>
        <v>72.849999999999994</v>
      </c>
      <c r="AA245" s="4">
        <f>(Games[[#This Row],[Keff]]*Games[[#This Row],[MOVMult]])*(Games[[#This Row],[Result]]-Games[[#This Row],[ExpectedWin%]])</f>
        <v>20.542193693828896</v>
      </c>
      <c r="AB245" s="4">
        <f>Games[[#This Row],[PreGmRate]]+Games[[#This Row],[RatingChange]]</f>
        <v>1398.9937541329507</v>
      </c>
      <c r="AC245" s="2">
        <f>IF(Games[[#This Row],[Type]]="R",IF(Games[[#This Row],[Result]]&gt;0.5,1,0),0)</f>
        <v>1</v>
      </c>
      <c r="AD245" s="2">
        <f>IF(Games[[#This Row],[Type]]="R",IF(Games[[#This Row],[Result]]&lt;0.5,1,0),0)</f>
        <v>0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43678</v>
      </c>
      <c r="B246" s="2">
        <v>2019</v>
      </c>
      <c r="C246" s="2">
        <f>COUNTIFS(Games[Team],Games[[#This Row],[Team]],Games[Season],Games[[#This Row],[Season]],Games[Date],"&lt;=" &amp; Games[[#This Row],[Date]])</f>
        <v>21</v>
      </c>
      <c r="D246" s="2" t="s">
        <v>79</v>
      </c>
      <c r="E246" s="2" t="s">
        <v>80</v>
      </c>
      <c r="F246" s="1" t="s">
        <v>86</v>
      </c>
      <c r="G246" s="1" t="s">
        <v>63</v>
      </c>
      <c r="H246" s="1" t="s">
        <v>81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246" s="2">
        <f>Games[[#This Row],[DaysOff]]-Games[[#This Row],[OppDaysOff]]</f>
        <v>-7</v>
      </c>
      <c r="L246" s="2">
        <f>Games[[#This Row],[OppDaysOff]]-Games[[#This Row],[DaysOff]]</f>
        <v>7</v>
      </c>
      <c r="M246" s="1">
        <f>MAX(-16, MIN(16, Games[[#This Row],[RestDiff]]*8))</f>
        <v>-16</v>
      </c>
      <c r="N246" s="1">
        <f>MAX(-16, MIN(16, Games[[#This Row],[OppRestDiff]]*8))</f>
        <v>16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1584.8765345565587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1542.5077604752903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0.39559455394633936</v>
      </c>
      <c r="R246" s="1">
        <v>68</v>
      </c>
      <c r="S246" s="1">
        <v>76</v>
      </c>
      <c r="T246" s="1">
        <v>0</v>
      </c>
      <c r="U246" s="1">
        <f>Games[[#This Row],[PointsFor]]-Games[[#This Row],[PointsAgainst]]</f>
        <v>-8</v>
      </c>
      <c r="V246" s="1">
        <f>IF(Games[[#This Row],[MOV]]&gt;0,1,IF(Games[[#This Row],[MOV]]=0,0.5,0))</f>
        <v>0</v>
      </c>
      <c r="W246" s="4">
        <f>((ABS(Games[[#This Row],[MOV]])+5)^0.6)/(12+0.01*(ABS(Games[[#This Row],[PreGmRate]]-Games[[#This Row],[OppPreGmRate]])))*IF(Games[[#This Row],[OT]]=1,0.9,1)</f>
        <v>0.37507272536545982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72.849999999999994</v>
      </c>
      <c r="Z246" s="4">
        <f>Games[[#This Row],[K]]*Games[[#This Row],[POMult]]</f>
        <v>72.849999999999994</v>
      </c>
      <c r="AA246" s="4">
        <f>(Games[[#This Row],[Keff]]*Games[[#This Row],[MOVMult]])*(Games[[#This Row],[Result]]-Games[[#This Row],[ExpectedWin%]])</f>
        <v>-10.809244597528986</v>
      </c>
      <c r="AB246" s="4">
        <f>Games[[#This Row],[PreGmRate]]+Games[[#This Row],[RatingChange]]</f>
        <v>1574.0672899590297</v>
      </c>
      <c r="AC246" s="2">
        <f>IF(Games[[#This Row],[Type]]="R",IF(Games[[#This Row],[Result]]&gt;0.5,1,0),0)</f>
        <v>0</v>
      </c>
      <c r="AD246" s="2">
        <f>IF(Games[[#This Row],[Type]]="R",IF(Games[[#This Row],[Result]]&lt;0.5,1,0),0)</f>
        <v>1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43678</v>
      </c>
      <c r="B247" s="2">
        <v>2019</v>
      </c>
      <c r="C247" s="2">
        <f>COUNTIFS(Games[Team],Games[[#This Row],[Team]],Games[Season],Games[[#This Row],[Season]],Games[Date],"&lt;=" &amp; Games[[#This Row],[Date]])</f>
        <v>20</v>
      </c>
      <c r="D247" s="2" t="s">
        <v>79</v>
      </c>
      <c r="E247" s="2" t="s">
        <v>80</v>
      </c>
      <c r="F247" s="1" t="s">
        <v>63</v>
      </c>
      <c r="G247" s="1" t="s">
        <v>86</v>
      </c>
      <c r="H247" s="1" t="s">
        <v>82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8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7" s="2">
        <f>Games[[#This Row],[DaysOff]]-Games[[#This Row],[OppDaysOff]]</f>
        <v>7</v>
      </c>
      <c r="L247" s="2">
        <f>Games[[#This Row],[OppDaysOff]]-Games[[#This Row],[DaysOff]]</f>
        <v>-7</v>
      </c>
      <c r="M247" s="1">
        <f>MAX(-16, MIN(16, Games[[#This Row],[RestDiff]]*8))</f>
        <v>16</v>
      </c>
      <c r="N247" s="1">
        <f>MAX(-16, MIN(16, Games[[#This Row],[OppRestDiff]]*8))</f>
        <v>-16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1542.5077604752903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1584.8765345565587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0.60440544605366064</v>
      </c>
      <c r="R247" s="1">
        <v>76</v>
      </c>
      <c r="S247" s="1">
        <v>68</v>
      </c>
      <c r="T247" s="1">
        <v>0</v>
      </c>
      <c r="U247" s="1">
        <f>Games[[#This Row],[PointsFor]]-Games[[#This Row],[PointsAgainst]]</f>
        <v>8</v>
      </c>
      <c r="V247" s="1">
        <f>IF(Games[[#This Row],[MOV]]&gt;0,1,IF(Games[[#This Row],[MOV]]=0,0.5,0))</f>
        <v>1</v>
      </c>
      <c r="W247" s="4">
        <f>((ABS(Games[[#This Row],[MOV]])+5)^0.6)/(12+0.01*(ABS(Games[[#This Row],[PreGmRate]]-Games[[#This Row],[OppPreGmRate]])))*IF(Games[[#This Row],[OT]]=1,0.9,1)</f>
        <v>0.37507272536545982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73</v>
      </c>
      <c r="Z247" s="4">
        <f>Games[[#This Row],[K]]*Games[[#This Row],[POMult]]</f>
        <v>73</v>
      </c>
      <c r="AA247" s="4">
        <f>(Games[[#This Row],[Keff]]*Games[[#This Row],[MOVMult]])*(Games[[#This Row],[Result]]-Games[[#This Row],[ExpectedWin%]])</f>
        <v>10.831501106652246</v>
      </c>
      <c r="AB247" s="4">
        <f>Games[[#This Row],[PreGmRate]]+Games[[#This Row],[RatingChange]]</f>
        <v>1553.3392615819425</v>
      </c>
      <c r="AC247" s="2">
        <f>IF(Games[[#This Row],[Type]]="R",IF(Games[[#This Row],[Result]]&gt;0.5,1,0),0)</f>
        <v>1</v>
      </c>
      <c r="AD247" s="2">
        <f>IF(Games[[#This Row],[Type]]="R",IF(Games[[#This Row],[Result]]&lt;0.5,1,0),0)</f>
        <v>0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43679</v>
      </c>
      <c r="B248" s="2">
        <v>2019</v>
      </c>
      <c r="C248" s="2">
        <f>COUNTIFS(Games[Team],Games[[#This Row],[Team]],Games[Season],Games[[#This Row],[Season]],Games[Date],"&lt;=" &amp; Games[[#This Row],[Date]])</f>
        <v>20</v>
      </c>
      <c r="D248" s="2" t="s">
        <v>79</v>
      </c>
      <c r="E248" s="2" t="s">
        <v>80</v>
      </c>
      <c r="F248" s="1" t="s">
        <v>65</v>
      </c>
      <c r="G248" s="1" t="s">
        <v>71</v>
      </c>
      <c r="H248" s="1" t="s">
        <v>81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9</v>
      </c>
      <c r="K248" s="2">
        <f>Games[[#This Row],[DaysOff]]-Games[[#This Row],[OppDaysOff]]</f>
        <v>-7</v>
      </c>
      <c r="L248" s="2">
        <f>Games[[#This Row],[OppDaysOff]]-Games[[#This Row],[DaysOff]]</f>
        <v>7</v>
      </c>
      <c r="M248" s="1">
        <f>MAX(-16, MIN(16, Games[[#This Row],[RestDiff]]*8))</f>
        <v>-16</v>
      </c>
      <c r="N248" s="1">
        <f>MAX(-16, MIN(16, Games[[#This Row],[OppRestDiff]]*8))</f>
        <v>16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1616.8802765651049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1577.1469553390034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0.39197300832136156</v>
      </c>
      <c r="R248" s="1">
        <v>99</v>
      </c>
      <c r="S248" s="1">
        <v>79</v>
      </c>
      <c r="T248" s="1">
        <v>0</v>
      </c>
      <c r="U248" s="1">
        <f>Games[[#This Row],[PointsFor]]-Games[[#This Row],[PointsAgainst]]</f>
        <v>20</v>
      </c>
      <c r="V248" s="1">
        <f>IF(Games[[#This Row],[MOV]]&gt;0,1,IF(Games[[#This Row],[MOV]]=0,0.5,0))</f>
        <v>1</v>
      </c>
      <c r="W248" s="4">
        <f>((ABS(Games[[#This Row],[MOV]])+5)^0.6)/(12+0.01*(ABS(Games[[#This Row],[PreGmRate]]-Games[[#This Row],[OppPreGmRate]])))*IF(Games[[#This Row],[OT]]=1,0.9,1)</f>
        <v>0.55646228016871246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73</v>
      </c>
      <c r="Z248" s="4">
        <f>Games[[#This Row],[K]]*Games[[#This Row],[POMult]]</f>
        <v>73</v>
      </c>
      <c r="AA248" s="4">
        <f>(Games[[#This Row],[Keff]]*Games[[#This Row],[MOVMult]])*(Games[[#This Row],[Result]]-Games[[#This Row],[ExpectedWin%]])</f>
        <v>24.699118292134109</v>
      </c>
      <c r="AB248" s="4">
        <f>Games[[#This Row],[PreGmRate]]+Games[[#This Row],[RatingChange]]</f>
        <v>1641.5793948572389</v>
      </c>
      <c r="AC248" s="2">
        <f>IF(Games[[#This Row],[Type]]="R",IF(Games[[#This Row],[Result]]&gt;0.5,1,0),0)</f>
        <v>1</v>
      </c>
      <c r="AD248" s="2">
        <f>IF(Games[[#This Row],[Type]]="R",IF(Games[[#This Row],[Result]]&lt;0.5,1,0),0)</f>
        <v>0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43679</v>
      </c>
      <c r="B249" s="2">
        <v>2019</v>
      </c>
      <c r="C249" s="2">
        <f>COUNTIFS(Games[Team],Games[[#This Row],[Team]],Games[Season],Games[[#This Row],[Season]],Games[Date],"&lt;=" &amp; Games[[#This Row],[Date]])</f>
        <v>22</v>
      </c>
      <c r="D249" s="2" t="s">
        <v>79</v>
      </c>
      <c r="E249" s="2" t="s">
        <v>80</v>
      </c>
      <c r="F249" s="1" t="s">
        <v>71</v>
      </c>
      <c r="G249" s="1" t="s">
        <v>65</v>
      </c>
      <c r="H249" s="1" t="s">
        <v>82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9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9" s="2">
        <f>Games[[#This Row],[DaysOff]]-Games[[#This Row],[OppDaysOff]]</f>
        <v>7</v>
      </c>
      <c r="L249" s="2">
        <f>Games[[#This Row],[OppDaysOff]]-Games[[#This Row],[DaysOff]]</f>
        <v>-7</v>
      </c>
      <c r="M249" s="1">
        <f>MAX(-16, MIN(16, Games[[#This Row],[RestDiff]]*8))</f>
        <v>16</v>
      </c>
      <c r="N249" s="1">
        <f>MAX(-16, MIN(16, Games[[#This Row],[OppRestDiff]]*8))</f>
        <v>-16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1577.1469553390034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1616.8802765651049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0.6080269916786385</v>
      </c>
      <c r="R249" s="1">
        <v>79</v>
      </c>
      <c r="S249" s="1">
        <v>99</v>
      </c>
      <c r="T249" s="1">
        <v>0</v>
      </c>
      <c r="U249" s="1">
        <f>Games[[#This Row],[PointsFor]]-Games[[#This Row],[PointsAgainst]]</f>
        <v>-20</v>
      </c>
      <c r="V249" s="1">
        <f>IF(Games[[#This Row],[MOV]]&gt;0,1,IF(Games[[#This Row],[MOV]]=0,0.5,0))</f>
        <v>0</v>
      </c>
      <c r="W249" s="4">
        <f>((ABS(Games[[#This Row],[MOV]])+5)^0.6)/(12+0.01*(ABS(Games[[#This Row],[PreGmRate]]-Games[[#This Row],[OppPreGmRate]])))*IF(Games[[#This Row],[OT]]=1,0.9,1)</f>
        <v>0.55646228016871246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72.7</v>
      </c>
      <c r="Z249" s="4">
        <f>Games[[#This Row],[K]]*Games[[#This Row],[POMult]]</f>
        <v>72.7</v>
      </c>
      <c r="AA249" s="4">
        <f>(Games[[#This Row],[Keff]]*Games[[#This Row],[MOVMult]])*(Games[[#This Row],[Result]]-Games[[#This Row],[ExpectedWin%]])</f>
        <v>-24.597615066276024</v>
      </c>
      <c r="AB249" s="4">
        <f>Games[[#This Row],[PreGmRate]]+Games[[#This Row],[RatingChange]]</f>
        <v>1552.5493402727275</v>
      </c>
      <c r="AC249" s="2">
        <f>IF(Games[[#This Row],[Type]]="R",IF(Games[[#This Row],[Result]]&gt;0.5,1,0),0)</f>
        <v>0</v>
      </c>
      <c r="AD249" s="2">
        <f>IF(Games[[#This Row],[Type]]="R",IF(Games[[#This Row],[Result]]&lt;0.5,1,0),0)</f>
        <v>1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43680</v>
      </c>
      <c r="B250" s="2">
        <v>2019</v>
      </c>
      <c r="C250" s="2">
        <f>COUNTIFS(Games[Team],Games[[#This Row],[Team]],Games[Season],Games[[#This Row],[Season]],Games[Date],"&lt;=" &amp; Games[[#This Row],[Date]])</f>
        <v>21</v>
      </c>
      <c r="D250" s="2" t="s">
        <v>79</v>
      </c>
      <c r="E250" s="2" t="s">
        <v>80</v>
      </c>
      <c r="F250" s="1" t="s">
        <v>75</v>
      </c>
      <c r="G250" s="1" t="s">
        <v>77</v>
      </c>
      <c r="H250" s="1" t="s">
        <v>81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0" s="2">
        <f>Games[[#This Row],[DaysOff]]-Games[[#This Row],[OppDaysOff]]</f>
        <v>1</v>
      </c>
      <c r="L250" s="2">
        <f>Games[[#This Row],[OppDaysOff]]-Games[[#This Row],[DaysOff]]</f>
        <v>-1</v>
      </c>
      <c r="M250" s="1">
        <f>MAX(-16, MIN(16, Games[[#This Row],[RestDiff]]*8))</f>
        <v>8</v>
      </c>
      <c r="N250" s="1">
        <f>MAX(-16, MIN(16, Games[[#This Row],[OppRestDiff]]*8))</f>
        <v>-8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1492.9615399187376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1392.2304992704883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0.54696489738308685</v>
      </c>
      <c r="R250" s="1">
        <v>87</v>
      </c>
      <c r="S250" s="1">
        <v>75</v>
      </c>
      <c r="T250" s="1">
        <v>0</v>
      </c>
      <c r="U250" s="1">
        <f>Games[[#This Row],[PointsFor]]-Games[[#This Row],[PointsAgainst]]</f>
        <v>12</v>
      </c>
      <c r="V250" s="1">
        <f>IF(Games[[#This Row],[MOV]]&gt;0,1,IF(Games[[#This Row],[MOV]]=0,0.5,0))</f>
        <v>1</v>
      </c>
      <c r="W250" s="4">
        <f>((ABS(Games[[#This Row],[MOV]])+5)^0.6)/(12+0.01*(ABS(Games[[#This Row],[PreGmRate]]-Games[[#This Row],[OppPreGmRate]])))*IF(Games[[#This Row],[OT]]=1,0.9,1)</f>
        <v>0.42080592727229893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72.849999999999994</v>
      </c>
      <c r="Z250" s="4">
        <f>Games[[#This Row],[K]]*Games[[#This Row],[POMult]]</f>
        <v>72.849999999999994</v>
      </c>
      <c r="AA250" s="4">
        <f>(Games[[#This Row],[Keff]]*Games[[#This Row],[MOVMult]])*(Games[[#This Row],[Result]]-Games[[#This Row],[ExpectedWin%]])</f>
        <v>13.888113541917077</v>
      </c>
      <c r="AB250" s="4">
        <f>Games[[#This Row],[PreGmRate]]+Games[[#This Row],[RatingChange]]</f>
        <v>1506.8496534606547</v>
      </c>
      <c r="AC250" s="2">
        <f>IF(Games[[#This Row],[Type]]="R",IF(Games[[#This Row],[Result]]&gt;0.5,1,0),0)</f>
        <v>1</v>
      </c>
      <c r="AD250" s="2">
        <f>IF(Games[[#This Row],[Type]]="R",IF(Games[[#This Row],[Result]]&lt;0.5,1,0),0)</f>
        <v>0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43680</v>
      </c>
      <c r="B251" s="2">
        <v>2019</v>
      </c>
      <c r="C251" s="2">
        <f>COUNTIFS(Games[Team],Games[[#This Row],[Team]],Games[Season],Games[[#This Row],[Season]],Games[Date],"&lt;=" &amp; Games[[#This Row],[Date]])</f>
        <v>22</v>
      </c>
      <c r="D251" s="2" t="s">
        <v>79</v>
      </c>
      <c r="E251" s="2" t="s">
        <v>80</v>
      </c>
      <c r="F251" s="1" t="s">
        <v>77</v>
      </c>
      <c r="G251" s="1" t="s">
        <v>75</v>
      </c>
      <c r="H251" s="1" t="s">
        <v>82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51" s="2">
        <f>Games[[#This Row],[DaysOff]]-Games[[#This Row],[OppDaysOff]]</f>
        <v>-1</v>
      </c>
      <c r="L251" s="2">
        <f>Games[[#This Row],[OppDaysOff]]-Games[[#This Row],[DaysOff]]</f>
        <v>1</v>
      </c>
      <c r="M251" s="1">
        <f>MAX(-16, MIN(16, Games[[#This Row],[RestDiff]]*8))</f>
        <v>-8</v>
      </c>
      <c r="N251" s="1">
        <f>MAX(-16, MIN(16, Games[[#This Row],[OppRestDiff]]*8))</f>
        <v>8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1392.2304992704883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1492.9615399187376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0.4530351026169131</v>
      </c>
      <c r="R251" s="1">
        <v>75</v>
      </c>
      <c r="S251" s="1">
        <v>87</v>
      </c>
      <c r="T251" s="1">
        <v>0</v>
      </c>
      <c r="U251" s="1">
        <f>Games[[#This Row],[PointsFor]]-Games[[#This Row],[PointsAgainst]]</f>
        <v>-12</v>
      </c>
      <c r="V251" s="1">
        <f>IF(Games[[#This Row],[MOV]]&gt;0,1,IF(Games[[#This Row],[MOV]]=0,0.5,0))</f>
        <v>0</v>
      </c>
      <c r="W251" s="4">
        <f>((ABS(Games[[#This Row],[MOV]])+5)^0.6)/(12+0.01*(ABS(Games[[#This Row],[PreGmRate]]-Games[[#This Row],[OppPreGmRate]])))*IF(Games[[#This Row],[OT]]=1,0.9,1)</f>
        <v>0.42080592727229893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72.7</v>
      </c>
      <c r="Z251" s="4">
        <f>Games[[#This Row],[K]]*Games[[#This Row],[POMult]]</f>
        <v>72.7</v>
      </c>
      <c r="AA251" s="4">
        <f>(Games[[#This Row],[Keff]]*Games[[#This Row],[MOVMult]])*(Games[[#This Row],[Result]]-Games[[#This Row],[ExpectedWin%]])</f>
        <v>-13.859517563450536</v>
      </c>
      <c r="AB251" s="4">
        <f>Games[[#This Row],[PreGmRate]]+Games[[#This Row],[RatingChange]]</f>
        <v>1378.3709817070378</v>
      </c>
      <c r="AC251" s="2">
        <f>IF(Games[[#This Row],[Type]]="R",IF(Games[[#This Row],[Result]]&gt;0.5,1,0),0)</f>
        <v>0</v>
      </c>
      <c r="AD251" s="2">
        <f>IF(Games[[#This Row],[Type]]="R",IF(Games[[#This Row],[Result]]&lt;0.5,1,0),0)</f>
        <v>1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43680</v>
      </c>
      <c r="B252" s="2">
        <v>2019</v>
      </c>
      <c r="C252" s="2">
        <f>COUNTIFS(Games[Team],Games[[#This Row],[Team]],Games[Season],Games[[#This Row],[Season]],Games[Date],"&lt;=" &amp; Games[[#This Row],[Date]])</f>
        <v>22</v>
      </c>
      <c r="D252" s="2" t="s">
        <v>79</v>
      </c>
      <c r="E252" s="2" t="s">
        <v>80</v>
      </c>
      <c r="F252" s="1" t="s">
        <v>86</v>
      </c>
      <c r="G252" s="1" t="s">
        <v>85</v>
      </c>
      <c r="H252" s="1" t="s">
        <v>81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2" s="2">
        <f>Games[[#This Row],[DaysOff]]-Games[[#This Row],[OppDaysOff]]</f>
        <v>0</v>
      </c>
      <c r="L252" s="2">
        <f>Games[[#This Row],[OppDaysOff]]-Games[[#This Row],[DaysOff]]</f>
        <v>0</v>
      </c>
      <c r="M252" s="1">
        <f>MAX(-16, MIN(16, Games[[#This Row],[RestDiff]]*8))</f>
        <v>0</v>
      </c>
      <c r="N252" s="1">
        <f>MAX(-16, MIN(16, Games[[#This Row],[OppRestDiff]]*8))</f>
        <v>0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1574.0672899590297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1398.9937541329507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0.62814368651574037</v>
      </c>
      <c r="R252" s="1">
        <v>75</v>
      </c>
      <c r="S252" s="1">
        <v>70</v>
      </c>
      <c r="T252" s="1">
        <v>0</v>
      </c>
      <c r="U252" s="1">
        <f>Games[[#This Row],[PointsFor]]-Games[[#This Row],[PointsAgainst]]</f>
        <v>5</v>
      </c>
      <c r="V252" s="1">
        <f>IF(Games[[#This Row],[MOV]]&gt;0,1,IF(Games[[#This Row],[MOV]]=0,0.5,0))</f>
        <v>1</v>
      </c>
      <c r="W252" s="4">
        <f>((ABS(Games[[#This Row],[MOV]])+5)^0.6)/(12+0.01*(ABS(Games[[#This Row],[PreGmRate]]-Games[[#This Row],[OppPreGmRate]])))*IF(Games[[#This Row],[OT]]=1,0.9,1)</f>
        <v>0.28951700413195236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72.7</v>
      </c>
      <c r="Z252" s="4">
        <f>Games[[#This Row],[K]]*Games[[#This Row],[POMult]]</f>
        <v>72.7</v>
      </c>
      <c r="AA252" s="4">
        <f>(Games[[#This Row],[Keff]]*Games[[#This Row],[MOVMult]])*(Games[[#This Row],[Result]]-Games[[#This Row],[ExpectedWin%]])</f>
        <v>7.8267893691143389</v>
      </c>
      <c r="AB252" s="4">
        <f>Games[[#This Row],[PreGmRate]]+Games[[#This Row],[RatingChange]]</f>
        <v>1581.894079328144</v>
      </c>
      <c r="AC252" s="2">
        <f>IF(Games[[#This Row],[Type]]="R",IF(Games[[#This Row],[Result]]&gt;0.5,1,0),0)</f>
        <v>1</v>
      </c>
      <c r="AD252" s="2">
        <f>IF(Games[[#This Row],[Type]]="R",IF(Games[[#This Row],[Result]]&lt;0.5,1,0),0)</f>
        <v>0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43680</v>
      </c>
      <c r="B253" s="2">
        <v>2019</v>
      </c>
      <c r="C253" s="2">
        <f>COUNTIFS(Games[Team],Games[[#This Row],[Team]],Games[Season],Games[[#This Row],[Season]],Games[Date],"&lt;=" &amp; Games[[#This Row],[Date]])</f>
        <v>22</v>
      </c>
      <c r="D253" s="2" t="s">
        <v>79</v>
      </c>
      <c r="E253" s="2" t="s">
        <v>80</v>
      </c>
      <c r="F253" s="1" t="s">
        <v>85</v>
      </c>
      <c r="G253" s="1" t="s">
        <v>86</v>
      </c>
      <c r="H253" s="1" t="s">
        <v>82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3" s="2">
        <f>Games[[#This Row],[DaysOff]]-Games[[#This Row],[OppDaysOff]]</f>
        <v>0</v>
      </c>
      <c r="L253" s="2">
        <f>Games[[#This Row],[OppDaysOff]]-Games[[#This Row],[DaysOff]]</f>
        <v>0</v>
      </c>
      <c r="M253" s="1">
        <f>MAX(-16, MIN(16, Games[[#This Row],[RestDiff]]*8))</f>
        <v>0</v>
      </c>
      <c r="N253" s="1">
        <f>MAX(-16, MIN(16, Games[[#This Row],[OppRestDiff]]*8))</f>
        <v>0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1398.9937541329507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1574.0672899590297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0.37185631348425963</v>
      </c>
      <c r="R253" s="1">
        <v>70</v>
      </c>
      <c r="S253" s="1">
        <v>75</v>
      </c>
      <c r="T253" s="1">
        <v>0</v>
      </c>
      <c r="U253" s="1">
        <f>Games[[#This Row],[PointsFor]]-Games[[#This Row],[PointsAgainst]]</f>
        <v>-5</v>
      </c>
      <c r="V253" s="1">
        <f>IF(Games[[#This Row],[MOV]]&gt;0,1,IF(Games[[#This Row],[MOV]]=0,0.5,0))</f>
        <v>0</v>
      </c>
      <c r="W253" s="4">
        <f>((ABS(Games[[#This Row],[MOV]])+5)^0.6)/(12+0.01*(ABS(Games[[#This Row],[PreGmRate]]-Games[[#This Row],[OppPreGmRate]])))*IF(Games[[#This Row],[OT]]=1,0.9,1)</f>
        <v>0.28951700413195236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72.7</v>
      </c>
      <c r="Z253" s="4">
        <f>Games[[#This Row],[K]]*Games[[#This Row],[POMult]]</f>
        <v>72.7</v>
      </c>
      <c r="AA253" s="4">
        <f>(Games[[#This Row],[Keff]]*Games[[#This Row],[MOVMult]])*(Games[[#This Row],[Result]]-Games[[#This Row],[ExpectedWin%]])</f>
        <v>-7.8267893691143389</v>
      </c>
      <c r="AB253" s="4">
        <f>Games[[#This Row],[PreGmRate]]+Games[[#This Row],[RatingChange]]</f>
        <v>1391.1669647638364</v>
      </c>
      <c r="AC253" s="2">
        <f>IF(Games[[#This Row],[Type]]="R",IF(Games[[#This Row],[Result]]&gt;0.5,1,0),0)</f>
        <v>0</v>
      </c>
      <c r="AD253" s="2">
        <f>IF(Games[[#This Row],[Type]]="R",IF(Games[[#This Row],[Result]]&lt;0.5,1,0),0)</f>
        <v>1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43680</v>
      </c>
      <c r="B254" s="2">
        <v>2019</v>
      </c>
      <c r="C254" s="2">
        <f>COUNTIFS(Games[Team],Games[[#This Row],[Team]],Games[Season],Games[[#This Row],[Season]],Games[Date],"&lt;=" &amp; Games[[#This Row],[Date]])</f>
        <v>21</v>
      </c>
      <c r="D254" s="2" t="s">
        <v>79</v>
      </c>
      <c r="E254" s="2" t="s">
        <v>80</v>
      </c>
      <c r="F254" s="1" t="s">
        <v>67</v>
      </c>
      <c r="G254" s="1" t="s">
        <v>69</v>
      </c>
      <c r="H254" s="1" t="s">
        <v>81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9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4" s="2">
        <f>Games[[#This Row],[DaysOff]]-Games[[#This Row],[OppDaysOff]]</f>
        <v>7</v>
      </c>
      <c r="L254" s="2">
        <f>Games[[#This Row],[OppDaysOff]]-Games[[#This Row],[DaysOff]]</f>
        <v>-7</v>
      </c>
      <c r="M254" s="1">
        <f>MAX(-16, MIN(16, Games[[#This Row],[RestDiff]]*8))</f>
        <v>16</v>
      </c>
      <c r="N254" s="1">
        <f>MAX(-16, MIN(16, Games[[#This Row],[OppRestDiff]]*8))</f>
        <v>-16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1497.6449250436774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1383.4379320919875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0.58857854002177046</v>
      </c>
      <c r="R254" s="1">
        <v>75</v>
      </c>
      <c r="S254" s="1">
        <v>86</v>
      </c>
      <c r="T254" s="1">
        <v>0</v>
      </c>
      <c r="U254" s="1">
        <f>Games[[#This Row],[PointsFor]]-Games[[#This Row],[PointsAgainst]]</f>
        <v>-11</v>
      </c>
      <c r="V254" s="1">
        <f>IF(Games[[#This Row],[MOV]]&gt;0,1,IF(Games[[#This Row],[MOV]]=0,0.5,0))</f>
        <v>0</v>
      </c>
      <c r="W254" s="4">
        <f>((ABS(Games[[#This Row],[MOV]])+5)^0.6)/(12+0.01*(ABS(Games[[#This Row],[PreGmRate]]-Games[[#This Row],[OppPreGmRate]])))*IF(Games[[#This Row],[OT]]=1,0.9,1)</f>
        <v>0.40161341945359713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72.849999999999994</v>
      </c>
      <c r="Z254" s="4">
        <f>Games[[#This Row],[K]]*Games[[#This Row],[POMult]]</f>
        <v>72.849999999999994</v>
      </c>
      <c r="AA254" s="4">
        <f>(Games[[#This Row],[Keff]]*Games[[#This Row],[MOVMult]])*(Games[[#This Row],[Result]]-Games[[#This Row],[ExpectedWin%]])</f>
        <v>-17.220358769474611</v>
      </c>
      <c r="AB254" s="4">
        <f>Games[[#This Row],[PreGmRate]]+Games[[#This Row],[RatingChange]]</f>
        <v>1480.4245662742028</v>
      </c>
      <c r="AC254" s="2">
        <f>IF(Games[[#This Row],[Type]]="R",IF(Games[[#This Row],[Result]]&gt;0.5,1,0),0)</f>
        <v>0</v>
      </c>
      <c r="AD254" s="2">
        <f>IF(Games[[#This Row],[Type]]="R",IF(Games[[#This Row],[Result]]&lt;0.5,1,0),0)</f>
        <v>1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43680</v>
      </c>
      <c r="B255" s="2">
        <v>2019</v>
      </c>
      <c r="C255" s="2">
        <f>COUNTIFS(Games[Team],Games[[#This Row],[Team]],Games[Season],Games[[#This Row],[Season]],Games[Date],"&lt;=" &amp; Games[[#This Row],[Date]])</f>
        <v>23</v>
      </c>
      <c r="D255" s="2" t="s">
        <v>79</v>
      </c>
      <c r="E255" s="2" t="s">
        <v>80</v>
      </c>
      <c r="F255" s="1" t="s">
        <v>69</v>
      </c>
      <c r="G255" s="1" t="s">
        <v>67</v>
      </c>
      <c r="H255" s="1" t="s">
        <v>82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9</v>
      </c>
      <c r="K255" s="2">
        <f>Games[[#This Row],[DaysOff]]-Games[[#This Row],[OppDaysOff]]</f>
        <v>-7</v>
      </c>
      <c r="L255" s="2">
        <f>Games[[#This Row],[OppDaysOff]]-Games[[#This Row],[DaysOff]]</f>
        <v>7</v>
      </c>
      <c r="M255" s="1">
        <f>MAX(-16, MIN(16, Games[[#This Row],[RestDiff]]*8))</f>
        <v>-16</v>
      </c>
      <c r="N255" s="1">
        <f>MAX(-16, MIN(16, Games[[#This Row],[OppRestDiff]]*8))</f>
        <v>16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1383.4379320919875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1497.6449250436774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0.41142145997822954</v>
      </c>
      <c r="R255" s="1">
        <v>86</v>
      </c>
      <c r="S255" s="1">
        <v>75</v>
      </c>
      <c r="T255" s="1">
        <v>0</v>
      </c>
      <c r="U255" s="1">
        <f>Games[[#This Row],[PointsFor]]-Games[[#This Row],[PointsAgainst]]</f>
        <v>11</v>
      </c>
      <c r="V255" s="1">
        <f>IF(Games[[#This Row],[MOV]]&gt;0,1,IF(Games[[#This Row],[MOV]]=0,0.5,0))</f>
        <v>1</v>
      </c>
      <c r="W255" s="4">
        <f>((ABS(Games[[#This Row],[MOV]])+5)^0.6)/(12+0.01*(ABS(Games[[#This Row],[PreGmRate]]-Games[[#This Row],[OppPreGmRate]])))*IF(Games[[#This Row],[OT]]=1,0.9,1)</f>
        <v>0.40161341945359713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72.55</v>
      </c>
      <c r="Z255" s="4">
        <f>Games[[#This Row],[K]]*Games[[#This Row],[POMult]]</f>
        <v>72.55</v>
      </c>
      <c r="AA255" s="4">
        <f>(Games[[#This Row],[Keff]]*Games[[#This Row],[MOVMult]])*(Games[[#This Row],[Result]]-Games[[#This Row],[ExpectedWin%]])</f>
        <v>17.149444457452066</v>
      </c>
      <c r="AB255" s="4">
        <f>Games[[#This Row],[PreGmRate]]+Games[[#This Row],[RatingChange]]</f>
        <v>1400.5873765494396</v>
      </c>
      <c r="AC255" s="2">
        <f>IF(Games[[#This Row],[Type]]="R",IF(Games[[#This Row],[Result]]&gt;0.5,1,0),0)</f>
        <v>1</v>
      </c>
      <c r="AD255" s="2">
        <f>IF(Games[[#This Row],[Type]]="R",IF(Games[[#This Row],[Result]]&lt;0.5,1,0),0)</f>
        <v>0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43681</v>
      </c>
      <c r="B256" s="2">
        <v>2019</v>
      </c>
      <c r="C256" s="2">
        <f>COUNTIFS(Games[Team],Games[[#This Row],[Team]],Games[Season],Games[[#This Row],[Season]],Games[Date],"&lt;=" &amp; Games[[#This Row],[Date]])</f>
        <v>23</v>
      </c>
      <c r="D256" s="2" t="s">
        <v>79</v>
      </c>
      <c r="E256" s="2" t="s">
        <v>80</v>
      </c>
      <c r="F256" s="1" t="s">
        <v>71</v>
      </c>
      <c r="G256" s="1" t="s">
        <v>63</v>
      </c>
      <c r="H256" s="1" t="s">
        <v>81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6" s="2">
        <f>Games[[#This Row],[DaysOff]]-Games[[#This Row],[OppDaysOff]]</f>
        <v>-1</v>
      </c>
      <c r="L256" s="2">
        <f>Games[[#This Row],[OppDaysOff]]-Games[[#This Row],[DaysOff]]</f>
        <v>1</v>
      </c>
      <c r="M256" s="1">
        <f>MAX(-16, MIN(16, Games[[#This Row],[RestDiff]]*8))</f>
        <v>-8</v>
      </c>
      <c r="N256" s="1">
        <f>MAX(-16, MIN(16, Games[[#This Row],[OppRestDiff]]*8))</f>
        <v>8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1552.5493402727275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1553.3392615819425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0.35888808759955593</v>
      </c>
      <c r="R256" s="1">
        <v>75</v>
      </c>
      <c r="S256" s="1">
        <v>83</v>
      </c>
      <c r="T256" s="1">
        <v>0</v>
      </c>
      <c r="U256" s="1">
        <f>Games[[#This Row],[PointsFor]]-Games[[#This Row],[PointsAgainst]]</f>
        <v>-8</v>
      </c>
      <c r="V256" s="1">
        <f>IF(Games[[#This Row],[MOV]]&gt;0,1,IF(Games[[#This Row],[MOV]]=0,0.5,0))</f>
        <v>0</v>
      </c>
      <c r="W256" s="4">
        <f>((ABS(Games[[#This Row],[MOV]])+5)^0.6)/(12+0.01*(ABS(Games[[#This Row],[PreGmRate]]-Games[[#This Row],[OppPreGmRate]])))*IF(Games[[#This Row],[OT]]=1,0.9,1)</f>
        <v>0.38806008755932303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72.55</v>
      </c>
      <c r="Z256" s="4">
        <f>Games[[#This Row],[K]]*Games[[#This Row],[POMult]]</f>
        <v>72.55</v>
      </c>
      <c r="AA256" s="4">
        <f>(Games[[#This Row],[Keff]]*Games[[#This Row],[MOVMult]])*(Games[[#This Row],[Result]]-Games[[#This Row],[ExpectedWin%]])</f>
        <v>-10.104048852731315</v>
      </c>
      <c r="AB256" s="4">
        <f>Games[[#This Row],[PreGmRate]]+Games[[#This Row],[RatingChange]]</f>
        <v>1542.4452914199962</v>
      </c>
      <c r="AC256" s="2">
        <f>IF(Games[[#This Row],[Type]]="R",IF(Games[[#This Row],[Result]]&gt;0.5,1,0),0)</f>
        <v>0</v>
      </c>
      <c r="AD256" s="2">
        <f>IF(Games[[#This Row],[Type]]="R",IF(Games[[#This Row],[Result]]&lt;0.5,1,0),0)</f>
        <v>1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43681</v>
      </c>
      <c r="B257" s="2">
        <v>2019</v>
      </c>
      <c r="C257" s="2">
        <f>COUNTIFS(Games[Team],Games[[#This Row],[Team]],Games[Season],Games[[#This Row],[Season]],Games[Date],"&lt;=" &amp; Games[[#This Row],[Date]])</f>
        <v>21</v>
      </c>
      <c r="D257" s="2" t="s">
        <v>79</v>
      </c>
      <c r="E257" s="2" t="s">
        <v>80</v>
      </c>
      <c r="F257" s="1" t="s">
        <v>63</v>
      </c>
      <c r="G257" s="1" t="s">
        <v>71</v>
      </c>
      <c r="H257" s="1" t="s">
        <v>82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7" s="2">
        <f>Games[[#This Row],[DaysOff]]-Games[[#This Row],[OppDaysOff]]</f>
        <v>1</v>
      </c>
      <c r="L257" s="2">
        <f>Games[[#This Row],[OppDaysOff]]-Games[[#This Row],[DaysOff]]</f>
        <v>-1</v>
      </c>
      <c r="M257" s="1">
        <f>MAX(-16, MIN(16, Games[[#This Row],[RestDiff]]*8))</f>
        <v>8</v>
      </c>
      <c r="N257" s="1">
        <f>MAX(-16, MIN(16, Games[[#This Row],[OppRestDiff]]*8))</f>
        <v>-8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1553.3392615819425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1552.5493402727275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0.64111191240044407</v>
      </c>
      <c r="R257" s="1">
        <v>83</v>
      </c>
      <c r="S257" s="1">
        <v>75</v>
      </c>
      <c r="T257" s="1">
        <v>0</v>
      </c>
      <c r="U257" s="1">
        <f>Games[[#This Row],[PointsFor]]-Games[[#This Row],[PointsAgainst]]</f>
        <v>8</v>
      </c>
      <c r="V257" s="1">
        <f>IF(Games[[#This Row],[MOV]]&gt;0,1,IF(Games[[#This Row],[MOV]]=0,0.5,0))</f>
        <v>1</v>
      </c>
      <c r="W257" s="4">
        <f>((ABS(Games[[#This Row],[MOV]])+5)^0.6)/(12+0.01*(ABS(Games[[#This Row],[PreGmRate]]-Games[[#This Row],[OppPreGmRate]])))*IF(Games[[#This Row],[OT]]=1,0.9,1)</f>
        <v>0.38806008755932303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72.849999999999994</v>
      </c>
      <c r="Z257" s="4">
        <f>Games[[#This Row],[K]]*Games[[#This Row],[POMult]]</f>
        <v>72.849999999999994</v>
      </c>
      <c r="AA257" s="4">
        <f>(Games[[#This Row],[Keff]]*Games[[#This Row],[MOVMult]])*(Games[[#This Row],[Result]]-Games[[#This Row],[ExpectedWin%]])</f>
        <v>10.145829895540679</v>
      </c>
      <c r="AB257" s="4">
        <f>Games[[#This Row],[PreGmRate]]+Games[[#This Row],[RatingChange]]</f>
        <v>1563.4850914774831</v>
      </c>
      <c r="AC257" s="2">
        <f>IF(Games[[#This Row],[Type]]="R",IF(Games[[#This Row],[Result]]&gt;0.5,1,0),0)</f>
        <v>1</v>
      </c>
      <c r="AD257" s="2">
        <f>IF(Games[[#This Row],[Type]]="R",IF(Games[[#This Row],[Result]]&lt;0.5,1,0),0)</f>
        <v>0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43681</v>
      </c>
      <c r="B258" s="2">
        <v>2019</v>
      </c>
      <c r="C258" s="2">
        <f>COUNTIFS(Games[Team],Games[[#This Row],[Team]],Games[Season],Games[[#This Row],[Season]],Games[Date],"&lt;=" &amp; Games[[#This Row],[Date]])</f>
        <v>22</v>
      </c>
      <c r="D258" s="2" t="s">
        <v>79</v>
      </c>
      <c r="E258" s="2" t="s">
        <v>80</v>
      </c>
      <c r="F258" s="1" t="s">
        <v>74</v>
      </c>
      <c r="G258" s="1" t="s">
        <v>60</v>
      </c>
      <c r="H258" s="1" t="s">
        <v>81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8" s="2">
        <f>Games[[#This Row],[DaysOff]]-Games[[#This Row],[OppDaysOff]]</f>
        <v>0</v>
      </c>
      <c r="L258" s="2">
        <f>Games[[#This Row],[OppDaysOff]]-Games[[#This Row],[DaysOff]]</f>
        <v>0</v>
      </c>
      <c r="M258" s="1">
        <f>MAX(-16, MIN(16, Games[[#This Row],[RestDiff]]*8))</f>
        <v>0</v>
      </c>
      <c r="N258" s="1">
        <f>MAX(-16, MIN(16, Games[[#This Row],[OppRestDiff]]*8))</f>
        <v>0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1601.8535148426904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1389.1276280654756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0.67721575126860711</v>
      </c>
      <c r="R258" s="1">
        <v>94</v>
      </c>
      <c r="S258" s="1">
        <v>79</v>
      </c>
      <c r="T258" s="1">
        <v>0</v>
      </c>
      <c r="U258" s="1">
        <f>Games[[#This Row],[PointsFor]]-Games[[#This Row],[PointsAgainst]]</f>
        <v>15</v>
      </c>
      <c r="V258" s="1">
        <f>IF(Games[[#This Row],[MOV]]&gt;0,1,IF(Games[[#This Row],[MOV]]=0,0.5,0))</f>
        <v>1</v>
      </c>
      <c r="W258" s="4">
        <f>((ABS(Games[[#This Row],[MOV]])+5)^0.6)/(12+0.01*(ABS(Games[[#This Row],[PreGmRate]]-Games[[#This Row],[OppPreGmRate]])))*IF(Games[[#This Row],[OT]]=1,0.9,1)</f>
        <v>0.42713001814602863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72.7</v>
      </c>
      <c r="Z258" s="4">
        <f>Games[[#This Row],[K]]*Games[[#This Row],[POMult]]</f>
        <v>72.7</v>
      </c>
      <c r="AA258" s="4">
        <f>(Games[[#This Row],[Keff]]*Games[[#This Row],[MOVMult]])*(Games[[#This Row],[Result]]-Games[[#This Row],[ExpectedWin%]])</f>
        <v>10.023210214700754</v>
      </c>
      <c r="AB258" s="4">
        <f>Games[[#This Row],[PreGmRate]]+Games[[#This Row],[RatingChange]]</f>
        <v>1611.8767250573912</v>
      </c>
      <c r="AC258" s="2">
        <f>IF(Games[[#This Row],[Type]]="R",IF(Games[[#This Row],[Result]]&gt;0.5,1,0),0)</f>
        <v>1</v>
      </c>
      <c r="AD258" s="2">
        <f>IF(Games[[#This Row],[Type]]="R",IF(Games[[#This Row],[Result]]&lt;0.5,1,0),0)</f>
        <v>0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43681</v>
      </c>
      <c r="B259" s="2">
        <v>2019</v>
      </c>
      <c r="C259" s="2">
        <f>COUNTIFS(Games[Team],Games[[#This Row],[Team]],Games[Season],Games[[#This Row],[Season]],Games[Date],"&lt;=" &amp; Games[[#This Row],[Date]])</f>
        <v>21</v>
      </c>
      <c r="D259" s="2" t="s">
        <v>79</v>
      </c>
      <c r="E259" s="2" t="s">
        <v>80</v>
      </c>
      <c r="F259" s="1" t="s">
        <v>60</v>
      </c>
      <c r="G259" s="1" t="s">
        <v>74</v>
      </c>
      <c r="H259" s="1" t="s">
        <v>82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9" s="2">
        <f>Games[[#This Row],[DaysOff]]-Games[[#This Row],[OppDaysOff]]</f>
        <v>0</v>
      </c>
      <c r="L259" s="2">
        <f>Games[[#This Row],[OppDaysOff]]-Games[[#This Row],[DaysOff]]</f>
        <v>0</v>
      </c>
      <c r="M259" s="1">
        <f>MAX(-16, MIN(16, Games[[#This Row],[RestDiff]]*8))</f>
        <v>0</v>
      </c>
      <c r="N259" s="1">
        <f>MAX(-16, MIN(16, Games[[#This Row],[OppRestDiff]]*8))</f>
        <v>0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1389.1276280654756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1601.8535148426904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0.32278424873139294</v>
      </c>
      <c r="R259" s="1">
        <v>79</v>
      </c>
      <c r="S259" s="1">
        <v>94</v>
      </c>
      <c r="T259" s="1">
        <v>0</v>
      </c>
      <c r="U259" s="1">
        <f>Games[[#This Row],[PointsFor]]-Games[[#This Row],[PointsAgainst]]</f>
        <v>-15</v>
      </c>
      <c r="V259" s="1">
        <f>IF(Games[[#This Row],[MOV]]&gt;0,1,IF(Games[[#This Row],[MOV]]=0,0.5,0))</f>
        <v>0</v>
      </c>
      <c r="W259" s="4">
        <f>((ABS(Games[[#This Row],[MOV]])+5)^0.6)/(12+0.01*(ABS(Games[[#This Row],[PreGmRate]]-Games[[#This Row],[OppPreGmRate]])))*IF(Games[[#This Row],[OT]]=1,0.9,1)</f>
        <v>0.42713001814602863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72.849999999999994</v>
      </c>
      <c r="Z259" s="4">
        <f>Games[[#This Row],[K]]*Games[[#This Row],[POMult]]</f>
        <v>72.849999999999994</v>
      </c>
      <c r="AA259" s="4">
        <f>(Games[[#This Row],[Keff]]*Games[[#This Row],[MOVMult]])*(Games[[#This Row],[Result]]-Games[[#This Row],[ExpectedWin%]])</f>
        <v>-10.043890841003437</v>
      </c>
      <c r="AB259" s="4">
        <f>Games[[#This Row],[PreGmRate]]+Games[[#This Row],[RatingChange]]</f>
        <v>1379.0837372244721</v>
      </c>
      <c r="AC259" s="2">
        <f>IF(Games[[#This Row],[Type]]="R",IF(Games[[#This Row],[Result]]&gt;0.5,1,0),0)</f>
        <v>0</v>
      </c>
      <c r="AD259" s="2">
        <f>IF(Games[[#This Row],[Type]]="R",IF(Games[[#This Row],[Result]]&lt;0.5,1,0),0)</f>
        <v>1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43681</v>
      </c>
      <c r="B260" s="2">
        <v>2019</v>
      </c>
      <c r="C260" s="2">
        <f>COUNTIFS(Games[Team],Games[[#This Row],[Team]],Games[Season],Games[[#This Row],[Season]],Games[Date],"&lt;=" &amp; Games[[#This Row],[Date]])</f>
        <v>21</v>
      </c>
      <c r="D260" s="2" t="s">
        <v>79</v>
      </c>
      <c r="E260" s="2" t="s">
        <v>80</v>
      </c>
      <c r="F260" s="1" t="s">
        <v>65</v>
      </c>
      <c r="G260" s="1" t="s">
        <v>40</v>
      </c>
      <c r="H260" s="1" t="s">
        <v>81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0" s="2">
        <f>Games[[#This Row],[DaysOff]]-Games[[#This Row],[OppDaysOff]]</f>
        <v>-1</v>
      </c>
      <c r="L260" s="2">
        <f>Games[[#This Row],[OppDaysOff]]-Games[[#This Row],[DaysOff]]</f>
        <v>1</v>
      </c>
      <c r="M260" s="1">
        <f>MAX(-16, MIN(16, Games[[#This Row],[RestDiff]]*8))</f>
        <v>-8</v>
      </c>
      <c r="N260" s="1">
        <f>MAX(-16, MIN(16, Games[[#This Row],[OppRestDiff]]*8))</f>
        <v>8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1641.5793948572389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1522.7726809204582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0.52703863381415073</v>
      </c>
      <c r="R260" s="1">
        <v>82</v>
      </c>
      <c r="S260" s="1">
        <v>103</v>
      </c>
      <c r="T260" s="1">
        <v>0</v>
      </c>
      <c r="U260" s="1">
        <f>Games[[#This Row],[PointsFor]]-Games[[#This Row],[PointsAgainst]]</f>
        <v>-21</v>
      </c>
      <c r="V260" s="1">
        <f>IF(Games[[#This Row],[MOV]]&gt;0,1,IF(Games[[#This Row],[MOV]]=0,0.5,0))</f>
        <v>0</v>
      </c>
      <c r="W260" s="4">
        <f>((ABS(Games[[#This Row],[MOV]])+5)^0.6)/(12+0.01*(ABS(Games[[#This Row],[PreGmRate]]-Games[[#This Row],[OppPreGmRate]])))*IF(Games[[#This Row],[OT]]=1,0.9,1)</f>
        <v>0.53555349685514408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72.849999999999994</v>
      </c>
      <c r="Z260" s="4">
        <f>Games[[#This Row],[K]]*Games[[#This Row],[POMult]]</f>
        <v>72.849999999999994</v>
      </c>
      <c r="AA260" s="4">
        <f>(Games[[#This Row],[Keff]]*Games[[#This Row],[MOVMult]])*(Games[[#This Row],[Result]]-Games[[#This Row],[ExpectedWin%]])</f>
        <v>-20.562450374638072</v>
      </c>
      <c r="AB260" s="4">
        <f>Games[[#This Row],[PreGmRate]]+Games[[#This Row],[RatingChange]]</f>
        <v>1621.0169444826008</v>
      </c>
      <c r="AC260" s="2">
        <f>IF(Games[[#This Row],[Type]]="R",IF(Games[[#This Row],[Result]]&gt;0.5,1,0),0)</f>
        <v>0</v>
      </c>
      <c r="AD260" s="2">
        <f>IF(Games[[#This Row],[Type]]="R",IF(Games[[#This Row],[Result]]&lt;0.5,1,0),0)</f>
        <v>1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43681</v>
      </c>
      <c r="B261" s="2">
        <v>2019</v>
      </c>
      <c r="C261" s="2">
        <f>COUNTIFS(Games[Team],Games[[#This Row],[Team]],Games[Season],Games[[#This Row],[Season]],Games[Date],"&lt;=" &amp; Games[[#This Row],[Date]])</f>
        <v>21</v>
      </c>
      <c r="D261" s="2" t="s">
        <v>79</v>
      </c>
      <c r="E261" s="2" t="s">
        <v>80</v>
      </c>
      <c r="F261" s="1" t="s">
        <v>40</v>
      </c>
      <c r="G261" s="1" t="s">
        <v>65</v>
      </c>
      <c r="H261" s="1" t="s">
        <v>82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1" s="2">
        <f>Games[[#This Row],[DaysOff]]-Games[[#This Row],[OppDaysOff]]</f>
        <v>1</v>
      </c>
      <c r="L261" s="2">
        <f>Games[[#This Row],[OppDaysOff]]-Games[[#This Row],[DaysOff]]</f>
        <v>-1</v>
      </c>
      <c r="M261" s="1">
        <f>MAX(-16, MIN(16, Games[[#This Row],[RestDiff]]*8))</f>
        <v>8</v>
      </c>
      <c r="N261" s="1">
        <f>MAX(-16, MIN(16, Games[[#This Row],[OppRestDiff]]*8))</f>
        <v>-8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1522.7726809204582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1641.5793948572389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0.47296136618584927</v>
      </c>
      <c r="R261" s="1">
        <v>103</v>
      </c>
      <c r="S261" s="1">
        <v>82</v>
      </c>
      <c r="T261" s="1">
        <v>0</v>
      </c>
      <c r="U261" s="1">
        <f>Games[[#This Row],[PointsFor]]-Games[[#This Row],[PointsAgainst]]</f>
        <v>21</v>
      </c>
      <c r="V261" s="1">
        <f>IF(Games[[#This Row],[MOV]]&gt;0,1,IF(Games[[#This Row],[MOV]]=0,0.5,0))</f>
        <v>1</v>
      </c>
      <c r="W261" s="4">
        <f>((ABS(Games[[#This Row],[MOV]])+5)^0.6)/(12+0.01*(ABS(Games[[#This Row],[PreGmRate]]-Games[[#This Row],[OppPreGmRate]])))*IF(Games[[#This Row],[OT]]=1,0.9,1)</f>
        <v>0.53555349685514408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72.849999999999994</v>
      </c>
      <c r="Z261" s="4">
        <f>Games[[#This Row],[K]]*Games[[#This Row],[POMult]]</f>
        <v>72.849999999999994</v>
      </c>
      <c r="AA261" s="4">
        <f>(Games[[#This Row],[Keff]]*Games[[#This Row],[MOVMult]])*(Games[[#This Row],[Result]]-Games[[#This Row],[ExpectedWin%]])</f>
        <v>20.562450374638072</v>
      </c>
      <c r="AB261" s="4">
        <f>Games[[#This Row],[PreGmRate]]+Games[[#This Row],[RatingChange]]</f>
        <v>1543.3351312950963</v>
      </c>
      <c r="AC261" s="2">
        <f>IF(Games[[#This Row],[Type]]="R",IF(Games[[#This Row],[Result]]&gt;0.5,1,0),0)</f>
        <v>1</v>
      </c>
      <c r="AD261" s="2">
        <f>IF(Games[[#This Row],[Type]]="R",IF(Games[[#This Row],[Result]]&lt;0.5,1,0),0)</f>
        <v>0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43682</v>
      </c>
      <c r="B262" s="2">
        <v>2019</v>
      </c>
      <c r="C262" s="2">
        <f>COUNTIFS(Games[Team],Games[[#This Row],[Team]],Games[Season],Games[[#This Row],[Season]],Games[Date],"&lt;=" &amp; Games[[#This Row],[Date]])</f>
        <v>22</v>
      </c>
      <c r="D262" s="2" t="s">
        <v>79</v>
      </c>
      <c r="E262" s="2" t="s">
        <v>80</v>
      </c>
      <c r="F262" s="1" t="s">
        <v>65</v>
      </c>
      <c r="G262" s="1" t="s">
        <v>86</v>
      </c>
      <c r="H262" s="1" t="s">
        <v>81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2" s="2">
        <f>Games[[#This Row],[DaysOff]]-Games[[#This Row],[OppDaysOff]]</f>
        <v>-1</v>
      </c>
      <c r="L262" s="2">
        <f>Games[[#This Row],[OppDaysOff]]-Games[[#This Row],[DaysOff]]</f>
        <v>1</v>
      </c>
      <c r="M262" s="1">
        <f>MAX(-16, MIN(16, Games[[#This Row],[RestDiff]]*8))</f>
        <v>-8</v>
      </c>
      <c r="N262" s="1">
        <f>MAX(-16, MIN(16, Games[[#This Row],[OppRestDiff]]*8))</f>
        <v>8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1621.0169444826008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1581.894079328144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0.41327646391819539</v>
      </c>
      <c r="R262" s="1">
        <v>99</v>
      </c>
      <c r="S262" s="1">
        <v>70</v>
      </c>
      <c r="T262" s="1">
        <v>0</v>
      </c>
      <c r="U262" s="1">
        <f>Games[[#This Row],[PointsFor]]-Games[[#This Row],[PointsAgainst]]</f>
        <v>29</v>
      </c>
      <c r="V262" s="1">
        <f>IF(Games[[#This Row],[MOV]]&gt;0,1,IF(Games[[#This Row],[MOV]]=0,0.5,0))</f>
        <v>1</v>
      </c>
      <c r="W262" s="4">
        <f>((ABS(Games[[#This Row],[MOV]])+5)^0.6)/(12+0.01*(ABS(Games[[#This Row],[PreGmRate]]-Games[[#This Row],[OppPreGmRate]])))*IF(Games[[#This Row],[OT]]=1,0.9,1)</f>
        <v>0.66953452909588185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72.7</v>
      </c>
      <c r="Z262" s="4">
        <f>Games[[#This Row],[K]]*Games[[#This Row],[POMult]]</f>
        <v>72.7</v>
      </c>
      <c r="AA262" s="4">
        <f>(Games[[#This Row],[Keff]]*Games[[#This Row],[MOVMult]])*(Games[[#This Row],[Result]]-Games[[#This Row],[ExpectedWin%]])</f>
        <v>28.558862150188123</v>
      </c>
      <c r="AB262" s="4">
        <f>Games[[#This Row],[PreGmRate]]+Games[[#This Row],[RatingChange]]</f>
        <v>1649.575806632789</v>
      </c>
      <c r="AC262" s="2">
        <f>IF(Games[[#This Row],[Type]]="R",IF(Games[[#This Row],[Result]]&gt;0.5,1,0),0)</f>
        <v>1</v>
      </c>
      <c r="AD262" s="2">
        <f>IF(Games[[#This Row],[Type]]="R",IF(Games[[#This Row],[Result]]&lt;0.5,1,0),0)</f>
        <v>0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43682</v>
      </c>
      <c r="B263" s="2">
        <v>2019</v>
      </c>
      <c r="C263" s="2">
        <f>COUNTIFS(Games[Team],Games[[#This Row],[Team]],Games[Season],Games[[#This Row],[Season]],Games[Date],"&lt;=" &amp; Games[[#This Row],[Date]])</f>
        <v>23</v>
      </c>
      <c r="D263" s="2" t="s">
        <v>79</v>
      </c>
      <c r="E263" s="2" t="s">
        <v>80</v>
      </c>
      <c r="F263" s="1" t="s">
        <v>86</v>
      </c>
      <c r="G263" s="1" t="s">
        <v>65</v>
      </c>
      <c r="H263" s="1" t="s">
        <v>82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3" s="2">
        <f>Games[[#This Row],[DaysOff]]-Games[[#This Row],[OppDaysOff]]</f>
        <v>1</v>
      </c>
      <c r="L263" s="2">
        <f>Games[[#This Row],[OppDaysOff]]-Games[[#This Row],[DaysOff]]</f>
        <v>-1</v>
      </c>
      <c r="M263" s="1">
        <f>MAX(-16, MIN(16, Games[[#This Row],[RestDiff]]*8))</f>
        <v>8</v>
      </c>
      <c r="N263" s="1">
        <f>MAX(-16, MIN(16, Games[[#This Row],[OppRestDiff]]*8))</f>
        <v>-8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1581.894079328144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1621.0169444826008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0.58672353608180461</v>
      </c>
      <c r="R263" s="1">
        <v>70</v>
      </c>
      <c r="S263" s="1">
        <v>99</v>
      </c>
      <c r="T263" s="1">
        <v>0</v>
      </c>
      <c r="U263" s="1">
        <f>Games[[#This Row],[PointsFor]]-Games[[#This Row],[PointsAgainst]]</f>
        <v>-29</v>
      </c>
      <c r="V263" s="1">
        <f>IF(Games[[#This Row],[MOV]]&gt;0,1,IF(Games[[#This Row],[MOV]]=0,0.5,0))</f>
        <v>0</v>
      </c>
      <c r="W263" s="4">
        <f>((ABS(Games[[#This Row],[MOV]])+5)^0.6)/(12+0.01*(ABS(Games[[#This Row],[PreGmRate]]-Games[[#This Row],[OppPreGmRate]])))*IF(Games[[#This Row],[OT]]=1,0.9,1)</f>
        <v>0.66953452909588185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72.55</v>
      </c>
      <c r="Z263" s="4">
        <f>Games[[#This Row],[K]]*Games[[#This Row],[POMult]]</f>
        <v>72.55</v>
      </c>
      <c r="AA263" s="4">
        <f>(Games[[#This Row],[Keff]]*Games[[#This Row],[MOVMult]])*(Games[[#This Row],[Result]]-Games[[#This Row],[ExpectedWin%]])</f>
        <v>-28.49993740022212</v>
      </c>
      <c r="AB263" s="4">
        <f>Games[[#This Row],[PreGmRate]]+Games[[#This Row],[RatingChange]]</f>
        <v>1553.394141927922</v>
      </c>
      <c r="AC263" s="2">
        <f>IF(Games[[#This Row],[Type]]="R",IF(Games[[#This Row],[Result]]&gt;0.5,1,0),0)</f>
        <v>0</v>
      </c>
      <c r="AD263" s="2">
        <f>IF(Games[[#This Row],[Type]]="R",IF(Games[[#This Row],[Result]]&lt;0.5,1,0),0)</f>
        <v>1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43683</v>
      </c>
      <c r="B264" s="2">
        <v>2019</v>
      </c>
      <c r="C264" s="2">
        <f>COUNTIFS(Games[Team],Games[[#This Row],[Team]],Games[Season],Games[[#This Row],[Season]],Games[Date],"&lt;=" &amp; Games[[#This Row],[Date]])</f>
        <v>22</v>
      </c>
      <c r="D264" s="2" t="s">
        <v>79</v>
      </c>
      <c r="E264" s="2" t="s">
        <v>80</v>
      </c>
      <c r="F264" s="1" t="s">
        <v>67</v>
      </c>
      <c r="G264" s="1" t="s">
        <v>77</v>
      </c>
      <c r="H264" s="1" t="s">
        <v>81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4" s="2">
        <f>Games[[#This Row],[DaysOff]]-Games[[#This Row],[OppDaysOff]]</f>
        <v>0</v>
      </c>
      <c r="L264" s="2">
        <f>Games[[#This Row],[OppDaysOff]]-Games[[#This Row],[DaysOff]]</f>
        <v>0</v>
      </c>
      <c r="M264" s="1">
        <f>MAX(-16, MIN(16, Games[[#This Row],[RestDiff]]*8))</f>
        <v>0</v>
      </c>
      <c r="N264" s="1">
        <f>MAX(-16, MIN(16, Games[[#This Row],[OppRestDiff]]*8))</f>
        <v>0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1480.4245662742028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1378.3709817070378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0.52595783805573437</v>
      </c>
      <c r="R264" s="1">
        <v>85</v>
      </c>
      <c r="S264" s="1">
        <v>69</v>
      </c>
      <c r="T264" s="1">
        <v>0</v>
      </c>
      <c r="U264" s="1">
        <f>Games[[#This Row],[PointsFor]]-Games[[#This Row],[PointsAgainst]]</f>
        <v>16</v>
      </c>
      <c r="V264" s="1">
        <f>IF(Games[[#This Row],[MOV]]&gt;0,1,IF(Games[[#This Row],[MOV]]=0,0.5,0))</f>
        <v>1</v>
      </c>
      <c r="W264" s="4">
        <f>((ABS(Games[[#This Row],[MOV]])+5)^0.6)/(12+0.01*(ABS(Games[[#This Row],[PreGmRate]]-Games[[#This Row],[OppPreGmRate]])))*IF(Games[[#This Row],[OT]]=1,0.9,1)</f>
        <v>0.47720251002006508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72.7</v>
      </c>
      <c r="Z264" s="4">
        <f>Games[[#This Row],[K]]*Games[[#This Row],[POMult]]</f>
        <v>72.7</v>
      </c>
      <c r="AA264" s="4">
        <f>(Games[[#This Row],[Keff]]*Games[[#This Row],[MOVMult]])*(Games[[#This Row],[Result]]-Games[[#This Row],[ExpectedWin%]])</f>
        <v>16.445765763204804</v>
      </c>
      <c r="AB264" s="4">
        <f>Games[[#This Row],[PreGmRate]]+Games[[#This Row],[RatingChange]]</f>
        <v>1496.8703320374075</v>
      </c>
      <c r="AC264" s="2">
        <f>IF(Games[[#This Row],[Type]]="R",IF(Games[[#This Row],[Result]]&gt;0.5,1,0),0)</f>
        <v>1</v>
      </c>
      <c r="AD264" s="2">
        <f>IF(Games[[#This Row],[Type]]="R",IF(Games[[#This Row],[Result]]&lt;0.5,1,0),0)</f>
        <v>0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43683</v>
      </c>
      <c r="B265" s="2">
        <v>2019</v>
      </c>
      <c r="C265" s="2">
        <f>COUNTIFS(Games[Team],Games[[#This Row],[Team]],Games[Season],Games[[#This Row],[Season]],Games[Date],"&lt;=" &amp; Games[[#This Row],[Date]])</f>
        <v>23</v>
      </c>
      <c r="D265" s="2" t="s">
        <v>79</v>
      </c>
      <c r="E265" s="2" t="s">
        <v>80</v>
      </c>
      <c r="F265" s="1" t="s">
        <v>77</v>
      </c>
      <c r="G265" s="1" t="s">
        <v>67</v>
      </c>
      <c r="H265" s="1" t="s">
        <v>82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5" s="2">
        <f>Games[[#This Row],[DaysOff]]-Games[[#This Row],[OppDaysOff]]</f>
        <v>0</v>
      </c>
      <c r="L265" s="2">
        <f>Games[[#This Row],[OppDaysOff]]-Games[[#This Row],[DaysOff]]</f>
        <v>0</v>
      </c>
      <c r="M265" s="1">
        <f>MAX(-16, MIN(16, Games[[#This Row],[RestDiff]]*8))</f>
        <v>0</v>
      </c>
      <c r="N265" s="1">
        <f>MAX(-16, MIN(16, Games[[#This Row],[OppRestDiff]]*8))</f>
        <v>0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1378.3709817070378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1480.4245662742028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0.47404216194426568</v>
      </c>
      <c r="R265" s="1">
        <v>69</v>
      </c>
      <c r="S265" s="1">
        <v>85</v>
      </c>
      <c r="T265" s="1">
        <v>0</v>
      </c>
      <c r="U265" s="1">
        <f>Games[[#This Row],[PointsFor]]-Games[[#This Row],[PointsAgainst]]</f>
        <v>-16</v>
      </c>
      <c r="V265" s="1">
        <f>IF(Games[[#This Row],[MOV]]&gt;0,1,IF(Games[[#This Row],[MOV]]=0,0.5,0))</f>
        <v>0</v>
      </c>
      <c r="W265" s="4">
        <f>((ABS(Games[[#This Row],[MOV]])+5)^0.6)/(12+0.01*(ABS(Games[[#This Row],[PreGmRate]]-Games[[#This Row],[OppPreGmRate]])))*IF(Games[[#This Row],[OT]]=1,0.9,1)</f>
        <v>0.47720251002006508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72.55</v>
      </c>
      <c r="Z265" s="4">
        <f>Games[[#This Row],[K]]*Games[[#This Row],[POMult]]</f>
        <v>72.55</v>
      </c>
      <c r="AA265" s="4">
        <f>(Games[[#This Row],[Keff]]*Games[[#This Row],[MOVMult]])*(Games[[#This Row],[Result]]-Games[[#This Row],[ExpectedWin%]])</f>
        <v>-16.411833646774536</v>
      </c>
      <c r="AB265" s="4">
        <f>Games[[#This Row],[PreGmRate]]+Games[[#This Row],[RatingChange]]</f>
        <v>1361.9591480602633</v>
      </c>
      <c r="AC265" s="2">
        <f>IF(Games[[#This Row],[Type]]="R",IF(Games[[#This Row],[Result]]&gt;0.5,1,0),0)</f>
        <v>0</v>
      </c>
      <c r="AD265" s="2">
        <f>IF(Games[[#This Row],[Type]]="R",IF(Games[[#This Row],[Result]]&lt;0.5,1,0),0)</f>
        <v>1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43684</v>
      </c>
      <c r="B266" s="2">
        <v>2019</v>
      </c>
      <c r="C266" s="2">
        <f>COUNTIFS(Games[Team],Games[[#This Row],[Team]],Games[Season],Games[[#This Row],[Season]],Games[Date],"&lt;=" &amp; Games[[#This Row],[Date]])</f>
        <v>22</v>
      </c>
      <c r="D266" s="2" t="s">
        <v>79</v>
      </c>
      <c r="E266" s="2" t="s">
        <v>80</v>
      </c>
      <c r="F266" s="1" t="s">
        <v>60</v>
      </c>
      <c r="G266" s="1" t="s">
        <v>75</v>
      </c>
      <c r="H266" s="1" t="s">
        <v>81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6" s="2">
        <f>Games[[#This Row],[DaysOff]]-Games[[#This Row],[OppDaysOff]]</f>
        <v>-1</v>
      </c>
      <c r="L266" s="2">
        <f>Games[[#This Row],[OppDaysOff]]-Games[[#This Row],[DaysOff]]</f>
        <v>1</v>
      </c>
      <c r="M266" s="1">
        <f>MAX(-16, MIN(16, Games[[#This Row],[RestDiff]]*8))</f>
        <v>-8</v>
      </c>
      <c r="N266" s="1">
        <f>MAX(-16, MIN(16, Games[[#This Row],[OppRestDiff]]*8))</f>
        <v>8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1379.0837372244721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1506.8496534606547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0.21229848314861241</v>
      </c>
      <c r="R266" s="1">
        <v>92</v>
      </c>
      <c r="S266" s="1">
        <v>101</v>
      </c>
      <c r="T266" s="1">
        <v>0</v>
      </c>
      <c r="U266" s="1">
        <f>Games[[#This Row],[PointsFor]]-Games[[#This Row],[PointsAgainst]]</f>
        <v>-9</v>
      </c>
      <c r="V266" s="1">
        <f>IF(Games[[#This Row],[MOV]]&gt;0,1,IF(Games[[#This Row],[MOV]]=0,0.5,0))</f>
        <v>0</v>
      </c>
      <c r="W266" s="4">
        <f>((ABS(Games[[#This Row],[MOV]])+5)^0.6)/(12+0.01*(ABS(Games[[#This Row],[PreGmRate]]-Games[[#This Row],[OppPreGmRate]])))*IF(Games[[#This Row],[OT]]=1,0.9,1)</f>
        <v>0.3669064152193785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72.7</v>
      </c>
      <c r="Z266" s="4">
        <f>Games[[#This Row],[K]]*Games[[#This Row],[POMult]]</f>
        <v>72.7</v>
      </c>
      <c r="AA266" s="4">
        <f>(Games[[#This Row],[Keff]]*Games[[#This Row],[MOVMult]])*(Games[[#This Row],[Result]]-Games[[#This Row],[ExpectedWin%]])</f>
        <v>-5.6628702022029671</v>
      </c>
      <c r="AB266" s="4">
        <f>Games[[#This Row],[PreGmRate]]+Games[[#This Row],[RatingChange]]</f>
        <v>1373.420867022269</v>
      </c>
      <c r="AC266" s="2">
        <f>IF(Games[[#This Row],[Type]]="R",IF(Games[[#This Row],[Result]]&gt;0.5,1,0),0)</f>
        <v>0</v>
      </c>
      <c r="AD266" s="2">
        <f>IF(Games[[#This Row],[Type]]="R",IF(Games[[#This Row],[Result]]&lt;0.5,1,0),0)</f>
        <v>1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43684</v>
      </c>
      <c r="B267" s="2">
        <v>2019</v>
      </c>
      <c r="C267" s="2">
        <f>COUNTIFS(Games[Team],Games[[#This Row],[Team]],Games[Season],Games[[#This Row],[Season]],Games[Date],"&lt;=" &amp; Games[[#This Row],[Date]])</f>
        <v>22</v>
      </c>
      <c r="D267" s="2" t="s">
        <v>79</v>
      </c>
      <c r="E267" s="2" t="s">
        <v>80</v>
      </c>
      <c r="F267" s="1" t="s">
        <v>75</v>
      </c>
      <c r="G267" s="1" t="s">
        <v>60</v>
      </c>
      <c r="H267" s="1" t="s">
        <v>82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7" s="2">
        <f>Games[[#This Row],[DaysOff]]-Games[[#This Row],[OppDaysOff]]</f>
        <v>1</v>
      </c>
      <c r="L267" s="2">
        <f>Games[[#This Row],[OppDaysOff]]-Games[[#This Row],[DaysOff]]</f>
        <v>-1</v>
      </c>
      <c r="M267" s="1">
        <f>MAX(-16, MIN(16, Games[[#This Row],[RestDiff]]*8))</f>
        <v>8</v>
      </c>
      <c r="N267" s="1">
        <f>MAX(-16, MIN(16, Games[[#This Row],[OppRestDiff]]*8))</f>
        <v>-8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1506.8496534606547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1379.0837372244721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0.78770151685138756</v>
      </c>
      <c r="R267" s="1">
        <v>101</v>
      </c>
      <c r="S267" s="1">
        <v>92</v>
      </c>
      <c r="T267" s="1">
        <v>0</v>
      </c>
      <c r="U267" s="1">
        <f>Games[[#This Row],[PointsFor]]-Games[[#This Row],[PointsAgainst]]</f>
        <v>9</v>
      </c>
      <c r="V267" s="1">
        <f>IF(Games[[#This Row],[MOV]]&gt;0,1,IF(Games[[#This Row],[MOV]]=0,0.5,0))</f>
        <v>1</v>
      </c>
      <c r="W267" s="4">
        <f>((ABS(Games[[#This Row],[MOV]])+5)^0.6)/(12+0.01*(ABS(Games[[#This Row],[PreGmRate]]-Games[[#This Row],[OppPreGmRate]])))*IF(Games[[#This Row],[OT]]=1,0.9,1)</f>
        <v>0.3669064152193785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72.7</v>
      </c>
      <c r="Z267" s="4">
        <f>Games[[#This Row],[K]]*Games[[#This Row],[POMult]]</f>
        <v>72.7</v>
      </c>
      <c r="AA267" s="4">
        <f>(Games[[#This Row],[Keff]]*Games[[#This Row],[MOVMult]])*(Games[[#This Row],[Result]]-Games[[#This Row],[ExpectedWin%]])</f>
        <v>5.662870202202968</v>
      </c>
      <c r="AB267" s="4">
        <f>Games[[#This Row],[PreGmRate]]+Games[[#This Row],[RatingChange]]</f>
        <v>1512.5125236628578</v>
      </c>
      <c r="AC267" s="2">
        <f>IF(Games[[#This Row],[Type]]="R",IF(Games[[#This Row],[Result]]&gt;0.5,1,0),0)</f>
        <v>1</v>
      </c>
      <c r="AD267" s="2">
        <f>IF(Games[[#This Row],[Type]]="R",IF(Games[[#This Row],[Result]]&lt;0.5,1,0),0)</f>
        <v>0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43685</v>
      </c>
      <c r="B268" s="2">
        <v>2019</v>
      </c>
      <c r="C268" s="2">
        <f>COUNTIFS(Games[Team],Games[[#This Row],[Team]],Games[Season],Games[[#This Row],[Season]],Games[Date],"&lt;=" &amp; Games[[#This Row],[Date]])</f>
        <v>22</v>
      </c>
      <c r="D268" s="2" t="s">
        <v>79</v>
      </c>
      <c r="E268" s="2" t="s">
        <v>80</v>
      </c>
      <c r="F268" s="1" t="s">
        <v>40</v>
      </c>
      <c r="G268" s="1" t="s">
        <v>63</v>
      </c>
      <c r="H268" s="1" t="s">
        <v>81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8" s="2">
        <f>Games[[#This Row],[DaysOff]]-Games[[#This Row],[OppDaysOff]]</f>
        <v>0</v>
      </c>
      <c r="L268" s="2">
        <f>Games[[#This Row],[OppDaysOff]]-Games[[#This Row],[DaysOff]]</f>
        <v>0</v>
      </c>
      <c r="M268" s="1">
        <f>MAX(-16, MIN(16, Games[[#This Row],[RestDiff]]*8))</f>
        <v>0</v>
      </c>
      <c r="N268" s="1">
        <f>MAX(-16, MIN(16, Games[[#This Row],[OppRestDiff]]*8))</f>
        <v>0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1543.3351312950963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1563.4850914774831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0.35445000227441903</v>
      </c>
      <c r="R268" s="1">
        <v>74</v>
      </c>
      <c r="S268" s="1">
        <v>84</v>
      </c>
      <c r="T268" s="1">
        <v>0</v>
      </c>
      <c r="U268" s="1">
        <f>Games[[#This Row],[PointsFor]]-Games[[#This Row],[PointsAgainst]]</f>
        <v>-10</v>
      </c>
      <c r="V268" s="1">
        <f>IF(Games[[#This Row],[MOV]]&gt;0,1,IF(Games[[#This Row],[MOV]]=0,0.5,0))</f>
        <v>0</v>
      </c>
      <c r="W268" s="4">
        <f>((ABS(Games[[#This Row],[MOV]])+5)^0.6)/(12+0.01*(ABS(Games[[#This Row],[PreGmRate]]-Games[[#This Row],[OppPreGmRate]])))*IF(Games[[#This Row],[OT]]=1,0.9,1)</f>
        <v>0.41614199546655878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72.7</v>
      </c>
      <c r="Z268" s="4">
        <f>Games[[#This Row],[K]]*Games[[#This Row],[POMult]]</f>
        <v>72.7</v>
      </c>
      <c r="AA268" s="4">
        <f>(Games[[#This Row],[Keff]]*Games[[#This Row],[MOVMult]])*(Games[[#This Row],[Result]]-Games[[#This Row],[ExpectedWin%]])</f>
        <v>-10.723361321119141</v>
      </c>
      <c r="AB268" s="4">
        <f>Games[[#This Row],[PreGmRate]]+Games[[#This Row],[RatingChange]]</f>
        <v>1532.6117699739771</v>
      </c>
      <c r="AC268" s="2">
        <f>IF(Games[[#This Row],[Type]]="R",IF(Games[[#This Row],[Result]]&gt;0.5,1,0),0)</f>
        <v>0</v>
      </c>
      <c r="AD268" s="2">
        <f>IF(Games[[#This Row],[Type]]="R",IF(Games[[#This Row],[Result]]&lt;0.5,1,0),0)</f>
        <v>1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43685</v>
      </c>
      <c r="B269" s="2">
        <v>2019</v>
      </c>
      <c r="C269" s="2">
        <f>COUNTIFS(Games[Team],Games[[#This Row],[Team]],Games[Season],Games[[#This Row],[Season]],Games[Date],"&lt;=" &amp; Games[[#This Row],[Date]])</f>
        <v>22</v>
      </c>
      <c r="D269" s="2" t="s">
        <v>79</v>
      </c>
      <c r="E269" s="2" t="s">
        <v>80</v>
      </c>
      <c r="F269" s="1" t="s">
        <v>63</v>
      </c>
      <c r="G269" s="1" t="s">
        <v>40</v>
      </c>
      <c r="H269" s="1" t="s">
        <v>82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9" s="2">
        <f>Games[[#This Row],[DaysOff]]-Games[[#This Row],[OppDaysOff]]</f>
        <v>0</v>
      </c>
      <c r="L269" s="2">
        <f>Games[[#This Row],[OppDaysOff]]-Games[[#This Row],[DaysOff]]</f>
        <v>0</v>
      </c>
      <c r="M269" s="1">
        <f>MAX(-16, MIN(16, Games[[#This Row],[RestDiff]]*8))</f>
        <v>0</v>
      </c>
      <c r="N269" s="1">
        <f>MAX(-16, MIN(16, Games[[#This Row],[OppRestDiff]]*8))</f>
        <v>0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1563.4850914774831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1543.3351312950963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0.64554999772558086</v>
      </c>
      <c r="R269" s="1">
        <v>84</v>
      </c>
      <c r="S269" s="1">
        <v>74</v>
      </c>
      <c r="T269" s="1">
        <v>0</v>
      </c>
      <c r="U269" s="1">
        <f>Games[[#This Row],[PointsFor]]-Games[[#This Row],[PointsAgainst]]</f>
        <v>10</v>
      </c>
      <c r="V269" s="1">
        <f>IF(Games[[#This Row],[MOV]]&gt;0,1,IF(Games[[#This Row],[MOV]]=0,0.5,0))</f>
        <v>1</v>
      </c>
      <c r="W269" s="4">
        <f>((ABS(Games[[#This Row],[MOV]])+5)^0.6)/(12+0.01*(ABS(Games[[#This Row],[PreGmRate]]-Games[[#This Row],[OppPreGmRate]])))*IF(Games[[#This Row],[OT]]=1,0.9,1)</f>
        <v>0.41614199546655878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72.7</v>
      </c>
      <c r="Z269" s="4">
        <f>Games[[#This Row],[K]]*Games[[#This Row],[POMult]]</f>
        <v>72.7</v>
      </c>
      <c r="AA269" s="4">
        <f>(Games[[#This Row],[Keff]]*Games[[#This Row],[MOVMult]])*(Games[[#This Row],[Result]]-Games[[#This Row],[ExpectedWin%]])</f>
        <v>10.723361321119144</v>
      </c>
      <c r="AB269" s="4">
        <f>Games[[#This Row],[PreGmRate]]+Games[[#This Row],[RatingChange]]</f>
        <v>1574.2084527986024</v>
      </c>
      <c r="AC269" s="2">
        <f>IF(Games[[#This Row],[Type]]="R",IF(Games[[#This Row],[Result]]&gt;0.5,1,0),0)</f>
        <v>1</v>
      </c>
      <c r="AD269" s="2">
        <f>IF(Games[[#This Row],[Type]]="R",IF(Games[[#This Row],[Result]]&lt;0.5,1,0),0)</f>
        <v>0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43685</v>
      </c>
      <c r="B270" s="2">
        <v>2019</v>
      </c>
      <c r="C270" s="2">
        <f>COUNTIFS(Games[Team],Games[[#This Row],[Team]],Games[Season],Games[[#This Row],[Season]],Games[Date],"&lt;=" &amp; Games[[#This Row],[Date]])</f>
        <v>23</v>
      </c>
      <c r="D270" s="2" t="s">
        <v>79</v>
      </c>
      <c r="E270" s="2" t="s">
        <v>80</v>
      </c>
      <c r="F270" s="1" t="s">
        <v>85</v>
      </c>
      <c r="G270" s="1" t="s">
        <v>71</v>
      </c>
      <c r="H270" s="1" t="s">
        <v>81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0" s="2">
        <f>Games[[#This Row],[DaysOff]]-Games[[#This Row],[OppDaysOff]]</f>
        <v>1</v>
      </c>
      <c r="L270" s="2">
        <f>Games[[#This Row],[OppDaysOff]]-Games[[#This Row],[DaysOff]]</f>
        <v>-1</v>
      </c>
      <c r="M270" s="1">
        <f>MAX(-16, MIN(16, Games[[#This Row],[RestDiff]]*8))</f>
        <v>8</v>
      </c>
      <c r="N270" s="1">
        <f>MAX(-16, MIN(16, Games[[#This Row],[OppRestDiff]]*8))</f>
        <v>-8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1391.1669647638364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1542.4452914199962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0.22058379904248673</v>
      </c>
      <c r="R270" s="1">
        <v>57</v>
      </c>
      <c r="S270" s="1">
        <v>69</v>
      </c>
      <c r="T270" s="1">
        <v>0</v>
      </c>
      <c r="U270" s="1">
        <f>Games[[#This Row],[PointsFor]]-Games[[#This Row],[PointsAgainst]]</f>
        <v>-12</v>
      </c>
      <c r="V270" s="1">
        <f>IF(Games[[#This Row],[MOV]]&gt;0,1,IF(Games[[#This Row],[MOV]]=0,0.5,0))</f>
        <v>0</v>
      </c>
      <c r="W270" s="4">
        <f>((ABS(Games[[#This Row],[MOV]])+5)^0.6)/(12+0.01*(ABS(Games[[#This Row],[PreGmRate]]-Games[[#This Row],[OppPreGmRate]])))*IF(Games[[#This Row],[OT]]=1,0.9,1)</f>
        <v>0.4050648344566592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72.55</v>
      </c>
      <c r="Z270" s="4">
        <f>Games[[#This Row],[K]]*Games[[#This Row],[POMult]]</f>
        <v>72.55</v>
      </c>
      <c r="AA270" s="4">
        <f>(Games[[#This Row],[Keff]]*Games[[#This Row],[MOVMult]])*(Games[[#This Row],[Result]]-Games[[#This Row],[ExpectedWin%]])</f>
        <v>-6.4823961901171732</v>
      </c>
      <c r="AB270" s="4">
        <f>Games[[#This Row],[PreGmRate]]+Games[[#This Row],[RatingChange]]</f>
        <v>1384.6845685737192</v>
      </c>
      <c r="AC270" s="2">
        <f>IF(Games[[#This Row],[Type]]="R",IF(Games[[#This Row],[Result]]&gt;0.5,1,0),0)</f>
        <v>0</v>
      </c>
      <c r="AD270" s="2">
        <f>IF(Games[[#This Row],[Type]]="R",IF(Games[[#This Row],[Result]]&lt;0.5,1,0),0)</f>
        <v>1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43685</v>
      </c>
      <c r="B271" s="2">
        <v>2019</v>
      </c>
      <c r="C271" s="2">
        <f>COUNTIFS(Games[Team],Games[[#This Row],[Team]],Games[Season],Games[[#This Row],[Season]],Games[Date],"&lt;=" &amp; Games[[#This Row],[Date]])</f>
        <v>24</v>
      </c>
      <c r="D271" s="2" t="s">
        <v>79</v>
      </c>
      <c r="E271" s="2" t="s">
        <v>80</v>
      </c>
      <c r="F271" s="1" t="s">
        <v>71</v>
      </c>
      <c r="G271" s="1" t="s">
        <v>85</v>
      </c>
      <c r="H271" s="1" t="s">
        <v>82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1" s="2">
        <f>Games[[#This Row],[DaysOff]]-Games[[#This Row],[OppDaysOff]]</f>
        <v>-1</v>
      </c>
      <c r="L271" s="2">
        <f>Games[[#This Row],[OppDaysOff]]-Games[[#This Row],[DaysOff]]</f>
        <v>1</v>
      </c>
      <c r="M271" s="1">
        <f>MAX(-16, MIN(16, Games[[#This Row],[RestDiff]]*8))</f>
        <v>-8</v>
      </c>
      <c r="N271" s="1">
        <f>MAX(-16, MIN(16, Games[[#This Row],[OppRestDiff]]*8))</f>
        <v>8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1542.4452914199962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1391.1669647638364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0.77941620095751341</v>
      </c>
      <c r="R271" s="1">
        <v>69</v>
      </c>
      <c r="S271" s="1">
        <v>57</v>
      </c>
      <c r="T271" s="1">
        <v>0</v>
      </c>
      <c r="U271" s="1">
        <f>Games[[#This Row],[PointsFor]]-Games[[#This Row],[PointsAgainst]]</f>
        <v>12</v>
      </c>
      <c r="V271" s="1">
        <f>IF(Games[[#This Row],[MOV]]&gt;0,1,IF(Games[[#This Row],[MOV]]=0,0.5,0))</f>
        <v>1</v>
      </c>
      <c r="W271" s="4">
        <f>((ABS(Games[[#This Row],[MOV]])+5)^0.6)/(12+0.01*(ABS(Games[[#This Row],[PreGmRate]]-Games[[#This Row],[OppPreGmRate]])))*IF(Games[[#This Row],[OT]]=1,0.9,1)</f>
        <v>0.4050648344566592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72.400000000000006</v>
      </c>
      <c r="Z271" s="4">
        <f>Games[[#This Row],[K]]*Games[[#This Row],[POMult]]</f>
        <v>72.400000000000006</v>
      </c>
      <c r="AA271" s="4">
        <f>(Games[[#This Row],[Keff]]*Games[[#This Row],[MOVMult]])*(Games[[#This Row],[Result]]-Games[[#This Row],[ExpectedWin%]])</f>
        <v>6.4689935791107249</v>
      </c>
      <c r="AB271" s="4">
        <f>Games[[#This Row],[PreGmRate]]+Games[[#This Row],[RatingChange]]</f>
        <v>1548.9142849991069</v>
      </c>
      <c r="AC271" s="2">
        <f>IF(Games[[#This Row],[Type]]="R",IF(Games[[#This Row],[Result]]&gt;0.5,1,0),0)</f>
        <v>1</v>
      </c>
      <c r="AD271" s="2">
        <f>IF(Games[[#This Row],[Type]]="R",IF(Games[[#This Row],[Result]]&lt;0.5,1,0),0)</f>
        <v>0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43685</v>
      </c>
      <c r="B272" s="2">
        <v>2019</v>
      </c>
      <c r="C272" s="2">
        <f>COUNTIFS(Games[Team],Games[[#This Row],[Team]],Games[Season],Games[[#This Row],[Season]],Games[Date],"&lt;=" &amp; Games[[#This Row],[Date]])</f>
        <v>24</v>
      </c>
      <c r="D272" s="2" t="s">
        <v>79</v>
      </c>
      <c r="E272" s="2" t="s">
        <v>80</v>
      </c>
      <c r="F272" s="1" t="s">
        <v>69</v>
      </c>
      <c r="G272" s="1" t="s">
        <v>65</v>
      </c>
      <c r="H272" s="1" t="s">
        <v>81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2" s="2">
        <f>Games[[#This Row],[DaysOff]]-Games[[#This Row],[OppDaysOff]]</f>
        <v>2</v>
      </c>
      <c r="L272" s="2">
        <f>Games[[#This Row],[OppDaysOff]]-Games[[#This Row],[DaysOff]]</f>
        <v>-2</v>
      </c>
      <c r="M272" s="1">
        <f>MAX(-16, MIN(16, Games[[#This Row],[RestDiff]]*8))</f>
        <v>16</v>
      </c>
      <c r="N272" s="1">
        <f>MAX(-16, MIN(16, Games[[#This Row],[OppRestDiff]]*8))</f>
        <v>-16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1400.5873765494396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1649.575806632789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0.1502516514160013</v>
      </c>
      <c r="R272" s="1">
        <v>78</v>
      </c>
      <c r="S272" s="1">
        <v>91</v>
      </c>
      <c r="T272" s="1">
        <v>0</v>
      </c>
      <c r="U272" s="1">
        <f>Games[[#This Row],[PointsFor]]-Games[[#This Row],[PointsAgainst]]</f>
        <v>-13</v>
      </c>
      <c r="V272" s="1">
        <f>IF(Games[[#This Row],[MOV]]&gt;0,1,IF(Games[[#This Row],[MOV]]=0,0.5,0))</f>
        <v>0</v>
      </c>
      <c r="W272" s="4">
        <f>((ABS(Games[[#This Row],[MOV]])+5)^0.6)/(12+0.01*(ABS(Games[[#This Row],[PreGmRate]]-Games[[#This Row],[OppPreGmRate]])))*IF(Games[[#This Row],[OT]]=1,0.9,1)</f>
        <v>0.39092962719126562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72.400000000000006</v>
      </c>
      <c r="Z272" s="4">
        <f>Games[[#This Row],[K]]*Games[[#This Row],[POMult]]</f>
        <v>72.400000000000006</v>
      </c>
      <c r="AA272" s="4">
        <f>(Games[[#This Row],[Keff]]*Games[[#This Row],[MOVMult]])*(Games[[#This Row],[Result]]-Games[[#This Row],[ExpectedWin%]])</f>
        <v>-4.2526183180800876</v>
      </c>
      <c r="AB272" s="4">
        <f>Games[[#This Row],[PreGmRate]]+Games[[#This Row],[RatingChange]]</f>
        <v>1396.3347582313595</v>
      </c>
      <c r="AC272" s="2">
        <f>IF(Games[[#This Row],[Type]]="R",IF(Games[[#This Row],[Result]]&gt;0.5,1,0),0)</f>
        <v>0</v>
      </c>
      <c r="AD272" s="2">
        <f>IF(Games[[#This Row],[Type]]="R",IF(Games[[#This Row],[Result]]&lt;0.5,1,0),0)</f>
        <v>1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43685</v>
      </c>
      <c r="B273" s="2">
        <v>2019</v>
      </c>
      <c r="C273" s="2">
        <f>COUNTIFS(Games[Team],Games[[#This Row],[Team]],Games[Season],Games[[#This Row],[Season]],Games[Date],"&lt;=" &amp; Games[[#This Row],[Date]])</f>
        <v>23</v>
      </c>
      <c r="D273" s="2" t="s">
        <v>79</v>
      </c>
      <c r="E273" s="2" t="s">
        <v>80</v>
      </c>
      <c r="F273" s="1" t="s">
        <v>65</v>
      </c>
      <c r="G273" s="1" t="s">
        <v>69</v>
      </c>
      <c r="H273" s="1" t="s">
        <v>82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3" s="2">
        <f>Games[[#This Row],[DaysOff]]-Games[[#This Row],[OppDaysOff]]</f>
        <v>-2</v>
      </c>
      <c r="L273" s="2">
        <f>Games[[#This Row],[OppDaysOff]]-Games[[#This Row],[DaysOff]]</f>
        <v>2</v>
      </c>
      <c r="M273" s="1">
        <f>MAX(-16, MIN(16, Games[[#This Row],[RestDiff]]*8))</f>
        <v>-16</v>
      </c>
      <c r="N273" s="1">
        <f>MAX(-16, MIN(16, Games[[#This Row],[OppRestDiff]]*8))</f>
        <v>16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1649.575806632789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1400.5873765494396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0.84974834858399861</v>
      </c>
      <c r="R273" s="1">
        <v>91</v>
      </c>
      <c r="S273" s="1">
        <v>78</v>
      </c>
      <c r="T273" s="1">
        <v>0</v>
      </c>
      <c r="U273" s="1">
        <f>Games[[#This Row],[PointsFor]]-Games[[#This Row],[PointsAgainst]]</f>
        <v>13</v>
      </c>
      <c r="V273" s="1">
        <f>IF(Games[[#This Row],[MOV]]&gt;0,1,IF(Games[[#This Row],[MOV]]=0,0.5,0))</f>
        <v>1</v>
      </c>
      <c r="W273" s="4">
        <f>((ABS(Games[[#This Row],[MOV]])+5)^0.6)/(12+0.01*(ABS(Games[[#This Row],[PreGmRate]]-Games[[#This Row],[OppPreGmRate]])))*IF(Games[[#This Row],[OT]]=1,0.9,1)</f>
        <v>0.39092962719126562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72.55</v>
      </c>
      <c r="Z273" s="4">
        <f>Games[[#This Row],[K]]*Games[[#This Row],[POMult]]</f>
        <v>72.55</v>
      </c>
      <c r="AA273" s="4">
        <f>(Games[[#This Row],[Keff]]*Games[[#This Row],[MOVMult]])*(Games[[#This Row],[Result]]-Games[[#This Row],[ExpectedWin%]])</f>
        <v>4.2614289913910293</v>
      </c>
      <c r="AB273" s="4">
        <f>Games[[#This Row],[PreGmRate]]+Games[[#This Row],[RatingChange]]</f>
        <v>1653.83723562418</v>
      </c>
      <c r="AC273" s="2">
        <f>IF(Games[[#This Row],[Type]]="R",IF(Games[[#This Row],[Result]]&gt;0.5,1,0),0)</f>
        <v>1</v>
      </c>
      <c r="AD273" s="2">
        <f>IF(Games[[#This Row],[Type]]="R",IF(Games[[#This Row],[Result]]&lt;0.5,1,0),0)</f>
        <v>0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43686</v>
      </c>
      <c r="B274" s="2">
        <v>2019</v>
      </c>
      <c r="C274" s="2">
        <f>COUNTIFS(Games[Team],Games[[#This Row],[Team]],Games[Season],Games[[#This Row],[Season]],Games[Date],"&lt;=" &amp; Games[[#This Row],[Date]])</f>
        <v>23</v>
      </c>
      <c r="D274" s="2" t="s">
        <v>79</v>
      </c>
      <c r="E274" s="2" t="s">
        <v>80</v>
      </c>
      <c r="F274" s="1" t="s">
        <v>75</v>
      </c>
      <c r="G274" s="1" t="s">
        <v>86</v>
      </c>
      <c r="H274" s="1" t="s">
        <v>81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4" s="2">
        <f>Games[[#This Row],[DaysOff]]-Games[[#This Row],[OppDaysOff]]</f>
        <v>-2</v>
      </c>
      <c r="L274" s="2">
        <f>Games[[#This Row],[OppDaysOff]]-Games[[#This Row],[DaysOff]]</f>
        <v>2</v>
      </c>
      <c r="M274" s="1">
        <f>MAX(-16, MIN(16, Games[[#This Row],[RestDiff]]*8))</f>
        <v>-16</v>
      </c>
      <c r="N274" s="1">
        <f>MAX(-16, MIN(16, Games[[#This Row],[OppRestDiff]]*8))</f>
        <v>16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1512.5125236628578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1553.394141927922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0.2884173134198374</v>
      </c>
      <c r="R274" s="1">
        <v>87</v>
      </c>
      <c r="S274" s="1">
        <v>84</v>
      </c>
      <c r="T274" s="1">
        <v>0</v>
      </c>
      <c r="U274" s="1">
        <f>Games[[#This Row],[PointsFor]]-Games[[#This Row],[PointsAgainst]]</f>
        <v>3</v>
      </c>
      <c r="V274" s="1">
        <f>IF(Games[[#This Row],[MOV]]&gt;0,1,IF(Games[[#This Row],[MOV]]=0,0.5,0))</f>
        <v>1</v>
      </c>
      <c r="W274" s="4">
        <f>((ABS(Games[[#This Row],[MOV]])+5)^0.6)/(12+0.01*(ABS(Games[[#This Row],[PreGmRate]]-Games[[#This Row],[OppPreGmRate]])))*IF(Games[[#This Row],[OT]]=1,0.9,1)</f>
        <v>0.28062324414581385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72.55</v>
      </c>
      <c r="Z274" s="4">
        <f>Games[[#This Row],[K]]*Games[[#This Row],[POMult]]</f>
        <v>72.55</v>
      </c>
      <c r="AA274" s="4">
        <f>(Games[[#This Row],[Keff]]*Games[[#This Row],[MOVMult]])*(Games[[#This Row],[Result]]-Games[[#This Row],[ExpectedWin%]])</f>
        <v>14.487265876092943</v>
      </c>
      <c r="AB274" s="4">
        <f>Games[[#This Row],[PreGmRate]]+Games[[#This Row],[RatingChange]]</f>
        <v>1526.9997895389508</v>
      </c>
      <c r="AC274" s="2">
        <f>IF(Games[[#This Row],[Type]]="R",IF(Games[[#This Row],[Result]]&gt;0.5,1,0),0)</f>
        <v>1</v>
      </c>
      <c r="AD274" s="2">
        <f>IF(Games[[#This Row],[Type]]="R",IF(Games[[#This Row],[Result]]&lt;0.5,1,0),0)</f>
        <v>0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43686</v>
      </c>
      <c r="B275" s="2">
        <v>2019</v>
      </c>
      <c r="C275" s="2">
        <f>COUNTIFS(Games[Team],Games[[#This Row],[Team]],Games[Season],Games[[#This Row],[Season]],Games[Date],"&lt;=" &amp; Games[[#This Row],[Date]])</f>
        <v>24</v>
      </c>
      <c r="D275" s="2" t="s">
        <v>79</v>
      </c>
      <c r="E275" s="2" t="s">
        <v>80</v>
      </c>
      <c r="F275" s="1" t="s">
        <v>86</v>
      </c>
      <c r="G275" s="1" t="s">
        <v>75</v>
      </c>
      <c r="H275" s="1" t="s">
        <v>82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5" s="2">
        <f>Games[[#This Row],[DaysOff]]-Games[[#This Row],[OppDaysOff]]</f>
        <v>2</v>
      </c>
      <c r="L275" s="2">
        <f>Games[[#This Row],[OppDaysOff]]-Games[[#This Row],[DaysOff]]</f>
        <v>-2</v>
      </c>
      <c r="M275" s="1">
        <f>MAX(-16, MIN(16, Games[[#This Row],[RestDiff]]*8))</f>
        <v>16</v>
      </c>
      <c r="N275" s="1">
        <f>MAX(-16, MIN(16, Games[[#This Row],[OppRestDiff]]*8))</f>
        <v>-16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1553.394141927922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1512.5125236628578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0.71158268658016255</v>
      </c>
      <c r="R275" s="1">
        <v>84</v>
      </c>
      <c r="S275" s="1">
        <v>87</v>
      </c>
      <c r="T275" s="1">
        <v>0</v>
      </c>
      <c r="U275" s="1">
        <f>Games[[#This Row],[PointsFor]]-Games[[#This Row],[PointsAgainst]]</f>
        <v>-3</v>
      </c>
      <c r="V275" s="1">
        <f>IF(Games[[#This Row],[MOV]]&gt;0,1,IF(Games[[#This Row],[MOV]]=0,0.5,0))</f>
        <v>0</v>
      </c>
      <c r="W275" s="4">
        <f>((ABS(Games[[#This Row],[MOV]])+5)^0.6)/(12+0.01*(ABS(Games[[#This Row],[PreGmRate]]-Games[[#This Row],[OppPreGmRate]])))*IF(Games[[#This Row],[OT]]=1,0.9,1)</f>
        <v>0.28062324414581385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72.400000000000006</v>
      </c>
      <c r="Z275" s="4">
        <f>Games[[#This Row],[K]]*Games[[#This Row],[POMult]]</f>
        <v>72.400000000000006</v>
      </c>
      <c r="AA275" s="4">
        <f>(Games[[#This Row],[Keff]]*Games[[#This Row],[MOVMult]])*(Games[[#This Row],[Result]]-Games[[#This Row],[ExpectedWin%]])</f>
        <v>-14.457312879795024</v>
      </c>
      <c r="AB275" s="4">
        <f>Games[[#This Row],[PreGmRate]]+Games[[#This Row],[RatingChange]]</f>
        <v>1538.936829048127</v>
      </c>
      <c r="AC275" s="2">
        <f>IF(Games[[#This Row],[Type]]="R",IF(Games[[#This Row],[Result]]&gt;0.5,1,0),0)</f>
        <v>0</v>
      </c>
      <c r="AD275" s="2">
        <f>IF(Games[[#This Row],[Type]]="R",IF(Games[[#This Row],[Result]]&lt;0.5,1,0),0)</f>
        <v>1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43686</v>
      </c>
      <c r="B276" s="2">
        <v>2019</v>
      </c>
      <c r="C276" s="2">
        <f>COUNTIFS(Games[Team],Games[[#This Row],[Team]],Games[Season],Games[[#This Row],[Season]],Games[Date],"&lt;=" &amp; Games[[#This Row],[Date]])</f>
        <v>23</v>
      </c>
      <c r="D276" s="2" t="s">
        <v>79</v>
      </c>
      <c r="E276" s="2" t="s">
        <v>80</v>
      </c>
      <c r="F276" s="1" t="s">
        <v>74</v>
      </c>
      <c r="G276" s="1" t="s">
        <v>67</v>
      </c>
      <c r="H276" s="1" t="s">
        <v>81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6" s="2">
        <f>Games[[#This Row],[DaysOff]]-Games[[#This Row],[OppDaysOff]]</f>
        <v>2</v>
      </c>
      <c r="L276" s="2">
        <f>Games[[#This Row],[OppDaysOff]]-Games[[#This Row],[DaysOff]]</f>
        <v>-2</v>
      </c>
      <c r="M276" s="1">
        <f>MAX(-16, MIN(16, Games[[#This Row],[RestDiff]]*8))</f>
        <v>16</v>
      </c>
      <c r="N276" s="1">
        <f>MAX(-16, MIN(16, Games[[#This Row],[OppRestDiff]]*8))</f>
        <v>-16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1611.8767250573912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1496.8703320374075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0.58969240740916973</v>
      </c>
      <c r="R276" s="1">
        <v>57</v>
      </c>
      <c r="S276" s="1">
        <v>89</v>
      </c>
      <c r="T276" s="1">
        <v>0</v>
      </c>
      <c r="U276" s="1">
        <f>Games[[#This Row],[PointsFor]]-Games[[#This Row],[PointsAgainst]]</f>
        <v>-32</v>
      </c>
      <c r="V276" s="1">
        <f>IF(Games[[#This Row],[MOV]]&gt;0,1,IF(Games[[#This Row],[MOV]]=0,0.5,0))</f>
        <v>0</v>
      </c>
      <c r="W276" s="4">
        <f>((ABS(Games[[#This Row],[MOV]])+5)^0.6)/(12+0.01*(ABS(Games[[#This Row],[PreGmRate]]-Games[[#This Row],[OppPreGmRate]])))*IF(Games[[#This Row],[OT]]=1,0.9,1)</f>
        <v>0.66373263240428149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72.55</v>
      </c>
      <c r="Z276" s="4">
        <f>Games[[#This Row],[K]]*Games[[#This Row],[POMult]]</f>
        <v>72.55</v>
      </c>
      <c r="AA276" s="4">
        <f>(Games[[#This Row],[Keff]]*Games[[#This Row],[MOVMult]])*(Games[[#This Row],[Result]]-Games[[#This Row],[ExpectedWin%]])</f>
        <v>-28.395931710885627</v>
      </c>
      <c r="AB276" s="4">
        <f>Games[[#This Row],[PreGmRate]]+Games[[#This Row],[RatingChange]]</f>
        <v>1583.4807933465056</v>
      </c>
      <c r="AC276" s="2">
        <f>IF(Games[[#This Row],[Type]]="R",IF(Games[[#This Row],[Result]]&gt;0.5,1,0),0)</f>
        <v>0</v>
      </c>
      <c r="AD276" s="2">
        <f>IF(Games[[#This Row],[Type]]="R",IF(Games[[#This Row],[Result]]&lt;0.5,1,0),0)</f>
        <v>1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43686</v>
      </c>
      <c r="B277" s="2">
        <v>2019</v>
      </c>
      <c r="C277" s="2">
        <f>COUNTIFS(Games[Team],Games[[#This Row],[Team]],Games[Season],Games[[#This Row],[Season]],Games[Date],"&lt;=" &amp; Games[[#This Row],[Date]])</f>
        <v>23</v>
      </c>
      <c r="D277" s="2" t="s">
        <v>79</v>
      </c>
      <c r="E277" s="2" t="s">
        <v>80</v>
      </c>
      <c r="F277" s="1" t="s">
        <v>67</v>
      </c>
      <c r="G277" s="1" t="s">
        <v>74</v>
      </c>
      <c r="H277" s="1" t="s">
        <v>82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7" s="2">
        <f>Games[[#This Row],[DaysOff]]-Games[[#This Row],[OppDaysOff]]</f>
        <v>-2</v>
      </c>
      <c r="L277" s="2">
        <f>Games[[#This Row],[OppDaysOff]]-Games[[#This Row],[DaysOff]]</f>
        <v>2</v>
      </c>
      <c r="M277" s="1">
        <f>MAX(-16, MIN(16, Games[[#This Row],[RestDiff]]*8))</f>
        <v>-16</v>
      </c>
      <c r="N277" s="1">
        <f>MAX(-16, MIN(16, Games[[#This Row],[OppRestDiff]]*8))</f>
        <v>16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1496.8703320374075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1611.8767250573912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0.41030759259083027</v>
      </c>
      <c r="R277" s="1">
        <v>89</v>
      </c>
      <c r="S277" s="1">
        <v>57</v>
      </c>
      <c r="T277" s="1">
        <v>0</v>
      </c>
      <c r="U277" s="1">
        <f>Games[[#This Row],[PointsFor]]-Games[[#This Row],[PointsAgainst]]</f>
        <v>32</v>
      </c>
      <c r="V277" s="1">
        <f>IF(Games[[#This Row],[MOV]]&gt;0,1,IF(Games[[#This Row],[MOV]]=0,0.5,0))</f>
        <v>1</v>
      </c>
      <c r="W277" s="4">
        <f>((ABS(Games[[#This Row],[MOV]])+5)^0.6)/(12+0.01*(ABS(Games[[#This Row],[PreGmRate]]-Games[[#This Row],[OppPreGmRate]])))*IF(Games[[#This Row],[OT]]=1,0.9,1)</f>
        <v>0.66373263240428149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72.55</v>
      </c>
      <c r="Z277" s="4">
        <f>Games[[#This Row],[K]]*Games[[#This Row],[POMult]]</f>
        <v>72.55</v>
      </c>
      <c r="AA277" s="4">
        <f>(Games[[#This Row],[Keff]]*Games[[#This Row],[MOVMult]])*(Games[[#This Row],[Result]]-Games[[#This Row],[ExpectedWin%]])</f>
        <v>28.395931710885627</v>
      </c>
      <c r="AB277" s="4">
        <f>Games[[#This Row],[PreGmRate]]+Games[[#This Row],[RatingChange]]</f>
        <v>1525.2662637482931</v>
      </c>
      <c r="AC277" s="2">
        <f>IF(Games[[#This Row],[Type]]="R",IF(Games[[#This Row],[Result]]&gt;0.5,1,0),0)</f>
        <v>1</v>
      </c>
      <c r="AD277" s="2">
        <f>IF(Games[[#This Row],[Type]]="R",IF(Games[[#This Row],[Result]]&lt;0.5,1,0),0)</f>
        <v>0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43687</v>
      </c>
      <c r="B278" s="2">
        <v>2019</v>
      </c>
      <c r="C278" s="2">
        <f>COUNTIFS(Games[Team],Games[[#This Row],[Team]],Games[Season],Games[[#This Row],[Season]],Games[Date],"&lt;=" &amp; Games[[#This Row],[Date]])</f>
        <v>24</v>
      </c>
      <c r="D278" s="2" t="s">
        <v>79</v>
      </c>
      <c r="E278" s="2" t="s">
        <v>80</v>
      </c>
      <c r="F278" s="1" t="s">
        <v>77</v>
      </c>
      <c r="G278" s="1" t="s">
        <v>69</v>
      </c>
      <c r="H278" s="1" t="s">
        <v>81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8" s="2">
        <f>Games[[#This Row],[DaysOff]]-Games[[#This Row],[OppDaysOff]]</f>
        <v>2</v>
      </c>
      <c r="L278" s="2">
        <f>Games[[#This Row],[OppDaysOff]]-Games[[#This Row],[DaysOff]]</f>
        <v>-2</v>
      </c>
      <c r="M278" s="1">
        <f>MAX(-16, MIN(16, Games[[#This Row],[RestDiff]]*8))</f>
        <v>16</v>
      </c>
      <c r="N278" s="1">
        <f>MAX(-16, MIN(16, Games[[#This Row],[OppRestDiff]]*8))</f>
        <v>-16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1361.9591480602633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1396.3347582313595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0.37819467599144857</v>
      </c>
      <c r="R278" s="1">
        <v>82</v>
      </c>
      <c r="S278" s="1">
        <v>87</v>
      </c>
      <c r="T278" s="1">
        <v>0</v>
      </c>
      <c r="U278" s="1">
        <f>Games[[#This Row],[PointsFor]]-Games[[#This Row],[PointsAgainst]]</f>
        <v>-5</v>
      </c>
      <c r="V278" s="1">
        <f>IF(Games[[#This Row],[MOV]]&gt;0,1,IF(Games[[#This Row],[MOV]]=0,0.5,0))</f>
        <v>0</v>
      </c>
      <c r="W278" s="4">
        <f>((ABS(Games[[#This Row],[MOV]])+5)^0.6)/(12+0.01*(ABS(Games[[#This Row],[PreGmRate]]-Games[[#This Row],[OppPreGmRate]])))*IF(Games[[#This Row],[OT]]=1,0.9,1)</f>
        <v>0.32251704203578346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72.400000000000006</v>
      </c>
      <c r="Z278" s="4">
        <f>Games[[#This Row],[K]]*Games[[#This Row],[POMult]]</f>
        <v>72.400000000000006</v>
      </c>
      <c r="AA278" s="4">
        <f>(Games[[#This Row],[Keff]]*Games[[#This Row],[MOVMult]])*(Games[[#This Row],[Result]]-Games[[#This Row],[ExpectedWin%]])</f>
        <v>-8.8309341227257114</v>
      </c>
      <c r="AB278" s="4">
        <f>Games[[#This Row],[PreGmRate]]+Games[[#This Row],[RatingChange]]</f>
        <v>1353.1282139375376</v>
      </c>
      <c r="AC278" s="2">
        <f>IF(Games[[#This Row],[Type]]="R",IF(Games[[#This Row],[Result]]&gt;0.5,1,0),0)</f>
        <v>0</v>
      </c>
      <c r="AD278" s="2">
        <f>IF(Games[[#This Row],[Type]]="R",IF(Games[[#This Row],[Result]]&lt;0.5,1,0),0)</f>
        <v>1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43687</v>
      </c>
      <c r="B279" s="2">
        <v>2019</v>
      </c>
      <c r="C279" s="2">
        <f>COUNTIFS(Games[Team],Games[[#This Row],[Team]],Games[Season],Games[[#This Row],[Season]],Games[Date],"&lt;=" &amp; Games[[#This Row],[Date]])</f>
        <v>25</v>
      </c>
      <c r="D279" s="2" t="s">
        <v>79</v>
      </c>
      <c r="E279" s="2" t="s">
        <v>80</v>
      </c>
      <c r="F279" s="1" t="s">
        <v>69</v>
      </c>
      <c r="G279" s="1" t="s">
        <v>77</v>
      </c>
      <c r="H279" s="1" t="s">
        <v>82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9" s="2">
        <f>Games[[#This Row],[DaysOff]]-Games[[#This Row],[OppDaysOff]]</f>
        <v>-2</v>
      </c>
      <c r="L279" s="2">
        <f>Games[[#This Row],[OppDaysOff]]-Games[[#This Row],[DaysOff]]</f>
        <v>2</v>
      </c>
      <c r="M279" s="1">
        <f>MAX(-16, MIN(16, Games[[#This Row],[RestDiff]]*8))</f>
        <v>-16</v>
      </c>
      <c r="N279" s="1">
        <f>MAX(-16, MIN(16, Games[[#This Row],[OppRestDiff]]*8))</f>
        <v>16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1396.3347582313595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1361.9591480602633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0.62180532400855149</v>
      </c>
      <c r="R279" s="1">
        <v>87</v>
      </c>
      <c r="S279" s="1">
        <v>82</v>
      </c>
      <c r="T279" s="1">
        <v>0</v>
      </c>
      <c r="U279" s="1">
        <f>Games[[#This Row],[PointsFor]]-Games[[#This Row],[PointsAgainst]]</f>
        <v>5</v>
      </c>
      <c r="V279" s="1">
        <f>IF(Games[[#This Row],[MOV]]&gt;0,1,IF(Games[[#This Row],[MOV]]=0,0.5,0))</f>
        <v>1</v>
      </c>
      <c r="W279" s="4">
        <f>((ABS(Games[[#This Row],[MOV]])+5)^0.6)/(12+0.01*(ABS(Games[[#This Row],[PreGmRate]]-Games[[#This Row],[OppPreGmRate]])))*IF(Games[[#This Row],[OT]]=1,0.9,1)</f>
        <v>0.32251704203578346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72.25</v>
      </c>
      <c r="Z279" s="4">
        <f>Games[[#This Row],[K]]*Games[[#This Row],[POMult]]</f>
        <v>72.25</v>
      </c>
      <c r="AA279" s="4">
        <f>(Games[[#This Row],[Keff]]*Games[[#This Row],[MOVMult]])*(Games[[#This Row],[Result]]-Games[[#This Row],[ExpectedWin%]])</f>
        <v>8.8126379884935435</v>
      </c>
      <c r="AB279" s="4">
        <f>Games[[#This Row],[PreGmRate]]+Games[[#This Row],[RatingChange]]</f>
        <v>1405.1473962198531</v>
      </c>
      <c r="AC279" s="2">
        <f>IF(Games[[#This Row],[Type]]="R",IF(Games[[#This Row],[Result]]&gt;0.5,1,0),0)</f>
        <v>1</v>
      </c>
      <c r="AD279" s="2">
        <f>IF(Games[[#This Row],[Type]]="R",IF(Games[[#This Row],[Result]]&lt;0.5,1,0),0)</f>
        <v>0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43687</v>
      </c>
      <c r="B280" s="2">
        <v>2019</v>
      </c>
      <c r="C280" s="2">
        <f>COUNTIFS(Games[Team],Games[[#This Row],[Team]],Games[Season],Games[[#This Row],[Season]],Games[Date],"&lt;=" &amp; Games[[#This Row],[Date]])</f>
        <v>24</v>
      </c>
      <c r="D280" s="2" t="s">
        <v>79</v>
      </c>
      <c r="E280" s="2" t="s">
        <v>80</v>
      </c>
      <c r="F280" s="1" t="s">
        <v>85</v>
      </c>
      <c r="G280" s="1" t="s">
        <v>40</v>
      </c>
      <c r="H280" s="1" t="s">
        <v>81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0" s="2">
        <f>Games[[#This Row],[DaysOff]]-Games[[#This Row],[OppDaysOff]]</f>
        <v>0</v>
      </c>
      <c r="L280" s="2">
        <f>Games[[#This Row],[OppDaysOff]]-Games[[#This Row],[DaysOff]]</f>
        <v>0</v>
      </c>
      <c r="M280" s="1">
        <f>MAX(-16, MIN(16, Games[[#This Row],[RestDiff]]*8))</f>
        <v>0</v>
      </c>
      <c r="N280" s="1">
        <f>MAX(-16, MIN(16, Games[[#This Row],[OppRestDiff]]*8))</f>
        <v>0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1384.6845685737192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1532.6117699739771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0.20832026704864715</v>
      </c>
      <c r="R280" s="1">
        <v>80</v>
      </c>
      <c r="S280" s="1">
        <v>77</v>
      </c>
      <c r="T280" s="1">
        <v>0</v>
      </c>
      <c r="U280" s="1">
        <f>Games[[#This Row],[PointsFor]]-Games[[#This Row],[PointsAgainst]]</f>
        <v>3</v>
      </c>
      <c r="V280" s="1">
        <f>IF(Games[[#This Row],[MOV]]&gt;0,1,IF(Games[[#This Row],[MOV]]=0,0.5,0))</f>
        <v>1</v>
      </c>
      <c r="W280" s="4">
        <f>((ABS(Games[[#This Row],[MOV]])+5)^0.6)/(12+0.01*(ABS(Games[[#This Row],[PreGmRate]]-Games[[#This Row],[OppPreGmRate]])))*IF(Games[[#This Row],[OT]]=1,0.9,1)</f>
        <v>0.25833756077977388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72.400000000000006</v>
      </c>
      <c r="Z280" s="4">
        <f>Games[[#This Row],[K]]*Games[[#This Row],[POMult]]</f>
        <v>72.400000000000006</v>
      </c>
      <c r="AA280" s="4">
        <f>(Games[[#This Row],[Keff]]*Games[[#This Row],[MOVMult]])*(Games[[#This Row],[Result]]-Games[[#This Row],[ExpectedWin%]])</f>
        <v>14.807292245771114</v>
      </c>
      <c r="AB280" s="4">
        <f>Games[[#This Row],[PreGmRate]]+Games[[#This Row],[RatingChange]]</f>
        <v>1399.4918608194903</v>
      </c>
      <c r="AC280" s="2">
        <f>IF(Games[[#This Row],[Type]]="R",IF(Games[[#This Row],[Result]]&gt;0.5,1,0),0)</f>
        <v>1</v>
      </c>
      <c r="AD280" s="2">
        <f>IF(Games[[#This Row],[Type]]="R",IF(Games[[#This Row],[Result]]&lt;0.5,1,0),0)</f>
        <v>0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43687</v>
      </c>
      <c r="B281" s="2">
        <v>2019</v>
      </c>
      <c r="C281" s="2">
        <f>COUNTIFS(Games[Team],Games[[#This Row],[Team]],Games[Season],Games[[#This Row],[Season]],Games[Date],"&lt;=" &amp; Games[[#This Row],[Date]])</f>
        <v>23</v>
      </c>
      <c r="D281" s="2" t="s">
        <v>79</v>
      </c>
      <c r="E281" s="2" t="s">
        <v>80</v>
      </c>
      <c r="F281" s="1" t="s">
        <v>40</v>
      </c>
      <c r="G281" s="1" t="s">
        <v>85</v>
      </c>
      <c r="H281" s="1" t="s">
        <v>82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1" s="2">
        <f>Games[[#This Row],[DaysOff]]-Games[[#This Row],[OppDaysOff]]</f>
        <v>0</v>
      </c>
      <c r="L281" s="2">
        <f>Games[[#This Row],[OppDaysOff]]-Games[[#This Row],[DaysOff]]</f>
        <v>0</v>
      </c>
      <c r="M281" s="1">
        <f>MAX(-16, MIN(16, Games[[#This Row],[RestDiff]]*8))</f>
        <v>0</v>
      </c>
      <c r="N281" s="1">
        <f>MAX(-16, MIN(16, Games[[#This Row],[OppRestDiff]]*8))</f>
        <v>0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1532.6117699739771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1384.6845685737192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0.79167973295135285</v>
      </c>
      <c r="R281" s="1">
        <v>77</v>
      </c>
      <c r="S281" s="1">
        <v>80</v>
      </c>
      <c r="T281" s="1">
        <v>0</v>
      </c>
      <c r="U281" s="1">
        <f>Games[[#This Row],[PointsFor]]-Games[[#This Row],[PointsAgainst]]</f>
        <v>-3</v>
      </c>
      <c r="V281" s="1">
        <f>IF(Games[[#This Row],[MOV]]&gt;0,1,IF(Games[[#This Row],[MOV]]=0,0.5,0))</f>
        <v>0</v>
      </c>
      <c r="W281" s="4">
        <f>((ABS(Games[[#This Row],[MOV]])+5)^0.6)/(12+0.01*(ABS(Games[[#This Row],[PreGmRate]]-Games[[#This Row],[OppPreGmRate]])))*IF(Games[[#This Row],[OT]]=1,0.9,1)</f>
        <v>0.25833756077977388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72.55</v>
      </c>
      <c r="Z281" s="4">
        <f>Games[[#This Row],[K]]*Games[[#This Row],[POMult]]</f>
        <v>72.55</v>
      </c>
      <c r="AA281" s="4">
        <f>(Games[[#This Row],[Keff]]*Games[[#This Row],[MOVMult]])*(Games[[#This Row],[Result]]-Games[[#This Row],[ExpectedWin%]])</f>
        <v>-14.837970337440527</v>
      </c>
      <c r="AB281" s="4">
        <f>Games[[#This Row],[PreGmRate]]+Games[[#This Row],[RatingChange]]</f>
        <v>1517.7737996365365</v>
      </c>
      <c r="AC281" s="2">
        <f>IF(Games[[#This Row],[Type]]="R",IF(Games[[#This Row],[Result]]&gt;0.5,1,0),0)</f>
        <v>0</v>
      </c>
      <c r="AD281" s="2">
        <f>IF(Games[[#This Row],[Type]]="R",IF(Games[[#This Row],[Result]]&lt;0.5,1,0),0)</f>
        <v>1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43688</v>
      </c>
      <c r="B282" s="2">
        <v>2019</v>
      </c>
      <c r="C282" s="2">
        <f>COUNTIFS(Games[Team],Games[[#This Row],[Team]],Games[Season],Games[[#This Row],[Season]],Games[Date],"&lt;=" &amp; Games[[#This Row],[Date]])</f>
        <v>24</v>
      </c>
      <c r="D282" s="2" t="s">
        <v>79</v>
      </c>
      <c r="E282" s="2" t="s">
        <v>80</v>
      </c>
      <c r="F282" s="1" t="s">
        <v>75</v>
      </c>
      <c r="G282" s="1" t="s">
        <v>63</v>
      </c>
      <c r="H282" s="1" t="s">
        <v>81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2" s="2">
        <f>Games[[#This Row],[DaysOff]]-Games[[#This Row],[OppDaysOff]]</f>
        <v>-1</v>
      </c>
      <c r="L282" s="2">
        <f>Games[[#This Row],[OppDaysOff]]-Games[[#This Row],[DaysOff]]</f>
        <v>1</v>
      </c>
      <c r="M282" s="1">
        <f>MAX(-16, MIN(16, Games[[#This Row],[RestDiff]]*8))</f>
        <v>-8</v>
      </c>
      <c r="N282" s="1">
        <f>MAX(-16, MIN(16, Games[[#This Row],[OppRestDiff]]*8))</f>
        <v>8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1526.9997895389508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1574.2084527986024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0.29997830249954638</v>
      </c>
      <c r="R282" s="1">
        <v>81</v>
      </c>
      <c r="S282" s="1">
        <v>84</v>
      </c>
      <c r="T282" s="1">
        <v>0</v>
      </c>
      <c r="U282" s="1">
        <f>Games[[#This Row],[PointsFor]]-Games[[#This Row],[PointsAgainst]]</f>
        <v>-3</v>
      </c>
      <c r="V282" s="1">
        <f>IF(Games[[#This Row],[MOV]]&gt;0,1,IF(Games[[#This Row],[MOV]]=0,0.5,0))</f>
        <v>0</v>
      </c>
      <c r="W282" s="4">
        <f>((ABS(Games[[#This Row],[MOV]])+5)^0.6)/(12+0.01*(ABS(Games[[#This Row],[PreGmRate]]-Games[[#This Row],[OppPreGmRate]])))*IF(Games[[#This Row],[OT]]=1,0.9,1)</f>
        <v>0.27919965245298739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72.400000000000006</v>
      </c>
      <c r="Z282" s="4">
        <f>Games[[#This Row],[K]]*Games[[#This Row],[POMult]]</f>
        <v>72.400000000000006</v>
      </c>
      <c r="AA282" s="4">
        <f>(Games[[#This Row],[Keff]]*Games[[#This Row],[MOVMult]])*(Games[[#This Row],[Result]]-Games[[#This Row],[ExpectedWin%]])</f>
        <v>-6.0637778568148786</v>
      </c>
      <c r="AB282" s="4">
        <f>Games[[#This Row],[PreGmRate]]+Games[[#This Row],[RatingChange]]</f>
        <v>1520.936011682136</v>
      </c>
      <c r="AC282" s="2">
        <f>IF(Games[[#This Row],[Type]]="R",IF(Games[[#This Row],[Result]]&gt;0.5,1,0),0)</f>
        <v>0</v>
      </c>
      <c r="AD282" s="2">
        <f>IF(Games[[#This Row],[Type]]="R",IF(Games[[#This Row],[Result]]&lt;0.5,1,0),0)</f>
        <v>1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43688</v>
      </c>
      <c r="B283" s="2">
        <v>2019</v>
      </c>
      <c r="C283" s="2">
        <f>COUNTIFS(Games[Team],Games[[#This Row],[Team]],Games[Season],Games[[#This Row],[Season]],Games[Date],"&lt;=" &amp; Games[[#This Row],[Date]])</f>
        <v>23</v>
      </c>
      <c r="D283" s="2" t="s">
        <v>79</v>
      </c>
      <c r="E283" s="2" t="s">
        <v>80</v>
      </c>
      <c r="F283" s="1" t="s">
        <v>63</v>
      </c>
      <c r="G283" s="1" t="s">
        <v>75</v>
      </c>
      <c r="H283" s="1" t="s">
        <v>82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3" s="2">
        <f>Games[[#This Row],[DaysOff]]-Games[[#This Row],[OppDaysOff]]</f>
        <v>1</v>
      </c>
      <c r="L283" s="2">
        <f>Games[[#This Row],[OppDaysOff]]-Games[[#This Row],[DaysOff]]</f>
        <v>-1</v>
      </c>
      <c r="M283" s="1">
        <f>MAX(-16, MIN(16, Games[[#This Row],[RestDiff]]*8))</f>
        <v>8</v>
      </c>
      <c r="N283" s="1">
        <f>MAX(-16, MIN(16, Games[[#This Row],[OppRestDiff]]*8))</f>
        <v>-8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1574.2084527986024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1526.9997895389508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0.70002169750045362</v>
      </c>
      <c r="R283" s="1">
        <v>84</v>
      </c>
      <c r="S283" s="1">
        <v>81</v>
      </c>
      <c r="T283" s="1">
        <v>0</v>
      </c>
      <c r="U283" s="1">
        <f>Games[[#This Row],[PointsFor]]-Games[[#This Row],[PointsAgainst]]</f>
        <v>3</v>
      </c>
      <c r="V283" s="1">
        <f>IF(Games[[#This Row],[MOV]]&gt;0,1,IF(Games[[#This Row],[MOV]]=0,0.5,0))</f>
        <v>1</v>
      </c>
      <c r="W283" s="4">
        <f>((ABS(Games[[#This Row],[MOV]])+5)^0.6)/(12+0.01*(ABS(Games[[#This Row],[PreGmRate]]-Games[[#This Row],[OppPreGmRate]])))*IF(Games[[#This Row],[OT]]=1,0.9,1)</f>
        <v>0.27919965245298739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72.55</v>
      </c>
      <c r="Z283" s="4">
        <f>Games[[#This Row],[K]]*Games[[#This Row],[POMult]]</f>
        <v>72.55</v>
      </c>
      <c r="AA283" s="4">
        <f>(Games[[#This Row],[Keff]]*Games[[#This Row],[MOVMult]])*(Games[[#This Row],[Result]]-Games[[#This Row],[ExpectedWin%]])</f>
        <v>6.0763409324850741</v>
      </c>
      <c r="AB283" s="4">
        <f>Games[[#This Row],[PreGmRate]]+Games[[#This Row],[RatingChange]]</f>
        <v>1580.2847937310873</v>
      </c>
      <c r="AC283" s="2">
        <f>IF(Games[[#This Row],[Type]]="R",IF(Games[[#This Row],[Result]]&gt;0.5,1,0),0)</f>
        <v>1</v>
      </c>
      <c r="AD283" s="2">
        <f>IF(Games[[#This Row],[Type]]="R",IF(Games[[#This Row],[Result]]&lt;0.5,1,0),0)</f>
        <v>0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43688</v>
      </c>
      <c r="B284" s="2">
        <v>2019</v>
      </c>
      <c r="C284" s="2">
        <f>COUNTIFS(Games[Team],Games[[#This Row],[Team]],Games[Season],Games[[#This Row],[Season]],Games[Date],"&lt;=" &amp; Games[[#This Row],[Date]])</f>
        <v>24</v>
      </c>
      <c r="D284" s="2" t="s">
        <v>79</v>
      </c>
      <c r="E284" s="2" t="s">
        <v>80</v>
      </c>
      <c r="F284" s="1" t="s">
        <v>74</v>
      </c>
      <c r="G284" s="1" t="s">
        <v>86</v>
      </c>
      <c r="H284" s="1" t="s">
        <v>81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4" s="2">
        <f>Games[[#This Row],[DaysOff]]-Games[[#This Row],[OppDaysOff]]</f>
        <v>0</v>
      </c>
      <c r="L284" s="2">
        <f>Games[[#This Row],[OppDaysOff]]-Games[[#This Row],[DaysOff]]</f>
        <v>0</v>
      </c>
      <c r="M284" s="1">
        <f>MAX(-16, MIN(16, Games[[#This Row],[RestDiff]]*8))</f>
        <v>0</v>
      </c>
      <c r="N284" s="1">
        <f>MAX(-16, MIN(16, Games[[#This Row],[OppRestDiff]]*8))</f>
        <v>0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1583.4807933465056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1538.936829048127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0.44346104665014546</v>
      </c>
      <c r="R284" s="1">
        <v>81</v>
      </c>
      <c r="S284" s="1">
        <v>89</v>
      </c>
      <c r="T284" s="1">
        <v>0</v>
      </c>
      <c r="U284" s="1">
        <f>Games[[#This Row],[PointsFor]]-Games[[#This Row],[PointsAgainst]]</f>
        <v>-8</v>
      </c>
      <c r="V284" s="1">
        <f>IF(Games[[#This Row],[MOV]]&gt;0,1,IF(Games[[#This Row],[MOV]]=0,0.5,0))</f>
        <v>0</v>
      </c>
      <c r="W284" s="4">
        <f>((ABS(Games[[#This Row],[MOV]])+5)^0.6)/(12+0.01*(ABS(Games[[#This Row],[PreGmRate]]-Games[[#This Row],[OppPreGmRate]])))*IF(Games[[#This Row],[OT]]=1,0.9,1)</f>
        <v>0.37441718040576066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72.400000000000006</v>
      </c>
      <c r="Z284" s="4">
        <f>Games[[#This Row],[K]]*Games[[#This Row],[POMult]]</f>
        <v>72.400000000000006</v>
      </c>
      <c r="AA284" s="4">
        <f>(Games[[#This Row],[Keff]]*Games[[#This Row],[MOVMult]])*(Games[[#This Row],[Result]]-Games[[#This Row],[ExpectedWin%]])</f>
        <v>-12.021255072753132</v>
      </c>
      <c r="AB284" s="4">
        <f>Games[[#This Row],[PreGmRate]]+Games[[#This Row],[RatingChange]]</f>
        <v>1571.4595382737525</v>
      </c>
      <c r="AC284" s="2">
        <f>IF(Games[[#This Row],[Type]]="R",IF(Games[[#This Row],[Result]]&gt;0.5,1,0),0)</f>
        <v>0</v>
      </c>
      <c r="AD284" s="2">
        <f>IF(Games[[#This Row],[Type]]="R",IF(Games[[#This Row],[Result]]&lt;0.5,1,0),0)</f>
        <v>1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43688</v>
      </c>
      <c r="B285" s="2">
        <v>2019</v>
      </c>
      <c r="C285" s="2">
        <f>COUNTIFS(Games[Team],Games[[#This Row],[Team]],Games[Season],Games[[#This Row],[Season]],Games[Date],"&lt;=" &amp; Games[[#This Row],[Date]])</f>
        <v>25</v>
      </c>
      <c r="D285" s="2" t="s">
        <v>79</v>
      </c>
      <c r="E285" s="2" t="s">
        <v>80</v>
      </c>
      <c r="F285" s="1" t="s">
        <v>86</v>
      </c>
      <c r="G285" s="1" t="s">
        <v>74</v>
      </c>
      <c r="H285" s="1" t="s">
        <v>82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5" s="2">
        <f>Games[[#This Row],[DaysOff]]-Games[[#This Row],[OppDaysOff]]</f>
        <v>0</v>
      </c>
      <c r="L285" s="2">
        <f>Games[[#This Row],[OppDaysOff]]-Games[[#This Row],[DaysOff]]</f>
        <v>0</v>
      </c>
      <c r="M285" s="1">
        <f>MAX(-16, MIN(16, Games[[#This Row],[RestDiff]]*8))</f>
        <v>0</v>
      </c>
      <c r="N285" s="1">
        <f>MAX(-16, MIN(16, Games[[#This Row],[OppRestDiff]]*8))</f>
        <v>0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1538.936829048127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1583.4807933465056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0.55653895334985459</v>
      </c>
      <c r="R285" s="1">
        <v>89</v>
      </c>
      <c r="S285" s="1">
        <v>81</v>
      </c>
      <c r="T285" s="1">
        <v>0</v>
      </c>
      <c r="U285" s="1">
        <f>Games[[#This Row],[PointsFor]]-Games[[#This Row],[PointsAgainst]]</f>
        <v>8</v>
      </c>
      <c r="V285" s="1">
        <f>IF(Games[[#This Row],[MOV]]&gt;0,1,IF(Games[[#This Row],[MOV]]=0,0.5,0))</f>
        <v>1</v>
      </c>
      <c r="W285" s="4">
        <f>((ABS(Games[[#This Row],[MOV]])+5)^0.6)/(12+0.01*(ABS(Games[[#This Row],[PreGmRate]]-Games[[#This Row],[OppPreGmRate]])))*IF(Games[[#This Row],[OT]]=1,0.9,1)</f>
        <v>0.37441718040576066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72.25</v>
      </c>
      <c r="Z285" s="4">
        <f>Games[[#This Row],[K]]*Games[[#This Row],[POMult]]</f>
        <v>72.25</v>
      </c>
      <c r="AA285" s="4">
        <f>(Games[[#This Row],[Keff]]*Games[[#This Row],[MOVMult]])*(Games[[#This Row],[Result]]-Games[[#This Row],[ExpectedWin%]])</f>
        <v>11.996349157547149</v>
      </c>
      <c r="AB285" s="4">
        <f>Games[[#This Row],[PreGmRate]]+Games[[#This Row],[RatingChange]]</f>
        <v>1550.9331782056743</v>
      </c>
      <c r="AC285" s="2">
        <f>IF(Games[[#This Row],[Type]]="R",IF(Games[[#This Row],[Result]]&gt;0.5,1,0),0)</f>
        <v>1</v>
      </c>
      <c r="AD285" s="2">
        <f>IF(Games[[#This Row],[Type]]="R",IF(Games[[#This Row],[Result]]&lt;0.5,1,0),0)</f>
        <v>0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43688</v>
      </c>
      <c r="B286" s="2">
        <v>2019</v>
      </c>
      <c r="C286" s="2">
        <f>COUNTIFS(Games[Team],Games[[#This Row],[Team]],Games[Season],Games[[#This Row],[Season]],Games[Date],"&lt;=" &amp; Games[[#This Row],[Date]])</f>
        <v>25</v>
      </c>
      <c r="D286" s="2" t="s">
        <v>79</v>
      </c>
      <c r="E286" s="2" t="s">
        <v>80</v>
      </c>
      <c r="F286" s="1" t="s">
        <v>71</v>
      </c>
      <c r="G286" s="1" t="s">
        <v>60</v>
      </c>
      <c r="H286" s="1" t="s">
        <v>81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6" s="2">
        <f>Games[[#This Row],[DaysOff]]-Games[[#This Row],[OppDaysOff]]</f>
        <v>-1</v>
      </c>
      <c r="L286" s="2">
        <f>Games[[#This Row],[OppDaysOff]]-Games[[#This Row],[DaysOff]]</f>
        <v>1</v>
      </c>
      <c r="M286" s="1">
        <f>MAX(-16, MIN(16, Games[[#This Row],[RestDiff]]*8))</f>
        <v>-8</v>
      </c>
      <c r="N286" s="1">
        <f>MAX(-16, MIN(16, Games[[#This Row],[OppRestDiff]]*8))</f>
        <v>8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1548.9142849991069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1373.420867022269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0.60696561662307214</v>
      </c>
      <c r="R286" s="1">
        <v>84</v>
      </c>
      <c r="S286" s="1">
        <v>69</v>
      </c>
      <c r="T286" s="1">
        <v>0</v>
      </c>
      <c r="U286" s="1">
        <f>Games[[#This Row],[PointsFor]]-Games[[#This Row],[PointsAgainst]]</f>
        <v>15</v>
      </c>
      <c r="V286" s="1">
        <f>IF(Games[[#This Row],[MOV]]&gt;0,1,IF(Games[[#This Row],[MOV]]=0,0.5,0))</f>
        <v>1</v>
      </c>
      <c r="W286" s="4">
        <f>((ABS(Games[[#This Row],[MOV]])+5)^0.6)/(12+0.01*(ABS(Games[[#This Row],[PreGmRate]]-Games[[#This Row],[OppPreGmRate]])))*IF(Games[[#This Row],[OT]]=1,0.9,1)</f>
        <v>0.43869176381960495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72.25</v>
      </c>
      <c r="Z286" s="4">
        <f>Games[[#This Row],[K]]*Games[[#This Row],[POMult]]</f>
        <v>72.25</v>
      </c>
      <c r="AA286" s="4">
        <f>(Games[[#This Row],[Keff]]*Games[[#This Row],[MOVMult]])*(Games[[#This Row],[Result]]-Games[[#This Row],[ExpectedWin%]])</f>
        <v>12.457413412468366</v>
      </c>
      <c r="AB286" s="4">
        <f>Games[[#This Row],[PreGmRate]]+Games[[#This Row],[RatingChange]]</f>
        <v>1561.3716984115754</v>
      </c>
      <c r="AC286" s="2">
        <f>IF(Games[[#This Row],[Type]]="R",IF(Games[[#This Row],[Result]]&gt;0.5,1,0),0)</f>
        <v>1</v>
      </c>
      <c r="AD286" s="2">
        <f>IF(Games[[#This Row],[Type]]="R",IF(Games[[#This Row],[Result]]&lt;0.5,1,0),0)</f>
        <v>0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43688</v>
      </c>
      <c r="B287" s="2">
        <v>2019</v>
      </c>
      <c r="C287" s="2">
        <f>COUNTIFS(Games[Team],Games[[#This Row],[Team]],Games[Season],Games[[#This Row],[Season]],Games[Date],"&lt;=" &amp; Games[[#This Row],[Date]])</f>
        <v>23</v>
      </c>
      <c r="D287" s="2" t="s">
        <v>79</v>
      </c>
      <c r="E287" s="2" t="s">
        <v>80</v>
      </c>
      <c r="F287" s="1" t="s">
        <v>60</v>
      </c>
      <c r="G287" s="1" t="s">
        <v>71</v>
      </c>
      <c r="H287" s="1" t="s">
        <v>82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7" s="2">
        <f>Games[[#This Row],[DaysOff]]-Games[[#This Row],[OppDaysOff]]</f>
        <v>1</v>
      </c>
      <c r="L287" s="2">
        <f>Games[[#This Row],[OppDaysOff]]-Games[[#This Row],[DaysOff]]</f>
        <v>-1</v>
      </c>
      <c r="M287" s="1">
        <f>MAX(-16, MIN(16, Games[[#This Row],[RestDiff]]*8))</f>
        <v>8</v>
      </c>
      <c r="N287" s="1">
        <f>MAX(-16, MIN(16, Games[[#This Row],[OppRestDiff]]*8))</f>
        <v>-8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1373.420867022269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1548.9142849991069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0.39303438337692786</v>
      </c>
      <c r="R287" s="1">
        <v>69</v>
      </c>
      <c r="S287" s="1">
        <v>84</v>
      </c>
      <c r="T287" s="1">
        <v>0</v>
      </c>
      <c r="U287" s="1">
        <f>Games[[#This Row],[PointsFor]]-Games[[#This Row],[PointsAgainst]]</f>
        <v>-15</v>
      </c>
      <c r="V287" s="1">
        <f>IF(Games[[#This Row],[MOV]]&gt;0,1,IF(Games[[#This Row],[MOV]]=0,0.5,0))</f>
        <v>0</v>
      </c>
      <c r="W287" s="4">
        <f>((ABS(Games[[#This Row],[MOV]])+5)^0.6)/(12+0.01*(ABS(Games[[#This Row],[PreGmRate]]-Games[[#This Row],[OppPreGmRate]])))*IF(Games[[#This Row],[OT]]=1,0.9,1)</f>
        <v>0.43869176381960495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72.55</v>
      </c>
      <c r="Z287" s="4">
        <f>Games[[#This Row],[K]]*Games[[#This Row],[POMult]]</f>
        <v>72.55</v>
      </c>
      <c r="AA287" s="4">
        <f>(Games[[#This Row],[Keff]]*Games[[#This Row],[MOVMult]])*(Games[[#This Row],[Result]]-Games[[#This Row],[ExpectedWin%]])</f>
        <v>-12.509139696533978</v>
      </c>
      <c r="AB287" s="4">
        <f>Games[[#This Row],[PreGmRate]]+Games[[#This Row],[RatingChange]]</f>
        <v>1360.911727325735</v>
      </c>
      <c r="AC287" s="2">
        <f>IF(Games[[#This Row],[Type]]="R",IF(Games[[#This Row],[Result]]&gt;0.5,1,0),0)</f>
        <v>0</v>
      </c>
      <c r="AD287" s="2">
        <f>IF(Games[[#This Row],[Type]]="R",IF(Games[[#This Row],[Result]]&lt;0.5,1,0),0)</f>
        <v>1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43688</v>
      </c>
      <c r="B288" s="2">
        <v>2019</v>
      </c>
      <c r="C288" s="2">
        <f>COUNTIFS(Games[Team],Games[[#This Row],[Team]],Games[Season],Games[[#This Row],[Season]],Games[Date],"&lt;=" &amp; Games[[#This Row],[Date]])</f>
        <v>24</v>
      </c>
      <c r="D288" s="2" t="s">
        <v>79</v>
      </c>
      <c r="E288" s="2" t="s">
        <v>80</v>
      </c>
      <c r="F288" s="1" t="s">
        <v>67</v>
      </c>
      <c r="G288" s="1" t="s">
        <v>65</v>
      </c>
      <c r="H288" s="1" t="s">
        <v>81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8" s="2">
        <f>Games[[#This Row],[DaysOff]]-Games[[#This Row],[OppDaysOff]]</f>
        <v>-1</v>
      </c>
      <c r="L288" s="2">
        <f>Games[[#This Row],[OppDaysOff]]-Games[[#This Row],[DaysOff]]</f>
        <v>1</v>
      </c>
      <c r="M288" s="1">
        <f>MAX(-16, MIN(16, Games[[#This Row],[RestDiff]]*8))</f>
        <v>-8</v>
      </c>
      <c r="N288" s="1">
        <f>MAX(-16, MIN(16, Games[[#This Row],[OppRestDiff]]*8))</f>
        <v>8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1525.2662637482931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1653.83723562418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0.21152453701105223</v>
      </c>
      <c r="R288" s="1">
        <v>78</v>
      </c>
      <c r="S288" s="1">
        <v>101</v>
      </c>
      <c r="T288" s="1">
        <v>0</v>
      </c>
      <c r="U288" s="1">
        <f>Games[[#This Row],[PointsFor]]-Games[[#This Row],[PointsAgainst]]</f>
        <v>-23</v>
      </c>
      <c r="V288" s="1">
        <f>IF(Games[[#This Row],[MOV]]&gt;0,1,IF(Games[[#This Row],[MOV]]=0,0.5,0))</f>
        <v>0</v>
      </c>
      <c r="W288" s="4">
        <f>((ABS(Games[[#This Row],[MOV]])+5)^0.6)/(12+0.01*(ABS(Games[[#This Row],[PreGmRate]]-Games[[#This Row],[OppPreGmRate]])))*IF(Games[[#This Row],[OT]]=1,0.9,1)</f>
        <v>0.55578914390378742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72.400000000000006</v>
      </c>
      <c r="Z288" s="4">
        <f>Games[[#This Row],[K]]*Games[[#This Row],[POMult]]</f>
        <v>72.400000000000006</v>
      </c>
      <c r="AA288" s="4">
        <f>(Games[[#This Row],[Keff]]*Games[[#This Row],[MOVMult]])*(Games[[#This Row],[Result]]-Games[[#This Row],[ExpectedWin%]])</f>
        <v>-8.5115641930172821</v>
      </c>
      <c r="AB288" s="4">
        <f>Games[[#This Row],[PreGmRate]]+Games[[#This Row],[RatingChange]]</f>
        <v>1516.7546995552759</v>
      </c>
      <c r="AC288" s="2">
        <f>IF(Games[[#This Row],[Type]]="R",IF(Games[[#This Row],[Result]]&gt;0.5,1,0),0)</f>
        <v>0</v>
      </c>
      <c r="AD288" s="2">
        <f>IF(Games[[#This Row],[Type]]="R",IF(Games[[#This Row],[Result]]&lt;0.5,1,0),0)</f>
        <v>1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43688</v>
      </c>
      <c r="B289" s="2">
        <v>2019</v>
      </c>
      <c r="C289" s="2">
        <f>COUNTIFS(Games[Team],Games[[#This Row],[Team]],Games[Season],Games[[#This Row],[Season]],Games[Date],"&lt;=" &amp; Games[[#This Row],[Date]])</f>
        <v>24</v>
      </c>
      <c r="D289" s="2" t="s">
        <v>79</v>
      </c>
      <c r="E289" s="2" t="s">
        <v>80</v>
      </c>
      <c r="F289" s="1" t="s">
        <v>65</v>
      </c>
      <c r="G289" s="1" t="s">
        <v>67</v>
      </c>
      <c r="H289" s="1" t="s">
        <v>82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9" s="2">
        <f>Games[[#This Row],[DaysOff]]-Games[[#This Row],[OppDaysOff]]</f>
        <v>1</v>
      </c>
      <c r="L289" s="2">
        <f>Games[[#This Row],[OppDaysOff]]-Games[[#This Row],[DaysOff]]</f>
        <v>-1</v>
      </c>
      <c r="M289" s="1">
        <f>MAX(-16, MIN(16, Games[[#This Row],[RestDiff]]*8))</f>
        <v>8</v>
      </c>
      <c r="N289" s="1">
        <f>MAX(-16, MIN(16, Games[[#This Row],[OppRestDiff]]*8))</f>
        <v>-8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1653.83723562418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1525.2662637482931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0.78847546298894777</v>
      </c>
      <c r="R289" s="1">
        <v>101</v>
      </c>
      <c r="S289" s="1">
        <v>78</v>
      </c>
      <c r="T289" s="1">
        <v>0</v>
      </c>
      <c r="U289" s="1">
        <f>Games[[#This Row],[PointsFor]]-Games[[#This Row],[PointsAgainst]]</f>
        <v>23</v>
      </c>
      <c r="V289" s="1">
        <f>IF(Games[[#This Row],[MOV]]&gt;0,1,IF(Games[[#This Row],[MOV]]=0,0.5,0))</f>
        <v>1</v>
      </c>
      <c r="W289" s="4">
        <f>((ABS(Games[[#This Row],[MOV]])+5)^0.6)/(12+0.01*(ABS(Games[[#This Row],[PreGmRate]]-Games[[#This Row],[OppPreGmRate]])))*IF(Games[[#This Row],[OT]]=1,0.9,1)</f>
        <v>0.55578914390378742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72.400000000000006</v>
      </c>
      <c r="Z289" s="4">
        <f>Games[[#This Row],[K]]*Games[[#This Row],[POMult]]</f>
        <v>72.400000000000006</v>
      </c>
      <c r="AA289" s="4">
        <f>(Games[[#This Row],[Keff]]*Games[[#This Row],[MOVMult]])*(Games[[#This Row],[Result]]-Games[[#This Row],[ExpectedWin%]])</f>
        <v>8.5115641930172821</v>
      </c>
      <c r="AB289" s="4">
        <f>Games[[#This Row],[PreGmRate]]+Games[[#This Row],[RatingChange]]</f>
        <v>1662.3487998171972</v>
      </c>
      <c r="AC289" s="2">
        <f>IF(Games[[#This Row],[Type]]="R",IF(Games[[#This Row],[Result]]&gt;0.5,1,0),0)</f>
        <v>1</v>
      </c>
      <c r="AD289" s="2">
        <f>IF(Games[[#This Row],[Type]]="R",IF(Games[[#This Row],[Result]]&lt;0.5,1,0),0)</f>
        <v>0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43690</v>
      </c>
      <c r="B290" s="2">
        <v>2019</v>
      </c>
      <c r="C290" s="2">
        <f>COUNTIFS(Games[Team],Games[[#This Row],[Team]],Games[Season],Games[[#This Row],[Season]],Games[Date],"&lt;=" &amp; Games[[#This Row],[Date]])</f>
        <v>25</v>
      </c>
      <c r="D290" s="2" t="s">
        <v>79</v>
      </c>
      <c r="E290" s="2" t="s">
        <v>80</v>
      </c>
      <c r="F290" s="1" t="s">
        <v>77</v>
      </c>
      <c r="G290" s="1" t="s">
        <v>86</v>
      </c>
      <c r="H290" s="1" t="s">
        <v>81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0" s="2">
        <f>Games[[#This Row],[DaysOff]]-Games[[#This Row],[OppDaysOff]]</f>
        <v>1</v>
      </c>
      <c r="L290" s="2">
        <f>Games[[#This Row],[OppDaysOff]]-Games[[#This Row],[DaysOff]]</f>
        <v>-1</v>
      </c>
      <c r="M290" s="1">
        <f>MAX(-16, MIN(16, Games[[#This Row],[RestDiff]]*8))</f>
        <v>8</v>
      </c>
      <c r="N290" s="1">
        <f>MAX(-16, MIN(16, Games[[#This Row],[OppRestDiff]]*8))</f>
        <v>-8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1353.1282139375376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1550.9331782056743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0.17797958600829031</v>
      </c>
      <c r="R290" s="1">
        <v>90</v>
      </c>
      <c r="S290" s="1">
        <v>94</v>
      </c>
      <c r="T290" s="1">
        <v>0</v>
      </c>
      <c r="U290" s="1">
        <f>Games[[#This Row],[PointsFor]]-Games[[#This Row],[PointsAgainst]]</f>
        <v>-4</v>
      </c>
      <c r="V290" s="1">
        <f>IF(Games[[#This Row],[MOV]]&gt;0,1,IF(Games[[#This Row],[MOV]]=0,0.5,0))</f>
        <v>0</v>
      </c>
      <c r="W290" s="4">
        <f>((ABS(Games[[#This Row],[MOV]])+5)^0.6)/(12+0.01*(ABS(Games[[#This Row],[PreGmRate]]-Games[[#This Row],[OppPreGmRate]])))*IF(Games[[#This Row],[OT]]=1,0.9,1)</f>
        <v>0.2673615357206342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72.25</v>
      </c>
      <c r="Z290" s="4">
        <f>Games[[#This Row],[K]]*Games[[#This Row],[POMult]]</f>
        <v>72.25</v>
      </c>
      <c r="AA290" s="4">
        <f>(Games[[#This Row],[Keff]]*Games[[#This Row],[MOVMult]])*(Games[[#This Row],[Result]]-Games[[#This Row],[ExpectedWin%]])</f>
        <v>-3.4380086956916673</v>
      </c>
      <c r="AB290" s="4">
        <f>Games[[#This Row],[PreGmRate]]+Games[[#This Row],[RatingChange]]</f>
        <v>1349.6902052418459</v>
      </c>
      <c r="AC290" s="2">
        <f>IF(Games[[#This Row],[Type]]="R",IF(Games[[#This Row],[Result]]&gt;0.5,1,0),0)</f>
        <v>0</v>
      </c>
      <c r="AD290" s="2">
        <f>IF(Games[[#This Row],[Type]]="R",IF(Games[[#This Row],[Result]]&lt;0.5,1,0),0)</f>
        <v>1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43690</v>
      </c>
      <c r="B291" s="2">
        <v>2019</v>
      </c>
      <c r="C291" s="2">
        <f>COUNTIFS(Games[Team],Games[[#This Row],[Team]],Games[Season],Games[[#This Row],[Season]],Games[Date],"&lt;=" &amp; Games[[#This Row],[Date]])</f>
        <v>26</v>
      </c>
      <c r="D291" s="2" t="s">
        <v>79</v>
      </c>
      <c r="E291" s="2" t="s">
        <v>80</v>
      </c>
      <c r="F291" s="1" t="s">
        <v>86</v>
      </c>
      <c r="G291" s="1" t="s">
        <v>77</v>
      </c>
      <c r="H291" s="1" t="s">
        <v>82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1" s="2">
        <f>Games[[#This Row],[DaysOff]]-Games[[#This Row],[OppDaysOff]]</f>
        <v>-1</v>
      </c>
      <c r="L291" s="2">
        <f>Games[[#This Row],[OppDaysOff]]-Games[[#This Row],[DaysOff]]</f>
        <v>1</v>
      </c>
      <c r="M291" s="1">
        <f>MAX(-16, MIN(16, Games[[#This Row],[RestDiff]]*8))</f>
        <v>-8</v>
      </c>
      <c r="N291" s="1">
        <f>MAX(-16, MIN(16, Games[[#This Row],[OppRestDiff]]*8))</f>
        <v>8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1550.9331782056743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1353.1282139375376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0.82202041399170966</v>
      </c>
      <c r="R291" s="1">
        <v>94</v>
      </c>
      <c r="S291" s="1">
        <v>90</v>
      </c>
      <c r="T291" s="1">
        <v>0</v>
      </c>
      <c r="U291" s="1">
        <f>Games[[#This Row],[PointsFor]]-Games[[#This Row],[PointsAgainst]]</f>
        <v>4</v>
      </c>
      <c r="V291" s="1">
        <f>IF(Games[[#This Row],[MOV]]&gt;0,1,IF(Games[[#This Row],[MOV]]=0,0.5,0))</f>
        <v>1</v>
      </c>
      <c r="W291" s="4">
        <f>((ABS(Games[[#This Row],[MOV]])+5)^0.6)/(12+0.01*(ABS(Games[[#This Row],[PreGmRate]]-Games[[#This Row],[OppPreGmRate]])))*IF(Games[[#This Row],[OT]]=1,0.9,1)</f>
        <v>0.2673615357206342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72.099999999999994</v>
      </c>
      <c r="Z291" s="4">
        <f>Games[[#This Row],[K]]*Games[[#This Row],[POMult]]</f>
        <v>72.099999999999994</v>
      </c>
      <c r="AA291" s="4">
        <f>(Games[[#This Row],[Keff]]*Games[[#This Row],[MOVMult]])*(Games[[#This Row],[Result]]-Games[[#This Row],[ExpectedWin%]])</f>
        <v>3.4308709613753527</v>
      </c>
      <c r="AB291" s="4">
        <f>Games[[#This Row],[PreGmRate]]+Games[[#This Row],[RatingChange]]</f>
        <v>1554.3640491670496</v>
      </c>
      <c r="AC291" s="2">
        <f>IF(Games[[#This Row],[Type]]="R",IF(Games[[#This Row],[Result]]&gt;0.5,1,0),0)</f>
        <v>1</v>
      </c>
      <c r="AD291" s="2">
        <f>IF(Games[[#This Row],[Type]]="R",IF(Games[[#This Row],[Result]]&lt;0.5,1,0),0)</f>
        <v>0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43690</v>
      </c>
      <c r="B292" s="2">
        <v>2019</v>
      </c>
      <c r="C292" s="2">
        <f>COUNTIFS(Games[Team],Games[[#This Row],[Team]],Games[Season],Games[[#This Row],[Season]],Games[Date],"&lt;=" &amp; Games[[#This Row],[Date]])</f>
        <v>25</v>
      </c>
      <c r="D292" s="2" t="s">
        <v>79</v>
      </c>
      <c r="E292" s="2" t="s">
        <v>80</v>
      </c>
      <c r="F292" s="1" t="s">
        <v>67</v>
      </c>
      <c r="G292" s="1" t="s">
        <v>60</v>
      </c>
      <c r="H292" s="1" t="s">
        <v>81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2" s="2">
        <f>Games[[#This Row],[DaysOff]]-Games[[#This Row],[OppDaysOff]]</f>
        <v>0</v>
      </c>
      <c r="L292" s="2">
        <f>Games[[#This Row],[OppDaysOff]]-Games[[#This Row],[DaysOff]]</f>
        <v>0</v>
      </c>
      <c r="M292" s="1">
        <f>MAX(-16, MIN(16, Games[[#This Row],[RestDiff]]*8))</f>
        <v>0</v>
      </c>
      <c r="N292" s="1">
        <f>MAX(-16, MIN(16, Games[[#This Row],[OppRestDiff]]*8))</f>
        <v>0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1516.7546995552759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1360.911727325735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0.60194152566942849</v>
      </c>
      <c r="R292" s="1">
        <v>89</v>
      </c>
      <c r="S292" s="1">
        <v>73</v>
      </c>
      <c r="T292" s="1">
        <v>0</v>
      </c>
      <c r="U292" s="1">
        <f>Games[[#This Row],[PointsFor]]-Games[[#This Row],[PointsAgainst]]</f>
        <v>16</v>
      </c>
      <c r="V292" s="1">
        <f>IF(Games[[#This Row],[MOV]]&gt;0,1,IF(Games[[#This Row],[MOV]]=0,0.5,0))</f>
        <v>1</v>
      </c>
      <c r="W292" s="4">
        <f>((ABS(Games[[#This Row],[MOV]])+5)^0.6)/(12+0.01*(ABS(Games[[#This Row],[PreGmRate]]-Games[[#This Row],[OppPreGmRate]])))*IF(Games[[#This Row],[OT]]=1,0.9,1)</f>
        <v>0.4582707964435887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72.25</v>
      </c>
      <c r="Z292" s="4">
        <f>Games[[#This Row],[K]]*Games[[#This Row],[POMult]]</f>
        <v>72.25</v>
      </c>
      <c r="AA292" s="4">
        <f>(Games[[#This Row],[Keff]]*Games[[#This Row],[MOVMult]])*(Games[[#This Row],[Result]]-Games[[#This Row],[ExpectedWin%]])</f>
        <v>13.179741976022186</v>
      </c>
      <c r="AB292" s="4">
        <f>Games[[#This Row],[PreGmRate]]+Games[[#This Row],[RatingChange]]</f>
        <v>1529.934441531298</v>
      </c>
      <c r="AC292" s="2">
        <f>IF(Games[[#This Row],[Type]]="R",IF(Games[[#This Row],[Result]]&gt;0.5,1,0),0)</f>
        <v>1</v>
      </c>
      <c r="AD292" s="2">
        <f>IF(Games[[#This Row],[Type]]="R",IF(Games[[#This Row],[Result]]&lt;0.5,1,0),0)</f>
        <v>0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43690</v>
      </c>
      <c r="B293" s="2">
        <v>2019</v>
      </c>
      <c r="C293" s="2">
        <f>COUNTIFS(Games[Team],Games[[#This Row],[Team]],Games[Season],Games[[#This Row],[Season]],Games[Date],"&lt;=" &amp; Games[[#This Row],[Date]])</f>
        <v>24</v>
      </c>
      <c r="D293" s="2" t="s">
        <v>79</v>
      </c>
      <c r="E293" s="2" t="s">
        <v>80</v>
      </c>
      <c r="F293" s="1" t="s">
        <v>60</v>
      </c>
      <c r="G293" s="1" t="s">
        <v>67</v>
      </c>
      <c r="H293" s="1" t="s">
        <v>82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3" s="2">
        <f>Games[[#This Row],[DaysOff]]-Games[[#This Row],[OppDaysOff]]</f>
        <v>0</v>
      </c>
      <c r="L293" s="2">
        <f>Games[[#This Row],[OppDaysOff]]-Games[[#This Row],[DaysOff]]</f>
        <v>0</v>
      </c>
      <c r="M293" s="1">
        <f>MAX(-16, MIN(16, Games[[#This Row],[RestDiff]]*8))</f>
        <v>0</v>
      </c>
      <c r="N293" s="1">
        <f>MAX(-16, MIN(16, Games[[#This Row],[OppRestDiff]]*8))</f>
        <v>0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1360.911727325735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1516.7546995552759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0.39805847433057151</v>
      </c>
      <c r="R293" s="1">
        <v>73</v>
      </c>
      <c r="S293" s="1">
        <v>89</v>
      </c>
      <c r="T293" s="1">
        <v>0</v>
      </c>
      <c r="U293" s="1">
        <f>Games[[#This Row],[PointsFor]]-Games[[#This Row],[PointsAgainst]]</f>
        <v>-16</v>
      </c>
      <c r="V293" s="1">
        <f>IF(Games[[#This Row],[MOV]]&gt;0,1,IF(Games[[#This Row],[MOV]]=0,0.5,0))</f>
        <v>0</v>
      </c>
      <c r="W293" s="4">
        <f>((ABS(Games[[#This Row],[MOV]])+5)^0.6)/(12+0.01*(ABS(Games[[#This Row],[PreGmRate]]-Games[[#This Row],[OppPreGmRate]])))*IF(Games[[#This Row],[OT]]=1,0.9,1)</f>
        <v>0.4582707964435887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72.400000000000006</v>
      </c>
      <c r="Z293" s="4">
        <f>Games[[#This Row],[K]]*Games[[#This Row],[POMult]]</f>
        <v>72.400000000000006</v>
      </c>
      <c r="AA293" s="4">
        <f>(Games[[#This Row],[Keff]]*Games[[#This Row],[MOVMult]])*(Games[[#This Row],[Result]]-Games[[#This Row],[ExpectedWin%]])</f>
        <v>-13.207104762131577</v>
      </c>
      <c r="AB293" s="4">
        <f>Games[[#This Row],[PreGmRate]]+Games[[#This Row],[RatingChange]]</f>
        <v>1347.7046225636034</v>
      </c>
      <c r="AC293" s="2">
        <f>IF(Games[[#This Row],[Type]]="R",IF(Games[[#This Row],[Result]]&gt;0.5,1,0),0)</f>
        <v>0</v>
      </c>
      <c r="AD293" s="2">
        <f>IF(Games[[#This Row],[Type]]="R",IF(Games[[#This Row],[Result]]&lt;0.5,1,0),0)</f>
        <v>1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43691</v>
      </c>
      <c r="B294" s="2">
        <v>2019</v>
      </c>
      <c r="C294" s="2">
        <f>COUNTIFS(Games[Team],Games[[#This Row],[Team]],Games[Season],Games[[#This Row],[Season]],Games[Date],"&lt;=" &amp; Games[[#This Row],[Date]])</f>
        <v>24</v>
      </c>
      <c r="D294" s="2" t="s">
        <v>79</v>
      </c>
      <c r="E294" s="2" t="s">
        <v>80</v>
      </c>
      <c r="F294" s="1" t="s">
        <v>63</v>
      </c>
      <c r="G294" s="1" t="s">
        <v>85</v>
      </c>
      <c r="H294" s="1" t="s">
        <v>81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94" s="2">
        <f>Games[[#This Row],[DaysOff]]-Games[[#This Row],[OppDaysOff]]</f>
        <v>-1</v>
      </c>
      <c r="L294" s="2">
        <f>Games[[#This Row],[OppDaysOff]]-Games[[#This Row],[DaysOff]]</f>
        <v>1</v>
      </c>
      <c r="M294" s="1">
        <f>MAX(-16, MIN(16, Games[[#This Row],[RestDiff]]*8))</f>
        <v>-8</v>
      </c>
      <c r="N294" s="1">
        <f>MAX(-16, MIN(16, Games[[#This Row],[OppRestDiff]]*8))</f>
        <v>8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1580.2847937310873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1399.4918608194903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0.61421895645264013</v>
      </c>
      <c r="R294" s="1">
        <v>78</v>
      </c>
      <c r="S294" s="1">
        <v>84</v>
      </c>
      <c r="T294" s="1">
        <v>0</v>
      </c>
      <c r="U294" s="1">
        <f>Games[[#This Row],[PointsFor]]-Games[[#This Row],[PointsAgainst]]</f>
        <v>-6</v>
      </c>
      <c r="V294" s="1">
        <f>IF(Games[[#This Row],[MOV]]&gt;0,1,IF(Games[[#This Row],[MOV]]=0,0.5,0))</f>
        <v>0</v>
      </c>
      <c r="W294" s="4">
        <f>((ABS(Games[[#This Row],[MOV]])+5)^0.6)/(12+0.01*(ABS(Games[[#This Row],[PreGmRate]]-Games[[#This Row],[OppPreGmRate]])))*IF(Games[[#This Row],[OT]]=1,0.9,1)</f>
        <v>0.30528611731834393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72.400000000000006</v>
      </c>
      <c r="Z294" s="4">
        <f>Games[[#This Row],[K]]*Games[[#This Row],[POMult]]</f>
        <v>72.400000000000006</v>
      </c>
      <c r="AA294" s="4">
        <f>(Games[[#This Row],[Keff]]*Games[[#This Row],[MOVMult]])*(Games[[#This Row],[Result]]-Games[[#This Row],[ExpectedWin%]])</f>
        <v>-13.575906476869608</v>
      </c>
      <c r="AB294" s="4">
        <f>Games[[#This Row],[PreGmRate]]+Games[[#This Row],[RatingChange]]</f>
        <v>1566.7088872542176</v>
      </c>
      <c r="AC294" s="2">
        <f>IF(Games[[#This Row],[Type]]="R",IF(Games[[#This Row],[Result]]&gt;0.5,1,0),0)</f>
        <v>0</v>
      </c>
      <c r="AD294" s="2">
        <f>IF(Games[[#This Row],[Type]]="R",IF(Games[[#This Row],[Result]]&lt;0.5,1,0),0)</f>
        <v>1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43691</v>
      </c>
      <c r="B295" s="2">
        <v>2019</v>
      </c>
      <c r="C295" s="2">
        <f>COUNTIFS(Games[Team],Games[[#This Row],[Team]],Games[Season],Games[[#This Row],[Season]],Games[Date],"&lt;=" &amp; Games[[#This Row],[Date]])</f>
        <v>25</v>
      </c>
      <c r="D295" s="2" t="s">
        <v>79</v>
      </c>
      <c r="E295" s="2" t="s">
        <v>80</v>
      </c>
      <c r="F295" s="1" t="s">
        <v>85</v>
      </c>
      <c r="G295" s="1" t="s">
        <v>63</v>
      </c>
      <c r="H295" s="1" t="s">
        <v>82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5" s="2">
        <f>Games[[#This Row],[DaysOff]]-Games[[#This Row],[OppDaysOff]]</f>
        <v>1</v>
      </c>
      <c r="L295" s="2">
        <f>Games[[#This Row],[OppDaysOff]]-Games[[#This Row],[DaysOff]]</f>
        <v>-1</v>
      </c>
      <c r="M295" s="1">
        <f>MAX(-16, MIN(16, Games[[#This Row],[RestDiff]]*8))</f>
        <v>8</v>
      </c>
      <c r="N295" s="1">
        <f>MAX(-16, MIN(16, Games[[#This Row],[OppRestDiff]]*8))</f>
        <v>-8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1399.4918608194903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1580.2847937310873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0.38578104354735987</v>
      </c>
      <c r="R295" s="1">
        <v>84</v>
      </c>
      <c r="S295" s="1">
        <v>78</v>
      </c>
      <c r="T295" s="1">
        <v>0</v>
      </c>
      <c r="U295" s="1">
        <f>Games[[#This Row],[PointsFor]]-Games[[#This Row],[PointsAgainst]]</f>
        <v>6</v>
      </c>
      <c r="V295" s="1">
        <f>IF(Games[[#This Row],[MOV]]&gt;0,1,IF(Games[[#This Row],[MOV]]=0,0.5,0))</f>
        <v>1</v>
      </c>
      <c r="W295" s="4">
        <f>((ABS(Games[[#This Row],[MOV]])+5)^0.6)/(12+0.01*(ABS(Games[[#This Row],[PreGmRate]]-Games[[#This Row],[OppPreGmRate]])))*IF(Games[[#This Row],[OT]]=1,0.9,1)</f>
        <v>0.30528611731834393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72.25</v>
      </c>
      <c r="Z295" s="4">
        <f>Games[[#This Row],[K]]*Games[[#This Row],[POMult]]</f>
        <v>72.25</v>
      </c>
      <c r="AA295" s="4">
        <f>(Games[[#This Row],[Keff]]*Games[[#This Row],[MOVMult]])*(Games[[#This Row],[Result]]-Games[[#This Row],[ExpectedWin%]])</f>
        <v>13.547779598809793</v>
      </c>
      <c r="AB295" s="4">
        <f>Games[[#This Row],[PreGmRate]]+Games[[#This Row],[RatingChange]]</f>
        <v>1413.0396404183</v>
      </c>
      <c r="AC295" s="2">
        <f>IF(Games[[#This Row],[Type]]="R",IF(Games[[#This Row],[Result]]&gt;0.5,1,0),0)</f>
        <v>1</v>
      </c>
      <c r="AD295" s="2">
        <f>IF(Games[[#This Row],[Type]]="R",IF(Games[[#This Row],[Result]]&lt;0.5,1,0),0)</f>
        <v>0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43691</v>
      </c>
      <c r="B296" s="2">
        <v>2019</v>
      </c>
      <c r="C296" s="2">
        <f>COUNTIFS(Games[Team],Games[[#This Row],[Team]],Games[Season],Games[[#This Row],[Season]],Games[Date],"&lt;=" &amp; Games[[#This Row],[Date]])</f>
        <v>25</v>
      </c>
      <c r="D296" s="2" t="s">
        <v>79</v>
      </c>
      <c r="E296" s="2" t="s">
        <v>80</v>
      </c>
      <c r="F296" s="1" t="s">
        <v>74</v>
      </c>
      <c r="G296" s="1" t="s">
        <v>40</v>
      </c>
      <c r="H296" s="1" t="s">
        <v>81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96" s="2">
        <f>Games[[#This Row],[DaysOff]]-Games[[#This Row],[OppDaysOff]]</f>
        <v>-1</v>
      </c>
      <c r="L296" s="2">
        <f>Games[[#This Row],[OppDaysOff]]-Games[[#This Row],[DaysOff]]</f>
        <v>1</v>
      </c>
      <c r="M296" s="1">
        <f>MAX(-16, MIN(16, Games[[#This Row],[RestDiff]]*8))</f>
        <v>-8</v>
      </c>
      <c r="N296" s="1">
        <f>MAX(-16, MIN(16, Games[[#This Row],[OppRestDiff]]*8))</f>
        <v>8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1571.4595382737525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1517.7737996365365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0.43374042758864045</v>
      </c>
      <c r="R296" s="1">
        <v>78</v>
      </c>
      <c r="S296" s="1">
        <v>71</v>
      </c>
      <c r="T296" s="1">
        <v>0</v>
      </c>
      <c r="U296" s="1">
        <f>Games[[#This Row],[PointsFor]]-Games[[#This Row],[PointsAgainst]]</f>
        <v>7</v>
      </c>
      <c r="V296" s="1">
        <f>IF(Games[[#This Row],[MOV]]&gt;0,1,IF(Games[[#This Row],[MOV]]=0,0.5,0))</f>
        <v>1</v>
      </c>
      <c r="W296" s="4">
        <f>((ABS(Games[[#This Row],[MOV]])+5)^0.6)/(12+0.01*(ABS(Games[[#This Row],[PreGmRate]]-Games[[#This Row],[OppPreGmRate]])))*IF(Games[[#This Row],[OT]]=1,0.9,1)</f>
        <v>0.35425832271759072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72.25</v>
      </c>
      <c r="Z296" s="4">
        <f>Games[[#This Row],[K]]*Games[[#This Row],[POMult]]</f>
        <v>72.25</v>
      </c>
      <c r="AA296" s="4">
        <f>(Games[[#This Row],[Keff]]*Games[[#This Row],[MOVMult]])*(Games[[#This Row],[Result]]-Games[[#This Row],[ExpectedWin%]])</f>
        <v>14.493506518442747</v>
      </c>
      <c r="AB296" s="4">
        <f>Games[[#This Row],[PreGmRate]]+Games[[#This Row],[RatingChange]]</f>
        <v>1585.9530447921952</v>
      </c>
      <c r="AC296" s="2">
        <f>IF(Games[[#This Row],[Type]]="R",IF(Games[[#This Row],[Result]]&gt;0.5,1,0),0)</f>
        <v>1</v>
      </c>
      <c r="AD296" s="2">
        <f>IF(Games[[#This Row],[Type]]="R",IF(Games[[#This Row],[Result]]&lt;0.5,1,0),0)</f>
        <v>0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43691</v>
      </c>
      <c r="B297" s="2">
        <v>2019</v>
      </c>
      <c r="C297" s="2">
        <f>COUNTIFS(Games[Team],Games[[#This Row],[Team]],Games[Season],Games[[#This Row],[Season]],Games[Date],"&lt;=" &amp; Games[[#This Row],[Date]])</f>
        <v>24</v>
      </c>
      <c r="D297" s="2" t="s">
        <v>79</v>
      </c>
      <c r="E297" s="2" t="s">
        <v>80</v>
      </c>
      <c r="F297" s="1" t="s">
        <v>40</v>
      </c>
      <c r="G297" s="1" t="s">
        <v>74</v>
      </c>
      <c r="H297" s="1" t="s">
        <v>82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7" s="2">
        <f>Games[[#This Row],[DaysOff]]-Games[[#This Row],[OppDaysOff]]</f>
        <v>1</v>
      </c>
      <c r="L297" s="2">
        <f>Games[[#This Row],[OppDaysOff]]-Games[[#This Row],[DaysOff]]</f>
        <v>-1</v>
      </c>
      <c r="M297" s="1">
        <f>MAX(-16, MIN(16, Games[[#This Row],[RestDiff]]*8))</f>
        <v>8</v>
      </c>
      <c r="N297" s="1">
        <f>MAX(-16, MIN(16, Games[[#This Row],[OppRestDiff]]*8))</f>
        <v>-8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1517.7737996365365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1571.4595382737525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0.5662595724113596</v>
      </c>
      <c r="R297" s="1">
        <v>71</v>
      </c>
      <c r="S297" s="1">
        <v>78</v>
      </c>
      <c r="T297" s="1">
        <v>0</v>
      </c>
      <c r="U297" s="1">
        <f>Games[[#This Row],[PointsFor]]-Games[[#This Row],[PointsAgainst]]</f>
        <v>-7</v>
      </c>
      <c r="V297" s="1">
        <f>IF(Games[[#This Row],[MOV]]&gt;0,1,IF(Games[[#This Row],[MOV]]=0,0.5,0))</f>
        <v>0</v>
      </c>
      <c r="W297" s="4">
        <f>((ABS(Games[[#This Row],[MOV]])+5)^0.6)/(12+0.01*(ABS(Games[[#This Row],[PreGmRate]]-Games[[#This Row],[OppPreGmRate]])))*IF(Games[[#This Row],[OT]]=1,0.9,1)</f>
        <v>0.35425832271759072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72.400000000000006</v>
      </c>
      <c r="Z297" s="4">
        <f>Games[[#This Row],[K]]*Games[[#This Row],[POMult]]</f>
        <v>72.400000000000006</v>
      </c>
      <c r="AA297" s="4">
        <f>(Games[[#This Row],[Keff]]*Games[[#This Row],[MOVMult]])*(Games[[#This Row],[Result]]-Games[[#This Row],[ExpectedWin%]])</f>
        <v>-14.523596843394534</v>
      </c>
      <c r="AB297" s="4">
        <f>Games[[#This Row],[PreGmRate]]+Games[[#This Row],[RatingChange]]</f>
        <v>1503.2502027931421</v>
      </c>
      <c r="AC297" s="2">
        <f>IF(Games[[#This Row],[Type]]="R",IF(Games[[#This Row],[Result]]&gt;0.5,1,0),0)</f>
        <v>0</v>
      </c>
      <c r="AD297" s="2">
        <f>IF(Games[[#This Row],[Type]]="R",IF(Games[[#This Row],[Result]]&lt;0.5,1,0),0)</f>
        <v>1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43691</v>
      </c>
      <c r="B298" s="2">
        <v>2019</v>
      </c>
      <c r="C298" s="2">
        <f>COUNTIFS(Games[Team],Games[[#This Row],[Team]],Games[Season],Games[[#This Row],[Season]],Games[Date],"&lt;=" &amp; Games[[#This Row],[Date]])</f>
        <v>26</v>
      </c>
      <c r="D298" s="2" t="s">
        <v>79</v>
      </c>
      <c r="E298" s="2" t="s">
        <v>80</v>
      </c>
      <c r="F298" s="1" t="s">
        <v>71</v>
      </c>
      <c r="G298" s="1" t="s">
        <v>65</v>
      </c>
      <c r="H298" s="1" t="s">
        <v>81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8" s="2">
        <f>Games[[#This Row],[DaysOff]]-Games[[#This Row],[OppDaysOff]]</f>
        <v>0</v>
      </c>
      <c r="L298" s="2">
        <f>Games[[#This Row],[OppDaysOff]]-Games[[#This Row],[DaysOff]]</f>
        <v>0</v>
      </c>
      <c r="M298" s="1">
        <f>MAX(-16, MIN(16, Games[[#This Row],[RestDiff]]*8))</f>
        <v>0</v>
      </c>
      <c r="N298" s="1">
        <f>MAX(-16, MIN(16, Games[[#This Row],[OppRestDiff]]*8))</f>
        <v>0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1561.3716984115754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1662.3487998171972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0.25639060828579491</v>
      </c>
      <c r="R298" s="1">
        <v>59</v>
      </c>
      <c r="S298" s="1">
        <v>88</v>
      </c>
      <c r="T298" s="1">
        <v>0</v>
      </c>
      <c r="U298" s="1">
        <f>Games[[#This Row],[PointsFor]]-Games[[#This Row],[PointsAgainst]]</f>
        <v>-29</v>
      </c>
      <c r="V298" s="1">
        <f>IF(Games[[#This Row],[MOV]]&gt;0,1,IF(Games[[#This Row],[MOV]]=0,0.5,0))</f>
        <v>0</v>
      </c>
      <c r="W298" s="4">
        <f>((ABS(Games[[#This Row],[MOV]])+5)^0.6)/(12+0.01*(ABS(Games[[#This Row],[PreGmRate]]-Games[[#This Row],[OppPreGmRate]])))*IF(Games[[#This Row],[OT]]=1,0.9,1)</f>
        <v>0.63770188046873499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72.099999999999994</v>
      </c>
      <c r="Z298" s="4">
        <f>Games[[#This Row],[K]]*Games[[#This Row],[POMult]]</f>
        <v>72.099999999999994</v>
      </c>
      <c r="AA298" s="4">
        <f>(Games[[#This Row],[Keff]]*Games[[#This Row],[MOVMult]])*(Games[[#This Row],[Result]]-Games[[#This Row],[ExpectedWin%]])</f>
        <v>-11.788405736066782</v>
      </c>
      <c r="AB298" s="4">
        <f>Games[[#This Row],[PreGmRate]]+Games[[#This Row],[RatingChange]]</f>
        <v>1549.5832926755086</v>
      </c>
      <c r="AC298" s="2">
        <f>IF(Games[[#This Row],[Type]]="R",IF(Games[[#This Row],[Result]]&gt;0.5,1,0),0)</f>
        <v>0</v>
      </c>
      <c r="AD298" s="2">
        <f>IF(Games[[#This Row],[Type]]="R",IF(Games[[#This Row],[Result]]&lt;0.5,1,0),0)</f>
        <v>1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43691</v>
      </c>
      <c r="B299" s="2">
        <v>2019</v>
      </c>
      <c r="C299" s="2">
        <f>COUNTIFS(Games[Team],Games[[#This Row],[Team]],Games[Season],Games[[#This Row],[Season]],Games[Date],"&lt;=" &amp; Games[[#This Row],[Date]])</f>
        <v>25</v>
      </c>
      <c r="D299" s="2" t="s">
        <v>79</v>
      </c>
      <c r="E299" s="2" t="s">
        <v>80</v>
      </c>
      <c r="F299" s="1" t="s">
        <v>65</v>
      </c>
      <c r="G299" s="1" t="s">
        <v>71</v>
      </c>
      <c r="H299" s="1" t="s">
        <v>82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9" s="2">
        <f>Games[[#This Row],[DaysOff]]-Games[[#This Row],[OppDaysOff]]</f>
        <v>0</v>
      </c>
      <c r="L299" s="2">
        <f>Games[[#This Row],[OppDaysOff]]-Games[[#This Row],[DaysOff]]</f>
        <v>0</v>
      </c>
      <c r="M299" s="1">
        <f>MAX(-16, MIN(16, Games[[#This Row],[RestDiff]]*8))</f>
        <v>0</v>
      </c>
      <c r="N299" s="1">
        <f>MAX(-16, MIN(16, Games[[#This Row],[OppRestDiff]]*8))</f>
        <v>0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1662.3487998171972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1561.3716984115754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0.74360939171420515</v>
      </c>
      <c r="R299" s="1">
        <v>88</v>
      </c>
      <c r="S299" s="1">
        <v>59</v>
      </c>
      <c r="T299" s="1">
        <v>0</v>
      </c>
      <c r="U299" s="1">
        <f>Games[[#This Row],[PointsFor]]-Games[[#This Row],[PointsAgainst]]</f>
        <v>29</v>
      </c>
      <c r="V299" s="1">
        <f>IF(Games[[#This Row],[MOV]]&gt;0,1,IF(Games[[#This Row],[MOV]]=0,0.5,0))</f>
        <v>1</v>
      </c>
      <c r="W299" s="4">
        <f>((ABS(Games[[#This Row],[MOV]])+5)^0.6)/(12+0.01*(ABS(Games[[#This Row],[PreGmRate]]-Games[[#This Row],[OppPreGmRate]])))*IF(Games[[#This Row],[OT]]=1,0.9,1)</f>
        <v>0.63770188046873499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72.25</v>
      </c>
      <c r="Z299" s="4">
        <f>Games[[#This Row],[K]]*Games[[#This Row],[POMult]]</f>
        <v>72.25</v>
      </c>
      <c r="AA299" s="4">
        <f>(Games[[#This Row],[Keff]]*Games[[#This Row],[MOVMult]])*(Games[[#This Row],[Result]]-Games[[#This Row],[ExpectedWin%]])</f>
        <v>11.812930852022538</v>
      </c>
      <c r="AB299" s="4">
        <f>Games[[#This Row],[PreGmRate]]+Games[[#This Row],[RatingChange]]</f>
        <v>1674.1617306692199</v>
      </c>
      <c r="AC299" s="2">
        <f>IF(Games[[#This Row],[Type]]="R",IF(Games[[#This Row],[Result]]&gt;0.5,1,0),0)</f>
        <v>1</v>
      </c>
      <c r="AD299" s="2">
        <f>IF(Games[[#This Row],[Type]]="R",IF(Games[[#This Row],[Result]]&lt;0.5,1,0),0)</f>
        <v>0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43693</v>
      </c>
      <c r="B300" s="2">
        <v>2019</v>
      </c>
      <c r="C300" s="2">
        <f>COUNTIFS(Games[Team],Games[[#This Row],[Team]],Games[Season],Games[[#This Row],[Season]],Games[Date],"&lt;=" &amp; Games[[#This Row],[Date]])</f>
        <v>25</v>
      </c>
      <c r="D300" s="2" t="s">
        <v>79</v>
      </c>
      <c r="E300" s="2" t="s">
        <v>80</v>
      </c>
      <c r="F300" s="1" t="s">
        <v>63</v>
      </c>
      <c r="G300" s="1" t="s">
        <v>75</v>
      </c>
      <c r="H300" s="1" t="s">
        <v>81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00" s="2">
        <f>Games[[#This Row],[DaysOff]]-Games[[#This Row],[OppDaysOff]]</f>
        <v>-3</v>
      </c>
      <c r="L300" s="2">
        <f>Games[[#This Row],[OppDaysOff]]-Games[[#This Row],[DaysOff]]</f>
        <v>3</v>
      </c>
      <c r="M300" s="1">
        <f>MAX(-16, MIN(16, Games[[#This Row],[RestDiff]]*8))</f>
        <v>-16</v>
      </c>
      <c r="N300" s="1">
        <f>MAX(-16, MIN(16, Games[[#This Row],[OppRestDiff]]*8))</f>
        <v>16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1566.7088872542176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1520.936011682136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0.40028930288119868</v>
      </c>
      <c r="R300" s="1">
        <v>81</v>
      </c>
      <c r="S300" s="1">
        <v>91</v>
      </c>
      <c r="T300" s="1">
        <v>0</v>
      </c>
      <c r="U300" s="1">
        <f>Games[[#This Row],[PointsFor]]-Games[[#This Row],[PointsAgainst]]</f>
        <v>-10</v>
      </c>
      <c r="V300" s="1">
        <f>IF(Games[[#This Row],[MOV]]&gt;0,1,IF(Games[[#This Row],[MOV]]=0,0.5,0))</f>
        <v>0</v>
      </c>
      <c r="W300" s="4">
        <f>((ABS(Games[[#This Row],[MOV]])+5)^0.6)/(12+0.01*(ABS(Games[[#This Row],[PreGmRate]]-Games[[#This Row],[OppPreGmRate]])))*IF(Games[[#This Row],[OT]]=1,0.9,1)</f>
        <v>0.40758283404233708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72.25</v>
      </c>
      <c r="Z300" s="4">
        <f>Games[[#This Row],[K]]*Games[[#This Row],[POMult]]</f>
        <v>72.25</v>
      </c>
      <c r="AA300" s="4">
        <f>(Games[[#This Row],[Keff]]*Games[[#This Row],[MOVMult]])*(Games[[#This Row],[Result]]-Games[[#This Row],[ExpectedWin%]])</f>
        <v>-11.787663254497117</v>
      </c>
      <c r="AB300" s="4">
        <f>Games[[#This Row],[PreGmRate]]+Games[[#This Row],[RatingChange]]</f>
        <v>1554.9212239997205</v>
      </c>
      <c r="AC300" s="2">
        <f>IF(Games[[#This Row],[Type]]="R",IF(Games[[#This Row],[Result]]&gt;0.5,1,0),0)</f>
        <v>0</v>
      </c>
      <c r="AD300" s="2">
        <f>IF(Games[[#This Row],[Type]]="R",IF(Games[[#This Row],[Result]]&lt;0.5,1,0),0)</f>
        <v>1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43693</v>
      </c>
      <c r="B301" s="2">
        <v>2019</v>
      </c>
      <c r="C301" s="2">
        <f>COUNTIFS(Games[Team],Games[[#This Row],[Team]],Games[Season],Games[[#This Row],[Season]],Games[Date],"&lt;=" &amp; Games[[#This Row],[Date]])</f>
        <v>25</v>
      </c>
      <c r="D301" s="2" t="s">
        <v>79</v>
      </c>
      <c r="E301" s="2" t="s">
        <v>80</v>
      </c>
      <c r="F301" s="1" t="s">
        <v>75</v>
      </c>
      <c r="G301" s="1" t="s">
        <v>63</v>
      </c>
      <c r="H301" s="1" t="s">
        <v>82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4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1" s="2">
        <f>Games[[#This Row],[DaysOff]]-Games[[#This Row],[OppDaysOff]]</f>
        <v>3</v>
      </c>
      <c r="L301" s="2">
        <f>Games[[#This Row],[OppDaysOff]]-Games[[#This Row],[DaysOff]]</f>
        <v>-3</v>
      </c>
      <c r="M301" s="1">
        <f>MAX(-16, MIN(16, Games[[#This Row],[RestDiff]]*8))</f>
        <v>16</v>
      </c>
      <c r="N301" s="1">
        <f>MAX(-16, MIN(16, Games[[#This Row],[OppRestDiff]]*8))</f>
        <v>-16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1520.936011682136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1566.7088872542176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0.59971069711880121</v>
      </c>
      <c r="R301" s="1">
        <v>91</v>
      </c>
      <c r="S301" s="1">
        <v>81</v>
      </c>
      <c r="T301" s="1">
        <v>0</v>
      </c>
      <c r="U301" s="1">
        <f>Games[[#This Row],[PointsFor]]-Games[[#This Row],[PointsAgainst]]</f>
        <v>10</v>
      </c>
      <c r="V301" s="1">
        <f>IF(Games[[#This Row],[MOV]]&gt;0,1,IF(Games[[#This Row],[MOV]]=0,0.5,0))</f>
        <v>1</v>
      </c>
      <c r="W301" s="4">
        <f>((ABS(Games[[#This Row],[MOV]])+5)^0.6)/(12+0.01*(ABS(Games[[#This Row],[PreGmRate]]-Games[[#This Row],[OppPreGmRate]])))*IF(Games[[#This Row],[OT]]=1,0.9,1)</f>
        <v>0.40758283404233708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72.25</v>
      </c>
      <c r="Z301" s="4">
        <f>Games[[#This Row],[K]]*Games[[#This Row],[POMult]]</f>
        <v>72.25</v>
      </c>
      <c r="AA301" s="4">
        <f>(Games[[#This Row],[Keff]]*Games[[#This Row],[MOVMult]])*(Games[[#This Row],[Result]]-Games[[#This Row],[ExpectedWin%]])</f>
        <v>11.787663254497119</v>
      </c>
      <c r="AB301" s="4">
        <f>Games[[#This Row],[PreGmRate]]+Games[[#This Row],[RatingChange]]</f>
        <v>1532.7236749366332</v>
      </c>
      <c r="AC301" s="2">
        <f>IF(Games[[#This Row],[Type]]="R",IF(Games[[#This Row],[Result]]&gt;0.5,1,0),0)</f>
        <v>1</v>
      </c>
      <c r="AD301" s="2">
        <f>IF(Games[[#This Row],[Type]]="R",IF(Games[[#This Row],[Result]]&lt;0.5,1,0),0)</f>
        <v>0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43693</v>
      </c>
      <c r="B302" s="2">
        <v>2019</v>
      </c>
      <c r="C302" s="2">
        <f>COUNTIFS(Games[Team],Games[[#This Row],[Team]],Games[Season],Games[[#This Row],[Season]],Games[Date],"&lt;=" &amp; Games[[#This Row],[Date]])</f>
        <v>27</v>
      </c>
      <c r="D302" s="2" t="s">
        <v>79</v>
      </c>
      <c r="E302" s="2" t="s">
        <v>80</v>
      </c>
      <c r="F302" s="1" t="s">
        <v>71</v>
      </c>
      <c r="G302" s="1" t="s">
        <v>74</v>
      </c>
      <c r="H302" s="1" t="s">
        <v>81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2" s="2">
        <f>Games[[#This Row],[DaysOff]]-Games[[#This Row],[OppDaysOff]]</f>
        <v>0</v>
      </c>
      <c r="L302" s="2">
        <f>Games[[#This Row],[OppDaysOff]]-Games[[#This Row],[DaysOff]]</f>
        <v>0</v>
      </c>
      <c r="M302" s="1">
        <f>MAX(-16, MIN(16, Games[[#This Row],[RestDiff]]*8))</f>
        <v>0</v>
      </c>
      <c r="N302" s="1">
        <f>MAX(-16, MIN(16, Games[[#This Row],[OppRestDiff]]*8))</f>
        <v>0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1549.5832926755086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1585.9530447921952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0.33338737738616292</v>
      </c>
      <c r="R302" s="1">
        <v>78</v>
      </c>
      <c r="S302" s="1">
        <v>79</v>
      </c>
      <c r="T302" s="1">
        <v>0</v>
      </c>
      <c r="U302" s="1">
        <f>Games[[#This Row],[PointsFor]]-Games[[#This Row],[PointsAgainst]]</f>
        <v>-1</v>
      </c>
      <c r="V302" s="1">
        <f>IF(Games[[#This Row],[MOV]]&gt;0,1,IF(Games[[#This Row],[MOV]]=0,0.5,0))</f>
        <v>0</v>
      </c>
      <c r="W302" s="4">
        <f>((ABS(Games[[#This Row],[MOV]])+5)^0.6)/(12+0.01*(ABS(Games[[#This Row],[PreGmRate]]-Games[[#This Row],[OppPreGmRate]])))*IF(Games[[#This Row],[OT]]=1,0.9,1)</f>
        <v>0.23699674361711315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71.95</v>
      </c>
      <c r="Z302" s="4">
        <f>Games[[#This Row],[K]]*Games[[#This Row],[POMult]]</f>
        <v>71.95</v>
      </c>
      <c r="AA302" s="4">
        <f>(Games[[#This Row],[Keff]]*Games[[#This Row],[MOVMult]])*(Games[[#This Row],[Result]]-Games[[#This Row],[ExpectedWin%]])</f>
        <v>-5.6848934557168764</v>
      </c>
      <c r="AB302" s="4">
        <f>Games[[#This Row],[PreGmRate]]+Games[[#This Row],[RatingChange]]</f>
        <v>1543.8983992197916</v>
      </c>
      <c r="AC302" s="2">
        <f>IF(Games[[#This Row],[Type]]="R",IF(Games[[#This Row],[Result]]&gt;0.5,1,0),0)</f>
        <v>0</v>
      </c>
      <c r="AD302" s="2">
        <f>IF(Games[[#This Row],[Type]]="R",IF(Games[[#This Row],[Result]]&lt;0.5,1,0),0)</f>
        <v>1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43693</v>
      </c>
      <c r="B303" s="2">
        <v>2019</v>
      </c>
      <c r="C303" s="2">
        <f>COUNTIFS(Games[Team],Games[[#This Row],[Team]],Games[Season],Games[[#This Row],[Season]],Games[Date],"&lt;=" &amp; Games[[#This Row],[Date]])</f>
        <v>26</v>
      </c>
      <c r="D303" s="2" t="s">
        <v>79</v>
      </c>
      <c r="E303" s="2" t="s">
        <v>80</v>
      </c>
      <c r="F303" s="1" t="s">
        <v>74</v>
      </c>
      <c r="G303" s="1" t="s">
        <v>71</v>
      </c>
      <c r="H303" s="1" t="s">
        <v>82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3" s="2">
        <f>Games[[#This Row],[DaysOff]]-Games[[#This Row],[OppDaysOff]]</f>
        <v>0</v>
      </c>
      <c r="L303" s="2">
        <f>Games[[#This Row],[OppDaysOff]]-Games[[#This Row],[DaysOff]]</f>
        <v>0</v>
      </c>
      <c r="M303" s="1">
        <f>MAX(-16, MIN(16, Games[[#This Row],[RestDiff]]*8))</f>
        <v>0</v>
      </c>
      <c r="N303" s="1">
        <f>MAX(-16, MIN(16, Games[[#This Row],[OppRestDiff]]*8))</f>
        <v>0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1585.9530447921952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1549.5832926755086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0.66661262261383702</v>
      </c>
      <c r="R303" s="1">
        <v>79</v>
      </c>
      <c r="S303" s="1">
        <v>78</v>
      </c>
      <c r="T303" s="1">
        <v>0</v>
      </c>
      <c r="U303" s="1">
        <f>Games[[#This Row],[PointsFor]]-Games[[#This Row],[PointsAgainst]]</f>
        <v>1</v>
      </c>
      <c r="V303" s="1">
        <f>IF(Games[[#This Row],[MOV]]&gt;0,1,IF(Games[[#This Row],[MOV]]=0,0.5,0))</f>
        <v>1</v>
      </c>
      <c r="W303" s="4">
        <f>((ABS(Games[[#This Row],[MOV]])+5)^0.6)/(12+0.01*(ABS(Games[[#This Row],[PreGmRate]]-Games[[#This Row],[OppPreGmRate]])))*IF(Games[[#This Row],[OT]]=1,0.9,1)</f>
        <v>0.23699674361711315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72.099999999999994</v>
      </c>
      <c r="Z303" s="4">
        <f>Games[[#This Row],[K]]*Games[[#This Row],[POMult]]</f>
        <v>72.099999999999994</v>
      </c>
      <c r="AA303" s="4">
        <f>(Games[[#This Row],[Keff]]*Games[[#This Row],[MOVMult]])*(Games[[#This Row],[Result]]-Games[[#This Row],[ExpectedWin%]])</f>
        <v>5.6967452141374118</v>
      </c>
      <c r="AB303" s="4">
        <f>Games[[#This Row],[PreGmRate]]+Games[[#This Row],[RatingChange]]</f>
        <v>1591.6497900063325</v>
      </c>
      <c r="AC303" s="2">
        <f>IF(Games[[#This Row],[Type]]="R",IF(Games[[#This Row],[Result]]&gt;0.5,1,0),0)</f>
        <v>1</v>
      </c>
      <c r="AD303" s="2">
        <f>IF(Games[[#This Row],[Type]]="R",IF(Games[[#This Row],[Result]]&lt;0.5,1,0),0)</f>
        <v>0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43693</v>
      </c>
      <c r="B304" s="2">
        <v>2019</v>
      </c>
      <c r="C304" s="2">
        <f>COUNTIFS(Games[Team],Games[[#This Row],[Team]],Games[Season],Games[[#This Row],[Season]],Games[Date],"&lt;=" &amp; Games[[#This Row],[Date]])</f>
        <v>25</v>
      </c>
      <c r="D304" s="2" t="s">
        <v>79</v>
      </c>
      <c r="E304" s="2" t="s">
        <v>80</v>
      </c>
      <c r="F304" s="1" t="s">
        <v>60</v>
      </c>
      <c r="G304" s="1" t="s">
        <v>85</v>
      </c>
      <c r="H304" s="1" t="s">
        <v>81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4" s="2">
        <f>Games[[#This Row],[DaysOff]]-Games[[#This Row],[OppDaysOff]]</f>
        <v>1</v>
      </c>
      <c r="L304" s="2">
        <f>Games[[#This Row],[OppDaysOff]]-Games[[#This Row],[DaysOff]]</f>
        <v>-1</v>
      </c>
      <c r="M304" s="1">
        <f>MAX(-16, MIN(16, Games[[#This Row],[RestDiff]]*8))</f>
        <v>8</v>
      </c>
      <c r="N304" s="1">
        <f>MAX(-16, MIN(16, Games[[#This Row],[OppRestDiff]]*8))</f>
        <v>-8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1347.7046225636034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1413.0396404183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0.31701191352465363</v>
      </c>
      <c r="R304" s="1">
        <v>77</v>
      </c>
      <c r="S304" s="1">
        <v>83</v>
      </c>
      <c r="T304" s="1">
        <v>0</v>
      </c>
      <c r="U304" s="1">
        <f>Games[[#This Row],[PointsFor]]-Games[[#This Row],[PointsAgainst]]</f>
        <v>-6</v>
      </c>
      <c r="V304" s="1">
        <f>IF(Games[[#This Row],[MOV]]&gt;0,1,IF(Games[[#This Row],[MOV]]=0,0.5,0))</f>
        <v>0</v>
      </c>
      <c r="W304" s="4">
        <f>((ABS(Games[[#This Row],[MOV]])+5)^0.6)/(12+0.01*(ABS(Games[[#This Row],[PreGmRate]]-Games[[#This Row],[OppPreGmRate]])))*IF(Games[[#This Row],[OT]]=1,0.9,1)</f>
        <v>0.3331425332904181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72.25</v>
      </c>
      <c r="Z304" s="4">
        <f>Games[[#This Row],[K]]*Games[[#This Row],[POMult]]</f>
        <v>72.25</v>
      </c>
      <c r="AA304" s="4">
        <f>(Games[[#This Row],[Keff]]*Games[[#This Row],[MOVMult]])*(Games[[#This Row],[Result]]-Games[[#This Row],[ExpectedWin%]])</f>
        <v>-7.6303334787376276</v>
      </c>
      <c r="AB304" s="4">
        <f>Games[[#This Row],[PreGmRate]]+Games[[#This Row],[RatingChange]]</f>
        <v>1340.0742890848658</v>
      </c>
      <c r="AC304" s="2">
        <f>IF(Games[[#This Row],[Type]]="R",IF(Games[[#This Row],[Result]]&gt;0.5,1,0),0)</f>
        <v>0</v>
      </c>
      <c r="AD304" s="2">
        <f>IF(Games[[#This Row],[Type]]="R",IF(Games[[#This Row],[Result]]&lt;0.5,1,0),0)</f>
        <v>1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43693</v>
      </c>
      <c r="B305" s="2">
        <v>2019</v>
      </c>
      <c r="C305" s="2">
        <f>COUNTIFS(Games[Team],Games[[#This Row],[Team]],Games[Season],Games[[#This Row],[Season]],Games[Date],"&lt;=" &amp; Games[[#This Row],[Date]])</f>
        <v>26</v>
      </c>
      <c r="D305" s="2" t="s">
        <v>79</v>
      </c>
      <c r="E305" s="2" t="s">
        <v>80</v>
      </c>
      <c r="F305" s="1" t="s">
        <v>85</v>
      </c>
      <c r="G305" s="1" t="s">
        <v>60</v>
      </c>
      <c r="H305" s="1" t="s">
        <v>82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5" s="2">
        <f>Games[[#This Row],[DaysOff]]-Games[[#This Row],[OppDaysOff]]</f>
        <v>-1</v>
      </c>
      <c r="L305" s="2">
        <f>Games[[#This Row],[OppDaysOff]]-Games[[#This Row],[DaysOff]]</f>
        <v>1</v>
      </c>
      <c r="M305" s="1">
        <f>MAX(-16, MIN(16, Games[[#This Row],[RestDiff]]*8))</f>
        <v>-8</v>
      </c>
      <c r="N305" s="1">
        <f>MAX(-16, MIN(16, Games[[#This Row],[OppRestDiff]]*8))</f>
        <v>8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1413.0396404183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1347.7046225636034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0.68298808647534626</v>
      </c>
      <c r="R305" s="1">
        <v>83</v>
      </c>
      <c r="S305" s="1">
        <v>77</v>
      </c>
      <c r="T305" s="1">
        <v>0</v>
      </c>
      <c r="U305" s="1">
        <f>Games[[#This Row],[PointsFor]]-Games[[#This Row],[PointsAgainst]]</f>
        <v>6</v>
      </c>
      <c r="V305" s="1">
        <f>IF(Games[[#This Row],[MOV]]&gt;0,1,IF(Games[[#This Row],[MOV]]=0,0.5,0))</f>
        <v>1</v>
      </c>
      <c r="W305" s="4">
        <f>((ABS(Games[[#This Row],[MOV]])+5)^0.6)/(12+0.01*(ABS(Games[[#This Row],[PreGmRate]]-Games[[#This Row],[OppPreGmRate]])))*IF(Games[[#This Row],[OT]]=1,0.9,1)</f>
        <v>0.3331425332904181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72.099999999999994</v>
      </c>
      <c r="Z305" s="4">
        <f>Games[[#This Row],[K]]*Games[[#This Row],[POMult]]</f>
        <v>72.099999999999994</v>
      </c>
      <c r="AA305" s="4">
        <f>(Games[[#This Row],[Keff]]*Games[[#This Row],[MOVMult]])*(Games[[#This Row],[Result]]-Games[[#This Row],[ExpectedWin%]])</f>
        <v>7.6144919559444029</v>
      </c>
      <c r="AB305" s="4">
        <f>Games[[#This Row],[PreGmRate]]+Games[[#This Row],[RatingChange]]</f>
        <v>1420.6541323742445</v>
      </c>
      <c r="AC305" s="2">
        <f>IF(Games[[#This Row],[Type]]="R",IF(Games[[#This Row],[Result]]&gt;0.5,1,0),0)</f>
        <v>1</v>
      </c>
      <c r="AD305" s="2">
        <f>IF(Games[[#This Row],[Type]]="R",IF(Games[[#This Row],[Result]]&lt;0.5,1,0),0)</f>
        <v>0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43693</v>
      </c>
      <c r="B306" s="2">
        <v>2019</v>
      </c>
      <c r="C306" s="2">
        <f>COUNTIFS(Games[Team],Games[[#This Row],[Team]],Games[Season],Games[[#This Row],[Season]],Games[Date],"&lt;=" &amp; Games[[#This Row],[Date]])</f>
        <v>26</v>
      </c>
      <c r="D306" s="2" t="s">
        <v>79</v>
      </c>
      <c r="E306" s="2" t="s">
        <v>80</v>
      </c>
      <c r="F306" s="1" t="s">
        <v>65</v>
      </c>
      <c r="G306" s="1" t="s">
        <v>67</v>
      </c>
      <c r="H306" s="1" t="s">
        <v>81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6" s="2">
        <f>Games[[#This Row],[DaysOff]]-Games[[#This Row],[OppDaysOff]]</f>
        <v>-1</v>
      </c>
      <c r="L306" s="2">
        <f>Games[[#This Row],[OppDaysOff]]-Games[[#This Row],[DaysOff]]</f>
        <v>1</v>
      </c>
      <c r="M306" s="1">
        <f>MAX(-16, MIN(16, Games[[#This Row],[RestDiff]]*8))</f>
        <v>-8</v>
      </c>
      <c r="N306" s="1">
        <f>MAX(-16, MIN(16, Games[[#This Row],[OppRestDiff]]*8))</f>
        <v>8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1674.1617306692199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1529.934441531298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0.56330660644667474</v>
      </c>
      <c r="R306" s="1">
        <v>86</v>
      </c>
      <c r="S306" s="1">
        <v>79</v>
      </c>
      <c r="T306" s="1">
        <v>0</v>
      </c>
      <c r="U306" s="1">
        <f>Games[[#This Row],[PointsFor]]-Games[[#This Row],[PointsAgainst]]</f>
        <v>7</v>
      </c>
      <c r="V306" s="1">
        <f>IF(Games[[#This Row],[MOV]]&gt;0,1,IF(Games[[#This Row],[MOV]]=0,0.5,0))</f>
        <v>1</v>
      </c>
      <c r="W306" s="4">
        <f>((ABS(Games[[#This Row],[MOV]])+5)^0.6)/(12+0.01*(ABS(Games[[#This Row],[PreGmRate]]-Games[[#This Row],[OppPreGmRate]])))*IF(Games[[#This Row],[OT]]=1,0.9,1)</f>
        <v>0.33039695784588036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72.099999999999994</v>
      </c>
      <c r="Z306" s="4">
        <f>Games[[#This Row],[K]]*Games[[#This Row],[POMult]]</f>
        <v>72.099999999999994</v>
      </c>
      <c r="AA306" s="4">
        <f>(Games[[#This Row],[Keff]]*Games[[#This Row],[MOVMult]])*(Games[[#This Row],[Result]]-Games[[#This Row],[ExpectedWin%]])</f>
        <v>10.402744366255837</v>
      </c>
      <c r="AB306" s="4">
        <f>Games[[#This Row],[PreGmRate]]+Games[[#This Row],[RatingChange]]</f>
        <v>1684.5644750354757</v>
      </c>
      <c r="AC306" s="2">
        <f>IF(Games[[#This Row],[Type]]="R",IF(Games[[#This Row],[Result]]&gt;0.5,1,0),0)</f>
        <v>1</v>
      </c>
      <c r="AD306" s="2">
        <f>IF(Games[[#This Row],[Type]]="R",IF(Games[[#This Row],[Result]]&lt;0.5,1,0),0)</f>
        <v>0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43693</v>
      </c>
      <c r="B307" s="2">
        <v>2019</v>
      </c>
      <c r="C307" s="2">
        <f>COUNTIFS(Games[Team],Games[[#This Row],[Team]],Games[Season],Games[[#This Row],[Season]],Games[Date],"&lt;=" &amp; Games[[#This Row],[Date]])</f>
        <v>26</v>
      </c>
      <c r="D307" s="2" t="s">
        <v>79</v>
      </c>
      <c r="E307" s="2" t="s">
        <v>80</v>
      </c>
      <c r="F307" s="1" t="s">
        <v>67</v>
      </c>
      <c r="G307" s="1" t="s">
        <v>65</v>
      </c>
      <c r="H307" s="1" t="s">
        <v>82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7" s="2">
        <f>Games[[#This Row],[DaysOff]]-Games[[#This Row],[OppDaysOff]]</f>
        <v>1</v>
      </c>
      <c r="L307" s="2">
        <f>Games[[#This Row],[OppDaysOff]]-Games[[#This Row],[DaysOff]]</f>
        <v>-1</v>
      </c>
      <c r="M307" s="1">
        <f>MAX(-16, MIN(16, Games[[#This Row],[RestDiff]]*8))</f>
        <v>8</v>
      </c>
      <c r="N307" s="1">
        <f>MAX(-16, MIN(16, Games[[#This Row],[OppRestDiff]]*8))</f>
        <v>-8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1529.934441531298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1674.1617306692199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0.4366933935533252</v>
      </c>
      <c r="R307" s="1">
        <v>79</v>
      </c>
      <c r="S307" s="1">
        <v>86</v>
      </c>
      <c r="T307" s="1">
        <v>0</v>
      </c>
      <c r="U307" s="1">
        <f>Games[[#This Row],[PointsFor]]-Games[[#This Row],[PointsAgainst]]</f>
        <v>-7</v>
      </c>
      <c r="V307" s="1">
        <f>IF(Games[[#This Row],[MOV]]&gt;0,1,IF(Games[[#This Row],[MOV]]=0,0.5,0))</f>
        <v>0</v>
      </c>
      <c r="W307" s="4">
        <f>((ABS(Games[[#This Row],[MOV]])+5)^0.6)/(12+0.01*(ABS(Games[[#This Row],[PreGmRate]]-Games[[#This Row],[OppPreGmRate]])))*IF(Games[[#This Row],[OT]]=1,0.9,1)</f>
        <v>0.33039695784588036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72.099999999999994</v>
      </c>
      <c r="Z307" s="4">
        <f>Games[[#This Row],[K]]*Games[[#This Row],[POMult]]</f>
        <v>72.099999999999994</v>
      </c>
      <c r="AA307" s="4">
        <f>(Games[[#This Row],[Keff]]*Games[[#This Row],[MOVMult]])*(Games[[#This Row],[Result]]-Games[[#This Row],[ExpectedWin%]])</f>
        <v>-10.402744366255837</v>
      </c>
      <c r="AB307" s="4">
        <f>Games[[#This Row],[PreGmRate]]+Games[[#This Row],[RatingChange]]</f>
        <v>1519.5316971650423</v>
      </c>
      <c r="AC307" s="2">
        <f>IF(Games[[#This Row],[Type]]="R",IF(Games[[#This Row],[Result]]&gt;0.5,1,0),0)</f>
        <v>0</v>
      </c>
      <c r="AD307" s="2">
        <f>IF(Games[[#This Row],[Type]]="R",IF(Games[[#This Row],[Result]]&lt;0.5,1,0),0)</f>
        <v>1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43693</v>
      </c>
      <c r="B308" s="2">
        <v>2019</v>
      </c>
      <c r="C308" s="2">
        <f>COUNTIFS(Games[Team],Games[[#This Row],[Team]],Games[Season],Games[[#This Row],[Season]],Games[Date],"&lt;=" &amp; Games[[#This Row],[Date]])</f>
        <v>26</v>
      </c>
      <c r="D308" s="2" t="s">
        <v>79</v>
      </c>
      <c r="E308" s="2" t="s">
        <v>80</v>
      </c>
      <c r="F308" s="1" t="s">
        <v>77</v>
      </c>
      <c r="G308" s="1" t="s">
        <v>40</v>
      </c>
      <c r="H308" s="1" t="s">
        <v>81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8" s="2">
        <f>Games[[#This Row],[DaysOff]]-Games[[#This Row],[OppDaysOff]]</f>
        <v>1</v>
      </c>
      <c r="L308" s="2">
        <f>Games[[#This Row],[OppDaysOff]]-Games[[#This Row],[DaysOff]]</f>
        <v>-1</v>
      </c>
      <c r="M308" s="1">
        <f>MAX(-16, MIN(16, Games[[#This Row],[RestDiff]]*8))</f>
        <v>8</v>
      </c>
      <c r="N308" s="1">
        <f>MAX(-16, MIN(16, Games[[#This Row],[OppRestDiff]]*8))</f>
        <v>-8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1349.6902052418459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1503.2502027931421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0.21833394368460662</v>
      </c>
      <c r="R308" s="1">
        <v>68</v>
      </c>
      <c r="S308" s="1">
        <v>77</v>
      </c>
      <c r="T308" s="1">
        <v>0</v>
      </c>
      <c r="U308" s="1">
        <f>Games[[#This Row],[PointsFor]]-Games[[#This Row],[PointsAgainst]]</f>
        <v>-9</v>
      </c>
      <c r="V308" s="1">
        <f>IF(Games[[#This Row],[MOV]]&gt;0,1,IF(Games[[#This Row],[MOV]]=0,0.5,0))</f>
        <v>0</v>
      </c>
      <c r="W308" s="4">
        <f>((ABS(Games[[#This Row],[MOV]])+5)^0.6)/(12+0.01*(ABS(Games[[#This Row],[PreGmRate]]-Games[[#This Row],[OppPreGmRate]])))*IF(Games[[#This Row],[OT]]=1,0.9,1)</f>
        <v>0.35991447254500381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72.099999999999994</v>
      </c>
      <c r="Z308" s="4">
        <f>Games[[#This Row],[K]]*Games[[#This Row],[POMult]]</f>
        <v>72.099999999999994</v>
      </c>
      <c r="AA308" s="4">
        <f>(Games[[#This Row],[Keff]]*Games[[#This Row],[MOVMult]])*(Games[[#This Row],[Result]]-Games[[#This Row],[ExpectedWin%]])</f>
        <v>-5.665729479571926</v>
      </c>
      <c r="AB308" s="4">
        <f>Games[[#This Row],[PreGmRate]]+Games[[#This Row],[RatingChange]]</f>
        <v>1344.0244757622741</v>
      </c>
      <c r="AC308" s="2">
        <f>IF(Games[[#This Row],[Type]]="R",IF(Games[[#This Row],[Result]]&gt;0.5,1,0),0)</f>
        <v>0</v>
      </c>
      <c r="AD308" s="2">
        <f>IF(Games[[#This Row],[Type]]="R",IF(Games[[#This Row],[Result]]&lt;0.5,1,0),0)</f>
        <v>1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43693</v>
      </c>
      <c r="B309" s="2">
        <v>2019</v>
      </c>
      <c r="C309" s="2">
        <f>COUNTIFS(Games[Team],Games[[#This Row],[Team]],Games[Season],Games[[#This Row],[Season]],Games[Date],"&lt;=" &amp; Games[[#This Row],[Date]])</f>
        <v>25</v>
      </c>
      <c r="D309" s="2" t="s">
        <v>79</v>
      </c>
      <c r="E309" s="2" t="s">
        <v>80</v>
      </c>
      <c r="F309" s="1" t="s">
        <v>40</v>
      </c>
      <c r="G309" s="1" t="s">
        <v>77</v>
      </c>
      <c r="H309" s="1" t="s">
        <v>82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9" s="2">
        <f>Games[[#This Row],[DaysOff]]-Games[[#This Row],[OppDaysOff]]</f>
        <v>-1</v>
      </c>
      <c r="L309" s="2">
        <f>Games[[#This Row],[OppDaysOff]]-Games[[#This Row],[DaysOff]]</f>
        <v>1</v>
      </c>
      <c r="M309" s="1">
        <f>MAX(-16, MIN(16, Games[[#This Row],[RestDiff]]*8))</f>
        <v>-8</v>
      </c>
      <c r="N309" s="1">
        <f>MAX(-16, MIN(16, Games[[#This Row],[OppRestDiff]]*8))</f>
        <v>8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1503.2502027931421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1349.6902052418459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0.78166605631539343</v>
      </c>
      <c r="R309" s="1">
        <v>77</v>
      </c>
      <c r="S309" s="1">
        <v>68</v>
      </c>
      <c r="T309" s="1">
        <v>0</v>
      </c>
      <c r="U309" s="1">
        <f>Games[[#This Row],[PointsFor]]-Games[[#This Row],[PointsAgainst]]</f>
        <v>9</v>
      </c>
      <c r="V309" s="1">
        <f>IF(Games[[#This Row],[MOV]]&gt;0,1,IF(Games[[#This Row],[MOV]]=0,0.5,0))</f>
        <v>1</v>
      </c>
      <c r="W309" s="4">
        <f>((ABS(Games[[#This Row],[MOV]])+5)^0.6)/(12+0.01*(ABS(Games[[#This Row],[PreGmRate]]-Games[[#This Row],[OppPreGmRate]])))*IF(Games[[#This Row],[OT]]=1,0.9,1)</f>
        <v>0.35991447254500381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72.25</v>
      </c>
      <c r="Z309" s="4">
        <f>Games[[#This Row],[K]]*Games[[#This Row],[POMult]]</f>
        <v>72.25</v>
      </c>
      <c r="AA309" s="4">
        <f>(Games[[#This Row],[Keff]]*Games[[#This Row],[MOVMult]])*(Games[[#This Row],[Result]]-Games[[#This Row],[ExpectedWin%]])</f>
        <v>5.677516711498912</v>
      </c>
      <c r="AB309" s="4">
        <f>Games[[#This Row],[PreGmRate]]+Games[[#This Row],[RatingChange]]</f>
        <v>1508.9277195046409</v>
      </c>
      <c r="AC309" s="2">
        <f>IF(Games[[#This Row],[Type]]="R",IF(Games[[#This Row],[Result]]&gt;0.5,1,0),0)</f>
        <v>1</v>
      </c>
      <c r="AD309" s="2">
        <f>IF(Games[[#This Row],[Type]]="R",IF(Games[[#This Row],[Result]]&lt;0.5,1,0),0)</f>
        <v>0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43695</v>
      </c>
      <c r="B310" s="2">
        <v>2019</v>
      </c>
      <c r="C310" s="2">
        <f>COUNTIFS(Games[Team],Games[[#This Row],[Team]],Games[Season],Games[[#This Row],[Season]],Games[Date],"&lt;=" &amp; Games[[#This Row],[Date]])</f>
        <v>27</v>
      </c>
      <c r="D310" s="2" t="s">
        <v>79</v>
      </c>
      <c r="E310" s="2" t="s">
        <v>80</v>
      </c>
      <c r="F310" s="1" t="s">
        <v>86</v>
      </c>
      <c r="G310" s="1" t="s">
        <v>75</v>
      </c>
      <c r="H310" s="1" t="s">
        <v>81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0" s="2">
        <f>Games[[#This Row],[DaysOff]]-Games[[#This Row],[OppDaysOff]]</f>
        <v>3</v>
      </c>
      <c r="L310" s="2">
        <f>Games[[#This Row],[OppDaysOff]]-Games[[#This Row],[DaysOff]]</f>
        <v>-3</v>
      </c>
      <c r="M310" s="1">
        <f>MAX(-16, MIN(16, Games[[#This Row],[RestDiff]]*8))</f>
        <v>16</v>
      </c>
      <c r="N310" s="1">
        <f>MAX(-16, MIN(16, Games[[#This Row],[OppRestDiff]]*8))</f>
        <v>-16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1554.3640491670496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1532.7236749366332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0.45641985046704225</v>
      </c>
      <c r="R310" s="1">
        <v>100</v>
      </c>
      <c r="S310" s="1">
        <v>85</v>
      </c>
      <c r="T310" s="1">
        <v>0</v>
      </c>
      <c r="U310" s="1">
        <f>Games[[#This Row],[PointsFor]]-Games[[#This Row],[PointsAgainst]]</f>
        <v>15</v>
      </c>
      <c r="V310" s="1">
        <f>IF(Games[[#This Row],[MOV]]&gt;0,1,IF(Games[[#This Row],[MOV]]=0,0.5,0))</f>
        <v>1</v>
      </c>
      <c r="W310" s="4">
        <f>((ABS(Games[[#This Row],[MOV]])+5)^0.6)/(12+0.01*(ABS(Games[[#This Row],[PreGmRate]]-Games[[#This Row],[OppPreGmRate]])))*IF(Games[[#This Row],[OT]]=1,0.9,1)</f>
        <v>0.49394048067103602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71.95</v>
      </c>
      <c r="Z310" s="4">
        <f>Games[[#This Row],[K]]*Games[[#This Row],[POMult]]</f>
        <v>71.95</v>
      </c>
      <c r="AA310" s="4">
        <f>(Games[[#This Row],[Keff]]*Games[[#This Row],[MOVMult]])*(Games[[#This Row],[Result]]-Games[[#This Row],[ExpectedWin%]])</f>
        <v>19.318304492717903</v>
      </c>
      <c r="AB310" s="4">
        <f>Games[[#This Row],[PreGmRate]]+Games[[#This Row],[RatingChange]]</f>
        <v>1573.6823536597676</v>
      </c>
      <c r="AC310" s="2">
        <f>IF(Games[[#This Row],[Type]]="R",IF(Games[[#This Row],[Result]]&gt;0.5,1,0),0)</f>
        <v>1</v>
      </c>
      <c r="AD310" s="2">
        <f>IF(Games[[#This Row],[Type]]="R",IF(Games[[#This Row],[Result]]&lt;0.5,1,0),0)</f>
        <v>0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43695</v>
      </c>
      <c r="B311" s="2">
        <v>2019</v>
      </c>
      <c r="C311" s="2">
        <f>COUNTIFS(Games[Team],Games[[#This Row],[Team]],Games[Season],Games[[#This Row],[Season]],Games[Date],"&lt;=" &amp; Games[[#This Row],[Date]])</f>
        <v>26</v>
      </c>
      <c r="D311" s="2" t="s">
        <v>79</v>
      </c>
      <c r="E311" s="2" t="s">
        <v>80</v>
      </c>
      <c r="F311" s="1" t="s">
        <v>75</v>
      </c>
      <c r="G311" s="1" t="s">
        <v>86</v>
      </c>
      <c r="H311" s="1" t="s">
        <v>82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1" s="2">
        <f>Games[[#This Row],[DaysOff]]-Games[[#This Row],[OppDaysOff]]</f>
        <v>-3</v>
      </c>
      <c r="L311" s="2">
        <f>Games[[#This Row],[OppDaysOff]]-Games[[#This Row],[DaysOff]]</f>
        <v>3</v>
      </c>
      <c r="M311" s="1">
        <f>MAX(-16, MIN(16, Games[[#This Row],[RestDiff]]*8))</f>
        <v>-16</v>
      </c>
      <c r="N311" s="1">
        <f>MAX(-16, MIN(16, Games[[#This Row],[OppRestDiff]]*8))</f>
        <v>16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1532.7236749366332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1554.3640491670496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0.54358014953295775</v>
      </c>
      <c r="R311" s="1">
        <v>85</v>
      </c>
      <c r="S311" s="1">
        <v>100</v>
      </c>
      <c r="T311" s="1">
        <v>0</v>
      </c>
      <c r="U311" s="1">
        <f>Games[[#This Row],[PointsFor]]-Games[[#This Row],[PointsAgainst]]</f>
        <v>-15</v>
      </c>
      <c r="V311" s="1">
        <f>IF(Games[[#This Row],[MOV]]&gt;0,1,IF(Games[[#This Row],[MOV]]=0,0.5,0))</f>
        <v>0</v>
      </c>
      <c r="W311" s="4">
        <f>((ABS(Games[[#This Row],[MOV]])+5)^0.6)/(12+0.01*(ABS(Games[[#This Row],[PreGmRate]]-Games[[#This Row],[OppPreGmRate]])))*IF(Games[[#This Row],[OT]]=1,0.9,1)</f>
        <v>0.49394048067103602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72.099999999999994</v>
      </c>
      <c r="Z311" s="4">
        <f>Games[[#This Row],[K]]*Games[[#This Row],[POMult]]</f>
        <v>72.099999999999994</v>
      </c>
      <c r="AA311" s="4">
        <f>(Games[[#This Row],[Keff]]*Games[[#This Row],[MOVMult]])*(Games[[#This Row],[Result]]-Games[[#This Row],[ExpectedWin%]])</f>
        <v>-19.358578928769433</v>
      </c>
      <c r="AB311" s="4">
        <f>Games[[#This Row],[PreGmRate]]+Games[[#This Row],[RatingChange]]</f>
        <v>1513.3650960078637</v>
      </c>
      <c r="AC311" s="2">
        <f>IF(Games[[#This Row],[Type]]="R",IF(Games[[#This Row],[Result]]&gt;0.5,1,0),0)</f>
        <v>0</v>
      </c>
      <c r="AD311" s="2">
        <f>IF(Games[[#This Row],[Type]]="R",IF(Games[[#This Row],[Result]]&lt;0.5,1,0),0)</f>
        <v>1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43695</v>
      </c>
      <c r="B312" s="2">
        <v>2019</v>
      </c>
      <c r="C312" s="2">
        <f>COUNTIFS(Games[Team],Games[[#This Row],[Team]],Games[Season],Games[[#This Row],[Season]],Games[Date],"&lt;=" &amp; Games[[#This Row],[Date]])</f>
        <v>27</v>
      </c>
      <c r="D312" s="2" t="s">
        <v>79</v>
      </c>
      <c r="E312" s="2" t="s">
        <v>80</v>
      </c>
      <c r="F312" s="1" t="s">
        <v>85</v>
      </c>
      <c r="G312" s="1" t="s">
        <v>74</v>
      </c>
      <c r="H312" s="1" t="s">
        <v>81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2" s="2">
        <f>Games[[#This Row],[DaysOff]]-Games[[#This Row],[OppDaysOff]]</f>
        <v>0</v>
      </c>
      <c r="L312" s="2">
        <f>Games[[#This Row],[OppDaysOff]]-Games[[#This Row],[DaysOff]]</f>
        <v>0</v>
      </c>
      <c r="M312" s="1">
        <f>MAX(-16, MIN(16, Games[[#This Row],[RestDiff]]*8))</f>
        <v>0</v>
      </c>
      <c r="N312" s="1">
        <f>MAX(-16, MIN(16, Games[[#This Row],[OppRestDiff]]*8))</f>
        <v>0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1420.6541323742445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1591.6497900063325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0.18726612276633606</v>
      </c>
      <c r="R312" s="1">
        <v>68</v>
      </c>
      <c r="S312" s="1">
        <v>78</v>
      </c>
      <c r="T312" s="1">
        <v>0</v>
      </c>
      <c r="U312" s="1">
        <f>Games[[#This Row],[PointsFor]]-Games[[#This Row],[PointsAgainst]]</f>
        <v>-10</v>
      </c>
      <c r="V312" s="1">
        <f>IF(Games[[#This Row],[MOV]]&gt;0,1,IF(Games[[#This Row],[MOV]]=0,0.5,0))</f>
        <v>0</v>
      </c>
      <c r="W312" s="4">
        <f>((ABS(Games[[#This Row],[MOV]])+5)^0.6)/(12+0.01*(ABS(Games[[#This Row],[PreGmRate]]-Games[[#This Row],[OppPreGmRate]])))*IF(Games[[#This Row],[OT]]=1,0.9,1)</f>
        <v>0.37035539563685393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71.95</v>
      </c>
      <c r="Z312" s="4">
        <f>Games[[#This Row],[K]]*Games[[#This Row],[POMult]]</f>
        <v>71.95</v>
      </c>
      <c r="AA312" s="4">
        <f>(Games[[#This Row],[Keff]]*Games[[#This Row],[MOVMult]])*(Games[[#This Row],[Result]]-Games[[#This Row],[ExpectedWin%]])</f>
        <v>-4.9900936160791103</v>
      </c>
      <c r="AB312" s="4">
        <f>Games[[#This Row],[PreGmRate]]+Games[[#This Row],[RatingChange]]</f>
        <v>1415.6640387581654</v>
      </c>
      <c r="AC312" s="2">
        <f>IF(Games[[#This Row],[Type]]="R",IF(Games[[#This Row],[Result]]&gt;0.5,1,0),0)</f>
        <v>0</v>
      </c>
      <c r="AD312" s="2">
        <f>IF(Games[[#This Row],[Type]]="R",IF(Games[[#This Row],[Result]]&lt;0.5,1,0),0)</f>
        <v>1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43695</v>
      </c>
      <c r="B313" s="2">
        <v>2019</v>
      </c>
      <c r="C313" s="2">
        <f>COUNTIFS(Games[Team],Games[[#This Row],[Team]],Games[Season],Games[[#This Row],[Season]],Games[Date],"&lt;=" &amp; Games[[#This Row],[Date]])</f>
        <v>27</v>
      </c>
      <c r="D313" s="2" t="s">
        <v>79</v>
      </c>
      <c r="E313" s="2" t="s">
        <v>80</v>
      </c>
      <c r="F313" s="1" t="s">
        <v>74</v>
      </c>
      <c r="G313" s="1" t="s">
        <v>85</v>
      </c>
      <c r="H313" s="1" t="s">
        <v>82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3" s="2">
        <f>Games[[#This Row],[DaysOff]]-Games[[#This Row],[OppDaysOff]]</f>
        <v>0</v>
      </c>
      <c r="L313" s="2">
        <f>Games[[#This Row],[OppDaysOff]]-Games[[#This Row],[DaysOff]]</f>
        <v>0</v>
      </c>
      <c r="M313" s="1">
        <f>MAX(-16, MIN(16, Games[[#This Row],[RestDiff]]*8))</f>
        <v>0</v>
      </c>
      <c r="N313" s="1">
        <f>MAX(-16, MIN(16, Games[[#This Row],[OppRestDiff]]*8))</f>
        <v>0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1591.6497900063325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1420.6541323742445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0.81273387723366386</v>
      </c>
      <c r="R313" s="1">
        <v>78</v>
      </c>
      <c r="S313" s="1">
        <v>68</v>
      </c>
      <c r="T313" s="1">
        <v>0</v>
      </c>
      <c r="U313" s="1">
        <f>Games[[#This Row],[PointsFor]]-Games[[#This Row],[PointsAgainst]]</f>
        <v>10</v>
      </c>
      <c r="V313" s="1">
        <f>IF(Games[[#This Row],[MOV]]&gt;0,1,IF(Games[[#This Row],[MOV]]=0,0.5,0))</f>
        <v>1</v>
      </c>
      <c r="W313" s="4">
        <f>((ABS(Games[[#This Row],[MOV]])+5)^0.6)/(12+0.01*(ABS(Games[[#This Row],[PreGmRate]]-Games[[#This Row],[OppPreGmRate]])))*IF(Games[[#This Row],[OT]]=1,0.9,1)</f>
        <v>0.37035539563685393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71.95</v>
      </c>
      <c r="Z313" s="4">
        <f>Games[[#This Row],[K]]*Games[[#This Row],[POMult]]</f>
        <v>71.95</v>
      </c>
      <c r="AA313" s="4">
        <f>(Games[[#This Row],[Keff]]*Games[[#This Row],[MOVMult]])*(Games[[#This Row],[Result]]-Games[[#This Row],[ExpectedWin%]])</f>
        <v>4.9900936160791129</v>
      </c>
      <c r="AB313" s="4">
        <f>Games[[#This Row],[PreGmRate]]+Games[[#This Row],[RatingChange]]</f>
        <v>1596.6398836224116</v>
      </c>
      <c r="AC313" s="2">
        <f>IF(Games[[#This Row],[Type]]="R",IF(Games[[#This Row],[Result]]&gt;0.5,1,0),0)</f>
        <v>1</v>
      </c>
      <c r="AD313" s="2">
        <f>IF(Games[[#This Row],[Type]]="R",IF(Games[[#This Row],[Result]]&lt;0.5,1,0),0)</f>
        <v>0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43695</v>
      </c>
      <c r="B314" s="2">
        <v>2019</v>
      </c>
      <c r="C314" s="2">
        <f>COUNTIFS(Games[Team],Games[[#This Row],[Team]],Games[Season],Games[[#This Row],[Season]],Games[Date],"&lt;=" &amp; Games[[#This Row],[Date]])</f>
        <v>26</v>
      </c>
      <c r="D314" s="2" t="s">
        <v>79</v>
      </c>
      <c r="E314" s="2" t="s">
        <v>80</v>
      </c>
      <c r="F314" s="1" t="s">
        <v>60</v>
      </c>
      <c r="G314" s="1" t="s">
        <v>40</v>
      </c>
      <c r="H314" s="1" t="s">
        <v>81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4" s="2">
        <f>Games[[#This Row],[DaysOff]]-Games[[#This Row],[OppDaysOff]]</f>
        <v>0</v>
      </c>
      <c r="L314" s="2">
        <f>Games[[#This Row],[OppDaysOff]]-Games[[#This Row],[DaysOff]]</f>
        <v>0</v>
      </c>
      <c r="M314" s="1">
        <f>MAX(-16, MIN(16, Games[[#This Row],[RestDiff]]*8))</f>
        <v>0</v>
      </c>
      <c r="N314" s="1">
        <f>MAX(-16, MIN(16, Games[[#This Row],[OppRestDiff]]*8))</f>
        <v>0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1340.0742890848658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1508.9277195046409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0.18915021166823415</v>
      </c>
      <c r="R314" s="1">
        <v>72</v>
      </c>
      <c r="S314" s="1">
        <v>78</v>
      </c>
      <c r="T314" s="1">
        <v>0</v>
      </c>
      <c r="U314" s="1">
        <f>Games[[#This Row],[PointsFor]]-Games[[#This Row],[PointsAgainst]]</f>
        <v>-6</v>
      </c>
      <c r="V314" s="1">
        <f>IF(Games[[#This Row],[MOV]]&gt;0,1,IF(Games[[#This Row],[MOV]]=0,0.5,0))</f>
        <v>0</v>
      </c>
      <c r="W314" s="4">
        <f>((ABS(Games[[#This Row],[MOV]])+5)^0.6)/(12+0.01*(ABS(Games[[#This Row],[PreGmRate]]-Games[[#This Row],[OppPreGmRate]])))*IF(Games[[#This Row],[OT]]=1,0.9,1)</f>
        <v>0.30794890376241429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72.099999999999994</v>
      </c>
      <c r="Z314" s="4">
        <f>Games[[#This Row],[K]]*Games[[#This Row],[POMult]]</f>
        <v>72.099999999999994</v>
      </c>
      <c r="AA314" s="4">
        <f>(Games[[#This Row],[Keff]]*Games[[#This Row],[MOVMult]])*(Games[[#This Row],[Result]]-Games[[#This Row],[ExpectedWin%]])</f>
        <v>-4.1997240837685812</v>
      </c>
      <c r="AB314" s="4">
        <f>Games[[#This Row],[PreGmRate]]+Games[[#This Row],[RatingChange]]</f>
        <v>1335.8745650010972</v>
      </c>
      <c r="AC314" s="2">
        <f>IF(Games[[#This Row],[Type]]="R",IF(Games[[#This Row],[Result]]&gt;0.5,1,0),0)</f>
        <v>0</v>
      </c>
      <c r="AD314" s="2">
        <f>IF(Games[[#This Row],[Type]]="R",IF(Games[[#This Row],[Result]]&lt;0.5,1,0),0)</f>
        <v>1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43695</v>
      </c>
      <c r="B315" s="2">
        <v>2019</v>
      </c>
      <c r="C315" s="2">
        <f>COUNTIFS(Games[Team],Games[[#This Row],[Team]],Games[Season],Games[[#This Row],[Season]],Games[Date],"&lt;=" &amp; Games[[#This Row],[Date]])</f>
        <v>26</v>
      </c>
      <c r="D315" s="2" t="s">
        <v>79</v>
      </c>
      <c r="E315" s="2" t="s">
        <v>80</v>
      </c>
      <c r="F315" s="1" t="s">
        <v>40</v>
      </c>
      <c r="G315" s="1" t="s">
        <v>60</v>
      </c>
      <c r="H315" s="1" t="s">
        <v>82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5" s="2">
        <f>Games[[#This Row],[DaysOff]]-Games[[#This Row],[OppDaysOff]]</f>
        <v>0</v>
      </c>
      <c r="L315" s="2">
        <f>Games[[#This Row],[OppDaysOff]]-Games[[#This Row],[DaysOff]]</f>
        <v>0</v>
      </c>
      <c r="M315" s="1">
        <f>MAX(-16, MIN(16, Games[[#This Row],[RestDiff]]*8))</f>
        <v>0</v>
      </c>
      <c r="N315" s="1">
        <f>MAX(-16, MIN(16, Games[[#This Row],[OppRestDiff]]*8))</f>
        <v>0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1508.9277195046409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1340.0742890848658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0.8108497883317658</v>
      </c>
      <c r="R315" s="1">
        <v>78</v>
      </c>
      <c r="S315" s="1">
        <v>72</v>
      </c>
      <c r="T315" s="1">
        <v>0</v>
      </c>
      <c r="U315" s="1">
        <f>Games[[#This Row],[PointsFor]]-Games[[#This Row],[PointsAgainst]]</f>
        <v>6</v>
      </c>
      <c r="V315" s="1">
        <f>IF(Games[[#This Row],[MOV]]&gt;0,1,IF(Games[[#This Row],[MOV]]=0,0.5,0))</f>
        <v>1</v>
      </c>
      <c r="W315" s="4">
        <f>((ABS(Games[[#This Row],[MOV]])+5)^0.6)/(12+0.01*(ABS(Games[[#This Row],[PreGmRate]]-Games[[#This Row],[OppPreGmRate]])))*IF(Games[[#This Row],[OT]]=1,0.9,1)</f>
        <v>0.30794890376241429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72.099999999999994</v>
      </c>
      <c r="Z315" s="4">
        <f>Games[[#This Row],[K]]*Games[[#This Row],[POMult]]</f>
        <v>72.099999999999994</v>
      </c>
      <c r="AA315" s="4">
        <f>(Games[[#This Row],[Keff]]*Games[[#This Row],[MOVMult]])*(Games[[#This Row],[Result]]-Games[[#This Row],[ExpectedWin%]])</f>
        <v>4.199724083768583</v>
      </c>
      <c r="AB315" s="4">
        <f>Games[[#This Row],[PreGmRate]]+Games[[#This Row],[RatingChange]]</f>
        <v>1513.1274435884095</v>
      </c>
      <c r="AC315" s="2">
        <f>IF(Games[[#This Row],[Type]]="R",IF(Games[[#This Row],[Result]]&gt;0.5,1,0),0)</f>
        <v>1</v>
      </c>
      <c r="AD315" s="2">
        <f>IF(Games[[#This Row],[Type]]="R",IF(Games[[#This Row],[Result]]&lt;0.5,1,0),0)</f>
        <v>0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43695</v>
      </c>
      <c r="B316" s="2">
        <v>2019</v>
      </c>
      <c r="C316" s="2">
        <f>COUNTIFS(Games[Team],Games[[#This Row],[Team]],Games[Season],Games[[#This Row],[Season]],Games[Date],"&lt;=" &amp; Games[[#This Row],[Date]])</f>
        <v>27</v>
      </c>
      <c r="D316" s="2" t="s">
        <v>79</v>
      </c>
      <c r="E316" s="2" t="s">
        <v>80</v>
      </c>
      <c r="F316" s="1" t="s">
        <v>67</v>
      </c>
      <c r="G316" s="1" t="s">
        <v>71</v>
      </c>
      <c r="H316" s="1" t="s">
        <v>81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6" s="2">
        <f>Games[[#This Row],[DaysOff]]-Games[[#This Row],[OppDaysOff]]</f>
        <v>0</v>
      </c>
      <c r="L316" s="2">
        <f>Games[[#This Row],[OppDaysOff]]-Games[[#This Row],[DaysOff]]</f>
        <v>0</v>
      </c>
      <c r="M316" s="1">
        <f>MAX(-16, MIN(16, Games[[#This Row],[RestDiff]]*8))</f>
        <v>0</v>
      </c>
      <c r="N316" s="1">
        <f>MAX(-16, MIN(16, Games[[#This Row],[OppRestDiff]]*8))</f>
        <v>0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1519.5316971650423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1543.8983992197916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0.34891567713382327</v>
      </c>
      <c r="R316" s="1">
        <v>74</v>
      </c>
      <c r="S316" s="1">
        <v>82</v>
      </c>
      <c r="T316" s="1">
        <v>0</v>
      </c>
      <c r="U316" s="1">
        <f>Games[[#This Row],[PointsFor]]-Games[[#This Row],[PointsAgainst]]</f>
        <v>-8</v>
      </c>
      <c r="V316" s="1">
        <f>IF(Games[[#This Row],[MOV]]&gt;0,1,IF(Games[[#This Row],[MOV]]=0,0.5,0))</f>
        <v>0</v>
      </c>
      <c r="W316" s="4">
        <f>((ABS(Games[[#This Row],[MOV]])+5)^0.6)/(12+0.01*(ABS(Games[[#This Row],[PreGmRate]]-Games[[#This Row],[OppPreGmRate]])))*IF(Games[[#This Row],[OT]]=1,0.9,1)</f>
        <v>0.38058748348970511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71.95</v>
      </c>
      <c r="Z316" s="4">
        <f>Games[[#This Row],[K]]*Games[[#This Row],[POMult]]</f>
        <v>71.95</v>
      </c>
      <c r="AA316" s="4">
        <f>(Games[[#This Row],[Keff]]*Games[[#This Row],[MOVMult]])*(Games[[#This Row],[Result]]-Games[[#This Row],[ExpectedWin%]])</f>
        <v>-9.554451997778191</v>
      </c>
      <c r="AB316" s="4">
        <f>Games[[#This Row],[PreGmRate]]+Games[[#This Row],[RatingChange]]</f>
        <v>1509.9772451672641</v>
      </c>
      <c r="AC316" s="2">
        <f>IF(Games[[#This Row],[Type]]="R",IF(Games[[#This Row],[Result]]&gt;0.5,1,0),0)</f>
        <v>0</v>
      </c>
      <c r="AD316" s="2">
        <f>IF(Games[[#This Row],[Type]]="R",IF(Games[[#This Row],[Result]]&lt;0.5,1,0),0)</f>
        <v>1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43695</v>
      </c>
      <c r="B317" s="2">
        <v>2019</v>
      </c>
      <c r="C317" s="2">
        <f>COUNTIFS(Games[Team],Games[[#This Row],[Team]],Games[Season],Games[[#This Row],[Season]],Games[Date],"&lt;=" &amp; Games[[#This Row],[Date]])</f>
        <v>28</v>
      </c>
      <c r="D317" s="2" t="s">
        <v>79</v>
      </c>
      <c r="E317" s="2" t="s">
        <v>80</v>
      </c>
      <c r="F317" s="1" t="s">
        <v>71</v>
      </c>
      <c r="G317" s="1" t="s">
        <v>67</v>
      </c>
      <c r="H317" s="1" t="s">
        <v>82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7" s="2">
        <f>Games[[#This Row],[DaysOff]]-Games[[#This Row],[OppDaysOff]]</f>
        <v>0</v>
      </c>
      <c r="L317" s="2">
        <f>Games[[#This Row],[OppDaysOff]]-Games[[#This Row],[DaysOff]]</f>
        <v>0</v>
      </c>
      <c r="M317" s="1">
        <f>MAX(-16, MIN(16, Games[[#This Row],[RestDiff]]*8))</f>
        <v>0</v>
      </c>
      <c r="N317" s="1">
        <f>MAX(-16, MIN(16, Games[[#This Row],[OppRestDiff]]*8))</f>
        <v>0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1543.8983992197916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1519.5316971650423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0.65108432286617679</v>
      </c>
      <c r="R317" s="1">
        <v>82</v>
      </c>
      <c r="S317" s="1">
        <v>74</v>
      </c>
      <c r="T317" s="1">
        <v>0</v>
      </c>
      <c r="U317" s="1">
        <f>Games[[#This Row],[PointsFor]]-Games[[#This Row],[PointsAgainst]]</f>
        <v>8</v>
      </c>
      <c r="V317" s="1">
        <f>IF(Games[[#This Row],[MOV]]&gt;0,1,IF(Games[[#This Row],[MOV]]=0,0.5,0))</f>
        <v>1</v>
      </c>
      <c r="W317" s="4">
        <f>((ABS(Games[[#This Row],[MOV]])+5)^0.6)/(12+0.01*(ABS(Games[[#This Row],[PreGmRate]]-Games[[#This Row],[OppPreGmRate]])))*IF(Games[[#This Row],[OT]]=1,0.9,1)</f>
        <v>0.38058748348970511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71.8</v>
      </c>
      <c r="Z317" s="4">
        <f>Games[[#This Row],[K]]*Games[[#This Row],[POMult]]</f>
        <v>71.8</v>
      </c>
      <c r="AA317" s="4">
        <f>(Games[[#This Row],[Keff]]*Games[[#This Row],[MOVMult]])*(Games[[#This Row],[Result]]-Games[[#This Row],[ExpectedWin%]])</f>
        <v>9.5345330568516182</v>
      </c>
      <c r="AB317" s="4">
        <f>Games[[#This Row],[PreGmRate]]+Games[[#This Row],[RatingChange]]</f>
        <v>1553.4329322766432</v>
      </c>
      <c r="AC317" s="2">
        <f>IF(Games[[#This Row],[Type]]="R",IF(Games[[#This Row],[Result]]&gt;0.5,1,0),0)</f>
        <v>1</v>
      </c>
      <c r="AD317" s="2">
        <f>IF(Games[[#This Row],[Type]]="R",IF(Games[[#This Row],[Result]]&lt;0.5,1,0),0)</f>
        <v>0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43695</v>
      </c>
      <c r="B318" s="2">
        <v>2019</v>
      </c>
      <c r="C318" s="2">
        <f>COUNTIFS(Games[Team],Games[[#This Row],[Team]],Games[Season],Games[[#This Row],[Season]],Games[Date],"&lt;=" &amp; Games[[#This Row],[Date]])</f>
        <v>26</v>
      </c>
      <c r="D318" s="2" t="s">
        <v>79</v>
      </c>
      <c r="E318" s="2" t="s">
        <v>80</v>
      </c>
      <c r="F318" s="1" t="s">
        <v>69</v>
      </c>
      <c r="G318" s="1" t="s">
        <v>65</v>
      </c>
      <c r="H318" s="1" t="s">
        <v>81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7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8" s="2">
        <f>Games[[#This Row],[DaysOff]]-Games[[#This Row],[OppDaysOff]]</f>
        <v>6</v>
      </c>
      <c r="L318" s="2">
        <f>Games[[#This Row],[OppDaysOff]]-Games[[#This Row],[DaysOff]]</f>
        <v>-6</v>
      </c>
      <c r="M318" s="1">
        <f>MAX(-16, MIN(16, Games[[#This Row],[RestDiff]]*8))</f>
        <v>16</v>
      </c>
      <c r="N318" s="1">
        <f>MAX(-16, MIN(16, Games[[#This Row],[OppRestDiff]]*8))</f>
        <v>-16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1405.1473962198531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1684.5644750354757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0.12922933067977971</v>
      </c>
      <c r="R318" s="1">
        <v>68</v>
      </c>
      <c r="S318" s="1">
        <v>107</v>
      </c>
      <c r="T318" s="1">
        <v>0</v>
      </c>
      <c r="U318" s="1">
        <f>Games[[#This Row],[PointsFor]]-Games[[#This Row],[PointsAgainst]]</f>
        <v>-39</v>
      </c>
      <c r="V318" s="1">
        <f>IF(Games[[#This Row],[MOV]]&gt;0,1,IF(Games[[#This Row],[MOV]]=0,0.5,0))</f>
        <v>0</v>
      </c>
      <c r="W318" s="4">
        <f>((ABS(Games[[#This Row],[MOV]])+5)^0.6)/(12+0.01*(ABS(Games[[#This Row],[PreGmRate]]-Games[[#This Row],[OppPreGmRate]])))*IF(Games[[#This Row],[OT]]=1,0.9,1)</f>
        <v>0.65460750159305359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72.099999999999994</v>
      </c>
      <c r="Z318" s="4">
        <f>Games[[#This Row],[K]]*Games[[#This Row],[POMult]]</f>
        <v>72.099999999999994</v>
      </c>
      <c r="AA318" s="4">
        <f>(Games[[#This Row],[Keff]]*Games[[#This Row],[MOVMult]])*(Games[[#This Row],[Result]]-Games[[#This Row],[ExpectedWin%]])</f>
        <v>-6.0992626777248695</v>
      </c>
      <c r="AB318" s="4">
        <f>Games[[#This Row],[PreGmRate]]+Games[[#This Row],[RatingChange]]</f>
        <v>1399.0481335421282</v>
      </c>
      <c r="AC318" s="2">
        <f>IF(Games[[#This Row],[Type]]="R",IF(Games[[#This Row],[Result]]&gt;0.5,1,0),0)</f>
        <v>0</v>
      </c>
      <c r="AD318" s="2">
        <f>IF(Games[[#This Row],[Type]]="R",IF(Games[[#This Row],[Result]]&lt;0.5,1,0),0)</f>
        <v>1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43695</v>
      </c>
      <c r="B319" s="2">
        <v>2019</v>
      </c>
      <c r="C319" s="2">
        <f>COUNTIFS(Games[Team],Games[[#This Row],[Team]],Games[Season],Games[[#This Row],[Season]],Games[Date],"&lt;=" &amp; Games[[#This Row],[Date]])</f>
        <v>27</v>
      </c>
      <c r="D319" s="2" t="s">
        <v>79</v>
      </c>
      <c r="E319" s="2" t="s">
        <v>80</v>
      </c>
      <c r="F319" s="1" t="s">
        <v>65</v>
      </c>
      <c r="G319" s="1" t="s">
        <v>69</v>
      </c>
      <c r="H319" s="1" t="s">
        <v>82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319" s="2">
        <f>Games[[#This Row],[DaysOff]]-Games[[#This Row],[OppDaysOff]]</f>
        <v>-6</v>
      </c>
      <c r="L319" s="2">
        <f>Games[[#This Row],[OppDaysOff]]-Games[[#This Row],[DaysOff]]</f>
        <v>6</v>
      </c>
      <c r="M319" s="1">
        <f>MAX(-16, MIN(16, Games[[#This Row],[RestDiff]]*8))</f>
        <v>-16</v>
      </c>
      <c r="N319" s="1">
        <f>MAX(-16, MIN(16, Games[[#This Row],[OppRestDiff]]*8))</f>
        <v>16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1684.5644750354757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1405.1473962198531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0.87077066932022029</v>
      </c>
      <c r="R319" s="1">
        <v>107</v>
      </c>
      <c r="S319" s="1">
        <v>68</v>
      </c>
      <c r="T319" s="1">
        <v>0</v>
      </c>
      <c r="U319" s="1">
        <f>Games[[#This Row],[PointsFor]]-Games[[#This Row],[PointsAgainst]]</f>
        <v>39</v>
      </c>
      <c r="V319" s="1">
        <f>IF(Games[[#This Row],[MOV]]&gt;0,1,IF(Games[[#This Row],[MOV]]=0,0.5,0))</f>
        <v>1</v>
      </c>
      <c r="W319" s="4">
        <f>((ABS(Games[[#This Row],[MOV]])+5)^0.6)/(12+0.01*(ABS(Games[[#This Row],[PreGmRate]]-Games[[#This Row],[OppPreGmRate]])))*IF(Games[[#This Row],[OT]]=1,0.9,1)</f>
        <v>0.65460750159305359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71.95</v>
      </c>
      <c r="Z319" s="4">
        <f>Games[[#This Row],[K]]*Games[[#This Row],[POMult]]</f>
        <v>71.95</v>
      </c>
      <c r="AA319" s="4">
        <f>(Games[[#This Row],[Keff]]*Games[[#This Row],[MOVMult]])*(Games[[#This Row],[Result]]-Games[[#This Row],[ExpectedWin%]])</f>
        <v>6.086573504331545</v>
      </c>
      <c r="AB319" s="4">
        <f>Games[[#This Row],[PreGmRate]]+Games[[#This Row],[RatingChange]]</f>
        <v>1690.6510485398071</v>
      </c>
      <c r="AC319" s="2">
        <f>IF(Games[[#This Row],[Type]]="R",IF(Games[[#This Row],[Result]]&gt;0.5,1,0),0)</f>
        <v>1</v>
      </c>
      <c r="AD319" s="2">
        <f>IF(Games[[#This Row],[Type]]="R",IF(Games[[#This Row],[Result]]&lt;0.5,1,0),0)</f>
        <v>0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43697</v>
      </c>
      <c r="B320" s="2">
        <v>2019</v>
      </c>
      <c r="C320" s="2">
        <f>COUNTIFS(Games[Team],Games[[#This Row],[Team]],Games[Season],Games[[#This Row],[Season]],Games[Date],"&lt;=" &amp; Games[[#This Row],[Date]])</f>
        <v>27</v>
      </c>
      <c r="D320" s="2" t="s">
        <v>79</v>
      </c>
      <c r="E320" s="2" t="s">
        <v>80</v>
      </c>
      <c r="F320" s="1" t="s">
        <v>75</v>
      </c>
      <c r="G320" s="1" t="s">
        <v>77</v>
      </c>
      <c r="H320" s="1" t="s">
        <v>81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0" s="2">
        <f>Games[[#This Row],[DaysOff]]-Games[[#This Row],[OppDaysOff]]</f>
        <v>-2</v>
      </c>
      <c r="L320" s="2">
        <f>Games[[#This Row],[OppDaysOff]]-Games[[#This Row],[DaysOff]]</f>
        <v>2</v>
      </c>
      <c r="M320" s="1">
        <f>MAX(-16, MIN(16, Games[[#This Row],[RestDiff]]*8))</f>
        <v>-16</v>
      </c>
      <c r="N320" s="1">
        <f>MAX(-16, MIN(16, Games[[#This Row],[OppRestDiff]]*8))</f>
        <v>16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1513.3650960078637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1344.0244757622741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0.57616584080420852</v>
      </c>
      <c r="R320" s="1">
        <v>87</v>
      </c>
      <c r="S320" s="1">
        <v>83</v>
      </c>
      <c r="T320" s="1">
        <v>0</v>
      </c>
      <c r="U320" s="1">
        <f>Games[[#This Row],[PointsFor]]-Games[[#This Row],[PointsAgainst]]</f>
        <v>4</v>
      </c>
      <c r="V320" s="1">
        <f>IF(Games[[#This Row],[MOV]]&gt;0,1,IF(Games[[#This Row],[MOV]]=0,0.5,0))</f>
        <v>1</v>
      </c>
      <c r="W320" s="4">
        <f>((ABS(Games[[#This Row],[MOV]])+5)^0.6)/(12+0.01*(ABS(Games[[#This Row],[PreGmRate]]-Games[[#This Row],[OppPreGmRate]])))*IF(Games[[#This Row],[OT]]=1,0.9,1)</f>
        <v>0.2729191527361754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71.95</v>
      </c>
      <c r="Z320" s="4">
        <f>Games[[#This Row],[K]]*Games[[#This Row],[POMult]]</f>
        <v>71.95</v>
      </c>
      <c r="AA320" s="4">
        <f>(Games[[#This Row],[Keff]]*Games[[#This Row],[MOVMult]])*(Games[[#This Row],[Result]]-Games[[#This Row],[ExpectedWin%]])</f>
        <v>8.3226334702608398</v>
      </c>
      <c r="AB320" s="4">
        <f>Games[[#This Row],[PreGmRate]]+Games[[#This Row],[RatingChange]]</f>
        <v>1521.6877294781245</v>
      </c>
      <c r="AC320" s="2">
        <f>IF(Games[[#This Row],[Type]]="R",IF(Games[[#This Row],[Result]]&gt;0.5,1,0),0)</f>
        <v>1</v>
      </c>
      <c r="AD320" s="2">
        <f>IF(Games[[#This Row],[Type]]="R",IF(Games[[#This Row],[Result]]&lt;0.5,1,0),0)</f>
        <v>0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43697</v>
      </c>
      <c r="B321" s="2">
        <v>2019</v>
      </c>
      <c r="C321" s="2">
        <f>COUNTIFS(Games[Team],Games[[#This Row],[Team]],Games[Season],Games[[#This Row],[Season]],Games[Date],"&lt;=" &amp; Games[[#This Row],[Date]])</f>
        <v>27</v>
      </c>
      <c r="D321" s="2" t="s">
        <v>79</v>
      </c>
      <c r="E321" s="2" t="s">
        <v>80</v>
      </c>
      <c r="F321" s="1" t="s">
        <v>77</v>
      </c>
      <c r="G321" s="1" t="s">
        <v>75</v>
      </c>
      <c r="H321" s="1" t="s">
        <v>82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1" s="2">
        <f>Games[[#This Row],[DaysOff]]-Games[[#This Row],[OppDaysOff]]</f>
        <v>2</v>
      </c>
      <c r="L321" s="2">
        <f>Games[[#This Row],[OppDaysOff]]-Games[[#This Row],[DaysOff]]</f>
        <v>-2</v>
      </c>
      <c r="M321" s="1">
        <f>MAX(-16, MIN(16, Games[[#This Row],[RestDiff]]*8))</f>
        <v>16</v>
      </c>
      <c r="N321" s="1">
        <f>MAX(-16, MIN(16, Games[[#This Row],[OppRestDiff]]*8))</f>
        <v>-16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1344.0244757622741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1513.3650960078637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0.42383415919579143</v>
      </c>
      <c r="R321" s="1">
        <v>83</v>
      </c>
      <c r="S321" s="1">
        <v>87</v>
      </c>
      <c r="T321" s="1">
        <v>0</v>
      </c>
      <c r="U321" s="1">
        <f>Games[[#This Row],[PointsFor]]-Games[[#This Row],[PointsAgainst]]</f>
        <v>-4</v>
      </c>
      <c r="V321" s="1">
        <f>IF(Games[[#This Row],[MOV]]&gt;0,1,IF(Games[[#This Row],[MOV]]=0,0.5,0))</f>
        <v>0</v>
      </c>
      <c r="W321" s="4">
        <f>((ABS(Games[[#This Row],[MOV]])+5)^0.6)/(12+0.01*(ABS(Games[[#This Row],[PreGmRate]]-Games[[#This Row],[OppPreGmRate]])))*IF(Games[[#This Row],[OT]]=1,0.9,1)</f>
        <v>0.2729191527361754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71.95</v>
      </c>
      <c r="Z321" s="4">
        <f>Games[[#This Row],[K]]*Games[[#This Row],[POMult]]</f>
        <v>71.95</v>
      </c>
      <c r="AA321" s="4">
        <f>(Games[[#This Row],[Keff]]*Games[[#This Row],[MOVMult]])*(Games[[#This Row],[Result]]-Games[[#This Row],[ExpectedWin%]])</f>
        <v>-8.322633470260838</v>
      </c>
      <c r="AB321" s="4">
        <f>Games[[#This Row],[PreGmRate]]+Games[[#This Row],[RatingChange]]</f>
        <v>1335.7018422920132</v>
      </c>
      <c r="AC321" s="2">
        <f>IF(Games[[#This Row],[Type]]="R",IF(Games[[#This Row],[Result]]&gt;0.5,1,0),0)</f>
        <v>0</v>
      </c>
      <c r="AD321" s="2">
        <f>IF(Games[[#This Row],[Type]]="R",IF(Games[[#This Row],[Result]]&lt;0.5,1,0),0)</f>
        <v>1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43697</v>
      </c>
      <c r="B322" s="2">
        <v>2019</v>
      </c>
      <c r="C322" s="2">
        <f>COUNTIFS(Games[Team],Games[[#This Row],[Team]],Games[Season],Games[[#This Row],[Season]],Games[Date],"&lt;=" &amp; Games[[#This Row],[Date]])</f>
        <v>27</v>
      </c>
      <c r="D322" s="2" t="s">
        <v>79</v>
      </c>
      <c r="E322" s="2" t="s">
        <v>80</v>
      </c>
      <c r="F322" s="1" t="s">
        <v>60</v>
      </c>
      <c r="G322" s="1" t="s">
        <v>69</v>
      </c>
      <c r="H322" s="1" t="s">
        <v>81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2" s="2">
        <f>Games[[#This Row],[DaysOff]]-Games[[#This Row],[OppDaysOff]]</f>
        <v>0</v>
      </c>
      <c r="L322" s="2">
        <f>Games[[#This Row],[OppDaysOff]]-Games[[#This Row],[DaysOff]]</f>
        <v>0</v>
      </c>
      <c r="M322" s="1">
        <f>MAX(-16, MIN(16, Games[[#This Row],[RestDiff]]*8))</f>
        <v>0</v>
      </c>
      <c r="N322" s="1">
        <f>MAX(-16, MIN(16, Games[[#This Row],[OppRestDiff]]*8))</f>
        <v>0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1335.8745650010972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1399.0481335421282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0.3000207269626467</v>
      </c>
      <c r="R322" s="1">
        <v>82</v>
      </c>
      <c r="S322" s="1">
        <v>76</v>
      </c>
      <c r="T322" s="1">
        <v>0</v>
      </c>
      <c r="U322" s="1">
        <f>Games[[#This Row],[PointsFor]]-Games[[#This Row],[PointsAgainst]]</f>
        <v>6</v>
      </c>
      <c r="V322" s="1">
        <f>IF(Games[[#This Row],[MOV]]&gt;0,1,IF(Games[[#This Row],[MOV]]=0,0.5,0))</f>
        <v>1</v>
      </c>
      <c r="W322" s="4">
        <f>((ABS(Games[[#This Row],[MOV]])+5)^0.6)/(12+0.01*(ABS(Games[[#This Row],[PreGmRate]]-Games[[#This Row],[OppPreGmRate]])))*IF(Games[[#This Row],[OT]]=1,0.9,1)</f>
        <v>0.33371258218778777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71.95</v>
      </c>
      <c r="Z322" s="4">
        <f>Games[[#This Row],[K]]*Games[[#This Row],[POMult]]</f>
        <v>71.95</v>
      </c>
      <c r="AA322" s="4">
        <f>(Games[[#This Row],[Keff]]*Games[[#This Row],[MOVMult]])*(Games[[#This Row],[Result]]-Games[[#This Row],[ExpectedWin%]])</f>
        <v>16.806936534658089</v>
      </c>
      <c r="AB322" s="4">
        <f>Games[[#This Row],[PreGmRate]]+Games[[#This Row],[RatingChange]]</f>
        <v>1352.6815015357552</v>
      </c>
      <c r="AC322" s="2">
        <f>IF(Games[[#This Row],[Type]]="R",IF(Games[[#This Row],[Result]]&gt;0.5,1,0),0)</f>
        <v>1</v>
      </c>
      <c r="AD322" s="2">
        <f>IF(Games[[#This Row],[Type]]="R",IF(Games[[#This Row],[Result]]&lt;0.5,1,0),0)</f>
        <v>0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43697</v>
      </c>
      <c r="B323" s="2">
        <v>2019</v>
      </c>
      <c r="C323" s="2">
        <f>COUNTIFS(Games[Team],Games[[#This Row],[Team]],Games[Season],Games[[#This Row],[Season]],Games[Date],"&lt;=" &amp; Games[[#This Row],[Date]])</f>
        <v>27</v>
      </c>
      <c r="D323" s="2" t="s">
        <v>79</v>
      </c>
      <c r="E323" s="2" t="s">
        <v>80</v>
      </c>
      <c r="F323" s="1" t="s">
        <v>69</v>
      </c>
      <c r="G323" s="1" t="s">
        <v>60</v>
      </c>
      <c r="H323" s="1" t="s">
        <v>82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3" s="2">
        <f>Games[[#This Row],[DaysOff]]-Games[[#This Row],[OppDaysOff]]</f>
        <v>0</v>
      </c>
      <c r="L323" s="2">
        <f>Games[[#This Row],[OppDaysOff]]-Games[[#This Row],[DaysOff]]</f>
        <v>0</v>
      </c>
      <c r="M323" s="1">
        <f>MAX(-16, MIN(16, Games[[#This Row],[RestDiff]]*8))</f>
        <v>0</v>
      </c>
      <c r="N323" s="1">
        <f>MAX(-16, MIN(16, Games[[#This Row],[OppRestDiff]]*8))</f>
        <v>0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1399.0481335421282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1335.8745650010972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0.6999792730373533</v>
      </c>
      <c r="R323" s="1">
        <v>76</v>
      </c>
      <c r="S323" s="1">
        <v>82</v>
      </c>
      <c r="T323" s="1">
        <v>0</v>
      </c>
      <c r="U323" s="1">
        <f>Games[[#This Row],[PointsFor]]-Games[[#This Row],[PointsAgainst]]</f>
        <v>-6</v>
      </c>
      <c r="V323" s="1">
        <f>IF(Games[[#This Row],[MOV]]&gt;0,1,IF(Games[[#This Row],[MOV]]=0,0.5,0))</f>
        <v>0</v>
      </c>
      <c r="W323" s="4">
        <f>((ABS(Games[[#This Row],[MOV]])+5)^0.6)/(12+0.01*(ABS(Games[[#This Row],[PreGmRate]]-Games[[#This Row],[OppPreGmRate]])))*IF(Games[[#This Row],[OT]]=1,0.9,1)</f>
        <v>0.33371258218778777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71.95</v>
      </c>
      <c r="Z323" s="4">
        <f>Games[[#This Row],[K]]*Games[[#This Row],[POMult]]</f>
        <v>71.95</v>
      </c>
      <c r="AA323" s="4">
        <f>(Games[[#This Row],[Keff]]*Games[[#This Row],[MOVMult]])*(Games[[#This Row],[Result]]-Games[[#This Row],[ExpectedWin%]])</f>
        <v>-16.806936534658089</v>
      </c>
      <c r="AB323" s="4">
        <f>Games[[#This Row],[PreGmRate]]+Games[[#This Row],[RatingChange]]</f>
        <v>1382.2411970074702</v>
      </c>
      <c r="AC323" s="2">
        <f>IF(Games[[#This Row],[Type]]="R",IF(Games[[#This Row],[Result]]&gt;0.5,1,0),0)</f>
        <v>0</v>
      </c>
      <c r="AD323" s="2">
        <f>IF(Games[[#This Row],[Type]]="R",IF(Games[[#This Row],[Result]]&lt;0.5,1,0),0)</f>
        <v>1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43697</v>
      </c>
      <c r="B324" s="2">
        <v>2019</v>
      </c>
      <c r="C324" s="2">
        <f>COUNTIFS(Games[Team],Games[[#This Row],[Team]],Games[Season],Games[[#This Row],[Season]],Games[Date],"&lt;=" &amp; Games[[#This Row],[Date]])</f>
        <v>28</v>
      </c>
      <c r="D324" s="2" t="s">
        <v>79</v>
      </c>
      <c r="E324" s="2" t="s">
        <v>80</v>
      </c>
      <c r="F324" s="1" t="s">
        <v>67</v>
      </c>
      <c r="G324" s="1" t="s">
        <v>63</v>
      </c>
      <c r="H324" s="1" t="s">
        <v>81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4" s="2">
        <f>Games[[#This Row],[DaysOff]]-Games[[#This Row],[OppDaysOff]]</f>
        <v>-2</v>
      </c>
      <c r="L324" s="2">
        <f>Games[[#This Row],[OppDaysOff]]-Games[[#This Row],[DaysOff]]</f>
        <v>2</v>
      </c>
      <c r="M324" s="1">
        <f>MAX(-16, MIN(16, Games[[#This Row],[RestDiff]]*8))</f>
        <v>-16</v>
      </c>
      <c r="N324" s="1">
        <f>MAX(-16, MIN(16, Games[[#This Row],[OppRestDiff]]*8))</f>
        <v>16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1509.9772451672641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1554.9212239997205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0.28364182652374426</v>
      </c>
      <c r="R324" s="1">
        <v>71</v>
      </c>
      <c r="S324" s="1">
        <v>81</v>
      </c>
      <c r="T324" s="1">
        <v>0</v>
      </c>
      <c r="U324" s="1">
        <f>Games[[#This Row],[PointsFor]]-Games[[#This Row],[PointsAgainst]]</f>
        <v>-10</v>
      </c>
      <c r="V324" s="1">
        <f>IF(Games[[#This Row],[MOV]]&gt;0,1,IF(Games[[#This Row],[MOV]]=0,0.5,0))</f>
        <v>0</v>
      </c>
      <c r="W324" s="4">
        <f>((ABS(Games[[#This Row],[MOV]])+5)^0.6)/(12+0.01*(ABS(Games[[#This Row],[PreGmRate]]-Games[[#This Row],[OppPreGmRate]])))*IF(Games[[#This Row],[OT]]=1,0.9,1)</f>
        <v>0.40785420696192953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71.8</v>
      </c>
      <c r="Z324" s="4">
        <f>Games[[#This Row],[K]]*Games[[#This Row],[POMult]]</f>
        <v>71.8</v>
      </c>
      <c r="AA324" s="4">
        <f>(Games[[#This Row],[Keff]]*Games[[#This Row],[MOVMult]])*(Games[[#This Row],[Result]]-Games[[#This Row],[ExpectedWin%]])</f>
        <v>-8.306147977257778</v>
      </c>
      <c r="AB324" s="4">
        <f>Games[[#This Row],[PreGmRate]]+Games[[#This Row],[RatingChange]]</f>
        <v>1501.6710971900063</v>
      </c>
      <c r="AC324" s="2">
        <f>IF(Games[[#This Row],[Type]]="R",IF(Games[[#This Row],[Result]]&gt;0.5,1,0),0)</f>
        <v>0</v>
      </c>
      <c r="AD324" s="2">
        <f>IF(Games[[#This Row],[Type]]="R",IF(Games[[#This Row],[Result]]&lt;0.5,1,0),0)</f>
        <v>1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43697</v>
      </c>
      <c r="B325" s="2">
        <v>2019</v>
      </c>
      <c r="C325" s="2">
        <f>COUNTIFS(Games[Team],Games[[#This Row],[Team]],Games[Season],Games[[#This Row],[Season]],Games[Date],"&lt;=" &amp; Games[[#This Row],[Date]])</f>
        <v>26</v>
      </c>
      <c r="D325" s="2" t="s">
        <v>79</v>
      </c>
      <c r="E325" s="2" t="s">
        <v>80</v>
      </c>
      <c r="F325" s="1" t="s">
        <v>63</v>
      </c>
      <c r="G325" s="1" t="s">
        <v>67</v>
      </c>
      <c r="H325" s="1" t="s">
        <v>82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5" s="2">
        <f>Games[[#This Row],[DaysOff]]-Games[[#This Row],[OppDaysOff]]</f>
        <v>2</v>
      </c>
      <c r="L325" s="2">
        <f>Games[[#This Row],[OppDaysOff]]-Games[[#This Row],[DaysOff]]</f>
        <v>-2</v>
      </c>
      <c r="M325" s="1">
        <f>MAX(-16, MIN(16, Games[[#This Row],[RestDiff]]*8))</f>
        <v>16</v>
      </c>
      <c r="N325" s="1">
        <f>MAX(-16, MIN(16, Games[[#This Row],[OppRestDiff]]*8))</f>
        <v>-16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1554.9212239997205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1509.9772451672641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0.71635817347625574</v>
      </c>
      <c r="R325" s="1">
        <v>81</v>
      </c>
      <c r="S325" s="1">
        <v>71</v>
      </c>
      <c r="T325" s="1">
        <v>0</v>
      </c>
      <c r="U325" s="1">
        <f>Games[[#This Row],[PointsFor]]-Games[[#This Row],[PointsAgainst]]</f>
        <v>10</v>
      </c>
      <c r="V325" s="1">
        <f>IF(Games[[#This Row],[MOV]]&gt;0,1,IF(Games[[#This Row],[MOV]]=0,0.5,0))</f>
        <v>1</v>
      </c>
      <c r="W325" s="4">
        <f>((ABS(Games[[#This Row],[MOV]])+5)^0.6)/(12+0.01*(ABS(Games[[#This Row],[PreGmRate]]-Games[[#This Row],[OppPreGmRate]])))*IF(Games[[#This Row],[OT]]=1,0.9,1)</f>
        <v>0.40785420696192953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72.099999999999994</v>
      </c>
      <c r="Z325" s="4">
        <f>Games[[#This Row],[K]]*Games[[#This Row],[POMult]]</f>
        <v>72.099999999999994</v>
      </c>
      <c r="AA325" s="4">
        <f>(Games[[#This Row],[Keff]]*Games[[#This Row],[MOVMult]])*(Games[[#This Row],[Result]]-Games[[#This Row],[ExpectedWin%]])</f>
        <v>8.3408533309231991</v>
      </c>
      <c r="AB325" s="4">
        <f>Games[[#This Row],[PreGmRate]]+Games[[#This Row],[RatingChange]]</f>
        <v>1563.2620773306437</v>
      </c>
      <c r="AC325" s="2">
        <f>IF(Games[[#This Row],[Type]]="R",IF(Games[[#This Row],[Result]]&gt;0.5,1,0),0)</f>
        <v>1</v>
      </c>
      <c r="AD325" s="2">
        <f>IF(Games[[#This Row],[Type]]="R",IF(Games[[#This Row],[Result]]&lt;0.5,1,0),0)</f>
        <v>0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43697</v>
      </c>
      <c r="B326" s="2">
        <v>2019</v>
      </c>
      <c r="C326" s="2">
        <f>COUNTIFS(Games[Team],Games[[#This Row],[Team]],Games[Season],Games[[#This Row],[Season]],Games[Date],"&lt;=" &amp; Games[[#This Row],[Date]])</f>
        <v>27</v>
      </c>
      <c r="D326" s="2" t="s">
        <v>79</v>
      </c>
      <c r="E326" s="2" t="s">
        <v>80</v>
      </c>
      <c r="F326" s="1" t="s">
        <v>40</v>
      </c>
      <c r="G326" s="1" t="s">
        <v>86</v>
      </c>
      <c r="H326" s="1" t="s">
        <v>81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6" s="2">
        <f>Games[[#This Row],[DaysOff]]-Games[[#This Row],[OppDaysOff]]</f>
        <v>0</v>
      </c>
      <c r="L326" s="2">
        <f>Games[[#This Row],[OppDaysOff]]-Games[[#This Row],[DaysOff]]</f>
        <v>0</v>
      </c>
      <c r="M326" s="1">
        <f>MAX(-16, MIN(16, Games[[#This Row],[RestDiff]]*8))</f>
        <v>0</v>
      </c>
      <c r="N326" s="1">
        <f>MAX(-16, MIN(16, Games[[#This Row],[OppRestDiff]]*8))</f>
        <v>0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1513.1274435884095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1573.6823536597676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0.30319594768099528</v>
      </c>
      <c r="R326" s="1">
        <v>79</v>
      </c>
      <c r="S326" s="1">
        <v>84</v>
      </c>
      <c r="T326" s="1">
        <v>1</v>
      </c>
      <c r="U326" s="1">
        <f>Games[[#This Row],[PointsFor]]-Games[[#This Row],[PointsAgainst]]</f>
        <v>-5</v>
      </c>
      <c r="V326" s="1">
        <f>IF(Games[[#This Row],[MOV]]&gt;0,1,IF(Games[[#This Row],[MOV]]=0,0.5,0))</f>
        <v>0</v>
      </c>
      <c r="W326" s="4">
        <f>((ABS(Games[[#This Row],[MOV]])+5)^0.6)/(12+0.01*(ABS(Games[[#This Row],[PreGmRate]]-Games[[#This Row],[OppPreGmRate]])))*IF(Games[[#This Row],[OT]]=1,0.9,1)</f>
        <v>0.28423708529909653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71.95</v>
      </c>
      <c r="Z326" s="4">
        <f>Games[[#This Row],[K]]*Games[[#This Row],[POMult]]</f>
        <v>71.95</v>
      </c>
      <c r="AA326" s="4">
        <f>(Games[[#This Row],[Keff]]*Games[[#This Row],[MOVMult]])*(Games[[#This Row],[Result]]-Games[[#This Row],[ExpectedWin%]])</f>
        <v>-6.2006173592985618</v>
      </c>
      <c r="AB326" s="4">
        <f>Games[[#This Row],[PreGmRate]]+Games[[#This Row],[RatingChange]]</f>
        <v>1506.9268262291109</v>
      </c>
      <c r="AC326" s="2">
        <f>IF(Games[[#This Row],[Type]]="R",IF(Games[[#This Row],[Result]]&gt;0.5,1,0),0)</f>
        <v>0</v>
      </c>
      <c r="AD326" s="2">
        <f>IF(Games[[#This Row],[Type]]="R",IF(Games[[#This Row],[Result]]&lt;0.5,1,0),0)</f>
        <v>1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43697</v>
      </c>
      <c r="B327" s="2">
        <v>2019</v>
      </c>
      <c r="C327" s="2">
        <f>COUNTIFS(Games[Team],Games[[#This Row],[Team]],Games[Season],Games[[#This Row],[Season]],Games[Date],"&lt;=" &amp; Games[[#This Row],[Date]])</f>
        <v>28</v>
      </c>
      <c r="D327" s="2" t="s">
        <v>79</v>
      </c>
      <c r="E327" s="2" t="s">
        <v>80</v>
      </c>
      <c r="F327" s="1" t="s">
        <v>86</v>
      </c>
      <c r="G327" s="1" t="s">
        <v>40</v>
      </c>
      <c r="H327" s="1" t="s">
        <v>82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7" s="2">
        <f>Games[[#This Row],[DaysOff]]-Games[[#This Row],[OppDaysOff]]</f>
        <v>0</v>
      </c>
      <c r="L327" s="2">
        <f>Games[[#This Row],[OppDaysOff]]-Games[[#This Row],[DaysOff]]</f>
        <v>0</v>
      </c>
      <c r="M327" s="1">
        <f>MAX(-16, MIN(16, Games[[#This Row],[RestDiff]]*8))</f>
        <v>0</v>
      </c>
      <c r="N327" s="1">
        <f>MAX(-16, MIN(16, Games[[#This Row],[OppRestDiff]]*8))</f>
        <v>0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1573.6823536597676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1513.1274435884095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0.69680405231900466</v>
      </c>
      <c r="R327" s="1">
        <v>84</v>
      </c>
      <c r="S327" s="1">
        <v>79</v>
      </c>
      <c r="T327" s="1">
        <v>1</v>
      </c>
      <c r="U327" s="1">
        <f>Games[[#This Row],[PointsFor]]-Games[[#This Row],[PointsAgainst]]</f>
        <v>5</v>
      </c>
      <c r="V327" s="1">
        <f>IF(Games[[#This Row],[MOV]]&gt;0,1,IF(Games[[#This Row],[MOV]]=0,0.5,0))</f>
        <v>1</v>
      </c>
      <c r="W327" s="4">
        <f>((ABS(Games[[#This Row],[MOV]])+5)^0.6)/(12+0.01*(ABS(Games[[#This Row],[PreGmRate]]-Games[[#This Row],[OppPreGmRate]])))*IF(Games[[#This Row],[OT]]=1,0.9,1)</f>
        <v>0.28423708529909653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71.8</v>
      </c>
      <c r="Z327" s="4">
        <f>Games[[#This Row],[K]]*Games[[#This Row],[POMult]]</f>
        <v>71.8</v>
      </c>
      <c r="AA327" s="4">
        <f>(Games[[#This Row],[Keff]]*Games[[#This Row],[MOVMult]])*(Games[[#This Row],[Result]]-Games[[#This Row],[ExpectedWin%]])</f>
        <v>6.1876904294320623</v>
      </c>
      <c r="AB327" s="4">
        <f>Games[[#This Row],[PreGmRate]]+Games[[#This Row],[RatingChange]]</f>
        <v>1579.8700440891996</v>
      </c>
      <c r="AC327" s="2">
        <f>IF(Games[[#This Row],[Type]]="R",IF(Games[[#This Row],[Result]]&gt;0.5,1,0),0)</f>
        <v>1</v>
      </c>
      <c r="AD327" s="2">
        <f>IF(Games[[#This Row],[Type]]="R",IF(Games[[#This Row],[Result]]&lt;0.5,1,0),0)</f>
        <v>0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43699</v>
      </c>
      <c r="B328" s="2">
        <v>2019</v>
      </c>
      <c r="C328" s="2">
        <f>COUNTIFS(Games[Team],Games[[#This Row],[Team]],Games[Season],Games[[#This Row],[Season]],Games[Date],"&lt;=" &amp; Games[[#This Row],[Date]])</f>
        <v>28</v>
      </c>
      <c r="D328" s="2" t="s">
        <v>79</v>
      </c>
      <c r="E328" s="2" t="s">
        <v>80</v>
      </c>
      <c r="F328" s="1" t="s">
        <v>69</v>
      </c>
      <c r="G328" s="1" t="s">
        <v>63</v>
      </c>
      <c r="H328" s="1" t="s">
        <v>81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8" s="2">
        <f>Games[[#This Row],[DaysOff]]-Games[[#This Row],[OppDaysOff]]</f>
        <v>0</v>
      </c>
      <c r="L328" s="2">
        <f>Games[[#This Row],[OppDaysOff]]-Games[[#This Row],[DaysOff]]</f>
        <v>0</v>
      </c>
      <c r="M328" s="1">
        <f>MAX(-16, MIN(16, Games[[#This Row],[RestDiff]]*8))</f>
        <v>0</v>
      </c>
      <c r="N328" s="1">
        <f>MAX(-16, MIN(16, Games[[#This Row],[OppRestDiff]]*8))</f>
        <v>0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1382.2411970074702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1563.2620773306437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0.17864089130651162</v>
      </c>
      <c r="R328" s="1">
        <v>65</v>
      </c>
      <c r="S328" s="1">
        <v>98</v>
      </c>
      <c r="T328" s="1">
        <v>0</v>
      </c>
      <c r="U328" s="1">
        <f>Games[[#This Row],[PointsFor]]-Games[[#This Row],[PointsAgainst]]</f>
        <v>-33</v>
      </c>
      <c r="V328" s="1">
        <f>IF(Games[[#This Row],[MOV]]&gt;0,1,IF(Games[[#This Row],[MOV]]=0,0.5,0))</f>
        <v>0</v>
      </c>
      <c r="W328" s="4">
        <f>((ABS(Games[[#This Row],[MOV]])+5)^0.6)/(12+0.01*(ABS(Games[[#This Row],[PreGmRate]]-Games[[#This Row],[OppPreGmRate]])))*IF(Games[[#This Row],[OT]]=1,0.9,1)</f>
        <v>0.64219942596529311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71.8</v>
      </c>
      <c r="Z328" s="4">
        <f>Games[[#This Row],[K]]*Games[[#This Row],[POMult]]</f>
        <v>71.8</v>
      </c>
      <c r="AA328" s="4">
        <f>(Games[[#This Row],[Keff]]*Games[[#This Row],[MOVMult]])*(Games[[#This Row],[Result]]-Games[[#This Row],[ExpectedWin%]])</f>
        <v>-8.2371169896996506</v>
      </c>
      <c r="AB328" s="4">
        <f>Games[[#This Row],[PreGmRate]]+Games[[#This Row],[RatingChange]]</f>
        <v>1374.0040800177705</v>
      </c>
      <c r="AC328" s="2">
        <f>IF(Games[[#This Row],[Type]]="R",IF(Games[[#This Row],[Result]]&gt;0.5,1,0),0)</f>
        <v>0</v>
      </c>
      <c r="AD328" s="2">
        <f>IF(Games[[#This Row],[Type]]="R",IF(Games[[#This Row],[Result]]&lt;0.5,1,0),0)</f>
        <v>1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43699</v>
      </c>
      <c r="B329" s="2">
        <v>2019</v>
      </c>
      <c r="C329" s="2">
        <f>COUNTIFS(Games[Team],Games[[#This Row],[Team]],Games[Season],Games[[#This Row],[Season]],Games[Date],"&lt;=" &amp; Games[[#This Row],[Date]])</f>
        <v>27</v>
      </c>
      <c r="D329" s="2" t="s">
        <v>79</v>
      </c>
      <c r="E329" s="2" t="s">
        <v>80</v>
      </c>
      <c r="F329" s="1" t="s">
        <v>63</v>
      </c>
      <c r="G329" s="1" t="s">
        <v>69</v>
      </c>
      <c r="H329" s="1" t="s">
        <v>82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9" s="2">
        <f>Games[[#This Row],[DaysOff]]-Games[[#This Row],[OppDaysOff]]</f>
        <v>0</v>
      </c>
      <c r="L329" s="2">
        <f>Games[[#This Row],[OppDaysOff]]-Games[[#This Row],[DaysOff]]</f>
        <v>0</v>
      </c>
      <c r="M329" s="1">
        <f>MAX(-16, MIN(16, Games[[#This Row],[RestDiff]]*8))</f>
        <v>0</v>
      </c>
      <c r="N329" s="1">
        <f>MAX(-16, MIN(16, Games[[#This Row],[OppRestDiff]]*8))</f>
        <v>0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1563.2620773306437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1382.2411970074702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0.82135910869348849</v>
      </c>
      <c r="R329" s="1">
        <v>98</v>
      </c>
      <c r="S329" s="1">
        <v>65</v>
      </c>
      <c r="T329" s="1">
        <v>0</v>
      </c>
      <c r="U329" s="1">
        <f>Games[[#This Row],[PointsFor]]-Games[[#This Row],[PointsAgainst]]</f>
        <v>33</v>
      </c>
      <c r="V329" s="1">
        <f>IF(Games[[#This Row],[MOV]]&gt;0,1,IF(Games[[#This Row],[MOV]]=0,0.5,0))</f>
        <v>1</v>
      </c>
      <c r="W329" s="4">
        <f>((ABS(Games[[#This Row],[MOV]])+5)^0.6)/(12+0.01*(ABS(Games[[#This Row],[PreGmRate]]-Games[[#This Row],[OppPreGmRate]])))*IF(Games[[#This Row],[OT]]=1,0.9,1)</f>
        <v>0.64219942596529311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71.95</v>
      </c>
      <c r="Z329" s="4">
        <f>Games[[#This Row],[K]]*Games[[#This Row],[POMult]]</f>
        <v>71.95</v>
      </c>
      <c r="AA329" s="4">
        <f>(Games[[#This Row],[Keff]]*Games[[#This Row],[MOVMult]])*(Games[[#This Row],[Result]]-Games[[#This Row],[ExpectedWin%]])</f>
        <v>8.2543254513772926</v>
      </c>
      <c r="AB329" s="4">
        <f>Games[[#This Row],[PreGmRate]]+Games[[#This Row],[RatingChange]]</f>
        <v>1571.516402782021</v>
      </c>
      <c r="AC329" s="2">
        <f>IF(Games[[#This Row],[Type]]="R",IF(Games[[#This Row],[Result]]&gt;0.5,1,0),0)</f>
        <v>1</v>
      </c>
      <c r="AD329" s="2">
        <f>IF(Games[[#This Row],[Type]]="R",IF(Games[[#This Row],[Result]]&lt;0.5,1,0),0)</f>
        <v>0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43699</v>
      </c>
      <c r="B330" s="2">
        <v>2019</v>
      </c>
      <c r="C330" s="2">
        <f>COUNTIFS(Games[Team],Games[[#This Row],[Team]],Games[Season],Games[[#This Row],[Season]],Games[Date],"&lt;=" &amp; Games[[#This Row],[Date]])</f>
        <v>28</v>
      </c>
      <c r="D330" s="2" t="s">
        <v>79</v>
      </c>
      <c r="E330" s="2" t="s">
        <v>80</v>
      </c>
      <c r="F330" s="1" t="s">
        <v>85</v>
      </c>
      <c r="G330" s="1" t="s">
        <v>67</v>
      </c>
      <c r="H330" s="1" t="s">
        <v>81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0" s="2">
        <f>Games[[#This Row],[DaysOff]]-Games[[#This Row],[OppDaysOff]]</f>
        <v>2</v>
      </c>
      <c r="L330" s="2">
        <f>Games[[#This Row],[OppDaysOff]]-Games[[#This Row],[DaysOff]]</f>
        <v>-2</v>
      </c>
      <c r="M330" s="1">
        <f>MAX(-16, MIN(16, Games[[#This Row],[RestDiff]]*8))</f>
        <v>16</v>
      </c>
      <c r="N330" s="1">
        <f>MAX(-16, MIN(16, Games[[#This Row],[OppRestDiff]]*8))</f>
        <v>-16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1415.6640387581654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1501.6710971900063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0.31121772142389414</v>
      </c>
      <c r="R330" s="1">
        <v>70</v>
      </c>
      <c r="S330" s="1">
        <v>86</v>
      </c>
      <c r="T330" s="1">
        <v>0</v>
      </c>
      <c r="U330" s="1">
        <f>Games[[#This Row],[PointsFor]]-Games[[#This Row],[PointsAgainst]]</f>
        <v>-16</v>
      </c>
      <c r="V330" s="1">
        <f>IF(Games[[#This Row],[MOV]]&gt;0,1,IF(Games[[#This Row],[MOV]]=0,0.5,0))</f>
        <v>0</v>
      </c>
      <c r="W330" s="4">
        <f>((ABS(Games[[#This Row],[MOV]])+5)^0.6)/(12+0.01*(ABS(Games[[#This Row],[PreGmRate]]-Games[[#This Row],[OppPreGmRate]])))*IF(Games[[#This Row],[OT]]=1,0.9,1)</f>
        <v>0.48315694277272569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71.8</v>
      </c>
      <c r="Z330" s="4">
        <f>Games[[#This Row],[K]]*Games[[#This Row],[POMult]]</f>
        <v>71.8</v>
      </c>
      <c r="AA330" s="4">
        <f>(Games[[#This Row],[Keff]]*Games[[#This Row],[MOVMult]])*(Games[[#This Row],[Result]]-Games[[#This Row],[ExpectedWin%]])</f>
        <v>-10.796350802466128</v>
      </c>
      <c r="AB330" s="4">
        <f>Games[[#This Row],[PreGmRate]]+Games[[#This Row],[RatingChange]]</f>
        <v>1404.8676879556992</v>
      </c>
      <c r="AC330" s="2">
        <f>IF(Games[[#This Row],[Type]]="R",IF(Games[[#This Row],[Result]]&gt;0.5,1,0),0)</f>
        <v>0</v>
      </c>
      <c r="AD330" s="2">
        <f>IF(Games[[#This Row],[Type]]="R",IF(Games[[#This Row],[Result]]&lt;0.5,1,0),0)</f>
        <v>1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43699</v>
      </c>
      <c r="B331" s="2">
        <v>2019</v>
      </c>
      <c r="C331" s="2">
        <f>COUNTIFS(Games[Team],Games[[#This Row],[Team]],Games[Season],Games[[#This Row],[Season]],Games[Date],"&lt;=" &amp; Games[[#This Row],[Date]])</f>
        <v>29</v>
      </c>
      <c r="D331" s="2" t="s">
        <v>79</v>
      </c>
      <c r="E331" s="2" t="s">
        <v>80</v>
      </c>
      <c r="F331" s="1" t="s">
        <v>67</v>
      </c>
      <c r="G331" s="1" t="s">
        <v>85</v>
      </c>
      <c r="H331" s="1" t="s">
        <v>82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1" s="2">
        <f>Games[[#This Row],[DaysOff]]-Games[[#This Row],[OppDaysOff]]</f>
        <v>-2</v>
      </c>
      <c r="L331" s="2">
        <f>Games[[#This Row],[OppDaysOff]]-Games[[#This Row],[DaysOff]]</f>
        <v>2</v>
      </c>
      <c r="M331" s="1">
        <f>MAX(-16, MIN(16, Games[[#This Row],[RestDiff]]*8))</f>
        <v>-16</v>
      </c>
      <c r="N331" s="1">
        <f>MAX(-16, MIN(16, Games[[#This Row],[OppRestDiff]]*8))</f>
        <v>16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1501.6710971900063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1415.6640387581654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0.68878227857610586</v>
      </c>
      <c r="R331" s="1">
        <v>86</v>
      </c>
      <c r="S331" s="1">
        <v>70</v>
      </c>
      <c r="T331" s="1">
        <v>0</v>
      </c>
      <c r="U331" s="1">
        <f>Games[[#This Row],[PointsFor]]-Games[[#This Row],[PointsAgainst]]</f>
        <v>16</v>
      </c>
      <c r="V331" s="1">
        <f>IF(Games[[#This Row],[MOV]]&gt;0,1,IF(Games[[#This Row],[MOV]]=0,0.5,0))</f>
        <v>1</v>
      </c>
      <c r="W331" s="4">
        <f>((ABS(Games[[#This Row],[MOV]])+5)^0.6)/(12+0.01*(ABS(Games[[#This Row],[PreGmRate]]-Games[[#This Row],[OppPreGmRate]])))*IF(Games[[#This Row],[OT]]=1,0.9,1)</f>
        <v>0.48315694277272569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71.650000000000006</v>
      </c>
      <c r="Z331" s="4">
        <f>Games[[#This Row],[K]]*Games[[#This Row],[POMult]]</f>
        <v>71.650000000000006</v>
      </c>
      <c r="AA331" s="4">
        <f>(Games[[#This Row],[Keff]]*Games[[#This Row],[MOVMult]])*(Games[[#This Row],[Result]]-Games[[#This Row],[ExpectedWin%]])</f>
        <v>10.773795752043149</v>
      </c>
      <c r="AB331" s="4">
        <f>Games[[#This Row],[PreGmRate]]+Games[[#This Row],[RatingChange]]</f>
        <v>1512.4448929420494</v>
      </c>
      <c r="AC331" s="2">
        <f>IF(Games[[#This Row],[Type]]="R",IF(Games[[#This Row],[Result]]&gt;0.5,1,0),0)</f>
        <v>1</v>
      </c>
      <c r="AD331" s="2">
        <f>IF(Games[[#This Row],[Type]]="R",IF(Games[[#This Row],[Result]]&lt;0.5,1,0),0)</f>
        <v>0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43700</v>
      </c>
      <c r="B332" s="2">
        <v>2019</v>
      </c>
      <c r="C332" s="2">
        <f>COUNTIFS(Games[Team],Games[[#This Row],[Team]],Games[Season],Games[[#This Row],[Season]],Games[Date],"&lt;=" &amp; Games[[#This Row],[Date]])</f>
        <v>28</v>
      </c>
      <c r="D332" s="2" t="s">
        <v>79</v>
      </c>
      <c r="E332" s="2" t="s">
        <v>80</v>
      </c>
      <c r="F332" s="1" t="s">
        <v>65</v>
      </c>
      <c r="G332" s="1" t="s">
        <v>75</v>
      </c>
      <c r="H332" s="1" t="s">
        <v>81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2" s="2">
        <f>Games[[#This Row],[DaysOff]]-Games[[#This Row],[OppDaysOff]]</f>
        <v>2</v>
      </c>
      <c r="L332" s="2">
        <f>Games[[#This Row],[OppDaysOff]]-Games[[#This Row],[DaysOff]]</f>
        <v>-2</v>
      </c>
      <c r="M332" s="1">
        <f>MAX(-16, MIN(16, Games[[#This Row],[RestDiff]]*8))</f>
        <v>16</v>
      </c>
      <c r="N332" s="1">
        <f>MAX(-16, MIN(16, Games[[#This Row],[OppRestDiff]]*8))</f>
        <v>-16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1690.6510485398071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1521.6877294781245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0.66224056889076</v>
      </c>
      <c r="R332" s="1">
        <v>78</v>
      </c>
      <c r="S332" s="1">
        <v>85</v>
      </c>
      <c r="T332" s="1">
        <v>0</v>
      </c>
      <c r="U332" s="1">
        <f>Games[[#This Row],[PointsFor]]-Games[[#This Row],[PointsAgainst]]</f>
        <v>-7</v>
      </c>
      <c r="V332" s="1">
        <f>IF(Games[[#This Row],[MOV]]&gt;0,1,IF(Games[[#This Row],[MOV]]=0,0.5,0))</f>
        <v>0</v>
      </c>
      <c r="W332" s="4">
        <f>((ABS(Games[[#This Row],[MOV]])+5)^0.6)/(12+0.01*(ABS(Games[[#This Row],[PreGmRate]]-Games[[#This Row],[OppPreGmRate]])))*IF(Games[[#This Row],[OT]]=1,0.9,1)</f>
        <v>0.32442695929135595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71.8</v>
      </c>
      <c r="Z332" s="4">
        <f>Games[[#This Row],[K]]*Games[[#This Row],[POMult]]</f>
        <v>71.8</v>
      </c>
      <c r="AA332" s="4">
        <f>(Games[[#This Row],[Keff]]*Games[[#This Row],[MOVMult]])*(Games[[#This Row],[Result]]-Games[[#This Row],[ExpectedWin%]])</f>
        <v>-15.426136235274782</v>
      </c>
      <c r="AB332" s="4">
        <f>Games[[#This Row],[PreGmRate]]+Games[[#This Row],[RatingChange]]</f>
        <v>1675.2249123045324</v>
      </c>
      <c r="AC332" s="2">
        <f>IF(Games[[#This Row],[Type]]="R",IF(Games[[#This Row],[Result]]&gt;0.5,1,0),0)</f>
        <v>0</v>
      </c>
      <c r="AD332" s="2">
        <f>IF(Games[[#This Row],[Type]]="R",IF(Games[[#This Row],[Result]]&lt;0.5,1,0),0)</f>
        <v>1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43700</v>
      </c>
      <c r="B333" s="2">
        <v>2019</v>
      </c>
      <c r="C333" s="2">
        <f>COUNTIFS(Games[Team],Games[[#This Row],[Team]],Games[Season],Games[[#This Row],[Season]],Games[Date],"&lt;=" &amp; Games[[#This Row],[Date]])</f>
        <v>28</v>
      </c>
      <c r="D333" s="2" t="s">
        <v>79</v>
      </c>
      <c r="E333" s="2" t="s">
        <v>80</v>
      </c>
      <c r="F333" s="1" t="s">
        <v>75</v>
      </c>
      <c r="G333" s="1" t="s">
        <v>65</v>
      </c>
      <c r="H333" s="1" t="s">
        <v>82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3" s="2">
        <f>Games[[#This Row],[DaysOff]]-Games[[#This Row],[OppDaysOff]]</f>
        <v>-2</v>
      </c>
      <c r="L333" s="2">
        <f>Games[[#This Row],[OppDaysOff]]-Games[[#This Row],[DaysOff]]</f>
        <v>2</v>
      </c>
      <c r="M333" s="1">
        <f>MAX(-16, MIN(16, Games[[#This Row],[RestDiff]]*8))</f>
        <v>-16</v>
      </c>
      <c r="N333" s="1">
        <f>MAX(-16, MIN(16, Games[[#This Row],[OppRestDiff]]*8))</f>
        <v>16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1521.6877294781245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1690.6510485398071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0.33775943110923995</v>
      </c>
      <c r="R333" s="1">
        <v>85</v>
      </c>
      <c r="S333" s="1">
        <v>78</v>
      </c>
      <c r="T333" s="1">
        <v>0</v>
      </c>
      <c r="U333" s="1">
        <f>Games[[#This Row],[PointsFor]]-Games[[#This Row],[PointsAgainst]]</f>
        <v>7</v>
      </c>
      <c r="V333" s="1">
        <f>IF(Games[[#This Row],[MOV]]&gt;0,1,IF(Games[[#This Row],[MOV]]=0,0.5,0))</f>
        <v>1</v>
      </c>
      <c r="W333" s="4">
        <f>((ABS(Games[[#This Row],[MOV]])+5)^0.6)/(12+0.01*(ABS(Games[[#This Row],[PreGmRate]]-Games[[#This Row],[OppPreGmRate]])))*IF(Games[[#This Row],[OT]]=1,0.9,1)</f>
        <v>0.32442695929135595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71.8</v>
      </c>
      <c r="Z333" s="4">
        <f>Games[[#This Row],[K]]*Games[[#This Row],[POMult]]</f>
        <v>71.8</v>
      </c>
      <c r="AA333" s="4">
        <f>(Games[[#This Row],[Keff]]*Games[[#This Row],[MOVMult]])*(Games[[#This Row],[Result]]-Games[[#This Row],[ExpectedWin%]])</f>
        <v>15.426136235274782</v>
      </c>
      <c r="AB333" s="4">
        <f>Games[[#This Row],[PreGmRate]]+Games[[#This Row],[RatingChange]]</f>
        <v>1537.1138657133993</v>
      </c>
      <c r="AC333" s="2">
        <f>IF(Games[[#This Row],[Type]]="R",IF(Games[[#This Row],[Result]]&gt;0.5,1,0),0)</f>
        <v>1</v>
      </c>
      <c r="AD333" s="2">
        <f>IF(Games[[#This Row],[Type]]="R",IF(Games[[#This Row],[Result]]&lt;0.5,1,0),0)</f>
        <v>0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43700</v>
      </c>
      <c r="B334" s="2">
        <v>2019</v>
      </c>
      <c r="C334" s="2">
        <f>COUNTIFS(Games[Team],Games[[#This Row],[Team]],Games[Season],Games[[#This Row],[Season]],Games[Date],"&lt;=" &amp; Games[[#This Row],[Date]])</f>
        <v>29</v>
      </c>
      <c r="D334" s="2" t="s">
        <v>79</v>
      </c>
      <c r="E334" s="2" t="s">
        <v>80</v>
      </c>
      <c r="F334" s="1" t="s">
        <v>86</v>
      </c>
      <c r="G334" s="1" t="s">
        <v>74</v>
      </c>
      <c r="H334" s="1" t="s">
        <v>81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4" s="2">
        <f>Games[[#This Row],[DaysOff]]-Games[[#This Row],[OppDaysOff]]</f>
        <v>-2</v>
      </c>
      <c r="L334" s="2">
        <f>Games[[#This Row],[OppDaysOff]]-Games[[#This Row],[DaysOff]]</f>
        <v>2</v>
      </c>
      <c r="M334" s="1">
        <f>MAX(-16, MIN(16, Games[[#This Row],[RestDiff]]*8))</f>
        <v>-16</v>
      </c>
      <c r="N334" s="1">
        <f>MAX(-16, MIN(16, Games[[#This Row],[OppRestDiff]]*8))</f>
        <v>16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1579.8700440891996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1596.6398836224116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0.3177167496424439</v>
      </c>
      <c r="R334" s="1">
        <v>85</v>
      </c>
      <c r="S334" s="1">
        <v>89</v>
      </c>
      <c r="T334" s="1">
        <v>0</v>
      </c>
      <c r="U334" s="1">
        <f>Games[[#This Row],[PointsFor]]-Games[[#This Row],[PointsAgainst]]</f>
        <v>-4</v>
      </c>
      <c r="V334" s="1">
        <f>IF(Games[[#This Row],[MOV]]&gt;0,1,IF(Games[[#This Row],[MOV]]=0,0.5,0))</f>
        <v>0</v>
      </c>
      <c r="W334" s="4">
        <f>((ABS(Games[[#This Row],[MOV]])+5)^0.6)/(12+0.01*(ABS(Games[[#This Row],[PreGmRate]]-Games[[#This Row],[OppPreGmRate]])))*IF(Games[[#This Row],[OT]]=1,0.9,1)</f>
        <v>0.30714048766036534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71.650000000000006</v>
      </c>
      <c r="Z334" s="4">
        <f>Games[[#This Row],[K]]*Games[[#This Row],[POMult]]</f>
        <v>71.650000000000006</v>
      </c>
      <c r="AA334" s="4">
        <f>(Games[[#This Row],[Keff]]*Games[[#This Row],[MOVMult]])*(Games[[#This Row],[Result]]-Games[[#This Row],[ExpectedWin%]])</f>
        <v>-6.9918704873612763</v>
      </c>
      <c r="AB334" s="4">
        <f>Games[[#This Row],[PreGmRate]]+Games[[#This Row],[RatingChange]]</f>
        <v>1572.8781736018384</v>
      </c>
      <c r="AC334" s="2">
        <f>IF(Games[[#This Row],[Type]]="R",IF(Games[[#This Row],[Result]]&gt;0.5,1,0),0)</f>
        <v>0</v>
      </c>
      <c r="AD334" s="2">
        <f>IF(Games[[#This Row],[Type]]="R",IF(Games[[#This Row],[Result]]&lt;0.5,1,0),0)</f>
        <v>1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43700</v>
      </c>
      <c r="B335" s="2">
        <v>2019</v>
      </c>
      <c r="C335" s="2">
        <f>COUNTIFS(Games[Team],Games[[#This Row],[Team]],Games[Season],Games[[#This Row],[Season]],Games[Date],"&lt;=" &amp; Games[[#This Row],[Date]])</f>
        <v>28</v>
      </c>
      <c r="D335" s="2" t="s">
        <v>79</v>
      </c>
      <c r="E335" s="2" t="s">
        <v>80</v>
      </c>
      <c r="F335" s="1" t="s">
        <v>74</v>
      </c>
      <c r="G335" s="1" t="s">
        <v>86</v>
      </c>
      <c r="H335" s="1" t="s">
        <v>82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5" s="2">
        <f>Games[[#This Row],[DaysOff]]-Games[[#This Row],[OppDaysOff]]</f>
        <v>2</v>
      </c>
      <c r="L335" s="2">
        <f>Games[[#This Row],[OppDaysOff]]-Games[[#This Row],[DaysOff]]</f>
        <v>-2</v>
      </c>
      <c r="M335" s="1">
        <f>MAX(-16, MIN(16, Games[[#This Row],[RestDiff]]*8))</f>
        <v>16</v>
      </c>
      <c r="N335" s="1">
        <f>MAX(-16, MIN(16, Games[[#This Row],[OppRestDiff]]*8))</f>
        <v>-16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1596.6398836224116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1579.8700440891996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0.6822832503575561</v>
      </c>
      <c r="R335" s="1">
        <v>89</v>
      </c>
      <c r="S335" s="1">
        <v>85</v>
      </c>
      <c r="T335" s="1">
        <v>0</v>
      </c>
      <c r="U335" s="1">
        <f>Games[[#This Row],[PointsFor]]-Games[[#This Row],[PointsAgainst]]</f>
        <v>4</v>
      </c>
      <c r="V335" s="1">
        <f>IF(Games[[#This Row],[MOV]]&gt;0,1,IF(Games[[#This Row],[MOV]]=0,0.5,0))</f>
        <v>1</v>
      </c>
      <c r="W335" s="4">
        <f>((ABS(Games[[#This Row],[MOV]])+5)^0.6)/(12+0.01*(ABS(Games[[#This Row],[PreGmRate]]-Games[[#This Row],[OppPreGmRate]])))*IF(Games[[#This Row],[OT]]=1,0.9,1)</f>
        <v>0.30714048766036534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71.8</v>
      </c>
      <c r="Z335" s="4">
        <f>Games[[#This Row],[K]]*Games[[#This Row],[POMult]]</f>
        <v>71.8</v>
      </c>
      <c r="AA335" s="4">
        <f>(Games[[#This Row],[Keff]]*Games[[#This Row],[MOVMult]])*(Games[[#This Row],[Result]]-Games[[#This Row],[ExpectedWin%]])</f>
        <v>7.0065080389747321</v>
      </c>
      <c r="AB335" s="4">
        <f>Games[[#This Row],[PreGmRate]]+Games[[#This Row],[RatingChange]]</f>
        <v>1603.6463916613864</v>
      </c>
      <c r="AC335" s="2">
        <f>IF(Games[[#This Row],[Type]]="R",IF(Games[[#This Row],[Result]]&gt;0.5,1,0),0)</f>
        <v>1</v>
      </c>
      <c r="AD335" s="2">
        <f>IF(Games[[#This Row],[Type]]="R",IF(Games[[#This Row],[Result]]&lt;0.5,1,0),0)</f>
        <v>0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43700</v>
      </c>
      <c r="B336" s="2">
        <v>2019</v>
      </c>
      <c r="C336" s="2">
        <f>COUNTIFS(Games[Team],Games[[#This Row],[Team]],Games[Season],Games[[#This Row],[Season]],Games[Date],"&lt;=" &amp; Games[[#This Row],[Date]])</f>
        <v>28</v>
      </c>
      <c r="D336" s="2" t="s">
        <v>79</v>
      </c>
      <c r="E336" s="2" t="s">
        <v>80</v>
      </c>
      <c r="F336" s="1" t="s">
        <v>77</v>
      </c>
      <c r="G336" s="1" t="s">
        <v>60</v>
      </c>
      <c r="H336" s="1" t="s">
        <v>81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6" s="2">
        <f>Games[[#This Row],[DaysOff]]-Games[[#This Row],[OppDaysOff]]</f>
        <v>0</v>
      </c>
      <c r="L336" s="2">
        <f>Games[[#This Row],[OppDaysOff]]-Games[[#This Row],[DaysOff]]</f>
        <v>0</v>
      </c>
      <c r="M336" s="1">
        <f>MAX(-16, MIN(16, Games[[#This Row],[RestDiff]]*8))</f>
        <v>0</v>
      </c>
      <c r="N336" s="1">
        <f>MAX(-16, MIN(16, Games[[#This Row],[OppRestDiff]]*8))</f>
        <v>0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1335.7018422920132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1352.6815015357552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0.3586368204101027</v>
      </c>
      <c r="R336" s="1">
        <v>90</v>
      </c>
      <c r="S336" s="1">
        <v>87</v>
      </c>
      <c r="T336" s="1">
        <v>0</v>
      </c>
      <c r="U336" s="1">
        <f>Games[[#This Row],[PointsFor]]-Games[[#This Row],[PointsAgainst]]</f>
        <v>3</v>
      </c>
      <c r="V336" s="1">
        <f>IF(Games[[#This Row],[MOV]]&gt;0,1,IF(Games[[#This Row],[MOV]]=0,0.5,0))</f>
        <v>1</v>
      </c>
      <c r="W336" s="4">
        <f>((ABS(Games[[#This Row],[MOV]])+5)^0.6)/(12+0.01*(ABS(Games[[#This Row],[PreGmRate]]-Games[[#This Row],[OppPreGmRate]])))*IF(Games[[#This Row],[OT]]=1,0.9,1)</f>
        <v>0.28613479500129146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71.8</v>
      </c>
      <c r="Z336" s="4">
        <f>Games[[#This Row],[K]]*Games[[#This Row],[POMult]]</f>
        <v>71.8</v>
      </c>
      <c r="AA336" s="4">
        <f>(Games[[#This Row],[Keff]]*Games[[#This Row],[MOVMult]])*(Games[[#This Row],[Result]]-Games[[#This Row],[ExpectedWin%]])</f>
        <v>13.176471913377219</v>
      </c>
      <c r="AB336" s="4">
        <f>Games[[#This Row],[PreGmRate]]+Games[[#This Row],[RatingChange]]</f>
        <v>1348.8783142053906</v>
      </c>
      <c r="AC336" s="2">
        <f>IF(Games[[#This Row],[Type]]="R",IF(Games[[#This Row],[Result]]&gt;0.5,1,0),0)</f>
        <v>1</v>
      </c>
      <c r="AD336" s="2">
        <f>IF(Games[[#This Row],[Type]]="R",IF(Games[[#This Row],[Result]]&lt;0.5,1,0),0)</f>
        <v>0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43700</v>
      </c>
      <c r="B337" s="2">
        <v>2019</v>
      </c>
      <c r="C337" s="2">
        <f>COUNTIFS(Games[Team],Games[[#This Row],[Team]],Games[Season],Games[[#This Row],[Season]],Games[Date],"&lt;=" &amp; Games[[#This Row],[Date]])</f>
        <v>28</v>
      </c>
      <c r="D337" s="2" t="s">
        <v>79</v>
      </c>
      <c r="E337" s="2" t="s">
        <v>80</v>
      </c>
      <c r="F337" s="1" t="s">
        <v>60</v>
      </c>
      <c r="G337" s="1" t="s">
        <v>77</v>
      </c>
      <c r="H337" s="1" t="s">
        <v>82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7" s="2">
        <f>Games[[#This Row],[DaysOff]]-Games[[#This Row],[OppDaysOff]]</f>
        <v>0</v>
      </c>
      <c r="L337" s="2">
        <f>Games[[#This Row],[OppDaysOff]]-Games[[#This Row],[DaysOff]]</f>
        <v>0</v>
      </c>
      <c r="M337" s="1">
        <f>MAX(-16, MIN(16, Games[[#This Row],[RestDiff]]*8))</f>
        <v>0</v>
      </c>
      <c r="N337" s="1">
        <f>MAX(-16, MIN(16, Games[[#This Row],[OppRestDiff]]*8))</f>
        <v>0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1352.6815015357552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1335.7018422920132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0.6413631795898973</v>
      </c>
      <c r="R337" s="1">
        <v>87</v>
      </c>
      <c r="S337" s="1">
        <v>90</v>
      </c>
      <c r="T337" s="1">
        <v>0</v>
      </c>
      <c r="U337" s="1">
        <f>Games[[#This Row],[PointsFor]]-Games[[#This Row],[PointsAgainst]]</f>
        <v>-3</v>
      </c>
      <c r="V337" s="1">
        <f>IF(Games[[#This Row],[MOV]]&gt;0,1,IF(Games[[#This Row],[MOV]]=0,0.5,0))</f>
        <v>0</v>
      </c>
      <c r="W337" s="4">
        <f>((ABS(Games[[#This Row],[MOV]])+5)^0.6)/(12+0.01*(ABS(Games[[#This Row],[PreGmRate]]-Games[[#This Row],[OppPreGmRate]])))*IF(Games[[#This Row],[OT]]=1,0.9,1)</f>
        <v>0.28613479500129146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71.8</v>
      </c>
      <c r="Z337" s="4">
        <f>Games[[#This Row],[K]]*Games[[#This Row],[POMult]]</f>
        <v>71.8</v>
      </c>
      <c r="AA337" s="4">
        <f>(Games[[#This Row],[Keff]]*Games[[#This Row],[MOVMult]])*(Games[[#This Row],[Result]]-Games[[#This Row],[ExpectedWin%]])</f>
        <v>-13.176471913377219</v>
      </c>
      <c r="AB337" s="4">
        <f>Games[[#This Row],[PreGmRate]]+Games[[#This Row],[RatingChange]]</f>
        <v>1339.5050296223778</v>
      </c>
      <c r="AC337" s="2">
        <f>IF(Games[[#This Row],[Type]]="R",IF(Games[[#This Row],[Result]]&gt;0.5,1,0),0)</f>
        <v>0</v>
      </c>
      <c r="AD337" s="2">
        <f>IF(Games[[#This Row],[Type]]="R",IF(Games[[#This Row],[Result]]&lt;0.5,1,0),0)</f>
        <v>1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43702</v>
      </c>
      <c r="B338" s="2">
        <v>2019</v>
      </c>
      <c r="C338" s="2">
        <f>COUNTIFS(Games[Team],Games[[#This Row],[Team]],Games[Season],Games[[#This Row],[Season]],Games[Date],"&lt;=" &amp; Games[[#This Row],[Date]])</f>
        <v>29</v>
      </c>
      <c r="D338" s="2" t="s">
        <v>79</v>
      </c>
      <c r="E338" s="2" t="s">
        <v>80</v>
      </c>
      <c r="F338" s="1" t="s">
        <v>77</v>
      </c>
      <c r="G338" s="1" t="s">
        <v>85</v>
      </c>
      <c r="H338" s="1" t="s">
        <v>81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8" s="2">
        <f>Games[[#This Row],[DaysOff]]-Games[[#This Row],[OppDaysOff]]</f>
        <v>-1</v>
      </c>
      <c r="L338" s="2">
        <f>Games[[#This Row],[OppDaysOff]]-Games[[#This Row],[DaysOff]]</f>
        <v>1</v>
      </c>
      <c r="M338" s="1">
        <f>MAX(-16, MIN(16, Games[[#This Row],[RestDiff]]*8))</f>
        <v>-8</v>
      </c>
      <c r="N338" s="1">
        <f>MAX(-16, MIN(16, Games[[#This Row],[OppRestDiff]]*8))</f>
        <v>8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1348.8783142053906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1404.8676879556992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0.28947256872353028</v>
      </c>
      <c r="R338" s="1">
        <v>77</v>
      </c>
      <c r="S338" s="1">
        <v>73</v>
      </c>
      <c r="T338" s="1">
        <v>0</v>
      </c>
      <c r="U338" s="1">
        <f>Games[[#This Row],[PointsFor]]-Games[[#This Row],[PointsAgainst]]</f>
        <v>4</v>
      </c>
      <c r="V338" s="1">
        <f>IF(Games[[#This Row],[MOV]]&gt;0,1,IF(Games[[#This Row],[MOV]]=0,0.5,0))</f>
        <v>1</v>
      </c>
      <c r="W338" s="4">
        <f>((ABS(Games[[#This Row],[MOV]])+5)^0.6)/(12+0.01*(ABS(Games[[#This Row],[PreGmRate]]-Games[[#This Row],[OppPreGmRate]])))*IF(Games[[#This Row],[OT]]=1,0.9,1)</f>
        <v>0.29754971633936039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71.650000000000006</v>
      </c>
      <c r="Z338" s="4">
        <f>Games[[#This Row],[K]]*Games[[#This Row],[POMult]]</f>
        <v>71.650000000000006</v>
      </c>
      <c r="AA338" s="4">
        <f>(Games[[#This Row],[Keff]]*Games[[#This Row],[MOVMult]])*(Games[[#This Row],[Result]]-Games[[#This Row],[ExpectedWin%]])</f>
        <v>15.148044932720978</v>
      </c>
      <c r="AB338" s="4">
        <f>Games[[#This Row],[PreGmRate]]+Games[[#This Row],[RatingChange]]</f>
        <v>1364.0263591381115</v>
      </c>
      <c r="AC338" s="2">
        <f>IF(Games[[#This Row],[Type]]="R",IF(Games[[#This Row],[Result]]&gt;0.5,1,0),0)</f>
        <v>1</v>
      </c>
      <c r="AD338" s="2">
        <f>IF(Games[[#This Row],[Type]]="R",IF(Games[[#This Row],[Result]]&lt;0.5,1,0),0)</f>
        <v>0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43702</v>
      </c>
      <c r="B339" s="2">
        <v>2019</v>
      </c>
      <c r="C339" s="2">
        <f>COUNTIFS(Games[Team],Games[[#This Row],[Team]],Games[Season],Games[[#This Row],[Season]],Games[Date],"&lt;=" &amp; Games[[#This Row],[Date]])</f>
        <v>29</v>
      </c>
      <c r="D339" s="2" t="s">
        <v>79</v>
      </c>
      <c r="E339" s="2" t="s">
        <v>80</v>
      </c>
      <c r="F339" s="1" t="s">
        <v>85</v>
      </c>
      <c r="G339" s="1" t="s">
        <v>77</v>
      </c>
      <c r="H339" s="1" t="s">
        <v>82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9" s="2">
        <f>Games[[#This Row],[DaysOff]]-Games[[#This Row],[OppDaysOff]]</f>
        <v>1</v>
      </c>
      <c r="L339" s="2">
        <f>Games[[#This Row],[OppDaysOff]]-Games[[#This Row],[DaysOff]]</f>
        <v>-1</v>
      </c>
      <c r="M339" s="1">
        <f>MAX(-16, MIN(16, Games[[#This Row],[RestDiff]]*8))</f>
        <v>8</v>
      </c>
      <c r="N339" s="1">
        <f>MAX(-16, MIN(16, Games[[#This Row],[OppRestDiff]]*8))</f>
        <v>-8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1404.8676879556992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1348.8783142053906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0.71052743127646967</v>
      </c>
      <c r="R339" s="1">
        <v>73</v>
      </c>
      <c r="S339" s="1">
        <v>77</v>
      </c>
      <c r="T339" s="1">
        <v>0</v>
      </c>
      <c r="U339" s="1">
        <f>Games[[#This Row],[PointsFor]]-Games[[#This Row],[PointsAgainst]]</f>
        <v>-4</v>
      </c>
      <c r="V339" s="1">
        <f>IF(Games[[#This Row],[MOV]]&gt;0,1,IF(Games[[#This Row],[MOV]]=0,0.5,0))</f>
        <v>0</v>
      </c>
      <c r="W339" s="4">
        <f>((ABS(Games[[#This Row],[MOV]])+5)^0.6)/(12+0.01*(ABS(Games[[#This Row],[PreGmRate]]-Games[[#This Row],[OppPreGmRate]])))*IF(Games[[#This Row],[OT]]=1,0.9,1)</f>
        <v>0.29754971633936039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71.650000000000006</v>
      </c>
      <c r="Z339" s="4">
        <f>Games[[#This Row],[K]]*Games[[#This Row],[POMult]]</f>
        <v>71.650000000000006</v>
      </c>
      <c r="AA339" s="4">
        <f>(Games[[#This Row],[Keff]]*Games[[#This Row],[MOVMult]])*(Games[[#This Row],[Result]]-Games[[#This Row],[ExpectedWin%]])</f>
        <v>-15.148044932720975</v>
      </c>
      <c r="AB339" s="4">
        <f>Games[[#This Row],[PreGmRate]]+Games[[#This Row],[RatingChange]]</f>
        <v>1389.7196430229783</v>
      </c>
      <c r="AC339" s="2">
        <f>IF(Games[[#This Row],[Type]]="R",IF(Games[[#This Row],[Result]]&gt;0.5,1,0),0)</f>
        <v>0</v>
      </c>
      <c r="AD339" s="2">
        <f>IF(Games[[#This Row],[Type]]="R",IF(Games[[#This Row],[Result]]&lt;0.5,1,0),0)</f>
        <v>1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43702</v>
      </c>
      <c r="B340" s="2">
        <v>2019</v>
      </c>
      <c r="C340" s="2">
        <f>COUNTIFS(Games[Team],Games[[#This Row],[Team]],Games[Season],Games[[#This Row],[Season]],Games[Date],"&lt;=" &amp; Games[[#This Row],[Date]])</f>
        <v>29</v>
      </c>
      <c r="D340" s="2" t="s">
        <v>79</v>
      </c>
      <c r="E340" s="2" t="s">
        <v>80</v>
      </c>
      <c r="F340" s="1" t="s">
        <v>74</v>
      </c>
      <c r="G340" s="1" t="s">
        <v>63</v>
      </c>
      <c r="H340" s="1" t="s">
        <v>81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0" s="2">
        <f>Games[[#This Row],[DaysOff]]-Games[[#This Row],[OppDaysOff]]</f>
        <v>-1</v>
      </c>
      <c r="L340" s="2">
        <f>Games[[#This Row],[OppDaysOff]]-Games[[#This Row],[DaysOff]]</f>
        <v>1</v>
      </c>
      <c r="M340" s="1">
        <f>MAX(-16, MIN(16, Games[[#This Row],[RestDiff]]*8))</f>
        <v>-8</v>
      </c>
      <c r="N340" s="1">
        <f>MAX(-16, MIN(16, Games[[#This Row],[OppRestDiff]]*8))</f>
        <v>8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1603.6463916613864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1571.516402782021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0.40355092194076364</v>
      </c>
      <c r="R340" s="1">
        <v>72</v>
      </c>
      <c r="S340" s="1">
        <v>84</v>
      </c>
      <c r="T340" s="1">
        <v>0</v>
      </c>
      <c r="U340" s="1">
        <f>Games[[#This Row],[PointsFor]]-Games[[#This Row],[PointsAgainst]]</f>
        <v>-12</v>
      </c>
      <c r="V340" s="1">
        <f>IF(Games[[#This Row],[MOV]]&gt;0,1,IF(Games[[#This Row],[MOV]]=0,0.5,0))</f>
        <v>0</v>
      </c>
      <c r="W340" s="4">
        <f>((ABS(Games[[#This Row],[MOV]])+5)^0.6)/(12+0.01*(ABS(Games[[#This Row],[PreGmRate]]-Games[[#This Row],[OppPreGmRate]])))*IF(Games[[#This Row],[OT]]=1,0.9,1)</f>
        <v>0.44423505363234772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71.650000000000006</v>
      </c>
      <c r="Z340" s="4">
        <f>Games[[#This Row],[K]]*Games[[#This Row],[POMult]]</f>
        <v>71.650000000000006</v>
      </c>
      <c r="AA340" s="4">
        <f>(Games[[#This Row],[Keff]]*Games[[#This Row],[MOVMult]])*(Games[[#This Row],[Result]]-Games[[#This Row],[ExpectedWin%]])</f>
        <v>-12.844800499617065</v>
      </c>
      <c r="AB340" s="4">
        <f>Games[[#This Row],[PreGmRate]]+Games[[#This Row],[RatingChange]]</f>
        <v>1590.8015911617692</v>
      </c>
      <c r="AC340" s="2">
        <f>IF(Games[[#This Row],[Type]]="R",IF(Games[[#This Row],[Result]]&gt;0.5,1,0),0)</f>
        <v>0</v>
      </c>
      <c r="AD340" s="2">
        <f>IF(Games[[#This Row],[Type]]="R",IF(Games[[#This Row],[Result]]&lt;0.5,1,0),0)</f>
        <v>1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43702</v>
      </c>
      <c r="B341" s="2">
        <v>2019</v>
      </c>
      <c r="C341" s="2">
        <f>COUNTIFS(Games[Team],Games[[#This Row],[Team]],Games[Season],Games[[#This Row],[Season]],Games[Date],"&lt;=" &amp; Games[[#This Row],[Date]])</f>
        <v>28</v>
      </c>
      <c r="D341" s="2" t="s">
        <v>79</v>
      </c>
      <c r="E341" s="2" t="s">
        <v>80</v>
      </c>
      <c r="F341" s="1" t="s">
        <v>63</v>
      </c>
      <c r="G341" s="1" t="s">
        <v>74</v>
      </c>
      <c r="H341" s="1" t="s">
        <v>82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1" s="2">
        <f>Games[[#This Row],[DaysOff]]-Games[[#This Row],[OppDaysOff]]</f>
        <v>1</v>
      </c>
      <c r="L341" s="2">
        <f>Games[[#This Row],[OppDaysOff]]-Games[[#This Row],[DaysOff]]</f>
        <v>-1</v>
      </c>
      <c r="M341" s="1">
        <f>MAX(-16, MIN(16, Games[[#This Row],[RestDiff]]*8))</f>
        <v>8</v>
      </c>
      <c r="N341" s="1">
        <f>MAX(-16, MIN(16, Games[[#This Row],[OppRestDiff]]*8))</f>
        <v>-8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1571.516402782021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1603.6463916613864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0.5964490780592363</v>
      </c>
      <c r="R341" s="1">
        <v>84</v>
      </c>
      <c r="S341" s="1">
        <v>72</v>
      </c>
      <c r="T341" s="1">
        <v>0</v>
      </c>
      <c r="U341" s="1">
        <f>Games[[#This Row],[PointsFor]]-Games[[#This Row],[PointsAgainst]]</f>
        <v>12</v>
      </c>
      <c r="V341" s="1">
        <f>IF(Games[[#This Row],[MOV]]&gt;0,1,IF(Games[[#This Row],[MOV]]=0,0.5,0))</f>
        <v>1</v>
      </c>
      <c r="W341" s="4">
        <f>((ABS(Games[[#This Row],[MOV]])+5)^0.6)/(12+0.01*(ABS(Games[[#This Row],[PreGmRate]]-Games[[#This Row],[OppPreGmRate]])))*IF(Games[[#This Row],[OT]]=1,0.9,1)</f>
        <v>0.44423505363234772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71.8</v>
      </c>
      <c r="Z341" s="4">
        <f>Games[[#This Row],[K]]*Games[[#This Row],[POMult]]</f>
        <v>71.8</v>
      </c>
      <c r="AA341" s="4">
        <f>(Games[[#This Row],[Keff]]*Games[[#This Row],[MOVMult]])*(Games[[#This Row],[Result]]-Games[[#This Row],[ExpectedWin%]])</f>
        <v>12.871691219434826</v>
      </c>
      <c r="AB341" s="4">
        <f>Games[[#This Row],[PreGmRate]]+Games[[#This Row],[RatingChange]]</f>
        <v>1584.3880940014558</v>
      </c>
      <c r="AC341" s="2">
        <f>IF(Games[[#This Row],[Type]]="R",IF(Games[[#This Row],[Result]]&gt;0.5,1,0),0)</f>
        <v>1</v>
      </c>
      <c r="AD341" s="2">
        <f>IF(Games[[#This Row],[Type]]="R",IF(Games[[#This Row],[Result]]&lt;0.5,1,0),0)</f>
        <v>0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43702</v>
      </c>
      <c r="B342" s="2">
        <v>2019</v>
      </c>
      <c r="C342" s="2">
        <f>COUNTIFS(Games[Team],Games[[#This Row],[Team]],Games[Season],Games[[#This Row],[Season]],Games[Date],"&lt;=" &amp; Games[[#This Row],[Date]])</f>
        <v>30</v>
      </c>
      <c r="D342" s="2" t="s">
        <v>79</v>
      </c>
      <c r="E342" s="2" t="s">
        <v>80</v>
      </c>
      <c r="F342" s="1" t="s">
        <v>86</v>
      </c>
      <c r="G342" s="1" t="s">
        <v>67</v>
      </c>
      <c r="H342" s="1" t="s">
        <v>81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2" s="2">
        <f>Games[[#This Row],[DaysOff]]-Games[[#This Row],[OppDaysOff]]</f>
        <v>-1</v>
      </c>
      <c r="L342" s="2">
        <f>Games[[#This Row],[OppDaysOff]]-Games[[#This Row],[DaysOff]]</f>
        <v>1</v>
      </c>
      <c r="M342" s="1">
        <f>MAX(-16, MIN(16, Games[[#This Row],[RestDiff]]*8))</f>
        <v>-8</v>
      </c>
      <c r="N342" s="1">
        <f>MAX(-16, MIN(16, Games[[#This Row],[OppRestDiff]]*8))</f>
        <v>8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1572.8781736018384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1512.4448929420494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0.44330380249540169</v>
      </c>
      <c r="R342" s="1">
        <v>77</v>
      </c>
      <c r="S342" s="1">
        <v>98</v>
      </c>
      <c r="T342" s="1">
        <v>0</v>
      </c>
      <c r="U342" s="1">
        <f>Games[[#This Row],[PointsFor]]-Games[[#This Row],[PointsAgainst]]</f>
        <v>-21</v>
      </c>
      <c r="V342" s="1">
        <f>IF(Games[[#This Row],[MOV]]&gt;0,1,IF(Games[[#This Row],[MOV]]=0,0.5,0))</f>
        <v>0</v>
      </c>
      <c r="W342" s="4">
        <f>((ABS(Games[[#This Row],[MOV]])+5)^0.6)/(12+0.01*(ABS(Games[[#This Row],[PreGmRate]]-Games[[#This Row],[OppPreGmRate]])))*IF(Games[[#This Row],[OT]]=1,0.9,1)</f>
        <v>0.56035615542868544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71.5</v>
      </c>
      <c r="Z342" s="4">
        <f>Games[[#This Row],[K]]*Games[[#This Row],[POMult]]</f>
        <v>71.5</v>
      </c>
      <c r="AA342" s="4">
        <f>(Games[[#This Row],[Keff]]*Games[[#This Row],[MOVMult]])*(Games[[#This Row],[Result]]-Games[[#This Row],[ExpectedWin%]])</f>
        <v>-17.761173033406699</v>
      </c>
      <c r="AB342" s="4">
        <f>Games[[#This Row],[PreGmRate]]+Games[[#This Row],[RatingChange]]</f>
        <v>1555.1170005684316</v>
      </c>
      <c r="AC342" s="2">
        <f>IF(Games[[#This Row],[Type]]="R",IF(Games[[#This Row],[Result]]&gt;0.5,1,0),0)</f>
        <v>0</v>
      </c>
      <c r="AD342" s="2">
        <f>IF(Games[[#This Row],[Type]]="R",IF(Games[[#This Row],[Result]]&lt;0.5,1,0),0)</f>
        <v>1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43702</v>
      </c>
      <c r="B343" s="2">
        <v>2019</v>
      </c>
      <c r="C343" s="2">
        <f>COUNTIFS(Games[Team],Games[[#This Row],[Team]],Games[Season],Games[[#This Row],[Season]],Games[Date],"&lt;=" &amp; Games[[#This Row],[Date]])</f>
        <v>30</v>
      </c>
      <c r="D343" s="2" t="s">
        <v>79</v>
      </c>
      <c r="E343" s="2" t="s">
        <v>80</v>
      </c>
      <c r="F343" s="1" t="s">
        <v>67</v>
      </c>
      <c r="G343" s="1" t="s">
        <v>86</v>
      </c>
      <c r="H343" s="1" t="s">
        <v>82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3" s="2">
        <f>Games[[#This Row],[DaysOff]]-Games[[#This Row],[OppDaysOff]]</f>
        <v>1</v>
      </c>
      <c r="L343" s="2">
        <f>Games[[#This Row],[OppDaysOff]]-Games[[#This Row],[DaysOff]]</f>
        <v>-1</v>
      </c>
      <c r="M343" s="1">
        <f>MAX(-16, MIN(16, Games[[#This Row],[RestDiff]]*8))</f>
        <v>8</v>
      </c>
      <c r="N343" s="1">
        <f>MAX(-16, MIN(16, Games[[#This Row],[OppRestDiff]]*8))</f>
        <v>-8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1512.4448929420494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1572.8781736018384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0.55669619750459831</v>
      </c>
      <c r="R343" s="1">
        <v>98</v>
      </c>
      <c r="S343" s="1">
        <v>77</v>
      </c>
      <c r="T343" s="1">
        <v>0</v>
      </c>
      <c r="U343" s="1">
        <f>Games[[#This Row],[PointsFor]]-Games[[#This Row],[PointsAgainst]]</f>
        <v>21</v>
      </c>
      <c r="V343" s="1">
        <f>IF(Games[[#This Row],[MOV]]&gt;0,1,IF(Games[[#This Row],[MOV]]=0,0.5,0))</f>
        <v>1</v>
      </c>
      <c r="W343" s="4">
        <f>((ABS(Games[[#This Row],[MOV]])+5)^0.6)/(12+0.01*(ABS(Games[[#This Row],[PreGmRate]]-Games[[#This Row],[OppPreGmRate]])))*IF(Games[[#This Row],[OT]]=1,0.9,1)</f>
        <v>0.56035615542868544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71.5</v>
      </c>
      <c r="Z343" s="4">
        <f>Games[[#This Row],[K]]*Games[[#This Row],[POMult]]</f>
        <v>71.5</v>
      </c>
      <c r="AA343" s="4">
        <f>(Games[[#This Row],[Keff]]*Games[[#This Row],[MOVMult]])*(Games[[#This Row],[Result]]-Games[[#This Row],[ExpectedWin%]])</f>
        <v>17.761173033406699</v>
      </c>
      <c r="AB343" s="4">
        <f>Games[[#This Row],[PreGmRate]]+Games[[#This Row],[RatingChange]]</f>
        <v>1530.2060659754561</v>
      </c>
      <c r="AC343" s="2">
        <f>IF(Games[[#This Row],[Type]]="R",IF(Games[[#This Row],[Result]]&gt;0.5,1,0),0)</f>
        <v>1</v>
      </c>
      <c r="AD343" s="2">
        <f>IF(Games[[#This Row],[Type]]="R",IF(Games[[#This Row],[Result]]&lt;0.5,1,0),0)</f>
        <v>0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43702</v>
      </c>
      <c r="B344" s="2">
        <v>2019</v>
      </c>
      <c r="C344" s="2">
        <f>COUNTIFS(Games[Team],Games[[#This Row],[Team]],Games[Season],Games[[#This Row],[Season]],Games[Date],"&lt;=" &amp; Games[[#This Row],[Date]])</f>
        <v>29</v>
      </c>
      <c r="D344" s="2" t="s">
        <v>79</v>
      </c>
      <c r="E344" s="2" t="s">
        <v>80</v>
      </c>
      <c r="F344" s="1" t="s">
        <v>75</v>
      </c>
      <c r="G344" s="1" t="s">
        <v>40</v>
      </c>
      <c r="H344" s="1" t="s">
        <v>81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44" s="2">
        <f>Games[[#This Row],[DaysOff]]-Games[[#This Row],[OppDaysOff]]</f>
        <v>-3</v>
      </c>
      <c r="L344" s="2">
        <f>Games[[#This Row],[OppDaysOff]]-Games[[#This Row],[DaysOff]]</f>
        <v>3</v>
      </c>
      <c r="M344" s="1">
        <f>MAX(-16, MIN(16, Games[[#This Row],[RestDiff]]*8))</f>
        <v>-16</v>
      </c>
      <c r="N344" s="1">
        <f>MAX(-16, MIN(16, Games[[#This Row],[OppRestDiff]]*8))</f>
        <v>16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1537.1138657133993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1506.9268262291109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0.37895664023166314</v>
      </c>
      <c r="R344" s="1">
        <v>94</v>
      </c>
      <c r="S344" s="1">
        <v>86</v>
      </c>
      <c r="T344" s="1">
        <v>0</v>
      </c>
      <c r="U344" s="1">
        <f>Games[[#This Row],[PointsFor]]-Games[[#This Row],[PointsAgainst]]</f>
        <v>8</v>
      </c>
      <c r="V344" s="1">
        <f>IF(Games[[#This Row],[MOV]]&gt;0,1,IF(Games[[#This Row],[MOV]]=0,0.5,0))</f>
        <v>1</v>
      </c>
      <c r="W344" s="4">
        <f>((ABS(Games[[#This Row],[MOV]])+5)^0.6)/(12+0.01*(ABS(Games[[#This Row],[PreGmRate]]-Games[[#This Row],[OppPreGmRate]])))*IF(Games[[#This Row],[OT]]=1,0.9,1)</f>
        <v>0.37878682431815525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71.650000000000006</v>
      </c>
      <c r="Z344" s="4">
        <f>Games[[#This Row],[K]]*Games[[#This Row],[POMult]]</f>
        <v>71.650000000000006</v>
      </c>
      <c r="AA344" s="4">
        <f>(Games[[#This Row],[Keff]]*Games[[#This Row],[MOVMult]])*(Games[[#This Row],[Result]]-Games[[#This Row],[ExpectedWin%]])</f>
        <v>16.855163960054185</v>
      </c>
      <c r="AB344" s="4">
        <f>Games[[#This Row],[PreGmRate]]+Games[[#This Row],[RatingChange]]</f>
        <v>1553.9690296734534</v>
      </c>
      <c r="AC344" s="2">
        <f>IF(Games[[#This Row],[Type]]="R",IF(Games[[#This Row],[Result]]&gt;0.5,1,0),0)</f>
        <v>1</v>
      </c>
      <c r="AD344" s="2">
        <f>IF(Games[[#This Row],[Type]]="R",IF(Games[[#This Row],[Result]]&lt;0.5,1,0),0)</f>
        <v>0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43702</v>
      </c>
      <c r="B345" s="2">
        <v>2019</v>
      </c>
      <c r="C345" s="2">
        <f>COUNTIFS(Games[Team],Games[[#This Row],[Team]],Games[Season],Games[[#This Row],[Season]],Games[Date],"&lt;=" &amp; Games[[#This Row],[Date]])</f>
        <v>28</v>
      </c>
      <c r="D345" s="2" t="s">
        <v>79</v>
      </c>
      <c r="E345" s="2" t="s">
        <v>80</v>
      </c>
      <c r="F345" s="1" t="s">
        <v>40</v>
      </c>
      <c r="G345" s="1" t="s">
        <v>75</v>
      </c>
      <c r="H345" s="1" t="s">
        <v>82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4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5" s="2">
        <f>Games[[#This Row],[DaysOff]]-Games[[#This Row],[OppDaysOff]]</f>
        <v>3</v>
      </c>
      <c r="L345" s="2">
        <f>Games[[#This Row],[OppDaysOff]]-Games[[#This Row],[DaysOff]]</f>
        <v>-3</v>
      </c>
      <c r="M345" s="1">
        <f>MAX(-16, MIN(16, Games[[#This Row],[RestDiff]]*8))</f>
        <v>16</v>
      </c>
      <c r="N345" s="1">
        <f>MAX(-16, MIN(16, Games[[#This Row],[OppRestDiff]]*8))</f>
        <v>-16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1506.9268262291109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1537.1138657133993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0.62104335976833691</v>
      </c>
      <c r="R345" s="1">
        <v>86</v>
      </c>
      <c r="S345" s="1">
        <v>94</v>
      </c>
      <c r="T345" s="1">
        <v>0</v>
      </c>
      <c r="U345" s="1">
        <f>Games[[#This Row],[PointsFor]]-Games[[#This Row],[PointsAgainst]]</f>
        <v>-8</v>
      </c>
      <c r="V345" s="1">
        <f>IF(Games[[#This Row],[MOV]]&gt;0,1,IF(Games[[#This Row],[MOV]]=0,0.5,0))</f>
        <v>0</v>
      </c>
      <c r="W345" s="4">
        <f>((ABS(Games[[#This Row],[MOV]])+5)^0.6)/(12+0.01*(ABS(Games[[#This Row],[PreGmRate]]-Games[[#This Row],[OppPreGmRate]])))*IF(Games[[#This Row],[OT]]=1,0.9,1)</f>
        <v>0.37878682431815525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71.8</v>
      </c>
      <c r="Z345" s="4">
        <f>Games[[#This Row],[K]]*Games[[#This Row],[POMult]]</f>
        <v>71.8</v>
      </c>
      <c r="AA345" s="4">
        <f>(Games[[#This Row],[Keff]]*Games[[#This Row],[MOVMult]])*(Games[[#This Row],[Result]]-Games[[#This Row],[ExpectedWin%]])</f>
        <v>-16.890450416355758</v>
      </c>
      <c r="AB345" s="4">
        <f>Games[[#This Row],[PreGmRate]]+Games[[#This Row],[RatingChange]]</f>
        <v>1490.0363758127551</v>
      </c>
      <c r="AC345" s="2">
        <f>IF(Games[[#This Row],[Type]]="R",IF(Games[[#This Row],[Result]]&gt;0.5,1,0),0)</f>
        <v>0</v>
      </c>
      <c r="AD345" s="2">
        <f>IF(Games[[#This Row],[Type]]="R",IF(Games[[#This Row],[Result]]&lt;0.5,1,0),0)</f>
        <v>1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43702</v>
      </c>
      <c r="B346" s="2">
        <v>2019</v>
      </c>
      <c r="C346" s="2">
        <f>COUNTIFS(Games[Team],Games[[#This Row],[Team]],Games[Season],Games[[#This Row],[Season]],Games[Date],"&lt;=" &amp; Games[[#This Row],[Date]])</f>
        <v>29</v>
      </c>
      <c r="D346" s="2" t="s">
        <v>79</v>
      </c>
      <c r="E346" s="2" t="s">
        <v>80</v>
      </c>
      <c r="F346" s="1" t="s">
        <v>69</v>
      </c>
      <c r="G346" s="1" t="s">
        <v>71</v>
      </c>
      <c r="H346" s="1" t="s">
        <v>81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46" s="2">
        <f>Games[[#This Row],[DaysOff]]-Games[[#This Row],[OppDaysOff]]</f>
        <v>-4</v>
      </c>
      <c r="L346" s="2">
        <f>Games[[#This Row],[OppDaysOff]]-Games[[#This Row],[DaysOff]]</f>
        <v>4</v>
      </c>
      <c r="M346" s="1">
        <f>MAX(-16, MIN(16, Games[[#This Row],[RestDiff]]*8))</f>
        <v>-16</v>
      </c>
      <c r="N346" s="1">
        <f>MAX(-16, MIN(16, Games[[#This Row],[OppRestDiff]]*8))</f>
        <v>16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1374.0040800177705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1553.4329322766432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0.15438363086434789</v>
      </c>
      <c r="R346" s="1">
        <v>63</v>
      </c>
      <c r="S346" s="1">
        <v>54</v>
      </c>
      <c r="T346" s="1">
        <v>0</v>
      </c>
      <c r="U346" s="1">
        <f>Games[[#This Row],[PointsFor]]-Games[[#This Row],[PointsAgainst]]</f>
        <v>9</v>
      </c>
      <c r="V346" s="1">
        <f>IF(Games[[#This Row],[MOV]]&gt;0,1,IF(Games[[#This Row],[MOV]]=0,0.5,0))</f>
        <v>1</v>
      </c>
      <c r="W346" s="4">
        <f>((ABS(Games[[#This Row],[MOV]])+5)^0.6)/(12+0.01*(ABS(Games[[#This Row],[PreGmRate]]-Games[[#This Row],[OppPreGmRate]])))*IF(Games[[#This Row],[OT]]=1,0.9,1)</f>
        <v>0.35316488543714081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71.650000000000006</v>
      </c>
      <c r="Z346" s="4">
        <f>Games[[#This Row],[K]]*Games[[#This Row],[POMult]]</f>
        <v>71.650000000000006</v>
      </c>
      <c r="AA346" s="4">
        <f>(Games[[#This Row],[Keff]]*Games[[#This Row],[MOVMult]])*(Games[[#This Row],[Result]]-Games[[#This Row],[ExpectedWin%]])</f>
        <v>21.397699882483231</v>
      </c>
      <c r="AB346" s="4">
        <f>Games[[#This Row],[PreGmRate]]+Games[[#This Row],[RatingChange]]</f>
        <v>1395.4017799002538</v>
      </c>
      <c r="AC346" s="2">
        <f>IF(Games[[#This Row],[Type]]="R",IF(Games[[#This Row],[Result]]&gt;0.5,1,0),0)</f>
        <v>1</v>
      </c>
      <c r="AD346" s="2">
        <f>IF(Games[[#This Row],[Type]]="R",IF(Games[[#This Row],[Result]]&lt;0.5,1,0),0)</f>
        <v>0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43702</v>
      </c>
      <c r="B347" s="2">
        <v>2019</v>
      </c>
      <c r="C347" s="2">
        <f>COUNTIFS(Games[Team],Games[[#This Row],[Team]],Games[Season],Games[[#This Row],[Season]],Games[Date],"&lt;=" &amp; Games[[#This Row],[Date]])</f>
        <v>29</v>
      </c>
      <c r="D347" s="2" t="s">
        <v>79</v>
      </c>
      <c r="E347" s="2" t="s">
        <v>80</v>
      </c>
      <c r="F347" s="1" t="s">
        <v>71</v>
      </c>
      <c r="G347" s="1" t="s">
        <v>69</v>
      </c>
      <c r="H347" s="1" t="s">
        <v>82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6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7" s="2">
        <f>Games[[#This Row],[DaysOff]]-Games[[#This Row],[OppDaysOff]]</f>
        <v>4</v>
      </c>
      <c r="L347" s="2">
        <f>Games[[#This Row],[OppDaysOff]]-Games[[#This Row],[DaysOff]]</f>
        <v>-4</v>
      </c>
      <c r="M347" s="1">
        <f>MAX(-16, MIN(16, Games[[#This Row],[RestDiff]]*8))</f>
        <v>16</v>
      </c>
      <c r="N347" s="1">
        <f>MAX(-16, MIN(16, Games[[#This Row],[OppRestDiff]]*8))</f>
        <v>-16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1553.4329322766432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1374.0040800177705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0.84561636913565219</v>
      </c>
      <c r="R347" s="1">
        <v>54</v>
      </c>
      <c r="S347" s="1">
        <v>63</v>
      </c>
      <c r="T347" s="1">
        <v>0</v>
      </c>
      <c r="U347" s="1">
        <f>Games[[#This Row],[PointsFor]]-Games[[#This Row],[PointsAgainst]]</f>
        <v>-9</v>
      </c>
      <c r="V347" s="1">
        <f>IF(Games[[#This Row],[MOV]]&gt;0,1,IF(Games[[#This Row],[MOV]]=0,0.5,0))</f>
        <v>0</v>
      </c>
      <c r="W347" s="4">
        <f>((ABS(Games[[#This Row],[MOV]])+5)^0.6)/(12+0.01*(ABS(Games[[#This Row],[PreGmRate]]-Games[[#This Row],[OppPreGmRate]])))*IF(Games[[#This Row],[OT]]=1,0.9,1)</f>
        <v>0.35316488543714081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71.650000000000006</v>
      </c>
      <c r="Z347" s="4">
        <f>Games[[#This Row],[K]]*Games[[#This Row],[POMult]]</f>
        <v>71.650000000000006</v>
      </c>
      <c r="AA347" s="4">
        <f>(Games[[#This Row],[Keff]]*Games[[#This Row],[MOVMult]])*(Games[[#This Row],[Result]]-Games[[#This Row],[ExpectedWin%]])</f>
        <v>-21.397699882483231</v>
      </c>
      <c r="AB347" s="4">
        <f>Games[[#This Row],[PreGmRate]]+Games[[#This Row],[RatingChange]]</f>
        <v>1532.0352323941599</v>
      </c>
      <c r="AC347" s="2">
        <f>IF(Games[[#This Row],[Type]]="R",IF(Games[[#This Row],[Result]]&gt;0.5,1,0),0)</f>
        <v>0</v>
      </c>
      <c r="AD347" s="2">
        <f>IF(Games[[#This Row],[Type]]="R",IF(Games[[#This Row],[Result]]&lt;0.5,1,0),0)</f>
        <v>1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43702</v>
      </c>
      <c r="B348" s="2">
        <v>2019</v>
      </c>
      <c r="C348" s="2">
        <f>COUNTIFS(Games[Team],Games[[#This Row],[Team]],Games[Season],Games[[#This Row],[Season]],Games[Date],"&lt;=" &amp; Games[[#This Row],[Date]])</f>
        <v>29</v>
      </c>
      <c r="D348" s="2" t="s">
        <v>79</v>
      </c>
      <c r="E348" s="2" t="s">
        <v>80</v>
      </c>
      <c r="F348" s="1" t="s">
        <v>60</v>
      </c>
      <c r="G348" s="1" t="s">
        <v>65</v>
      </c>
      <c r="H348" s="1" t="s">
        <v>81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8" s="2">
        <f>Games[[#This Row],[DaysOff]]-Games[[#This Row],[OppDaysOff]]</f>
        <v>0</v>
      </c>
      <c r="L348" s="2">
        <f>Games[[#This Row],[OppDaysOff]]-Games[[#This Row],[DaysOff]]</f>
        <v>0</v>
      </c>
      <c r="M348" s="1">
        <f>MAX(-16, MIN(16, Games[[#This Row],[RestDiff]]*8))</f>
        <v>0</v>
      </c>
      <c r="N348" s="1">
        <f>MAX(-16, MIN(16, Games[[#This Row],[OppRestDiff]]*8))</f>
        <v>0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1339.5050296223778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1675.2249123045324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8.195306113862659E-2</v>
      </c>
      <c r="R348" s="1">
        <v>72</v>
      </c>
      <c r="S348" s="1">
        <v>101</v>
      </c>
      <c r="T348" s="1">
        <v>0</v>
      </c>
      <c r="U348" s="1">
        <f>Games[[#This Row],[PointsFor]]-Games[[#This Row],[PointsAgainst]]</f>
        <v>-29</v>
      </c>
      <c r="V348" s="1">
        <f>IF(Games[[#This Row],[MOV]]&gt;0,1,IF(Games[[#This Row],[MOV]]=0,0.5,0))</f>
        <v>0</v>
      </c>
      <c r="W348" s="4">
        <f>((ABS(Games[[#This Row],[MOV]])+5)^0.6)/(12+0.01*(ABS(Games[[#This Row],[PreGmRate]]-Games[[#This Row],[OppPreGmRate]])))*IF(Games[[#This Row],[OT]]=1,0.9,1)</f>
        <v>0.54022582722843959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71.650000000000006</v>
      </c>
      <c r="Z348" s="4">
        <f>Games[[#This Row],[K]]*Games[[#This Row],[POMult]]</f>
        <v>71.650000000000006</v>
      </c>
      <c r="AA348" s="4">
        <f>(Games[[#This Row],[Keff]]*Games[[#This Row],[MOVMult]])*(Games[[#This Row],[Result]]-Games[[#This Row],[ExpectedWin%]])</f>
        <v>-3.1721719317346246</v>
      </c>
      <c r="AB348" s="4">
        <f>Games[[#This Row],[PreGmRate]]+Games[[#This Row],[RatingChange]]</f>
        <v>1336.3328576906431</v>
      </c>
      <c r="AC348" s="2">
        <f>IF(Games[[#This Row],[Type]]="R",IF(Games[[#This Row],[Result]]&gt;0.5,1,0),0)</f>
        <v>0</v>
      </c>
      <c r="AD348" s="2">
        <f>IF(Games[[#This Row],[Type]]="R",IF(Games[[#This Row],[Result]]&lt;0.5,1,0),0)</f>
        <v>1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43702</v>
      </c>
      <c r="B349" s="2">
        <v>2019</v>
      </c>
      <c r="C349" s="2">
        <f>COUNTIFS(Games[Team],Games[[#This Row],[Team]],Games[Season],Games[[#This Row],[Season]],Games[Date],"&lt;=" &amp; Games[[#This Row],[Date]])</f>
        <v>29</v>
      </c>
      <c r="D349" s="2" t="s">
        <v>79</v>
      </c>
      <c r="E349" s="2" t="s">
        <v>80</v>
      </c>
      <c r="F349" s="1" t="s">
        <v>65</v>
      </c>
      <c r="G349" s="1" t="s">
        <v>60</v>
      </c>
      <c r="H349" s="1" t="s">
        <v>82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9" s="2">
        <f>Games[[#This Row],[DaysOff]]-Games[[#This Row],[OppDaysOff]]</f>
        <v>0</v>
      </c>
      <c r="L349" s="2">
        <f>Games[[#This Row],[OppDaysOff]]-Games[[#This Row],[DaysOff]]</f>
        <v>0</v>
      </c>
      <c r="M349" s="1">
        <f>MAX(-16, MIN(16, Games[[#This Row],[RestDiff]]*8))</f>
        <v>0</v>
      </c>
      <c r="N349" s="1">
        <f>MAX(-16, MIN(16, Games[[#This Row],[OppRestDiff]]*8))</f>
        <v>0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1675.2249123045324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1339.5050296223778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0.91804693886137334</v>
      </c>
      <c r="R349" s="1">
        <v>101</v>
      </c>
      <c r="S349" s="1">
        <v>72</v>
      </c>
      <c r="T349" s="1">
        <v>0</v>
      </c>
      <c r="U349" s="1">
        <f>Games[[#This Row],[PointsFor]]-Games[[#This Row],[PointsAgainst]]</f>
        <v>29</v>
      </c>
      <c r="V349" s="1">
        <f>IF(Games[[#This Row],[MOV]]&gt;0,1,IF(Games[[#This Row],[MOV]]=0,0.5,0))</f>
        <v>1</v>
      </c>
      <c r="W349" s="4">
        <f>((ABS(Games[[#This Row],[MOV]])+5)^0.6)/(12+0.01*(ABS(Games[[#This Row],[PreGmRate]]-Games[[#This Row],[OppPreGmRate]])))*IF(Games[[#This Row],[OT]]=1,0.9,1)</f>
        <v>0.54022582722843959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71.650000000000006</v>
      </c>
      <c r="Z349" s="4">
        <f>Games[[#This Row],[K]]*Games[[#This Row],[POMult]]</f>
        <v>71.650000000000006</v>
      </c>
      <c r="AA349" s="4">
        <f>(Games[[#This Row],[Keff]]*Games[[#This Row],[MOVMult]])*(Games[[#This Row],[Result]]-Games[[#This Row],[ExpectedWin%]])</f>
        <v>3.1721719317346273</v>
      </c>
      <c r="AB349" s="4">
        <f>Games[[#This Row],[PreGmRate]]+Games[[#This Row],[RatingChange]]</f>
        <v>1678.3970842362671</v>
      </c>
      <c r="AC349" s="2">
        <f>IF(Games[[#This Row],[Type]]="R",IF(Games[[#This Row],[Result]]&gt;0.5,1,0),0)</f>
        <v>1</v>
      </c>
      <c r="AD349" s="2">
        <f>IF(Games[[#This Row],[Type]]="R",IF(Games[[#This Row],[Result]]&lt;0.5,1,0),0)</f>
        <v>0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43704</v>
      </c>
      <c r="B350" s="2">
        <v>2019</v>
      </c>
      <c r="C350" s="2">
        <f>COUNTIFS(Games[Team],Games[[#This Row],[Team]],Games[Season],Games[[#This Row],[Season]],Games[Date],"&lt;=" &amp; Games[[#This Row],[Date]])</f>
        <v>31</v>
      </c>
      <c r="D350" s="2" t="s">
        <v>79</v>
      </c>
      <c r="E350" s="2" t="s">
        <v>80</v>
      </c>
      <c r="F350" s="1" t="s">
        <v>86</v>
      </c>
      <c r="G350" s="1" t="s">
        <v>69</v>
      </c>
      <c r="H350" s="1" t="s">
        <v>81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0" s="2">
        <f>Games[[#This Row],[DaysOff]]-Games[[#This Row],[OppDaysOff]]</f>
        <v>0</v>
      </c>
      <c r="L350" s="2">
        <f>Games[[#This Row],[OppDaysOff]]-Games[[#This Row],[DaysOff]]</f>
        <v>0</v>
      </c>
      <c r="M350" s="1">
        <f>MAX(-16, MIN(16, Games[[#This Row],[RestDiff]]*8))</f>
        <v>0</v>
      </c>
      <c r="N350" s="1">
        <f>MAX(-16, MIN(16, Games[[#This Row],[OppRestDiff]]*8))</f>
        <v>0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1555.1170005684316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1395.4017799002538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0.60727016604227879</v>
      </c>
      <c r="R350" s="1">
        <v>71</v>
      </c>
      <c r="S350" s="1">
        <v>86</v>
      </c>
      <c r="T350" s="1">
        <v>0</v>
      </c>
      <c r="U350" s="1">
        <f>Games[[#This Row],[PointsFor]]-Games[[#This Row],[PointsAgainst]]</f>
        <v>-15</v>
      </c>
      <c r="V350" s="1">
        <f>IF(Games[[#This Row],[MOV]]&gt;0,1,IF(Games[[#This Row],[MOV]]=0,0.5,0))</f>
        <v>0</v>
      </c>
      <c r="W350" s="4">
        <f>((ABS(Games[[#This Row],[MOV]])+5)^0.6)/(12+0.01*(ABS(Games[[#This Row],[PreGmRate]]-Games[[#This Row],[OppPreGmRate]])))*IF(Games[[#This Row],[OT]]=1,0.9,1)</f>
        <v>0.44378236301421309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71.349999999999994</v>
      </c>
      <c r="Z350" s="4">
        <f>Games[[#This Row],[K]]*Games[[#This Row],[POMult]]</f>
        <v>71.349999999999994</v>
      </c>
      <c r="AA350" s="4">
        <f>(Games[[#This Row],[Keff]]*Games[[#This Row],[MOVMult]])*(Games[[#This Row],[Result]]-Games[[#This Row],[ExpectedWin%]])</f>
        <v>-19.228524564719592</v>
      </c>
      <c r="AB350" s="4">
        <f>Games[[#This Row],[PreGmRate]]+Games[[#This Row],[RatingChange]]</f>
        <v>1535.888476003712</v>
      </c>
      <c r="AC350" s="2">
        <f>IF(Games[[#This Row],[Type]]="R",IF(Games[[#This Row],[Result]]&gt;0.5,1,0),0)</f>
        <v>0</v>
      </c>
      <c r="AD350" s="2">
        <f>IF(Games[[#This Row],[Type]]="R",IF(Games[[#This Row],[Result]]&lt;0.5,1,0),0)</f>
        <v>1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43704</v>
      </c>
      <c r="B351" s="2">
        <v>2019</v>
      </c>
      <c r="C351" s="2">
        <f>COUNTIFS(Games[Team],Games[[#This Row],[Team]],Games[Season],Games[[#This Row],[Season]],Games[Date],"&lt;=" &amp; Games[[#This Row],[Date]])</f>
        <v>30</v>
      </c>
      <c r="D351" s="2" t="s">
        <v>79</v>
      </c>
      <c r="E351" s="2" t="s">
        <v>80</v>
      </c>
      <c r="F351" s="1" t="s">
        <v>69</v>
      </c>
      <c r="G351" s="1" t="s">
        <v>86</v>
      </c>
      <c r="H351" s="1" t="s">
        <v>82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1" s="2">
        <f>Games[[#This Row],[DaysOff]]-Games[[#This Row],[OppDaysOff]]</f>
        <v>0</v>
      </c>
      <c r="L351" s="2">
        <f>Games[[#This Row],[OppDaysOff]]-Games[[#This Row],[DaysOff]]</f>
        <v>0</v>
      </c>
      <c r="M351" s="1">
        <f>MAX(-16, MIN(16, Games[[#This Row],[RestDiff]]*8))</f>
        <v>0</v>
      </c>
      <c r="N351" s="1">
        <f>MAX(-16, MIN(16, Games[[#This Row],[OppRestDiff]]*8))</f>
        <v>0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1395.4017799002538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1555.1170005684316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0.39272983395772115</v>
      </c>
      <c r="R351" s="1">
        <v>86</v>
      </c>
      <c r="S351" s="1">
        <v>71</v>
      </c>
      <c r="T351" s="1">
        <v>0</v>
      </c>
      <c r="U351" s="1">
        <f>Games[[#This Row],[PointsFor]]-Games[[#This Row],[PointsAgainst]]</f>
        <v>15</v>
      </c>
      <c r="V351" s="1">
        <f>IF(Games[[#This Row],[MOV]]&gt;0,1,IF(Games[[#This Row],[MOV]]=0,0.5,0))</f>
        <v>1</v>
      </c>
      <c r="W351" s="4">
        <f>((ABS(Games[[#This Row],[MOV]])+5)^0.6)/(12+0.01*(ABS(Games[[#This Row],[PreGmRate]]-Games[[#This Row],[OppPreGmRate]])))*IF(Games[[#This Row],[OT]]=1,0.9,1)</f>
        <v>0.44378236301421309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71.5</v>
      </c>
      <c r="Z351" s="4">
        <f>Games[[#This Row],[K]]*Games[[#This Row],[POMult]]</f>
        <v>71.5</v>
      </c>
      <c r="AA351" s="4">
        <f>(Games[[#This Row],[Keff]]*Games[[#This Row],[MOVMult]])*(Games[[#This Row],[Result]]-Games[[#This Row],[ExpectedWin%]])</f>
        <v>19.268948933110735</v>
      </c>
      <c r="AB351" s="4">
        <f>Games[[#This Row],[PreGmRate]]+Games[[#This Row],[RatingChange]]</f>
        <v>1414.6707288333646</v>
      </c>
      <c r="AC351" s="2">
        <f>IF(Games[[#This Row],[Type]]="R",IF(Games[[#This Row],[Result]]&gt;0.5,1,0),0)</f>
        <v>1</v>
      </c>
      <c r="AD351" s="2">
        <f>IF(Games[[#This Row],[Type]]="R",IF(Games[[#This Row],[Result]]&lt;0.5,1,0),0)</f>
        <v>0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43704</v>
      </c>
      <c r="B352" s="2">
        <v>2019</v>
      </c>
      <c r="C352" s="2">
        <f>COUNTIFS(Games[Team],Games[[#This Row],[Team]],Games[Season],Games[[#This Row],[Season]],Games[Date],"&lt;=" &amp; Games[[#This Row],[Date]])</f>
        <v>30</v>
      </c>
      <c r="D352" s="2" t="s">
        <v>79</v>
      </c>
      <c r="E352" s="2" t="s">
        <v>80</v>
      </c>
      <c r="F352" s="1" t="s">
        <v>75</v>
      </c>
      <c r="G352" s="1" t="s">
        <v>67</v>
      </c>
      <c r="H352" s="1" t="s">
        <v>81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2" s="2">
        <f>Games[[#This Row],[DaysOff]]-Games[[#This Row],[OppDaysOff]]</f>
        <v>0</v>
      </c>
      <c r="L352" s="2">
        <f>Games[[#This Row],[OppDaysOff]]-Games[[#This Row],[DaysOff]]</f>
        <v>0</v>
      </c>
      <c r="M352" s="1">
        <f>MAX(-16, MIN(16, Games[[#This Row],[RestDiff]]*8))</f>
        <v>0</v>
      </c>
      <c r="N352" s="1">
        <f>MAX(-16, MIN(16, Games[[#This Row],[OppRestDiff]]*8))</f>
        <v>0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1553.9690296734534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1530.2060659754561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0.4141702118072208</v>
      </c>
      <c r="R352" s="1">
        <v>85</v>
      </c>
      <c r="S352" s="1">
        <v>93</v>
      </c>
      <c r="T352" s="1">
        <v>0</v>
      </c>
      <c r="U352" s="1">
        <f>Games[[#This Row],[PointsFor]]-Games[[#This Row],[PointsAgainst]]</f>
        <v>-8</v>
      </c>
      <c r="V352" s="1">
        <f>IF(Games[[#This Row],[MOV]]&gt;0,1,IF(Games[[#This Row],[MOV]]=0,0.5,0))</f>
        <v>0</v>
      </c>
      <c r="W352" s="4">
        <f>((ABS(Games[[#This Row],[MOV]])+5)^0.6)/(12+0.01*(ABS(Games[[#This Row],[PreGmRate]]-Games[[#This Row],[OppPreGmRate]])))*IF(Games[[#This Row],[OT]]=1,0.9,1)</f>
        <v>0.38077524473816465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71.5</v>
      </c>
      <c r="Z352" s="4">
        <f>Games[[#This Row],[K]]*Games[[#This Row],[POMult]]</f>
        <v>71.5</v>
      </c>
      <c r="AA352" s="4">
        <f>(Games[[#This Row],[Keff]]*Games[[#This Row],[MOVMult]])*(Games[[#This Row],[Result]]-Games[[#This Row],[ExpectedWin%]])</f>
        <v>-11.275962109136866</v>
      </c>
      <c r="AB352" s="4">
        <f>Games[[#This Row],[PreGmRate]]+Games[[#This Row],[RatingChange]]</f>
        <v>1542.6930675643166</v>
      </c>
      <c r="AC352" s="2">
        <f>IF(Games[[#This Row],[Type]]="R",IF(Games[[#This Row],[Result]]&gt;0.5,1,0),0)</f>
        <v>0</v>
      </c>
      <c r="AD352" s="2">
        <f>IF(Games[[#This Row],[Type]]="R",IF(Games[[#This Row],[Result]]&lt;0.5,1,0),0)</f>
        <v>1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43704</v>
      </c>
      <c r="B353" s="2">
        <v>2019</v>
      </c>
      <c r="C353" s="2">
        <f>COUNTIFS(Games[Team],Games[[#This Row],[Team]],Games[Season],Games[[#This Row],[Season]],Games[Date],"&lt;=" &amp; Games[[#This Row],[Date]])</f>
        <v>31</v>
      </c>
      <c r="D353" s="2" t="s">
        <v>79</v>
      </c>
      <c r="E353" s="2" t="s">
        <v>80</v>
      </c>
      <c r="F353" s="1" t="s">
        <v>67</v>
      </c>
      <c r="G353" s="1" t="s">
        <v>75</v>
      </c>
      <c r="H353" s="1" t="s">
        <v>82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3" s="2">
        <f>Games[[#This Row],[DaysOff]]-Games[[#This Row],[OppDaysOff]]</f>
        <v>0</v>
      </c>
      <c r="L353" s="2">
        <f>Games[[#This Row],[OppDaysOff]]-Games[[#This Row],[DaysOff]]</f>
        <v>0</v>
      </c>
      <c r="M353" s="1">
        <f>MAX(-16, MIN(16, Games[[#This Row],[RestDiff]]*8))</f>
        <v>0</v>
      </c>
      <c r="N353" s="1">
        <f>MAX(-16, MIN(16, Games[[#This Row],[OppRestDiff]]*8))</f>
        <v>0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1530.2060659754561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1553.9690296734534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0.5858297881927792</v>
      </c>
      <c r="R353" s="1">
        <v>93</v>
      </c>
      <c r="S353" s="1">
        <v>85</v>
      </c>
      <c r="T353" s="1">
        <v>0</v>
      </c>
      <c r="U353" s="1">
        <f>Games[[#This Row],[PointsFor]]-Games[[#This Row],[PointsAgainst]]</f>
        <v>8</v>
      </c>
      <c r="V353" s="1">
        <f>IF(Games[[#This Row],[MOV]]&gt;0,1,IF(Games[[#This Row],[MOV]]=0,0.5,0))</f>
        <v>1</v>
      </c>
      <c r="W353" s="4">
        <f>((ABS(Games[[#This Row],[MOV]])+5)^0.6)/(12+0.01*(ABS(Games[[#This Row],[PreGmRate]]-Games[[#This Row],[OppPreGmRate]])))*IF(Games[[#This Row],[OT]]=1,0.9,1)</f>
        <v>0.38077524473816465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71.349999999999994</v>
      </c>
      <c r="Z353" s="4">
        <f>Games[[#This Row],[K]]*Games[[#This Row],[POMult]]</f>
        <v>71.349999999999994</v>
      </c>
      <c r="AA353" s="4">
        <f>(Games[[#This Row],[Keff]]*Games[[#This Row],[MOVMult]])*(Games[[#This Row],[Result]]-Games[[#This Row],[ExpectedWin%]])</f>
        <v>11.252306244572244</v>
      </c>
      <c r="AB353" s="4">
        <f>Games[[#This Row],[PreGmRate]]+Games[[#This Row],[RatingChange]]</f>
        <v>1541.4583722200284</v>
      </c>
      <c r="AC353" s="2">
        <f>IF(Games[[#This Row],[Type]]="R",IF(Games[[#This Row],[Result]]&gt;0.5,1,0),0)</f>
        <v>1</v>
      </c>
      <c r="AD353" s="2">
        <f>IF(Games[[#This Row],[Type]]="R",IF(Games[[#This Row],[Result]]&lt;0.5,1,0),0)</f>
        <v>0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43704</v>
      </c>
      <c r="B354" s="2">
        <v>2019</v>
      </c>
      <c r="C354" s="2">
        <f>COUNTIFS(Games[Team],Games[[#This Row],[Team]],Games[Season],Games[[#This Row],[Season]],Games[Date],"&lt;=" &amp; Games[[#This Row],[Date]])</f>
        <v>29</v>
      </c>
      <c r="D354" s="2" t="s">
        <v>79</v>
      </c>
      <c r="E354" s="2" t="s">
        <v>80</v>
      </c>
      <c r="F354" s="1" t="s">
        <v>40</v>
      </c>
      <c r="G354" s="1" t="s">
        <v>60</v>
      </c>
      <c r="H354" s="1" t="s">
        <v>81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4" s="2">
        <f>Games[[#This Row],[DaysOff]]-Games[[#This Row],[OppDaysOff]]</f>
        <v>0</v>
      </c>
      <c r="L354" s="2">
        <f>Games[[#This Row],[OppDaysOff]]-Games[[#This Row],[DaysOff]]</f>
        <v>0</v>
      </c>
      <c r="M354" s="1">
        <f>MAX(-16, MIN(16, Games[[#This Row],[RestDiff]]*8))</f>
        <v>0</v>
      </c>
      <c r="N354" s="1">
        <f>MAX(-16, MIN(16, Games[[#This Row],[OppRestDiff]]*8))</f>
        <v>0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1490.0363758127551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1336.3328576906431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0.59898691715083952</v>
      </c>
      <c r="R354" s="1">
        <v>95</v>
      </c>
      <c r="S354" s="1">
        <v>82</v>
      </c>
      <c r="T354" s="1">
        <v>0</v>
      </c>
      <c r="U354" s="1">
        <f>Games[[#This Row],[PointsFor]]-Games[[#This Row],[PointsAgainst]]</f>
        <v>13</v>
      </c>
      <c r="V354" s="1">
        <f>IF(Games[[#This Row],[MOV]]&gt;0,1,IF(Games[[#This Row],[MOV]]=0,0.5,0))</f>
        <v>1</v>
      </c>
      <c r="W354" s="4">
        <f>((ABS(Games[[#This Row],[MOV]])+5)^0.6)/(12+0.01*(ABS(Games[[#This Row],[PreGmRate]]-Games[[#This Row],[OppPreGmRate]])))*IF(Games[[#This Row],[OT]]=1,0.9,1)</f>
        <v>0.41844650560023422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71.650000000000006</v>
      </c>
      <c r="Z354" s="4">
        <f>Games[[#This Row],[K]]*Games[[#This Row],[POMult]]</f>
        <v>71.650000000000006</v>
      </c>
      <c r="AA354" s="4">
        <f>(Games[[#This Row],[Keff]]*Games[[#This Row],[MOVMult]])*(Games[[#This Row],[Result]]-Games[[#This Row],[ExpectedWin%]])</f>
        <v>12.023050788584635</v>
      </c>
      <c r="AB354" s="4">
        <f>Games[[#This Row],[PreGmRate]]+Games[[#This Row],[RatingChange]]</f>
        <v>1502.0594266013397</v>
      </c>
      <c r="AC354" s="2">
        <f>IF(Games[[#This Row],[Type]]="R",IF(Games[[#This Row],[Result]]&gt;0.5,1,0),0)</f>
        <v>1</v>
      </c>
      <c r="AD354" s="2">
        <f>IF(Games[[#This Row],[Type]]="R",IF(Games[[#This Row],[Result]]&lt;0.5,1,0),0)</f>
        <v>0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43704</v>
      </c>
      <c r="B355" s="2">
        <v>2019</v>
      </c>
      <c r="C355" s="2">
        <f>COUNTIFS(Games[Team],Games[[#This Row],[Team]],Games[Season],Games[[#This Row],[Season]],Games[Date],"&lt;=" &amp; Games[[#This Row],[Date]])</f>
        <v>30</v>
      </c>
      <c r="D355" s="2" t="s">
        <v>79</v>
      </c>
      <c r="E355" s="2" t="s">
        <v>80</v>
      </c>
      <c r="F355" s="1" t="s">
        <v>60</v>
      </c>
      <c r="G355" s="1" t="s">
        <v>40</v>
      </c>
      <c r="H355" s="1" t="s">
        <v>82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5" s="2">
        <f>Games[[#This Row],[DaysOff]]-Games[[#This Row],[OppDaysOff]]</f>
        <v>0</v>
      </c>
      <c r="L355" s="2">
        <f>Games[[#This Row],[OppDaysOff]]-Games[[#This Row],[DaysOff]]</f>
        <v>0</v>
      </c>
      <c r="M355" s="1">
        <f>MAX(-16, MIN(16, Games[[#This Row],[RestDiff]]*8))</f>
        <v>0</v>
      </c>
      <c r="N355" s="1">
        <f>MAX(-16, MIN(16, Games[[#This Row],[OppRestDiff]]*8))</f>
        <v>0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1336.3328576906431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1490.0363758127551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0.40101308284916054</v>
      </c>
      <c r="R355" s="1">
        <v>82</v>
      </c>
      <c r="S355" s="1">
        <v>95</v>
      </c>
      <c r="T355" s="1">
        <v>0</v>
      </c>
      <c r="U355" s="1">
        <f>Games[[#This Row],[PointsFor]]-Games[[#This Row],[PointsAgainst]]</f>
        <v>-13</v>
      </c>
      <c r="V355" s="1">
        <f>IF(Games[[#This Row],[MOV]]&gt;0,1,IF(Games[[#This Row],[MOV]]=0,0.5,0))</f>
        <v>0</v>
      </c>
      <c r="W355" s="4">
        <f>((ABS(Games[[#This Row],[MOV]])+5)^0.6)/(12+0.01*(ABS(Games[[#This Row],[PreGmRate]]-Games[[#This Row],[OppPreGmRate]])))*IF(Games[[#This Row],[OT]]=1,0.9,1)</f>
        <v>0.41844650560023422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71.5</v>
      </c>
      <c r="Z355" s="4">
        <f>Games[[#This Row],[K]]*Games[[#This Row],[POMult]]</f>
        <v>71.5</v>
      </c>
      <c r="AA355" s="4">
        <f>(Games[[#This Row],[Keff]]*Games[[#This Row],[MOVMult]])*(Games[[#This Row],[Result]]-Games[[#This Row],[ExpectedWin%]])</f>
        <v>-11.997880410101905</v>
      </c>
      <c r="AB355" s="4">
        <f>Games[[#This Row],[PreGmRate]]+Games[[#This Row],[RatingChange]]</f>
        <v>1324.3349772805411</v>
      </c>
      <c r="AC355" s="2">
        <f>IF(Games[[#This Row],[Type]]="R",IF(Games[[#This Row],[Result]]&gt;0.5,1,0),0)</f>
        <v>0</v>
      </c>
      <c r="AD355" s="2">
        <f>IF(Games[[#This Row],[Type]]="R",IF(Games[[#This Row],[Result]]&lt;0.5,1,0),0)</f>
        <v>1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43704</v>
      </c>
      <c r="B356" s="2">
        <v>2019</v>
      </c>
      <c r="C356" s="2">
        <f>COUNTIFS(Games[Team],Games[[#This Row],[Team]],Games[Season],Games[[#This Row],[Season]],Games[Date],"&lt;=" &amp; Games[[#This Row],[Date]])</f>
        <v>30</v>
      </c>
      <c r="D356" s="2" t="s">
        <v>79</v>
      </c>
      <c r="E356" s="2" t="s">
        <v>80</v>
      </c>
      <c r="F356" s="1" t="s">
        <v>74</v>
      </c>
      <c r="G356" s="1" t="s">
        <v>71</v>
      </c>
      <c r="H356" s="1" t="s">
        <v>81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6" s="2">
        <f>Games[[#This Row],[DaysOff]]-Games[[#This Row],[OppDaysOff]]</f>
        <v>0</v>
      </c>
      <c r="L356" s="2">
        <f>Games[[#This Row],[OppDaysOff]]-Games[[#This Row],[DaysOff]]</f>
        <v>0</v>
      </c>
      <c r="M356" s="1">
        <f>MAX(-16, MIN(16, Games[[#This Row],[RestDiff]]*8))</f>
        <v>0</v>
      </c>
      <c r="N356" s="1">
        <f>MAX(-16, MIN(16, Games[[#This Row],[OppRestDiff]]*8))</f>
        <v>0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1590.8015911617692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1532.0352323941599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0.46374958742046135</v>
      </c>
      <c r="R356" s="1">
        <v>89</v>
      </c>
      <c r="S356" s="1">
        <v>70</v>
      </c>
      <c r="T356" s="1">
        <v>0</v>
      </c>
      <c r="U356" s="1">
        <f>Games[[#This Row],[PointsFor]]-Games[[#This Row],[PointsAgainst]]</f>
        <v>19</v>
      </c>
      <c r="V356" s="1">
        <f>IF(Games[[#This Row],[MOV]]&gt;0,1,IF(Games[[#This Row],[MOV]]=0,0.5,0))</f>
        <v>1</v>
      </c>
      <c r="W356" s="4">
        <f>((ABS(Games[[#This Row],[MOV]])+5)^0.6)/(12+0.01*(ABS(Games[[#This Row],[PreGmRate]]-Games[[#This Row],[OppPreGmRate]])))*IF(Games[[#This Row],[OT]]=1,0.9,1)</f>
        <v>0.53478795534922574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71.5</v>
      </c>
      <c r="Z356" s="4">
        <f>Games[[#This Row],[K]]*Games[[#This Row],[POMult]]</f>
        <v>71.5</v>
      </c>
      <c r="AA356" s="4">
        <f>(Games[[#This Row],[Keff]]*Games[[#This Row],[MOVMult]])*(Games[[#This Row],[Result]]-Games[[#This Row],[ExpectedWin%]])</f>
        <v>20.504788711449198</v>
      </c>
      <c r="AB356" s="4">
        <f>Games[[#This Row],[PreGmRate]]+Games[[#This Row],[RatingChange]]</f>
        <v>1611.3063798732185</v>
      </c>
      <c r="AC356" s="2">
        <f>IF(Games[[#This Row],[Type]]="R",IF(Games[[#This Row],[Result]]&gt;0.5,1,0),0)</f>
        <v>1</v>
      </c>
      <c r="AD356" s="2">
        <f>IF(Games[[#This Row],[Type]]="R",IF(Games[[#This Row],[Result]]&lt;0.5,1,0),0)</f>
        <v>0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43704</v>
      </c>
      <c r="B357" s="2">
        <v>2019</v>
      </c>
      <c r="C357" s="2">
        <f>COUNTIFS(Games[Team],Games[[#This Row],[Team]],Games[Season],Games[[#This Row],[Season]],Games[Date],"&lt;=" &amp; Games[[#This Row],[Date]])</f>
        <v>30</v>
      </c>
      <c r="D357" s="2" t="s">
        <v>79</v>
      </c>
      <c r="E357" s="2" t="s">
        <v>80</v>
      </c>
      <c r="F357" s="1" t="s">
        <v>71</v>
      </c>
      <c r="G357" s="1" t="s">
        <v>74</v>
      </c>
      <c r="H357" s="1" t="s">
        <v>82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7" s="2">
        <f>Games[[#This Row],[DaysOff]]-Games[[#This Row],[OppDaysOff]]</f>
        <v>0</v>
      </c>
      <c r="L357" s="2">
        <f>Games[[#This Row],[OppDaysOff]]-Games[[#This Row],[DaysOff]]</f>
        <v>0</v>
      </c>
      <c r="M357" s="1">
        <f>MAX(-16, MIN(16, Games[[#This Row],[RestDiff]]*8))</f>
        <v>0</v>
      </c>
      <c r="N357" s="1">
        <f>MAX(-16, MIN(16, Games[[#This Row],[OppRestDiff]]*8))</f>
        <v>0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1532.0352323941599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1590.8015911617692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0.53625041257953854</v>
      </c>
      <c r="R357" s="1">
        <v>70</v>
      </c>
      <c r="S357" s="1">
        <v>89</v>
      </c>
      <c r="T357" s="1">
        <v>0</v>
      </c>
      <c r="U357" s="1">
        <f>Games[[#This Row],[PointsFor]]-Games[[#This Row],[PointsAgainst]]</f>
        <v>-19</v>
      </c>
      <c r="V357" s="1">
        <f>IF(Games[[#This Row],[MOV]]&gt;0,1,IF(Games[[#This Row],[MOV]]=0,0.5,0))</f>
        <v>0</v>
      </c>
      <c r="W357" s="4">
        <f>((ABS(Games[[#This Row],[MOV]])+5)^0.6)/(12+0.01*(ABS(Games[[#This Row],[PreGmRate]]-Games[[#This Row],[OppPreGmRate]])))*IF(Games[[#This Row],[OT]]=1,0.9,1)</f>
        <v>0.53478795534922574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71.5</v>
      </c>
      <c r="Z357" s="4">
        <f>Games[[#This Row],[K]]*Games[[#This Row],[POMult]]</f>
        <v>71.5</v>
      </c>
      <c r="AA357" s="4">
        <f>(Games[[#This Row],[Keff]]*Games[[#This Row],[MOVMult]])*(Games[[#This Row],[Result]]-Games[[#This Row],[ExpectedWin%]])</f>
        <v>-20.504788711449194</v>
      </c>
      <c r="AB357" s="4">
        <f>Games[[#This Row],[PreGmRate]]+Games[[#This Row],[RatingChange]]</f>
        <v>1511.5304436827107</v>
      </c>
      <c r="AC357" s="2">
        <f>IF(Games[[#This Row],[Type]]="R",IF(Games[[#This Row],[Result]]&gt;0.5,1,0),0)</f>
        <v>0</v>
      </c>
      <c r="AD357" s="2">
        <f>IF(Games[[#This Row],[Type]]="R",IF(Games[[#This Row],[Result]]&lt;0.5,1,0),0)</f>
        <v>1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43704</v>
      </c>
      <c r="B358" s="2">
        <v>2019</v>
      </c>
      <c r="C358" s="2">
        <f>COUNTIFS(Games[Team],Games[[#This Row],[Team]],Games[Season],Games[[#This Row],[Season]],Games[Date],"&lt;=" &amp; Games[[#This Row],[Date]])</f>
        <v>29</v>
      </c>
      <c r="D358" s="2" t="s">
        <v>79</v>
      </c>
      <c r="E358" s="2" t="s">
        <v>80</v>
      </c>
      <c r="F358" s="1" t="s">
        <v>63</v>
      </c>
      <c r="G358" s="1" t="s">
        <v>65</v>
      </c>
      <c r="H358" s="1" t="s">
        <v>81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8" s="2">
        <f>Games[[#This Row],[DaysOff]]-Games[[#This Row],[OppDaysOff]]</f>
        <v>0</v>
      </c>
      <c r="L358" s="2">
        <f>Games[[#This Row],[OppDaysOff]]-Games[[#This Row],[DaysOff]]</f>
        <v>0</v>
      </c>
      <c r="M358" s="1">
        <f>MAX(-16, MIN(16, Games[[#This Row],[RestDiff]]*8))</f>
        <v>0</v>
      </c>
      <c r="N358" s="1">
        <f>MAX(-16, MIN(16, Games[[#This Row],[OppRestDiff]]*8))</f>
        <v>0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1584.3880940014558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1678.3970842362671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0.26411249741721199</v>
      </c>
      <c r="R358" s="1">
        <v>66</v>
      </c>
      <c r="S358" s="1">
        <v>95</v>
      </c>
      <c r="T358" s="1">
        <v>0</v>
      </c>
      <c r="U358" s="1">
        <f>Games[[#This Row],[PointsFor]]-Games[[#This Row],[PointsAgainst]]</f>
        <v>-29</v>
      </c>
      <c r="V358" s="1">
        <f>IF(Games[[#This Row],[MOV]]&gt;0,1,IF(Games[[#This Row],[MOV]]=0,0.5,0))</f>
        <v>0</v>
      </c>
      <c r="W358" s="4">
        <f>((ABS(Games[[#This Row],[MOV]])+5)^0.6)/(12+0.01*(ABS(Games[[#This Row],[PreGmRate]]-Games[[#This Row],[OppPreGmRate]])))*IF(Games[[#This Row],[OT]]=1,0.9,1)</f>
        <v>0.64113584238899546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71.650000000000006</v>
      </c>
      <c r="Z358" s="4">
        <f>Games[[#This Row],[K]]*Games[[#This Row],[POMult]]</f>
        <v>71.650000000000006</v>
      </c>
      <c r="AA358" s="4">
        <f>(Games[[#This Row],[Keff]]*Games[[#This Row],[MOVMult]])*(Games[[#This Row],[Result]]-Games[[#This Row],[ExpectedWin%]])</f>
        <v>-12.132636977246317</v>
      </c>
      <c r="AB358" s="4">
        <f>Games[[#This Row],[PreGmRate]]+Games[[#This Row],[RatingChange]]</f>
        <v>1572.2554570242094</v>
      </c>
      <c r="AC358" s="2">
        <f>IF(Games[[#This Row],[Type]]="R",IF(Games[[#This Row],[Result]]&gt;0.5,1,0),0)</f>
        <v>0</v>
      </c>
      <c r="AD358" s="2">
        <f>IF(Games[[#This Row],[Type]]="R",IF(Games[[#This Row],[Result]]&lt;0.5,1,0),0)</f>
        <v>1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43704</v>
      </c>
      <c r="B359" s="2">
        <v>2019</v>
      </c>
      <c r="C359" s="2">
        <f>COUNTIFS(Games[Team],Games[[#This Row],[Team]],Games[Season],Games[[#This Row],[Season]],Games[Date],"&lt;=" &amp; Games[[#This Row],[Date]])</f>
        <v>30</v>
      </c>
      <c r="D359" s="2" t="s">
        <v>79</v>
      </c>
      <c r="E359" s="2" t="s">
        <v>80</v>
      </c>
      <c r="F359" s="1" t="s">
        <v>65</v>
      </c>
      <c r="G359" s="1" t="s">
        <v>63</v>
      </c>
      <c r="H359" s="1" t="s">
        <v>82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9" s="2">
        <f>Games[[#This Row],[DaysOff]]-Games[[#This Row],[OppDaysOff]]</f>
        <v>0</v>
      </c>
      <c r="L359" s="2">
        <f>Games[[#This Row],[OppDaysOff]]-Games[[#This Row],[DaysOff]]</f>
        <v>0</v>
      </c>
      <c r="M359" s="1">
        <f>MAX(-16, MIN(16, Games[[#This Row],[RestDiff]]*8))</f>
        <v>0</v>
      </c>
      <c r="N359" s="1">
        <f>MAX(-16, MIN(16, Games[[#This Row],[OppRestDiff]]*8))</f>
        <v>0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1678.3970842362671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1584.3880940014558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0.73588750258278801</v>
      </c>
      <c r="R359" s="1">
        <v>95</v>
      </c>
      <c r="S359" s="1">
        <v>66</v>
      </c>
      <c r="T359" s="1">
        <v>0</v>
      </c>
      <c r="U359" s="1">
        <f>Games[[#This Row],[PointsFor]]-Games[[#This Row],[PointsAgainst]]</f>
        <v>29</v>
      </c>
      <c r="V359" s="1">
        <f>IF(Games[[#This Row],[MOV]]&gt;0,1,IF(Games[[#This Row],[MOV]]=0,0.5,0))</f>
        <v>1</v>
      </c>
      <c r="W359" s="4">
        <f>((ABS(Games[[#This Row],[MOV]])+5)^0.6)/(12+0.01*(ABS(Games[[#This Row],[PreGmRate]]-Games[[#This Row],[OppPreGmRate]])))*IF(Games[[#This Row],[OT]]=1,0.9,1)</f>
        <v>0.64113584238899546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71.5</v>
      </c>
      <c r="Z359" s="4">
        <f>Games[[#This Row],[K]]*Games[[#This Row],[POMult]]</f>
        <v>71.5</v>
      </c>
      <c r="AA359" s="4">
        <f>(Games[[#This Row],[Keff]]*Games[[#This Row],[MOVMult]])*(Games[[#This Row],[Result]]-Games[[#This Row],[ExpectedWin%]])</f>
        <v>12.107237178968759</v>
      </c>
      <c r="AB359" s="4">
        <f>Games[[#This Row],[PreGmRate]]+Games[[#This Row],[RatingChange]]</f>
        <v>1690.5043214152358</v>
      </c>
      <c r="AC359" s="2">
        <f>IF(Games[[#This Row],[Type]]="R",IF(Games[[#This Row],[Result]]&gt;0.5,1,0),0)</f>
        <v>1</v>
      </c>
      <c r="AD359" s="2">
        <f>IF(Games[[#This Row],[Type]]="R",IF(Games[[#This Row],[Result]]&lt;0.5,1,0),0)</f>
        <v>0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43706</v>
      </c>
      <c r="B360" s="2">
        <v>2019</v>
      </c>
      <c r="C360" s="2">
        <f>COUNTIFS(Games[Team],Games[[#This Row],[Team]],Games[Season],Games[[#This Row],[Season]],Games[Date],"&lt;=" &amp; Games[[#This Row],[Date]])</f>
        <v>30</v>
      </c>
      <c r="D360" s="2" t="s">
        <v>79</v>
      </c>
      <c r="E360" s="2" t="s">
        <v>80</v>
      </c>
      <c r="F360" s="1" t="s">
        <v>40</v>
      </c>
      <c r="G360" s="1" t="s">
        <v>77</v>
      </c>
      <c r="H360" s="1" t="s">
        <v>81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0" s="2">
        <f>Games[[#This Row],[DaysOff]]-Games[[#This Row],[OppDaysOff]]</f>
        <v>-2</v>
      </c>
      <c r="L360" s="2">
        <f>Games[[#This Row],[OppDaysOff]]-Games[[#This Row],[DaysOff]]</f>
        <v>2</v>
      </c>
      <c r="M360" s="1">
        <f>MAX(-16, MIN(16, Games[[#This Row],[RestDiff]]*8))</f>
        <v>-16</v>
      </c>
      <c r="N360" s="1">
        <f>MAX(-16, MIN(16, Games[[#This Row],[OppRestDiff]]*8))</f>
        <v>16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1502.0594266013397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1364.0263591381115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0.53166569514992768</v>
      </c>
      <c r="R360" s="1">
        <v>65</v>
      </c>
      <c r="S360" s="1">
        <v>58</v>
      </c>
      <c r="T360" s="1">
        <v>0</v>
      </c>
      <c r="U360" s="1">
        <f>Games[[#This Row],[PointsFor]]-Games[[#This Row],[PointsAgainst]]</f>
        <v>7</v>
      </c>
      <c r="V360" s="1">
        <f>IF(Games[[#This Row],[MOV]]&gt;0,1,IF(Games[[#This Row],[MOV]]=0,0.5,0))</f>
        <v>1</v>
      </c>
      <c r="W360" s="4">
        <f>((ABS(Games[[#This Row],[MOV]])+5)^0.6)/(12+0.01*(ABS(Games[[#This Row],[PreGmRate]]-Games[[#This Row],[OppPreGmRate]])))*IF(Games[[#This Row],[OT]]=1,0.9,1)</f>
        <v>0.3319264805813848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71.5</v>
      </c>
      <c r="Z360" s="4">
        <f>Games[[#This Row],[K]]*Games[[#This Row],[POMult]]</f>
        <v>71.5</v>
      </c>
      <c r="AA360" s="4">
        <f>(Games[[#This Row],[Keff]]*Games[[#This Row],[MOVMult]])*(Games[[#This Row],[Result]]-Games[[#This Row],[ExpectedWin%]])</f>
        <v>11.114857864425593</v>
      </c>
      <c r="AB360" s="4">
        <f>Games[[#This Row],[PreGmRate]]+Games[[#This Row],[RatingChange]]</f>
        <v>1513.1742844657654</v>
      </c>
      <c r="AC360" s="2">
        <f>IF(Games[[#This Row],[Type]]="R",IF(Games[[#This Row],[Result]]&gt;0.5,1,0),0)</f>
        <v>1</v>
      </c>
      <c r="AD360" s="2">
        <f>IF(Games[[#This Row],[Type]]="R",IF(Games[[#This Row],[Result]]&lt;0.5,1,0),0)</f>
        <v>0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43706</v>
      </c>
      <c r="B361" s="2">
        <v>2019</v>
      </c>
      <c r="C361" s="2">
        <f>COUNTIFS(Games[Team],Games[[#This Row],[Team]],Games[Season],Games[[#This Row],[Season]],Games[Date],"&lt;=" &amp; Games[[#This Row],[Date]])</f>
        <v>30</v>
      </c>
      <c r="D361" s="2" t="s">
        <v>79</v>
      </c>
      <c r="E361" s="2" t="s">
        <v>80</v>
      </c>
      <c r="F361" s="1" t="s">
        <v>77</v>
      </c>
      <c r="G361" s="1" t="s">
        <v>40</v>
      </c>
      <c r="H361" s="1" t="s">
        <v>82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1" s="2">
        <f>Games[[#This Row],[DaysOff]]-Games[[#This Row],[OppDaysOff]]</f>
        <v>2</v>
      </c>
      <c r="L361" s="2">
        <f>Games[[#This Row],[OppDaysOff]]-Games[[#This Row],[DaysOff]]</f>
        <v>-2</v>
      </c>
      <c r="M361" s="1">
        <f>MAX(-16, MIN(16, Games[[#This Row],[RestDiff]]*8))</f>
        <v>16</v>
      </c>
      <c r="N361" s="1">
        <f>MAX(-16, MIN(16, Games[[#This Row],[OppRestDiff]]*8))</f>
        <v>-16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1364.0263591381115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1502.0594266013397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0.46833430485007232</v>
      </c>
      <c r="R361" s="1">
        <v>58</v>
      </c>
      <c r="S361" s="1">
        <v>65</v>
      </c>
      <c r="T361" s="1">
        <v>0</v>
      </c>
      <c r="U361" s="1">
        <f>Games[[#This Row],[PointsFor]]-Games[[#This Row],[PointsAgainst]]</f>
        <v>-7</v>
      </c>
      <c r="V361" s="1">
        <f>IF(Games[[#This Row],[MOV]]&gt;0,1,IF(Games[[#This Row],[MOV]]=0,0.5,0))</f>
        <v>0</v>
      </c>
      <c r="W361" s="4">
        <f>((ABS(Games[[#This Row],[MOV]])+5)^0.6)/(12+0.01*(ABS(Games[[#This Row],[PreGmRate]]-Games[[#This Row],[OppPreGmRate]])))*IF(Games[[#This Row],[OT]]=1,0.9,1)</f>
        <v>0.3319264805813848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71.5</v>
      </c>
      <c r="Z361" s="4">
        <f>Games[[#This Row],[K]]*Games[[#This Row],[POMult]]</f>
        <v>71.5</v>
      </c>
      <c r="AA361" s="4">
        <f>(Games[[#This Row],[Keff]]*Games[[#This Row],[MOVMult]])*(Games[[#This Row],[Result]]-Games[[#This Row],[ExpectedWin%]])</f>
        <v>-11.114857864425593</v>
      </c>
      <c r="AB361" s="4">
        <f>Games[[#This Row],[PreGmRate]]+Games[[#This Row],[RatingChange]]</f>
        <v>1352.9115012736859</v>
      </c>
      <c r="AC361" s="2">
        <f>IF(Games[[#This Row],[Type]]="R",IF(Games[[#This Row],[Result]]&gt;0.5,1,0),0)</f>
        <v>0</v>
      </c>
      <c r="AD361" s="2">
        <f>IF(Games[[#This Row],[Type]]="R",IF(Games[[#This Row],[Result]]&lt;0.5,1,0),0)</f>
        <v>1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43706</v>
      </c>
      <c r="B362" s="2">
        <v>2019</v>
      </c>
      <c r="C362" s="2">
        <f>COUNTIFS(Games[Team],Games[[#This Row],[Team]],Games[Season],Games[[#This Row],[Season]],Games[Date],"&lt;=" &amp; Games[[#This Row],[Date]])</f>
        <v>30</v>
      </c>
      <c r="D362" s="2" t="s">
        <v>79</v>
      </c>
      <c r="E362" s="2" t="s">
        <v>80</v>
      </c>
      <c r="F362" s="1" t="s">
        <v>85</v>
      </c>
      <c r="G362" s="1" t="s">
        <v>75</v>
      </c>
      <c r="H362" s="1" t="s">
        <v>81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2" s="2">
        <f>Games[[#This Row],[DaysOff]]-Games[[#This Row],[OppDaysOff]]</f>
        <v>2</v>
      </c>
      <c r="L362" s="2">
        <f>Games[[#This Row],[OppDaysOff]]-Games[[#This Row],[DaysOff]]</f>
        <v>-2</v>
      </c>
      <c r="M362" s="1">
        <f>MAX(-16, MIN(16, Games[[#This Row],[RestDiff]]*8))</f>
        <v>16</v>
      </c>
      <c r="N362" s="1">
        <f>MAX(-16, MIN(16, Games[[#This Row],[OppRestDiff]]*8))</f>
        <v>-16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1389.7196430229783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1542.6930675643166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0.23506624279679517</v>
      </c>
      <c r="R362" s="1">
        <v>88</v>
      </c>
      <c r="S362" s="1">
        <v>83</v>
      </c>
      <c r="T362" s="1">
        <v>0</v>
      </c>
      <c r="U362" s="1">
        <f>Games[[#This Row],[PointsFor]]-Games[[#This Row],[PointsAgainst]]</f>
        <v>5</v>
      </c>
      <c r="V362" s="1">
        <f>IF(Games[[#This Row],[MOV]]&gt;0,1,IF(Games[[#This Row],[MOV]]=0,0.5,0))</f>
        <v>1</v>
      </c>
      <c r="W362" s="4">
        <f>((ABS(Games[[#This Row],[MOV]])+5)^0.6)/(12+0.01*(ABS(Games[[#This Row],[PreGmRate]]-Games[[#This Row],[OppPreGmRate]])))*IF(Games[[#This Row],[OT]]=1,0.9,1)</f>
        <v>0.2942461125490744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71.5</v>
      </c>
      <c r="Z362" s="4">
        <f>Games[[#This Row],[K]]*Games[[#This Row],[POMult]]</f>
        <v>71.5</v>
      </c>
      <c r="AA362" s="4">
        <f>(Games[[#This Row],[Keff]]*Games[[#This Row],[MOVMult]])*(Games[[#This Row],[Result]]-Games[[#This Row],[ExpectedWin%]])</f>
        <v>16.093133085643942</v>
      </c>
      <c r="AB362" s="4">
        <f>Games[[#This Row],[PreGmRate]]+Games[[#This Row],[RatingChange]]</f>
        <v>1405.8127761086223</v>
      </c>
      <c r="AC362" s="2">
        <f>IF(Games[[#This Row],[Type]]="R",IF(Games[[#This Row],[Result]]&gt;0.5,1,0),0)</f>
        <v>1</v>
      </c>
      <c r="AD362" s="2">
        <f>IF(Games[[#This Row],[Type]]="R",IF(Games[[#This Row],[Result]]&lt;0.5,1,0),0)</f>
        <v>0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43706</v>
      </c>
      <c r="B363" s="2">
        <v>2019</v>
      </c>
      <c r="C363" s="2">
        <f>COUNTIFS(Games[Team],Games[[#This Row],[Team]],Games[Season],Games[[#This Row],[Season]],Games[Date],"&lt;=" &amp; Games[[#This Row],[Date]])</f>
        <v>31</v>
      </c>
      <c r="D363" s="2" t="s">
        <v>79</v>
      </c>
      <c r="E363" s="2" t="s">
        <v>80</v>
      </c>
      <c r="F363" s="1" t="s">
        <v>75</v>
      </c>
      <c r="G363" s="1" t="s">
        <v>85</v>
      </c>
      <c r="H363" s="1" t="s">
        <v>82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3" s="2">
        <f>Games[[#This Row],[DaysOff]]-Games[[#This Row],[OppDaysOff]]</f>
        <v>-2</v>
      </c>
      <c r="L363" s="2">
        <f>Games[[#This Row],[OppDaysOff]]-Games[[#This Row],[DaysOff]]</f>
        <v>2</v>
      </c>
      <c r="M363" s="1">
        <f>MAX(-16, MIN(16, Games[[#This Row],[RestDiff]]*8))</f>
        <v>-16</v>
      </c>
      <c r="N363" s="1">
        <f>MAX(-16, MIN(16, Games[[#This Row],[OppRestDiff]]*8))</f>
        <v>16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1542.6930675643166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1389.7196430229783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0.76493375720320478</v>
      </c>
      <c r="R363" s="1">
        <v>83</v>
      </c>
      <c r="S363" s="1">
        <v>88</v>
      </c>
      <c r="T363" s="1">
        <v>0</v>
      </c>
      <c r="U363" s="1">
        <f>Games[[#This Row],[PointsFor]]-Games[[#This Row],[PointsAgainst]]</f>
        <v>-5</v>
      </c>
      <c r="V363" s="1">
        <f>IF(Games[[#This Row],[MOV]]&gt;0,1,IF(Games[[#This Row],[MOV]]=0,0.5,0))</f>
        <v>0</v>
      </c>
      <c r="W363" s="4">
        <f>((ABS(Games[[#This Row],[MOV]])+5)^0.6)/(12+0.01*(ABS(Games[[#This Row],[PreGmRate]]-Games[[#This Row],[OppPreGmRate]])))*IF(Games[[#This Row],[OT]]=1,0.9,1)</f>
        <v>0.2942461125490744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71.349999999999994</v>
      </c>
      <c r="Z363" s="4">
        <f>Games[[#This Row],[K]]*Games[[#This Row],[POMult]]</f>
        <v>71.349999999999994</v>
      </c>
      <c r="AA363" s="4">
        <f>(Games[[#This Row],[Keff]]*Games[[#This Row],[MOVMult]])*(Games[[#This Row],[Result]]-Games[[#This Row],[ExpectedWin%]])</f>
        <v>-16.059371267981746</v>
      </c>
      <c r="AB363" s="4">
        <f>Games[[#This Row],[PreGmRate]]+Games[[#This Row],[RatingChange]]</f>
        <v>1526.6336962963348</v>
      </c>
      <c r="AC363" s="2">
        <f>IF(Games[[#This Row],[Type]]="R",IF(Games[[#This Row],[Result]]&gt;0.5,1,0),0)</f>
        <v>0</v>
      </c>
      <c r="AD363" s="2">
        <f>IF(Games[[#This Row],[Type]]="R",IF(Games[[#This Row],[Result]]&lt;0.5,1,0),0)</f>
        <v>1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43706</v>
      </c>
      <c r="B364" s="2">
        <v>2019</v>
      </c>
      <c r="C364" s="2">
        <f>COUNTIFS(Games[Team],Games[[#This Row],[Team]],Games[Season],Games[[#This Row],[Season]],Games[Date],"&lt;=" &amp; Games[[#This Row],[Date]])</f>
        <v>30</v>
      </c>
      <c r="D364" s="2" t="s">
        <v>79</v>
      </c>
      <c r="E364" s="2" t="s">
        <v>80</v>
      </c>
      <c r="F364" s="1" t="s">
        <v>63</v>
      </c>
      <c r="G364" s="1" t="s">
        <v>69</v>
      </c>
      <c r="H364" s="1" t="s">
        <v>81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4" s="2">
        <f>Games[[#This Row],[DaysOff]]-Games[[#This Row],[OppDaysOff]]</f>
        <v>0</v>
      </c>
      <c r="L364" s="2">
        <f>Games[[#This Row],[OppDaysOff]]-Games[[#This Row],[DaysOff]]</f>
        <v>0</v>
      </c>
      <c r="M364" s="1">
        <f>MAX(-16, MIN(16, Games[[#This Row],[RestDiff]]*8))</f>
        <v>0</v>
      </c>
      <c r="N364" s="1">
        <f>MAX(-16, MIN(16, Games[[#This Row],[OppRestDiff]]*8))</f>
        <v>0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1572.2554570242094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1414.6707288333646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0.60434144630975561</v>
      </c>
      <c r="R364" s="1">
        <v>87</v>
      </c>
      <c r="S364" s="1">
        <v>83</v>
      </c>
      <c r="T364" s="1">
        <v>0</v>
      </c>
      <c r="U364" s="1">
        <f>Games[[#This Row],[PointsFor]]-Games[[#This Row],[PointsAgainst]]</f>
        <v>4</v>
      </c>
      <c r="V364" s="1">
        <f>IF(Games[[#This Row],[MOV]]&gt;0,1,IF(Games[[#This Row],[MOV]]=0,0.5,0))</f>
        <v>1</v>
      </c>
      <c r="W364" s="4">
        <f>((ABS(Games[[#This Row],[MOV]])+5)^0.6)/(12+0.01*(ABS(Games[[#This Row],[PreGmRate]]-Games[[#This Row],[OppPreGmRate]])))*IF(Games[[#This Row],[OT]]=1,0.9,1)</f>
        <v>0.27528247344287965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71.5</v>
      </c>
      <c r="Z364" s="4">
        <f>Games[[#This Row],[K]]*Games[[#This Row],[POMult]]</f>
        <v>71.5</v>
      </c>
      <c r="AA364" s="4">
        <f>(Games[[#This Row],[Keff]]*Games[[#This Row],[MOVMult]])*(Games[[#This Row],[Result]]-Games[[#This Row],[ExpectedWin%]])</f>
        <v>7.7876273688558246</v>
      </c>
      <c r="AB364" s="4">
        <f>Games[[#This Row],[PreGmRate]]+Games[[#This Row],[RatingChange]]</f>
        <v>1580.0430843930651</v>
      </c>
      <c r="AC364" s="2">
        <f>IF(Games[[#This Row],[Type]]="R",IF(Games[[#This Row],[Result]]&gt;0.5,1,0),0)</f>
        <v>1</v>
      </c>
      <c r="AD364" s="2">
        <f>IF(Games[[#This Row],[Type]]="R",IF(Games[[#This Row],[Result]]&lt;0.5,1,0),0)</f>
        <v>0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43706</v>
      </c>
      <c r="B365" s="2">
        <v>2019</v>
      </c>
      <c r="C365" s="2">
        <f>COUNTIFS(Games[Team],Games[[#This Row],[Team]],Games[Season],Games[[#This Row],[Season]],Games[Date],"&lt;=" &amp; Games[[#This Row],[Date]])</f>
        <v>31</v>
      </c>
      <c r="D365" s="2" t="s">
        <v>79</v>
      </c>
      <c r="E365" s="2" t="s">
        <v>80</v>
      </c>
      <c r="F365" s="1" t="s">
        <v>69</v>
      </c>
      <c r="G365" s="1" t="s">
        <v>63</v>
      </c>
      <c r="H365" s="1" t="s">
        <v>82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5" s="2">
        <f>Games[[#This Row],[DaysOff]]-Games[[#This Row],[OppDaysOff]]</f>
        <v>0</v>
      </c>
      <c r="L365" s="2">
        <f>Games[[#This Row],[OppDaysOff]]-Games[[#This Row],[DaysOff]]</f>
        <v>0</v>
      </c>
      <c r="M365" s="1">
        <f>MAX(-16, MIN(16, Games[[#This Row],[RestDiff]]*8))</f>
        <v>0</v>
      </c>
      <c r="N365" s="1">
        <f>MAX(-16, MIN(16, Games[[#This Row],[OppRestDiff]]*8))</f>
        <v>0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1414.6707288333646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1572.2554570242094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0.39565855369024444</v>
      </c>
      <c r="R365" s="1">
        <v>83</v>
      </c>
      <c r="S365" s="1">
        <v>87</v>
      </c>
      <c r="T365" s="1">
        <v>0</v>
      </c>
      <c r="U365" s="1">
        <f>Games[[#This Row],[PointsFor]]-Games[[#This Row],[PointsAgainst]]</f>
        <v>-4</v>
      </c>
      <c r="V365" s="1">
        <f>IF(Games[[#This Row],[MOV]]&gt;0,1,IF(Games[[#This Row],[MOV]]=0,0.5,0))</f>
        <v>0</v>
      </c>
      <c r="W365" s="4">
        <f>((ABS(Games[[#This Row],[MOV]])+5)^0.6)/(12+0.01*(ABS(Games[[#This Row],[PreGmRate]]-Games[[#This Row],[OppPreGmRate]])))*IF(Games[[#This Row],[OT]]=1,0.9,1)</f>
        <v>0.27528247344287965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71.349999999999994</v>
      </c>
      <c r="Z365" s="4">
        <f>Games[[#This Row],[K]]*Games[[#This Row],[POMult]]</f>
        <v>71.349999999999994</v>
      </c>
      <c r="AA365" s="4">
        <f>(Games[[#This Row],[Keff]]*Games[[#This Row],[MOVMult]])*(Games[[#This Row],[Result]]-Games[[#This Row],[ExpectedWin%]])</f>
        <v>-7.7712896890610237</v>
      </c>
      <c r="AB365" s="4">
        <f>Games[[#This Row],[PreGmRate]]+Games[[#This Row],[RatingChange]]</f>
        <v>1406.8994391443036</v>
      </c>
      <c r="AC365" s="2">
        <f>IF(Games[[#This Row],[Type]]="R",IF(Games[[#This Row],[Result]]&gt;0.5,1,0),0)</f>
        <v>0</v>
      </c>
      <c r="AD365" s="2">
        <f>IF(Games[[#This Row],[Type]]="R",IF(Games[[#This Row],[Result]]&lt;0.5,1,0),0)</f>
        <v>1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43707</v>
      </c>
      <c r="B366" s="2">
        <v>2019</v>
      </c>
      <c r="C366" s="2">
        <f>COUNTIFS(Games[Team],Games[[#This Row],[Team]],Games[Season],Games[[#This Row],[Season]],Games[Date],"&lt;=" &amp; Games[[#This Row],[Date]])</f>
        <v>31</v>
      </c>
      <c r="D366" s="2" t="s">
        <v>79</v>
      </c>
      <c r="E366" s="2" t="s">
        <v>80</v>
      </c>
      <c r="F366" s="1" t="s">
        <v>74</v>
      </c>
      <c r="G366" s="1" t="s">
        <v>60</v>
      </c>
      <c r="H366" s="1" t="s">
        <v>81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6" s="2">
        <f>Games[[#This Row],[DaysOff]]-Games[[#This Row],[OppDaysOff]]</f>
        <v>0</v>
      </c>
      <c r="L366" s="2">
        <f>Games[[#This Row],[OppDaysOff]]-Games[[#This Row],[DaysOff]]</f>
        <v>0</v>
      </c>
      <c r="M366" s="1">
        <f>MAX(-16, MIN(16, Games[[#This Row],[RestDiff]]*8))</f>
        <v>0</v>
      </c>
      <c r="N366" s="1">
        <f>MAX(-16, MIN(16, Games[[#This Row],[OppRestDiff]]*8))</f>
        <v>0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1611.3063798732185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1324.3349772805411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0.76285520067633483</v>
      </c>
      <c r="R366" s="1">
        <v>94</v>
      </c>
      <c r="S366" s="1">
        <v>84</v>
      </c>
      <c r="T366" s="1">
        <v>0</v>
      </c>
      <c r="U366" s="1">
        <f>Games[[#This Row],[PointsFor]]-Games[[#This Row],[PointsAgainst]]</f>
        <v>10</v>
      </c>
      <c r="V366" s="1">
        <f>IF(Games[[#This Row],[MOV]]&gt;0,1,IF(Games[[#This Row],[MOV]]=0,0.5,0))</f>
        <v>1</v>
      </c>
      <c r="W366" s="4">
        <f>((ABS(Games[[#This Row],[MOV]])+5)^0.6)/(12+0.01*(ABS(Games[[#This Row],[PreGmRate]]-Games[[#This Row],[OppPreGmRate]])))*IF(Games[[#This Row],[OT]]=1,0.9,1)</f>
        <v>0.3414696734001878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71.349999999999994</v>
      </c>
      <c r="Z366" s="4">
        <f>Games[[#This Row],[K]]*Games[[#This Row],[POMult]]</f>
        <v>71.349999999999994</v>
      </c>
      <c r="AA366" s="4">
        <f>(Games[[#This Row],[Keff]]*Games[[#This Row],[MOVMult]])*(Games[[#This Row],[Result]]-Games[[#This Row],[ExpectedWin%]])</f>
        <v>5.777762974336718</v>
      </c>
      <c r="AB366" s="4">
        <f>Games[[#This Row],[PreGmRate]]+Games[[#This Row],[RatingChange]]</f>
        <v>1617.0841428475551</v>
      </c>
      <c r="AC366" s="2">
        <f>IF(Games[[#This Row],[Type]]="R",IF(Games[[#This Row],[Result]]&gt;0.5,1,0),0)</f>
        <v>1</v>
      </c>
      <c r="AD366" s="2">
        <f>IF(Games[[#This Row],[Type]]="R",IF(Games[[#This Row],[Result]]&lt;0.5,1,0),0)</f>
        <v>0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43707</v>
      </c>
      <c r="B367" s="2">
        <v>2019</v>
      </c>
      <c r="C367" s="2">
        <f>COUNTIFS(Games[Team],Games[[#This Row],[Team]],Games[Season],Games[[#This Row],[Season]],Games[Date],"&lt;=" &amp; Games[[#This Row],[Date]])</f>
        <v>31</v>
      </c>
      <c r="D367" s="2" t="s">
        <v>79</v>
      </c>
      <c r="E367" s="2" t="s">
        <v>80</v>
      </c>
      <c r="F367" s="1" t="s">
        <v>60</v>
      </c>
      <c r="G367" s="1" t="s">
        <v>74</v>
      </c>
      <c r="H367" s="1" t="s">
        <v>82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7" s="2">
        <f>Games[[#This Row],[DaysOff]]-Games[[#This Row],[OppDaysOff]]</f>
        <v>0</v>
      </c>
      <c r="L367" s="2">
        <f>Games[[#This Row],[OppDaysOff]]-Games[[#This Row],[DaysOff]]</f>
        <v>0</v>
      </c>
      <c r="M367" s="1">
        <f>MAX(-16, MIN(16, Games[[#This Row],[RestDiff]]*8))</f>
        <v>0</v>
      </c>
      <c r="N367" s="1">
        <f>MAX(-16, MIN(16, Games[[#This Row],[OppRestDiff]]*8))</f>
        <v>0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1324.3349772805411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1611.3063798732185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0.23714479932366517</v>
      </c>
      <c r="R367" s="1">
        <v>84</v>
      </c>
      <c r="S367" s="1">
        <v>94</v>
      </c>
      <c r="T367" s="1">
        <v>0</v>
      </c>
      <c r="U367" s="1">
        <f>Games[[#This Row],[PointsFor]]-Games[[#This Row],[PointsAgainst]]</f>
        <v>-10</v>
      </c>
      <c r="V367" s="1">
        <f>IF(Games[[#This Row],[MOV]]&gt;0,1,IF(Games[[#This Row],[MOV]]=0,0.5,0))</f>
        <v>0</v>
      </c>
      <c r="W367" s="4">
        <f>((ABS(Games[[#This Row],[MOV]])+5)^0.6)/(12+0.01*(ABS(Games[[#This Row],[PreGmRate]]-Games[[#This Row],[OppPreGmRate]])))*IF(Games[[#This Row],[OT]]=1,0.9,1)</f>
        <v>0.3414696734001878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71.349999999999994</v>
      </c>
      <c r="Z367" s="4">
        <f>Games[[#This Row],[K]]*Games[[#This Row],[POMult]]</f>
        <v>71.349999999999994</v>
      </c>
      <c r="AA367" s="4">
        <f>(Games[[#This Row],[Keff]]*Games[[#This Row],[MOVMult]])*(Games[[#This Row],[Result]]-Games[[#This Row],[ExpectedWin%]])</f>
        <v>-5.777762974336718</v>
      </c>
      <c r="AB367" s="4">
        <f>Games[[#This Row],[PreGmRate]]+Games[[#This Row],[RatingChange]]</f>
        <v>1318.5572143062045</v>
      </c>
      <c r="AC367" s="2">
        <f>IF(Games[[#This Row],[Type]]="R",IF(Games[[#This Row],[Result]]&gt;0.5,1,0),0)</f>
        <v>0</v>
      </c>
      <c r="AD367" s="2">
        <f>IF(Games[[#This Row],[Type]]="R",IF(Games[[#This Row],[Result]]&lt;0.5,1,0),0)</f>
        <v>1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43708</v>
      </c>
      <c r="B368" s="2">
        <v>2019</v>
      </c>
      <c r="C368" s="2">
        <f>COUNTIFS(Games[Team],Games[[#This Row],[Team]],Games[Season],Games[[#This Row],[Season]],Games[Date],"&lt;=" &amp; Games[[#This Row],[Date]])</f>
        <v>31</v>
      </c>
      <c r="D368" s="2" t="s">
        <v>79</v>
      </c>
      <c r="E368" s="2" t="s">
        <v>80</v>
      </c>
      <c r="F368" s="1" t="s">
        <v>65</v>
      </c>
      <c r="G368" s="1" t="s">
        <v>85</v>
      </c>
      <c r="H368" s="1" t="s">
        <v>81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8" s="2">
        <f>Games[[#This Row],[DaysOff]]-Games[[#This Row],[OppDaysOff]]</f>
        <v>2</v>
      </c>
      <c r="L368" s="2">
        <f>Games[[#This Row],[OppDaysOff]]-Games[[#This Row],[DaysOff]]</f>
        <v>-2</v>
      </c>
      <c r="M368" s="1">
        <f>MAX(-16, MIN(16, Games[[#This Row],[RestDiff]]*8))</f>
        <v>16</v>
      </c>
      <c r="N368" s="1">
        <f>MAX(-16, MIN(16, Games[[#This Row],[OppRestDiff]]*8))</f>
        <v>-16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1690.5043214152358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1405.8127761086223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0.79240444895902684</v>
      </c>
      <c r="R368" s="1">
        <v>91</v>
      </c>
      <c r="S368" s="1">
        <v>85</v>
      </c>
      <c r="T368" s="1">
        <v>0</v>
      </c>
      <c r="U368" s="1">
        <f>Games[[#This Row],[PointsFor]]-Games[[#This Row],[PointsAgainst]]</f>
        <v>6</v>
      </c>
      <c r="V368" s="1">
        <f>IF(Games[[#This Row],[MOV]]&gt;0,1,IF(Games[[#This Row],[MOV]]=0,0.5,0))</f>
        <v>1</v>
      </c>
      <c r="W368" s="4">
        <f>((ABS(Games[[#This Row],[MOV]])+5)^0.6)/(12+0.01*(ABS(Games[[#This Row],[PreGmRate]]-Games[[#This Row],[OppPreGmRate]])))*IF(Games[[#This Row],[OT]]=1,0.9,1)</f>
        <v>0.28392221579071203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71.349999999999994</v>
      </c>
      <c r="Z368" s="4">
        <f>Games[[#This Row],[K]]*Games[[#This Row],[POMult]]</f>
        <v>71.349999999999994</v>
      </c>
      <c r="AA368" s="4">
        <f>(Games[[#This Row],[Keff]]*Games[[#This Row],[MOVMult]])*(Games[[#This Row],[Result]]-Games[[#This Row],[ExpectedWin%]])</f>
        <v>4.20543955372308</v>
      </c>
      <c r="AB368" s="4">
        <f>Games[[#This Row],[PreGmRate]]+Games[[#This Row],[RatingChange]]</f>
        <v>1694.709760968959</v>
      </c>
      <c r="AC368" s="2">
        <f>IF(Games[[#This Row],[Type]]="R",IF(Games[[#This Row],[Result]]&gt;0.5,1,0),0)</f>
        <v>1</v>
      </c>
      <c r="AD368" s="2">
        <f>IF(Games[[#This Row],[Type]]="R",IF(Games[[#This Row],[Result]]&lt;0.5,1,0),0)</f>
        <v>0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43708</v>
      </c>
      <c r="B369" s="2">
        <v>2019</v>
      </c>
      <c r="C369" s="2">
        <f>COUNTIFS(Games[Team],Games[[#This Row],[Team]],Games[Season],Games[[#This Row],[Season]],Games[Date],"&lt;=" &amp; Games[[#This Row],[Date]])</f>
        <v>31</v>
      </c>
      <c r="D369" s="2" t="s">
        <v>79</v>
      </c>
      <c r="E369" s="2" t="s">
        <v>80</v>
      </c>
      <c r="F369" s="1" t="s">
        <v>85</v>
      </c>
      <c r="G369" s="1" t="s">
        <v>65</v>
      </c>
      <c r="H369" s="1" t="s">
        <v>82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9" s="2">
        <f>Games[[#This Row],[DaysOff]]-Games[[#This Row],[OppDaysOff]]</f>
        <v>-2</v>
      </c>
      <c r="L369" s="2">
        <f>Games[[#This Row],[OppDaysOff]]-Games[[#This Row],[DaysOff]]</f>
        <v>2</v>
      </c>
      <c r="M369" s="1">
        <f>MAX(-16, MIN(16, Games[[#This Row],[RestDiff]]*8))</f>
        <v>-16</v>
      </c>
      <c r="N369" s="1">
        <f>MAX(-16, MIN(16, Games[[#This Row],[OppRestDiff]]*8))</f>
        <v>16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1405.8127761086223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1690.5043214152358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0.2075955510409731</v>
      </c>
      <c r="R369" s="1">
        <v>85</v>
      </c>
      <c r="S369" s="1">
        <v>91</v>
      </c>
      <c r="T369" s="1">
        <v>0</v>
      </c>
      <c r="U369" s="1">
        <f>Games[[#This Row],[PointsFor]]-Games[[#This Row],[PointsAgainst]]</f>
        <v>-6</v>
      </c>
      <c r="V369" s="1">
        <f>IF(Games[[#This Row],[MOV]]&gt;0,1,IF(Games[[#This Row],[MOV]]=0,0.5,0))</f>
        <v>0</v>
      </c>
      <c r="W369" s="4">
        <f>((ABS(Games[[#This Row],[MOV]])+5)^0.6)/(12+0.01*(ABS(Games[[#This Row],[PreGmRate]]-Games[[#This Row],[OppPreGmRate]])))*IF(Games[[#This Row],[OT]]=1,0.9,1)</f>
        <v>0.28392221579071203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71.349999999999994</v>
      </c>
      <c r="Z369" s="4">
        <f>Games[[#This Row],[K]]*Games[[#This Row],[POMult]]</f>
        <v>71.349999999999994</v>
      </c>
      <c r="AA369" s="4">
        <f>(Games[[#This Row],[Keff]]*Games[[#This Row],[MOVMult]])*(Games[[#This Row],[Result]]-Games[[#This Row],[ExpectedWin%]])</f>
        <v>-4.2054395537230782</v>
      </c>
      <c r="AB369" s="4">
        <f>Games[[#This Row],[PreGmRate]]+Games[[#This Row],[RatingChange]]</f>
        <v>1401.6073365548991</v>
      </c>
      <c r="AC369" s="2">
        <f>IF(Games[[#This Row],[Type]]="R",IF(Games[[#This Row],[Result]]&gt;0.5,1,0),0)</f>
        <v>0</v>
      </c>
      <c r="AD369" s="2">
        <f>IF(Games[[#This Row],[Type]]="R",IF(Games[[#This Row],[Result]]&lt;0.5,1,0),0)</f>
        <v>1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43708</v>
      </c>
      <c r="B370" s="2">
        <v>2019</v>
      </c>
      <c r="C370" s="2">
        <f>COUNTIFS(Games[Team],Games[[#This Row],[Team]],Games[Season],Games[[#This Row],[Season]],Games[Date],"&lt;=" &amp; Games[[#This Row],[Date]])</f>
        <v>31</v>
      </c>
      <c r="D370" s="2" t="s">
        <v>79</v>
      </c>
      <c r="E370" s="2" t="s">
        <v>80</v>
      </c>
      <c r="F370" s="1" t="s">
        <v>63</v>
      </c>
      <c r="G370" s="1" t="s">
        <v>86</v>
      </c>
      <c r="H370" s="1" t="s">
        <v>81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0" s="2">
        <f>Games[[#This Row],[DaysOff]]-Games[[#This Row],[OppDaysOff]]</f>
        <v>-2</v>
      </c>
      <c r="L370" s="2">
        <f>Games[[#This Row],[OppDaysOff]]-Games[[#This Row],[DaysOff]]</f>
        <v>2</v>
      </c>
      <c r="M370" s="1">
        <f>MAX(-16, MIN(16, Games[[#This Row],[RestDiff]]*8))</f>
        <v>-16</v>
      </c>
      <c r="N370" s="1">
        <f>MAX(-16, MIN(16, Games[[#This Row],[OppRestDiff]]*8))</f>
        <v>16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1580.0430843930651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1535.888476003712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0.39805513729724201</v>
      </c>
      <c r="R370" s="1">
        <v>86</v>
      </c>
      <c r="S370" s="1">
        <v>92</v>
      </c>
      <c r="T370" s="1">
        <v>0</v>
      </c>
      <c r="U370" s="1">
        <f>Games[[#This Row],[PointsFor]]-Games[[#This Row],[PointsAgainst]]</f>
        <v>-6</v>
      </c>
      <c r="V370" s="1">
        <f>IF(Games[[#This Row],[MOV]]&gt;0,1,IF(Games[[#This Row],[MOV]]=0,0.5,0))</f>
        <v>0</v>
      </c>
      <c r="W370" s="4">
        <f>((ABS(Games[[#This Row],[MOV]])+5)^0.6)/(12+0.01*(ABS(Games[[#This Row],[PreGmRate]]-Games[[#This Row],[OppPreGmRate]])))*IF(Games[[#This Row],[OT]]=1,0.9,1)</f>
        <v>0.33881393073397814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71.349999999999994</v>
      </c>
      <c r="Z370" s="4">
        <f>Games[[#This Row],[K]]*Games[[#This Row],[POMult]]</f>
        <v>71.349999999999994</v>
      </c>
      <c r="AA370" s="4">
        <f>(Games[[#This Row],[Keff]]*Games[[#This Row],[MOVMult]])*(Games[[#This Row],[Result]]-Games[[#This Row],[ExpectedWin%]])</f>
        <v>-9.6227337448745516</v>
      </c>
      <c r="AB370" s="4">
        <f>Games[[#This Row],[PreGmRate]]+Games[[#This Row],[RatingChange]]</f>
        <v>1570.4203506481906</v>
      </c>
      <c r="AC370" s="2">
        <f>IF(Games[[#This Row],[Type]]="R",IF(Games[[#This Row],[Result]]&gt;0.5,1,0),0)</f>
        <v>0</v>
      </c>
      <c r="AD370" s="2">
        <f>IF(Games[[#This Row],[Type]]="R",IF(Games[[#This Row],[Result]]&lt;0.5,1,0),0)</f>
        <v>1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43708</v>
      </c>
      <c r="B371" s="2">
        <v>2019</v>
      </c>
      <c r="C371" s="2">
        <f>COUNTIFS(Games[Team],Games[[#This Row],[Team]],Games[Season],Games[[#This Row],[Season]],Games[Date],"&lt;=" &amp; Games[[#This Row],[Date]])</f>
        <v>32</v>
      </c>
      <c r="D371" s="2" t="s">
        <v>79</v>
      </c>
      <c r="E371" s="2" t="s">
        <v>80</v>
      </c>
      <c r="F371" s="1" t="s">
        <v>86</v>
      </c>
      <c r="G371" s="1" t="s">
        <v>63</v>
      </c>
      <c r="H371" s="1" t="s">
        <v>82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1" s="2">
        <f>Games[[#This Row],[DaysOff]]-Games[[#This Row],[OppDaysOff]]</f>
        <v>2</v>
      </c>
      <c r="L371" s="2">
        <f>Games[[#This Row],[OppDaysOff]]-Games[[#This Row],[DaysOff]]</f>
        <v>-2</v>
      </c>
      <c r="M371" s="1">
        <f>MAX(-16, MIN(16, Games[[#This Row],[RestDiff]]*8))</f>
        <v>16</v>
      </c>
      <c r="N371" s="1">
        <f>MAX(-16, MIN(16, Games[[#This Row],[OppRestDiff]]*8))</f>
        <v>-16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1535.888476003712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1580.0430843930651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0.60194486270275804</v>
      </c>
      <c r="R371" s="1">
        <v>92</v>
      </c>
      <c r="S371" s="1">
        <v>86</v>
      </c>
      <c r="T371" s="1">
        <v>0</v>
      </c>
      <c r="U371" s="1">
        <f>Games[[#This Row],[PointsFor]]-Games[[#This Row],[PointsAgainst]]</f>
        <v>6</v>
      </c>
      <c r="V371" s="1">
        <f>IF(Games[[#This Row],[MOV]]&gt;0,1,IF(Games[[#This Row],[MOV]]=0,0.5,0))</f>
        <v>1</v>
      </c>
      <c r="W371" s="4">
        <f>((ABS(Games[[#This Row],[MOV]])+5)^0.6)/(12+0.01*(ABS(Games[[#This Row],[PreGmRate]]-Games[[#This Row],[OppPreGmRate]])))*IF(Games[[#This Row],[OT]]=1,0.9,1)</f>
        <v>0.33881393073397814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71.2</v>
      </c>
      <c r="Z371" s="4">
        <f>Games[[#This Row],[K]]*Games[[#This Row],[POMult]]</f>
        <v>71.2</v>
      </c>
      <c r="AA371" s="4">
        <f>(Games[[#This Row],[Keff]]*Games[[#This Row],[MOVMult]])*(Games[[#This Row],[Result]]-Games[[#This Row],[ExpectedWin%]])</f>
        <v>9.6025037510170712</v>
      </c>
      <c r="AB371" s="4">
        <f>Games[[#This Row],[PreGmRate]]+Games[[#This Row],[RatingChange]]</f>
        <v>1545.4909797547291</v>
      </c>
      <c r="AC371" s="2">
        <f>IF(Games[[#This Row],[Type]]="R",IF(Games[[#This Row],[Result]]&gt;0.5,1,0),0)</f>
        <v>1</v>
      </c>
      <c r="AD371" s="2">
        <f>IF(Games[[#This Row],[Type]]="R",IF(Games[[#This Row],[Result]]&lt;0.5,1,0),0)</f>
        <v>0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43709</v>
      </c>
      <c r="B372" s="2">
        <v>2019</v>
      </c>
      <c r="C372" s="2">
        <f>COUNTIFS(Games[Team],Games[[#This Row],[Team]],Games[Season],Games[[#This Row],[Season]],Games[Date],"&lt;=" &amp; Games[[#This Row],[Date]])</f>
        <v>31</v>
      </c>
      <c r="D372" s="2" t="s">
        <v>79</v>
      </c>
      <c r="E372" s="2" t="s">
        <v>80</v>
      </c>
      <c r="F372" s="1" t="s">
        <v>40</v>
      </c>
      <c r="G372" s="1" t="s">
        <v>75</v>
      </c>
      <c r="H372" s="1" t="s">
        <v>81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2" s="2">
        <f>Games[[#This Row],[DaysOff]]-Games[[#This Row],[OppDaysOff]]</f>
        <v>0</v>
      </c>
      <c r="L372" s="2">
        <f>Games[[#This Row],[OppDaysOff]]-Games[[#This Row],[DaysOff]]</f>
        <v>0</v>
      </c>
      <c r="M372" s="1">
        <f>MAX(-16, MIN(16, Games[[#This Row],[RestDiff]]*8))</f>
        <v>0</v>
      </c>
      <c r="N372" s="1">
        <f>MAX(-16, MIN(16, Games[[#This Row],[OppRestDiff]]*8))</f>
        <v>0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1513.1742844657654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1526.6336962963348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0.36331114373587453</v>
      </c>
      <c r="R372" s="1">
        <v>78</v>
      </c>
      <c r="S372" s="1">
        <v>105</v>
      </c>
      <c r="T372" s="1">
        <v>0</v>
      </c>
      <c r="U372" s="1">
        <f>Games[[#This Row],[PointsFor]]-Games[[#This Row],[PointsAgainst]]</f>
        <v>-27</v>
      </c>
      <c r="V372" s="1">
        <f>IF(Games[[#This Row],[MOV]]&gt;0,1,IF(Games[[#This Row],[MOV]]=0,0.5,0))</f>
        <v>0</v>
      </c>
      <c r="W372" s="4">
        <f>((ABS(Games[[#This Row],[MOV]])+5)^0.6)/(12+0.01*(ABS(Games[[#This Row],[PreGmRate]]-Games[[#This Row],[OppPreGmRate]])))*IF(Games[[#This Row],[OT]]=1,0.9,1)</f>
        <v>0.65927215381119042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71.349999999999994</v>
      </c>
      <c r="Z372" s="4">
        <f>Games[[#This Row],[K]]*Games[[#This Row],[POMult]]</f>
        <v>71.349999999999994</v>
      </c>
      <c r="AA372" s="4">
        <f>(Games[[#This Row],[Keff]]*Games[[#This Row],[MOVMult]])*(Games[[#This Row],[Result]]-Games[[#This Row],[ExpectedWin%]])</f>
        <v>-17.089817658721369</v>
      </c>
      <c r="AB372" s="4">
        <f>Games[[#This Row],[PreGmRate]]+Games[[#This Row],[RatingChange]]</f>
        <v>1496.084466807044</v>
      </c>
      <c r="AC372" s="2">
        <f>IF(Games[[#This Row],[Type]]="R",IF(Games[[#This Row],[Result]]&gt;0.5,1,0),0)</f>
        <v>0</v>
      </c>
      <c r="AD372" s="2">
        <f>IF(Games[[#This Row],[Type]]="R",IF(Games[[#This Row],[Result]]&lt;0.5,1,0),0)</f>
        <v>1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43709</v>
      </c>
      <c r="B373" s="2">
        <v>2019</v>
      </c>
      <c r="C373" s="2">
        <f>COUNTIFS(Games[Team],Games[[#This Row],[Team]],Games[Season],Games[[#This Row],[Season]],Games[Date],"&lt;=" &amp; Games[[#This Row],[Date]])</f>
        <v>32</v>
      </c>
      <c r="D373" s="2" t="s">
        <v>79</v>
      </c>
      <c r="E373" s="2" t="s">
        <v>80</v>
      </c>
      <c r="F373" s="1" t="s">
        <v>75</v>
      </c>
      <c r="G373" s="1" t="s">
        <v>40</v>
      </c>
      <c r="H373" s="1" t="s">
        <v>82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3" s="2">
        <f>Games[[#This Row],[DaysOff]]-Games[[#This Row],[OppDaysOff]]</f>
        <v>0</v>
      </c>
      <c r="L373" s="2">
        <f>Games[[#This Row],[OppDaysOff]]-Games[[#This Row],[DaysOff]]</f>
        <v>0</v>
      </c>
      <c r="M373" s="1">
        <f>MAX(-16, MIN(16, Games[[#This Row],[RestDiff]]*8))</f>
        <v>0</v>
      </c>
      <c r="N373" s="1">
        <f>MAX(-16, MIN(16, Games[[#This Row],[OppRestDiff]]*8))</f>
        <v>0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1526.6336962963348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1513.1742844657654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0.63668885626412552</v>
      </c>
      <c r="R373" s="1">
        <v>105</v>
      </c>
      <c r="S373" s="1">
        <v>78</v>
      </c>
      <c r="T373" s="1">
        <v>0</v>
      </c>
      <c r="U373" s="1">
        <f>Games[[#This Row],[PointsFor]]-Games[[#This Row],[PointsAgainst]]</f>
        <v>27</v>
      </c>
      <c r="V373" s="1">
        <f>IF(Games[[#This Row],[MOV]]&gt;0,1,IF(Games[[#This Row],[MOV]]=0,0.5,0))</f>
        <v>1</v>
      </c>
      <c r="W373" s="4">
        <f>((ABS(Games[[#This Row],[MOV]])+5)^0.6)/(12+0.01*(ABS(Games[[#This Row],[PreGmRate]]-Games[[#This Row],[OppPreGmRate]])))*IF(Games[[#This Row],[OT]]=1,0.9,1)</f>
        <v>0.65927215381119042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71.2</v>
      </c>
      <c r="Z373" s="4">
        <f>Games[[#This Row],[K]]*Games[[#This Row],[POMult]]</f>
        <v>71.2</v>
      </c>
      <c r="AA373" s="4">
        <f>(Games[[#This Row],[Keff]]*Games[[#This Row],[MOVMult]])*(Games[[#This Row],[Result]]-Games[[#This Row],[ExpectedWin%]])</f>
        <v>17.053889520686216</v>
      </c>
      <c r="AB373" s="4">
        <f>Games[[#This Row],[PreGmRate]]+Games[[#This Row],[RatingChange]]</f>
        <v>1543.687585817021</v>
      </c>
      <c r="AC373" s="2">
        <f>IF(Games[[#This Row],[Type]]="R",IF(Games[[#This Row],[Result]]&gt;0.5,1,0),0)</f>
        <v>1</v>
      </c>
      <c r="AD373" s="2">
        <f>IF(Games[[#This Row],[Type]]="R",IF(Games[[#This Row],[Result]]&lt;0.5,1,0),0)</f>
        <v>0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43709</v>
      </c>
      <c r="B374" s="2">
        <v>2019</v>
      </c>
      <c r="C374" s="2">
        <f>COUNTIFS(Games[Team],Games[[#This Row],[Team]],Games[Season],Games[[#This Row],[Season]],Games[Date],"&lt;=" &amp; Games[[#This Row],[Date]])</f>
        <v>32</v>
      </c>
      <c r="D374" s="2" t="s">
        <v>79</v>
      </c>
      <c r="E374" s="2" t="s">
        <v>80</v>
      </c>
      <c r="F374" s="1" t="s">
        <v>69</v>
      </c>
      <c r="G374" s="1" t="s">
        <v>67</v>
      </c>
      <c r="H374" s="1" t="s">
        <v>81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74" s="2">
        <f>Games[[#This Row],[DaysOff]]-Games[[#This Row],[OppDaysOff]]</f>
        <v>-2</v>
      </c>
      <c r="L374" s="2">
        <f>Games[[#This Row],[OppDaysOff]]-Games[[#This Row],[DaysOff]]</f>
        <v>2</v>
      </c>
      <c r="M374" s="1">
        <f>MAX(-16, MIN(16, Games[[#This Row],[RestDiff]]*8))</f>
        <v>-16</v>
      </c>
      <c r="N374" s="1">
        <f>MAX(-16, MIN(16, Games[[#This Row],[OppRestDiff]]*8))</f>
        <v>16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1406.8994391443036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1541.4583722200284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0.19118430528455851</v>
      </c>
      <c r="R374" s="1">
        <v>73</v>
      </c>
      <c r="S374" s="1">
        <v>81</v>
      </c>
      <c r="T374" s="1">
        <v>0</v>
      </c>
      <c r="U374" s="1">
        <f>Games[[#This Row],[PointsFor]]-Games[[#This Row],[PointsAgainst]]</f>
        <v>-8</v>
      </c>
      <c r="V374" s="1">
        <f>IF(Games[[#This Row],[MOV]]&gt;0,1,IF(Games[[#This Row],[MOV]]=0,0.5,0))</f>
        <v>0</v>
      </c>
      <c r="W374" s="4">
        <f>((ABS(Games[[#This Row],[MOV]])+5)^0.6)/(12+0.01*(ABS(Games[[#This Row],[PreGmRate]]-Games[[#This Row],[OppPreGmRate]])))*IF(Games[[#This Row],[OT]]=1,0.9,1)</f>
        <v>0.34916303091215101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71.2</v>
      </c>
      <c r="Z374" s="4">
        <f>Games[[#This Row],[K]]*Games[[#This Row],[POMult]]</f>
        <v>71.2</v>
      </c>
      <c r="AA374" s="4">
        <f>(Games[[#This Row],[Keff]]*Games[[#This Row],[MOVMult]])*(Games[[#This Row],[Result]]-Games[[#This Row],[ExpectedWin%]])</f>
        <v>-4.7529197945145185</v>
      </c>
      <c r="AB374" s="4">
        <f>Games[[#This Row],[PreGmRate]]+Games[[#This Row],[RatingChange]]</f>
        <v>1402.1465193497891</v>
      </c>
      <c r="AC374" s="2">
        <f>IF(Games[[#This Row],[Type]]="R",IF(Games[[#This Row],[Result]]&gt;0.5,1,0),0)</f>
        <v>0</v>
      </c>
      <c r="AD374" s="2">
        <f>IF(Games[[#This Row],[Type]]="R",IF(Games[[#This Row],[Result]]&lt;0.5,1,0),0)</f>
        <v>1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43709</v>
      </c>
      <c r="B375" s="2">
        <v>2019</v>
      </c>
      <c r="C375" s="2">
        <f>COUNTIFS(Games[Team],Games[[#This Row],[Team]],Games[Season],Games[[#This Row],[Season]],Games[Date],"&lt;=" &amp; Games[[#This Row],[Date]])</f>
        <v>32</v>
      </c>
      <c r="D375" s="2" t="s">
        <v>79</v>
      </c>
      <c r="E375" s="2" t="s">
        <v>80</v>
      </c>
      <c r="F375" s="1" t="s">
        <v>67</v>
      </c>
      <c r="G375" s="1" t="s">
        <v>69</v>
      </c>
      <c r="H375" s="1" t="s">
        <v>82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4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5" s="2">
        <f>Games[[#This Row],[DaysOff]]-Games[[#This Row],[OppDaysOff]]</f>
        <v>2</v>
      </c>
      <c r="L375" s="2">
        <f>Games[[#This Row],[OppDaysOff]]-Games[[#This Row],[DaysOff]]</f>
        <v>-2</v>
      </c>
      <c r="M375" s="1">
        <f>MAX(-16, MIN(16, Games[[#This Row],[RestDiff]]*8))</f>
        <v>16</v>
      </c>
      <c r="N375" s="1">
        <f>MAX(-16, MIN(16, Games[[#This Row],[OppRestDiff]]*8))</f>
        <v>-16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1541.4583722200284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1406.8994391443036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0.80881569471544146</v>
      </c>
      <c r="R375" s="1">
        <v>81</v>
      </c>
      <c r="S375" s="1">
        <v>73</v>
      </c>
      <c r="T375" s="1">
        <v>0</v>
      </c>
      <c r="U375" s="1">
        <f>Games[[#This Row],[PointsFor]]-Games[[#This Row],[PointsAgainst]]</f>
        <v>8</v>
      </c>
      <c r="V375" s="1">
        <f>IF(Games[[#This Row],[MOV]]&gt;0,1,IF(Games[[#This Row],[MOV]]=0,0.5,0))</f>
        <v>1</v>
      </c>
      <c r="W375" s="4">
        <f>((ABS(Games[[#This Row],[MOV]])+5)^0.6)/(12+0.01*(ABS(Games[[#This Row],[PreGmRate]]-Games[[#This Row],[OppPreGmRate]])))*IF(Games[[#This Row],[OT]]=1,0.9,1)</f>
        <v>0.34916303091215101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71.2</v>
      </c>
      <c r="Z375" s="4">
        <f>Games[[#This Row],[K]]*Games[[#This Row],[POMult]]</f>
        <v>71.2</v>
      </c>
      <c r="AA375" s="4">
        <f>(Games[[#This Row],[Keff]]*Games[[#This Row],[MOVMult]])*(Games[[#This Row],[Result]]-Games[[#This Row],[ExpectedWin%]])</f>
        <v>4.7529197945145194</v>
      </c>
      <c r="AB375" s="4">
        <f>Games[[#This Row],[PreGmRate]]+Games[[#This Row],[RatingChange]]</f>
        <v>1546.211292014543</v>
      </c>
      <c r="AC375" s="2">
        <f>IF(Games[[#This Row],[Type]]="R",IF(Games[[#This Row],[Result]]&gt;0.5,1,0),0)</f>
        <v>1</v>
      </c>
      <c r="AD375" s="2">
        <f>IF(Games[[#This Row],[Type]]="R",IF(Games[[#This Row],[Result]]&lt;0.5,1,0),0)</f>
        <v>0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43709</v>
      </c>
      <c r="B376" s="2">
        <v>2019</v>
      </c>
      <c r="C376" s="2">
        <f>COUNTIFS(Games[Team],Games[[#This Row],[Team]],Games[Season],Games[[#This Row],[Season]],Games[Date],"&lt;=" &amp; Games[[#This Row],[Date]])</f>
        <v>31</v>
      </c>
      <c r="D376" s="2" t="s">
        <v>79</v>
      </c>
      <c r="E376" s="2" t="s">
        <v>80</v>
      </c>
      <c r="F376" s="1" t="s">
        <v>77</v>
      </c>
      <c r="G376" s="1" t="s">
        <v>71</v>
      </c>
      <c r="H376" s="1" t="s">
        <v>81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76" s="2">
        <f>Games[[#This Row],[DaysOff]]-Games[[#This Row],[OppDaysOff]]</f>
        <v>-2</v>
      </c>
      <c r="L376" s="2">
        <f>Games[[#This Row],[OppDaysOff]]-Games[[#This Row],[DaysOff]]</f>
        <v>2</v>
      </c>
      <c r="M376" s="1">
        <f>MAX(-16, MIN(16, Games[[#This Row],[RestDiff]]*8))</f>
        <v>-16</v>
      </c>
      <c r="N376" s="1">
        <f>MAX(-16, MIN(16, Games[[#This Row],[OppRestDiff]]*8))</f>
        <v>16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1352.9115012736859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1511.5304436827107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0.17067744109865121</v>
      </c>
      <c r="R376" s="1">
        <v>75</v>
      </c>
      <c r="S376" s="1">
        <v>92</v>
      </c>
      <c r="T376" s="1">
        <v>0</v>
      </c>
      <c r="U376" s="1">
        <f>Games[[#This Row],[PointsFor]]-Games[[#This Row],[PointsAgainst]]</f>
        <v>-17</v>
      </c>
      <c r="V376" s="1">
        <f>IF(Games[[#This Row],[MOV]]&gt;0,1,IF(Games[[#This Row],[MOV]]=0,0.5,0))</f>
        <v>0</v>
      </c>
      <c r="W376" s="4">
        <f>((ABS(Games[[#This Row],[MOV]])+5)^0.6)/(12+0.01*(ABS(Games[[#This Row],[PreGmRate]]-Games[[#This Row],[OppPreGmRate]])))*IF(Games[[#This Row],[OT]]=1,0.9,1)</f>
        <v>0.47027938662880858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71.349999999999994</v>
      </c>
      <c r="Z376" s="4">
        <f>Games[[#This Row],[K]]*Games[[#This Row],[POMult]]</f>
        <v>71.349999999999994</v>
      </c>
      <c r="AA376" s="4">
        <f>(Games[[#This Row],[Keff]]*Games[[#This Row],[MOVMult]])*(Games[[#This Row],[Result]]-Games[[#This Row],[ExpectedWin%]])</f>
        <v>-5.726984972907565</v>
      </c>
      <c r="AB376" s="4">
        <f>Games[[#This Row],[PreGmRate]]+Games[[#This Row],[RatingChange]]</f>
        <v>1347.1845163007783</v>
      </c>
      <c r="AC376" s="2">
        <f>IF(Games[[#This Row],[Type]]="R",IF(Games[[#This Row],[Result]]&gt;0.5,1,0),0)</f>
        <v>0</v>
      </c>
      <c r="AD376" s="2">
        <f>IF(Games[[#This Row],[Type]]="R",IF(Games[[#This Row],[Result]]&lt;0.5,1,0),0)</f>
        <v>1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43709</v>
      </c>
      <c r="B377" s="2">
        <v>2019</v>
      </c>
      <c r="C377" s="2">
        <f>COUNTIFS(Games[Team],Games[[#This Row],[Team]],Games[Season],Games[[#This Row],[Season]],Games[Date],"&lt;=" &amp; Games[[#This Row],[Date]])</f>
        <v>31</v>
      </c>
      <c r="D377" s="2" t="s">
        <v>79</v>
      </c>
      <c r="E377" s="2" t="s">
        <v>80</v>
      </c>
      <c r="F377" s="1" t="s">
        <v>71</v>
      </c>
      <c r="G377" s="1" t="s">
        <v>77</v>
      </c>
      <c r="H377" s="1" t="s">
        <v>82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4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7" s="2">
        <f>Games[[#This Row],[DaysOff]]-Games[[#This Row],[OppDaysOff]]</f>
        <v>2</v>
      </c>
      <c r="L377" s="2">
        <f>Games[[#This Row],[OppDaysOff]]-Games[[#This Row],[DaysOff]]</f>
        <v>-2</v>
      </c>
      <c r="M377" s="1">
        <f>MAX(-16, MIN(16, Games[[#This Row],[RestDiff]]*8))</f>
        <v>16</v>
      </c>
      <c r="N377" s="1">
        <f>MAX(-16, MIN(16, Games[[#This Row],[OppRestDiff]]*8))</f>
        <v>-16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1511.5304436827107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1352.9115012736859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0.82932255890134876</v>
      </c>
      <c r="R377" s="1">
        <v>92</v>
      </c>
      <c r="S377" s="1">
        <v>75</v>
      </c>
      <c r="T377" s="1">
        <v>0</v>
      </c>
      <c r="U377" s="1">
        <f>Games[[#This Row],[PointsFor]]-Games[[#This Row],[PointsAgainst]]</f>
        <v>17</v>
      </c>
      <c r="V377" s="1">
        <f>IF(Games[[#This Row],[MOV]]&gt;0,1,IF(Games[[#This Row],[MOV]]=0,0.5,0))</f>
        <v>1</v>
      </c>
      <c r="W377" s="4">
        <f>((ABS(Games[[#This Row],[MOV]])+5)^0.6)/(12+0.01*(ABS(Games[[#This Row],[PreGmRate]]-Games[[#This Row],[OppPreGmRate]])))*IF(Games[[#This Row],[OT]]=1,0.9,1)</f>
        <v>0.47027938662880858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71.349999999999994</v>
      </c>
      <c r="Z377" s="4">
        <f>Games[[#This Row],[K]]*Games[[#This Row],[POMult]]</f>
        <v>71.349999999999994</v>
      </c>
      <c r="AA377" s="4">
        <f>(Games[[#This Row],[Keff]]*Games[[#This Row],[MOVMult]])*(Games[[#This Row],[Result]]-Games[[#This Row],[ExpectedWin%]])</f>
        <v>5.7269849729075659</v>
      </c>
      <c r="AB377" s="4">
        <f>Games[[#This Row],[PreGmRate]]+Games[[#This Row],[RatingChange]]</f>
        <v>1517.2574286556182</v>
      </c>
      <c r="AC377" s="2">
        <f>IF(Games[[#This Row],[Type]]="R",IF(Games[[#This Row],[Result]]&gt;0.5,1,0),0)</f>
        <v>1</v>
      </c>
      <c r="AD377" s="2">
        <f>IF(Games[[#This Row],[Type]]="R",IF(Games[[#This Row],[Result]]&lt;0.5,1,0),0)</f>
        <v>0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43711</v>
      </c>
      <c r="B378" s="2">
        <v>2019</v>
      </c>
      <c r="C378" s="2">
        <f>COUNTIFS(Games[Team],Games[[#This Row],[Team]],Games[Season],Games[[#This Row],[Season]],Games[Date],"&lt;=" &amp; Games[[#This Row],[Date]])</f>
        <v>32</v>
      </c>
      <c r="D378" s="2" t="s">
        <v>79</v>
      </c>
      <c r="E378" s="2" t="s">
        <v>80</v>
      </c>
      <c r="F378" s="1" t="s">
        <v>77</v>
      </c>
      <c r="G378" s="1" t="s">
        <v>63</v>
      </c>
      <c r="H378" s="1" t="s">
        <v>81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8" s="2">
        <f>Games[[#This Row],[DaysOff]]-Games[[#This Row],[OppDaysOff]]</f>
        <v>-1</v>
      </c>
      <c r="L378" s="2">
        <f>Games[[#This Row],[OppDaysOff]]-Games[[#This Row],[DaysOff]]</f>
        <v>1</v>
      </c>
      <c r="M378" s="1">
        <f>MAX(-16, MIN(16, Games[[#This Row],[RestDiff]]*8))</f>
        <v>-8</v>
      </c>
      <c r="N378" s="1">
        <f>MAX(-16, MIN(16, Games[[#This Row],[OppRestDiff]]*8))</f>
        <v>8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1347.1845163007783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1570.4203506481906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0.13462206062221055</v>
      </c>
      <c r="R378" s="1">
        <v>60</v>
      </c>
      <c r="S378" s="1">
        <v>70</v>
      </c>
      <c r="T378" s="1">
        <v>0</v>
      </c>
      <c r="U378" s="1">
        <f>Games[[#This Row],[PointsFor]]-Games[[#This Row],[PointsAgainst]]</f>
        <v>-10</v>
      </c>
      <c r="V378" s="1">
        <f>IF(Games[[#This Row],[MOV]]&gt;0,1,IF(Games[[#This Row],[MOV]]=0,0.5,0))</f>
        <v>0</v>
      </c>
      <c r="W378" s="4">
        <f>((ABS(Games[[#This Row],[MOV]])+5)^0.6)/(12+0.01*(ABS(Games[[#This Row],[PreGmRate]]-Games[[#This Row],[OppPreGmRate]])))*IF(Games[[#This Row],[OT]]=1,0.9,1)</f>
        <v>0.35676142136454769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71.2</v>
      </c>
      <c r="Z378" s="4">
        <f>Games[[#This Row],[K]]*Games[[#This Row],[POMult]]</f>
        <v>71.2</v>
      </c>
      <c r="AA378" s="4">
        <f>(Games[[#This Row],[Keff]]*Games[[#This Row],[MOVMult]])*(Games[[#This Row],[Result]]-Games[[#This Row],[ExpectedWin%]])</f>
        <v>-3.419590587855815</v>
      </c>
      <c r="AB378" s="4">
        <f>Games[[#This Row],[PreGmRate]]+Games[[#This Row],[RatingChange]]</f>
        <v>1343.7649257129226</v>
      </c>
      <c r="AC378" s="2">
        <f>IF(Games[[#This Row],[Type]]="R",IF(Games[[#This Row],[Result]]&gt;0.5,1,0),0)</f>
        <v>0</v>
      </c>
      <c r="AD378" s="2">
        <f>IF(Games[[#This Row],[Type]]="R",IF(Games[[#This Row],[Result]]&lt;0.5,1,0),0)</f>
        <v>1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43711</v>
      </c>
      <c r="B379" s="2">
        <v>2019</v>
      </c>
      <c r="C379" s="2">
        <f>COUNTIFS(Games[Team],Games[[#This Row],[Team]],Games[Season],Games[[#This Row],[Season]],Games[Date],"&lt;=" &amp; Games[[#This Row],[Date]])</f>
        <v>32</v>
      </c>
      <c r="D379" s="2" t="s">
        <v>79</v>
      </c>
      <c r="E379" s="2" t="s">
        <v>80</v>
      </c>
      <c r="F379" s="1" t="s">
        <v>63</v>
      </c>
      <c r="G379" s="1" t="s">
        <v>77</v>
      </c>
      <c r="H379" s="1" t="s">
        <v>82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9" s="2">
        <f>Games[[#This Row],[DaysOff]]-Games[[#This Row],[OppDaysOff]]</f>
        <v>1</v>
      </c>
      <c r="L379" s="2">
        <f>Games[[#This Row],[OppDaysOff]]-Games[[#This Row],[DaysOff]]</f>
        <v>-1</v>
      </c>
      <c r="M379" s="1">
        <f>MAX(-16, MIN(16, Games[[#This Row],[RestDiff]]*8))</f>
        <v>8</v>
      </c>
      <c r="N379" s="1">
        <f>MAX(-16, MIN(16, Games[[#This Row],[OppRestDiff]]*8))</f>
        <v>-8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1570.4203506481906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1347.1845163007783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0.8653779393777894</v>
      </c>
      <c r="R379" s="1">
        <v>70</v>
      </c>
      <c r="S379" s="1">
        <v>60</v>
      </c>
      <c r="T379" s="1">
        <v>0</v>
      </c>
      <c r="U379" s="1">
        <f>Games[[#This Row],[PointsFor]]-Games[[#This Row],[PointsAgainst]]</f>
        <v>10</v>
      </c>
      <c r="V379" s="1">
        <f>IF(Games[[#This Row],[MOV]]&gt;0,1,IF(Games[[#This Row],[MOV]]=0,0.5,0))</f>
        <v>1</v>
      </c>
      <c r="W379" s="4">
        <f>((ABS(Games[[#This Row],[MOV]])+5)^0.6)/(12+0.01*(ABS(Games[[#This Row],[PreGmRate]]-Games[[#This Row],[OppPreGmRate]])))*IF(Games[[#This Row],[OT]]=1,0.9,1)</f>
        <v>0.35676142136454769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71.2</v>
      </c>
      <c r="Z379" s="4">
        <f>Games[[#This Row],[K]]*Games[[#This Row],[POMult]]</f>
        <v>71.2</v>
      </c>
      <c r="AA379" s="4">
        <f>(Games[[#This Row],[Keff]]*Games[[#This Row],[MOVMult]])*(Games[[#This Row],[Result]]-Games[[#This Row],[ExpectedWin%]])</f>
        <v>3.4195905878558164</v>
      </c>
      <c r="AB379" s="4">
        <f>Games[[#This Row],[PreGmRate]]+Games[[#This Row],[RatingChange]]</f>
        <v>1573.8399412360463</v>
      </c>
      <c r="AC379" s="2">
        <f>IF(Games[[#This Row],[Type]]="R",IF(Games[[#This Row],[Result]]&gt;0.5,1,0),0)</f>
        <v>1</v>
      </c>
      <c r="AD379" s="2">
        <f>IF(Games[[#This Row],[Type]]="R",IF(Games[[#This Row],[Result]]&lt;0.5,1,0),0)</f>
        <v>0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43711</v>
      </c>
      <c r="B380" s="2">
        <v>2019</v>
      </c>
      <c r="C380" s="2">
        <f>COUNTIFS(Games[Team],Games[[#This Row],[Team]],Games[Season],Games[[#This Row],[Season]],Games[Date],"&lt;=" &amp; Games[[#This Row],[Date]])</f>
        <v>32</v>
      </c>
      <c r="D380" s="2" t="s">
        <v>79</v>
      </c>
      <c r="E380" s="2" t="s">
        <v>80</v>
      </c>
      <c r="F380" s="1" t="s">
        <v>65</v>
      </c>
      <c r="G380" s="1" t="s">
        <v>60</v>
      </c>
      <c r="H380" s="1" t="s">
        <v>81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0" s="2">
        <f>Games[[#This Row],[DaysOff]]-Games[[#This Row],[OppDaysOff]]</f>
        <v>-1</v>
      </c>
      <c r="L380" s="2">
        <f>Games[[#This Row],[OppDaysOff]]-Games[[#This Row],[DaysOff]]</f>
        <v>1</v>
      </c>
      <c r="M380" s="1">
        <f>MAX(-16, MIN(16, Games[[#This Row],[RestDiff]]*8))</f>
        <v>-8</v>
      </c>
      <c r="N380" s="1">
        <f>MAX(-16, MIN(16, Games[[#This Row],[OppRestDiff]]*8))</f>
        <v>8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1694.709760968959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1318.5572143062045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0.83056852147512183</v>
      </c>
      <c r="R380" s="1">
        <v>93</v>
      </c>
      <c r="S380" s="1">
        <v>77</v>
      </c>
      <c r="T380" s="1">
        <v>0</v>
      </c>
      <c r="U380" s="1">
        <f>Games[[#This Row],[PointsFor]]-Games[[#This Row],[PointsAgainst]]</f>
        <v>16</v>
      </c>
      <c r="V380" s="1">
        <f>IF(Games[[#This Row],[MOV]]&gt;0,1,IF(Games[[#This Row],[MOV]]=0,0.5,0))</f>
        <v>1</v>
      </c>
      <c r="W380" s="4">
        <f>((ABS(Games[[#This Row],[MOV]])+5)^0.6)/(12+0.01*(ABS(Games[[#This Row],[PreGmRate]]-Games[[#This Row],[OppPreGmRate]])))*IF(Games[[#This Row],[OT]]=1,0.9,1)</f>
        <v>0.39421516657868366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71.2</v>
      </c>
      <c r="Z380" s="4">
        <f>Games[[#This Row],[K]]*Games[[#This Row],[POMult]]</f>
        <v>71.2</v>
      </c>
      <c r="AA380" s="4">
        <f>(Games[[#This Row],[Keff]]*Games[[#This Row],[MOVMult]])*(Games[[#This Row],[Result]]-Games[[#This Row],[ExpectedWin%]])</f>
        <v>4.7556230473614542</v>
      </c>
      <c r="AB380" s="4">
        <f>Games[[#This Row],[PreGmRate]]+Games[[#This Row],[RatingChange]]</f>
        <v>1699.4653840163205</v>
      </c>
      <c r="AC380" s="2">
        <f>IF(Games[[#This Row],[Type]]="R",IF(Games[[#This Row],[Result]]&gt;0.5,1,0),0)</f>
        <v>1</v>
      </c>
      <c r="AD380" s="2">
        <f>IF(Games[[#This Row],[Type]]="R",IF(Games[[#This Row],[Result]]&lt;0.5,1,0),0)</f>
        <v>0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43711</v>
      </c>
      <c r="B381" s="2">
        <v>2019</v>
      </c>
      <c r="C381" s="2">
        <f>COUNTIFS(Games[Team],Games[[#This Row],[Team]],Games[Season],Games[[#This Row],[Season]],Games[Date],"&lt;=" &amp; Games[[#This Row],[Date]])</f>
        <v>32</v>
      </c>
      <c r="D381" s="2" t="s">
        <v>79</v>
      </c>
      <c r="E381" s="2" t="s">
        <v>80</v>
      </c>
      <c r="F381" s="1" t="s">
        <v>60</v>
      </c>
      <c r="G381" s="1" t="s">
        <v>65</v>
      </c>
      <c r="H381" s="1" t="s">
        <v>82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1" s="2">
        <f>Games[[#This Row],[DaysOff]]-Games[[#This Row],[OppDaysOff]]</f>
        <v>1</v>
      </c>
      <c r="L381" s="2">
        <f>Games[[#This Row],[OppDaysOff]]-Games[[#This Row],[DaysOff]]</f>
        <v>-1</v>
      </c>
      <c r="M381" s="1">
        <f>MAX(-16, MIN(16, Games[[#This Row],[RestDiff]]*8))</f>
        <v>8</v>
      </c>
      <c r="N381" s="1">
        <f>MAX(-16, MIN(16, Games[[#This Row],[OppRestDiff]]*8))</f>
        <v>-8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1318.5572143062045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1694.709760968959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0.16943147852487817</v>
      </c>
      <c r="R381" s="1">
        <v>77</v>
      </c>
      <c r="S381" s="1">
        <v>93</v>
      </c>
      <c r="T381" s="1">
        <v>0</v>
      </c>
      <c r="U381" s="1">
        <f>Games[[#This Row],[PointsFor]]-Games[[#This Row],[PointsAgainst]]</f>
        <v>-16</v>
      </c>
      <c r="V381" s="1">
        <f>IF(Games[[#This Row],[MOV]]&gt;0,1,IF(Games[[#This Row],[MOV]]=0,0.5,0))</f>
        <v>0</v>
      </c>
      <c r="W381" s="4">
        <f>((ABS(Games[[#This Row],[MOV]])+5)^0.6)/(12+0.01*(ABS(Games[[#This Row],[PreGmRate]]-Games[[#This Row],[OppPreGmRate]])))*IF(Games[[#This Row],[OT]]=1,0.9,1)</f>
        <v>0.39421516657868366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71.2</v>
      </c>
      <c r="Z381" s="4">
        <f>Games[[#This Row],[K]]*Games[[#This Row],[POMult]]</f>
        <v>71.2</v>
      </c>
      <c r="AA381" s="4">
        <f>(Games[[#This Row],[Keff]]*Games[[#This Row],[MOVMult]])*(Games[[#This Row],[Result]]-Games[[#This Row],[ExpectedWin%]])</f>
        <v>-4.7556230473614542</v>
      </c>
      <c r="AB381" s="4">
        <f>Games[[#This Row],[PreGmRate]]+Games[[#This Row],[RatingChange]]</f>
        <v>1313.801591258843</v>
      </c>
      <c r="AC381" s="2">
        <f>IF(Games[[#This Row],[Type]]="R",IF(Games[[#This Row],[Result]]&gt;0.5,1,0),0)</f>
        <v>0</v>
      </c>
      <c r="AD381" s="2">
        <f>IF(Games[[#This Row],[Type]]="R",IF(Games[[#This Row],[Result]]&lt;0.5,1,0),0)</f>
        <v>1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43711</v>
      </c>
      <c r="B382" s="2">
        <v>2019</v>
      </c>
      <c r="C382" s="2">
        <f>COUNTIFS(Games[Team],Games[[#This Row],[Team]],Games[Season],Games[[#This Row],[Season]],Games[Date],"&lt;=" &amp; Games[[#This Row],[Date]])</f>
        <v>32</v>
      </c>
      <c r="D382" s="2" t="s">
        <v>79</v>
      </c>
      <c r="E382" s="2" t="s">
        <v>80</v>
      </c>
      <c r="F382" s="1" t="s">
        <v>71</v>
      </c>
      <c r="G382" s="1" t="s">
        <v>40</v>
      </c>
      <c r="H382" s="1" t="s">
        <v>81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2" s="2">
        <f>Games[[#This Row],[DaysOff]]-Games[[#This Row],[OppDaysOff]]</f>
        <v>0</v>
      </c>
      <c r="L382" s="2">
        <f>Games[[#This Row],[OppDaysOff]]-Games[[#This Row],[DaysOff]]</f>
        <v>0</v>
      </c>
      <c r="M382" s="1">
        <f>MAX(-16, MIN(16, Games[[#This Row],[RestDiff]]*8))</f>
        <v>0</v>
      </c>
      <c r="N382" s="1">
        <f>MAX(-16, MIN(16, Games[[#This Row],[OppRestDiff]]*8))</f>
        <v>0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1517.2574286556182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1496.084466807044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0.41055742233149495</v>
      </c>
      <c r="R382" s="1">
        <v>82</v>
      </c>
      <c r="S382" s="1">
        <v>70</v>
      </c>
      <c r="T382" s="1">
        <v>0</v>
      </c>
      <c r="U382" s="1">
        <f>Games[[#This Row],[PointsFor]]-Games[[#This Row],[PointsAgainst]]</f>
        <v>12</v>
      </c>
      <c r="V382" s="1">
        <f>IF(Games[[#This Row],[MOV]]&gt;0,1,IF(Games[[#This Row],[MOV]]=0,0.5,0))</f>
        <v>1</v>
      </c>
      <c r="W382" s="4">
        <f>((ABS(Games[[#This Row],[MOV]])+5)^0.6)/(12+0.01*(ABS(Games[[#This Row],[PreGmRate]]-Games[[#This Row],[OppPreGmRate]])))*IF(Games[[#This Row],[OT]]=1,0.9,1)</f>
        <v>0.44822097179688541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71.2</v>
      </c>
      <c r="Z382" s="4">
        <f>Games[[#This Row],[K]]*Games[[#This Row],[POMult]]</f>
        <v>71.2</v>
      </c>
      <c r="AA382" s="4">
        <f>(Games[[#This Row],[Keff]]*Games[[#This Row],[MOVMult]])*(Games[[#This Row],[Result]]-Games[[#This Row],[ExpectedWin%]])</f>
        <v>18.811077378649937</v>
      </c>
      <c r="AB382" s="4">
        <f>Games[[#This Row],[PreGmRate]]+Games[[#This Row],[RatingChange]]</f>
        <v>1536.0685060342682</v>
      </c>
      <c r="AC382" s="2">
        <f>IF(Games[[#This Row],[Type]]="R",IF(Games[[#This Row],[Result]]&gt;0.5,1,0),0)</f>
        <v>1</v>
      </c>
      <c r="AD382" s="2">
        <f>IF(Games[[#This Row],[Type]]="R",IF(Games[[#This Row],[Result]]&lt;0.5,1,0),0)</f>
        <v>0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43711</v>
      </c>
      <c r="B383" s="2">
        <v>2019</v>
      </c>
      <c r="C383" s="2">
        <f>COUNTIFS(Games[Team],Games[[#This Row],[Team]],Games[Season],Games[[#This Row],[Season]],Games[Date],"&lt;=" &amp; Games[[#This Row],[Date]])</f>
        <v>32</v>
      </c>
      <c r="D383" s="2" t="s">
        <v>79</v>
      </c>
      <c r="E383" s="2" t="s">
        <v>80</v>
      </c>
      <c r="F383" s="1" t="s">
        <v>40</v>
      </c>
      <c r="G383" s="1" t="s">
        <v>71</v>
      </c>
      <c r="H383" s="1" t="s">
        <v>82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3" s="2">
        <f>Games[[#This Row],[DaysOff]]-Games[[#This Row],[OppDaysOff]]</f>
        <v>0</v>
      </c>
      <c r="L383" s="2">
        <f>Games[[#This Row],[OppDaysOff]]-Games[[#This Row],[DaysOff]]</f>
        <v>0</v>
      </c>
      <c r="M383" s="1">
        <f>MAX(-16, MIN(16, Games[[#This Row],[RestDiff]]*8))</f>
        <v>0</v>
      </c>
      <c r="N383" s="1">
        <f>MAX(-16, MIN(16, Games[[#This Row],[OppRestDiff]]*8))</f>
        <v>0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1496.084466807044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1517.2574286556182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0.58944257766850505</v>
      </c>
      <c r="R383" s="1">
        <v>70</v>
      </c>
      <c r="S383" s="1">
        <v>82</v>
      </c>
      <c r="T383" s="1">
        <v>0</v>
      </c>
      <c r="U383" s="1">
        <f>Games[[#This Row],[PointsFor]]-Games[[#This Row],[PointsAgainst]]</f>
        <v>-12</v>
      </c>
      <c r="V383" s="1">
        <f>IF(Games[[#This Row],[MOV]]&gt;0,1,IF(Games[[#This Row],[MOV]]=0,0.5,0))</f>
        <v>0</v>
      </c>
      <c r="W383" s="4">
        <f>((ABS(Games[[#This Row],[MOV]])+5)^0.6)/(12+0.01*(ABS(Games[[#This Row],[PreGmRate]]-Games[[#This Row],[OppPreGmRate]])))*IF(Games[[#This Row],[OT]]=1,0.9,1)</f>
        <v>0.44822097179688541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71.2</v>
      </c>
      <c r="Z383" s="4">
        <f>Games[[#This Row],[K]]*Games[[#This Row],[POMult]]</f>
        <v>71.2</v>
      </c>
      <c r="AA383" s="4">
        <f>(Games[[#This Row],[Keff]]*Games[[#This Row],[MOVMult]])*(Games[[#This Row],[Result]]-Games[[#This Row],[ExpectedWin%]])</f>
        <v>-18.811077378649937</v>
      </c>
      <c r="AB383" s="4">
        <f>Games[[#This Row],[PreGmRate]]+Games[[#This Row],[RatingChange]]</f>
        <v>1477.273389428394</v>
      </c>
      <c r="AC383" s="2">
        <f>IF(Games[[#This Row],[Type]]="R",IF(Games[[#This Row],[Result]]&gt;0.5,1,0),0)</f>
        <v>0</v>
      </c>
      <c r="AD383" s="2">
        <f>IF(Games[[#This Row],[Type]]="R",IF(Games[[#This Row],[Result]]&lt;0.5,1,0),0)</f>
        <v>1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43712</v>
      </c>
      <c r="B384" s="2">
        <v>2019</v>
      </c>
      <c r="C384" s="2">
        <f>COUNTIFS(Games[Team],Games[[#This Row],[Team]],Games[Season],Games[[#This Row],[Season]],Games[Date],"&lt;=" &amp; Games[[#This Row],[Date]])</f>
        <v>32</v>
      </c>
      <c r="D384" s="2" t="s">
        <v>79</v>
      </c>
      <c r="E384" s="2" t="s">
        <v>80</v>
      </c>
      <c r="F384" s="1" t="s">
        <v>85</v>
      </c>
      <c r="G384" s="1" t="s">
        <v>74</v>
      </c>
      <c r="H384" s="1" t="s">
        <v>81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84" s="2">
        <f>Games[[#This Row],[DaysOff]]-Games[[#This Row],[OppDaysOff]]</f>
        <v>-1</v>
      </c>
      <c r="L384" s="2">
        <f>Games[[#This Row],[OppDaysOff]]-Games[[#This Row],[DaysOff]]</f>
        <v>1</v>
      </c>
      <c r="M384" s="1">
        <f>MAX(-16, MIN(16, Games[[#This Row],[RestDiff]]*8))</f>
        <v>-8</v>
      </c>
      <c r="N384" s="1">
        <f>MAX(-16, MIN(16, Games[[#This Row],[OppRestDiff]]*8))</f>
        <v>8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1401.6073365548991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1617.0841428475551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0.13991086615118992</v>
      </c>
      <c r="R384" s="1">
        <v>72</v>
      </c>
      <c r="S384" s="1">
        <v>102</v>
      </c>
      <c r="T384" s="1">
        <v>0</v>
      </c>
      <c r="U384" s="1">
        <f>Games[[#This Row],[PointsFor]]-Games[[#This Row],[PointsAgainst]]</f>
        <v>-30</v>
      </c>
      <c r="V384" s="1">
        <f>IF(Games[[#This Row],[MOV]]&gt;0,1,IF(Games[[#This Row],[MOV]]=0,0.5,0))</f>
        <v>0</v>
      </c>
      <c r="W384" s="4">
        <f>((ABS(Games[[#This Row],[MOV]])+5)^0.6)/(12+0.01*(ABS(Games[[#This Row],[PreGmRate]]-Games[[#This Row],[OppPreGmRate]])))*IF(Games[[#This Row],[OT]]=1,0.9,1)</f>
        <v>0.59640059644697008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71.2</v>
      </c>
      <c r="Z384" s="4">
        <f>Games[[#This Row],[K]]*Games[[#This Row],[POMult]]</f>
        <v>71.2</v>
      </c>
      <c r="AA384" s="4">
        <f>(Games[[#This Row],[Keff]]*Games[[#This Row],[MOVMult]])*(Games[[#This Row],[Result]]-Games[[#This Row],[ExpectedWin%]])</f>
        <v>-5.9411361903651088</v>
      </c>
      <c r="AB384" s="4">
        <f>Games[[#This Row],[PreGmRate]]+Games[[#This Row],[RatingChange]]</f>
        <v>1395.666200364534</v>
      </c>
      <c r="AC384" s="2">
        <f>IF(Games[[#This Row],[Type]]="R",IF(Games[[#This Row],[Result]]&gt;0.5,1,0),0)</f>
        <v>0</v>
      </c>
      <c r="AD384" s="2">
        <f>IF(Games[[#This Row],[Type]]="R",IF(Games[[#This Row],[Result]]&lt;0.5,1,0),0)</f>
        <v>1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43712</v>
      </c>
      <c r="B385" s="2">
        <v>2019</v>
      </c>
      <c r="C385" s="2">
        <f>COUNTIFS(Games[Team],Games[[#This Row],[Team]],Games[Season],Games[[#This Row],[Season]],Games[Date],"&lt;=" &amp; Games[[#This Row],[Date]])</f>
        <v>32</v>
      </c>
      <c r="D385" s="2" t="s">
        <v>79</v>
      </c>
      <c r="E385" s="2" t="s">
        <v>80</v>
      </c>
      <c r="F385" s="1" t="s">
        <v>74</v>
      </c>
      <c r="G385" s="1" t="s">
        <v>85</v>
      </c>
      <c r="H385" s="1" t="s">
        <v>82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4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5" s="2">
        <f>Games[[#This Row],[DaysOff]]-Games[[#This Row],[OppDaysOff]]</f>
        <v>1</v>
      </c>
      <c r="L385" s="2">
        <f>Games[[#This Row],[OppDaysOff]]-Games[[#This Row],[DaysOff]]</f>
        <v>-1</v>
      </c>
      <c r="M385" s="1">
        <f>MAX(-16, MIN(16, Games[[#This Row],[RestDiff]]*8))</f>
        <v>8</v>
      </c>
      <c r="N385" s="1">
        <f>MAX(-16, MIN(16, Games[[#This Row],[OppRestDiff]]*8))</f>
        <v>-8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1617.0841428475551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1401.6073365548991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0.86008913384881014</v>
      </c>
      <c r="R385" s="1">
        <v>102</v>
      </c>
      <c r="S385" s="1">
        <v>72</v>
      </c>
      <c r="T385" s="1">
        <v>0</v>
      </c>
      <c r="U385" s="1">
        <f>Games[[#This Row],[PointsFor]]-Games[[#This Row],[PointsAgainst]]</f>
        <v>30</v>
      </c>
      <c r="V385" s="1">
        <f>IF(Games[[#This Row],[MOV]]&gt;0,1,IF(Games[[#This Row],[MOV]]=0,0.5,0))</f>
        <v>1</v>
      </c>
      <c r="W385" s="4">
        <f>((ABS(Games[[#This Row],[MOV]])+5)^0.6)/(12+0.01*(ABS(Games[[#This Row],[PreGmRate]]-Games[[#This Row],[OppPreGmRate]])))*IF(Games[[#This Row],[OT]]=1,0.9,1)</f>
        <v>0.59640059644697008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71.2</v>
      </c>
      <c r="Z385" s="4">
        <f>Games[[#This Row],[K]]*Games[[#This Row],[POMult]]</f>
        <v>71.2</v>
      </c>
      <c r="AA385" s="4">
        <f>(Games[[#This Row],[Keff]]*Games[[#This Row],[MOVMult]])*(Games[[#This Row],[Result]]-Games[[#This Row],[ExpectedWin%]])</f>
        <v>5.9411361903651061</v>
      </c>
      <c r="AB385" s="4">
        <f>Games[[#This Row],[PreGmRate]]+Games[[#This Row],[RatingChange]]</f>
        <v>1623.0252790379202</v>
      </c>
      <c r="AC385" s="2">
        <f>IF(Games[[#This Row],[Type]]="R",IF(Games[[#This Row],[Result]]&gt;0.5,1,0),0)</f>
        <v>1</v>
      </c>
      <c r="AD385" s="2">
        <f>IF(Games[[#This Row],[Type]]="R",IF(Games[[#This Row],[Result]]&lt;0.5,1,0),0)</f>
        <v>0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43713</v>
      </c>
      <c r="B386" s="2">
        <v>2019</v>
      </c>
      <c r="C386" s="2">
        <f>COUNTIFS(Games[Team],Games[[#This Row],[Team]],Games[Season],Games[[#This Row],[Season]],Games[Date],"&lt;=" &amp; Games[[#This Row],[Date]])</f>
        <v>33</v>
      </c>
      <c r="D386" s="2" t="s">
        <v>79</v>
      </c>
      <c r="E386" s="2" t="s">
        <v>80</v>
      </c>
      <c r="F386" s="1" t="s">
        <v>86</v>
      </c>
      <c r="G386" s="1" t="s">
        <v>77</v>
      </c>
      <c r="H386" s="1" t="s">
        <v>81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4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6" s="2">
        <f>Games[[#This Row],[DaysOff]]-Games[[#This Row],[OppDaysOff]]</f>
        <v>3</v>
      </c>
      <c r="L386" s="2">
        <f>Games[[#This Row],[OppDaysOff]]-Games[[#This Row],[DaysOff]]</f>
        <v>-3</v>
      </c>
      <c r="M386" s="1">
        <f>MAX(-16, MIN(16, Games[[#This Row],[RestDiff]]*8))</f>
        <v>16</v>
      </c>
      <c r="N386" s="1">
        <f>MAX(-16, MIN(16, Games[[#This Row],[OppRestDiff]]*8))</f>
        <v>-16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1545.4909797547291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1343.7649257129226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0.70305588972141086</v>
      </c>
      <c r="R386" s="1">
        <v>74</v>
      </c>
      <c r="S386" s="1">
        <v>78</v>
      </c>
      <c r="T386" s="1">
        <v>0</v>
      </c>
      <c r="U386" s="1">
        <f>Games[[#This Row],[PointsFor]]-Games[[#This Row],[PointsAgainst]]</f>
        <v>-4</v>
      </c>
      <c r="V386" s="1">
        <f>IF(Games[[#This Row],[MOV]]&gt;0,1,IF(Games[[#This Row],[MOV]]=0,0.5,0))</f>
        <v>0</v>
      </c>
      <c r="W386" s="4">
        <f>((ABS(Games[[#This Row],[MOV]])+5)^0.6)/(12+0.01*(ABS(Games[[#This Row],[PreGmRate]]-Games[[#This Row],[OppPreGmRate]])))*IF(Games[[#This Row],[OT]]=1,0.9,1)</f>
        <v>0.2666136373844622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6" s="9">
        <f>MAX(kmin, kmax - 0.15 * MIN(Games[[#This Row],[GamesPlayed]], 82))</f>
        <v>71.05</v>
      </c>
      <c r="Z386" s="4">
        <f>Games[[#This Row],[K]]*Games[[#This Row],[POMult]]</f>
        <v>71.05</v>
      </c>
      <c r="AA386" s="4">
        <f>(Games[[#This Row],[Keff]]*Games[[#This Row],[MOVMult]])*(Games[[#This Row],[Result]]-Games[[#This Row],[ExpectedWin%]])</f>
        <v>-13.317916665468982</v>
      </c>
      <c r="AB386" s="4">
        <f>Games[[#This Row],[PreGmRate]]+Games[[#This Row],[RatingChange]]</f>
        <v>1532.17306308926</v>
      </c>
      <c r="AC386" s="2">
        <f>IF(Games[[#This Row],[Type]]="R",IF(Games[[#This Row],[Result]]&gt;0.5,1,0),0)</f>
        <v>0</v>
      </c>
      <c r="AD386" s="2">
        <f>IF(Games[[#This Row],[Type]]="R",IF(Games[[#This Row],[Result]]&lt;0.5,1,0),0)</f>
        <v>1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43713</v>
      </c>
      <c r="B387" s="2">
        <v>2019</v>
      </c>
      <c r="C387" s="2">
        <f>COUNTIFS(Games[Team],Games[[#This Row],[Team]],Games[Season],Games[[#This Row],[Season]],Games[Date],"&lt;=" &amp; Games[[#This Row],[Date]])</f>
        <v>33</v>
      </c>
      <c r="D387" s="2" t="s">
        <v>79</v>
      </c>
      <c r="E387" s="2" t="s">
        <v>80</v>
      </c>
      <c r="F387" s="1" t="s">
        <v>77</v>
      </c>
      <c r="G387" s="1" t="s">
        <v>86</v>
      </c>
      <c r="H387" s="1" t="s">
        <v>82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87" s="2">
        <f>Games[[#This Row],[DaysOff]]-Games[[#This Row],[OppDaysOff]]</f>
        <v>-3</v>
      </c>
      <c r="L387" s="2">
        <f>Games[[#This Row],[OppDaysOff]]-Games[[#This Row],[DaysOff]]</f>
        <v>3</v>
      </c>
      <c r="M387" s="1">
        <f>MAX(-16, MIN(16, Games[[#This Row],[RestDiff]]*8))</f>
        <v>-16</v>
      </c>
      <c r="N387" s="1">
        <f>MAX(-16, MIN(16, Games[[#This Row],[OppRestDiff]]*8))</f>
        <v>16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1343.7649257129226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1545.4909797547291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0.29694411027858902</v>
      </c>
      <c r="R387" s="1">
        <v>78</v>
      </c>
      <c r="S387" s="1">
        <v>74</v>
      </c>
      <c r="T387" s="1">
        <v>0</v>
      </c>
      <c r="U387" s="1">
        <f>Games[[#This Row],[PointsFor]]-Games[[#This Row],[PointsAgainst]]</f>
        <v>4</v>
      </c>
      <c r="V387" s="1">
        <f>IF(Games[[#This Row],[MOV]]&gt;0,1,IF(Games[[#This Row],[MOV]]=0,0.5,0))</f>
        <v>1</v>
      </c>
      <c r="W387" s="4">
        <f>((ABS(Games[[#This Row],[MOV]])+5)^0.6)/(12+0.01*(ABS(Games[[#This Row],[PreGmRate]]-Games[[#This Row],[OppPreGmRate]])))*IF(Games[[#This Row],[OT]]=1,0.9,1)</f>
        <v>0.2666136373844622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7" s="9">
        <f>MAX(kmin, kmax - 0.15 * MIN(Games[[#This Row],[GamesPlayed]], 82))</f>
        <v>71.05</v>
      </c>
      <c r="Z387" s="4">
        <f>Games[[#This Row],[K]]*Games[[#This Row],[POMult]]</f>
        <v>71.05</v>
      </c>
      <c r="AA387" s="4">
        <f>(Games[[#This Row],[Keff]]*Games[[#This Row],[MOVMult]])*(Games[[#This Row],[Result]]-Games[[#This Row],[ExpectedWin%]])</f>
        <v>13.317916665468983</v>
      </c>
      <c r="AB387" s="4">
        <f>Games[[#This Row],[PreGmRate]]+Games[[#This Row],[RatingChange]]</f>
        <v>1357.0828423783917</v>
      </c>
      <c r="AC387" s="2">
        <f>IF(Games[[#This Row],[Type]]="R",IF(Games[[#This Row],[Result]]&gt;0.5,1,0),0)</f>
        <v>1</v>
      </c>
      <c r="AD387" s="2">
        <f>IF(Games[[#This Row],[Type]]="R",IF(Games[[#This Row],[Result]]&lt;0.5,1,0),0)</f>
        <v>0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43713</v>
      </c>
      <c r="B388" s="2">
        <v>2019</v>
      </c>
      <c r="C388" s="2">
        <f>COUNTIFS(Games[Team],Games[[#This Row],[Team]],Games[Season],Games[[#This Row],[Season]],Games[Date],"&lt;=" &amp; Games[[#This Row],[Date]])</f>
        <v>33</v>
      </c>
      <c r="D388" s="2" t="s">
        <v>79</v>
      </c>
      <c r="E388" s="2" t="s">
        <v>80</v>
      </c>
      <c r="F388" s="1" t="s">
        <v>71</v>
      </c>
      <c r="G388" s="1" t="s">
        <v>63</v>
      </c>
      <c r="H388" s="1" t="s">
        <v>81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8" s="2">
        <f>Games[[#This Row],[DaysOff]]-Games[[#This Row],[OppDaysOff]]</f>
        <v>0</v>
      </c>
      <c r="L388" s="2">
        <f>Games[[#This Row],[OppDaysOff]]-Games[[#This Row],[DaysOff]]</f>
        <v>0</v>
      </c>
      <c r="M388" s="1">
        <f>MAX(-16, MIN(16, Games[[#This Row],[RestDiff]]*8))</f>
        <v>0</v>
      </c>
      <c r="N388" s="1">
        <f>MAX(-16, MIN(16, Games[[#This Row],[OppRestDiff]]*8))</f>
        <v>0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1536.0685060342682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1573.8399412360463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0.3315965966689905</v>
      </c>
      <c r="R388" s="1">
        <v>68</v>
      </c>
      <c r="S388" s="1">
        <v>102</v>
      </c>
      <c r="T388" s="1">
        <v>0</v>
      </c>
      <c r="U388" s="1">
        <f>Games[[#This Row],[PointsFor]]-Games[[#This Row],[PointsAgainst]]</f>
        <v>-34</v>
      </c>
      <c r="V388" s="1">
        <f>IF(Games[[#This Row],[MOV]]&gt;0,1,IF(Games[[#This Row],[MOV]]=0,0.5,0))</f>
        <v>0</v>
      </c>
      <c r="W388" s="4">
        <f>((ABS(Games[[#This Row],[MOV]])+5)^0.6)/(12+0.01*(ABS(Games[[#This Row],[PreGmRate]]-Games[[#This Row],[OppPreGmRate]])))*IF(Games[[#This Row],[OT]]=1,0.9,1)</f>
        <v>0.72777696949857995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8" s="9">
        <f>MAX(kmin, kmax - 0.15 * MIN(Games[[#This Row],[GamesPlayed]], 82))</f>
        <v>71.05</v>
      </c>
      <c r="Z388" s="4">
        <f>Games[[#This Row],[K]]*Games[[#This Row],[POMult]]</f>
        <v>71.05</v>
      </c>
      <c r="AA388" s="4">
        <f>(Games[[#This Row],[Keff]]*Games[[#This Row],[MOVMult]])*(Games[[#This Row],[Result]]-Games[[#This Row],[ExpectedWin%]])</f>
        <v>-17.146380419916849</v>
      </c>
      <c r="AB388" s="4">
        <f>Games[[#This Row],[PreGmRate]]+Games[[#This Row],[RatingChange]]</f>
        <v>1518.9221256143514</v>
      </c>
      <c r="AC388" s="2">
        <f>IF(Games[[#This Row],[Type]]="R",IF(Games[[#This Row],[Result]]&gt;0.5,1,0),0)</f>
        <v>0</v>
      </c>
      <c r="AD388" s="2">
        <f>IF(Games[[#This Row],[Type]]="R",IF(Games[[#This Row],[Result]]&lt;0.5,1,0),0)</f>
        <v>1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43713</v>
      </c>
      <c r="B389" s="2">
        <v>2019</v>
      </c>
      <c r="C389" s="2">
        <f>COUNTIFS(Games[Team],Games[[#This Row],[Team]],Games[Season],Games[[#This Row],[Season]],Games[Date],"&lt;=" &amp; Games[[#This Row],[Date]])</f>
        <v>33</v>
      </c>
      <c r="D389" s="2" t="s">
        <v>79</v>
      </c>
      <c r="E389" s="2" t="s">
        <v>80</v>
      </c>
      <c r="F389" s="1" t="s">
        <v>63</v>
      </c>
      <c r="G389" s="1" t="s">
        <v>71</v>
      </c>
      <c r="H389" s="1" t="s">
        <v>82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9" s="2">
        <f>Games[[#This Row],[DaysOff]]-Games[[#This Row],[OppDaysOff]]</f>
        <v>0</v>
      </c>
      <c r="L389" s="2">
        <f>Games[[#This Row],[OppDaysOff]]-Games[[#This Row],[DaysOff]]</f>
        <v>0</v>
      </c>
      <c r="M389" s="1">
        <f>MAX(-16, MIN(16, Games[[#This Row],[RestDiff]]*8))</f>
        <v>0</v>
      </c>
      <c r="N389" s="1">
        <f>MAX(-16, MIN(16, Games[[#This Row],[OppRestDiff]]*8))</f>
        <v>0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1573.8399412360463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1536.0685060342682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0.66840340333100956</v>
      </c>
      <c r="R389" s="1">
        <v>102</v>
      </c>
      <c r="S389" s="1">
        <v>68</v>
      </c>
      <c r="T389" s="1">
        <v>0</v>
      </c>
      <c r="U389" s="1">
        <f>Games[[#This Row],[PointsFor]]-Games[[#This Row],[PointsAgainst]]</f>
        <v>34</v>
      </c>
      <c r="V389" s="1">
        <f>IF(Games[[#This Row],[MOV]]&gt;0,1,IF(Games[[#This Row],[MOV]]=0,0.5,0))</f>
        <v>1</v>
      </c>
      <c r="W389" s="4">
        <f>((ABS(Games[[#This Row],[MOV]])+5)^0.6)/(12+0.01*(ABS(Games[[#This Row],[PreGmRate]]-Games[[#This Row],[OppPreGmRate]])))*IF(Games[[#This Row],[OT]]=1,0.9,1)</f>
        <v>0.72777696949857995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9" s="9">
        <f>MAX(kmin, kmax - 0.15 * MIN(Games[[#This Row],[GamesPlayed]], 82))</f>
        <v>71.05</v>
      </c>
      <c r="Z389" s="4">
        <f>Games[[#This Row],[K]]*Games[[#This Row],[POMult]]</f>
        <v>71.05</v>
      </c>
      <c r="AA389" s="4">
        <f>(Games[[#This Row],[Keff]]*Games[[#This Row],[MOVMult]])*(Games[[#This Row],[Result]]-Games[[#This Row],[ExpectedWin%]])</f>
        <v>17.146380419916845</v>
      </c>
      <c r="AB389" s="4">
        <f>Games[[#This Row],[PreGmRate]]+Games[[#This Row],[RatingChange]]</f>
        <v>1590.9863216559631</v>
      </c>
      <c r="AC389" s="2">
        <f>IF(Games[[#This Row],[Type]]="R",IF(Games[[#This Row],[Result]]&gt;0.5,1,0),0)</f>
        <v>1</v>
      </c>
      <c r="AD389" s="2">
        <f>IF(Games[[#This Row],[Type]]="R",IF(Games[[#This Row],[Result]]&lt;0.5,1,0),0)</f>
        <v>0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43714</v>
      </c>
      <c r="B390" s="2">
        <v>2019</v>
      </c>
      <c r="C390" s="2">
        <f>COUNTIFS(Games[Team],Games[[#This Row],[Team]],Games[Season],Games[[#This Row],[Season]],Games[Date],"&lt;=" &amp; Games[[#This Row],[Date]])</f>
        <v>33</v>
      </c>
      <c r="D390" s="2" t="s">
        <v>79</v>
      </c>
      <c r="E390" s="2" t="s">
        <v>80</v>
      </c>
      <c r="F390" s="1" t="s">
        <v>75</v>
      </c>
      <c r="G390" s="1" t="s">
        <v>74</v>
      </c>
      <c r="H390" s="1" t="s">
        <v>81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4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0" s="2">
        <f>Games[[#This Row],[DaysOff]]-Games[[#This Row],[OppDaysOff]]</f>
        <v>3</v>
      </c>
      <c r="L390" s="2">
        <f>Games[[#This Row],[OppDaysOff]]-Games[[#This Row],[DaysOff]]</f>
        <v>-3</v>
      </c>
      <c r="M390" s="1">
        <f>MAX(-16, MIN(16, Games[[#This Row],[RestDiff]]*8))</f>
        <v>16</v>
      </c>
      <c r="N390" s="1">
        <f>MAX(-16, MIN(16, Games[[#This Row],[OppRestDiff]]*8))</f>
        <v>-16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1543.687585817021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1623.0252790379202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0.3195065252101989</v>
      </c>
      <c r="R390" s="1">
        <v>109</v>
      </c>
      <c r="S390" s="1">
        <v>104</v>
      </c>
      <c r="T390" s="1">
        <v>1</v>
      </c>
      <c r="U390" s="1">
        <f>Games[[#This Row],[PointsFor]]-Games[[#This Row],[PointsAgainst]]</f>
        <v>5</v>
      </c>
      <c r="V390" s="1">
        <f>IF(Games[[#This Row],[MOV]]&gt;0,1,IF(Games[[#This Row],[MOV]]=0,0.5,0))</f>
        <v>1</v>
      </c>
      <c r="W390" s="4">
        <f>((ABS(Games[[#This Row],[MOV]])+5)^0.6)/(12+0.01*(ABS(Games[[#This Row],[PreGmRate]]-Games[[#This Row],[OppPreGmRate]])))*IF(Games[[#This Row],[OT]]=1,0.9,1)</f>
        <v>0.28006401702750555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0" s="9">
        <f>MAX(kmin, kmax - 0.15 * MIN(Games[[#This Row],[GamesPlayed]], 82))</f>
        <v>71.05</v>
      </c>
      <c r="Z390" s="4">
        <f>Games[[#This Row],[K]]*Games[[#This Row],[POMult]]</f>
        <v>71.05</v>
      </c>
      <c r="AA390" s="4">
        <f>(Games[[#This Row],[Keff]]*Games[[#This Row],[MOVMult]])*(Games[[#This Row],[Result]]-Games[[#This Row],[ExpectedWin%]])</f>
        <v>13.540832350660779</v>
      </c>
      <c r="AB390" s="4">
        <f>Games[[#This Row],[PreGmRate]]+Games[[#This Row],[RatingChange]]</f>
        <v>1557.2284181676819</v>
      </c>
      <c r="AC390" s="2">
        <f>IF(Games[[#This Row],[Type]]="R",IF(Games[[#This Row],[Result]]&gt;0.5,1,0),0)</f>
        <v>1</v>
      </c>
      <c r="AD390" s="2">
        <f>IF(Games[[#This Row],[Type]]="R",IF(Games[[#This Row],[Result]]&lt;0.5,1,0),0)</f>
        <v>0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43714</v>
      </c>
      <c r="B391" s="2">
        <v>2019</v>
      </c>
      <c r="C391" s="2">
        <f>COUNTIFS(Games[Team],Games[[#This Row],[Team]],Games[Season],Games[[#This Row],[Season]],Games[Date],"&lt;=" &amp; Games[[#This Row],[Date]])</f>
        <v>33</v>
      </c>
      <c r="D391" s="2" t="s">
        <v>79</v>
      </c>
      <c r="E391" s="2" t="s">
        <v>80</v>
      </c>
      <c r="F391" s="1" t="s">
        <v>74</v>
      </c>
      <c r="G391" s="1" t="s">
        <v>75</v>
      </c>
      <c r="H391" s="1" t="s">
        <v>82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91" s="2">
        <f>Games[[#This Row],[DaysOff]]-Games[[#This Row],[OppDaysOff]]</f>
        <v>-3</v>
      </c>
      <c r="L391" s="2">
        <f>Games[[#This Row],[OppDaysOff]]-Games[[#This Row],[DaysOff]]</f>
        <v>3</v>
      </c>
      <c r="M391" s="1">
        <f>MAX(-16, MIN(16, Games[[#This Row],[RestDiff]]*8))</f>
        <v>-16</v>
      </c>
      <c r="N391" s="1">
        <f>MAX(-16, MIN(16, Games[[#This Row],[OppRestDiff]]*8))</f>
        <v>16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1623.0252790379202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1543.687585817021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0.68049347478980116</v>
      </c>
      <c r="R391" s="1">
        <v>104</v>
      </c>
      <c r="S391" s="1">
        <v>109</v>
      </c>
      <c r="T391" s="1">
        <v>1</v>
      </c>
      <c r="U391" s="1">
        <f>Games[[#This Row],[PointsFor]]-Games[[#This Row],[PointsAgainst]]</f>
        <v>-5</v>
      </c>
      <c r="V391" s="1">
        <f>IF(Games[[#This Row],[MOV]]&gt;0,1,IF(Games[[#This Row],[MOV]]=0,0.5,0))</f>
        <v>0</v>
      </c>
      <c r="W391" s="4">
        <f>((ABS(Games[[#This Row],[MOV]])+5)^0.6)/(12+0.01*(ABS(Games[[#This Row],[PreGmRate]]-Games[[#This Row],[OppPreGmRate]])))*IF(Games[[#This Row],[OT]]=1,0.9,1)</f>
        <v>0.28006401702750555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1" s="9">
        <f>MAX(kmin, kmax - 0.15 * MIN(Games[[#This Row],[GamesPlayed]], 82))</f>
        <v>71.05</v>
      </c>
      <c r="Z391" s="4">
        <f>Games[[#This Row],[K]]*Games[[#This Row],[POMult]]</f>
        <v>71.05</v>
      </c>
      <c r="AA391" s="4">
        <f>(Games[[#This Row],[Keff]]*Games[[#This Row],[MOVMult]])*(Games[[#This Row],[Result]]-Games[[#This Row],[ExpectedWin%]])</f>
        <v>-13.54083235066078</v>
      </c>
      <c r="AB391" s="4">
        <f>Games[[#This Row],[PreGmRate]]+Games[[#This Row],[RatingChange]]</f>
        <v>1609.4844466872594</v>
      </c>
      <c r="AC391" s="2">
        <f>IF(Games[[#This Row],[Type]]="R",IF(Games[[#This Row],[Result]]&gt;0.5,1,0),0)</f>
        <v>0</v>
      </c>
      <c r="AD391" s="2">
        <f>IF(Games[[#This Row],[Type]]="R",IF(Games[[#This Row],[Result]]&lt;0.5,1,0),0)</f>
        <v>1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43714</v>
      </c>
      <c r="B392" s="2">
        <v>2019</v>
      </c>
      <c r="C392" s="2">
        <f>COUNTIFS(Games[Team],Games[[#This Row],[Team]],Games[Season],Games[[#This Row],[Season]],Games[Date],"&lt;=" &amp; Games[[#This Row],[Date]])</f>
        <v>33</v>
      </c>
      <c r="D392" s="2" t="s">
        <v>79</v>
      </c>
      <c r="E392" s="2" t="s">
        <v>80</v>
      </c>
      <c r="F392" s="1" t="s">
        <v>69</v>
      </c>
      <c r="G392" s="1" t="s">
        <v>60</v>
      </c>
      <c r="H392" s="1" t="s">
        <v>81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4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2" s="2">
        <f>Games[[#This Row],[DaysOff]]-Games[[#This Row],[OppDaysOff]]</f>
        <v>2</v>
      </c>
      <c r="L392" s="2">
        <f>Games[[#This Row],[OppDaysOff]]-Games[[#This Row],[DaysOff]]</f>
        <v>-2</v>
      </c>
      <c r="M392" s="1">
        <f>MAX(-16, MIN(16, Games[[#This Row],[RestDiff]]*8))</f>
        <v>16</v>
      </c>
      <c r="N392" s="1">
        <f>MAX(-16, MIN(16, Games[[#This Row],[OppRestDiff]]*8))</f>
        <v>-16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1402.1465193497891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1313.801591258843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0.55211459672733887</v>
      </c>
      <c r="R392" s="1">
        <v>86</v>
      </c>
      <c r="S392" s="1">
        <v>81</v>
      </c>
      <c r="T392" s="1">
        <v>0</v>
      </c>
      <c r="U392" s="1">
        <f>Games[[#This Row],[PointsFor]]-Games[[#This Row],[PointsAgainst]]</f>
        <v>5</v>
      </c>
      <c r="V392" s="1">
        <f>IF(Games[[#This Row],[MOV]]&gt;0,1,IF(Games[[#This Row],[MOV]]=0,0.5,0))</f>
        <v>1</v>
      </c>
      <c r="W392" s="4">
        <f>((ABS(Games[[#This Row],[MOV]])+5)^0.6)/(12+0.01*(ABS(Games[[#This Row],[PreGmRate]]-Games[[#This Row],[OppPreGmRate]])))*IF(Games[[#This Row],[OT]]=1,0.9,1)</f>
        <v>0.30900666574083363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2" s="9">
        <f>MAX(kmin, kmax - 0.15 * MIN(Games[[#This Row],[GamesPlayed]], 82))</f>
        <v>71.05</v>
      </c>
      <c r="Z392" s="4">
        <f>Games[[#This Row],[K]]*Games[[#This Row],[POMult]]</f>
        <v>71.05</v>
      </c>
      <c r="AA392" s="4">
        <f>(Games[[#This Row],[Keff]]*Games[[#This Row],[MOVMult]])*(Games[[#This Row],[Result]]-Games[[#This Row],[ExpectedWin%]])</f>
        <v>9.8332898108033948</v>
      </c>
      <c r="AB392" s="4">
        <f>Games[[#This Row],[PreGmRate]]+Games[[#This Row],[RatingChange]]</f>
        <v>1411.9798091605924</v>
      </c>
      <c r="AC392" s="2">
        <f>IF(Games[[#This Row],[Type]]="R",IF(Games[[#This Row],[Result]]&gt;0.5,1,0),0)</f>
        <v>1</v>
      </c>
      <c r="AD392" s="2">
        <f>IF(Games[[#This Row],[Type]]="R",IF(Games[[#This Row],[Result]]&lt;0.5,1,0),0)</f>
        <v>0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43714</v>
      </c>
      <c r="B393" s="2">
        <v>2019</v>
      </c>
      <c r="C393" s="2">
        <f>COUNTIFS(Games[Team],Games[[#This Row],[Team]],Games[Season],Games[[#This Row],[Season]],Games[Date],"&lt;=" &amp; Games[[#This Row],[Date]])</f>
        <v>33</v>
      </c>
      <c r="D393" s="2" t="s">
        <v>79</v>
      </c>
      <c r="E393" s="2" t="s">
        <v>80</v>
      </c>
      <c r="F393" s="1" t="s">
        <v>60</v>
      </c>
      <c r="G393" s="1" t="s">
        <v>69</v>
      </c>
      <c r="H393" s="1" t="s">
        <v>82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93" s="2">
        <f>Games[[#This Row],[DaysOff]]-Games[[#This Row],[OppDaysOff]]</f>
        <v>-2</v>
      </c>
      <c r="L393" s="2">
        <f>Games[[#This Row],[OppDaysOff]]-Games[[#This Row],[DaysOff]]</f>
        <v>2</v>
      </c>
      <c r="M393" s="1">
        <f>MAX(-16, MIN(16, Games[[#This Row],[RestDiff]]*8))</f>
        <v>-16</v>
      </c>
      <c r="N393" s="1">
        <f>MAX(-16, MIN(16, Games[[#This Row],[OppRestDiff]]*8))</f>
        <v>16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1313.801591258843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1402.1465193497891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0.44788540327266119</v>
      </c>
      <c r="R393" s="1">
        <v>81</v>
      </c>
      <c r="S393" s="1">
        <v>86</v>
      </c>
      <c r="T393" s="1">
        <v>0</v>
      </c>
      <c r="U393" s="1">
        <f>Games[[#This Row],[PointsFor]]-Games[[#This Row],[PointsAgainst]]</f>
        <v>-5</v>
      </c>
      <c r="V393" s="1">
        <f>IF(Games[[#This Row],[MOV]]&gt;0,1,IF(Games[[#This Row],[MOV]]=0,0.5,0))</f>
        <v>0</v>
      </c>
      <c r="W393" s="4">
        <f>((ABS(Games[[#This Row],[MOV]])+5)^0.6)/(12+0.01*(ABS(Games[[#This Row],[PreGmRate]]-Games[[#This Row],[OppPreGmRate]])))*IF(Games[[#This Row],[OT]]=1,0.9,1)</f>
        <v>0.30900666574083363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3" s="9">
        <f>MAX(kmin, kmax - 0.15 * MIN(Games[[#This Row],[GamesPlayed]], 82))</f>
        <v>71.05</v>
      </c>
      <c r="Z393" s="4">
        <f>Games[[#This Row],[K]]*Games[[#This Row],[POMult]]</f>
        <v>71.05</v>
      </c>
      <c r="AA393" s="4">
        <f>(Games[[#This Row],[Keff]]*Games[[#This Row],[MOVMult]])*(Games[[#This Row],[Result]]-Games[[#This Row],[ExpectedWin%]])</f>
        <v>-9.8332898108033948</v>
      </c>
      <c r="AB393" s="4">
        <f>Games[[#This Row],[PreGmRate]]+Games[[#This Row],[RatingChange]]</f>
        <v>1303.9683014480397</v>
      </c>
      <c r="AC393" s="2">
        <f>IF(Games[[#This Row],[Type]]="R",IF(Games[[#This Row],[Result]]&gt;0.5,1,0),0)</f>
        <v>0</v>
      </c>
      <c r="AD393" s="2">
        <f>IF(Games[[#This Row],[Type]]="R",IF(Games[[#This Row],[Result]]&lt;0.5,1,0),0)</f>
        <v>1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43714</v>
      </c>
      <c r="B394" s="2">
        <v>2019</v>
      </c>
      <c r="C394" s="2">
        <f>COUNTIFS(Games[Team],Games[[#This Row],[Team]],Games[Season],Games[[#This Row],[Season]],Games[Date],"&lt;=" &amp; Games[[#This Row],[Date]])</f>
        <v>33</v>
      </c>
      <c r="D394" s="2" t="s">
        <v>79</v>
      </c>
      <c r="E394" s="2" t="s">
        <v>80</v>
      </c>
      <c r="F394" s="1" t="s">
        <v>67</v>
      </c>
      <c r="G394" s="1" t="s">
        <v>40</v>
      </c>
      <c r="H394" s="1" t="s">
        <v>81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4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4" s="2">
        <f>Games[[#This Row],[DaysOff]]-Games[[#This Row],[OppDaysOff]]</f>
        <v>2</v>
      </c>
      <c r="L394" s="2">
        <f>Games[[#This Row],[OppDaysOff]]-Games[[#This Row],[DaysOff]]</f>
        <v>-2</v>
      </c>
      <c r="M394" s="1">
        <f>MAX(-16, MIN(16, Games[[#This Row],[RestDiff]]*8))</f>
        <v>16</v>
      </c>
      <c r="N394" s="1">
        <f>MAX(-16, MIN(16, Games[[#This Row],[OppRestDiff]]*8))</f>
        <v>-16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1546.211292014543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1477.273389428394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0.5243563085924301</v>
      </c>
      <c r="R394" s="1">
        <v>83</v>
      </c>
      <c r="S394" s="1">
        <v>69</v>
      </c>
      <c r="T394" s="1">
        <v>0</v>
      </c>
      <c r="U394" s="1">
        <f>Games[[#This Row],[PointsFor]]-Games[[#This Row],[PointsAgainst]]</f>
        <v>14</v>
      </c>
      <c r="V394" s="1">
        <f>IF(Games[[#This Row],[MOV]]&gt;0,1,IF(Games[[#This Row],[MOV]]=0,0.5,0))</f>
        <v>1</v>
      </c>
      <c r="W394" s="4">
        <f>((ABS(Games[[#This Row],[MOV]])+5)^0.6)/(12+0.01*(ABS(Games[[#This Row],[PreGmRate]]-Games[[#This Row],[OppPreGmRate]])))*IF(Games[[#This Row],[OT]]=1,0.9,1)</f>
        <v>0.46111769775999478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4" s="9">
        <f>MAX(kmin, kmax - 0.15 * MIN(Games[[#This Row],[GamesPlayed]], 82))</f>
        <v>71.05</v>
      </c>
      <c r="Z394" s="4">
        <f>Games[[#This Row],[K]]*Games[[#This Row],[POMult]]</f>
        <v>71.05</v>
      </c>
      <c r="AA394" s="4">
        <f>(Games[[#This Row],[Keff]]*Games[[#This Row],[MOVMult]])*(Games[[#This Row],[Result]]-Games[[#This Row],[ExpectedWin%]])</f>
        <v>15.583234785647402</v>
      </c>
      <c r="AB394" s="4">
        <f>Games[[#This Row],[PreGmRate]]+Games[[#This Row],[RatingChange]]</f>
        <v>1561.7945268001904</v>
      </c>
      <c r="AC394" s="2">
        <f>IF(Games[[#This Row],[Type]]="R",IF(Games[[#This Row],[Result]]&gt;0.5,1,0),0)</f>
        <v>1</v>
      </c>
      <c r="AD394" s="2">
        <f>IF(Games[[#This Row],[Type]]="R",IF(Games[[#This Row],[Result]]&lt;0.5,1,0),0)</f>
        <v>0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43714</v>
      </c>
      <c r="B395" s="2">
        <v>2019</v>
      </c>
      <c r="C395" s="2">
        <f>COUNTIFS(Games[Team],Games[[#This Row],[Team]],Games[Season],Games[[#This Row],[Season]],Games[Date],"&lt;=" &amp; Games[[#This Row],[Date]])</f>
        <v>33</v>
      </c>
      <c r="D395" s="2" t="s">
        <v>79</v>
      </c>
      <c r="E395" s="2" t="s">
        <v>80</v>
      </c>
      <c r="F395" s="1" t="s">
        <v>40</v>
      </c>
      <c r="G395" s="1" t="s">
        <v>67</v>
      </c>
      <c r="H395" s="1" t="s">
        <v>82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95" s="2">
        <f>Games[[#This Row],[DaysOff]]-Games[[#This Row],[OppDaysOff]]</f>
        <v>-2</v>
      </c>
      <c r="L395" s="2">
        <f>Games[[#This Row],[OppDaysOff]]-Games[[#This Row],[DaysOff]]</f>
        <v>2</v>
      </c>
      <c r="M395" s="1">
        <f>MAX(-16, MIN(16, Games[[#This Row],[RestDiff]]*8))</f>
        <v>-16</v>
      </c>
      <c r="N395" s="1">
        <f>MAX(-16, MIN(16, Games[[#This Row],[OppRestDiff]]*8))</f>
        <v>16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1477.273389428394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1546.211292014543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0.4756436914075699</v>
      </c>
      <c r="R395" s="1">
        <v>69</v>
      </c>
      <c r="S395" s="1">
        <v>83</v>
      </c>
      <c r="T395" s="1">
        <v>0</v>
      </c>
      <c r="U395" s="1">
        <f>Games[[#This Row],[PointsFor]]-Games[[#This Row],[PointsAgainst]]</f>
        <v>-14</v>
      </c>
      <c r="V395" s="1">
        <f>IF(Games[[#This Row],[MOV]]&gt;0,1,IF(Games[[#This Row],[MOV]]=0,0.5,0))</f>
        <v>0</v>
      </c>
      <c r="W395" s="4">
        <f>((ABS(Games[[#This Row],[MOV]])+5)^0.6)/(12+0.01*(ABS(Games[[#This Row],[PreGmRate]]-Games[[#This Row],[OppPreGmRate]])))*IF(Games[[#This Row],[OT]]=1,0.9,1)</f>
        <v>0.46111769775999478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5" s="9">
        <f>MAX(kmin, kmax - 0.15 * MIN(Games[[#This Row],[GamesPlayed]], 82))</f>
        <v>71.05</v>
      </c>
      <c r="Z395" s="4">
        <f>Games[[#This Row],[K]]*Games[[#This Row],[POMult]]</f>
        <v>71.05</v>
      </c>
      <c r="AA395" s="4">
        <f>(Games[[#This Row],[Keff]]*Games[[#This Row],[MOVMult]])*(Games[[#This Row],[Result]]-Games[[#This Row],[ExpectedWin%]])</f>
        <v>-15.583234785647402</v>
      </c>
      <c r="AB395" s="4">
        <f>Games[[#This Row],[PreGmRate]]+Games[[#This Row],[RatingChange]]</f>
        <v>1461.6901546427466</v>
      </c>
      <c r="AC395" s="2">
        <f>IF(Games[[#This Row],[Type]]="R",IF(Games[[#This Row],[Result]]&gt;0.5,1,0),0)</f>
        <v>0</v>
      </c>
      <c r="AD395" s="2">
        <f>IF(Games[[#This Row],[Type]]="R",IF(Games[[#This Row],[Result]]&lt;0.5,1,0),0)</f>
        <v>1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43714</v>
      </c>
      <c r="B396" s="2">
        <v>2019</v>
      </c>
      <c r="C396" s="2">
        <f>COUNTIFS(Games[Team],Games[[#This Row],[Team]],Games[Season],Games[[#This Row],[Season]],Games[Date],"&lt;=" &amp; Games[[#This Row],[Date]])</f>
        <v>33</v>
      </c>
      <c r="D396" s="2" t="s">
        <v>79</v>
      </c>
      <c r="E396" s="2" t="s">
        <v>80</v>
      </c>
      <c r="F396" s="1" t="s">
        <v>85</v>
      </c>
      <c r="G396" s="1" t="s">
        <v>65</v>
      </c>
      <c r="H396" s="1" t="s">
        <v>81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6" s="2">
        <f>Games[[#This Row],[DaysOff]]-Games[[#This Row],[OppDaysOff]]</f>
        <v>-1</v>
      </c>
      <c r="L396" s="2">
        <f>Games[[#This Row],[OppDaysOff]]-Games[[#This Row],[DaysOff]]</f>
        <v>1</v>
      </c>
      <c r="M396" s="1">
        <f>MAX(-16, MIN(16, Games[[#This Row],[RestDiff]]*8))</f>
        <v>-8</v>
      </c>
      <c r="N396" s="1">
        <f>MAX(-16, MIN(16, Games[[#This Row],[OppRestDiff]]*8))</f>
        <v>8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1395.666200364534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1699.4653840163205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8.9117762520306509E-2</v>
      </c>
      <c r="R396" s="1">
        <v>73</v>
      </c>
      <c r="S396" s="1">
        <v>86</v>
      </c>
      <c r="T396" s="1">
        <v>0</v>
      </c>
      <c r="U396" s="1">
        <f>Games[[#This Row],[PointsFor]]-Games[[#This Row],[PointsAgainst]]</f>
        <v>-13</v>
      </c>
      <c r="V396" s="1">
        <f>IF(Games[[#This Row],[MOV]]&gt;0,1,IF(Games[[#This Row],[MOV]]=0,0.5,0))</f>
        <v>0</v>
      </c>
      <c r="W396" s="4">
        <f>((ABS(Games[[#This Row],[MOV]])+5)^0.6)/(12+0.01*(ABS(Games[[#This Row],[PreGmRate]]-Games[[#This Row],[OppPreGmRate]])))*IF(Games[[#This Row],[OT]]=1,0.9,1)</f>
        <v>0.37668095111036215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6" s="9">
        <f>MAX(kmin, kmax - 0.15 * MIN(Games[[#This Row],[GamesPlayed]], 82))</f>
        <v>71.05</v>
      </c>
      <c r="Z396" s="4">
        <f>Games[[#This Row],[K]]*Games[[#This Row],[POMult]]</f>
        <v>71.05</v>
      </c>
      <c r="AA396" s="4">
        <f>(Games[[#This Row],[Keff]]*Games[[#This Row],[MOVMult]])*(Games[[#This Row],[Result]]-Games[[#This Row],[ExpectedWin%]])</f>
        <v>-2.3850748600126761</v>
      </c>
      <c r="AB396" s="4">
        <f>Games[[#This Row],[PreGmRate]]+Games[[#This Row],[RatingChange]]</f>
        <v>1393.2811255045212</v>
      </c>
      <c r="AC396" s="2">
        <f>IF(Games[[#This Row],[Type]]="R",IF(Games[[#This Row],[Result]]&gt;0.5,1,0),0)</f>
        <v>0</v>
      </c>
      <c r="AD396" s="2">
        <f>IF(Games[[#This Row],[Type]]="R",IF(Games[[#This Row],[Result]]&lt;0.5,1,0),0)</f>
        <v>1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43714</v>
      </c>
      <c r="B397" s="2">
        <v>2019</v>
      </c>
      <c r="C397" s="2">
        <f>COUNTIFS(Games[Team],Games[[#This Row],[Team]],Games[Season],Games[[#This Row],[Season]],Games[Date],"&lt;=" &amp; Games[[#This Row],[Date]])</f>
        <v>33</v>
      </c>
      <c r="D397" s="2" t="s">
        <v>79</v>
      </c>
      <c r="E397" s="2" t="s">
        <v>80</v>
      </c>
      <c r="F397" s="1" t="s">
        <v>65</v>
      </c>
      <c r="G397" s="1" t="s">
        <v>85</v>
      </c>
      <c r="H397" s="1" t="s">
        <v>82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7" s="2">
        <f>Games[[#This Row],[DaysOff]]-Games[[#This Row],[OppDaysOff]]</f>
        <v>1</v>
      </c>
      <c r="L397" s="2">
        <f>Games[[#This Row],[OppDaysOff]]-Games[[#This Row],[DaysOff]]</f>
        <v>-1</v>
      </c>
      <c r="M397" s="1">
        <f>MAX(-16, MIN(16, Games[[#This Row],[RestDiff]]*8))</f>
        <v>8</v>
      </c>
      <c r="N397" s="1">
        <f>MAX(-16, MIN(16, Games[[#This Row],[OppRestDiff]]*8))</f>
        <v>-8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1699.4653840163205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1395.666200364534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0.91088223747969344</v>
      </c>
      <c r="R397" s="1">
        <v>86</v>
      </c>
      <c r="S397" s="1">
        <v>73</v>
      </c>
      <c r="T397" s="1">
        <v>0</v>
      </c>
      <c r="U397" s="1">
        <f>Games[[#This Row],[PointsFor]]-Games[[#This Row],[PointsAgainst]]</f>
        <v>13</v>
      </c>
      <c r="V397" s="1">
        <f>IF(Games[[#This Row],[MOV]]&gt;0,1,IF(Games[[#This Row],[MOV]]=0,0.5,0))</f>
        <v>1</v>
      </c>
      <c r="W397" s="4">
        <f>((ABS(Games[[#This Row],[MOV]])+5)^0.6)/(12+0.01*(ABS(Games[[#This Row],[PreGmRate]]-Games[[#This Row],[OppPreGmRate]])))*IF(Games[[#This Row],[OT]]=1,0.9,1)</f>
        <v>0.37668095111036215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7" s="9">
        <f>MAX(kmin, kmax - 0.15 * MIN(Games[[#This Row],[GamesPlayed]], 82))</f>
        <v>71.05</v>
      </c>
      <c r="Z397" s="4">
        <f>Games[[#This Row],[K]]*Games[[#This Row],[POMult]]</f>
        <v>71.05</v>
      </c>
      <c r="AA397" s="4">
        <f>(Games[[#This Row],[Keff]]*Games[[#This Row],[MOVMult]])*(Games[[#This Row],[Result]]-Games[[#This Row],[ExpectedWin%]])</f>
        <v>2.3850748600126774</v>
      </c>
      <c r="AB397" s="4">
        <f>Games[[#This Row],[PreGmRate]]+Games[[#This Row],[RatingChange]]</f>
        <v>1701.8504588763333</v>
      </c>
      <c r="AC397" s="2">
        <f>IF(Games[[#This Row],[Type]]="R",IF(Games[[#This Row],[Result]]&gt;0.5,1,0),0)</f>
        <v>1</v>
      </c>
      <c r="AD397" s="2">
        <f>IF(Games[[#This Row],[Type]]="R",IF(Games[[#This Row],[Result]]&lt;0.5,1,0),0)</f>
        <v>0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43716</v>
      </c>
      <c r="B398" s="2">
        <v>2019</v>
      </c>
      <c r="C398" s="2">
        <f>COUNTIFS(Games[Team],Games[[#This Row],[Team]],Games[Season],Games[[#This Row],[Season]],Games[Date],"&lt;=" &amp; Games[[#This Row],[Date]])</f>
        <v>34</v>
      </c>
      <c r="D398" s="2" t="s">
        <v>79</v>
      </c>
      <c r="E398" s="2" t="s">
        <v>80</v>
      </c>
      <c r="F398" s="1" t="s">
        <v>60</v>
      </c>
      <c r="G398" s="1" t="s">
        <v>77</v>
      </c>
      <c r="H398" s="1" t="s">
        <v>81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8" s="2">
        <f>Games[[#This Row],[DaysOff]]-Games[[#This Row],[OppDaysOff]]</f>
        <v>-1</v>
      </c>
      <c r="L398" s="2">
        <f>Games[[#This Row],[OppDaysOff]]-Games[[#This Row],[DaysOff]]</f>
        <v>1</v>
      </c>
      <c r="M398" s="1">
        <f>MAX(-16, MIN(16, Games[[#This Row],[RestDiff]]*8))</f>
        <v>-8</v>
      </c>
      <c r="N398" s="1">
        <f>MAX(-16, MIN(16, Games[[#This Row],[OppRestDiff]]*8))</f>
        <v>8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1303.9683014480397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1357.0828423783917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0.29288813195555502</v>
      </c>
      <c r="R398" s="1">
        <v>71</v>
      </c>
      <c r="S398" s="1">
        <v>63</v>
      </c>
      <c r="T398" s="1">
        <v>0</v>
      </c>
      <c r="U398" s="1">
        <f>Games[[#This Row],[PointsFor]]-Games[[#This Row],[PointsAgainst]]</f>
        <v>8</v>
      </c>
      <c r="V398" s="1">
        <f>IF(Games[[#This Row],[MOV]]&gt;0,1,IF(Games[[#This Row],[MOV]]=0,0.5,0))</f>
        <v>1</v>
      </c>
      <c r="W398" s="4">
        <f>((ABS(Games[[#This Row],[MOV]])+5)^0.6)/(12+0.01*(ABS(Games[[#This Row],[PreGmRate]]-Games[[#This Row],[OppPreGmRate]])))*IF(Games[[#This Row],[OT]]=1,0.9,1)</f>
        <v>0.37185638406019078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8" s="9">
        <f>MAX(kmin, kmax - 0.15 * MIN(Games[[#This Row],[GamesPlayed]], 82))</f>
        <v>70.900000000000006</v>
      </c>
      <c r="Z398" s="4">
        <f>Games[[#This Row],[K]]*Games[[#This Row],[POMult]]</f>
        <v>70.900000000000006</v>
      </c>
      <c r="AA398" s="4">
        <f>(Games[[#This Row],[Keff]]*Games[[#This Row],[MOVMult]])*(Games[[#This Row],[Result]]-Games[[#This Row],[ExpectedWin%]])</f>
        <v>18.642734022533137</v>
      </c>
      <c r="AB398" s="4">
        <f>Games[[#This Row],[PreGmRate]]+Games[[#This Row],[RatingChange]]</f>
        <v>1322.6110354705729</v>
      </c>
      <c r="AC398" s="2">
        <f>IF(Games[[#This Row],[Type]]="R",IF(Games[[#This Row],[Result]]&gt;0.5,1,0),0)</f>
        <v>1</v>
      </c>
      <c r="AD398" s="2">
        <f>IF(Games[[#This Row],[Type]]="R",IF(Games[[#This Row],[Result]]&lt;0.5,1,0),0)</f>
        <v>0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43716</v>
      </c>
      <c r="B399" s="2">
        <v>2019</v>
      </c>
      <c r="C399" s="2">
        <f>COUNTIFS(Games[Team],Games[[#This Row],[Team]],Games[Season],Games[[#This Row],[Season]],Games[Date],"&lt;=" &amp; Games[[#This Row],[Date]])</f>
        <v>34</v>
      </c>
      <c r="D399" s="2" t="s">
        <v>79</v>
      </c>
      <c r="E399" s="2" t="s">
        <v>80</v>
      </c>
      <c r="F399" s="1" t="s">
        <v>77</v>
      </c>
      <c r="G399" s="1" t="s">
        <v>60</v>
      </c>
      <c r="H399" s="1" t="s">
        <v>82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9" s="2">
        <f>Games[[#This Row],[DaysOff]]-Games[[#This Row],[OppDaysOff]]</f>
        <v>1</v>
      </c>
      <c r="L399" s="2">
        <f>Games[[#This Row],[OppDaysOff]]-Games[[#This Row],[DaysOff]]</f>
        <v>-1</v>
      </c>
      <c r="M399" s="1">
        <f>MAX(-16, MIN(16, Games[[#This Row],[RestDiff]]*8))</f>
        <v>8</v>
      </c>
      <c r="N399" s="1">
        <f>MAX(-16, MIN(16, Games[[#This Row],[OppRestDiff]]*8))</f>
        <v>-8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1357.0828423783917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1303.9683014480397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0.70711186804444492</v>
      </c>
      <c r="R399" s="1">
        <v>63</v>
      </c>
      <c r="S399" s="1">
        <v>71</v>
      </c>
      <c r="T399" s="1">
        <v>0</v>
      </c>
      <c r="U399" s="1">
        <f>Games[[#This Row],[PointsFor]]-Games[[#This Row],[PointsAgainst]]</f>
        <v>-8</v>
      </c>
      <c r="V399" s="1">
        <f>IF(Games[[#This Row],[MOV]]&gt;0,1,IF(Games[[#This Row],[MOV]]=0,0.5,0))</f>
        <v>0</v>
      </c>
      <c r="W399" s="4">
        <f>((ABS(Games[[#This Row],[MOV]])+5)^0.6)/(12+0.01*(ABS(Games[[#This Row],[PreGmRate]]-Games[[#This Row],[OppPreGmRate]])))*IF(Games[[#This Row],[OT]]=1,0.9,1)</f>
        <v>0.37185638406019078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9" s="9">
        <f>MAX(kmin, kmax - 0.15 * MIN(Games[[#This Row],[GamesPlayed]], 82))</f>
        <v>70.900000000000006</v>
      </c>
      <c r="Z399" s="4">
        <f>Games[[#This Row],[K]]*Games[[#This Row],[POMult]]</f>
        <v>70.900000000000006</v>
      </c>
      <c r="AA399" s="4">
        <f>(Games[[#This Row],[Keff]]*Games[[#This Row],[MOVMult]])*(Games[[#This Row],[Result]]-Games[[#This Row],[ExpectedWin%]])</f>
        <v>-18.642734022533133</v>
      </c>
      <c r="AB399" s="4">
        <f>Games[[#This Row],[PreGmRate]]+Games[[#This Row],[RatingChange]]</f>
        <v>1338.4401083558585</v>
      </c>
      <c r="AC399" s="2">
        <f>IF(Games[[#This Row],[Type]]="R",IF(Games[[#This Row],[Result]]&gt;0.5,1,0),0)</f>
        <v>0</v>
      </c>
      <c r="AD399" s="2">
        <f>IF(Games[[#This Row],[Type]]="R",IF(Games[[#This Row],[Result]]&lt;0.5,1,0),0)</f>
        <v>1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43716</v>
      </c>
      <c r="B400" s="2">
        <v>2019</v>
      </c>
      <c r="C400" s="2">
        <f>COUNTIFS(Games[Team],Games[[#This Row],[Team]],Games[Season],Games[[#This Row],[Season]],Games[Date],"&lt;=" &amp; Games[[#This Row],[Date]])</f>
        <v>34</v>
      </c>
      <c r="D400" s="2" t="s">
        <v>79</v>
      </c>
      <c r="E400" s="2" t="s">
        <v>80</v>
      </c>
      <c r="F400" s="1" t="s">
        <v>71</v>
      </c>
      <c r="G400" s="1" t="s">
        <v>85</v>
      </c>
      <c r="H400" s="1" t="s">
        <v>81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0" s="2">
        <f>Games[[#This Row],[DaysOff]]-Games[[#This Row],[OppDaysOff]]</f>
        <v>1</v>
      </c>
      <c r="L400" s="2">
        <f>Games[[#This Row],[OppDaysOff]]-Games[[#This Row],[DaysOff]]</f>
        <v>-1</v>
      </c>
      <c r="M400" s="1">
        <f>MAX(-16, MIN(16, Games[[#This Row],[RestDiff]]*8))</f>
        <v>8</v>
      </c>
      <c r="N400" s="1">
        <f>MAX(-16, MIN(16, Games[[#This Row],[OppRestDiff]]*8))</f>
        <v>-8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1518.9221256143514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1393.2811255045212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0.58219929138540127</v>
      </c>
      <c r="R400" s="1">
        <v>78</v>
      </c>
      <c r="S400" s="1">
        <v>64</v>
      </c>
      <c r="T400" s="1">
        <v>0</v>
      </c>
      <c r="U400" s="1">
        <f>Games[[#This Row],[PointsFor]]-Games[[#This Row],[PointsAgainst]]</f>
        <v>14</v>
      </c>
      <c r="V400" s="1">
        <f>IF(Games[[#This Row],[MOV]]&gt;0,1,IF(Games[[#This Row],[MOV]]=0,0.5,0))</f>
        <v>1</v>
      </c>
      <c r="W400" s="4">
        <f>((ABS(Games[[#This Row],[MOV]])+5)^0.6)/(12+0.01*(ABS(Games[[#This Row],[PreGmRate]]-Games[[#This Row],[OppPreGmRate]])))*IF(Games[[#This Row],[OT]]=1,0.9,1)</f>
        <v>0.44139380435007902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0" s="9">
        <f>MAX(kmin, kmax - 0.15 * MIN(Games[[#This Row],[GamesPlayed]], 82))</f>
        <v>70.900000000000006</v>
      </c>
      <c r="Z400" s="4">
        <f>Games[[#This Row],[K]]*Games[[#This Row],[POMult]]</f>
        <v>70.900000000000006</v>
      </c>
      <c r="AA400" s="4">
        <f>(Games[[#This Row],[Keff]]*Games[[#This Row],[MOVMult]])*(Games[[#This Row],[Result]]-Games[[#This Row],[ExpectedWin%]])</f>
        <v>13.074998276300962</v>
      </c>
      <c r="AB400" s="4">
        <f>Games[[#This Row],[PreGmRate]]+Games[[#This Row],[RatingChange]]</f>
        <v>1531.9971238906523</v>
      </c>
      <c r="AC400" s="2">
        <f>IF(Games[[#This Row],[Type]]="R",IF(Games[[#This Row],[Result]]&gt;0.5,1,0),0)</f>
        <v>1</v>
      </c>
      <c r="AD400" s="2">
        <f>IF(Games[[#This Row],[Type]]="R",IF(Games[[#This Row],[Result]]&lt;0.5,1,0),0)</f>
        <v>0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43716</v>
      </c>
      <c r="B401" s="2">
        <v>2019</v>
      </c>
      <c r="C401" s="2">
        <f>COUNTIFS(Games[Team],Games[[#This Row],[Team]],Games[Season],Games[[#This Row],[Season]],Games[Date],"&lt;=" &amp; Games[[#This Row],[Date]])</f>
        <v>34</v>
      </c>
      <c r="D401" s="2" t="s">
        <v>79</v>
      </c>
      <c r="E401" s="2" t="s">
        <v>80</v>
      </c>
      <c r="F401" s="1" t="s">
        <v>85</v>
      </c>
      <c r="G401" s="1" t="s">
        <v>71</v>
      </c>
      <c r="H401" s="1" t="s">
        <v>82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1" s="2">
        <f>Games[[#This Row],[DaysOff]]-Games[[#This Row],[OppDaysOff]]</f>
        <v>-1</v>
      </c>
      <c r="L401" s="2">
        <f>Games[[#This Row],[OppDaysOff]]-Games[[#This Row],[DaysOff]]</f>
        <v>1</v>
      </c>
      <c r="M401" s="1">
        <f>MAX(-16, MIN(16, Games[[#This Row],[RestDiff]]*8))</f>
        <v>-8</v>
      </c>
      <c r="N401" s="1">
        <f>MAX(-16, MIN(16, Games[[#This Row],[OppRestDiff]]*8))</f>
        <v>8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1393.2811255045212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1518.9221256143514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0.41780070861459873</v>
      </c>
      <c r="R401" s="1">
        <v>64</v>
      </c>
      <c r="S401" s="1">
        <v>78</v>
      </c>
      <c r="T401" s="1">
        <v>0</v>
      </c>
      <c r="U401" s="1">
        <f>Games[[#This Row],[PointsFor]]-Games[[#This Row],[PointsAgainst]]</f>
        <v>-14</v>
      </c>
      <c r="V401" s="1">
        <f>IF(Games[[#This Row],[MOV]]&gt;0,1,IF(Games[[#This Row],[MOV]]=0,0.5,0))</f>
        <v>0</v>
      </c>
      <c r="W401" s="4">
        <f>((ABS(Games[[#This Row],[MOV]])+5)^0.6)/(12+0.01*(ABS(Games[[#This Row],[PreGmRate]]-Games[[#This Row],[OppPreGmRate]])))*IF(Games[[#This Row],[OT]]=1,0.9,1)</f>
        <v>0.44139380435007902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1" s="9">
        <f>MAX(kmin, kmax - 0.15 * MIN(Games[[#This Row],[GamesPlayed]], 82))</f>
        <v>70.900000000000006</v>
      </c>
      <c r="Z401" s="4">
        <f>Games[[#This Row],[K]]*Games[[#This Row],[POMult]]</f>
        <v>70.900000000000006</v>
      </c>
      <c r="AA401" s="4">
        <f>(Games[[#This Row],[Keff]]*Games[[#This Row],[MOVMult]])*(Games[[#This Row],[Result]]-Games[[#This Row],[ExpectedWin%]])</f>
        <v>-13.074998276300962</v>
      </c>
      <c r="AB401" s="4">
        <f>Games[[#This Row],[PreGmRate]]+Games[[#This Row],[RatingChange]]</f>
        <v>1380.2061272282203</v>
      </c>
      <c r="AC401" s="2">
        <f>IF(Games[[#This Row],[Type]]="R",IF(Games[[#This Row],[Result]]&gt;0.5,1,0),0)</f>
        <v>0</v>
      </c>
      <c r="AD401" s="2">
        <f>IF(Games[[#This Row],[Type]]="R",IF(Games[[#This Row],[Result]]&lt;0.5,1,0),0)</f>
        <v>1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43716</v>
      </c>
      <c r="B402" s="2">
        <v>2019</v>
      </c>
      <c r="C402" s="2">
        <f>COUNTIFS(Games[Team],Games[[#This Row],[Team]],Games[Season],Games[[#This Row],[Season]],Games[Date],"&lt;=" &amp; Games[[#This Row],[Date]])</f>
        <v>34</v>
      </c>
      <c r="D402" s="2" t="s">
        <v>79</v>
      </c>
      <c r="E402" s="2" t="s">
        <v>80</v>
      </c>
      <c r="F402" s="1" t="s">
        <v>74</v>
      </c>
      <c r="G402" s="1" t="s">
        <v>69</v>
      </c>
      <c r="H402" s="1" t="s">
        <v>81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2" s="2">
        <f>Games[[#This Row],[DaysOff]]-Games[[#This Row],[OppDaysOff]]</f>
        <v>0</v>
      </c>
      <c r="L402" s="2">
        <f>Games[[#This Row],[OppDaysOff]]-Games[[#This Row],[DaysOff]]</f>
        <v>0</v>
      </c>
      <c r="M402" s="1">
        <f>MAX(-16, MIN(16, Games[[#This Row],[RestDiff]]*8))</f>
        <v>0</v>
      </c>
      <c r="N402" s="1">
        <f>MAX(-16, MIN(16, Games[[#This Row],[OppRestDiff]]*8))</f>
        <v>0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1609.4844466872594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1411.9798091605924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0.65777290735860705</v>
      </c>
      <c r="R402" s="1">
        <v>76</v>
      </c>
      <c r="S402" s="1">
        <v>104</v>
      </c>
      <c r="T402" s="1">
        <v>0</v>
      </c>
      <c r="U402" s="1">
        <f>Games[[#This Row],[PointsFor]]-Games[[#This Row],[PointsAgainst]]</f>
        <v>-28</v>
      </c>
      <c r="V402" s="1">
        <f>IF(Games[[#This Row],[MOV]]&gt;0,1,IF(Games[[#This Row],[MOV]]=0,0.5,0))</f>
        <v>0</v>
      </c>
      <c r="W402" s="4">
        <f>((ABS(Games[[#This Row],[MOV]])+5)^0.6)/(12+0.01*(ABS(Games[[#This Row],[PreGmRate]]-Games[[#This Row],[OppPreGmRate]])))*IF(Games[[#This Row],[OT]]=1,0.9,1)</f>
        <v>0.58311619883245858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2" s="9">
        <f>MAX(kmin, kmax - 0.15 * MIN(Games[[#This Row],[GamesPlayed]], 82))</f>
        <v>70.900000000000006</v>
      </c>
      <c r="Z402" s="4">
        <f>Games[[#This Row],[K]]*Games[[#This Row],[POMult]]</f>
        <v>70.900000000000006</v>
      </c>
      <c r="AA402" s="4">
        <f>(Games[[#This Row],[Keff]]*Games[[#This Row],[MOVMult]])*(Games[[#This Row],[Result]]-Games[[#This Row],[ExpectedWin%]])</f>
        <v>-27.194264854065349</v>
      </c>
      <c r="AB402" s="4">
        <f>Games[[#This Row],[PreGmRate]]+Games[[#This Row],[RatingChange]]</f>
        <v>1582.2901818331941</v>
      </c>
      <c r="AC402" s="2">
        <f>IF(Games[[#This Row],[Type]]="R",IF(Games[[#This Row],[Result]]&gt;0.5,1,0),0)</f>
        <v>0</v>
      </c>
      <c r="AD402" s="2">
        <f>IF(Games[[#This Row],[Type]]="R",IF(Games[[#This Row],[Result]]&lt;0.5,1,0),0)</f>
        <v>1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43716</v>
      </c>
      <c r="B403" s="2">
        <v>2019</v>
      </c>
      <c r="C403" s="2">
        <f>COUNTIFS(Games[Team],Games[[#This Row],[Team]],Games[Season],Games[[#This Row],[Season]],Games[Date],"&lt;=" &amp; Games[[#This Row],[Date]])</f>
        <v>34</v>
      </c>
      <c r="D403" s="2" t="s">
        <v>79</v>
      </c>
      <c r="E403" s="2" t="s">
        <v>80</v>
      </c>
      <c r="F403" s="1" t="s">
        <v>69</v>
      </c>
      <c r="G403" s="1" t="s">
        <v>74</v>
      </c>
      <c r="H403" s="1" t="s">
        <v>82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3" s="2">
        <f>Games[[#This Row],[DaysOff]]-Games[[#This Row],[OppDaysOff]]</f>
        <v>0</v>
      </c>
      <c r="L403" s="2">
        <f>Games[[#This Row],[OppDaysOff]]-Games[[#This Row],[DaysOff]]</f>
        <v>0</v>
      </c>
      <c r="M403" s="1">
        <f>MAX(-16, MIN(16, Games[[#This Row],[RestDiff]]*8))</f>
        <v>0</v>
      </c>
      <c r="N403" s="1">
        <f>MAX(-16, MIN(16, Games[[#This Row],[OppRestDiff]]*8))</f>
        <v>0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1411.9798091605924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1609.4844466872594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0.34222709264139295</v>
      </c>
      <c r="R403" s="1">
        <v>104</v>
      </c>
      <c r="S403" s="1">
        <v>76</v>
      </c>
      <c r="T403" s="1">
        <v>0</v>
      </c>
      <c r="U403" s="1">
        <f>Games[[#This Row],[PointsFor]]-Games[[#This Row],[PointsAgainst]]</f>
        <v>28</v>
      </c>
      <c r="V403" s="1">
        <f>IF(Games[[#This Row],[MOV]]&gt;0,1,IF(Games[[#This Row],[MOV]]=0,0.5,0))</f>
        <v>1</v>
      </c>
      <c r="W403" s="4">
        <f>((ABS(Games[[#This Row],[MOV]])+5)^0.6)/(12+0.01*(ABS(Games[[#This Row],[PreGmRate]]-Games[[#This Row],[OppPreGmRate]])))*IF(Games[[#This Row],[OT]]=1,0.9,1)</f>
        <v>0.58311619883245858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3" s="9">
        <f>MAX(kmin, kmax - 0.15 * MIN(Games[[#This Row],[GamesPlayed]], 82))</f>
        <v>70.900000000000006</v>
      </c>
      <c r="Z403" s="4">
        <f>Games[[#This Row],[K]]*Games[[#This Row],[POMult]]</f>
        <v>70.900000000000006</v>
      </c>
      <c r="AA403" s="4">
        <f>(Games[[#This Row],[Keff]]*Games[[#This Row],[MOVMult]])*(Games[[#This Row],[Result]]-Games[[#This Row],[ExpectedWin%]])</f>
        <v>27.194264854065349</v>
      </c>
      <c r="AB403" s="4">
        <f>Games[[#This Row],[PreGmRate]]+Games[[#This Row],[RatingChange]]</f>
        <v>1439.1740740146577</v>
      </c>
      <c r="AC403" s="2">
        <f>IF(Games[[#This Row],[Type]]="R",IF(Games[[#This Row],[Result]]&gt;0.5,1,0),0)</f>
        <v>1</v>
      </c>
      <c r="AD403" s="2">
        <f>IF(Games[[#This Row],[Type]]="R",IF(Games[[#This Row],[Result]]&lt;0.5,1,0),0)</f>
        <v>0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43716</v>
      </c>
      <c r="B404" s="2">
        <v>2019</v>
      </c>
      <c r="C404" s="2">
        <f>COUNTIFS(Games[Team],Games[[#This Row],[Team]],Games[Season],Games[[#This Row],[Season]],Games[Date],"&lt;=" &amp; Games[[#This Row],[Date]])</f>
        <v>34</v>
      </c>
      <c r="D404" s="2" t="s">
        <v>79</v>
      </c>
      <c r="E404" s="2" t="s">
        <v>80</v>
      </c>
      <c r="F404" s="1" t="s">
        <v>67</v>
      </c>
      <c r="G404" s="1" t="s">
        <v>63</v>
      </c>
      <c r="H404" s="1" t="s">
        <v>81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4" s="2">
        <f>Games[[#This Row],[DaysOff]]-Games[[#This Row],[OppDaysOff]]</f>
        <v>-1</v>
      </c>
      <c r="L404" s="2">
        <f>Games[[#This Row],[OppDaysOff]]-Games[[#This Row],[DaysOff]]</f>
        <v>1</v>
      </c>
      <c r="M404" s="1">
        <f>MAX(-16, MIN(16, Games[[#This Row],[RestDiff]]*8))</f>
        <v>-8</v>
      </c>
      <c r="N404" s="1">
        <f>MAX(-16, MIN(16, Games[[#This Row],[OppRestDiff]]*8))</f>
        <v>8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1561.7945268001904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1590.9863216559631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0.32219826076711156</v>
      </c>
      <c r="R404" s="1">
        <v>68</v>
      </c>
      <c r="S404" s="1">
        <v>77</v>
      </c>
      <c r="T404" s="1">
        <v>0</v>
      </c>
      <c r="U404" s="1">
        <f>Games[[#This Row],[PointsFor]]-Games[[#This Row],[PointsAgainst]]</f>
        <v>-9</v>
      </c>
      <c r="V404" s="1">
        <f>IF(Games[[#This Row],[MOV]]&gt;0,1,IF(Games[[#This Row],[MOV]]=0,0.5,0))</f>
        <v>0</v>
      </c>
      <c r="W404" s="4">
        <f>((ABS(Games[[#This Row],[MOV]])+5)^0.6)/(12+0.01*(ABS(Games[[#This Row],[PreGmRate]]-Games[[#This Row],[OppPreGmRate]])))*IF(Games[[#This Row],[OT]]=1,0.9,1)</f>
        <v>0.3963302021828522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4" s="9">
        <f>MAX(kmin, kmax - 0.15 * MIN(Games[[#This Row],[GamesPlayed]], 82))</f>
        <v>70.900000000000006</v>
      </c>
      <c r="Z404" s="4">
        <f>Games[[#This Row],[K]]*Games[[#This Row],[POMult]]</f>
        <v>70.900000000000006</v>
      </c>
      <c r="AA404" s="4">
        <f>(Games[[#This Row],[Keff]]*Games[[#This Row],[MOVMult]])*(Games[[#This Row],[Result]]-Games[[#This Row],[ExpectedWin%]])</f>
        <v>-9.0537103399450007</v>
      </c>
      <c r="AB404" s="4">
        <f>Games[[#This Row],[PreGmRate]]+Games[[#This Row],[RatingChange]]</f>
        <v>1552.7408164602455</v>
      </c>
      <c r="AC404" s="2">
        <f>IF(Games[[#This Row],[Type]]="R",IF(Games[[#This Row],[Result]]&gt;0.5,1,0),0)</f>
        <v>0</v>
      </c>
      <c r="AD404" s="2">
        <f>IF(Games[[#This Row],[Type]]="R",IF(Games[[#This Row],[Result]]&lt;0.5,1,0),0)</f>
        <v>1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43716</v>
      </c>
      <c r="B405" s="2">
        <v>2019</v>
      </c>
      <c r="C405" s="2">
        <f>COUNTIFS(Games[Team],Games[[#This Row],[Team]],Games[Season],Games[[#This Row],[Season]],Games[Date],"&lt;=" &amp; Games[[#This Row],[Date]])</f>
        <v>34</v>
      </c>
      <c r="D405" s="2" t="s">
        <v>79</v>
      </c>
      <c r="E405" s="2" t="s">
        <v>80</v>
      </c>
      <c r="F405" s="1" t="s">
        <v>63</v>
      </c>
      <c r="G405" s="1" t="s">
        <v>67</v>
      </c>
      <c r="H405" s="1" t="s">
        <v>82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5" s="2">
        <f>Games[[#This Row],[DaysOff]]-Games[[#This Row],[OppDaysOff]]</f>
        <v>1</v>
      </c>
      <c r="L405" s="2">
        <f>Games[[#This Row],[OppDaysOff]]-Games[[#This Row],[DaysOff]]</f>
        <v>-1</v>
      </c>
      <c r="M405" s="1">
        <f>MAX(-16, MIN(16, Games[[#This Row],[RestDiff]]*8))</f>
        <v>8</v>
      </c>
      <c r="N405" s="1">
        <f>MAX(-16, MIN(16, Games[[#This Row],[OppRestDiff]]*8))</f>
        <v>-8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1590.9863216559631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1561.7945268001904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0.67780173923288844</v>
      </c>
      <c r="R405" s="1">
        <v>77</v>
      </c>
      <c r="S405" s="1">
        <v>68</v>
      </c>
      <c r="T405" s="1">
        <v>0</v>
      </c>
      <c r="U405" s="1">
        <f>Games[[#This Row],[PointsFor]]-Games[[#This Row],[PointsAgainst]]</f>
        <v>9</v>
      </c>
      <c r="V405" s="1">
        <f>IF(Games[[#This Row],[MOV]]&gt;0,1,IF(Games[[#This Row],[MOV]]=0,0.5,0))</f>
        <v>1</v>
      </c>
      <c r="W405" s="4">
        <f>((ABS(Games[[#This Row],[MOV]])+5)^0.6)/(12+0.01*(ABS(Games[[#This Row],[PreGmRate]]-Games[[#This Row],[OppPreGmRate]])))*IF(Games[[#This Row],[OT]]=1,0.9,1)</f>
        <v>0.3963302021828522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5" s="9">
        <f>MAX(kmin, kmax - 0.15 * MIN(Games[[#This Row],[GamesPlayed]], 82))</f>
        <v>70.900000000000006</v>
      </c>
      <c r="Z405" s="4">
        <f>Games[[#This Row],[K]]*Games[[#This Row],[POMult]]</f>
        <v>70.900000000000006</v>
      </c>
      <c r="AA405" s="4">
        <f>(Games[[#This Row],[Keff]]*Games[[#This Row],[MOVMult]])*(Games[[#This Row],[Result]]-Games[[#This Row],[ExpectedWin%]])</f>
        <v>9.0537103399450007</v>
      </c>
      <c r="AB405" s="4">
        <f>Games[[#This Row],[PreGmRate]]+Games[[#This Row],[RatingChange]]</f>
        <v>1600.0400319959081</v>
      </c>
      <c r="AC405" s="2">
        <f>IF(Games[[#This Row],[Type]]="R",IF(Games[[#This Row],[Result]]&gt;0.5,1,0),0)</f>
        <v>1</v>
      </c>
      <c r="AD405" s="2">
        <f>IF(Games[[#This Row],[Type]]="R",IF(Games[[#This Row],[Result]]&lt;0.5,1,0),0)</f>
        <v>0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43716</v>
      </c>
      <c r="B406" s="2">
        <v>2019</v>
      </c>
      <c r="C406" s="2">
        <f>COUNTIFS(Games[Team],Games[[#This Row],[Team]],Games[Season],Games[[#This Row],[Season]],Games[Date],"&lt;=" &amp; Games[[#This Row],[Date]])</f>
        <v>34</v>
      </c>
      <c r="D406" s="2" t="s">
        <v>79</v>
      </c>
      <c r="E406" s="2" t="s">
        <v>80</v>
      </c>
      <c r="F406" s="1" t="s">
        <v>86</v>
      </c>
      <c r="G406" s="1" t="s">
        <v>40</v>
      </c>
      <c r="H406" s="1" t="s">
        <v>81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6" s="2">
        <f>Games[[#This Row],[DaysOff]]-Games[[#This Row],[OppDaysOff]]</f>
        <v>1</v>
      </c>
      <c r="L406" s="2">
        <f>Games[[#This Row],[OppDaysOff]]-Games[[#This Row],[DaysOff]]</f>
        <v>-1</v>
      </c>
      <c r="M406" s="1">
        <f>MAX(-16, MIN(16, Games[[#This Row],[RestDiff]]*8))</f>
        <v>8</v>
      </c>
      <c r="N406" s="1">
        <f>MAX(-16, MIN(16, Games[[#This Row],[OppRestDiff]]*8))</f>
        <v>-8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1532.17306308926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1461.6901546427466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0.50357313165775308</v>
      </c>
      <c r="R406" s="1">
        <v>98</v>
      </c>
      <c r="S406" s="1">
        <v>89</v>
      </c>
      <c r="T406" s="1">
        <v>0</v>
      </c>
      <c r="U406" s="1">
        <f>Games[[#This Row],[PointsFor]]-Games[[#This Row],[PointsAgainst]]</f>
        <v>9</v>
      </c>
      <c r="V406" s="1">
        <f>IF(Games[[#This Row],[MOV]]&gt;0,1,IF(Games[[#This Row],[MOV]]=0,0.5,0))</f>
        <v>1</v>
      </c>
      <c r="W406" s="4">
        <f>((ABS(Games[[#This Row],[MOV]])+5)^0.6)/(12+0.01*(ABS(Games[[#This Row],[PreGmRate]]-Games[[#This Row],[OppPreGmRate]])))*IF(Games[[#This Row],[OT]]=1,0.9,1)</f>
        <v>0.38344933988319041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6" s="9">
        <f>MAX(kmin, kmax - 0.15 * MIN(Games[[#This Row],[GamesPlayed]], 82))</f>
        <v>70.900000000000006</v>
      </c>
      <c r="Z406" s="4">
        <f>Games[[#This Row],[K]]*Games[[#This Row],[POMult]]</f>
        <v>70.900000000000006</v>
      </c>
      <c r="AA406" s="4">
        <f>(Games[[#This Row],[Keff]]*Games[[#This Row],[MOVMult]])*(Games[[#This Row],[Result]]-Games[[#This Row],[ExpectedWin%]])</f>
        <v>13.496137947097488</v>
      </c>
      <c r="AB406" s="4">
        <f>Games[[#This Row],[PreGmRate]]+Games[[#This Row],[RatingChange]]</f>
        <v>1545.6692010363574</v>
      </c>
      <c r="AC406" s="2">
        <f>IF(Games[[#This Row],[Type]]="R",IF(Games[[#This Row],[Result]]&gt;0.5,1,0),0)</f>
        <v>1</v>
      </c>
      <c r="AD406" s="2">
        <f>IF(Games[[#This Row],[Type]]="R",IF(Games[[#This Row],[Result]]&lt;0.5,1,0),0)</f>
        <v>0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43716</v>
      </c>
      <c r="B407" s="2">
        <v>2019</v>
      </c>
      <c r="C407" s="2">
        <f>COUNTIFS(Games[Team],Games[[#This Row],[Team]],Games[Season],Games[[#This Row],[Season]],Games[Date],"&lt;=" &amp; Games[[#This Row],[Date]])</f>
        <v>34</v>
      </c>
      <c r="D407" s="2" t="s">
        <v>79</v>
      </c>
      <c r="E407" s="2" t="s">
        <v>80</v>
      </c>
      <c r="F407" s="1" t="s">
        <v>40</v>
      </c>
      <c r="G407" s="1" t="s">
        <v>86</v>
      </c>
      <c r="H407" s="1" t="s">
        <v>82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7" s="2">
        <f>Games[[#This Row],[DaysOff]]-Games[[#This Row],[OppDaysOff]]</f>
        <v>-1</v>
      </c>
      <c r="L407" s="2">
        <f>Games[[#This Row],[OppDaysOff]]-Games[[#This Row],[DaysOff]]</f>
        <v>1</v>
      </c>
      <c r="M407" s="1">
        <f>MAX(-16, MIN(16, Games[[#This Row],[RestDiff]]*8))</f>
        <v>-8</v>
      </c>
      <c r="N407" s="1">
        <f>MAX(-16, MIN(16, Games[[#This Row],[OppRestDiff]]*8))</f>
        <v>8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1461.6901546427466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1532.17306308926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0.49642686834224692</v>
      </c>
      <c r="R407" s="1">
        <v>89</v>
      </c>
      <c r="S407" s="1">
        <v>98</v>
      </c>
      <c r="T407" s="1">
        <v>0</v>
      </c>
      <c r="U407" s="1">
        <f>Games[[#This Row],[PointsFor]]-Games[[#This Row],[PointsAgainst]]</f>
        <v>-9</v>
      </c>
      <c r="V407" s="1">
        <f>IF(Games[[#This Row],[MOV]]&gt;0,1,IF(Games[[#This Row],[MOV]]=0,0.5,0))</f>
        <v>0</v>
      </c>
      <c r="W407" s="4">
        <f>((ABS(Games[[#This Row],[MOV]])+5)^0.6)/(12+0.01*(ABS(Games[[#This Row],[PreGmRate]]-Games[[#This Row],[OppPreGmRate]])))*IF(Games[[#This Row],[OT]]=1,0.9,1)</f>
        <v>0.38344933988319041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7" s="9">
        <f>MAX(kmin, kmax - 0.15 * MIN(Games[[#This Row],[GamesPlayed]], 82))</f>
        <v>70.900000000000006</v>
      </c>
      <c r="Z407" s="4">
        <f>Games[[#This Row],[K]]*Games[[#This Row],[POMult]]</f>
        <v>70.900000000000006</v>
      </c>
      <c r="AA407" s="4">
        <f>(Games[[#This Row],[Keff]]*Games[[#This Row],[MOVMult]])*(Games[[#This Row],[Result]]-Games[[#This Row],[ExpectedWin%]])</f>
        <v>-13.496137947097488</v>
      </c>
      <c r="AB407" s="4">
        <f>Games[[#This Row],[PreGmRate]]+Games[[#This Row],[RatingChange]]</f>
        <v>1448.1940166956492</v>
      </c>
      <c r="AC407" s="2">
        <f>IF(Games[[#This Row],[Type]]="R",IF(Games[[#This Row],[Result]]&gt;0.5,1,0),0)</f>
        <v>0</v>
      </c>
      <c r="AD407" s="2">
        <f>IF(Games[[#This Row],[Type]]="R",IF(Games[[#This Row],[Result]]&lt;0.5,1,0),0)</f>
        <v>1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43716</v>
      </c>
      <c r="B408" s="2">
        <v>2019</v>
      </c>
      <c r="C408" s="2">
        <f>COUNTIFS(Games[Team],Games[[#This Row],[Team]],Games[Season],Games[[#This Row],[Season]],Games[Date],"&lt;=" &amp; Games[[#This Row],[Date]])</f>
        <v>34</v>
      </c>
      <c r="D408" s="2" t="s">
        <v>79</v>
      </c>
      <c r="E408" s="2" t="s">
        <v>80</v>
      </c>
      <c r="F408" s="1" t="s">
        <v>75</v>
      </c>
      <c r="G408" s="1" t="s">
        <v>65</v>
      </c>
      <c r="H408" s="1" t="s">
        <v>81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8" s="2">
        <f>Games[[#This Row],[DaysOff]]-Games[[#This Row],[OppDaysOff]]</f>
        <v>0</v>
      </c>
      <c r="L408" s="2">
        <f>Games[[#This Row],[OppDaysOff]]-Games[[#This Row],[DaysOff]]</f>
        <v>0</v>
      </c>
      <c r="M408" s="1">
        <f>MAX(-16, MIN(16, Games[[#This Row],[RestDiff]]*8))</f>
        <v>0</v>
      </c>
      <c r="N408" s="1">
        <f>MAX(-16, MIN(16, Games[[#This Row],[OppRestDiff]]*8))</f>
        <v>0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1557.2284181676819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1701.8504588763333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0.21147551131897255</v>
      </c>
      <c r="R408" s="1">
        <v>86</v>
      </c>
      <c r="S408" s="1">
        <v>100</v>
      </c>
      <c r="T408" s="1">
        <v>0</v>
      </c>
      <c r="U408" s="1">
        <f>Games[[#This Row],[PointsFor]]-Games[[#This Row],[PointsAgainst]]</f>
        <v>-14</v>
      </c>
      <c r="V408" s="1">
        <f>IF(Games[[#This Row],[MOV]]&gt;0,1,IF(Games[[#This Row],[MOV]]=0,0.5,0))</f>
        <v>0</v>
      </c>
      <c r="W408" s="4">
        <f>((ABS(Games[[#This Row],[MOV]])+5)^0.6)/(12+0.01*(ABS(Games[[#This Row],[PreGmRate]]-Games[[#This Row],[OppPreGmRate]])))*IF(Games[[#This Row],[OT]]=1,0.9,1)</f>
        <v>0.43516297258710906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8" s="9">
        <f>MAX(kmin, kmax - 0.15 * MIN(Games[[#This Row],[GamesPlayed]], 82))</f>
        <v>70.900000000000006</v>
      </c>
      <c r="Z408" s="4">
        <f>Games[[#This Row],[K]]*Games[[#This Row],[POMult]]</f>
        <v>70.900000000000006</v>
      </c>
      <c r="AA408" s="4">
        <f>(Games[[#This Row],[Keff]]*Games[[#This Row],[MOVMult]])*(Games[[#This Row],[Result]]-Games[[#This Row],[ExpectedWin%]])</f>
        <v>-6.5246655303674546</v>
      </c>
      <c r="AB408" s="4">
        <f>Games[[#This Row],[PreGmRate]]+Games[[#This Row],[RatingChange]]</f>
        <v>1550.7037526373144</v>
      </c>
      <c r="AC408" s="2">
        <f>IF(Games[[#This Row],[Type]]="R",IF(Games[[#This Row],[Result]]&gt;0.5,1,0),0)</f>
        <v>0</v>
      </c>
      <c r="AD408" s="2">
        <f>IF(Games[[#This Row],[Type]]="R",IF(Games[[#This Row],[Result]]&lt;0.5,1,0),0)</f>
        <v>1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43716</v>
      </c>
      <c r="B409" s="2">
        <v>2019</v>
      </c>
      <c r="C409" s="2">
        <f>COUNTIFS(Games[Team],Games[[#This Row],[Team]],Games[Season],Games[[#This Row],[Season]],Games[Date],"&lt;=" &amp; Games[[#This Row],[Date]])</f>
        <v>34</v>
      </c>
      <c r="D409" s="2" t="s">
        <v>79</v>
      </c>
      <c r="E409" s="2" t="s">
        <v>80</v>
      </c>
      <c r="F409" s="1" t="s">
        <v>65</v>
      </c>
      <c r="G409" s="1" t="s">
        <v>75</v>
      </c>
      <c r="H409" s="1" t="s">
        <v>82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9" s="2">
        <f>Games[[#This Row],[DaysOff]]-Games[[#This Row],[OppDaysOff]]</f>
        <v>0</v>
      </c>
      <c r="L409" s="2">
        <f>Games[[#This Row],[OppDaysOff]]-Games[[#This Row],[DaysOff]]</f>
        <v>0</v>
      </c>
      <c r="M409" s="1">
        <f>MAX(-16, MIN(16, Games[[#This Row],[RestDiff]]*8))</f>
        <v>0</v>
      </c>
      <c r="N409" s="1">
        <f>MAX(-16, MIN(16, Games[[#This Row],[OppRestDiff]]*8))</f>
        <v>0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1701.8504588763333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1557.2284181676819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0.78852448868102754</v>
      </c>
      <c r="R409" s="1">
        <v>100</v>
      </c>
      <c r="S409" s="1">
        <v>86</v>
      </c>
      <c r="T409" s="1">
        <v>0</v>
      </c>
      <c r="U409" s="1">
        <f>Games[[#This Row],[PointsFor]]-Games[[#This Row],[PointsAgainst]]</f>
        <v>14</v>
      </c>
      <c r="V409" s="1">
        <f>IF(Games[[#This Row],[MOV]]&gt;0,1,IF(Games[[#This Row],[MOV]]=0,0.5,0))</f>
        <v>1</v>
      </c>
      <c r="W409" s="4">
        <f>((ABS(Games[[#This Row],[MOV]])+5)^0.6)/(12+0.01*(ABS(Games[[#This Row],[PreGmRate]]-Games[[#This Row],[OppPreGmRate]])))*IF(Games[[#This Row],[OT]]=1,0.9,1)</f>
        <v>0.43516297258710906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9" s="9">
        <f>MAX(kmin, kmax - 0.15 * MIN(Games[[#This Row],[GamesPlayed]], 82))</f>
        <v>70.900000000000006</v>
      </c>
      <c r="Z409" s="4">
        <f>Games[[#This Row],[K]]*Games[[#This Row],[POMult]]</f>
        <v>70.900000000000006</v>
      </c>
      <c r="AA409" s="4">
        <f>(Games[[#This Row],[Keff]]*Games[[#This Row],[MOVMult]])*(Games[[#This Row],[Result]]-Games[[#This Row],[ExpectedWin%]])</f>
        <v>6.5246655303674519</v>
      </c>
      <c r="AB409" s="4">
        <f>Games[[#This Row],[PreGmRate]]+Games[[#This Row],[RatingChange]]</f>
        <v>1708.3751244067007</v>
      </c>
      <c r="AC409" s="2">
        <f>IF(Games[[#This Row],[Type]]="R",IF(Games[[#This Row],[Result]]&gt;0.5,1,0),0)</f>
        <v>1</v>
      </c>
      <c r="AD409" s="2">
        <f>IF(Games[[#This Row],[Type]]="R",IF(Games[[#This Row],[Result]]&lt;0.5,1,0),0)</f>
        <v>0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43719</v>
      </c>
      <c r="B410" s="2">
        <v>2019</v>
      </c>
      <c r="C410" s="2">
        <f>COUNTIFS(Games[Team],Games[[#This Row],[Team]],Games[Season],Games[[#This Row],[Season]],Games[Date],"&lt;=" &amp; Games[[#This Row],[Date]])</f>
        <v>35</v>
      </c>
      <c r="D410" s="2" t="s">
        <v>83</v>
      </c>
      <c r="E410" s="2">
        <v>0.5</v>
      </c>
      <c r="F410" s="1" t="s">
        <v>40</v>
      </c>
      <c r="G410" s="1" t="s">
        <v>75</v>
      </c>
      <c r="H410" s="1" t="s">
        <v>81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0" s="2">
        <f>Games[[#This Row],[DaysOff]]-Games[[#This Row],[OppDaysOff]]</f>
        <v>0</v>
      </c>
      <c r="L410" s="2">
        <f>Games[[#This Row],[OppDaysOff]]-Games[[#This Row],[DaysOff]]</f>
        <v>0</v>
      </c>
      <c r="M410" s="1">
        <f>MAX(-16, MIN(16, Games[[#This Row],[RestDiff]]*8))</f>
        <v>0</v>
      </c>
      <c r="N410" s="1">
        <f>MAX(-16, MIN(16, Games[[#This Row],[OppRestDiff]]*8))</f>
        <v>0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1448.1940166956492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1550.7037526373144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0.25471216734566487</v>
      </c>
      <c r="R410" s="1">
        <v>76</v>
      </c>
      <c r="S410" s="1">
        <v>105</v>
      </c>
      <c r="T410" s="1">
        <v>0</v>
      </c>
      <c r="U410" s="1">
        <f>Games[[#This Row],[PointsFor]]-Games[[#This Row],[PointsAgainst]]</f>
        <v>-29</v>
      </c>
      <c r="V410" s="1">
        <f>IF(Games[[#This Row],[MOV]]&gt;0,1,IF(Games[[#This Row],[MOV]]=0,0.5,0))</f>
        <v>0</v>
      </c>
      <c r="W410" s="4">
        <f>((ABS(Games[[#This Row],[MOV]])+5)^0.6)/(12+0.01*(ABS(Games[[#This Row],[PreGmRate]]-Games[[#This Row],[OppPreGmRate]])))*IF(Games[[#This Row],[OT]]=1,0.9,1)</f>
        <v>0.636951510702785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1.05</v>
      </c>
      <c r="Y410" s="9">
        <f>MAX(kmin, kmax - 0.15 * MIN(Games[[#This Row],[GamesPlayed]], 82))</f>
        <v>70.75</v>
      </c>
      <c r="Z410" s="4">
        <f>Games[[#This Row],[K]]*Games[[#This Row],[POMult]]</f>
        <v>74.287500000000009</v>
      </c>
      <c r="AA410" s="4">
        <f>(Games[[#This Row],[Keff]]*Games[[#This Row],[MOVMult]])*(Games[[#This Row],[Result]]-Games[[#This Row],[ExpectedWin%]])</f>
        <v>-12.052351982793182</v>
      </c>
      <c r="AB410" s="4">
        <f>Games[[#This Row],[PreGmRate]]+Games[[#This Row],[RatingChange]]</f>
        <v>1436.141664712856</v>
      </c>
      <c r="AC410" s="2">
        <f>IF(Games[[#This Row],[Type]]="R",IF(Games[[#This Row],[Result]]&gt;0.5,1,0),0)</f>
        <v>0</v>
      </c>
      <c r="AD410" s="2">
        <f>IF(Games[[#This Row],[Type]]="R",IF(Games[[#This Row],[Result]]&lt;0.5,1,0),0)</f>
        <v>0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0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43719</v>
      </c>
      <c r="B411" s="2">
        <v>2019</v>
      </c>
      <c r="C411" s="2">
        <f>COUNTIFS(Games[Team],Games[[#This Row],[Team]],Games[Season],Games[[#This Row],[Season]],Games[Date],"&lt;=" &amp; Games[[#This Row],[Date]])</f>
        <v>35</v>
      </c>
      <c r="D411" s="2" t="s">
        <v>83</v>
      </c>
      <c r="E411" s="2">
        <v>0.5</v>
      </c>
      <c r="F411" s="1" t="s">
        <v>75</v>
      </c>
      <c r="G411" s="1" t="s">
        <v>40</v>
      </c>
      <c r="H411" s="1" t="s">
        <v>82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1" s="2">
        <f>Games[[#This Row],[DaysOff]]-Games[[#This Row],[OppDaysOff]]</f>
        <v>0</v>
      </c>
      <c r="L411" s="2">
        <f>Games[[#This Row],[OppDaysOff]]-Games[[#This Row],[DaysOff]]</f>
        <v>0</v>
      </c>
      <c r="M411" s="1">
        <f>MAX(-16, MIN(16, Games[[#This Row],[RestDiff]]*8))</f>
        <v>0</v>
      </c>
      <c r="N411" s="1">
        <f>MAX(-16, MIN(16, Games[[#This Row],[OppRestDiff]]*8))</f>
        <v>0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1550.7037526373144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1448.1940166956492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0.74528783265433507</v>
      </c>
      <c r="R411" s="1">
        <v>105</v>
      </c>
      <c r="S411" s="1">
        <v>76</v>
      </c>
      <c r="T411" s="1">
        <v>0</v>
      </c>
      <c r="U411" s="1">
        <f>Games[[#This Row],[PointsFor]]-Games[[#This Row],[PointsAgainst]]</f>
        <v>29</v>
      </c>
      <c r="V411" s="1">
        <f>IF(Games[[#This Row],[MOV]]&gt;0,1,IF(Games[[#This Row],[MOV]]=0,0.5,0))</f>
        <v>1</v>
      </c>
      <c r="W411" s="4">
        <f>((ABS(Games[[#This Row],[MOV]])+5)^0.6)/(12+0.01*(ABS(Games[[#This Row],[PreGmRate]]-Games[[#This Row],[OppPreGmRate]])))*IF(Games[[#This Row],[OT]]=1,0.9,1)</f>
        <v>0.636951510702785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1.05</v>
      </c>
      <c r="Y411" s="9">
        <f>MAX(kmin, kmax - 0.15 * MIN(Games[[#This Row],[GamesPlayed]], 82))</f>
        <v>70.75</v>
      </c>
      <c r="Z411" s="4">
        <f>Games[[#This Row],[K]]*Games[[#This Row],[POMult]]</f>
        <v>74.287500000000009</v>
      </c>
      <c r="AA411" s="4">
        <f>(Games[[#This Row],[Keff]]*Games[[#This Row],[MOVMult]])*(Games[[#This Row],[Result]]-Games[[#This Row],[ExpectedWin%]])</f>
        <v>12.052351982793185</v>
      </c>
      <c r="AB411" s="4">
        <f>Games[[#This Row],[PreGmRate]]+Games[[#This Row],[RatingChange]]</f>
        <v>1562.7561046201076</v>
      </c>
      <c r="AC411" s="2">
        <f>IF(Games[[#This Row],[Type]]="R",IF(Games[[#This Row],[Result]]&gt;0.5,1,0),0)</f>
        <v>0</v>
      </c>
      <c r="AD411" s="2">
        <f>IF(Games[[#This Row],[Type]]="R",IF(Games[[#This Row],[Result]]&lt;0.5,1,0),0)</f>
        <v>0</v>
      </c>
      <c r="AE411" s="2">
        <f>IF(AND(Games[[#This Row],[Type]]="P",Games[[#This Row],[Round]]=1),IF(Games[[#This Row],[Result]]&gt;0.5,1,0),0)</f>
        <v>0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43719</v>
      </c>
      <c r="B412" s="2">
        <v>2019</v>
      </c>
      <c r="C412" s="2">
        <f>COUNTIFS(Games[Team],Games[[#This Row],[Team]],Games[Season],Games[[#This Row],[Season]],Games[Date],"&lt;=" &amp; Games[[#This Row],[Date]])</f>
        <v>35</v>
      </c>
      <c r="D412" s="2" t="s">
        <v>83</v>
      </c>
      <c r="E412" s="2">
        <v>0.5</v>
      </c>
      <c r="F412" s="1" t="s">
        <v>67</v>
      </c>
      <c r="G412" s="1" t="s">
        <v>71</v>
      </c>
      <c r="H412" s="1" t="s">
        <v>81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2" s="2">
        <f>Games[[#This Row],[DaysOff]]-Games[[#This Row],[OppDaysOff]]</f>
        <v>0</v>
      </c>
      <c r="L412" s="2">
        <f>Games[[#This Row],[OppDaysOff]]-Games[[#This Row],[DaysOff]]</f>
        <v>0</v>
      </c>
      <c r="M412" s="1">
        <f>MAX(-16, MIN(16, Games[[#This Row],[RestDiff]]*8))</f>
        <v>0</v>
      </c>
      <c r="N412" s="1">
        <f>MAX(-16, MIN(16, Games[[#This Row],[OppRestDiff]]*8))</f>
        <v>0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1552.7408164602455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1531.9971238906523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0.40995955514246091</v>
      </c>
      <c r="R412" s="1">
        <v>74</v>
      </c>
      <c r="S412" s="1">
        <v>84</v>
      </c>
      <c r="T412" s="1">
        <v>0</v>
      </c>
      <c r="U412" s="1">
        <f>Games[[#This Row],[PointsFor]]-Games[[#This Row],[PointsAgainst]]</f>
        <v>-10</v>
      </c>
      <c r="V412" s="1">
        <f>IF(Games[[#This Row],[MOV]]&gt;0,1,IF(Games[[#This Row],[MOV]]=0,0.5,0))</f>
        <v>0</v>
      </c>
      <c r="W412" s="4">
        <f>((ABS(Games[[#This Row],[MOV]])+5)^0.6)/(12+0.01*(ABS(Games[[#This Row],[PreGmRate]]-Games[[#This Row],[OppPreGmRate]])))*IF(Games[[#This Row],[OT]]=1,0.9,1)</f>
        <v>0.41593959673053499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1.05</v>
      </c>
      <c r="Y412" s="9">
        <f>MAX(kmin, kmax - 0.15 * MIN(Games[[#This Row],[GamesPlayed]], 82))</f>
        <v>70.75</v>
      </c>
      <c r="Z412" s="4">
        <f>Games[[#This Row],[K]]*Games[[#This Row],[POMult]]</f>
        <v>74.287500000000009</v>
      </c>
      <c r="AA412" s="4">
        <f>(Games[[#This Row],[Keff]]*Games[[#This Row],[MOVMult]])*(Games[[#This Row],[Result]]-Games[[#This Row],[ExpectedWin%]])</f>
        <v>-12.667386534554083</v>
      </c>
      <c r="AB412" s="4">
        <f>Games[[#This Row],[PreGmRate]]+Games[[#This Row],[RatingChange]]</f>
        <v>1540.0734299256915</v>
      </c>
      <c r="AC412" s="2">
        <f>IF(Games[[#This Row],[Type]]="R",IF(Games[[#This Row],[Result]]&gt;0.5,1,0),0)</f>
        <v>0</v>
      </c>
      <c r="AD412" s="2">
        <f>IF(Games[[#This Row],[Type]]="R",IF(Games[[#This Row],[Result]]&lt;0.5,1,0),0)</f>
        <v>0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0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43719</v>
      </c>
      <c r="B413" s="2">
        <v>2019</v>
      </c>
      <c r="C413" s="2">
        <f>COUNTIFS(Games[Team],Games[[#This Row],[Team]],Games[Season],Games[[#This Row],[Season]],Games[Date],"&lt;=" &amp; Games[[#This Row],[Date]])</f>
        <v>35</v>
      </c>
      <c r="D413" s="2" t="s">
        <v>83</v>
      </c>
      <c r="E413" s="2">
        <v>0.5</v>
      </c>
      <c r="F413" s="1" t="s">
        <v>71</v>
      </c>
      <c r="G413" s="1" t="s">
        <v>67</v>
      </c>
      <c r="H413" s="1" t="s">
        <v>82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3" s="2">
        <f>Games[[#This Row],[DaysOff]]-Games[[#This Row],[OppDaysOff]]</f>
        <v>0</v>
      </c>
      <c r="L413" s="2">
        <f>Games[[#This Row],[OppDaysOff]]-Games[[#This Row],[DaysOff]]</f>
        <v>0</v>
      </c>
      <c r="M413" s="1">
        <f>MAX(-16, MIN(16, Games[[#This Row],[RestDiff]]*8))</f>
        <v>0</v>
      </c>
      <c r="N413" s="1">
        <f>MAX(-16, MIN(16, Games[[#This Row],[OppRestDiff]]*8))</f>
        <v>0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1531.9971238906523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1552.7408164602455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0.59004044485753904</v>
      </c>
      <c r="R413" s="1">
        <v>84</v>
      </c>
      <c r="S413" s="1">
        <v>74</v>
      </c>
      <c r="T413" s="1">
        <v>0</v>
      </c>
      <c r="U413" s="1">
        <f>Games[[#This Row],[PointsFor]]-Games[[#This Row],[PointsAgainst]]</f>
        <v>10</v>
      </c>
      <c r="V413" s="1">
        <f>IF(Games[[#This Row],[MOV]]&gt;0,1,IF(Games[[#This Row],[MOV]]=0,0.5,0))</f>
        <v>1</v>
      </c>
      <c r="W413" s="4">
        <f>((ABS(Games[[#This Row],[MOV]])+5)^0.6)/(12+0.01*(ABS(Games[[#This Row],[PreGmRate]]-Games[[#This Row],[OppPreGmRate]])))*IF(Games[[#This Row],[OT]]=1,0.9,1)</f>
        <v>0.41593959673053499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1.05</v>
      </c>
      <c r="Y413" s="9">
        <f>MAX(kmin, kmax - 0.15 * MIN(Games[[#This Row],[GamesPlayed]], 82))</f>
        <v>70.75</v>
      </c>
      <c r="Z413" s="4">
        <f>Games[[#This Row],[K]]*Games[[#This Row],[POMult]]</f>
        <v>74.287500000000009</v>
      </c>
      <c r="AA413" s="4">
        <f>(Games[[#This Row],[Keff]]*Games[[#This Row],[MOVMult]])*(Games[[#This Row],[Result]]-Games[[#This Row],[ExpectedWin%]])</f>
        <v>12.667386534554085</v>
      </c>
      <c r="AB413" s="4">
        <f>Games[[#This Row],[PreGmRate]]+Games[[#This Row],[RatingChange]]</f>
        <v>1544.6645104252063</v>
      </c>
      <c r="AC413" s="2">
        <f>IF(Games[[#This Row],[Type]]="R",IF(Games[[#This Row],[Result]]&gt;0.5,1,0),0)</f>
        <v>0</v>
      </c>
      <c r="AD413" s="2">
        <f>IF(Games[[#This Row],[Type]]="R",IF(Games[[#This Row],[Result]]&lt;0.5,1,0),0)</f>
        <v>0</v>
      </c>
      <c r="AE413" s="2">
        <f>IF(AND(Games[[#This Row],[Type]]="P",Games[[#This Row],[Round]]=1),IF(Games[[#This Row],[Result]]&gt;0.5,1,0),0)</f>
        <v>0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43723</v>
      </c>
      <c r="B414" s="2">
        <v>2019</v>
      </c>
      <c r="C414" s="2">
        <f>COUNTIFS(Games[Team],Games[[#This Row],[Team]],Games[Season],Games[[#This Row],[Season]],Games[Date],"&lt;=" &amp; Games[[#This Row],[Date]])</f>
        <v>36</v>
      </c>
      <c r="D414" s="2" t="s">
        <v>83</v>
      </c>
      <c r="E414" s="2">
        <v>1</v>
      </c>
      <c r="F414" s="1" t="s">
        <v>71</v>
      </c>
      <c r="G414" s="1" t="s">
        <v>63</v>
      </c>
      <c r="H414" s="1" t="s">
        <v>81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14" s="2">
        <f>Games[[#This Row],[DaysOff]]-Games[[#This Row],[OppDaysOff]]</f>
        <v>-3</v>
      </c>
      <c r="L414" s="2">
        <f>Games[[#This Row],[OppDaysOff]]-Games[[#This Row],[DaysOff]]</f>
        <v>3</v>
      </c>
      <c r="M414" s="1">
        <f>MAX(-16, MIN(16, Games[[#This Row],[RestDiff]]*8))</f>
        <v>-16</v>
      </c>
      <c r="N414" s="1">
        <f>MAX(-16, MIN(16, Games[[#This Row],[OppRestDiff]]*8))</f>
        <v>16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1544.6645104252063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1600.0400319959081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0.27160062297537252</v>
      </c>
      <c r="R414" s="1">
        <v>69</v>
      </c>
      <c r="S414" s="1">
        <v>92</v>
      </c>
      <c r="T414" s="1">
        <v>0</v>
      </c>
      <c r="U414" s="1">
        <f>Games[[#This Row],[PointsFor]]-Games[[#This Row],[PointsAgainst]]</f>
        <v>-23</v>
      </c>
      <c r="V414" s="1">
        <f>IF(Games[[#This Row],[MOV]]&gt;0,1,IF(Games[[#This Row],[MOV]]=0,0.5,0))</f>
        <v>0</v>
      </c>
      <c r="W414" s="4">
        <f>((ABS(Games[[#This Row],[MOV]])+5)^0.6)/(12+0.01*(ABS(Games[[#This Row],[PreGmRate]]-Games[[#This Row],[OppPreGmRate]])))*IF(Games[[#This Row],[OT]]=1,0.9,1)</f>
        <v>0.58819477549669241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4" s="9">
        <f>MAX(kmin, kmax - 0.15 * MIN(Games[[#This Row],[GamesPlayed]], 82))</f>
        <v>70.599999999999994</v>
      </c>
      <c r="Z414" s="4">
        <f>Games[[#This Row],[K]]*Games[[#This Row],[POMult]]</f>
        <v>77.66</v>
      </c>
      <c r="AA414" s="4">
        <f>(Games[[#This Row],[Keff]]*Games[[#This Row],[MOVMult]])*(Games[[#This Row],[Result]]-Games[[#This Row],[ExpectedWin%]])</f>
        <v>-12.406500878614402</v>
      </c>
      <c r="AB414" s="4">
        <f>Games[[#This Row],[PreGmRate]]+Games[[#This Row],[RatingChange]]</f>
        <v>1532.2580095465919</v>
      </c>
      <c r="AC414" s="2">
        <f>IF(Games[[#This Row],[Type]]="R",IF(Games[[#This Row],[Result]]&gt;0.5,1,0),0)</f>
        <v>0</v>
      </c>
      <c r="AD414" s="2">
        <f>IF(Games[[#This Row],[Type]]="R",IF(Games[[#This Row],[Result]]&lt;0.5,1,0),0)</f>
        <v>0</v>
      </c>
      <c r="AE414" s="2">
        <f>IF(AND(Games[[#This Row],[Type]]="P",Games[[#This Row],[Round]]=1),IF(Games[[#This Row],[Result]]&gt;0.5,1,0),0)</f>
        <v>0</v>
      </c>
      <c r="AF414" s="2">
        <f>IF(AND(Games[[#This Row],[Type]]="P",Games[[#This Row],[Round]]=1),IF(Games[[#This Row],[Result]]&lt;0.5,1,0),0)</f>
        <v>1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43723</v>
      </c>
      <c r="B415" s="2">
        <v>2019</v>
      </c>
      <c r="C415" s="2">
        <f>COUNTIFS(Games[Team],Games[[#This Row],[Team]],Games[Season],Games[[#This Row],[Season]],Games[Date],"&lt;=" &amp; Games[[#This Row],[Date]])</f>
        <v>35</v>
      </c>
      <c r="D415" s="2" t="s">
        <v>83</v>
      </c>
      <c r="E415" s="2">
        <v>1</v>
      </c>
      <c r="F415" s="1" t="s">
        <v>63</v>
      </c>
      <c r="G415" s="1" t="s">
        <v>71</v>
      </c>
      <c r="H415" s="1" t="s">
        <v>82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6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5" s="2">
        <f>Games[[#This Row],[DaysOff]]-Games[[#This Row],[OppDaysOff]]</f>
        <v>3</v>
      </c>
      <c r="L415" s="2">
        <f>Games[[#This Row],[OppDaysOff]]-Games[[#This Row],[DaysOff]]</f>
        <v>-3</v>
      </c>
      <c r="M415" s="1">
        <f>MAX(-16, MIN(16, Games[[#This Row],[RestDiff]]*8))</f>
        <v>16</v>
      </c>
      <c r="N415" s="1">
        <f>MAX(-16, MIN(16, Games[[#This Row],[OppRestDiff]]*8))</f>
        <v>-16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1600.0400319959081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1544.6645104252063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0.72839937702462743</v>
      </c>
      <c r="R415" s="1">
        <v>92</v>
      </c>
      <c r="S415" s="1">
        <v>69</v>
      </c>
      <c r="T415" s="1">
        <v>0</v>
      </c>
      <c r="U415" s="1">
        <f>Games[[#This Row],[PointsFor]]-Games[[#This Row],[PointsAgainst]]</f>
        <v>23</v>
      </c>
      <c r="V415" s="1">
        <f>IF(Games[[#This Row],[MOV]]&gt;0,1,IF(Games[[#This Row],[MOV]]=0,0.5,0))</f>
        <v>1</v>
      </c>
      <c r="W415" s="4">
        <f>((ABS(Games[[#This Row],[MOV]])+5)^0.6)/(12+0.01*(ABS(Games[[#This Row],[PreGmRate]]-Games[[#This Row],[OppPreGmRate]])))*IF(Games[[#This Row],[OT]]=1,0.9,1)</f>
        <v>0.58819477549669241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5" s="9">
        <f>MAX(kmin, kmax - 0.15 * MIN(Games[[#This Row],[GamesPlayed]], 82))</f>
        <v>70.75</v>
      </c>
      <c r="Z415" s="4">
        <f>Games[[#This Row],[K]]*Games[[#This Row],[POMult]]</f>
        <v>77.825000000000003</v>
      </c>
      <c r="AA415" s="4">
        <f>(Games[[#This Row],[Keff]]*Games[[#This Row],[MOVMult]])*(Games[[#This Row],[Result]]-Games[[#This Row],[ExpectedWin%]])</f>
        <v>12.432860299744606</v>
      </c>
      <c r="AB415" s="4">
        <f>Games[[#This Row],[PreGmRate]]+Games[[#This Row],[RatingChange]]</f>
        <v>1612.4728922956526</v>
      </c>
      <c r="AC415" s="2">
        <f>IF(Games[[#This Row],[Type]]="R",IF(Games[[#This Row],[Result]]&gt;0.5,1,0),0)</f>
        <v>0</v>
      </c>
      <c r="AD415" s="2">
        <f>IF(Games[[#This Row],[Type]]="R",IF(Games[[#This Row],[Result]]&lt;0.5,1,0),0)</f>
        <v>0</v>
      </c>
      <c r="AE415" s="2">
        <f>IF(AND(Games[[#This Row],[Type]]="P",Games[[#This Row],[Round]]=1),IF(Games[[#This Row],[Result]]&gt;0.5,1,0),0)</f>
        <v>1</v>
      </c>
      <c r="AF415" s="2">
        <f>IF(AND(Games[[#This Row],[Type]]="P",Games[[#This Row],[Round]]=1),IF(Games[[#This Row],[Result]]&lt;0.5,1,0),0)</f>
        <v>0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43723</v>
      </c>
      <c r="B416" s="2">
        <v>2019</v>
      </c>
      <c r="C416" s="2">
        <f>COUNTIFS(Games[Team],Games[[#This Row],[Team]],Games[Season],Games[[#This Row],[Season]],Games[Date],"&lt;=" &amp; Games[[#This Row],[Date]])</f>
        <v>36</v>
      </c>
      <c r="D416" s="2" t="s">
        <v>83</v>
      </c>
      <c r="E416" s="2">
        <v>1</v>
      </c>
      <c r="F416" s="1" t="s">
        <v>75</v>
      </c>
      <c r="G416" s="1" t="s">
        <v>86</v>
      </c>
      <c r="H416" s="1" t="s">
        <v>81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16" s="2">
        <f>Games[[#This Row],[DaysOff]]-Games[[#This Row],[OppDaysOff]]</f>
        <v>-3</v>
      </c>
      <c r="L416" s="2">
        <f>Games[[#This Row],[OppDaysOff]]-Games[[#This Row],[DaysOff]]</f>
        <v>3</v>
      </c>
      <c r="M416" s="1">
        <f>MAX(-16, MIN(16, Games[[#This Row],[RestDiff]]*8))</f>
        <v>-16</v>
      </c>
      <c r="N416" s="1">
        <f>MAX(-16, MIN(16, Games[[#This Row],[OppRestDiff]]*8))</f>
        <v>16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1562.7561046201076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1545.6692010363574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0.36137769417551852</v>
      </c>
      <c r="R416" s="1">
        <v>92</v>
      </c>
      <c r="S416" s="1">
        <v>93</v>
      </c>
      <c r="T416" s="1">
        <v>0</v>
      </c>
      <c r="U416" s="1">
        <f>Games[[#This Row],[PointsFor]]-Games[[#This Row],[PointsAgainst]]</f>
        <v>-1</v>
      </c>
      <c r="V416" s="1">
        <f>IF(Games[[#This Row],[MOV]]&gt;0,1,IF(Games[[#This Row],[MOV]]=0,0.5,0))</f>
        <v>0</v>
      </c>
      <c r="W416" s="4">
        <f>((ABS(Games[[#This Row],[MOV]])+5)^0.6)/(12+0.01*(ABS(Games[[#This Row],[PreGmRate]]-Games[[#This Row],[OppPreGmRate]])))*IF(Games[[#This Row],[OT]]=1,0.9,1)</f>
        <v>0.24075158831761198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6" s="9">
        <f>MAX(kmin, kmax - 0.15 * MIN(Games[[#This Row],[GamesPlayed]], 82))</f>
        <v>70.599999999999994</v>
      </c>
      <c r="Z416" s="4">
        <f>Games[[#This Row],[K]]*Games[[#This Row],[POMult]]</f>
        <v>77.66</v>
      </c>
      <c r="AA416" s="4">
        <f>(Games[[#This Row],[Keff]]*Games[[#This Row],[MOVMult]])*(Games[[#This Row],[Result]]-Games[[#This Row],[ExpectedWin%]])</f>
        <v>-6.7565950344035546</v>
      </c>
      <c r="AB416" s="4">
        <f>Games[[#This Row],[PreGmRate]]+Games[[#This Row],[RatingChange]]</f>
        <v>1555.9995095857041</v>
      </c>
      <c r="AC416" s="2">
        <f>IF(Games[[#This Row],[Type]]="R",IF(Games[[#This Row],[Result]]&gt;0.5,1,0),0)</f>
        <v>0</v>
      </c>
      <c r="AD416" s="2">
        <f>IF(Games[[#This Row],[Type]]="R",IF(Games[[#This Row],[Result]]&lt;0.5,1,0),0)</f>
        <v>0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1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43723</v>
      </c>
      <c r="B417" s="2">
        <v>2019</v>
      </c>
      <c r="C417" s="2">
        <f>COUNTIFS(Games[Team],Games[[#This Row],[Team]],Games[Season],Games[[#This Row],[Season]],Games[Date],"&lt;=" &amp; Games[[#This Row],[Date]])</f>
        <v>35</v>
      </c>
      <c r="D417" s="2" t="s">
        <v>83</v>
      </c>
      <c r="E417" s="2">
        <v>1</v>
      </c>
      <c r="F417" s="1" t="s">
        <v>86</v>
      </c>
      <c r="G417" s="1" t="s">
        <v>75</v>
      </c>
      <c r="H417" s="1" t="s">
        <v>82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6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7" s="2">
        <f>Games[[#This Row],[DaysOff]]-Games[[#This Row],[OppDaysOff]]</f>
        <v>3</v>
      </c>
      <c r="L417" s="2">
        <f>Games[[#This Row],[OppDaysOff]]-Games[[#This Row],[DaysOff]]</f>
        <v>-3</v>
      </c>
      <c r="M417" s="1">
        <f>MAX(-16, MIN(16, Games[[#This Row],[RestDiff]]*8))</f>
        <v>16</v>
      </c>
      <c r="N417" s="1">
        <f>MAX(-16, MIN(16, Games[[#This Row],[OppRestDiff]]*8))</f>
        <v>-16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1545.6692010363574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1562.7561046201076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0.63862230582448143</v>
      </c>
      <c r="R417" s="1">
        <v>93</v>
      </c>
      <c r="S417" s="1">
        <v>92</v>
      </c>
      <c r="T417" s="1">
        <v>0</v>
      </c>
      <c r="U417" s="1">
        <f>Games[[#This Row],[PointsFor]]-Games[[#This Row],[PointsAgainst]]</f>
        <v>1</v>
      </c>
      <c r="V417" s="1">
        <f>IF(Games[[#This Row],[MOV]]&gt;0,1,IF(Games[[#This Row],[MOV]]=0,0.5,0))</f>
        <v>1</v>
      </c>
      <c r="W417" s="4">
        <f>((ABS(Games[[#This Row],[MOV]])+5)^0.6)/(12+0.01*(ABS(Games[[#This Row],[PreGmRate]]-Games[[#This Row],[OppPreGmRate]])))*IF(Games[[#This Row],[OT]]=1,0.9,1)</f>
        <v>0.24075158831761198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7" s="9">
        <f>MAX(kmin, kmax - 0.15 * MIN(Games[[#This Row],[GamesPlayed]], 82))</f>
        <v>70.75</v>
      </c>
      <c r="Z417" s="4">
        <f>Games[[#This Row],[K]]*Games[[#This Row],[POMult]]</f>
        <v>77.825000000000003</v>
      </c>
      <c r="AA417" s="4">
        <f>(Games[[#This Row],[Keff]]*Games[[#This Row],[MOVMult]])*(Games[[#This Row],[Result]]-Games[[#This Row],[ExpectedWin%]])</f>
        <v>6.7709504062896828</v>
      </c>
      <c r="AB417" s="4">
        <f>Games[[#This Row],[PreGmRate]]+Games[[#This Row],[RatingChange]]</f>
        <v>1552.4401514426472</v>
      </c>
      <c r="AC417" s="2">
        <f>IF(Games[[#This Row],[Type]]="R",IF(Games[[#This Row],[Result]]&gt;0.5,1,0),0)</f>
        <v>0</v>
      </c>
      <c r="AD417" s="2">
        <f>IF(Games[[#This Row],[Type]]="R",IF(Games[[#This Row],[Result]]&lt;0.5,1,0),0)</f>
        <v>0</v>
      </c>
      <c r="AE417" s="2">
        <f>IF(AND(Games[[#This Row],[Type]]="P",Games[[#This Row],[Round]]=1),IF(Games[[#This Row],[Result]]&gt;0.5,1,0),0)</f>
        <v>1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43725</v>
      </c>
      <c r="B418" s="2">
        <v>2019</v>
      </c>
      <c r="C418" s="2">
        <f>COUNTIFS(Games[Team],Games[[#This Row],[Team]],Games[Season],Games[[#This Row],[Season]],Games[Date],"&lt;=" &amp; Games[[#This Row],[Date]])</f>
        <v>36</v>
      </c>
      <c r="D418" s="2" t="s">
        <v>83</v>
      </c>
      <c r="E418" s="2">
        <v>2</v>
      </c>
      <c r="F418" s="1" t="s">
        <v>63</v>
      </c>
      <c r="G418" s="1" t="s">
        <v>74</v>
      </c>
      <c r="H418" s="1" t="s">
        <v>81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418" s="2">
        <f>Games[[#This Row],[DaysOff]]-Games[[#This Row],[OppDaysOff]]</f>
        <v>-7</v>
      </c>
      <c r="L418" s="2">
        <f>Games[[#This Row],[OppDaysOff]]-Games[[#This Row],[DaysOff]]</f>
        <v>7</v>
      </c>
      <c r="M418" s="1">
        <f>MAX(-16, MIN(16, Games[[#This Row],[RestDiff]]*8))</f>
        <v>-16</v>
      </c>
      <c r="N418" s="1">
        <f>MAX(-16, MIN(16, Games[[#This Row],[OppRestDiff]]*8))</f>
        <v>16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1612.4728922956526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1582.2901818331941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0.37895077539924399</v>
      </c>
      <c r="R418" s="1">
        <v>75</v>
      </c>
      <c r="S418" s="1">
        <v>84</v>
      </c>
      <c r="T418" s="1">
        <v>0</v>
      </c>
      <c r="U418" s="1">
        <f>Games[[#This Row],[PointsFor]]-Games[[#This Row],[PointsAgainst]]</f>
        <v>-9</v>
      </c>
      <c r="V418" s="1">
        <f>IF(Games[[#This Row],[MOV]]&gt;0,1,IF(Games[[#This Row],[MOV]]=0,0.5,0))</f>
        <v>0</v>
      </c>
      <c r="W418" s="4">
        <f>((ABS(Games[[#This Row],[MOV]])+5)^0.6)/(12+0.01*(ABS(Games[[#This Row],[PreGmRate]]-Games[[#This Row],[OppPreGmRate]])))*IF(Games[[#This Row],[OT]]=1,0.9,1)</f>
        <v>0.39601095709884648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18" s="9">
        <f>MAX(kmin, kmax - 0.15 * MIN(Games[[#This Row],[GamesPlayed]], 82))</f>
        <v>70.599999999999994</v>
      </c>
      <c r="Z418" s="4">
        <f>Games[[#This Row],[K]]*Games[[#This Row],[POMult]]</f>
        <v>84.719999999999985</v>
      </c>
      <c r="AA418" s="4">
        <f>(Games[[#This Row],[Keff]]*Games[[#This Row],[MOVMult]])*(Games[[#This Row],[Result]]-Games[[#This Row],[ExpectedWin%]])</f>
        <v>-12.713816812439815</v>
      </c>
      <c r="AB418" s="4">
        <f>Games[[#This Row],[PreGmRate]]+Games[[#This Row],[RatingChange]]</f>
        <v>1599.7590754832129</v>
      </c>
      <c r="AC418" s="2">
        <f>IF(Games[[#This Row],[Type]]="R",IF(Games[[#This Row],[Result]]&gt;0.5,1,0),0)</f>
        <v>0</v>
      </c>
      <c r="AD418" s="2">
        <f>IF(Games[[#This Row],[Type]]="R",IF(Games[[#This Row],[Result]]&lt;0.5,1,0),0)</f>
        <v>0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1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43725</v>
      </c>
      <c r="B419" s="2">
        <v>2019</v>
      </c>
      <c r="C419" s="2">
        <f>COUNTIFS(Games[Team],Games[[#This Row],[Team]],Games[Season],Games[[#This Row],[Season]],Games[Date],"&lt;=" &amp; Games[[#This Row],[Date]])</f>
        <v>35</v>
      </c>
      <c r="D419" s="2" t="s">
        <v>83</v>
      </c>
      <c r="E419" s="2">
        <v>2</v>
      </c>
      <c r="F419" s="1" t="s">
        <v>74</v>
      </c>
      <c r="G419" s="1" t="s">
        <v>63</v>
      </c>
      <c r="H419" s="1" t="s">
        <v>82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8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9" s="2">
        <f>Games[[#This Row],[DaysOff]]-Games[[#This Row],[OppDaysOff]]</f>
        <v>7</v>
      </c>
      <c r="L419" s="2">
        <f>Games[[#This Row],[OppDaysOff]]-Games[[#This Row],[DaysOff]]</f>
        <v>-7</v>
      </c>
      <c r="M419" s="1">
        <f>MAX(-16, MIN(16, Games[[#This Row],[RestDiff]]*8))</f>
        <v>16</v>
      </c>
      <c r="N419" s="1">
        <f>MAX(-16, MIN(16, Games[[#This Row],[OppRestDiff]]*8))</f>
        <v>-16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1582.2901818331941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1612.4728922956526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0.62104922460075607</v>
      </c>
      <c r="R419" s="1">
        <v>84</v>
      </c>
      <c r="S419" s="1">
        <v>75</v>
      </c>
      <c r="T419" s="1">
        <v>0</v>
      </c>
      <c r="U419" s="1">
        <f>Games[[#This Row],[PointsFor]]-Games[[#This Row],[PointsAgainst]]</f>
        <v>9</v>
      </c>
      <c r="V419" s="1">
        <f>IF(Games[[#This Row],[MOV]]&gt;0,1,IF(Games[[#This Row],[MOV]]=0,0.5,0))</f>
        <v>1</v>
      </c>
      <c r="W419" s="4">
        <f>((ABS(Games[[#This Row],[MOV]])+5)^0.6)/(12+0.01*(ABS(Games[[#This Row],[PreGmRate]]-Games[[#This Row],[OppPreGmRate]])))*IF(Games[[#This Row],[OT]]=1,0.9,1)</f>
        <v>0.39601095709884648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19" s="9">
        <f>MAX(kmin, kmax - 0.15 * MIN(Games[[#This Row],[GamesPlayed]], 82))</f>
        <v>70.75</v>
      </c>
      <c r="Z419" s="4">
        <f>Games[[#This Row],[K]]*Games[[#This Row],[POMult]]</f>
        <v>84.899999999999991</v>
      </c>
      <c r="AA419" s="4">
        <f>(Games[[#This Row],[Keff]]*Games[[#This Row],[MOVMult]])*(Games[[#This Row],[Result]]-Games[[#This Row],[ExpectedWin%]])</f>
        <v>12.740829171106469</v>
      </c>
      <c r="AB419" s="4">
        <f>Games[[#This Row],[PreGmRate]]+Games[[#This Row],[RatingChange]]</f>
        <v>1595.0310110043006</v>
      </c>
      <c r="AC419" s="2">
        <f>IF(Games[[#This Row],[Type]]="R",IF(Games[[#This Row],[Result]]&gt;0.5,1,0),0)</f>
        <v>0</v>
      </c>
      <c r="AD419" s="2">
        <f>IF(Games[[#This Row],[Type]]="R",IF(Games[[#This Row],[Result]]&lt;0.5,1,0),0)</f>
        <v>0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1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43725</v>
      </c>
      <c r="B420" s="2">
        <v>2019</v>
      </c>
      <c r="C420" s="2">
        <f>COUNTIFS(Games[Team],Games[[#This Row],[Team]],Games[Season],Games[[#This Row],[Season]],Games[Date],"&lt;=" &amp; Games[[#This Row],[Date]])</f>
        <v>36</v>
      </c>
      <c r="D420" s="2" t="s">
        <v>83</v>
      </c>
      <c r="E420" s="2">
        <v>2</v>
      </c>
      <c r="F420" s="1" t="s">
        <v>86</v>
      </c>
      <c r="G420" s="1" t="s">
        <v>65</v>
      </c>
      <c r="H420" s="1" t="s">
        <v>81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420" s="2">
        <f>Games[[#This Row],[DaysOff]]-Games[[#This Row],[OppDaysOff]]</f>
        <v>-7</v>
      </c>
      <c r="L420" s="2">
        <f>Games[[#This Row],[OppDaysOff]]-Games[[#This Row],[DaysOff]]</f>
        <v>7</v>
      </c>
      <c r="M420" s="1">
        <f>MAX(-16, MIN(16, Games[[#This Row],[RestDiff]]*8))</f>
        <v>-16</v>
      </c>
      <c r="N420" s="1">
        <f>MAX(-16, MIN(16, Games[[#This Row],[OppRestDiff]]*8))</f>
        <v>16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1552.4401514426472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1708.3751244067007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0.17287550115215733</v>
      </c>
      <c r="R420" s="1">
        <v>95</v>
      </c>
      <c r="S420" s="1">
        <v>97</v>
      </c>
      <c r="T420" s="1">
        <v>0</v>
      </c>
      <c r="U420" s="1">
        <f>Games[[#This Row],[PointsFor]]-Games[[#This Row],[PointsAgainst]]</f>
        <v>-2</v>
      </c>
      <c r="V420" s="1">
        <f>IF(Games[[#This Row],[MOV]]&gt;0,1,IF(Games[[#This Row],[MOV]]=0,0.5,0))</f>
        <v>0</v>
      </c>
      <c r="W420" s="4">
        <f>((ABS(Games[[#This Row],[MOV]])+5)^0.6)/(12+0.01*(ABS(Games[[#This Row],[PreGmRate]]-Games[[#This Row],[OppPreGmRate]])))*IF(Games[[#This Row],[OT]]=1,0.9,1)</f>
        <v>0.23703908474977034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0" s="9">
        <f>MAX(kmin, kmax - 0.15 * MIN(Games[[#This Row],[GamesPlayed]], 82))</f>
        <v>70.599999999999994</v>
      </c>
      <c r="Z420" s="4">
        <f>Games[[#This Row],[K]]*Games[[#This Row],[POMult]]</f>
        <v>84.719999999999985</v>
      </c>
      <c r="AA420" s="4">
        <f>(Games[[#This Row],[Keff]]*Games[[#This Row],[MOVMult]])*(Games[[#This Row],[Result]]-Games[[#This Row],[ExpectedWin%]])</f>
        <v>-3.4716773881857907</v>
      </c>
      <c r="AB420" s="4">
        <f>Games[[#This Row],[PreGmRate]]+Games[[#This Row],[RatingChange]]</f>
        <v>1548.9684740544615</v>
      </c>
      <c r="AC420" s="2">
        <f>IF(Games[[#This Row],[Type]]="R",IF(Games[[#This Row],[Result]]&gt;0.5,1,0),0)</f>
        <v>0</v>
      </c>
      <c r="AD420" s="2">
        <f>IF(Games[[#This Row],[Type]]="R",IF(Games[[#This Row],[Result]]&lt;0.5,1,0),0)</f>
        <v>0</v>
      </c>
      <c r="AE420" s="2">
        <f>IF(AND(Games[[#This Row],[Type]]="P",Games[[#This Row],[Round]]=1),IF(Games[[#This Row],[Result]]&gt;0.5,1,0),0)</f>
        <v>0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1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43725</v>
      </c>
      <c r="B421" s="2">
        <v>2019</v>
      </c>
      <c r="C421" s="2">
        <f>COUNTIFS(Games[Team],Games[[#This Row],[Team]],Games[Season],Games[[#This Row],[Season]],Games[Date],"&lt;=" &amp; Games[[#This Row],[Date]])</f>
        <v>35</v>
      </c>
      <c r="D421" s="2" t="s">
        <v>83</v>
      </c>
      <c r="E421" s="2">
        <v>2</v>
      </c>
      <c r="F421" s="1" t="s">
        <v>65</v>
      </c>
      <c r="G421" s="1" t="s">
        <v>86</v>
      </c>
      <c r="H421" s="1" t="s">
        <v>82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8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1" s="2">
        <f>Games[[#This Row],[DaysOff]]-Games[[#This Row],[OppDaysOff]]</f>
        <v>7</v>
      </c>
      <c r="L421" s="2">
        <f>Games[[#This Row],[OppDaysOff]]-Games[[#This Row],[DaysOff]]</f>
        <v>-7</v>
      </c>
      <c r="M421" s="1">
        <f>MAX(-16, MIN(16, Games[[#This Row],[RestDiff]]*8))</f>
        <v>16</v>
      </c>
      <c r="N421" s="1">
        <f>MAX(-16, MIN(16, Games[[#This Row],[OppRestDiff]]*8))</f>
        <v>-16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1708.3751244067007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1552.4401514426472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0.82712449884784256</v>
      </c>
      <c r="R421" s="1">
        <v>97</v>
      </c>
      <c r="S421" s="1">
        <v>95</v>
      </c>
      <c r="T421" s="1">
        <v>0</v>
      </c>
      <c r="U421" s="1">
        <f>Games[[#This Row],[PointsFor]]-Games[[#This Row],[PointsAgainst]]</f>
        <v>2</v>
      </c>
      <c r="V421" s="1">
        <f>IF(Games[[#This Row],[MOV]]&gt;0,1,IF(Games[[#This Row],[MOV]]=0,0.5,0))</f>
        <v>1</v>
      </c>
      <c r="W421" s="4">
        <f>((ABS(Games[[#This Row],[MOV]])+5)^0.6)/(12+0.01*(ABS(Games[[#This Row],[PreGmRate]]-Games[[#This Row],[OppPreGmRate]])))*IF(Games[[#This Row],[OT]]=1,0.9,1)</f>
        <v>0.23703908474977034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1" s="9">
        <f>MAX(kmin, kmax - 0.15 * MIN(Games[[#This Row],[GamesPlayed]], 82))</f>
        <v>70.75</v>
      </c>
      <c r="Z421" s="4">
        <f>Games[[#This Row],[K]]*Games[[#This Row],[POMult]]</f>
        <v>84.899999999999991</v>
      </c>
      <c r="AA421" s="4">
        <f>(Games[[#This Row],[Keff]]*Games[[#This Row],[MOVMult]])*(Games[[#This Row],[Result]]-Games[[#This Row],[ExpectedWin%]])</f>
        <v>3.4790534732881704</v>
      </c>
      <c r="AB421" s="4">
        <f>Games[[#This Row],[PreGmRate]]+Games[[#This Row],[RatingChange]]</f>
        <v>1711.8541778799888</v>
      </c>
      <c r="AC421" s="2">
        <f>IF(Games[[#This Row],[Type]]="R",IF(Games[[#This Row],[Result]]&gt;0.5,1,0),0)</f>
        <v>0</v>
      </c>
      <c r="AD421" s="2">
        <f>IF(Games[[#This Row],[Type]]="R",IF(Games[[#This Row],[Result]]&lt;0.5,1,0),0)</f>
        <v>0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0</v>
      </c>
      <c r="AG421" s="2">
        <f>IF(AND(Games[[#This Row],[Type]]="P",Games[[#This Row],[Round]]=2),IF(Games[[#This Row],[Result]]&gt;0.5,1,0),0)</f>
        <v>1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43727</v>
      </c>
      <c r="B422" s="2">
        <v>2019</v>
      </c>
      <c r="C422" s="2">
        <f>COUNTIFS(Games[Team],Games[[#This Row],[Team]],Games[Season],Games[[#This Row],[Season]],Games[Date],"&lt;=" &amp; Games[[#This Row],[Date]])</f>
        <v>37</v>
      </c>
      <c r="D422" s="2" t="s">
        <v>83</v>
      </c>
      <c r="E422" s="2">
        <v>2</v>
      </c>
      <c r="F422" s="1" t="s">
        <v>63</v>
      </c>
      <c r="G422" s="1" t="s">
        <v>74</v>
      </c>
      <c r="H422" s="1" t="s">
        <v>81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2" s="2">
        <f>Games[[#This Row],[DaysOff]]-Games[[#This Row],[OppDaysOff]]</f>
        <v>0</v>
      </c>
      <c r="L422" s="2">
        <f>Games[[#This Row],[OppDaysOff]]-Games[[#This Row],[DaysOff]]</f>
        <v>0</v>
      </c>
      <c r="M422" s="1">
        <f>MAX(-16, MIN(16, Games[[#This Row],[RestDiff]]*8))</f>
        <v>0</v>
      </c>
      <c r="N422" s="1">
        <f>MAX(-16, MIN(16, Games[[#This Row],[OppRestDiff]]*8))</f>
        <v>0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1599.7590754832129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1595.0310110043006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0.38785777348028821</v>
      </c>
      <c r="R422" s="1">
        <v>68</v>
      </c>
      <c r="S422" s="1">
        <v>94</v>
      </c>
      <c r="T422" s="1">
        <v>0</v>
      </c>
      <c r="U422" s="1">
        <f>Games[[#This Row],[PointsFor]]-Games[[#This Row],[PointsAgainst]]</f>
        <v>-26</v>
      </c>
      <c r="V422" s="1">
        <f>IF(Games[[#This Row],[MOV]]&gt;0,1,IF(Games[[#This Row],[MOV]]=0,0.5,0))</f>
        <v>0</v>
      </c>
      <c r="W422" s="4">
        <f>((ABS(Games[[#This Row],[MOV]])+5)^0.6)/(12+0.01*(ABS(Games[[#This Row],[PreGmRate]]-Games[[#This Row],[OppPreGmRate]])))*IF(Games[[#This Row],[OT]]=1,0.9,1)</f>
        <v>0.65152035530914831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2" s="9">
        <f>MAX(kmin, kmax - 0.15 * MIN(Games[[#This Row],[GamesPlayed]], 82))</f>
        <v>70.45</v>
      </c>
      <c r="Z422" s="4">
        <f>Games[[#This Row],[K]]*Games[[#This Row],[POMult]]</f>
        <v>84.54</v>
      </c>
      <c r="AA422" s="4">
        <f>(Games[[#This Row],[Keff]]*Games[[#This Row],[MOVMult]])*(Games[[#This Row],[Result]]-Games[[#This Row],[ExpectedWin%]])</f>
        <v>-21.363024195101712</v>
      </c>
      <c r="AB422" s="4">
        <f>Games[[#This Row],[PreGmRate]]+Games[[#This Row],[RatingChange]]</f>
        <v>1578.3960512881113</v>
      </c>
      <c r="AC422" s="2">
        <f>IF(Games[[#This Row],[Type]]="R",IF(Games[[#This Row],[Result]]&gt;0.5,1,0),0)</f>
        <v>0</v>
      </c>
      <c r="AD422" s="2">
        <f>IF(Games[[#This Row],[Type]]="R",IF(Games[[#This Row],[Result]]&lt;0.5,1,0),0)</f>
        <v>0</v>
      </c>
      <c r="AE422" s="2">
        <f>IF(AND(Games[[#This Row],[Type]]="P",Games[[#This Row],[Round]]=1),IF(Games[[#This Row],[Result]]&gt;0.5,1,0),0)</f>
        <v>0</v>
      </c>
      <c r="AF422" s="2">
        <f>IF(AND(Games[[#This Row],[Type]]="P",Games[[#This Row],[Round]]=1),IF(Games[[#This Row],[Result]]&lt;0.5,1,0),0)</f>
        <v>0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1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43727</v>
      </c>
      <c r="B423" s="2">
        <v>2019</v>
      </c>
      <c r="C423" s="2">
        <f>COUNTIFS(Games[Team],Games[[#This Row],[Team]],Games[Season],Games[[#This Row],[Season]],Games[Date],"&lt;=" &amp; Games[[#This Row],[Date]])</f>
        <v>36</v>
      </c>
      <c r="D423" s="2" t="s">
        <v>83</v>
      </c>
      <c r="E423" s="2">
        <v>2</v>
      </c>
      <c r="F423" s="1" t="s">
        <v>74</v>
      </c>
      <c r="G423" s="1" t="s">
        <v>63</v>
      </c>
      <c r="H423" s="1" t="s">
        <v>82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3" s="2">
        <f>Games[[#This Row],[DaysOff]]-Games[[#This Row],[OppDaysOff]]</f>
        <v>0</v>
      </c>
      <c r="L423" s="2">
        <f>Games[[#This Row],[OppDaysOff]]-Games[[#This Row],[DaysOff]]</f>
        <v>0</v>
      </c>
      <c r="M423" s="1">
        <f>MAX(-16, MIN(16, Games[[#This Row],[RestDiff]]*8))</f>
        <v>0</v>
      </c>
      <c r="N423" s="1">
        <f>MAX(-16, MIN(16, Games[[#This Row],[OppRestDiff]]*8))</f>
        <v>0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1595.0310110043006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1599.7590754832129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0.61214222651971173</v>
      </c>
      <c r="R423" s="1">
        <v>94</v>
      </c>
      <c r="S423" s="1">
        <v>68</v>
      </c>
      <c r="T423" s="1">
        <v>0</v>
      </c>
      <c r="U423" s="1">
        <f>Games[[#This Row],[PointsFor]]-Games[[#This Row],[PointsAgainst]]</f>
        <v>26</v>
      </c>
      <c r="V423" s="1">
        <f>IF(Games[[#This Row],[MOV]]&gt;0,1,IF(Games[[#This Row],[MOV]]=0,0.5,0))</f>
        <v>1</v>
      </c>
      <c r="W423" s="4">
        <f>((ABS(Games[[#This Row],[MOV]])+5)^0.6)/(12+0.01*(ABS(Games[[#This Row],[PreGmRate]]-Games[[#This Row],[OppPreGmRate]])))*IF(Games[[#This Row],[OT]]=1,0.9,1)</f>
        <v>0.65152035530914831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3" s="9">
        <f>MAX(kmin, kmax - 0.15 * MIN(Games[[#This Row],[GamesPlayed]], 82))</f>
        <v>70.599999999999994</v>
      </c>
      <c r="Z423" s="4">
        <f>Games[[#This Row],[K]]*Games[[#This Row],[POMult]]</f>
        <v>84.719999999999985</v>
      </c>
      <c r="AA423" s="4">
        <f>(Games[[#This Row],[Keff]]*Games[[#This Row],[MOVMult]])*(Games[[#This Row],[Result]]-Games[[#This Row],[ExpectedWin%]])</f>
        <v>21.408509697291425</v>
      </c>
      <c r="AB423" s="4">
        <f>Games[[#This Row],[PreGmRate]]+Games[[#This Row],[RatingChange]]</f>
        <v>1616.4395207015921</v>
      </c>
      <c r="AC423" s="2">
        <f>IF(Games[[#This Row],[Type]]="R",IF(Games[[#This Row],[Result]]&gt;0.5,1,0),0)</f>
        <v>0</v>
      </c>
      <c r="AD423" s="2">
        <f>IF(Games[[#This Row],[Type]]="R",IF(Games[[#This Row],[Result]]&lt;0.5,1,0),0)</f>
        <v>0</v>
      </c>
      <c r="AE423" s="2">
        <f>IF(AND(Games[[#This Row],[Type]]="P",Games[[#This Row],[Round]]=1),IF(Games[[#This Row],[Result]]&gt;0.5,1,0),0)</f>
        <v>0</v>
      </c>
      <c r="AF423" s="2">
        <f>IF(AND(Games[[#This Row],[Type]]="P",Games[[#This Row],[Round]]=1),IF(Games[[#This Row],[Result]]&lt;0.5,1,0),0)</f>
        <v>0</v>
      </c>
      <c r="AG423" s="2">
        <f>IF(AND(Games[[#This Row],[Type]]="P",Games[[#This Row],[Round]]=2),IF(Games[[#This Row],[Result]]&gt;0.5,1,0),0)</f>
        <v>1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43727</v>
      </c>
      <c r="B424" s="2">
        <v>2019</v>
      </c>
      <c r="C424" s="2">
        <f>COUNTIFS(Games[Team],Games[[#This Row],[Team]],Games[Season],Games[[#This Row],[Season]],Games[Date],"&lt;=" &amp; Games[[#This Row],[Date]])</f>
        <v>37</v>
      </c>
      <c r="D424" s="2" t="s">
        <v>83</v>
      </c>
      <c r="E424" s="2">
        <v>2</v>
      </c>
      <c r="F424" s="1" t="s">
        <v>86</v>
      </c>
      <c r="G424" s="1" t="s">
        <v>65</v>
      </c>
      <c r="H424" s="1" t="s">
        <v>81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4" s="2">
        <f>Games[[#This Row],[DaysOff]]-Games[[#This Row],[OppDaysOff]]</f>
        <v>0</v>
      </c>
      <c r="L424" s="2">
        <f>Games[[#This Row],[OppDaysOff]]-Games[[#This Row],[DaysOff]]</f>
        <v>0</v>
      </c>
      <c r="M424" s="1">
        <f>MAX(-16, MIN(16, Games[[#This Row],[RestDiff]]*8))</f>
        <v>0</v>
      </c>
      <c r="N424" s="1">
        <f>MAX(-16, MIN(16, Games[[#This Row],[OppRestDiff]]*8))</f>
        <v>0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1548.9684740544615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1711.8541778799888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0.19447535488697981</v>
      </c>
      <c r="R424" s="1">
        <v>91</v>
      </c>
      <c r="S424" s="1">
        <v>103</v>
      </c>
      <c r="T424" s="1">
        <v>0</v>
      </c>
      <c r="U424" s="1">
        <f>Games[[#This Row],[PointsFor]]-Games[[#This Row],[PointsAgainst]]</f>
        <v>-12</v>
      </c>
      <c r="V424" s="1">
        <f>IF(Games[[#This Row],[MOV]]&gt;0,1,IF(Games[[#This Row],[MOV]]=0,0.5,0))</f>
        <v>0</v>
      </c>
      <c r="W424" s="4">
        <f>((ABS(Games[[#This Row],[MOV]])+5)^0.6)/(12+0.01*(ABS(Games[[#This Row],[PreGmRate]]-Games[[#This Row],[OppPreGmRate]])))*IF(Games[[#This Row],[OT]]=1,0.9,1)</f>
        <v>0.40161499247916371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4" s="9">
        <f>MAX(kmin, kmax - 0.15 * MIN(Games[[#This Row],[GamesPlayed]], 82))</f>
        <v>70.45</v>
      </c>
      <c r="Z424" s="4">
        <f>Games[[#This Row],[K]]*Games[[#This Row],[POMult]]</f>
        <v>84.54</v>
      </c>
      <c r="AA424" s="4">
        <f>(Games[[#This Row],[Keff]]*Games[[#This Row],[MOVMult]])*(Games[[#This Row],[Result]]-Games[[#This Row],[ExpectedWin%]])</f>
        <v>-6.6029306058094077</v>
      </c>
      <c r="AB424" s="4">
        <f>Games[[#This Row],[PreGmRate]]+Games[[#This Row],[RatingChange]]</f>
        <v>1542.365543448652</v>
      </c>
      <c r="AC424" s="2">
        <f>IF(Games[[#This Row],[Type]]="R",IF(Games[[#This Row],[Result]]&gt;0.5,1,0),0)</f>
        <v>0</v>
      </c>
      <c r="AD424" s="2">
        <f>IF(Games[[#This Row],[Type]]="R",IF(Games[[#This Row],[Result]]&lt;0.5,1,0),0)</f>
        <v>0</v>
      </c>
      <c r="AE424" s="2">
        <f>IF(AND(Games[[#This Row],[Type]]="P",Games[[#This Row],[Round]]=1),IF(Games[[#This Row],[Result]]&gt;0.5,1,0),0)</f>
        <v>0</v>
      </c>
      <c r="AF424" s="2">
        <f>IF(AND(Games[[#This Row],[Type]]="P",Games[[#This Row],[Round]]=1),IF(Games[[#This Row],[Result]]&lt;0.5,1,0),0)</f>
        <v>0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1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43727</v>
      </c>
      <c r="B425" s="2">
        <v>2019</v>
      </c>
      <c r="C425" s="2">
        <f>COUNTIFS(Games[Team],Games[[#This Row],[Team]],Games[Season],Games[[#This Row],[Season]],Games[Date],"&lt;=" &amp; Games[[#This Row],[Date]])</f>
        <v>36</v>
      </c>
      <c r="D425" s="2" t="s">
        <v>83</v>
      </c>
      <c r="E425" s="2">
        <v>2</v>
      </c>
      <c r="F425" s="1" t="s">
        <v>65</v>
      </c>
      <c r="G425" s="1" t="s">
        <v>86</v>
      </c>
      <c r="H425" s="1" t="s">
        <v>82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5" s="2">
        <f>Games[[#This Row],[DaysOff]]-Games[[#This Row],[OppDaysOff]]</f>
        <v>0</v>
      </c>
      <c r="L425" s="2">
        <f>Games[[#This Row],[OppDaysOff]]-Games[[#This Row],[DaysOff]]</f>
        <v>0</v>
      </c>
      <c r="M425" s="1">
        <f>MAX(-16, MIN(16, Games[[#This Row],[RestDiff]]*8))</f>
        <v>0</v>
      </c>
      <c r="N425" s="1">
        <f>MAX(-16, MIN(16, Games[[#This Row],[OppRestDiff]]*8))</f>
        <v>0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1711.8541778799888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1548.9684740544615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0.80552464511302013</v>
      </c>
      <c r="R425" s="1">
        <v>103</v>
      </c>
      <c r="S425" s="1">
        <v>91</v>
      </c>
      <c r="T425" s="1">
        <v>0</v>
      </c>
      <c r="U425" s="1">
        <f>Games[[#This Row],[PointsFor]]-Games[[#This Row],[PointsAgainst]]</f>
        <v>12</v>
      </c>
      <c r="V425" s="1">
        <f>IF(Games[[#This Row],[MOV]]&gt;0,1,IF(Games[[#This Row],[MOV]]=0,0.5,0))</f>
        <v>1</v>
      </c>
      <c r="W425" s="4">
        <f>((ABS(Games[[#This Row],[MOV]])+5)^0.6)/(12+0.01*(ABS(Games[[#This Row],[PreGmRate]]-Games[[#This Row],[OppPreGmRate]])))*IF(Games[[#This Row],[OT]]=1,0.9,1)</f>
        <v>0.40161499247916371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5" s="9">
        <f>MAX(kmin, kmax - 0.15 * MIN(Games[[#This Row],[GamesPlayed]], 82))</f>
        <v>70.599999999999994</v>
      </c>
      <c r="Z425" s="4">
        <f>Games[[#This Row],[K]]*Games[[#This Row],[POMult]]</f>
        <v>84.719999999999985</v>
      </c>
      <c r="AA425" s="4">
        <f>(Games[[#This Row],[Keff]]*Games[[#This Row],[MOVMult]])*(Games[[#This Row],[Result]]-Games[[#This Row],[ExpectedWin%]])</f>
        <v>6.6169893650836649</v>
      </c>
      <c r="AB425" s="4">
        <f>Games[[#This Row],[PreGmRate]]+Games[[#This Row],[RatingChange]]</f>
        <v>1718.4711672450724</v>
      </c>
      <c r="AC425" s="2">
        <f>IF(Games[[#This Row],[Type]]="R",IF(Games[[#This Row],[Result]]&gt;0.5,1,0),0)</f>
        <v>0</v>
      </c>
      <c r="AD425" s="2">
        <f>IF(Games[[#This Row],[Type]]="R",IF(Games[[#This Row],[Result]]&lt;0.5,1,0),0)</f>
        <v>0</v>
      </c>
      <c r="AE425" s="2">
        <f>IF(AND(Games[[#This Row],[Type]]="P",Games[[#This Row],[Round]]=1),IF(Games[[#This Row],[Result]]&gt;0.5,1,0),0)</f>
        <v>0</v>
      </c>
      <c r="AF425" s="2">
        <f>IF(AND(Games[[#This Row],[Type]]="P",Games[[#This Row],[Round]]=1),IF(Games[[#This Row],[Result]]&lt;0.5,1,0),0)</f>
        <v>0</v>
      </c>
      <c r="AG425" s="2">
        <f>IF(AND(Games[[#This Row],[Type]]="P",Games[[#This Row],[Round]]=2),IF(Games[[#This Row],[Result]]&gt;0.5,1,0),0)</f>
        <v>1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43730</v>
      </c>
      <c r="B426" s="2">
        <v>2019</v>
      </c>
      <c r="C426" s="2">
        <f>COUNTIFS(Games[Team],Games[[#This Row],[Team]],Games[Season],Games[[#This Row],[Season]],Games[Date],"&lt;=" &amp; Games[[#This Row],[Date]])</f>
        <v>37</v>
      </c>
      <c r="D426" s="2" t="s">
        <v>83</v>
      </c>
      <c r="E426" s="2">
        <v>2</v>
      </c>
      <c r="F426" s="1" t="s">
        <v>74</v>
      </c>
      <c r="G426" s="1" t="s">
        <v>63</v>
      </c>
      <c r="H426" s="1" t="s">
        <v>81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6" s="2">
        <f>Games[[#This Row],[DaysOff]]-Games[[#This Row],[OppDaysOff]]</f>
        <v>0</v>
      </c>
      <c r="L426" s="2">
        <f>Games[[#This Row],[OppDaysOff]]-Games[[#This Row],[DaysOff]]</f>
        <v>0</v>
      </c>
      <c r="M426" s="1">
        <f>MAX(-16, MIN(16, Games[[#This Row],[RestDiff]]*8))</f>
        <v>0</v>
      </c>
      <c r="N426" s="1">
        <f>MAX(-16, MIN(16, Games[[#This Row],[OppRestDiff]]*8))</f>
        <v>0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1616.4395207015921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1578.3960512881113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0.43424627155077383</v>
      </c>
      <c r="R426" s="1">
        <v>78</v>
      </c>
      <c r="S426" s="1">
        <v>56</v>
      </c>
      <c r="T426" s="1">
        <v>0</v>
      </c>
      <c r="U426" s="1">
        <f>Games[[#This Row],[PointsFor]]-Games[[#This Row],[PointsAgainst]]</f>
        <v>22</v>
      </c>
      <c r="V426" s="1">
        <f>IF(Games[[#This Row],[MOV]]&gt;0,1,IF(Games[[#This Row],[MOV]]=0,0.5,0))</f>
        <v>1</v>
      </c>
      <c r="W426" s="4">
        <f>((ABS(Games[[#This Row],[MOV]])+5)^0.6)/(12+0.01*(ABS(Games[[#This Row],[PreGmRate]]-Games[[#This Row],[OppPreGmRate]])))*IF(Games[[#This Row],[OT]]=1,0.9,1)</f>
        <v>0.5835557663629326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6" s="9">
        <f>MAX(kmin, kmax - 0.15 * MIN(Games[[#This Row],[GamesPlayed]], 82))</f>
        <v>70.45</v>
      </c>
      <c r="Z426" s="4">
        <f>Games[[#This Row],[K]]*Games[[#This Row],[POMult]]</f>
        <v>84.54</v>
      </c>
      <c r="AA426" s="4">
        <f>(Games[[#This Row],[Keff]]*Games[[#This Row],[MOVMult]])*(Games[[#This Row],[Result]]-Games[[#This Row],[ExpectedWin%]])</f>
        <v>27.910783827853528</v>
      </c>
      <c r="AB426" s="4">
        <f>Games[[#This Row],[PreGmRate]]+Games[[#This Row],[RatingChange]]</f>
        <v>1644.3503045294456</v>
      </c>
      <c r="AC426" s="2">
        <f>IF(Games[[#This Row],[Type]]="R",IF(Games[[#This Row],[Result]]&gt;0.5,1,0),0)</f>
        <v>0</v>
      </c>
      <c r="AD426" s="2">
        <f>IF(Games[[#This Row],[Type]]="R",IF(Games[[#This Row],[Result]]&lt;0.5,1,0),0)</f>
        <v>0</v>
      </c>
      <c r="AE426" s="2">
        <f>IF(AND(Games[[#This Row],[Type]]="P",Games[[#This Row],[Round]]=1),IF(Games[[#This Row],[Result]]&gt;0.5,1,0),0)</f>
        <v>0</v>
      </c>
      <c r="AF426" s="2">
        <f>IF(AND(Games[[#This Row],[Type]]="P",Games[[#This Row],[Round]]=1),IF(Games[[#This Row],[Result]]&lt;0.5,1,0),0)</f>
        <v>0</v>
      </c>
      <c r="AG426" s="2">
        <f>IF(AND(Games[[#This Row],[Type]]="P",Games[[#This Row],[Round]]=2),IF(Games[[#This Row],[Result]]&gt;0.5,1,0),0)</f>
        <v>1</v>
      </c>
      <c r="AH426" s="2">
        <f>IF(AND(Games[[#This Row],[Type]]="P",Games[[#This Row],[Round]]=2),IF(Games[[#This Row],[Result]]&lt;0.5,1,0),0)</f>
        <v>0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43730</v>
      </c>
      <c r="B427" s="2">
        <v>2019</v>
      </c>
      <c r="C427" s="2">
        <f>COUNTIFS(Games[Team],Games[[#This Row],[Team]],Games[Season],Games[[#This Row],[Season]],Games[Date],"&lt;=" &amp; Games[[#This Row],[Date]])</f>
        <v>38</v>
      </c>
      <c r="D427" s="2" t="s">
        <v>83</v>
      </c>
      <c r="E427" s="2">
        <v>2</v>
      </c>
      <c r="F427" s="1" t="s">
        <v>63</v>
      </c>
      <c r="G427" s="1" t="s">
        <v>74</v>
      </c>
      <c r="H427" s="1" t="s">
        <v>82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7" s="2">
        <f>Games[[#This Row],[DaysOff]]-Games[[#This Row],[OppDaysOff]]</f>
        <v>0</v>
      </c>
      <c r="L427" s="2">
        <f>Games[[#This Row],[OppDaysOff]]-Games[[#This Row],[DaysOff]]</f>
        <v>0</v>
      </c>
      <c r="M427" s="1">
        <f>MAX(-16, MIN(16, Games[[#This Row],[RestDiff]]*8))</f>
        <v>0</v>
      </c>
      <c r="N427" s="1">
        <f>MAX(-16, MIN(16, Games[[#This Row],[OppRestDiff]]*8))</f>
        <v>0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1578.3960512881113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1616.4395207015921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0.56575372844922622</v>
      </c>
      <c r="R427" s="1">
        <v>56</v>
      </c>
      <c r="S427" s="1">
        <v>78</v>
      </c>
      <c r="T427" s="1">
        <v>0</v>
      </c>
      <c r="U427" s="1">
        <f>Games[[#This Row],[PointsFor]]-Games[[#This Row],[PointsAgainst]]</f>
        <v>-22</v>
      </c>
      <c r="V427" s="1">
        <f>IF(Games[[#This Row],[MOV]]&gt;0,1,IF(Games[[#This Row],[MOV]]=0,0.5,0))</f>
        <v>0</v>
      </c>
      <c r="W427" s="4">
        <f>((ABS(Games[[#This Row],[MOV]])+5)^0.6)/(12+0.01*(ABS(Games[[#This Row],[PreGmRate]]-Games[[#This Row],[OppPreGmRate]])))*IF(Games[[#This Row],[OT]]=1,0.9,1)</f>
        <v>0.5835557663629326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7" s="9">
        <f>MAX(kmin, kmax - 0.15 * MIN(Games[[#This Row],[GamesPlayed]], 82))</f>
        <v>70.3</v>
      </c>
      <c r="Z427" s="4">
        <f>Games[[#This Row],[K]]*Games[[#This Row],[POMult]]</f>
        <v>84.36</v>
      </c>
      <c r="AA427" s="4">
        <f>(Games[[#This Row],[Keff]]*Games[[#This Row],[MOVMult]])*(Games[[#This Row],[Result]]-Games[[#This Row],[ExpectedWin%]])</f>
        <v>-27.851357034749505</v>
      </c>
      <c r="AB427" s="4">
        <f>Games[[#This Row],[PreGmRate]]+Games[[#This Row],[RatingChange]]</f>
        <v>1550.5446942533617</v>
      </c>
      <c r="AC427" s="2">
        <f>IF(Games[[#This Row],[Type]]="R",IF(Games[[#This Row],[Result]]&gt;0.5,1,0),0)</f>
        <v>0</v>
      </c>
      <c r="AD427" s="2">
        <f>IF(Games[[#This Row],[Type]]="R",IF(Games[[#This Row],[Result]]&lt;0.5,1,0),0)</f>
        <v>0</v>
      </c>
      <c r="AE427" s="2">
        <f>IF(AND(Games[[#This Row],[Type]]="P",Games[[#This Row],[Round]]=1),IF(Games[[#This Row],[Result]]&gt;0.5,1,0),0)</f>
        <v>0</v>
      </c>
      <c r="AF427" s="2">
        <f>IF(AND(Games[[#This Row],[Type]]="P",Games[[#This Row],[Round]]=1),IF(Games[[#This Row],[Result]]&lt;0.5,1,0),0)</f>
        <v>0</v>
      </c>
      <c r="AG427" s="2">
        <f>IF(AND(Games[[#This Row],[Type]]="P",Games[[#This Row],[Round]]=2),IF(Games[[#This Row],[Result]]&gt;0.5,1,0),0)</f>
        <v>0</v>
      </c>
      <c r="AH427" s="2">
        <f>IF(AND(Games[[#This Row],[Type]]="P",Games[[#This Row],[Round]]=2),IF(Games[[#This Row],[Result]]&lt;0.5,1,0),0)</f>
        <v>1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43730</v>
      </c>
      <c r="B428" s="2">
        <v>2019</v>
      </c>
      <c r="C428" s="2">
        <f>COUNTIFS(Games[Team],Games[[#This Row],[Team]],Games[Season],Games[[#This Row],[Season]],Games[Date],"&lt;=" &amp; Games[[#This Row],[Date]])</f>
        <v>37</v>
      </c>
      <c r="D428" s="2" t="s">
        <v>83</v>
      </c>
      <c r="E428" s="2">
        <v>2</v>
      </c>
      <c r="F428" s="1" t="s">
        <v>65</v>
      </c>
      <c r="G428" s="1" t="s">
        <v>86</v>
      </c>
      <c r="H428" s="1" t="s">
        <v>81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8" s="2">
        <f>Games[[#This Row],[DaysOff]]-Games[[#This Row],[OppDaysOff]]</f>
        <v>0</v>
      </c>
      <c r="L428" s="2">
        <f>Games[[#This Row],[OppDaysOff]]-Games[[#This Row],[DaysOff]]</f>
        <v>0</v>
      </c>
      <c r="M428" s="1">
        <f>MAX(-16, MIN(16, Games[[#This Row],[RestDiff]]*8))</f>
        <v>0</v>
      </c>
      <c r="N428" s="1">
        <f>MAX(-16, MIN(16, Games[[#This Row],[OppRestDiff]]*8))</f>
        <v>0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1718.4711672450724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1542.365543448652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0.62953036182396827</v>
      </c>
      <c r="R428" s="1">
        <v>75</v>
      </c>
      <c r="S428" s="1">
        <v>92</v>
      </c>
      <c r="T428" s="1">
        <v>0</v>
      </c>
      <c r="U428" s="1">
        <f>Games[[#This Row],[PointsFor]]-Games[[#This Row],[PointsAgainst]]</f>
        <v>-17</v>
      </c>
      <c r="V428" s="1">
        <f>IF(Games[[#This Row],[MOV]]&gt;0,1,IF(Games[[#This Row],[MOV]]=0,0.5,0))</f>
        <v>0</v>
      </c>
      <c r="W428" s="4">
        <f>((ABS(Games[[#This Row],[MOV]])+5)^0.6)/(12+0.01*(ABS(Games[[#This Row],[PreGmRate]]-Games[[#This Row],[OppPreGmRate]])))*IF(Games[[#This Row],[OT]]=1,0.9,1)</f>
        <v>0.46430337312023046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8" s="9">
        <f>MAX(kmin, kmax - 0.15 * MIN(Games[[#This Row],[GamesPlayed]], 82))</f>
        <v>70.45</v>
      </c>
      <c r="Z428" s="4">
        <f>Games[[#This Row],[K]]*Games[[#This Row],[POMult]]</f>
        <v>84.54</v>
      </c>
      <c r="AA428" s="4">
        <f>(Games[[#This Row],[Keff]]*Games[[#This Row],[MOVMult]])*(Games[[#This Row],[Result]]-Games[[#This Row],[ExpectedWin%]])</f>
        <v>-24.710456178080577</v>
      </c>
      <c r="AB428" s="4">
        <f>Games[[#This Row],[PreGmRate]]+Games[[#This Row],[RatingChange]]</f>
        <v>1693.7607110669917</v>
      </c>
      <c r="AC428" s="2">
        <f>IF(Games[[#This Row],[Type]]="R",IF(Games[[#This Row],[Result]]&gt;0.5,1,0),0)</f>
        <v>0</v>
      </c>
      <c r="AD428" s="2">
        <f>IF(Games[[#This Row],[Type]]="R",IF(Games[[#This Row],[Result]]&lt;0.5,1,0),0)</f>
        <v>0</v>
      </c>
      <c r="AE428" s="2">
        <f>IF(AND(Games[[#This Row],[Type]]="P",Games[[#This Row],[Round]]=1),IF(Games[[#This Row],[Result]]&gt;0.5,1,0),0)</f>
        <v>0</v>
      </c>
      <c r="AF428" s="2">
        <f>IF(AND(Games[[#This Row],[Type]]="P",Games[[#This Row],[Round]]=1),IF(Games[[#This Row],[Result]]&lt;0.5,1,0),0)</f>
        <v>0</v>
      </c>
      <c r="AG428" s="2">
        <f>IF(AND(Games[[#This Row],[Type]]="P",Games[[#This Row],[Round]]=2),IF(Games[[#This Row],[Result]]&gt;0.5,1,0),0)</f>
        <v>0</v>
      </c>
      <c r="AH428" s="2">
        <f>IF(AND(Games[[#This Row],[Type]]="P",Games[[#This Row],[Round]]=2),IF(Games[[#This Row],[Result]]&lt;0.5,1,0),0)</f>
        <v>1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43730</v>
      </c>
      <c r="B429" s="2">
        <v>2019</v>
      </c>
      <c r="C429" s="2">
        <f>COUNTIFS(Games[Team],Games[[#This Row],[Team]],Games[Season],Games[[#This Row],[Season]],Games[Date],"&lt;=" &amp; Games[[#This Row],[Date]])</f>
        <v>38</v>
      </c>
      <c r="D429" s="2" t="s">
        <v>83</v>
      </c>
      <c r="E429" s="2">
        <v>2</v>
      </c>
      <c r="F429" s="1" t="s">
        <v>86</v>
      </c>
      <c r="G429" s="1" t="s">
        <v>65</v>
      </c>
      <c r="H429" s="1" t="s">
        <v>82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9" s="2">
        <f>Games[[#This Row],[DaysOff]]-Games[[#This Row],[OppDaysOff]]</f>
        <v>0</v>
      </c>
      <c r="L429" s="2">
        <f>Games[[#This Row],[OppDaysOff]]-Games[[#This Row],[DaysOff]]</f>
        <v>0</v>
      </c>
      <c r="M429" s="1">
        <f>MAX(-16, MIN(16, Games[[#This Row],[RestDiff]]*8))</f>
        <v>0</v>
      </c>
      <c r="N429" s="1">
        <f>MAX(-16, MIN(16, Games[[#This Row],[OppRestDiff]]*8))</f>
        <v>0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1542.365543448652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1718.4711672450724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0.37046963817603168</v>
      </c>
      <c r="R429" s="1">
        <v>92</v>
      </c>
      <c r="S429" s="1">
        <v>75</v>
      </c>
      <c r="T429" s="1">
        <v>0</v>
      </c>
      <c r="U429" s="1">
        <f>Games[[#This Row],[PointsFor]]-Games[[#This Row],[PointsAgainst]]</f>
        <v>17</v>
      </c>
      <c r="V429" s="1">
        <f>IF(Games[[#This Row],[MOV]]&gt;0,1,IF(Games[[#This Row],[MOV]]=0,0.5,0))</f>
        <v>1</v>
      </c>
      <c r="W429" s="4">
        <f>((ABS(Games[[#This Row],[MOV]])+5)^0.6)/(12+0.01*(ABS(Games[[#This Row],[PreGmRate]]-Games[[#This Row],[OppPreGmRate]])))*IF(Games[[#This Row],[OT]]=1,0.9,1)</f>
        <v>0.46430337312023046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9" s="9">
        <f>MAX(kmin, kmax - 0.15 * MIN(Games[[#This Row],[GamesPlayed]], 82))</f>
        <v>70.3</v>
      </c>
      <c r="Z429" s="4">
        <f>Games[[#This Row],[K]]*Games[[#This Row],[POMult]]</f>
        <v>84.36</v>
      </c>
      <c r="AA429" s="4">
        <f>(Games[[#This Row],[Keff]]*Games[[#This Row],[MOVMult]])*(Games[[#This Row],[Result]]-Games[[#This Row],[ExpectedWin%]])</f>
        <v>24.657843425394809</v>
      </c>
      <c r="AB429" s="4">
        <f>Games[[#This Row],[PreGmRate]]+Games[[#This Row],[RatingChange]]</f>
        <v>1567.0233868740468</v>
      </c>
      <c r="AC429" s="2">
        <f>IF(Games[[#This Row],[Type]]="R",IF(Games[[#This Row],[Result]]&gt;0.5,1,0),0)</f>
        <v>0</v>
      </c>
      <c r="AD429" s="2">
        <f>IF(Games[[#This Row],[Type]]="R",IF(Games[[#This Row],[Result]]&lt;0.5,1,0),0)</f>
        <v>0</v>
      </c>
      <c r="AE429" s="2">
        <f>IF(AND(Games[[#This Row],[Type]]="P",Games[[#This Row],[Round]]=1),IF(Games[[#This Row],[Result]]&gt;0.5,1,0),0)</f>
        <v>0</v>
      </c>
      <c r="AF429" s="2">
        <f>IF(AND(Games[[#This Row],[Type]]="P",Games[[#This Row],[Round]]=1),IF(Games[[#This Row],[Result]]&lt;0.5,1,0),0)</f>
        <v>0</v>
      </c>
      <c r="AG429" s="2">
        <f>IF(AND(Games[[#This Row],[Type]]="P",Games[[#This Row],[Round]]=2),IF(Games[[#This Row],[Result]]&gt;0.5,1,0),0)</f>
        <v>1</v>
      </c>
      <c r="AH429" s="2">
        <f>IF(AND(Games[[#This Row],[Type]]="P",Games[[#This Row],[Round]]=2),IF(Games[[#This Row],[Result]]&lt;0.5,1,0),0)</f>
        <v>0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43732</v>
      </c>
      <c r="B430" s="2">
        <v>2019</v>
      </c>
      <c r="C430" s="2">
        <f>COUNTIFS(Games[Team],Games[[#This Row],[Team]],Games[Season],Games[[#This Row],[Season]],Games[Date],"&lt;=" &amp; Games[[#This Row],[Date]])</f>
        <v>38</v>
      </c>
      <c r="D430" s="2" t="s">
        <v>83</v>
      </c>
      <c r="E430" s="2">
        <v>2</v>
      </c>
      <c r="F430" s="1" t="s">
        <v>65</v>
      </c>
      <c r="G430" s="1" t="s">
        <v>86</v>
      </c>
      <c r="H430" s="1" t="s">
        <v>81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0" s="2">
        <f>Games[[#This Row],[DaysOff]]-Games[[#This Row],[OppDaysOff]]</f>
        <v>0</v>
      </c>
      <c r="L430" s="2">
        <f>Games[[#This Row],[OppDaysOff]]-Games[[#This Row],[DaysOff]]</f>
        <v>0</v>
      </c>
      <c r="M430" s="1">
        <f>MAX(-16, MIN(16, Games[[#This Row],[RestDiff]]*8))</f>
        <v>0</v>
      </c>
      <c r="N430" s="1">
        <f>MAX(-16, MIN(16, Games[[#This Row],[OppRestDiff]]*8))</f>
        <v>0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1693.7607110669917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1567.0233868740468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0.56119561522976669</v>
      </c>
      <c r="R430" s="1">
        <v>94</v>
      </c>
      <c r="S430" s="1">
        <v>90</v>
      </c>
      <c r="T430" s="1">
        <v>0</v>
      </c>
      <c r="U430" s="1">
        <f>Games[[#This Row],[PointsFor]]-Games[[#This Row],[PointsAgainst]]</f>
        <v>4</v>
      </c>
      <c r="V430" s="1">
        <f>IF(Games[[#This Row],[MOV]]&gt;0,1,IF(Games[[#This Row],[MOV]]=0,0.5,0))</f>
        <v>1</v>
      </c>
      <c r="W430" s="4">
        <f>((ABS(Games[[#This Row],[MOV]])+5)^0.6)/(12+0.01*(ABS(Games[[#This Row],[PreGmRate]]-Games[[#This Row],[OppPreGmRate]])))*IF(Games[[#This Row],[OT]]=1,0.9,1)</f>
        <v>0.28168294889268219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0" s="9">
        <f>MAX(kmin, kmax - 0.15 * MIN(Games[[#This Row],[GamesPlayed]], 82))</f>
        <v>70.3</v>
      </c>
      <c r="Z430" s="4">
        <f>Games[[#This Row],[K]]*Games[[#This Row],[POMult]]</f>
        <v>84.36</v>
      </c>
      <c r="AA430" s="4">
        <f>(Games[[#This Row],[Keff]]*Games[[#This Row],[MOVMult]])*(Games[[#This Row],[Result]]-Games[[#This Row],[ExpectedWin%]])</f>
        <v>10.427209236198035</v>
      </c>
      <c r="AB430" s="4">
        <f>Games[[#This Row],[PreGmRate]]+Games[[#This Row],[RatingChange]]</f>
        <v>1704.1879203031897</v>
      </c>
      <c r="AC430" s="2">
        <f>IF(Games[[#This Row],[Type]]="R",IF(Games[[#This Row],[Result]]&gt;0.5,1,0),0)</f>
        <v>0</v>
      </c>
      <c r="AD430" s="2">
        <f>IF(Games[[#This Row],[Type]]="R",IF(Games[[#This Row],[Result]]&lt;0.5,1,0),0)</f>
        <v>0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0</v>
      </c>
      <c r="AG430" s="2">
        <f>IF(AND(Games[[#This Row],[Type]]="P",Games[[#This Row],[Round]]=2),IF(Games[[#This Row],[Result]]&gt;0.5,1,0),0)</f>
        <v>1</v>
      </c>
      <c r="AH430" s="2">
        <f>IF(AND(Games[[#This Row],[Type]]="P",Games[[#This Row],[Round]]=2),IF(Games[[#This Row],[Result]]&lt;0.5,1,0),0)</f>
        <v>0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43732</v>
      </c>
      <c r="B431" s="2">
        <v>2019</v>
      </c>
      <c r="C431" s="2">
        <f>COUNTIFS(Games[Team],Games[[#This Row],[Team]],Games[Season],Games[[#This Row],[Season]],Games[Date],"&lt;=" &amp; Games[[#This Row],[Date]])</f>
        <v>39</v>
      </c>
      <c r="D431" s="2" t="s">
        <v>83</v>
      </c>
      <c r="E431" s="2">
        <v>2</v>
      </c>
      <c r="F431" s="1" t="s">
        <v>86</v>
      </c>
      <c r="G431" s="1" t="s">
        <v>65</v>
      </c>
      <c r="H431" s="1" t="s">
        <v>82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1" s="2">
        <f>Games[[#This Row],[DaysOff]]-Games[[#This Row],[OppDaysOff]]</f>
        <v>0</v>
      </c>
      <c r="L431" s="2">
        <f>Games[[#This Row],[OppDaysOff]]-Games[[#This Row],[DaysOff]]</f>
        <v>0</v>
      </c>
      <c r="M431" s="1">
        <f>MAX(-16, MIN(16, Games[[#This Row],[RestDiff]]*8))</f>
        <v>0</v>
      </c>
      <c r="N431" s="1">
        <f>MAX(-16, MIN(16, Games[[#This Row],[OppRestDiff]]*8))</f>
        <v>0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1567.0233868740468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1693.7607110669917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0.43880438477023326</v>
      </c>
      <c r="R431" s="1">
        <v>90</v>
      </c>
      <c r="S431" s="1">
        <v>94</v>
      </c>
      <c r="T431" s="1">
        <v>0</v>
      </c>
      <c r="U431" s="1">
        <f>Games[[#This Row],[PointsFor]]-Games[[#This Row],[PointsAgainst]]</f>
        <v>-4</v>
      </c>
      <c r="V431" s="1">
        <f>IF(Games[[#This Row],[MOV]]&gt;0,1,IF(Games[[#This Row],[MOV]]=0,0.5,0))</f>
        <v>0</v>
      </c>
      <c r="W431" s="4">
        <f>((ABS(Games[[#This Row],[MOV]])+5)^0.6)/(12+0.01*(ABS(Games[[#This Row],[PreGmRate]]-Games[[#This Row],[OppPreGmRate]])))*IF(Games[[#This Row],[OT]]=1,0.9,1)</f>
        <v>0.28168294889268219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1" s="9">
        <f>MAX(kmin, kmax - 0.15 * MIN(Games[[#This Row],[GamesPlayed]], 82))</f>
        <v>70.150000000000006</v>
      </c>
      <c r="Z431" s="4">
        <f>Games[[#This Row],[K]]*Games[[#This Row],[POMult]]</f>
        <v>84.18</v>
      </c>
      <c r="AA431" s="4">
        <f>(Games[[#This Row],[Keff]]*Games[[#This Row],[MOVMult]])*(Games[[#This Row],[Result]]-Games[[#This Row],[ExpectedWin%]])</f>
        <v>-10.404960567841993</v>
      </c>
      <c r="AB431" s="4">
        <f>Games[[#This Row],[PreGmRate]]+Games[[#This Row],[RatingChange]]</f>
        <v>1556.6184263062048</v>
      </c>
      <c r="AC431" s="2">
        <f>IF(Games[[#This Row],[Type]]="R",IF(Games[[#This Row],[Result]]&gt;0.5,1,0),0)</f>
        <v>0</v>
      </c>
      <c r="AD431" s="2">
        <f>IF(Games[[#This Row],[Type]]="R",IF(Games[[#This Row],[Result]]&lt;0.5,1,0),0)</f>
        <v>0</v>
      </c>
      <c r="AE431" s="2">
        <f>IF(AND(Games[[#This Row],[Type]]="P",Games[[#This Row],[Round]]=1),IF(Games[[#This Row],[Result]]&gt;0.5,1,0),0)</f>
        <v>0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0</v>
      </c>
      <c r="AH431" s="2">
        <f>IF(AND(Games[[#This Row],[Type]]="P",Games[[#This Row],[Round]]=2),IF(Games[[#This Row],[Result]]&lt;0.5,1,0),0)</f>
        <v>1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43737</v>
      </c>
      <c r="B432" s="2">
        <v>2019</v>
      </c>
      <c r="C432" s="2">
        <f>COUNTIFS(Games[Team],Games[[#This Row],[Team]],Games[Season],Games[[#This Row],[Season]],Games[Date],"&lt;=" &amp; Games[[#This Row],[Date]])</f>
        <v>38</v>
      </c>
      <c r="D432" s="2" t="s">
        <v>83</v>
      </c>
      <c r="E432" s="2">
        <v>3</v>
      </c>
      <c r="F432" s="1" t="s">
        <v>74</v>
      </c>
      <c r="G432" s="1" t="s">
        <v>65</v>
      </c>
      <c r="H432" s="1" t="s">
        <v>81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6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32" s="2">
        <f>Games[[#This Row],[DaysOff]]-Games[[#This Row],[OppDaysOff]]</f>
        <v>2</v>
      </c>
      <c r="L432" s="2">
        <f>Games[[#This Row],[OppDaysOff]]-Games[[#This Row],[DaysOff]]</f>
        <v>-2</v>
      </c>
      <c r="M432" s="1">
        <f>MAX(-16, MIN(16, Games[[#This Row],[RestDiff]]*8))</f>
        <v>16</v>
      </c>
      <c r="N432" s="1">
        <f>MAX(-16, MIN(16, Games[[#This Row],[OppRestDiff]]*8))</f>
        <v>-16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1644.3503045294456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1704.1879203031897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0.3443905185251383</v>
      </c>
      <c r="R432" s="1">
        <v>86</v>
      </c>
      <c r="S432" s="1">
        <v>95</v>
      </c>
      <c r="T432" s="1">
        <v>0</v>
      </c>
      <c r="U432" s="1">
        <f>Games[[#This Row],[PointsFor]]-Games[[#This Row],[PointsAgainst]]</f>
        <v>-9</v>
      </c>
      <c r="V432" s="1">
        <f>IF(Games[[#This Row],[MOV]]&gt;0,1,IF(Games[[#This Row],[MOV]]=0,0.5,0))</f>
        <v>0</v>
      </c>
      <c r="W432" s="4">
        <f>((ABS(Games[[#This Row],[MOV]])+5)^0.6)/(12+0.01*(ABS(Games[[#This Row],[PreGmRate]]-Games[[#This Row],[OppPreGmRate]])))*IF(Games[[#This Row],[OT]]=1,0.9,1)</f>
        <v>0.38668938478828702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2" s="9">
        <f>MAX(kmin, kmax - 0.15 * MIN(Games[[#This Row],[GamesPlayed]], 82))</f>
        <v>70.3</v>
      </c>
      <c r="Z432" s="4">
        <f>Games[[#This Row],[K]]*Games[[#This Row],[POMult]]</f>
        <v>94.905000000000001</v>
      </c>
      <c r="AA432" s="4">
        <f>(Games[[#This Row],[Keff]]*Games[[#This Row],[MOVMult]])*(Games[[#This Row],[Result]]-Games[[#This Row],[ExpectedWin%]])</f>
        <v>-12.638703629878602</v>
      </c>
      <c r="AB432" s="4">
        <f>Games[[#This Row],[PreGmRate]]+Games[[#This Row],[RatingChange]]</f>
        <v>1631.711600899567</v>
      </c>
      <c r="AC432" s="2">
        <f>IF(Games[[#This Row],[Type]]="R",IF(Games[[#This Row],[Result]]&gt;0.5,1,0),0)</f>
        <v>0</v>
      </c>
      <c r="AD432" s="2">
        <f>IF(Games[[#This Row],[Type]]="R",IF(Games[[#This Row],[Result]]&lt;0.5,1,0),0)</f>
        <v>0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0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1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43737</v>
      </c>
      <c r="B433" s="2">
        <v>2019</v>
      </c>
      <c r="C433" s="2">
        <f>COUNTIFS(Games[Team],Games[[#This Row],[Team]],Games[Season],Games[[#This Row],[Season]],Games[Date],"&lt;=" &amp; Games[[#This Row],[Date]])</f>
        <v>39</v>
      </c>
      <c r="D433" s="2" t="s">
        <v>83</v>
      </c>
      <c r="E433" s="2">
        <v>3</v>
      </c>
      <c r="F433" s="1" t="s">
        <v>65</v>
      </c>
      <c r="G433" s="1" t="s">
        <v>74</v>
      </c>
      <c r="H433" s="1" t="s">
        <v>82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4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33" s="2">
        <f>Games[[#This Row],[DaysOff]]-Games[[#This Row],[OppDaysOff]]</f>
        <v>-2</v>
      </c>
      <c r="L433" s="2">
        <f>Games[[#This Row],[OppDaysOff]]-Games[[#This Row],[DaysOff]]</f>
        <v>2</v>
      </c>
      <c r="M433" s="1">
        <f>MAX(-16, MIN(16, Games[[#This Row],[RestDiff]]*8))</f>
        <v>-16</v>
      </c>
      <c r="N433" s="1">
        <f>MAX(-16, MIN(16, Games[[#This Row],[OppRestDiff]]*8))</f>
        <v>16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1704.1879203031897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1644.3503045294456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0.65560948147486175</v>
      </c>
      <c r="R433" s="1">
        <v>95</v>
      </c>
      <c r="S433" s="1">
        <v>86</v>
      </c>
      <c r="T433" s="1">
        <v>0</v>
      </c>
      <c r="U433" s="1">
        <f>Games[[#This Row],[PointsFor]]-Games[[#This Row],[PointsAgainst]]</f>
        <v>9</v>
      </c>
      <c r="V433" s="1">
        <f>IF(Games[[#This Row],[MOV]]&gt;0,1,IF(Games[[#This Row],[MOV]]=0,0.5,0))</f>
        <v>1</v>
      </c>
      <c r="W433" s="4">
        <f>((ABS(Games[[#This Row],[MOV]])+5)^0.6)/(12+0.01*(ABS(Games[[#This Row],[PreGmRate]]-Games[[#This Row],[OppPreGmRate]])))*IF(Games[[#This Row],[OT]]=1,0.9,1)</f>
        <v>0.38668938478828702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3" s="9">
        <f>MAX(kmin, kmax - 0.15 * MIN(Games[[#This Row],[GamesPlayed]], 82))</f>
        <v>70.150000000000006</v>
      </c>
      <c r="Z433" s="4">
        <f>Games[[#This Row],[K]]*Games[[#This Row],[POMult]]</f>
        <v>94.702500000000015</v>
      </c>
      <c r="AA433" s="4">
        <f>(Games[[#This Row],[Keff]]*Games[[#This Row],[MOVMult]])*(Games[[#This Row],[Result]]-Games[[#This Row],[ExpectedWin%]])</f>
        <v>12.611736267937181</v>
      </c>
      <c r="AB433" s="4">
        <f>Games[[#This Row],[PreGmRate]]+Games[[#This Row],[RatingChange]]</f>
        <v>1716.7996565711269</v>
      </c>
      <c r="AC433" s="2">
        <f>IF(Games[[#This Row],[Type]]="R",IF(Games[[#This Row],[Result]]&gt;0.5,1,0),0)</f>
        <v>0</v>
      </c>
      <c r="AD433" s="2">
        <f>IF(Games[[#This Row],[Type]]="R",IF(Games[[#This Row],[Result]]&lt;0.5,1,0),0)</f>
        <v>0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0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1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43739</v>
      </c>
      <c r="B434" s="2">
        <v>2019</v>
      </c>
      <c r="C434" s="2">
        <f>COUNTIFS(Games[Team],Games[[#This Row],[Team]],Games[Season],Games[[#This Row],[Season]],Games[Date],"&lt;=" &amp; Games[[#This Row],[Date]])</f>
        <v>39</v>
      </c>
      <c r="D434" s="2" t="s">
        <v>83</v>
      </c>
      <c r="E434" s="2">
        <v>3</v>
      </c>
      <c r="F434" s="1" t="s">
        <v>74</v>
      </c>
      <c r="G434" s="1" t="s">
        <v>65</v>
      </c>
      <c r="H434" s="1" t="s">
        <v>81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4" s="2">
        <f>Games[[#This Row],[DaysOff]]-Games[[#This Row],[OppDaysOff]]</f>
        <v>0</v>
      </c>
      <c r="L434" s="2">
        <f>Games[[#This Row],[OppDaysOff]]-Games[[#This Row],[DaysOff]]</f>
        <v>0</v>
      </c>
      <c r="M434" s="1">
        <f>MAX(-16, MIN(16, Games[[#This Row],[RestDiff]]*8))</f>
        <v>0</v>
      </c>
      <c r="N434" s="1">
        <f>MAX(-16, MIN(16, Games[[#This Row],[OppRestDiff]]*8))</f>
        <v>0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1631.711600899567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1716.7996565711269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0.2742134608739783</v>
      </c>
      <c r="R434" s="1">
        <v>99</v>
      </c>
      <c r="S434" s="1">
        <v>87</v>
      </c>
      <c r="T434" s="1">
        <v>0</v>
      </c>
      <c r="U434" s="1">
        <f>Games[[#This Row],[PointsFor]]-Games[[#This Row],[PointsAgainst]]</f>
        <v>12</v>
      </c>
      <c r="V434" s="1">
        <f>IF(Games[[#This Row],[MOV]]&gt;0,1,IF(Games[[#This Row],[MOV]]=0,0.5,0))</f>
        <v>1</v>
      </c>
      <c r="W434" s="4">
        <f>((ABS(Games[[#This Row],[MOV]])+5)^0.6)/(12+0.01*(ABS(Games[[#This Row],[PreGmRate]]-Games[[#This Row],[OppPreGmRate]])))*IF(Games[[#This Row],[OT]]=1,0.9,1)</f>
        <v>0.42592826948797097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4" s="9">
        <f>MAX(kmin, kmax - 0.15 * MIN(Games[[#This Row],[GamesPlayed]], 82))</f>
        <v>70.150000000000006</v>
      </c>
      <c r="Z434" s="4">
        <f>Games[[#This Row],[K]]*Games[[#This Row],[POMult]]</f>
        <v>94.702500000000015</v>
      </c>
      <c r="AA434" s="4">
        <f>(Games[[#This Row],[Keff]]*Games[[#This Row],[MOVMult]])*(Games[[#This Row],[Result]]-Games[[#This Row],[ExpectedWin%]])</f>
        <v>29.275668370746235</v>
      </c>
      <c r="AB434" s="4">
        <f>Games[[#This Row],[PreGmRate]]+Games[[#This Row],[RatingChange]]</f>
        <v>1660.9872692703132</v>
      </c>
      <c r="AC434" s="2">
        <f>IF(Games[[#This Row],[Type]]="R",IF(Games[[#This Row],[Result]]&gt;0.5,1,0),0)</f>
        <v>0</v>
      </c>
      <c r="AD434" s="2">
        <f>IF(Games[[#This Row],[Type]]="R",IF(Games[[#This Row],[Result]]&lt;0.5,1,0),0)</f>
        <v>0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0</v>
      </c>
      <c r="AH434" s="2">
        <f>IF(AND(Games[[#This Row],[Type]]="P",Games[[#This Row],[Round]]=2),IF(Games[[#This Row],[Result]]&lt;0.5,1,0),0)</f>
        <v>0</v>
      </c>
      <c r="AI434" s="2">
        <f>IF(AND(Games[[#This Row],[Type]]="P",Games[[#This Row],[Round]]=3),IF(Games[[#This Row],[Result]]&gt;0.5,1,0),0)</f>
        <v>1</v>
      </c>
      <c r="AJ434" s="2">
        <f>IF(AND(Games[[#This Row],[Type]]="P",Games[[#This Row],[Round]]=3),IF(Games[[#This Row],[Result]]&lt;0.5,1,0),0)</f>
        <v>0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43739</v>
      </c>
      <c r="B435" s="2">
        <v>2019</v>
      </c>
      <c r="C435" s="2">
        <f>COUNTIFS(Games[Team],Games[[#This Row],[Team]],Games[Season],Games[[#This Row],[Season]],Games[Date],"&lt;=" &amp; Games[[#This Row],[Date]])</f>
        <v>40</v>
      </c>
      <c r="D435" s="2" t="s">
        <v>83</v>
      </c>
      <c r="E435" s="2">
        <v>3</v>
      </c>
      <c r="F435" s="1" t="s">
        <v>65</v>
      </c>
      <c r="G435" s="1" t="s">
        <v>74</v>
      </c>
      <c r="H435" s="1" t="s">
        <v>82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5" s="2">
        <f>Games[[#This Row],[DaysOff]]-Games[[#This Row],[OppDaysOff]]</f>
        <v>0</v>
      </c>
      <c r="L435" s="2">
        <f>Games[[#This Row],[OppDaysOff]]-Games[[#This Row],[DaysOff]]</f>
        <v>0</v>
      </c>
      <c r="M435" s="1">
        <f>MAX(-16, MIN(16, Games[[#This Row],[RestDiff]]*8))</f>
        <v>0</v>
      </c>
      <c r="N435" s="1">
        <f>MAX(-16, MIN(16, Games[[#This Row],[OppRestDiff]]*8))</f>
        <v>0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1716.7996565711269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1631.711600899567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0.72578653912602176</v>
      </c>
      <c r="R435" s="1">
        <v>87</v>
      </c>
      <c r="S435" s="1">
        <v>99</v>
      </c>
      <c r="T435" s="1">
        <v>0</v>
      </c>
      <c r="U435" s="1">
        <f>Games[[#This Row],[PointsFor]]-Games[[#This Row],[PointsAgainst]]</f>
        <v>-12</v>
      </c>
      <c r="V435" s="1">
        <f>IF(Games[[#This Row],[MOV]]&gt;0,1,IF(Games[[#This Row],[MOV]]=0,0.5,0))</f>
        <v>0</v>
      </c>
      <c r="W435" s="4">
        <f>((ABS(Games[[#This Row],[MOV]])+5)^0.6)/(12+0.01*(ABS(Games[[#This Row],[PreGmRate]]-Games[[#This Row],[OppPreGmRate]])))*IF(Games[[#This Row],[OT]]=1,0.9,1)</f>
        <v>0.42592826948797097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5" s="9">
        <f>MAX(kmin, kmax - 0.15 * MIN(Games[[#This Row],[GamesPlayed]], 82))</f>
        <v>70</v>
      </c>
      <c r="Z435" s="4">
        <f>Games[[#This Row],[K]]*Games[[#This Row],[POMult]]</f>
        <v>94.5</v>
      </c>
      <c r="AA435" s="4">
        <f>(Games[[#This Row],[Keff]]*Games[[#This Row],[MOVMult]])*(Games[[#This Row],[Result]]-Games[[#This Row],[ExpectedWin%]])</f>
        <v>-29.213068937309142</v>
      </c>
      <c r="AB435" s="4">
        <f>Games[[#This Row],[PreGmRate]]+Games[[#This Row],[RatingChange]]</f>
        <v>1687.5865876338178</v>
      </c>
      <c r="AC435" s="2">
        <f>IF(Games[[#This Row],[Type]]="R",IF(Games[[#This Row],[Result]]&gt;0.5,1,0),0)</f>
        <v>0</v>
      </c>
      <c r="AD435" s="2">
        <f>IF(Games[[#This Row],[Type]]="R",IF(Games[[#This Row],[Result]]&lt;0.5,1,0),0)</f>
        <v>0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0</v>
      </c>
      <c r="AH435" s="2">
        <f>IF(AND(Games[[#This Row],[Type]]="P",Games[[#This Row],[Round]]=2),IF(Games[[#This Row],[Result]]&lt;0.5,1,0),0)</f>
        <v>0</v>
      </c>
      <c r="AI435" s="2">
        <f>IF(AND(Games[[#This Row],[Type]]="P",Games[[#This Row],[Round]]=3),IF(Games[[#This Row],[Result]]&gt;0.5,1,0),0)</f>
        <v>0</v>
      </c>
      <c r="AJ435" s="2">
        <f>IF(AND(Games[[#This Row],[Type]]="P",Games[[#This Row],[Round]]=3),IF(Games[[#This Row],[Result]]&lt;0.5,1,0),0)</f>
        <v>1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43744</v>
      </c>
      <c r="B436" s="2">
        <v>2019</v>
      </c>
      <c r="C436" s="2">
        <f>COUNTIFS(Games[Team],Games[[#This Row],[Team]],Games[Season],Games[[#This Row],[Season]],Games[Date],"&lt;=" &amp; Games[[#This Row],[Date]])</f>
        <v>41</v>
      </c>
      <c r="D436" s="2" t="s">
        <v>83</v>
      </c>
      <c r="E436" s="2">
        <v>3</v>
      </c>
      <c r="F436" s="1" t="s">
        <v>65</v>
      </c>
      <c r="G436" s="1" t="s">
        <v>74</v>
      </c>
      <c r="H436" s="1" t="s">
        <v>81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4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36" s="2">
        <f>Games[[#This Row],[DaysOff]]-Games[[#This Row],[OppDaysOff]]</f>
        <v>0</v>
      </c>
      <c r="L436" s="2">
        <f>Games[[#This Row],[OppDaysOff]]-Games[[#This Row],[DaysOff]]</f>
        <v>0</v>
      </c>
      <c r="M436" s="1">
        <f>MAX(-16, MIN(16, Games[[#This Row],[RestDiff]]*8))</f>
        <v>0</v>
      </c>
      <c r="N436" s="1">
        <f>MAX(-16, MIN(16, Games[[#This Row],[OppRestDiff]]*8))</f>
        <v>0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1687.5865876338178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1660.9872692703132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0.41813724576811229</v>
      </c>
      <c r="R436" s="1">
        <v>94</v>
      </c>
      <c r="S436" s="1">
        <v>81</v>
      </c>
      <c r="T436" s="1">
        <v>0</v>
      </c>
      <c r="U436" s="1">
        <f>Games[[#This Row],[PointsFor]]-Games[[#This Row],[PointsAgainst]]</f>
        <v>13</v>
      </c>
      <c r="V436" s="1">
        <f>IF(Games[[#This Row],[MOV]]&gt;0,1,IF(Games[[#This Row],[MOV]]=0,0.5,0))</f>
        <v>1</v>
      </c>
      <c r="W436" s="4">
        <f>((ABS(Games[[#This Row],[MOV]])+5)^0.6)/(12+0.01*(ABS(Games[[#This Row],[PreGmRate]]-Games[[#This Row],[OppPreGmRate]])))*IF(Games[[#This Row],[OT]]=1,0.9,1)</f>
        <v>0.46180728971273727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6" s="9">
        <f>MAX(kmin, kmax - 0.15 * MIN(Games[[#This Row],[GamesPlayed]], 82))</f>
        <v>69.849999999999994</v>
      </c>
      <c r="Z436" s="4">
        <f>Games[[#This Row],[K]]*Games[[#This Row],[POMult]]</f>
        <v>94.297499999999999</v>
      </c>
      <c r="AA436" s="4">
        <f>(Games[[#This Row],[Keff]]*Games[[#This Row],[MOVMult]])*(Games[[#This Row],[Result]]-Games[[#This Row],[ExpectedWin%]])</f>
        <v>25.338536149863156</v>
      </c>
      <c r="AB436" s="4">
        <f>Games[[#This Row],[PreGmRate]]+Games[[#This Row],[RatingChange]]</f>
        <v>1712.9251237836809</v>
      </c>
      <c r="AC436" s="2">
        <f>IF(Games[[#This Row],[Type]]="R",IF(Games[[#This Row],[Result]]&gt;0.5,1,0),0)</f>
        <v>0</v>
      </c>
      <c r="AD436" s="2">
        <f>IF(Games[[#This Row],[Type]]="R",IF(Games[[#This Row],[Result]]&lt;0.5,1,0),0)</f>
        <v>0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0</v>
      </c>
      <c r="AI436" s="2">
        <f>IF(AND(Games[[#This Row],[Type]]="P",Games[[#This Row],[Round]]=3),IF(Games[[#This Row],[Result]]&gt;0.5,1,0),0)</f>
        <v>1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43744</v>
      </c>
      <c r="B437" s="2">
        <v>2019</v>
      </c>
      <c r="C437" s="2">
        <f>COUNTIFS(Games[Team],Games[[#This Row],[Team]],Games[Season],Games[[#This Row],[Season]],Games[Date],"&lt;=" &amp; Games[[#This Row],[Date]])</f>
        <v>40</v>
      </c>
      <c r="D437" s="2" t="s">
        <v>83</v>
      </c>
      <c r="E437" s="2">
        <v>3</v>
      </c>
      <c r="F437" s="1" t="s">
        <v>74</v>
      </c>
      <c r="G437" s="1" t="s">
        <v>65</v>
      </c>
      <c r="H437" s="1" t="s">
        <v>82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4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37" s="2">
        <f>Games[[#This Row],[DaysOff]]-Games[[#This Row],[OppDaysOff]]</f>
        <v>0</v>
      </c>
      <c r="L437" s="2">
        <f>Games[[#This Row],[OppDaysOff]]-Games[[#This Row],[DaysOff]]</f>
        <v>0</v>
      </c>
      <c r="M437" s="1">
        <f>MAX(-16, MIN(16, Games[[#This Row],[RestDiff]]*8))</f>
        <v>0</v>
      </c>
      <c r="N437" s="1">
        <f>MAX(-16, MIN(16, Games[[#This Row],[OppRestDiff]]*8))</f>
        <v>0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1660.9872692703132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1687.5865876338178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0.58186275423188782</v>
      </c>
      <c r="R437" s="1">
        <v>81</v>
      </c>
      <c r="S437" s="1">
        <v>94</v>
      </c>
      <c r="T437" s="1">
        <v>0</v>
      </c>
      <c r="U437" s="1">
        <f>Games[[#This Row],[PointsFor]]-Games[[#This Row],[PointsAgainst]]</f>
        <v>-13</v>
      </c>
      <c r="V437" s="1">
        <f>IF(Games[[#This Row],[MOV]]&gt;0,1,IF(Games[[#This Row],[MOV]]=0,0.5,0))</f>
        <v>0</v>
      </c>
      <c r="W437" s="4">
        <f>((ABS(Games[[#This Row],[MOV]])+5)^0.6)/(12+0.01*(ABS(Games[[#This Row],[PreGmRate]]-Games[[#This Row],[OppPreGmRate]])))*IF(Games[[#This Row],[OT]]=1,0.9,1)</f>
        <v>0.46180728971273727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7" s="9">
        <f>MAX(kmin, kmax - 0.15 * MIN(Games[[#This Row],[GamesPlayed]], 82))</f>
        <v>70</v>
      </c>
      <c r="Z437" s="4">
        <f>Games[[#This Row],[K]]*Games[[#This Row],[POMult]]</f>
        <v>94.5</v>
      </c>
      <c r="AA437" s="4">
        <f>(Games[[#This Row],[Keff]]*Games[[#This Row],[MOVMult]])*(Games[[#This Row],[Result]]-Games[[#This Row],[ExpectedWin%]])</f>
        <v>-25.392949613320276</v>
      </c>
      <c r="AB437" s="4">
        <f>Games[[#This Row],[PreGmRate]]+Games[[#This Row],[RatingChange]]</f>
        <v>1635.5943196569929</v>
      </c>
      <c r="AC437" s="2">
        <f>IF(Games[[#This Row],[Type]]="R",IF(Games[[#This Row],[Result]]&gt;0.5,1,0),0)</f>
        <v>0</v>
      </c>
      <c r="AD437" s="2">
        <f>IF(Games[[#This Row],[Type]]="R",IF(Games[[#This Row],[Result]]&lt;0.5,1,0),0)</f>
        <v>0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0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1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43746</v>
      </c>
      <c r="B438" s="2">
        <v>2019</v>
      </c>
      <c r="C438" s="2">
        <f>COUNTIFS(Games[Team],Games[[#This Row],[Team]],Games[Season],Games[[#This Row],[Season]],Games[Date],"&lt;=" &amp; Games[[#This Row],[Date]])</f>
        <v>42</v>
      </c>
      <c r="D438" s="2" t="s">
        <v>83</v>
      </c>
      <c r="E438" s="2">
        <v>3</v>
      </c>
      <c r="F438" s="1" t="s">
        <v>65</v>
      </c>
      <c r="G438" s="1" t="s">
        <v>74</v>
      </c>
      <c r="H438" s="1" t="s">
        <v>81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8" s="2">
        <f>Games[[#This Row],[DaysOff]]-Games[[#This Row],[OppDaysOff]]</f>
        <v>0</v>
      </c>
      <c r="L438" s="2">
        <f>Games[[#This Row],[OppDaysOff]]-Games[[#This Row],[DaysOff]]</f>
        <v>0</v>
      </c>
      <c r="M438" s="1">
        <f>MAX(-16, MIN(16, Games[[#This Row],[RestDiff]]*8))</f>
        <v>0</v>
      </c>
      <c r="N438" s="1">
        <f>MAX(-16, MIN(16, Games[[#This Row],[OppRestDiff]]*8))</f>
        <v>0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1712.9251237836809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1635.5943196569929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0.49040343426787475</v>
      </c>
      <c r="R438" s="1">
        <v>86</v>
      </c>
      <c r="S438" s="1">
        <v>90</v>
      </c>
      <c r="T438" s="1">
        <v>0</v>
      </c>
      <c r="U438" s="1">
        <f>Games[[#This Row],[PointsFor]]-Games[[#This Row],[PointsAgainst]]</f>
        <v>-4</v>
      </c>
      <c r="V438" s="1">
        <f>IF(Games[[#This Row],[MOV]]&gt;0,1,IF(Games[[#This Row],[MOV]]=0,0.5,0))</f>
        <v>0</v>
      </c>
      <c r="W438" s="4">
        <f>((ABS(Games[[#This Row],[MOV]])+5)^0.6)/(12+0.01*(ABS(Games[[#This Row],[PreGmRate]]-Games[[#This Row],[OppPreGmRate]])))*IF(Games[[#This Row],[OT]]=1,0.9,1)</f>
        <v>0.29257830522623884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8" s="9">
        <f>MAX(kmin, kmax - 0.15 * MIN(Games[[#This Row],[GamesPlayed]], 82))</f>
        <v>69.7</v>
      </c>
      <c r="Z438" s="4">
        <f>Games[[#This Row],[K]]*Games[[#This Row],[POMult]]</f>
        <v>94.095000000000013</v>
      </c>
      <c r="AA438" s="4">
        <f>(Games[[#This Row],[Keff]]*Games[[#This Row],[MOVMult]])*(Games[[#This Row],[Result]]-Games[[#This Row],[ExpectedWin%]])</f>
        <v>-13.500882867010016</v>
      </c>
      <c r="AB438" s="4">
        <f>Games[[#This Row],[PreGmRate]]+Games[[#This Row],[RatingChange]]</f>
        <v>1699.4242409166709</v>
      </c>
      <c r="AC438" s="2">
        <f>IF(Games[[#This Row],[Type]]="R",IF(Games[[#This Row],[Result]]&gt;0.5,1,0),0)</f>
        <v>0</v>
      </c>
      <c r="AD438" s="2">
        <f>IF(Games[[#This Row],[Type]]="R",IF(Games[[#This Row],[Result]]&lt;0.5,1,0),0)</f>
        <v>0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0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1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43746</v>
      </c>
      <c r="B439" s="2">
        <v>2019</v>
      </c>
      <c r="C439" s="2">
        <f>COUNTIFS(Games[Team],Games[[#This Row],[Team]],Games[Season],Games[[#This Row],[Season]],Games[Date],"&lt;=" &amp; Games[[#This Row],[Date]])</f>
        <v>41</v>
      </c>
      <c r="D439" s="2" t="s">
        <v>83</v>
      </c>
      <c r="E439" s="2">
        <v>3</v>
      </c>
      <c r="F439" s="1" t="s">
        <v>74</v>
      </c>
      <c r="G439" s="1" t="s">
        <v>65</v>
      </c>
      <c r="H439" s="1" t="s">
        <v>82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9" s="2">
        <f>Games[[#This Row],[DaysOff]]-Games[[#This Row],[OppDaysOff]]</f>
        <v>0</v>
      </c>
      <c r="L439" s="2">
        <f>Games[[#This Row],[OppDaysOff]]-Games[[#This Row],[DaysOff]]</f>
        <v>0</v>
      </c>
      <c r="M439" s="1">
        <f>MAX(-16, MIN(16, Games[[#This Row],[RestDiff]]*8))</f>
        <v>0</v>
      </c>
      <c r="N439" s="1">
        <f>MAX(-16, MIN(16, Games[[#This Row],[OppRestDiff]]*8))</f>
        <v>0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1635.5943196569929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1712.9251237836809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0.5095965657321252</v>
      </c>
      <c r="R439" s="1">
        <v>90</v>
      </c>
      <c r="S439" s="1">
        <v>86</v>
      </c>
      <c r="T439" s="1">
        <v>0</v>
      </c>
      <c r="U439" s="1">
        <f>Games[[#This Row],[PointsFor]]-Games[[#This Row],[PointsAgainst]]</f>
        <v>4</v>
      </c>
      <c r="V439" s="1">
        <f>IF(Games[[#This Row],[MOV]]&gt;0,1,IF(Games[[#This Row],[MOV]]=0,0.5,0))</f>
        <v>1</v>
      </c>
      <c r="W439" s="4">
        <f>((ABS(Games[[#This Row],[MOV]])+5)^0.6)/(12+0.01*(ABS(Games[[#This Row],[PreGmRate]]-Games[[#This Row],[OppPreGmRate]])))*IF(Games[[#This Row],[OT]]=1,0.9,1)</f>
        <v>0.29257830522623884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39" s="9">
        <f>MAX(kmin, kmax - 0.15 * MIN(Games[[#This Row],[GamesPlayed]], 82))</f>
        <v>69.849999999999994</v>
      </c>
      <c r="Z439" s="4">
        <f>Games[[#This Row],[K]]*Games[[#This Row],[POMult]]</f>
        <v>94.297499999999999</v>
      </c>
      <c r="AA439" s="4">
        <f>(Games[[#This Row],[Keff]]*Games[[#This Row],[MOVMult]])*(Games[[#This Row],[Result]]-Games[[#This Row],[ExpectedWin%]])</f>
        <v>13.52993785165925</v>
      </c>
      <c r="AB439" s="4">
        <f>Games[[#This Row],[PreGmRate]]+Games[[#This Row],[RatingChange]]</f>
        <v>1649.1242575086521</v>
      </c>
      <c r="AC439" s="2">
        <f>IF(Games[[#This Row],[Type]]="R",IF(Games[[#This Row],[Result]]&gt;0.5,1,0),0)</f>
        <v>0</v>
      </c>
      <c r="AD439" s="2">
        <f>IF(Games[[#This Row],[Type]]="R",IF(Games[[#This Row],[Result]]&lt;0.5,1,0),0)</f>
        <v>0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0</v>
      </c>
      <c r="AI439" s="2">
        <f>IF(AND(Games[[#This Row],[Type]]="P",Games[[#This Row],[Round]]=3),IF(Games[[#This Row],[Result]]&gt;0.5,1,0),0)</f>
        <v>1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43748</v>
      </c>
      <c r="B440" s="2">
        <v>2019</v>
      </c>
      <c r="C440" s="2">
        <f>COUNTIFS(Games[Team],Games[[#This Row],[Team]],Games[Season],Games[[#This Row],[Season]],Games[Date],"&lt;=" &amp; Games[[#This Row],[Date]])</f>
        <v>42</v>
      </c>
      <c r="D440" s="2" t="s">
        <v>83</v>
      </c>
      <c r="E440" s="2">
        <v>3</v>
      </c>
      <c r="F440" s="1" t="s">
        <v>74</v>
      </c>
      <c r="G440" s="1" t="s">
        <v>65</v>
      </c>
      <c r="H440" s="1" t="s">
        <v>81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0" s="2">
        <f>Games[[#This Row],[DaysOff]]-Games[[#This Row],[OppDaysOff]]</f>
        <v>0</v>
      </c>
      <c r="L440" s="2">
        <f>Games[[#This Row],[OppDaysOff]]-Games[[#This Row],[DaysOff]]</f>
        <v>0</v>
      </c>
      <c r="M440" s="16">
        <f>MAX(-16, MIN(16, Games[[#This Row],[RestDiff]]*8))</f>
        <v>0</v>
      </c>
      <c r="N440" s="16">
        <f>MAX(-16, MIN(16, Games[[#This Row],[OppRestDiff]]*8))</f>
        <v>0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1649.1242575086521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1699.4242409166709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0.31581044088504584</v>
      </c>
      <c r="R440" s="1">
        <v>78</v>
      </c>
      <c r="S440" s="1">
        <v>89</v>
      </c>
      <c r="T440" s="1">
        <v>0</v>
      </c>
      <c r="U440" s="16">
        <f>Games[[#This Row],[PointsFor]]-Games[[#This Row],[PointsAgainst]]</f>
        <v>-11</v>
      </c>
      <c r="V440" s="16">
        <f>IF(Games[[#This Row],[MOV]]&gt;0,1,IF(Games[[#This Row],[MOV]]=0,0.5,0))</f>
        <v>0</v>
      </c>
      <c r="W440" s="4">
        <f>((ABS(Games[[#This Row],[MOV]])+5)^0.6)/(12+0.01*(ABS(Games[[#This Row],[PreGmRate]]-Games[[#This Row],[OppPreGmRate]])))*IF(Games[[#This Row],[OT]]=1,0.9,1)</f>
        <v>0.42214122315709585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0" s="9">
        <f>MAX(kmin, kmax - 0.15 * MIN(Games[[#This Row],[GamesPlayed]], 82))</f>
        <v>69.7</v>
      </c>
      <c r="Z440" s="4">
        <f>Games[[#This Row],[K]]*Games[[#This Row],[POMult]]</f>
        <v>94.095000000000013</v>
      </c>
      <c r="AA440" s="4">
        <f>(Games[[#This Row],[Keff]]*Games[[#This Row],[MOVMult]])*(Games[[#This Row],[Result]]-Games[[#This Row],[ExpectedWin%]])</f>
        <v>-12.544426022844624</v>
      </c>
      <c r="AB440" s="4">
        <f>Games[[#This Row],[PreGmRate]]+Games[[#This Row],[RatingChange]]</f>
        <v>1636.5798314858075</v>
      </c>
      <c r="AC440" s="2">
        <f>IF(Games[[#This Row],[Type]]="R",IF(Games[[#This Row],[Result]]&gt;0.5,1,0),0)</f>
        <v>0</v>
      </c>
      <c r="AD440" s="2">
        <f>IF(Games[[#This Row],[Type]]="R",IF(Games[[#This Row],[Result]]&lt;0.5,1,0),0)</f>
        <v>0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0</v>
      </c>
      <c r="AG440" s="2">
        <f>IF(AND(Games[[#This Row],[Type]]="P",Games[[#This Row],[Round]]=2),IF(Games[[#This Row],[Result]]&gt;0.5,1,0),0)</f>
        <v>0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0</v>
      </c>
      <c r="AJ440" s="2">
        <f>IF(AND(Games[[#This Row],[Type]]="P",Games[[#This Row],[Round]]=3),IF(Games[[#This Row],[Result]]&lt;0.5,1,0),0)</f>
        <v>1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43748</v>
      </c>
      <c r="B441" s="2">
        <v>2019</v>
      </c>
      <c r="C441" s="2">
        <f>COUNTIFS(Games[Team],Games[[#This Row],[Team]],Games[Season],Games[[#This Row],[Season]],Games[Date],"&lt;=" &amp; Games[[#This Row],[Date]])</f>
        <v>43</v>
      </c>
      <c r="D441" s="2" t="s">
        <v>83</v>
      </c>
      <c r="E441" s="2">
        <v>3</v>
      </c>
      <c r="F441" s="1" t="s">
        <v>65</v>
      </c>
      <c r="G441" s="1" t="s">
        <v>74</v>
      </c>
      <c r="H441" s="1" t="s">
        <v>82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1" s="2">
        <f>Games[[#This Row],[DaysOff]]-Games[[#This Row],[OppDaysOff]]</f>
        <v>0</v>
      </c>
      <c r="L441" s="2">
        <f>Games[[#This Row],[OppDaysOff]]-Games[[#This Row],[DaysOff]]</f>
        <v>0</v>
      </c>
      <c r="M441" s="16">
        <f>MAX(-16, MIN(16, Games[[#This Row],[RestDiff]]*8))</f>
        <v>0</v>
      </c>
      <c r="N441" s="16">
        <f>MAX(-16, MIN(16, Games[[#This Row],[OppRestDiff]]*8))</f>
        <v>0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1699.4242409166709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1649.1242575086521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0.68418955911495427</v>
      </c>
      <c r="R441" s="1">
        <v>89</v>
      </c>
      <c r="S441" s="1">
        <v>78</v>
      </c>
      <c r="T441" s="1">
        <v>0</v>
      </c>
      <c r="U441" s="16">
        <f>Games[[#This Row],[PointsFor]]-Games[[#This Row],[PointsAgainst]]</f>
        <v>11</v>
      </c>
      <c r="V441" s="16">
        <f>IF(Games[[#This Row],[MOV]]&gt;0,1,IF(Games[[#This Row],[MOV]]=0,0.5,0))</f>
        <v>1</v>
      </c>
      <c r="W441" s="4">
        <f>((ABS(Games[[#This Row],[MOV]])+5)^0.6)/(12+0.01*(ABS(Games[[#This Row],[PreGmRate]]-Games[[#This Row],[OppPreGmRate]])))*IF(Games[[#This Row],[OT]]=1,0.9,1)</f>
        <v>0.42214122315709585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1" s="9">
        <f>MAX(kmin, kmax - 0.15 * MIN(Games[[#This Row],[GamesPlayed]], 82))</f>
        <v>69.55</v>
      </c>
      <c r="Z441" s="4">
        <f>Games[[#This Row],[K]]*Games[[#This Row],[POMult]]</f>
        <v>93.892499999999998</v>
      </c>
      <c r="AA441" s="4">
        <f>(Games[[#This Row],[Keff]]*Games[[#This Row],[MOVMult]])*(Games[[#This Row],[Result]]-Games[[#This Row],[ExpectedWin%]])</f>
        <v>12.517429410169916</v>
      </c>
      <c r="AB441" s="4">
        <f>Games[[#This Row],[PreGmRate]]+Games[[#This Row],[RatingChange]]</f>
        <v>1711.9416703268407</v>
      </c>
      <c r="AC441" s="2">
        <f>IF(Games[[#This Row],[Type]]="R",IF(Games[[#This Row],[Result]]&gt;0.5,1,0),0)</f>
        <v>0</v>
      </c>
      <c r="AD441" s="2">
        <f>IF(Games[[#This Row],[Type]]="R",IF(Games[[#This Row],[Result]]&lt;0.5,1,0),0)</f>
        <v>0</v>
      </c>
      <c r="AE441" s="2">
        <f>IF(AND(Games[[#This Row],[Type]]="P",Games[[#This Row],[Round]]=1),IF(Games[[#This Row],[Result]]&gt;0.5,1,0),0)</f>
        <v>0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0</v>
      </c>
      <c r="AI441" s="2">
        <f>IF(AND(Games[[#This Row],[Type]]="P",Games[[#This Row],[Round]]=3),IF(Games[[#This Row],[Result]]&gt;0.5,1,0),0)</f>
        <v>1</v>
      </c>
      <c r="AJ441" s="2">
        <f>IF(AND(Games[[#This Row],[Type]]="P",Games[[#This Row],[Round]]=3),IF(Games[[#This Row],[Result]]&lt;0.5,1,0),0)</f>
        <v>0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2026-07-28T21:51:01Z</dcterms:modified>
</cp:coreProperties>
</file>
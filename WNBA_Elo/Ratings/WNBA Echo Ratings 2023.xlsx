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WNBA_Elo\Ratings\"/>
    </mc:Choice>
  </mc:AlternateContent>
  <xr:revisionPtr revIDLastSave="0" documentId="13_ncr:1_{4D00C2CF-A5B1-46F3-B208-72EBA9D02280}" xr6:coauthVersionLast="47" xr6:coauthVersionMax="47" xr10:uidLastSave="{00000000-0000-0000-0000-000000000000}"/>
  <bookViews>
    <workbookView xWindow="-110" yWindow="-110" windowWidth="19420" windowHeight="10300" activeTab="1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5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4" i="2" l="1"/>
  <c r="C365" i="2"/>
  <c r="I364" i="2" a="1"/>
  <c r="I365" i="2" a="1"/>
  <c r="J364" i="2" a="1"/>
  <c r="J365" i="2" a="1"/>
  <c r="K364" i="2"/>
  <c r="K365" i="2"/>
  <c r="L364" i="2"/>
  <c r="L365" i="2"/>
  <c r="M364" i="2"/>
  <c r="M365" i="2"/>
  <c r="N364" i="2"/>
  <c r="N365" i="2"/>
  <c r="U364" i="2"/>
  <c r="U365" i="2"/>
  <c r="V365" i="2" s="1"/>
  <c r="V364" i="2"/>
  <c r="X364" i="2" a="1"/>
  <c r="X365" i="2" a="1"/>
  <c r="Y364" i="2"/>
  <c r="Y365" i="2"/>
  <c r="Z364" i="2"/>
  <c r="Z365" i="2"/>
  <c r="AC364" i="2"/>
  <c r="AC365" i="2"/>
  <c r="AD364" i="2"/>
  <c r="AD365" i="2"/>
  <c r="AE364" i="2"/>
  <c r="AE365" i="2"/>
  <c r="AF364" i="2"/>
  <c r="AF365" i="2"/>
  <c r="AG364" i="2"/>
  <c r="AG365" i="2"/>
  <c r="AH364" i="2"/>
  <c r="AH365" i="2"/>
  <c r="AI364" i="2"/>
  <c r="AI365" i="2"/>
  <c r="AJ364" i="2"/>
  <c r="AJ365" i="2"/>
  <c r="AK364" i="2"/>
  <c r="AK365" i="2"/>
  <c r="AL364" i="2"/>
  <c r="AL365" i="2"/>
  <c r="X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X232" i="2" a="1"/>
  <c r="X233" i="2" a="1"/>
  <c r="X234" i="2" a="1"/>
  <c r="X235" i="2" a="1"/>
  <c r="X236" i="2" a="1"/>
  <c r="X237" i="2" a="1"/>
  <c r="X238" i="2" a="1"/>
  <c r="X239" i="2" a="1"/>
  <c r="X240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X296" i="2" a="1"/>
  <c r="X297" i="2" a="1"/>
  <c r="X298" i="2" a="1"/>
  <c r="X299" i="2" a="1"/>
  <c r="X300" i="2" a="1"/>
  <c r="X301" i="2" a="1"/>
  <c r="X302" i="2" a="1"/>
  <c r="X303" i="2" a="1"/>
  <c r="X304" i="2" a="1"/>
  <c r="X305" i="2" a="1"/>
  <c r="X306" i="2" a="1"/>
  <c r="X307" i="2" a="1"/>
  <c r="X308" i="2" a="1"/>
  <c r="X309" i="2" a="1"/>
  <c r="X310" i="2" a="1"/>
  <c r="X311" i="2" a="1"/>
  <c r="X312" i="2" a="1"/>
  <c r="X313" i="2" a="1"/>
  <c r="X314" i="2" a="1"/>
  <c r="X315" i="2" a="1"/>
  <c r="X316" i="2" a="1"/>
  <c r="X317" i="2" a="1"/>
  <c r="X318" i="2" a="1"/>
  <c r="X319" i="2" a="1"/>
  <c r="X320" i="2" a="1"/>
  <c r="X321" i="2" a="1"/>
  <c r="X322" i="2" a="1"/>
  <c r="X323" i="2" a="1"/>
  <c r="X324" i="2" a="1"/>
  <c r="X325" i="2" a="1"/>
  <c r="X326" i="2" a="1"/>
  <c r="X327" i="2" a="1"/>
  <c r="X328" i="2" a="1"/>
  <c r="X329" i="2" a="1"/>
  <c r="X330" i="2" a="1"/>
  <c r="X331" i="2" a="1"/>
  <c r="X332" i="2" a="1"/>
  <c r="X333" i="2" a="1"/>
  <c r="X334" i="2" a="1"/>
  <c r="X335" i="2" a="1"/>
  <c r="X336" i="2" a="1"/>
  <c r="X337" i="2" a="1"/>
  <c r="X338" i="2" a="1"/>
  <c r="X339" i="2" a="1"/>
  <c r="X340" i="2" a="1"/>
  <c r="X341" i="2" a="1"/>
  <c r="X342" i="2" a="1"/>
  <c r="X343" i="2" a="1"/>
  <c r="X344" i="2" a="1"/>
  <c r="X345" i="2" a="1"/>
  <c r="X346" i="2" a="1"/>
  <c r="X347" i="2" a="1"/>
  <c r="X348" i="2" a="1"/>
  <c r="X349" i="2" a="1"/>
  <c r="X350" i="2" a="1"/>
  <c r="X351" i="2" a="1"/>
  <c r="X352" i="2" a="1"/>
  <c r="X353" i="2" a="1"/>
  <c r="X354" i="2" a="1"/>
  <c r="X355" i="2" a="1"/>
  <c r="X356" i="2" a="1"/>
  <c r="X357" i="2" a="1"/>
  <c r="X358" i="2" a="1"/>
  <c r="X359" i="2" a="1"/>
  <c r="X360" i="2" a="1"/>
  <c r="X361" i="2" a="1"/>
  <c r="X362" i="2" a="1"/>
  <c r="X363" i="2" a="1"/>
  <c r="X366" i="2" a="1"/>
  <c r="X367" i="2" a="1"/>
  <c r="X368" i="2" a="1"/>
  <c r="X369" i="2" a="1"/>
  <c r="X370" i="2" a="1"/>
  <c r="X371" i="2" a="1"/>
  <c r="X372" i="2" a="1"/>
  <c r="X373" i="2" a="1"/>
  <c r="X374" i="2" a="1"/>
  <c r="X375" i="2" a="1"/>
  <c r="X376" i="2" a="1"/>
  <c r="X377" i="2" a="1"/>
  <c r="X378" i="2" a="1"/>
  <c r="X379" i="2" a="1"/>
  <c r="X380" i="2" a="1"/>
  <c r="X381" i="2" a="1"/>
  <c r="X382" i="2" a="1"/>
  <c r="X383" i="2" a="1"/>
  <c r="X384" i="2" a="1"/>
  <c r="X385" i="2" a="1"/>
  <c r="X386" i="2" a="1"/>
  <c r="X387" i="2" a="1"/>
  <c r="X388" i="2" a="1"/>
  <c r="X389" i="2" a="1"/>
  <c r="X390" i="2" a="1"/>
  <c r="X391" i="2" a="1"/>
  <c r="X392" i="2" a="1"/>
  <c r="X393" i="2" a="1"/>
  <c r="X394" i="2" a="1"/>
  <c r="X395" i="2" a="1"/>
  <c r="X396" i="2" a="1"/>
  <c r="X397" i="2" a="1"/>
  <c r="X398" i="2" a="1"/>
  <c r="X399" i="2" a="1"/>
  <c r="X400" i="2" a="1"/>
  <c r="X401" i="2" a="1"/>
  <c r="X402" i="2" a="1"/>
  <c r="X403" i="2" a="1"/>
  <c r="X404" i="2" a="1"/>
  <c r="X405" i="2" a="1"/>
  <c r="X406" i="2" a="1"/>
  <c r="X407" i="2" a="1"/>
  <c r="X408" i="2" a="1"/>
  <c r="X409" i="2" a="1"/>
  <c r="X410" i="2" a="1"/>
  <c r="X411" i="2" a="1"/>
  <c r="X412" i="2" a="1"/>
  <c r="X413" i="2" a="1"/>
  <c r="X414" i="2" a="1"/>
  <c r="X415" i="2" a="1"/>
  <c r="X416" i="2" a="1"/>
  <c r="X417" i="2" a="1"/>
  <c r="X418" i="2" a="1"/>
  <c r="X419" i="2" a="1"/>
  <c r="X420" i="2" a="1"/>
  <c r="X421" i="2" a="1"/>
  <c r="X422" i="2" a="1"/>
  <c r="X423" i="2" a="1"/>
  <c r="X424" i="2" a="1"/>
  <c r="X425" i="2" a="1"/>
  <c r="X426" i="2" a="1"/>
  <c r="X427" i="2" a="1"/>
  <c r="X428" i="2" a="1"/>
  <c r="X429" i="2" a="1"/>
  <c r="X430" i="2" a="1"/>
  <c r="X431" i="2" a="1"/>
  <c r="X432" i="2" a="1"/>
  <c r="X433" i="2" a="1"/>
  <c r="X434" i="2" a="1"/>
  <c r="X435" i="2" a="1"/>
  <c r="X436" i="2" a="1"/>
  <c r="X437" i="2" a="1"/>
  <c r="X438" i="2" a="1"/>
  <c r="X439" i="2" a="1"/>
  <c r="X440" i="2" a="1"/>
  <c r="X441" i="2" a="1"/>
  <c r="X442" i="2" a="1"/>
  <c r="X443" i="2" a="1"/>
  <c r="X444" i="2" a="1"/>
  <c r="X445" i="2" a="1"/>
  <c r="X446" i="2" a="1"/>
  <c r="X447" i="2" a="1"/>
  <c r="X448" i="2" a="1"/>
  <c r="X449" i="2" a="1"/>
  <c r="X450" i="2" a="1"/>
  <c r="X451" i="2" a="1"/>
  <c r="X452" i="2" a="1"/>
  <c r="X453" i="2" a="1"/>
  <c r="X454" i="2" a="1"/>
  <c r="X455" i="2" a="1"/>
  <c r="X456" i="2" a="1"/>
  <c r="X457" i="2" a="1"/>
  <c r="X458" i="2" a="1"/>
  <c r="X459" i="2" a="1"/>
  <c r="X460" i="2" a="1"/>
  <c r="X461" i="2" a="1"/>
  <c r="X462" i="2" a="1"/>
  <c r="X463" i="2" a="1"/>
  <c r="X464" i="2" a="1"/>
  <c r="X465" i="2" a="1"/>
  <c r="X466" i="2" a="1"/>
  <c r="X467" i="2" a="1"/>
  <c r="X468" i="2" a="1"/>
  <c r="X469" i="2" a="1"/>
  <c r="X470" i="2" a="1"/>
  <c r="X471" i="2" a="1"/>
  <c r="X472" i="2" a="1"/>
  <c r="X473" i="2" a="1"/>
  <c r="X474" i="2" a="1"/>
  <c r="X475" i="2" a="1"/>
  <c r="X476" i="2" a="1"/>
  <c r="X477" i="2" a="1"/>
  <c r="X478" i="2" a="1"/>
  <c r="X479" i="2" a="1"/>
  <c r="X480" i="2" a="1"/>
  <c r="X481" i="2" a="1"/>
  <c r="X482" i="2" a="1"/>
  <c r="X483" i="2" a="1"/>
  <c r="X484" i="2" a="1"/>
  <c r="X485" i="2" a="1"/>
  <c r="X486" i="2" a="1"/>
  <c r="X487" i="2" a="1"/>
  <c r="X488" i="2" a="1"/>
  <c r="X489" i="2" a="1"/>
  <c r="X490" i="2" a="1"/>
  <c r="X491" i="2" a="1"/>
  <c r="X492" i="2" a="1"/>
  <c r="X493" i="2" a="1"/>
  <c r="X494" i="2" a="1"/>
  <c r="X495" i="2" a="1"/>
  <c r="X496" i="2" a="1"/>
  <c r="X497" i="2" a="1"/>
  <c r="X498" i="2" a="1"/>
  <c r="X499" i="2" a="1"/>
  <c r="X500" i="2" a="1"/>
  <c r="X501" i="2" a="1"/>
  <c r="X502" i="2" a="1"/>
  <c r="X503" i="2" a="1"/>
  <c r="X504" i="2" a="1"/>
  <c r="X505" i="2" a="1"/>
  <c r="X506" i="2" a="1"/>
  <c r="X507" i="2" a="1"/>
  <c r="X508" i="2" a="1"/>
  <c r="X509" i="2" a="1"/>
  <c r="X510" i="2" a="1"/>
  <c r="X511" i="2" a="1"/>
  <c r="X512" i="2" a="1"/>
  <c r="X513" i="2" a="1"/>
  <c r="X514" i="2" a="1"/>
  <c r="X515" i="2" a="1"/>
  <c r="X516" i="2" a="1"/>
  <c r="X517" i="2" a="1"/>
  <c r="X518" i="2" a="1"/>
  <c r="X519" i="2" a="1"/>
  <c r="X520" i="2" a="1"/>
  <c r="X521" i="2" a="1"/>
  <c r="X522" i="2" a="1"/>
  <c r="X523" i="2" a="1"/>
  <c r="C482" i="2"/>
  <c r="Y482" i="2" s="1"/>
  <c r="Z482" i="2" s="1"/>
  <c r="C483" i="2"/>
  <c r="Y483" i="2" s="1"/>
  <c r="Z483" i="2" s="1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I482" i="2" a="1"/>
  <c r="I483" i="2" a="1"/>
  <c r="I484" i="2" a="1"/>
  <c r="I485" i="2" a="1"/>
  <c r="I486" i="2" a="1"/>
  <c r="I487" i="2" a="1"/>
  <c r="I488" i="2" a="1"/>
  <c r="I489" i="2" a="1"/>
  <c r="I490" i="2" a="1"/>
  <c r="I491" i="2" a="1"/>
  <c r="I492" i="2" a="1"/>
  <c r="I493" i="2" a="1"/>
  <c r="I494" i="2" a="1"/>
  <c r="I495" i="2" a="1"/>
  <c r="I496" i="2" a="1"/>
  <c r="I497" i="2" a="1"/>
  <c r="I498" i="2" a="1"/>
  <c r="I499" i="2" a="1"/>
  <c r="I500" i="2" a="1"/>
  <c r="I501" i="2" a="1"/>
  <c r="I502" i="2" a="1"/>
  <c r="I503" i="2" a="1"/>
  <c r="I504" i="2" a="1"/>
  <c r="I505" i="2" a="1"/>
  <c r="I506" i="2" a="1"/>
  <c r="I507" i="2" a="1"/>
  <c r="I508" i="2" a="1"/>
  <c r="I509" i="2" a="1"/>
  <c r="I510" i="2" a="1"/>
  <c r="I511" i="2" a="1"/>
  <c r="I512" i="2" a="1"/>
  <c r="I513" i="2" a="1"/>
  <c r="I514" i="2" a="1"/>
  <c r="I515" i="2" a="1"/>
  <c r="I516" i="2" a="1"/>
  <c r="I517" i="2" a="1"/>
  <c r="I518" i="2" a="1"/>
  <c r="I519" i="2" a="1"/>
  <c r="I520" i="2" a="1"/>
  <c r="I521" i="2" a="1"/>
  <c r="I522" i="2" a="1"/>
  <c r="I523" i="2" a="1"/>
  <c r="J482" i="2" a="1"/>
  <c r="J483" i="2" a="1"/>
  <c r="J484" i="2" a="1"/>
  <c r="J485" i="2" a="1"/>
  <c r="J486" i="2" a="1"/>
  <c r="J487" i="2" a="1"/>
  <c r="J488" i="2" a="1"/>
  <c r="J489" i="2" a="1"/>
  <c r="J490" i="2" a="1"/>
  <c r="J491" i="2" a="1"/>
  <c r="J492" i="2" a="1"/>
  <c r="J493" i="2" a="1"/>
  <c r="J494" i="2" a="1"/>
  <c r="J495" i="2" a="1"/>
  <c r="J496" i="2" a="1"/>
  <c r="J497" i="2" a="1"/>
  <c r="J498" i="2" a="1"/>
  <c r="J499" i="2" a="1"/>
  <c r="J500" i="2" a="1"/>
  <c r="J501" i="2" a="1"/>
  <c r="J502" i="2" a="1"/>
  <c r="J503" i="2" a="1"/>
  <c r="J504" i="2" a="1"/>
  <c r="J505" i="2" a="1"/>
  <c r="J506" i="2" a="1"/>
  <c r="J507" i="2" a="1"/>
  <c r="J508" i="2" a="1"/>
  <c r="J509" i="2" a="1"/>
  <c r="J510" i="2" a="1"/>
  <c r="J511" i="2" a="1"/>
  <c r="J512" i="2" a="1"/>
  <c r="J513" i="2" a="1"/>
  <c r="J514" i="2" a="1"/>
  <c r="J515" i="2" a="1"/>
  <c r="J516" i="2" a="1"/>
  <c r="J517" i="2" a="1"/>
  <c r="J518" i="2" a="1"/>
  <c r="J519" i="2" a="1"/>
  <c r="J520" i="2" a="1"/>
  <c r="J521" i="2" a="1"/>
  <c r="J522" i="2" a="1"/>
  <c r="J523" i="2" a="1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AH502" i="2" s="1"/>
  <c r="V503" i="2"/>
  <c r="AH503" i="2" s="1"/>
  <c r="V504" i="2"/>
  <c r="AH504" i="2" s="1"/>
  <c r="V505" i="2"/>
  <c r="AH505" i="2" s="1"/>
  <c r="V506" i="2"/>
  <c r="AH506" i="2" s="1"/>
  <c r="V507" i="2"/>
  <c r="AH507" i="2" s="1"/>
  <c r="V508" i="2"/>
  <c r="AH508" i="2" s="1"/>
  <c r="V509" i="2"/>
  <c r="AH509" i="2" s="1"/>
  <c r="V510" i="2"/>
  <c r="AH510" i="2" s="1"/>
  <c r="V511" i="2"/>
  <c r="AH511" i="2" s="1"/>
  <c r="V512" i="2"/>
  <c r="AH512" i="2" s="1"/>
  <c r="V513" i="2"/>
  <c r="AH513" i="2" s="1"/>
  <c r="V514" i="2"/>
  <c r="AH514" i="2" s="1"/>
  <c r="V515" i="2"/>
  <c r="AH515" i="2" s="1"/>
  <c r="V516" i="2"/>
  <c r="V517" i="2"/>
  <c r="V518" i="2"/>
  <c r="V519" i="2"/>
  <c r="V520" i="2"/>
  <c r="V521" i="2"/>
  <c r="V522" i="2"/>
  <c r="V52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16" i="2"/>
  <c r="AH517" i="2"/>
  <c r="AH518" i="2"/>
  <c r="AH519" i="2"/>
  <c r="AH520" i="2"/>
  <c r="AH521" i="2"/>
  <c r="AH522" i="2"/>
  <c r="AH523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L482" i="2"/>
  <c r="AL483" i="2"/>
  <c r="AL484" i="2"/>
  <c r="AL485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AL516" i="2"/>
  <c r="AL517" i="2"/>
  <c r="AL518" i="2"/>
  <c r="AL519" i="2"/>
  <c r="AL520" i="2"/>
  <c r="AL521" i="2"/>
  <c r="AL522" i="2"/>
  <c r="AL523" i="2"/>
  <c r="C422" i="2"/>
  <c r="Y422" i="2" s="1"/>
  <c r="C423" i="2"/>
  <c r="Y423" i="2" s="1"/>
  <c r="C424" i="2"/>
  <c r="Y424" i="2" s="1"/>
  <c r="C425" i="2"/>
  <c r="Y425" i="2" s="1"/>
  <c r="C426" i="2"/>
  <c r="Y426" i="2" s="1"/>
  <c r="C427" i="2"/>
  <c r="Y427" i="2" s="1"/>
  <c r="C428" i="2"/>
  <c r="Y428" i="2" s="1"/>
  <c r="C429" i="2"/>
  <c r="Y429" i="2" s="1"/>
  <c r="C430" i="2"/>
  <c r="Y430" i="2" s="1"/>
  <c r="C431" i="2"/>
  <c r="Y431" i="2" s="1"/>
  <c r="C432" i="2"/>
  <c r="Y432" i="2" s="1"/>
  <c r="C433" i="2"/>
  <c r="Y433" i="2" s="1"/>
  <c r="C434" i="2"/>
  <c r="Y434" i="2" s="1"/>
  <c r="C435" i="2"/>
  <c r="Y435" i="2" s="1"/>
  <c r="C436" i="2"/>
  <c r="Y436" i="2" s="1"/>
  <c r="C437" i="2"/>
  <c r="Y437" i="2" s="1"/>
  <c r="C438" i="2"/>
  <c r="Y438" i="2" s="1"/>
  <c r="C439" i="2"/>
  <c r="Y439" i="2" s="1"/>
  <c r="C440" i="2"/>
  <c r="Y440" i="2" s="1"/>
  <c r="C441" i="2"/>
  <c r="Y441" i="2" s="1"/>
  <c r="C442" i="2"/>
  <c r="Y442" i="2" s="1"/>
  <c r="C443" i="2"/>
  <c r="Y443" i="2" s="1"/>
  <c r="C444" i="2"/>
  <c r="Y444" i="2" s="1"/>
  <c r="C445" i="2"/>
  <c r="Y445" i="2" s="1"/>
  <c r="C446" i="2"/>
  <c r="Y446" i="2" s="1"/>
  <c r="C447" i="2"/>
  <c r="Y447" i="2" s="1"/>
  <c r="C448" i="2"/>
  <c r="Y448" i="2" s="1"/>
  <c r="C449" i="2"/>
  <c r="Y449" i="2" s="1"/>
  <c r="C450" i="2"/>
  <c r="Y450" i="2" s="1"/>
  <c r="C451" i="2"/>
  <c r="Y451" i="2" s="1"/>
  <c r="C452" i="2"/>
  <c r="Y452" i="2" s="1"/>
  <c r="C453" i="2"/>
  <c r="Y453" i="2" s="1"/>
  <c r="C454" i="2"/>
  <c r="Y454" i="2" s="1"/>
  <c r="C455" i="2"/>
  <c r="Y455" i="2" s="1"/>
  <c r="C456" i="2"/>
  <c r="Y456" i="2" s="1"/>
  <c r="C457" i="2"/>
  <c r="Y457" i="2" s="1"/>
  <c r="C458" i="2"/>
  <c r="Y458" i="2" s="1"/>
  <c r="C459" i="2"/>
  <c r="Y459" i="2" s="1"/>
  <c r="C460" i="2"/>
  <c r="Y460" i="2" s="1"/>
  <c r="C461" i="2"/>
  <c r="Y461" i="2" s="1"/>
  <c r="C462" i="2"/>
  <c r="Y462" i="2" s="1"/>
  <c r="C463" i="2"/>
  <c r="Y463" i="2" s="1"/>
  <c r="C464" i="2"/>
  <c r="Y464" i="2" s="1"/>
  <c r="C465" i="2"/>
  <c r="Y465" i="2" s="1"/>
  <c r="C466" i="2"/>
  <c r="Y466" i="2" s="1"/>
  <c r="C467" i="2"/>
  <c r="Y467" i="2" s="1"/>
  <c r="C468" i="2"/>
  <c r="Y468" i="2" s="1"/>
  <c r="C469" i="2"/>
  <c r="Y469" i="2" s="1"/>
  <c r="C470" i="2"/>
  <c r="Y470" i="2" s="1"/>
  <c r="C471" i="2"/>
  <c r="Y471" i="2" s="1"/>
  <c r="C472" i="2"/>
  <c r="Y472" i="2" s="1"/>
  <c r="C473" i="2"/>
  <c r="Y473" i="2" s="1"/>
  <c r="C474" i="2"/>
  <c r="Y474" i="2" s="1"/>
  <c r="C475" i="2"/>
  <c r="Y475" i="2" s="1"/>
  <c r="C476" i="2"/>
  <c r="Y476" i="2" s="1"/>
  <c r="C477" i="2"/>
  <c r="Y477" i="2" s="1"/>
  <c r="C478" i="2"/>
  <c r="Y478" i="2" s="1"/>
  <c r="C479" i="2"/>
  <c r="Y479" i="2" s="1"/>
  <c r="C480" i="2"/>
  <c r="Y480" i="2" s="1"/>
  <c r="C481" i="2"/>
  <c r="Y481" i="2" s="1"/>
  <c r="I422" i="2" a="1"/>
  <c r="I423" i="2" a="1"/>
  <c r="I424" i="2" a="1"/>
  <c r="I425" i="2" a="1"/>
  <c r="I426" i="2" a="1"/>
  <c r="I427" i="2" a="1"/>
  <c r="I428" i="2" a="1"/>
  <c r="I429" i="2" a="1"/>
  <c r="I430" i="2" a="1"/>
  <c r="I431" i="2" a="1"/>
  <c r="I432" i="2" a="1"/>
  <c r="I433" i="2" a="1"/>
  <c r="I434" i="2" a="1"/>
  <c r="I435" i="2" a="1"/>
  <c r="I436" i="2" a="1"/>
  <c r="I437" i="2" a="1"/>
  <c r="I438" i="2" a="1"/>
  <c r="I439" i="2" a="1"/>
  <c r="I440" i="2" a="1"/>
  <c r="I441" i="2" a="1"/>
  <c r="I442" i="2" a="1"/>
  <c r="I443" i="2" a="1"/>
  <c r="I444" i="2" a="1"/>
  <c r="I445" i="2" a="1"/>
  <c r="I446" i="2" a="1"/>
  <c r="I447" i="2" a="1"/>
  <c r="I448" i="2" a="1"/>
  <c r="I449" i="2" a="1"/>
  <c r="I450" i="2" a="1"/>
  <c r="I451" i="2" a="1"/>
  <c r="I452" i="2" a="1"/>
  <c r="I453" i="2" a="1"/>
  <c r="I454" i="2" a="1"/>
  <c r="I455" i="2" a="1"/>
  <c r="I456" i="2" a="1"/>
  <c r="I457" i="2" a="1"/>
  <c r="I458" i="2" a="1"/>
  <c r="I459" i="2" a="1"/>
  <c r="I460" i="2" a="1"/>
  <c r="I461" i="2" a="1"/>
  <c r="I462" i="2" a="1"/>
  <c r="I463" i="2" a="1"/>
  <c r="I464" i="2" a="1"/>
  <c r="I465" i="2" a="1"/>
  <c r="I466" i="2" a="1"/>
  <c r="I467" i="2" a="1"/>
  <c r="I468" i="2" a="1"/>
  <c r="I469" i="2" a="1"/>
  <c r="I470" i="2" a="1"/>
  <c r="I471" i="2" a="1"/>
  <c r="I472" i="2" a="1"/>
  <c r="I473" i="2" a="1"/>
  <c r="I474" i="2" a="1"/>
  <c r="I475" i="2" a="1"/>
  <c r="I476" i="2" a="1"/>
  <c r="I477" i="2" a="1"/>
  <c r="I478" i="2" a="1"/>
  <c r="I479" i="2" a="1"/>
  <c r="I480" i="2" a="1"/>
  <c r="I481" i="2" a="1"/>
  <c r="J422" i="2" a="1"/>
  <c r="J423" i="2" a="1"/>
  <c r="J424" i="2" a="1"/>
  <c r="J425" i="2" a="1"/>
  <c r="J426" i="2" a="1"/>
  <c r="J427" i="2" a="1"/>
  <c r="J428" i="2" a="1"/>
  <c r="J429" i="2" a="1"/>
  <c r="J430" i="2" a="1"/>
  <c r="J431" i="2" a="1"/>
  <c r="J432" i="2" a="1"/>
  <c r="J433" i="2" a="1"/>
  <c r="J434" i="2" a="1"/>
  <c r="J435" i="2" a="1"/>
  <c r="J436" i="2" a="1"/>
  <c r="J437" i="2" a="1"/>
  <c r="J438" i="2" a="1"/>
  <c r="J439" i="2" a="1"/>
  <c r="J440" i="2" a="1"/>
  <c r="J441" i="2" a="1"/>
  <c r="J442" i="2" a="1"/>
  <c r="J443" i="2" a="1"/>
  <c r="J444" i="2" a="1"/>
  <c r="J445" i="2" a="1"/>
  <c r="J446" i="2" a="1"/>
  <c r="J447" i="2" a="1"/>
  <c r="J448" i="2" a="1"/>
  <c r="J449" i="2" a="1"/>
  <c r="J450" i="2" a="1"/>
  <c r="J451" i="2" a="1"/>
  <c r="J452" i="2" a="1"/>
  <c r="J453" i="2" a="1"/>
  <c r="J454" i="2" a="1"/>
  <c r="J455" i="2" a="1"/>
  <c r="J456" i="2" a="1"/>
  <c r="J457" i="2" a="1"/>
  <c r="J458" i="2" a="1"/>
  <c r="J459" i="2" a="1"/>
  <c r="J460" i="2" a="1"/>
  <c r="J461" i="2" a="1"/>
  <c r="J462" i="2" a="1"/>
  <c r="J463" i="2" a="1"/>
  <c r="J464" i="2" a="1"/>
  <c r="J465" i="2" a="1"/>
  <c r="J466" i="2" a="1"/>
  <c r="J467" i="2" a="1"/>
  <c r="J468" i="2" a="1"/>
  <c r="J469" i="2" a="1"/>
  <c r="J470" i="2" a="1"/>
  <c r="J471" i="2" a="1"/>
  <c r="J472" i="2" a="1"/>
  <c r="J473" i="2" a="1"/>
  <c r="J474" i="2" a="1"/>
  <c r="J475" i="2" a="1"/>
  <c r="J476" i="2" a="1"/>
  <c r="J477" i="2" a="1"/>
  <c r="J478" i="2" a="1"/>
  <c r="J479" i="2" a="1"/>
  <c r="J480" i="2" a="1"/>
  <c r="J481" i="2" a="1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70" i="2"/>
  <c r="K471" i="2"/>
  <c r="K472" i="2"/>
  <c r="K473" i="2"/>
  <c r="K474" i="2"/>
  <c r="K475" i="2"/>
  <c r="K476" i="2"/>
  <c r="K477" i="2"/>
  <c r="K478" i="2"/>
  <c r="K479" i="2"/>
  <c r="K480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70" i="2"/>
  <c r="L471" i="2"/>
  <c r="L472" i="2"/>
  <c r="L473" i="2"/>
  <c r="L474" i="2"/>
  <c r="L475" i="2"/>
  <c r="L476" i="2"/>
  <c r="L477" i="2"/>
  <c r="L478" i="2"/>
  <c r="L479" i="2"/>
  <c r="L480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70" i="2"/>
  <c r="M471" i="2"/>
  <c r="M472" i="2"/>
  <c r="M473" i="2"/>
  <c r="M474" i="2"/>
  <c r="M475" i="2"/>
  <c r="M476" i="2"/>
  <c r="M477" i="2"/>
  <c r="M478" i="2"/>
  <c r="M479" i="2"/>
  <c r="M480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70" i="2"/>
  <c r="N471" i="2"/>
  <c r="N472" i="2"/>
  <c r="N473" i="2"/>
  <c r="N474" i="2"/>
  <c r="N475" i="2"/>
  <c r="N476" i="2"/>
  <c r="N477" i="2"/>
  <c r="N478" i="2"/>
  <c r="N479" i="2"/>
  <c r="N480" i="2"/>
  <c r="U422" i="2"/>
  <c r="V422" i="2" s="1"/>
  <c r="U423" i="2"/>
  <c r="V423" i="2" s="1"/>
  <c r="U424" i="2"/>
  <c r="V424" i="2" s="1"/>
  <c r="U425" i="2"/>
  <c r="V425" i="2" s="1"/>
  <c r="U426" i="2"/>
  <c r="V426" i="2" s="1"/>
  <c r="U427" i="2"/>
  <c r="V427" i="2" s="1"/>
  <c r="U428" i="2"/>
  <c r="V428" i="2" s="1"/>
  <c r="U429" i="2"/>
  <c r="V429" i="2" s="1"/>
  <c r="U430" i="2"/>
  <c r="V430" i="2" s="1"/>
  <c r="U431" i="2"/>
  <c r="V431" i="2" s="1"/>
  <c r="U432" i="2"/>
  <c r="V432" i="2" s="1"/>
  <c r="U433" i="2"/>
  <c r="V433" i="2" s="1"/>
  <c r="U434" i="2"/>
  <c r="V434" i="2" s="1"/>
  <c r="U435" i="2"/>
  <c r="V435" i="2" s="1"/>
  <c r="U436" i="2"/>
  <c r="V436" i="2" s="1"/>
  <c r="U437" i="2"/>
  <c r="V437" i="2" s="1"/>
  <c r="U438" i="2"/>
  <c r="V438" i="2" s="1"/>
  <c r="U439" i="2"/>
  <c r="V439" i="2" s="1"/>
  <c r="U440" i="2"/>
  <c r="V440" i="2" s="1"/>
  <c r="U441" i="2"/>
  <c r="V441" i="2" s="1"/>
  <c r="U442" i="2"/>
  <c r="V442" i="2" s="1"/>
  <c r="U443" i="2"/>
  <c r="V443" i="2" s="1"/>
  <c r="U444" i="2"/>
  <c r="V444" i="2" s="1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AL480" i="2"/>
  <c r="AL481" i="2"/>
  <c r="C296" i="2"/>
  <c r="Y296" i="2" s="1"/>
  <c r="C297" i="2"/>
  <c r="Y297" i="2" s="1"/>
  <c r="C298" i="2"/>
  <c r="Y298" i="2" s="1"/>
  <c r="C299" i="2"/>
  <c r="Y299" i="2" s="1"/>
  <c r="C300" i="2"/>
  <c r="Y300" i="2" s="1"/>
  <c r="C301" i="2"/>
  <c r="Y301" i="2" s="1"/>
  <c r="C302" i="2"/>
  <c r="Y302" i="2" s="1"/>
  <c r="C303" i="2"/>
  <c r="Y303" i="2" s="1"/>
  <c r="C304" i="2"/>
  <c r="Y304" i="2" s="1"/>
  <c r="C305" i="2"/>
  <c r="Y305" i="2" s="1"/>
  <c r="C306" i="2"/>
  <c r="Y306" i="2" s="1"/>
  <c r="C307" i="2"/>
  <c r="Y307" i="2" s="1"/>
  <c r="C308" i="2"/>
  <c r="Y308" i="2" s="1"/>
  <c r="C309" i="2"/>
  <c r="Y309" i="2" s="1"/>
  <c r="C310" i="2"/>
  <c r="Y310" i="2" s="1"/>
  <c r="C311" i="2"/>
  <c r="Y311" i="2" s="1"/>
  <c r="C312" i="2"/>
  <c r="Y312" i="2" s="1"/>
  <c r="C313" i="2"/>
  <c r="Y313" i="2" s="1"/>
  <c r="C314" i="2"/>
  <c r="Y314" i="2" s="1"/>
  <c r="C315" i="2"/>
  <c r="Y315" i="2" s="1"/>
  <c r="C316" i="2"/>
  <c r="Y316" i="2" s="1"/>
  <c r="C317" i="2"/>
  <c r="Y317" i="2" s="1"/>
  <c r="C318" i="2"/>
  <c r="Y318" i="2" s="1"/>
  <c r="C319" i="2"/>
  <c r="Y319" i="2" s="1"/>
  <c r="C320" i="2"/>
  <c r="Y320" i="2" s="1"/>
  <c r="C321" i="2"/>
  <c r="Y321" i="2" s="1"/>
  <c r="C322" i="2"/>
  <c r="Y322" i="2" s="1"/>
  <c r="C323" i="2"/>
  <c r="Y323" i="2" s="1"/>
  <c r="C324" i="2"/>
  <c r="Y324" i="2" s="1"/>
  <c r="C325" i="2"/>
  <c r="Y325" i="2" s="1"/>
  <c r="C326" i="2"/>
  <c r="Y326" i="2" s="1"/>
  <c r="C327" i="2"/>
  <c r="Y327" i="2" s="1"/>
  <c r="C328" i="2"/>
  <c r="Y328" i="2" s="1"/>
  <c r="C329" i="2"/>
  <c r="Y329" i="2" s="1"/>
  <c r="C330" i="2"/>
  <c r="Y330" i="2" s="1"/>
  <c r="C331" i="2"/>
  <c r="Y331" i="2" s="1"/>
  <c r="C332" i="2"/>
  <c r="Y332" i="2" s="1"/>
  <c r="C333" i="2"/>
  <c r="Y333" i="2" s="1"/>
  <c r="C334" i="2"/>
  <c r="Y334" i="2" s="1"/>
  <c r="C335" i="2"/>
  <c r="Y335" i="2" s="1"/>
  <c r="C336" i="2"/>
  <c r="Y336" i="2" s="1"/>
  <c r="C337" i="2"/>
  <c r="Y337" i="2" s="1"/>
  <c r="C338" i="2"/>
  <c r="Y338" i="2" s="1"/>
  <c r="C339" i="2"/>
  <c r="Y339" i="2" s="1"/>
  <c r="C340" i="2"/>
  <c r="Y340" i="2" s="1"/>
  <c r="C341" i="2"/>
  <c r="Y341" i="2" s="1"/>
  <c r="C342" i="2"/>
  <c r="Y342" i="2" s="1"/>
  <c r="C343" i="2"/>
  <c r="Y343" i="2" s="1"/>
  <c r="C344" i="2"/>
  <c r="Y344" i="2" s="1"/>
  <c r="C345" i="2"/>
  <c r="Y345" i="2" s="1"/>
  <c r="C346" i="2"/>
  <c r="Y346" i="2" s="1"/>
  <c r="C347" i="2"/>
  <c r="Y347" i="2" s="1"/>
  <c r="C348" i="2"/>
  <c r="Y348" i="2" s="1"/>
  <c r="C349" i="2"/>
  <c r="Y349" i="2" s="1"/>
  <c r="C350" i="2"/>
  <c r="Y350" i="2" s="1"/>
  <c r="C351" i="2"/>
  <c r="Y351" i="2" s="1"/>
  <c r="C352" i="2"/>
  <c r="Y352" i="2" s="1"/>
  <c r="C353" i="2"/>
  <c r="Y353" i="2" s="1"/>
  <c r="C354" i="2"/>
  <c r="Y354" i="2" s="1"/>
  <c r="C355" i="2"/>
  <c r="Y355" i="2" s="1"/>
  <c r="C356" i="2"/>
  <c r="Y356" i="2" s="1"/>
  <c r="C357" i="2"/>
  <c r="Y357" i="2" s="1"/>
  <c r="C358" i="2"/>
  <c r="Y358" i="2" s="1"/>
  <c r="C359" i="2"/>
  <c r="Y359" i="2" s="1"/>
  <c r="C360" i="2"/>
  <c r="Y360" i="2" s="1"/>
  <c r="C361" i="2"/>
  <c r="Y361" i="2" s="1"/>
  <c r="C362" i="2"/>
  <c r="Y362" i="2" s="1"/>
  <c r="C363" i="2"/>
  <c r="Y363" i="2" s="1"/>
  <c r="C366" i="2"/>
  <c r="Y366" i="2" s="1"/>
  <c r="C367" i="2"/>
  <c r="Y367" i="2" s="1"/>
  <c r="C368" i="2"/>
  <c r="Y368" i="2" s="1"/>
  <c r="C369" i="2"/>
  <c r="Y369" i="2" s="1"/>
  <c r="C370" i="2"/>
  <c r="Y370" i="2" s="1"/>
  <c r="C371" i="2"/>
  <c r="Y371" i="2" s="1"/>
  <c r="C372" i="2"/>
  <c r="Y372" i="2" s="1"/>
  <c r="C373" i="2"/>
  <c r="Y373" i="2" s="1"/>
  <c r="C374" i="2"/>
  <c r="Y374" i="2" s="1"/>
  <c r="C375" i="2"/>
  <c r="Y375" i="2" s="1"/>
  <c r="C376" i="2"/>
  <c r="Y376" i="2" s="1"/>
  <c r="C377" i="2"/>
  <c r="Y377" i="2" s="1"/>
  <c r="C378" i="2"/>
  <c r="Y378" i="2" s="1"/>
  <c r="C379" i="2"/>
  <c r="Y379" i="2" s="1"/>
  <c r="C380" i="2"/>
  <c r="Y380" i="2" s="1"/>
  <c r="C381" i="2"/>
  <c r="Y381" i="2" s="1"/>
  <c r="C382" i="2"/>
  <c r="Y382" i="2" s="1"/>
  <c r="C383" i="2"/>
  <c r="Y383" i="2" s="1"/>
  <c r="C384" i="2"/>
  <c r="Y384" i="2" s="1"/>
  <c r="C385" i="2"/>
  <c r="Y385" i="2" s="1"/>
  <c r="C386" i="2"/>
  <c r="Y386" i="2" s="1"/>
  <c r="C387" i="2"/>
  <c r="Y387" i="2" s="1"/>
  <c r="C388" i="2"/>
  <c r="Y388" i="2" s="1"/>
  <c r="C389" i="2"/>
  <c r="Y389" i="2" s="1"/>
  <c r="C390" i="2"/>
  <c r="Y390" i="2" s="1"/>
  <c r="C391" i="2"/>
  <c r="Y391" i="2" s="1"/>
  <c r="C392" i="2"/>
  <c r="Y392" i="2" s="1"/>
  <c r="C393" i="2"/>
  <c r="Y393" i="2" s="1"/>
  <c r="C394" i="2"/>
  <c r="Y394" i="2" s="1"/>
  <c r="C395" i="2"/>
  <c r="Y395" i="2" s="1"/>
  <c r="C396" i="2"/>
  <c r="Y396" i="2" s="1"/>
  <c r="C397" i="2"/>
  <c r="Y397" i="2" s="1"/>
  <c r="C398" i="2"/>
  <c r="Y398" i="2" s="1"/>
  <c r="C399" i="2"/>
  <c r="Y399" i="2" s="1"/>
  <c r="C400" i="2"/>
  <c r="Y400" i="2" s="1"/>
  <c r="C401" i="2"/>
  <c r="Y401" i="2" s="1"/>
  <c r="C402" i="2"/>
  <c r="Y402" i="2" s="1"/>
  <c r="C403" i="2"/>
  <c r="Y403" i="2" s="1"/>
  <c r="C404" i="2"/>
  <c r="Y404" i="2" s="1"/>
  <c r="C405" i="2"/>
  <c r="Y405" i="2" s="1"/>
  <c r="C406" i="2"/>
  <c r="Y406" i="2" s="1"/>
  <c r="C407" i="2"/>
  <c r="Y407" i="2" s="1"/>
  <c r="C408" i="2"/>
  <c r="Y408" i="2" s="1"/>
  <c r="C409" i="2"/>
  <c r="Y409" i="2" s="1"/>
  <c r="C410" i="2"/>
  <c r="Y410" i="2" s="1"/>
  <c r="C411" i="2"/>
  <c r="Y411" i="2" s="1"/>
  <c r="C412" i="2"/>
  <c r="Y412" i="2" s="1"/>
  <c r="C413" i="2"/>
  <c r="Y413" i="2" s="1"/>
  <c r="C414" i="2"/>
  <c r="Y414" i="2" s="1"/>
  <c r="C415" i="2"/>
  <c r="Y415" i="2" s="1"/>
  <c r="C416" i="2"/>
  <c r="Y416" i="2" s="1"/>
  <c r="C417" i="2"/>
  <c r="Y417" i="2" s="1"/>
  <c r="C418" i="2"/>
  <c r="Y418" i="2" s="1"/>
  <c r="C419" i="2"/>
  <c r="Y419" i="2" s="1"/>
  <c r="C420" i="2"/>
  <c r="Y420" i="2" s="1"/>
  <c r="C421" i="2"/>
  <c r="Y421" i="2" s="1"/>
  <c r="I296" i="2" a="1"/>
  <c r="I297" i="2" a="1"/>
  <c r="I298" i="2" a="1"/>
  <c r="I299" i="2" a="1"/>
  <c r="I300" i="2" a="1"/>
  <c r="I301" i="2" a="1"/>
  <c r="I302" i="2" a="1"/>
  <c r="I303" i="2" a="1"/>
  <c r="I304" i="2" a="1"/>
  <c r="I305" i="2" a="1"/>
  <c r="I306" i="2" a="1"/>
  <c r="I307" i="2" a="1"/>
  <c r="I308" i="2" a="1"/>
  <c r="I309" i="2" a="1"/>
  <c r="I310" i="2" a="1"/>
  <c r="I311" i="2" a="1"/>
  <c r="I312" i="2" a="1"/>
  <c r="I313" i="2" a="1"/>
  <c r="I314" i="2" a="1"/>
  <c r="I315" i="2" a="1"/>
  <c r="I316" i="2" a="1"/>
  <c r="I317" i="2" a="1"/>
  <c r="I318" i="2" a="1"/>
  <c r="I319" i="2" a="1"/>
  <c r="I320" i="2" a="1"/>
  <c r="I321" i="2" a="1"/>
  <c r="I322" i="2" a="1"/>
  <c r="I323" i="2" a="1"/>
  <c r="I324" i="2" a="1"/>
  <c r="I325" i="2" a="1"/>
  <c r="I326" i="2" a="1"/>
  <c r="I327" i="2" a="1"/>
  <c r="I328" i="2" a="1"/>
  <c r="I329" i="2" a="1"/>
  <c r="I330" i="2" a="1"/>
  <c r="I331" i="2" a="1"/>
  <c r="I332" i="2" a="1"/>
  <c r="I333" i="2" a="1"/>
  <c r="I334" i="2" a="1"/>
  <c r="I335" i="2" a="1"/>
  <c r="I336" i="2" a="1"/>
  <c r="I337" i="2" a="1"/>
  <c r="I338" i="2" a="1"/>
  <c r="I339" i="2" a="1"/>
  <c r="I340" i="2" a="1"/>
  <c r="I341" i="2" a="1"/>
  <c r="I342" i="2" a="1"/>
  <c r="I343" i="2" a="1"/>
  <c r="I344" i="2" a="1"/>
  <c r="I345" i="2" a="1"/>
  <c r="I346" i="2" a="1"/>
  <c r="I347" i="2" a="1"/>
  <c r="I348" i="2" a="1"/>
  <c r="I349" i="2" a="1"/>
  <c r="I350" i="2" a="1"/>
  <c r="I351" i="2" a="1"/>
  <c r="I352" i="2" a="1"/>
  <c r="I353" i="2" a="1"/>
  <c r="I354" i="2" a="1"/>
  <c r="I355" i="2" a="1"/>
  <c r="I356" i="2" a="1"/>
  <c r="I357" i="2" a="1"/>
  <c r="I358" i="2" a="1"/>
  <c r="I359" i="2" a="1"/>
  <c r="I360" i="2" a="1"/>
  <c r="I361" i="2" a="1"/>
  <c r="I362" i="2" a="1"/>
  <c r="I363" i="2" a="1"/>
  <c r="I366" i="2" a="1"/>
  <c r="I367" i="2" a="1"/>
  <c r="I368" i="2" a="1"/>
  <c r="I369" i="2" a="1"/>
  <c r="I370" i="2" a="1"/>
  <c r="I371" i="2" a="1"/>
  <c r="I372" i="2" a="1"/>
  <c r="I373" i="2" a="1"/>
  <c r="I374" i="2" a="1"/>
  <c r="I375" i="2" a="1"/>
  <c r="I376" i="2" a="1"/>
  <c r="I377" i="2" a="1"/>
  <c r="I378" i="2" a="1"/>
  <c r="I379" i="2" a="1"/>
  <c r="I380" i="2" a="1"/>
  <c r="I381" i="2" a="1"/>
  <c r="I382" i="2" a="1"/>
  <c r="I383" i="2" a="1"/>
  <c r="I384" i="2" a="1"/>
  <c r="I385" i="2" a="1"/>
  <c r="I386" i="2" a="1"/>
  <c r="I387" i="2" a="1"/>
  <c r="I388" i="2" a="1"/>
  <c r="I389" i="2" a="1"/>
  <c r="I390" i="2" a="1"/>
  <c r="I391" i="2" a="1"/>
  <c r="I392" i="2" a="1"/>
  <c r="I393" i="2" a="1"/>
  <c r="I394" i="2" a="1"/>
  <c r="I395" i="2" a="1"/>
  <c r="I396" i="2" a="1"/>
  <c r="I397" i="2" a="1"/>
  <c r="I398" i="2" a="1"/>
  <c r="I399" i="2" a="1"/>
  <c r="I400" i="2" a="1"/>
  <c r="I401" i="2" a="1"/>
  <c r="I402" i="2" a="1"/>
  <c r="I403" i="2" a="1"/>
  <c r="I404" i="2" a="1"/>
  <c r="I405" i="2" a="1"/>
  <c r="I406" i="2" a="1"/>
  <c r="I407" i="2" a="1"/>
  <c r="I408" i="2" a="1"/>
  <c r="I409" i="2" a="1"/>
  <c r="I410" i="2" a="1"/>
  <c r="I411" i="2" a="1"/>
  <c r="I412" i="2" a="1"/>
  <c r="I413" i="2" a="1"/>
  <c r="I414" i="2" a="1"/>
  <c r="I415" i="2" a="1"/>
  <c r="I416" i="2" a="1"/>
  <c r="I417" i="2" a="1"/>
  <c r="I418" i="2" a="1"/>
  <c r="I419" i="2" a="1"/>
  <c r="I420" i="2" a="1"/>
  <c r="I421" i="2" a="1"/>
  <c r="J296" i="2" a="1"/>
  <c r="J297" i="2" a="1"/>
  <c r="J298" i="2" a="1"/>
  <c r="J299" i="2" a="1"/>
  <c r="J300" i="2" a="1"/>
  <c r="J301" i="2" a="1"/>
  <c r="J302" i="2" a="1"/>
  <c r="J303" i="2" a="1"/>
  <c r="J304" i="2" a="1"/>
  <c r="J305" i="2" a="1"/>
  <c r="J306" i="2" a="1"/>
  <c r="J307" i="2" a="1"/>
  <c r="J308" i="2" a="1"/>
  <c r="J309" i="2" a="1"/>
  <c r="J310" i="2" a="1"/>
  <c r="J311" i="2" a="1"/>
  <c r="J312" i="2" a="1"/>
  <c r="J313" i="2" a="1"/>
  <c r="J314" i="2" a="1"/>
  <c r="J315" i="2" a="1"/>
  <c r="J316" i="2" a="1"/>
  <c r="J317" i="2" a="1"/>
  <c r="J318" i="2" a="1"/>
  <c r="J319" i="2" a="1"/>
  <c r="J320" i="2" a="1"/>
  <c r="J321" i="2" a="1"/>
  <c r="J322" i="2" a="1"/>
  <c r="J323" i="2" a="1"/>
  <c r="J324" i="2" a="1"/>
  <c r="J325" i="2" a="1"/>
  <c r="J326" i="2" a="1"/>
  <c r="J327" i="2" a="1"/>
  <c r="J328" i="2" a="1"/>
  <c r="J329" i="2" a="1"/>
  <c r="J330" i="2" a="1"/>
  <c r="J331" i="2" a="1"/>
  <c r="J332" i="2" a="1"/>
  <c r="J333" i="2" a="1"/>
  <c r="J334" i="2" a="1"/>
  <c r="J335" i="2" a="1"/>
  <c r="J336" i="2" a="1"/>
  <c r="J337" i="2" a="1"/>
  <c r="J338" i="2" a="1"/>
  <c r="J339" i="2" a="1"/>
  <c r="J340" i="2" a="1"/>
  <c r="J341" i="2" a="1"/>
  <c r="J342" i="2" a="1"/>
  <c r="J343" i="2" a="1"/>
  <c r="J344" i="2" a="1"/>
  <c r="J345" i="2" a="1"/>
  <c r="J346" i="2" a="1"/>
  <c r="J347" i="2" a="1"/>
  <c r="J348" i="2" a="1"/>
  <c r="J349" i="2" a="1"/>
  <c r="J350" i="2" a="1"/>
  <c r="J351" i="2" a="1"/>
  <c r="J352" i="2" a="1"/>
  <c r="J353" i="2" a="1"/>
  <c r="J354" i="2" a="1"/>
  <c r="J355" i="2" a="1"/>
  <c r="J356" i="2" a="1"/>
  <c r="J357" i="2" a="1"/>
  <c r="J358" i="2" a="1"/>
  <c r="J359" i="2" a="1"/>
  <c r="J360" i="2" a="1"/>
  <c r="J361" i="2" a="1"/>
  <c r="J362" i="2" a="1"/>
  <c r="J363" i="2" a="1"/>
  <c r="J366" i="2" a="1"/>
  <c r="J367" i="2" a="1"/>
  <c r="J368" i="2" a="1"/>
  <c r="J369" i="2" a="1"/>
  <c r="J370" i="2" a="1"/>
  <c r="J371" i="2" a="1"/>
  <c r="J372" i="2" a="1"/>
  <c r="J373" i="2" a="1"/>
  <c r="J374" i="2" a="1"/>
  <c r="J375" i="2" a="1"/>
  <c r="J376" i="2" a="1"/>
  <c r="J377" i="2" a="1"/>
  <c r="J378" i="2" a="1"/>
  <c r="J379" i="2" a="1"/>
  <c r="J380" i="2" a="1"/>
  <c r="J381" i="2" a="1"/>
  <c r="J382" i="2" a="1"/>
  <c r="J383" i="2" a="1"/>
  <c r="J384" i="2" a="1"/>
  <c r="J385" i="2" a="1"/>
  <c r="J386" i="2" a="1"/>
  <c r="J387" i="2" a="1"/>
  <c r="J388" i="2" a="1"/>
  <c r="J389" i="2" a="1"/>
  <c r="J390" i="2" a="1"/>
  <c r="J391" i="2" a="1"/>
  <c r="J392" i="2" a="1"/>
  <c r="J393" i="2" a="1"/>
  <c r="J394" i="2" a="1"/>
  <c r="J395" i="2" a="1"/>
  <c r="J396" i="2" a="1"/>
  <c r="J397" i="2" a="1"/>
  <c r="J398" i="2" a="1"/>
  <c r="J399" i="2" a="1"/>
  <c r="L399" i="2" s="1"/>
  <c r="N399" i="2" s="1"/>
  <c r="J400" i="2" a="1"/>
  <c r="L400" i="2" s="1"/>
  <c r="N400" i="2" s="1"/>
  <c r="J401" i="2" a="1"/>
  <c r="L401" i="2" s="1"/>
  <c r="N401" i="2" s="1"/>
  <c r="J402" i="2" a="1"/>
  <c r="L402" i="2" s="1"/>
  <c r="N402" i="2" s="1"/>
  <c r="J403" i="2" a="1"/>
  <c r="L403" i="2" s="1"/>
  <c r="N403" i="2" s="1"/>
  <c r="J404" i="2" a="1"/>
  <c r="L404" i="2" s="1"/>
  <c r="N404" i="2" s="1"/>
  <c r="J405" i="2" a="1"/>
  <c r="L405" i="2" s="1"/>
  <c r="N405" i="2" s="1"/>
  <c r="J406" i="2" a="1"/>
  <c r="L406" i="2" s="1"/>
  <c r="N406" i="2" s="1"/>
  <c r="J407" i="2" a="1"/>
  <c r="L407" i="2" s="1"/>
  <c r="N407" i="2" s="1"/>
  <c r="J408" i="2" a="1"/>
  <c r="L408" i="2" s="1"/>
  <c r="N408" i="2" s="1"/>
  <c r="J409" i="2" a="1"/>
  <c r="L409" i="2" s="1"/>
  <c r="N409" i="2" s="1"/>
  <c r="J410" i="2" a="1"/>
  <c r="L410" i="2" s="1"/>
  <c r="N410" i="2" s="1"/>
  <c r="J411" i="2" a="1"/>
  <c r="L411" i="2" s="1"/>
  <c r="N411" i="2" s="1"/>
  <c r="J412" i="2" a="1"/>
  <c r="L412" i="2" s="1"/>
  <c r="N412" i="2" s="1"/>
  <c r="J413" i="2" a="1"/>
  <c r="L413" i="2" s="1"/>
  <c r="N413" i="2" s="1"/>
  <c r="J414" i="2" a="1"/>
  <c r="J415" i="2" a="1"/>
  <c r="L415" i="2" s="1"/>
  <c r="N415" i="2" s="1"/>
  <c r="J416" i="2" a="1"/>
  <c r="L416" i="2" s="1"/>
  <c r="N416" i="2" s="1"/>
  <c r="J417" i="2" a="1"/>
  <c r="L417" i="2" s="1"/>
  <c r="N417" i="2" s="1"/>
  <c r="J418" i="2" a="1"/>
  <c r="J419" i="2" a="1"/>
  <c r="J420" i="2" a="1"/>
  <c r="J421" i="2" a="1"/>
  <c r="K296" i="2"/>
  <c r="M296" i="2" s="1"/>
  <c r="K297" i="2"/>
  <c r="M297" i="2" s="1"/>
  <c r="K298" i="2"/>
  <c r="M298" i="2" s="1"/>
  <c r="K299" i="2"/>
  <c r="M299" i="2" s="1"/>
  <c r="K300" i="2"/>
  <c r="M300" i="2" s="1"/>
  <c r="K301" i="2"/>
  <c r="M301" i="2" s="1"/>
  <c r="K302" i="2"/>
  <c r="M302" i="2" s="1"/>
  <c r="K303" i="2"/>
  <c r="M303" i="2" s="1"/>
  <c r="K304" i="2"/>
  <c r="M304" i="2" s="1"/>
  <c r="K305" i="2"/>
  <c r="M305" i="2" s="1"/>
  <c r="K306" i="2"/>
  <c r="M306" i="2" s="1"/>
  <c r="K308" i="2"/>
  <c r="M308" i="2" s="1"/>
  <c r="K309" i="2"/>
  <c r="M309" i="2" s="1"/>
  <c r="K310" i="2"/>
  <c r="M310" i="2" s="1"/>
  <c r="K311" i="2"/>
  <c r="M311" i="2" s="1"/>
  <c r="K312" i="2"/>
  <c r="M312" i="2" s="1"/>
  <c r="K313" i="2"/>
  <c r="M313" i="2" s="1"/>
  <c r="K314" i="2"/>
  <c r="M314" i="2" s="1"/>
  <c r="K315" i="2"/>
  <c r="M315" i="2" s="1"/>
  <c r="K316" i="2"/>
  <c r="M316" i="2" s="1"/>
  <c r="K317" i="2"/>
  <c r="M317" i="2" s="1"/>
  <c r="K318" i="2"/>
  <c r="M318" i="2" s="1"/>
  <c r="K319" i="2"/>
  <c r="M319" i="2" s="1"/>
  <c r="K320" i="2"/>
  <c r="M320" i="2" s="1"/>
  <c r="K321" i="2"/>
  <c r="M321" i="2" s="1"/>
  <c r="K322" i="2"/>
  <c r="M322" i="2" s="1"/>
  <c r="K323" i="2"/>
  <c r="M323" i="2" s="1"/>
  <c r="K324" i="2"/>
  <c r="M324" i="2" s="1"/>
  <c r="K325" i="2"/>
  <c r="M325" i="2" s="1"/>
  <c r="K326" i="2"/>
  <c r="M326" i="2" s="1"/>
  <c r="K327" i="2"/>
  <c r="M327" i="2" s="1"/>
  <c r="K328" i="2"/>
  <c r="M328" i="2" s="1"/>
  <c r="K329" i="2"/>
  <c r="M329" i="2" s="1"/>
  <c r="K330" i="2"/>
  <c r="M330" i="2" s="1"/>
  <c r="K331" i="2"/>
  <c r="M331" i="2" s="1"/>
  <c r="K332" i="2"/>
  <c r="M332" i="2" s="1"/>
  <c r="K333" i="2"/>
  <c r="M333" i="2" s="1"/>
  <c r="K334" i="2"/>
  <c r="M334" i="2" s="1"/>
  <c r="K335" i="2"/>
  <c r="M335" i="2" s="1"/>
  <c r="K336" i="2"/>
  <c r="M336" i="2" s="1"/>
  <c r="K337" i="2"/>
  <c r="M337" i="2" s="1"/>
  <c r="K338" i="2"/>
  <c r="M338" i="2" s="1"/>
  <c r="K339" i="2"/>
  <c r="M339" i="2" s="1"/>
  <c r="K340" i="2"/>
  <c r="M340" i="2" s="1"/>
  <c r="K341" i="2"/>
  <c r="M341" i="2" s="1"/>
  <c r="K343" i="2"/>
  <c r="M343" i="2" s="1"/>
  <c r="K344" i="2"/>
  <c r="M344" i="2" s="1"/>
  <c r="K345" i="2"/>
  <c r="M345" i="2" s="1"/>
  <c r="K346" i="2"/>
  <c r="M346" i="2" s="1"/>
  <c r="K347" i="2"/>
  <c r="M347" i="2" s="1"/>
  <c r="K348" i="2"/>
  <c r="M348" i="2" s="1"/>
  <c r="K349" i="2"/>
  <c r="M349" i="2" s="1"/>
  <c r="K350" i="2"/>
  <c r="M350" i="2" s="1"/>
  <c r="K351" i="2"/>
  <c r="M351" i="2" s="1"/>
  <c r="K352" i="2"/>
  <c r="M352" i="2" s="1"/>
  <c r="K353" i="2"/>
  <c r="M353" i="2" s="1"/>
  <c r="K354" i="2"/>
  <c r="M354" i="2" s="1"/>
  <c r="K355" i="2"/>
  <c r="M355" i="2" s="1"/>
  <c r="K356" i="2"/>
  <c r="M356" i="2" s="1"/>
  <c r="K357" i="2"/>
  <c r="M357" i="2" s="1"/>
  <c r="K358" i="2"/>
  <c r="M358" i="2" s="1"/>
  <c r="K359" i="2"/>
  <c r="M359" i="2" s="1"/>
  <c r="K360" i="2"/>
  <c r="M360" i="2" s="1"/>
  <c r="K361" i="2"/>
  <c r="M361" i="2" s="1"/>
  <c r="K362" i="2"/>
  <c r="M362" i="2" s="1"/>
  <c r="K363" i="2"/>
  <c r="M363" i="2" s="1"/>
  <c r="K366" i="2"/>
  <c r="M366" i="2" s="1"/>
  <c r="K367" i="2"/>
  <c r="M367" i="2" s="1"/>
  <c r="K368" i="2"/>
  <c r="M368" i="2" s="1"/>
  <c r="K370" i="2"/>
  <c r="M370" i="2" s="1"/>
  <c r="K371" i="2"/>
  <c r="M371" i="2" s="1"/>
  <c r="K372" i="2"/>
  <c r="M372" i="2" s="1"/>
  <c r="K373" i="2"/>
  <c r="M373" i="2" s="1"/>
  <c r="K374" i="2"/>
  <c r="M374" i="2" s="1"/>
  <c r="K375" i="2"/>
  <c r="M375" i="2" s="1"/>
  <c r="K376" i="2"/>
  <c r="M376" i="2" s="1"/>
  <c r="K377" i="2"/>
  <c r="M377" i="2" s="1"/>
  <c r="K378" i="2"/>
  <c r="M378" i="2" s="1"/>
  <c r="K379" i="2"/>
  <c r="M379" i="2" s="1"/>
  <c r="K380" i="2"/>
  <c r="M380" i="2" s="1"/>
  <c r="K381" i="2"/>
  <c r="M381" i="2" s="1"/>
  <c r="K382" i="2"/>
  <c r="M382" i="2" s="1"/>
  <c r="K383" i="2"/>
  <c r="M383" i="2" s="1"/>
  <c r="K384" i="2"/>
  <c r="M384" i="2" s="1"/>
  <c r="K385" i="2"/>
  <c r="M385" i="2" s="1"/>
  <c r="K386" i="2"/>
  <c r="M386" i="2" s="1"/>
  <c r="K387" i="2"/>
  <c r="M387" i="2" s="1"/>
  <c r="K388" i="2"/>
  <c r="M388" i="2" s="1"/>
  <c r="K389" i="2"/>
  <c r="M389" i="2" s="1"/>
  <c r="K391" i="2"/>
  <c r="M391" i="2" s="1"/>
  <c r="K392" i="2"/>
  <c r="M392" i="2" s="1"/>
  <c r="K393" i="2"/>
  <c r="M393" i="2" s="1"/>
  <c r="K394" i="2"/>
  <c r="M394" i="2" s="1"/>
  <c r="K395" i="2"/>
  <c r="M395" i="2" s="1"/>
  <c r="K396" i="2"/>
  <c r="M396" i="2" s="1"/>
  <c r="K397" i="2"/>
  <c r="M397" i="2" s="1"/>
  <c r="K398" i="2"/>
  <c r="M398" i="2" s="1"/>
  <c r="K399" i="2"/>
  <c r="M399" i="2" s="1"/>
  <c r="K400" i="2"/>
  <c r="M400" i="2" s="1"/>
  <c r="K401" i="2"/>
  <c r="M401" i="2" s="1"/>
  <c r="K402" i="2"/>
  <c r="M402" i="2" s="1"/>
  <c r="K403" i="2"/>
  <c r="M403" i="2" s="1"/>
  <c r="K404" i="2"/>
  <c r="M404" i="2" s="1"/>
  <c r="K405" i="2"/>
  <c r="M405" i="2" s="1"/>
  <c r="K406" i="2"/>
  <c r="M406" i="2" s="1"/>
  <c r="K407" i="2"/>
  <c r="M407" i="2" s="1"/>
  <c r="K408" i="2"/>
  <c r="M408" i="2" s="1"/>
  <c r="K409" i="2"/>
  <c r="M409" i="2" s="1"/>
  <c r="K410" i="2"/>
  <c r="M410" i="2" s="1"/>
  <c r="K411" i="2"/>
  <c r="M411" i="2" s="1"/>
  <c r="K412" i="2"/>
  <c r="M412" i="2" s="1"/>
  <c r="K413" i="2"/>
  <c r="M413" i="2" s="1"/>
  <c r="K415" i="2"/>
  <c r="M415" i="2" s="1"/>
  <c r="K416" i="2"/>
  <c r="M416" i="2" s="1"/>
  <c r="K417" i="2"/>
  <c r="M417" i="2" s="1"/>
  <c r="L296" i="2"/>
  <c r="N296" i="2" s="1"/>
  <c r="L297" i="2"/>
  <c r="N297" i="2" s="1"/>
  <c r="L298" i="2"/>
  <c r="N298" i="2" s="1"/>
  <c r="L299" i="2"/>
  <c r="N299" i="2" s="1"/>
  <c r="L300" i="2"/>
  <c r="N300" i="2" s="1"/>
  <c r="L301" i="2"/>
  <c r="N301" i="2" s="1"/>
  <c r="L302" i="2"/>
  <c r="N302" i="2" s="1"/>
  <c r="L303" i="2"/>
  <c r="N303" i="2" s="1"/>
  <c r="L304" i="2"/>
  <c r="N304" i="2" s="1"/>
  <c r="L305" i="2"/>
  <c r="N305" i="2" s="1"/>
  <c r="L306" i="2"/>
  <c r="N306" i="2" s="1"/>
  <c r="L308" i="2"/>
  <c r="N308" i="2" s="1"/>
  <c r="L309" i="2"/>
  <c r="N309" i="2" s="1"/>
  <c r="L310" i="2"/>
  <c r="N310" i="2" s="1"/>
  <c r="L311" i="2"/>
  <c r="N311" i="2" s="1"/>
  <c r="L312" i="2"/>
  <c r="N312" i="2" s="1"/>
  <c r="L313" i="2"/>
  <c r="N313" i="2" s="1"/>
  <c r="L314" i="2"/>
  <c r="N314" i="2" s="1"/>
  <c r="L315" i="2"/>
  <c r="N315" i="2" s="1"/>
  <c r="L316" i="2"/>
  <c r="N316" i="2" s="1"/>
  <c r="L317" i="2"/>
  <c r="N317" i="2" s="1"/>
  <c r="L318" i="2"/>
  <c r="N318" i="2" s="1"/>
  <c r="L319" i="2"/>
  <c r="N319" i="2" s="1"/>
  <c r="L320" i="2"/>
  <c r="N320" i="2" s="1"/>
  <c r="L321" i="2"/>
  <c r="N321" i="2" s="1"/>
  <c r="L322" i="2"/>
  <c r="N322" i="2" s="1"/>
  <c r="L323" i="2"/>
  <c r="N323" i="2" s="1"/>
  <c r="L324" i="2"/>
  <c r="N324" i="2" s="1"/>
  <c r="L325" i="2"/>
  <c r="N325" i="2" s="1"/>
  <c r="L326" i="2"/>
  <c r="N326" i="2" s="1"/>
  <c r="L327" i="2"/>
  <c r="N327" i="2" s="1"/>
  <c r="L328" i="2"/>
  <c r="N328" i="2" s="1"/>
  <c r="L329" i="2"/>
  <c r="N329" i="2" s="1"/>
  <c r="L330" i="2"/>
  <c r="N330" i="2" s="1"/>
  <c r="L331" i="2"/>
  <c r="N331" i="2" s="1"/>
  <c r="L332" i="2"/>
  <c r="N332" i="2" s="1"/>
  <c r="L333" i="2"/>
  <c r="N333" i="2" s="1"/>
  <c r="L334" i="2"/>
  <c r="N334" i="2" s="1"/>
  <c r="L335" i="2"/>
  <c r="N335" i="2" s="1"/>
  <c r="L336" i="2"/>
  <c r="N336" i="2" s="1"/>
  <c r="L337" i="2"/>
  <c r="N337" i="2" s="1"/>
  <c r="L338" i="2"/>
  <c r="N338" i="2" s="1"/>
  <c r="L339" i="2"/>
  <c r="N339" i="2" s="1"/>
  <c r="L340" i="2"/>
  <c r="N340" i="2" s="1"/>
  <c r="L341" i="2"/>
  <c r="N341" i="2" s="1"/>
  <c r="L343" i="2"/>
  <c r="N343" i="2" s="1"/>
  <c r="L344" i="2"/>
  <c r="N344" i="2" s="1"/>
  <c r="L345" i="2"/>
  <c r="N345" i="2" s="1"/>
  <c r="L346" i="2"/>
  <c r="N346" i="2" s="1"/>
  <c r="L347" i="2"/>
  <c r="N347" i="2" s="1"/>
  <c r="L348" i="2"/>
  <c r="N348" i="2" s="1"/>
  <c r="L349" i="2"/>
  <c r="N349" i="2" s="1"/>
  <c r="L350" i="2"/>
  <c r="N350" i="2" s="1"/>
  <c r="L351" i="2"/>
  <c r="N351" i="2" s="1"/>
  <c r="L352" i="2"/>
  <c r="N352" i="2" s="1"/>
  <c r="L353" i="2"/>
  <c r="N353" i="2" s="1"/>
  <c r="L354" i="2"/>
  <c r="N354" i="2" s="1"/>
  <c r="L355" i="2"/>
  <c r="N355" i="2" s="1"/>
  <c r="L356" i="2"/>
  <c r="N356" i="2" s="1"/>
  <c r="L357" i="2"/>
  <c r="N357" i="2" s="1"/>
  <c r="L358" i="2"/>
  <c r="N358" i="2" s="1"/>
  <c r="L359" i="2"/>
  <c r="N359" i="2" s="1"/>
  <c r="L360" i="2"/>
  <c r="N360" i="2" s="1"/>
  <c r="L361" i="2"/>
  <c r="N361" i="2" s="1"/>
  <c r="L362" i="2"/>
  <c r="N362" i="2" s="1"/>
  <c r="L363" i="2"/>
  <c r="N363" i="2" s="1"/>
  <c r="L366" i="2"/>
  <c r="N366" i="2" s="1"/>
  <c r="L367" i="2"/>
  <c r="N367" i="2" s="1"/>
  <c r="L368" i="2"/>
  <c r="N368" i="2" s="1"/>
  <c r="L370" i="2"/>
  <c r="N370" i="2" s="1"/>
  <c r="L371" i="2"/>
  <c r="N371" i="2" s="1"/>
  <c r="L372" i="2"/>
  <c r="N372" i="2" s="1"/>
  <c r="L373" i="2"/>
  <c r="N373" i="2" s="1"/>
  <c r="L374" i="2"/>
  <c r="N374" i="2" s="1"/>
  <c r="L375" i="2"/>
  <c r="N375" i="2" s="1"/>
  <c r="L376" i="2"/>
  <c r="N376" i="2" s="1"/>
  <c r="L377" i="2"/>
  <c r="N377" i="2" s="1"/>
  <c r="L378" i="2"/>
  <c r="N378" i="2" s="1"/>
  <c r="L379" i="2"/>
  <c r="N379" i="2" s="1"/>
  <c r="L380" i="2"/>
  <c r="N380" i="2" s="1"/>
  <c r="L381" i="2"/>
  <c r="N381" i="2" s="1"/>
  <c r="L382" i="2"/>
  <c r="N382" i="2" s="1"/>
  <c r="L383" i="2"/>
  <c r="N383" i="2" s="1"/>
  <c r="L384" i="2"/>
  <c r="N384" i="2" s="1"/>
  <c r="L385" i="2"/>
  <c r="N385" i="2" s="1"/>
  <c r="L386" i="2"/>
  <c r="N386" i="2" s="1"/>
  <c r="L387" i="2"/>
  <c r="N387" i="2" s="1"/>
  <c r="L388" i="2"/>
  <c r="N388" i="2" s="1"/>
  <c r="L389" i="2"/>
  <c r="N389" i="2" s="1"/>
  <c r="L391" i="2"/>
  <c r="N391" i="2" s="1"/>
  <c r="L392" i="2"/>
  <c r="N392" i="2" s="1"/>
  <c r="L393" i="2"/>
  <c r="N393" i="2" s="1"/>
  <c r="L394" i="2"/>
  <c r="N394" i="2" s="1"/>
  <c r="L395" i="2"/>
  <c r="N395" i="2" s="1"/>
  <c r="L396" i="2"/>
  <c r="N396" i="2" s="1"/>
  <c r="L397" i="2"/>
  <c r="N397" i="2" s="1"/>
  <c r="L398" i="2"/>
  <c r="N398" i="2" s="1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V327" i="2" s="1"/>
  <c r="U328" i="2"/>
  <c r="V328" i="2" s="1"/>
  <c r="U329" i="2"/>
  <c r="V329" i="2" s="1"/>
  <c r="U330" i="2"/>
  <c r="V330" i="2" s="1"/>
  <c r="U331" i="2"/>
  <c r="V331" i="2" s="1"/>
  <c r="U332" i="2"/>
  <c r="V332" i="2" s="1"/>
  <c r="U333" i="2"/>
  <c r="V333" i="2" s="1"/>
  <c r="U334" i="2"/>
  <c r="V334" i="2" s="1"/>
  <c r="U335" i="2"/>
  <c r="V335" i="2" s="1"/>
  <c r="U336" i="2"/>
  <c r="V336" i="2" s="1"/>
  <c r="U337" i="2"/>
  <c r="V337" i="2" s="1"/>
  <c r="U338" i="2"/>
  <c r="V338" i="2" s="1"/>
  <c r="U339" i="2"/>
  <c r="V339" i="2" s="1"/>
  <c r="U340" i="2"/>
  <c r="V340" i="2" s="1"/>
  <c r="U341" i="2"/>
  <c r="V341" i="2" s="1"/>
  <c r="U342" i="2"/>
  <c r="V342" i="2" s="1"/>
  <c r="U343" i="2"/>
  <c r="V343" i="2" s="1"/>
  <c r="U344" i="2"/>
  <c r="V344" i="2" s="1"/>
  <c r="U345" i="2"/>
  <c r="V345" i="2" s="1"/>
  <c r="U346" i="2"/>
  <c r="V346" i="2" s="1"/>
  <c r="U347" i="2"/>
  <c r="V347" i="2" s="1"/>
  <c r="U348" i="2"/>
  <c r="V348" i="2" s="1"/>
  <c r="U349" i="2"/>
  <c r="V349" i="2" s="1"/>
  <c r="U350" i="2"/>
  <c r="V350" i="2" s="1"/>
  <c r="U351" i="2"/>
  <c r="V351" i="2" s="1"/>
  <c r="U352" i="2"/>
  <c r="V352" i="2" s="1"/>
  <c r="U353" i="2"/>
  <c r="V353" i="2" s="1"/>
  <c r="U354" i="2"/>
  <c r="V354" i="2" s="1"/>
  <c r="U355" i="2"/>
  <c r="V355" i="2" s="1"/>
  <c r="U356" i="2"/>
  <c r="V356" i="2" s="1"/>
  <c r="U357" i="2"/>
  <c r="V357" i="2" s="1"/>
  <c r="U358" i="2"/>
  <c r="V358" i="2" s="1"/>
  <c r="U359" i="2"/>
  <c r="V359" i="2" s="1"/>
  <c r="U360" i="2"/>
  <c r="V360" i="2" s="1"/>
  <c r="U361" i="2"/>
  <c r="V361" i="2" s="1"/>
  <c r="U362" i="2"/>
  <c r="V362" i="2" s="1"/>
  <c r="U363" i="2"/>
  <c r="V363" i="2" s="1"/>
  <c r="U366" i="2"/>
  <c r="V366" i="2" s="1"/>
  <c r="U367" i="2"/>
  <c r="V367" i="2" s="1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H36" i="3"/>
  <c r="E25" i="3"/>
  <c r="D25" i="3"/>
  <c r="C25" i="3"/>
  <c r="B25" i="3"/>
  <c r="H35" i="3"/>
  <c r="E26" i="3"/>
  <c r="D26" i="3"/>
  <c r="C26" i="3"/>
  <c r="B26" i="3"/>
  <c r="H34" i="3"/>
  <c r="H33" i="3"/>
  <c r="H32" i="3"/>
  <c r="H31" i="3"/>
  <c r="H30" i="3"/>
  <c r="H29" i="3"/>
  <c r="H28" i="3"/>
  <c r="H27" i="3"/>
  <c r="H26" i="3"/>
  <c r="H25" i="3"/>
  <c r="E29" i="3"/>
  <c r="D29" i="3"/>
  <c r="C29" i="3"/>
  <c r="B29" i="3"/>
  <c r="E35" i="3"/>
  <c r="D35" i="3"/>
  <c r="C35" i="3"/>
  <c r="B35" i="3"/>
  <c r="E32" i="3"/>
  <c r="D32" i="3"/>
  <c r="C32" i="3"/>
  <c r="B32" i="3"/>
  <c r="E27" i="3"/>
  <c r="D27" i="3"/>
  <c r="C27" i="3"/>
  <c r="B27" i="3"/>
  <c r="E28" i="3"/>
  <c r="D28" i="3"/>
  <c r="C28" i="3"/>
  <c r="B28" i="3"/>
  <c r="E36" i="3"/>
  <c r="D36" i="3"/>
  <c r="C36" i="3"/>
  <c r="B36" i="3"/>
  <c r="C232" i="2"/>
  <c r="Y232" i="2" s="1"/>
  <c r="C233" i="2"/>
  <c r="Y233" i="2" s="1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0" i="2"/>
  <c r="Y240" i="2" s="1"/>
  <c r="C241" i="2"/>
  <c r="Y241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I232" i="2" a="1"/>
  <c r="I233" i="2" a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J232" i="2" a="1"/>
  <c r="J233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L248" i="2" s="1"/>
  <c r="N248" i="2" s="1"/>
  <c r="J249" i="2" a="1"/>
  <c r="L249" i="2" s="1"/>
  <c r="N249" i="2" s="1"/>
  <c r="J250" i="2" a="1"/>
  <c r="J251" i="2" a="1"/>
  <c r="L251" i="2" s="1"/>
  <c r="N251" i="2" s="1"/>
  <c r="J252" i="2" a="1"/>
  <c r="J253" i="2" a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U232" i="2"/>
  <c r="V232" i="2" s="1"/>
  <c r="U233" i="2"/>
  <c r="V233" i="2" s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0" i="2"/>
  <c r="V240" i="2" s="1"/>
  <c r="U241" i="2"/>
  <c r="V241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30" i="2"/>
  <c r="AF23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30" i="2"/>
  <c r="AE231" i="2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C2" i="2"/>
  <c r="Y2" i="2" s="1"/>
  <c r="C3" i="2"/>
  <c r="Y3" i="2" s="1"/>
  <c r="C4" i="2"/>
  <c r="Y4" i="2" s="1"/>
  <c r="C5" i="2"/>
  <c r="Y5" i="2" s="1"/>
  <c r="C6" i="2"/>
  <c r="Y6" i="2" s="1"/>
  <c r="C7" i="2"/>
  <c r="Y7" i="2" s="1"/>
  <c r="C8" i="2"/>
  <c r="Y8" i="2" s="1"/>
  <c r="C9" i="2"/>
  <c r="Y9" i="2" s="1"/>
  <c r="C10" i="2"/>
  <c r="Y10" i="2" s="1"/>
  <c r="C11" i="2"/>
  <c r="Y11" i="2" s="1"/>
  <c r="C12" i="2"/>
  <c r="Y12" i="2" s="1"/>
  <c r="C13" i="2"/>
  <c r="Y13" i="2" s="1"/>
  <c r="C14" i="2"/>
  <c r="Y14" i="2" s="1"/>
  <c r="C15" i="2"/>
  <c r="Y15" i="2" s="1"/>
  <c r="C16" i="2"/>
  <c r="Y16" i="2" s="1"/>
  <c r="C17" i="2"/>
  <c r="Y17" i="2" s="1"/>
  <c r="C18" i="2"/>
  <c r="Y18" i="2" s="1"/>
  <c r="C19" i="2"/>
  <c r="Y19" i="2" s="1"/>
  <c r="C20" i="2"/>
  <c r="Y20" i="2" s="1"/>
  <c r="C21" i="2"/>
  <c r="Y21" i="2" s="1"/>
  <c r="C22" i="2"/>
  <c r="Y22" i="2" s="1"/>
  <c r="C23" i="2"/>
  <c r="Y23" i="2" s="1"/>
  <c r="C24" i="2"/>
  <c r="Y24" i="2" s="1"/>
  <c r="C25" i="2"/>
  <c r="Y25" i="2" s="1"/>
  <c r="C26" i="2"/>
  <c r="Y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K307" i="2" l="1"/>
  <c r="M307" i="2" s="1"/>
  <c r="L307" i="2"/>
  <c r="N307" i="2" s="1"/>
  <c r="L418" i="2"/>
  <c r="N418" i="2" s="1"/>
  <c r="K418" i="2"/>
  <c r="M418" i="2" s="1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2" i="2"/>
  <c r="Z3" i="2"/>
  <c r="K390" i="2"/>
  <c r="M390" i="2" s="1"/>
  <c r="L390" i="2"/>
  <c r="N390" i="2" s="1"/>
  <c r="Z433" i="2"/>
  <c r="Z434" i="2"/>
  <c r="Z435" i="2"/>
  <c r="Z436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AI516" i="2"/>
  <c r="AJ516" i="2"/>
  <c r="AI517" i="2"/>
  <c r="AJ517" i="2"/>
  <c r="AI518" i="2"/>
  <c r="AJ518" i="2"/>
  <c r="AI519" i="2"/>
  <c r="AJ519" i="2"/>
  <c r="AI520" i="2"/>
  <c r="AJ520" i="2"/>
  <c r="AJ521" i="2"/>
  <c r="AI521" i="2"/>
  <c r="AI522" i="2"/>
  <c r="AJ522" i="2"/>
  <c r="AI523" i="2"/>
  <c r="AJ523" i="2"/>
  <c r="AD327" i="2"/>
  <c r="AC327" i="2"/>
  <c r="AD328" i="2"/>
  <c r="AC328" i="2"/>
  <c r="AD329" i="2"/>
  <c r="AC329" i="2"/>
  <c r="AD330" i="2"/>
  <c r="AC330" i="2"/>
  <c r="AD331" i="2"/>
  <c r="AC331" i="2"/>
  <c r="AD332" i="2"/>
  <c r="AC332" i="2"/>
  <c r="AD333" i="2"/>
  <c r="AC333" i="2"/>
  <c r="AD334" i="2"/>
  <c r="AC334" i="2"/>
  <c r="AD335" i="2"/>
  <c r="AC335" i="2"/>
  <c r="AD336" i="2"/>
  <c r="AC336" i="2"/>
  <c r="AD337" i="2"/>
  <c r="AC337" i="2"/>
  <c r="AD338" i="2"/>
  <c r="AC338" i="2"/>
  <c r="AD339" i="2"/>
  <c r="AC339" i="2"/>
  <c r="AD340" i="2"/>
  <c r="AC340" i="2"/>
  <c r="AD341" i="2"/>
  <c r="AC341" i="2"/>
  <c r="AD342" i="2"/>
  <c r="AC342" i="2"/>
  <c r="AD343" i="2"/>
  <c r="AC343" i="2"/>
  <c r="AD344" i="2"/>
  <c r="AC344" i="2"/>
  <c r="AD345" i="2"/>
  <c r="AC345" i="2"/>
  <c r="AD346" i="2"/>
  <c r="AC346" i="2"/>
  <c r="AD347" i="2"/>
  <c r="AC347" i="2"/>
  <c r="AD348" i="2"/>
  <c r="AC348" i="2"/>
  <c r="AD349" i="2"/>
  <c r="AC349" i="2"/>
  <c r="AD350" i="2"/>
  <c r="AC350" i="2"/>
  <c r="AD351" i="2"/>
  <c r="AC351" i="2"/>
  <c r="AD352" i="2"/>
  <c r="AC352" i="2"/>
  <c r="AD353" i="2"/>
  <c r="AC353" i="2"/>
  <c r="AD354" i="2"/>
  <c r="AC354" i="2"/>
  <c r="AD355" i="2"/>
  <c r="AC355" i="2"/>
  <c r="AD356" i="2"/>
  <c r="AC356" i="2"/>
  <c r="AD357" i="2"/>
  <c r="AC357" i="2"/>
  <c r="AD358" i="2"/>
  <c r="AC358" i="2"/>
  <c r="AD359" i="2"/>
  <c r="AC359" i="2"/>
  <c r="AD360" i="2"/>
  <c r="AC360" i="2"/>
  <c r="AD361" i="2"/>
  <c r="AC361" i="2"/>
  <c r="AD362" i="2"/>
  <c r="AC362" i="2"/>
  <c r="AD363" i="2"/>
  <c r="AC363" i="2"/>
  <c r="AD366" i="2"/>
  <c r="AC366" i="2"/>
  <c r="AD367" i="2"/>
  <c r="AC367" i="2"/>
  <c r="AC296" i="2"/>
  <c r="AD296" i="2"/>
  <c r="AC297" i="2"/>
  <c r="AD297" i="2"/>
  <c r="AC298" i="2"/>
  <c r="AD298" i="2"/>
  <c r="AC299" i="2"/>
  <c r="AD299" i="2"/>
  <c r="AC300" i="2"/>
  <c r="AD300" i="2"/>
  <c r="AC301" i="2"/>
  <c r="AD301" i="2"/>
  <c r="AC302" i="2"/>
  <c r="AD302" i="2"/>
  <c r="AC303" i="2"/>
  <c r="AD303" i="2"/>
  <c r="AC304" i="2"/>
  <c r="AD304" i="2"/>
  <c r="AC305" i="2"/>
  <c r="AD305" i="2"/>
  <c r="AC306" i="2"/>
  <c r="AD306" i="2"/>
  <c r="AC307" i="2"/>
  <c r="AD307" i="2"/>
  <c r="AC308" i="2"/>
  <c r="AD308" i="2"/>
  <c r="AC309" i="2"/>
  <c r="AD309" i="2"/>
  <c r="AC310" i="2"/>
  <c r="AD310" i="2"/>
  <c r="AC311" i="2"/>
  <c r="AD311" i="2"/>
  <c r="AC312" i="2"/>
  <c r="AD312" i="2"/>
  <c r="AC313" i="2"/>
  <c r="AD313" i="2"/>
  <c r="AC314" i="2"/>
  <c r="AD314" i="2"/>
  <c r="AC315" i="2"/>
  <c r="AD315" i="2"/>
  <c r="AC316" i="2"/>
  <c r="AD316" i="2"/>
  <c r="AC317" i="2"/>
  <c r="AD317" i="2"/>
  <c r="AC318" i="2"/>
  <c r="AD318" i="2"/>
  <c r="AC319" i="2"/>
  <c r="AD319" i="2"/>
  <c r="AC320" i="2"/>
  <c r="AD320" i="2"/>
  <c r="AC321" i="2"/>
  <c r="AD321" i="2"/>
  <c r="AC322" i="2"/>
  <c r="AD322" i="2"/>
  <c r="AC323" i="2"/>
  <c r="AD323" i="2"/>
  <c r="AC324" i="2"/>
  <c r="AD324" i="2"/>
  <c r="AC325" i="2"/>
  <c r="AD325" i="2"/>
  <c r="AC326" i="2"/>
  <c r="AD326" i="2"/>
  <c r="AC422" i="2"/>
  <c r="AD422" i="2"/>
  <c r="AC423" i="2"/>
  <c r="AD423" i="2"/>
  <c r="AC424" i="2"/>
  <c r="AD424" i="2"/>
  <c r="AC425" i="2"/>
  <c r="AD425" i="2"/>
  <c r="AC426" i="2"/>
  <c r="AD426" i="2"/>
  <c r="AC427" i="2"/>
  <c r="AD427" i="2"/>
  <c r="AC428" i="2"/>
  <c r="AD428" i="2"/>
  <c r="AC429" i="2"/>
  <c r="AD429" i="2"/>
  <c r="AC430" i="2"/>
  <c r="AD430" i="2"/>
  <c r="AC431" i="2"/>
  <c r="AD431" i="2"/>
  <c r="AC432" i="2"/>
  <c r="AD432" i="2"/>
  <c r="AC433" i="2"/>
  <c r="AD433" i="2"/>
  <c r="AC434" i="2"/>
  <c r="AD434" i="2"/>
  <c r="AC435" i="2"/>
  <c r="AD435" i="2"/>
  <c r="AC436" i="2"/>
  <c r="AD436" i="2"/>
  <c r="AC437" i="2"/>
  <c r="AD437" i="2"/>
  <c r="AC438" i="2"/>
  <c r="AD438" i="2"/>
  <c r="AC439" i="2"/>
  <c r="AD439" i="2"/>
  <c r="AC440" i="2"/>
  <c r="AD440" i="2"/>
  <c r="AC441" i="2"/>
  <c r="AD441" i="2"/>
  <c r="AC442" i="2"/>
  <c r="AD442" i="2"/>
  <c r="AC443" i="2"/>
  <c r="AD443" i="2"/>
  <c r="AC444" i="2"/>
  <c r="AD444" i="2"/>
  <c r="AC445" i="2"/>
  <c r="AD445" i="2"/>
  <c r="AC446" i="2"/>
  <c r="AD446" i="2"/>
  <c r="AC447" i="2"/>
  <c r="AD447" i="2"/>
  <c r="AC448" i="2"/>
  <c r="AD448" i="2"/>
  <c r="AC449" i="2"/>
  <c r="AD449" i="2"/>
  <c r="AC450" i="2"/>
  <c r="AD450" i="2"/>
  <c r="AC451" i="2"/>
  <c r="AD451" i="2"/>
  <c r="AC452" i="2"/>
  <c r="AD452" i="2"/>
  <c r="AC453" i="2"/>
  <c r="AD453" i="2"/>
  <c r="AC454" i="2"/>
  <c r="AD454" i="2"/>
  <c r="AC455" i="2"/>
  <c r="AD455" i="2"/>
  <c r="AC456" i="2"/>
  <c r="AD456" i="2"/>
  <c r="AC457" i="2"/>
  <c r="AD457" i="2"/>
  <c r="AC458" i="2"/>
  <c r="AD458" i="2"/>
  <c r="AC459" i="2"/>
  <c r="AD459" i="2"/>
  <c r="AC460" i="2"/>
  <c r="AD460" i="2"/>
  <c r="AC461" i="2"/>
  <c r="AD461" i="2"/>
  <c r="AC462" i="2"/>
  <c r="AD462" i="2"/>
  <c r="AC463" i="2"/>
  <c r="AD463" i="2"/>
  <c r="AC464" i="2"/>
  <c r="AD464" i="2"/>
  <c r="AC465" i="2"/>
  <c r="AD465" i="2"/>
  <c r="AC466" i="2"/>
  <c r="AD466" i="2"/>
  <c r="AC467" i="2"/>
  <c r="AD467" i="2"/>
  <c r="AC468" i="2"/>
  <c r="AD468" i="2"/>
  <c r="AC469" i="2"/>
  <c r="AD469" i="2"/>
  <c r="AC470" i="2"/>
  <c r="AD470" i="2"/>
  <c r="AC471" i="2"/>
  <c r="AD471" i="2"/>
  <c r="AC472" i="2"/>
  <c r="AD472" i="2"/>
  <c r="AC473" i="2"/>
  <c r="AD473" i="2"/>
  <c r="AC474" i="2"/>
  <c r="AD474" i="2"/>
  <c r="AC475" i="2"/>
  <c r="AD475" i="2"/>
  <c r="AC476" i="2"/>
  <c r="AD476" i="2"/>
  <c r="AC477" i="2"/>
  <c r="AD477" i="2"/>
  <c r="AC478" i="2"/>
  <c r="AD478" i="2"/>
  <c r="AC479" i="2"/>
  <c r="AD479" i="2"/>
  <c r="AC480" i="2"/>
  <c r="AD480" i="2"/>
  <c r="AC481" i="2"/>
  <c r="AD481" i="2"/>
  <c r="Z422" i="2"/>
  <c r="Z423" i="2"/>
  <c r="Z424" i="2"/>
  <c r="Z425" i="2"/>
  <c r="Z426" i="2"/>
  <c r="Z427" i="2"/>
  <c r="Z428" i="2"/>
  <c r="Z429" i="2"/>
  <c r="Z431" i="2"/>
  <c r="Z430" i="2"/>
  <c r="Z432" i="2"/>
  <c r="K369" i="2"/>
  <c r="M369" i="2" s="1"/>
  <c r="L369" i="2"/>
  <c r="N369" i="2" s="1"/>
  <c r="K419" i="2"/>
  <c r="M419" i="2" s="1"/>
  <c r="L419" i="2"/>
  <c r="N419" i="2" s="1"/>
  <c r="K523" i="2"/>
  <c r="M523" i="2" s="1"/>
  <c r="L523" i="2"/>
  <c r="N523" i="2" s="1"/>
  <c r="K469" i="2"/>
  <c r="M469" i="2" s="1"/>
  <c r="L469" i="2"/>
  <c r="N469" i="2" s="1"/>
  <c r="K414" i="2"/>
  <c r="M414" i="2" s="1"/>
  <c r="L414" i="2"/>
  <c r="N414" i="2" s="1"/>
  <c r="Z437" i="2"/>
  <c r="Z411" i="2"/>
  <c r="Z412" i="2"/>
  <c r="Z413" i="2"/>
  <c r="Z414" i="2"/>
  <c r="Z415" i="2"/>
  <c r="Z416" i="2"/>
  <c r="Z417" i="2"/>
  <c r="Z418" i="2"/>
  <c r="Z419" i="2"/>
  <c r="Z420" i="2"/>
  <c r="Z421" i="2"/>
  <c r="Z306" i="2"/>
  <c r="Z309" i="2"/>
  <c r="Z312" i="2"/>
  <c r="Z315" i="2"/>
  <c r="Z317" i="2"/>
  <c r="Z319" i="2"/>
  <c r="Z322" i="2"/>
  <c r="Z325" i="2"/>
  <c r="Z328" i="2"/>
  <c r="Z331" i="2"/>
  <c r="Z334" i="2"/>
  <c r="Z337" i="2"/>
  <c r="Z340" i="2"/>
  <c r="Z304" i="2"/>
  <c r="Z307" i="2"/>
  <c r="Z310" i="2"/>
  <c r="Z313" i="2"/>
  <c r="Z316" i="2"/>
  <c r="Z318" i="2"/>
  <c r="Z321" i="2"/>
  <c r="Z324" i="2"/>
  <c r="Z327" i="2"/>
  <c r="Z329" i="2"/>
  <c r="Z332" i="2"/>
  <c r="Z335" i="2"/>
  <c r="Z338" i="2"/>
  <c r="Z305" i="2"/>
  <c r="Z308" i="2"/>
  <c r="Z311" i="2"/>
  <c r="Z314" i="2"/>
  <c r="Z320" i="2"/>
  <c r="Z323" i="2"/>
  <c r="Z326" i="2"/>
  <c r="Z330" i="2"/>
  <c r="Z333" i="2"/>
  <c r="Z336" i="2"/>
  <c r="Z339" i="2"/>
  <c r="K481" i="2"/>
  <c r="M481" i="2" s="1"/>
  <c r="L481" i="2"/>
  <c r="N481" i="2" s="1"/>
  <c r="K420" i="2"/>
  <c r="M420" i="2" s="1"/>
  <c r="L420" i="2"/>
  <c r="N420" i="2" s="1"/>
  <c r="Z296" i="2"/>
  <c r="Z299" i="2"/>
  <c r="Z301" i="2"/>
  <c r="Z302" i="2"/>
  <c r="Z297" i="2"/>
  <c r="Z300" i="2"/>
  <c r="Z303" i="2"/>
  <c r="K421" i="2"/>
  <c r="M421" i="2" s="1"/>
  <c r="L421" i="2"/>
  <c r="N421" i="2" s="1"/>
  <c r="Z298" i="2"/>
  <c r="Z341" i="2"/>
  <c r="Z343" i="2"/>
  <c r="Z345" i="2"/>
  <c r="Z347" i="2"/>
  <c r="Z349" i="2"/>
  <c r="Z351" i="2"/>
  <c r="Z353" i="2"/>
  <c r="Z355" i="2"/>
  <c r="Z357" i="2"/>
  <c r="Z359" i="2"/>
  <c r="Z361" i="2"/>
  <c r="Z363" i="2"/>
  <c r="Z367" i="2"/>
  <c r="Z369" i="2"/>
  <c r="Z371" i="2"/>
  <c r="Z373" i="2"/>
  <c r="Z375" i="2"/>
  <c r="Z377" i="2"/>
  <c r="Z379" i="2"/>
  <c r="Z381" i="2"/>
  <c r="Z383" i="2"/>
  <c r="Z385" i="2"/>
  <c r="Z387" i="2"/>
  <c r="Z390" i="2"/>
  <c r="Z392" i="2"/>
  <c r="Z394" i="2"/>
  <c r="Z396" i="2"/>
  <c r="Z398" i="2"/>
  <c r="Z401" i="2"/>
  <c r="Z403" i="2"/>
  <c r="Z405" i="2"/>
  <c r="Z408" i="2"/>
  <c r="Z410" i="2"/>
  <c r="Z342" i="2"/>
  <c r="Z344" i="2"/>
  <c r="Z346" i="2"/>
  <c r="Z348" i="2"/>
  <c r="Z350" i="2"/>
  <c r="Z352" i="2"/>
  <c r="Z354" i="2"/>
  <c r="Z356" i="2"/>
  <c r="Z358" i="2"/>
  <c r="Z360" i="2"/>
  <c r="Z362" i="2"/>
  <c r="Z366" i="2"/>
  <c r="Z368" i="2"/>
  <c r="Z370" i="2"/>
  <c r="Z372" i="2"/>
  <c r="Z374" i="2"/>
  <c r="Z376" i="2"/>
  <c r="Z378" i="2"/>
  <c r="Z380" i="2"/>
  <c r="Z382" i="2"/>
  <c r="Z384" i="2"/>
  <c r="Z386" i="2"/>
  <c r="Z388" i="2"/>
  <c r="Z389" i="2"/>
  <c r="Z391" i="2"/>
  <c r="Z393" i="2"/>
  <c r="Z395" i="2"/>
  <c r="Z397" i="2"/>
  <c r="Z399" i="2"/>
  <c r="Z400" i="2"/>
  <c r="Z402" i="2"/>
  <c r="Z404" i="2"/>
  <c r="Z406" i="2"/>
  <c r="Z407" i="2"/>
  <c r="Z409" i="2"/>
  <c r="L342" i="2"/>
  <c r="N342" i="2" s="1"/>
  <c r="K342" i="2"/>
  <c r="M342" i="2" s="1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F26" i="3"/>
  <c r="F29" i="3"/>
  <c r="Z19" i="2"/>
  <c r="Z20" i="2"/>
  <c r="Z21" i="2"/>
  <c r="Z22" i="2"/>
  <c r="Z23" i="2"/>
  <c r="Z24" i="2"/>
  <c r="Z25" i="2"/>
  <c r="Z26" i="2"/>
  <c r="F25" i="3"/>
  <c r="F28" i="3"/>
  <c r="F35" i="3"/>
  <c r="F36" i="3"/>
  <c r="K252" i="2"/>
  <c r="M252" i="2" s="1"/>
  <c r="K253" i="2"/>
  <c r="M253" i="2" s="1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K248" i="2"/>
  <c r="M248" i="2" s="1"/>
  <c r="K249" i="2"/>
  <c r="M249" i="2" s="1"/>
  <c r="K251" i="2"/>
  <c r="M251" i="2" s="1"/>
  <c r="L252" i="2"/>
  <c r="N252" i="2" s="1"/>
  <c r="L253" i="2"/>
  <c r="N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K268" i="2"/>
  <c r="M268" i="2" s="1"/>
  <c r="L268" i="2"/>
  <c r="N268" i="2" s="1"/>
  <c r="K269" i="2"/>
  <c r="M269" i="2" s="1"/>
  <c r="L269" i="2"/>
  <c r="N269" i="2" s="1"/>
  <c r="K270" i="2"/>
  <c r="M270" i="2" s="1"/>
  <c r="L270" i="2"/>
  <c r="N270" i="2" s="1"/>
  <c r="K271" i="2"/>
  <c r="M271" i="2" s="1"/>
  <c r="L271" i="2"/>
  <c r="N271" i="2" s="1"/>
  <c r="K272" i="2"/>
  <c r="M272" i="2" s="1"/>
  <c r="L272" i="2"/>
  <c r="N272" i="2" s="1"/>
  <c r="K273" i="2"/>
  <c r="M273" i="2" s="1"/>
  <c r="L273" i="2"/>
  <c r="N273" i="2" s="1"/>
  <c r="K274" i="2"/>
  <c r="M274" i="2" s="1"/>
  <c r="L274" i="2"/>
  <c r="N274" i="2" s="1"/>
  <c r="K275" i="2"/>
  <c r="M275" i="2" s="1"/>
  <c r="L275" i="2"/>
  <c r="N275" i="2" s="1"/>
  <c r="K276" i="2"/>
  <c r="M276" i="2" s="1"/>
  <c r="L276" i="2"/>
  <c r="N276" i="2" s="1"/>
  <c r="K277" i="2"/>
  <c r="M277" i="2" s="1"/>
  <c r="L277" i="2"/>
  <c r="N277" i="2" s="1"/>
  <c r="K278" i="2"/>
  <c r="M278" i="2" s="1"/>
  <c r="L278" i="2"/>
  <c r="N278" i="2" s="1"/>
  <c r="K279" i="2"/>
  <c r="M279" i="2" s="1"/>
  <c r="L279" i="2"/>
  <c r="N279" i="2" s="1"/>
  <c r="K280" i="2"/>
  <c r="M280" i="2" s="1"/>
  <c r="L280" i="2"/>
  <c r="N280" i="2" s="1"/>
  <c r="K281" i="2"/>
  <c r="M281" i="2" s="1"/>
  <c r="L281" i="2"/>
  <c r="N281" i="2" s="1"/>
  <c r="K282" i="2"/>
  <c r="M282" i="2" s="1"/>
  <c r="L282" i="2"/>
  <c r="N282" i="2" s="1"/>
  <c r="K283" i="2"/>
  <c r="M283" i="2" s="1"/>
  <c r="L283" i="2"/>
  <c r="N283" i="2" s="1"/>
  <c r="K284" i="2"/>
  <c r="M284" i="2" s="1"/>
  <c r="L284" i="2"/>
  <c r="N284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K250" i="2"/>
  <c r="M250" i="2" s="1"/>
  <c r="L250" i="2"/>
  <c r="N250" i="2" s="1"/>
  <c r="F27" i="3"/>
  <c r="AD287" i="2"/>
  <c r="AC287" i="2"/>
  <c r="AD288" i="2"/>
  <c r="AC288" i="2"/>
  <c r="AD289" i="2"/>
  <c r="AC289" i="2"/>
  <c r="AD290" i="2"/>
  <c r="AC290" i="2"/>
  <c r="AD291" i="2"/>
  <c r="AC291" i="2"/>
  <c r="AD292" i="2"/>
  <c r="AC292" i="2"/>
  <c r="AD293" i="2"/>
  <c r="AC293" i="2"/>
  <c r="AD294" i="2"/>
  <c r="AC294" i="2"/>
  <c r="AD295" i="2"/>
  <c r="AC295" i="2"/>
  <c r="AC232" i="2"/>
  <c r="AD232" i="2"/>
  <c r="AC233" i="2"/>
  <c r="AD233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D243" i="2"/>
  <c r="AC243" i="2"/>
  <c r="AC244" i="2"/>
  <c r="AD244" i="2"/>
  <c r="AC245" i="2"/>
  <c r="AD245" i="2"/>
  <c r="AC246" i="2"/>
  <c r="AD246" i="2"/>
  <c r="AC247" i="2"/>
  <c r="AD247" i="2"/>
  <c r="AD248" i="2"/>
  <c r="AC248" i="2"/>
  <c r="AD249" i="2"/>
  <c r="AC249" i="2"/>
  <c r="AD250" i="2"/>
  <c r="AC250" i="2"/>
  <c r="AD251" i="2"/>
  <c r="AC251" i="2"/>
  <c r="AD252" i="2"/>
  <c r="AC252" i="2"/>
  <c r="AC253" i="2"/>
  <c r="AD253" i="2"/>
  <c r="AC254" i="2"/>
  <c r="AD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D276" i="2"/>
  <c r="AC276" i="2"/>
  <c r="AD277" i="2"/>
  <c r="AC277" i="2"/>
  <c r="AD278" i="2"/>
  <c r="AC278" i="2"/>
  <c r="AD279" i="2"/>
  <c r="AC279" i="2"/>
  <c r="AC280" i="2"/>
  <c r="AD280" i="2"/>
  <c r="AC281" i="2"/>
  <c r="AD281" i="2"/>
  <c r="AC282" i="2"/>
  <c r="AD282" i="2"/>
  <c r="AC283" i="2"/>
  <c r="AD283" i="2"/>
  <c r="AC284" i="2"/>
  <c r="AD284" i="2"/>
  <c r="AC285" i="2"/>
  <c r="AD285" i="2"/>
  <c r="AC286" i="2"/>
  <c r="AD286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18" i="2"/>
  <c r="AD218" i="2"/>
  <c r="AC219" i="2"/>
  <c r="AD219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F226" i="2"/>
  <c r="AD226" i="2"/>
  <c r="AC226" i="2"/>
  <c r="AF227" i="2"/>
  <c r="AD227" i="2"/>
  <c r="AC227" i="2"/>
  <c r="AD228" i="2"/>
  <c r="AC228" i="2"/>
  <c r="AD229" i="2"/>
  <c r="AC229" i="2"/>
  <c r="AD230" i="2"/>
  <c r="AC230" i="2"/>
  <c r="AD231" i="2"/>
  <c r="AC231" i="2"/>
  <c r="K285" i="2"/>
  <c r="M285" i="2" s="1"/>
  <c r="L285" i="2"/>
  <c r="N285" i="2" s="1"/>
  <c r="K286" i="2"/>
  <c r="M286" i="2" s="1"/>
  <c r="L286" i="2"/>
  <c r="N286" i="2" s="1"/>
  <c r="K287" i="2"/>
  <c r="M287" i="2" s="1"/>
  <c r="L287" i="2"/>
  <c r="N287" i="2" s="1"/>
  <c r="K288" i="2"/>
  <c r="M288" i="2" s="1"/>
  <c r="L288" i="2"/>
  <c r="N288" i="2" s="1"/>
  <c r="K289" i="2"/>
  <c r="M289" i="2" s="1"/>
  <c r="L289" i="2"/>
  <c r="N289" i="2" s="1"/>
  <c r="K290" i="2"/>
  <c r="M290" i="2" s="1"/>
  <c r="L290" i="2"/>
  <c r="N290" i="2" s="1"/>
  <c r="K291" i="2"/>
  <c r="M291" i="2" s="1"/>
  <c r="L291" i="2"/>
  <c r="N291" i="2" s="1"/>
  <c r="K292" i="2"/>
  <c r="M292" i="2" s="1"/>
  <c r="L292" i="2"/>
  <c r="N292" i="2" s="1"/>
  <c r="K293" i="2"/>
  <c r="M293" i="2" s="1"/>
  <c r="L293" i="2"/>
  <c r="N293" i="2" s="1"/>
  <c r="K294" i="2"/>
  <c r="M294" i="2" s="1"/>
  <c r="L294" i="2"/>
  <c r="N294" i="2" s="1"/>
  <c r="K295" i="2"/>
  <c r="M295" i="2" s="1"/>
  <c r="L295" i="2"/>
  <c r="N295" i="2" s="1"/>
  <c r="K232" i="2"/>
  <c r="M232" i="2" s="1"/>
  <c r="L232" i="2"/>
  <c r="N232" i="2" s="1"/>
  <c r="K233" i="2"/>
  <c r="M233" i="2" s="1"/>
  <c r="L233" i="2"/>
  <c r="N233" i="2" s="1"/>
  <c r="L234" i="2"/>
  <c r="N234" i="2" s="1"/>
  <c r="K234" i="2"/>
  <c r="M234" i="2" s="1"/>
  <c r="K235" i="2"/>
  <c r="M235" i="2" s="1"/>
  <c r="L235" i="2"/>
  <c r="N235" i="2" s="1"/>
  <c r="L236" i="2"/>
  <c r="N236" i="2" s="1"/>
  <c r="K236" i="2"/>
  <c r="M236" i="2" s="1"/>
  <c r="L237" i="2"/>
  <c r="N237" i="2" s="1"/>
  <c r="K237" i="2"/>
  <c r="M237" i="2" s="1"/>
  <c r="K238" i="2"/>
  <c r="M238" i="2" s="1"/>
  <c r="L238" i="2"/>
  <c r="N238" i="2" s="1"/>
  <c r="K239" i="2"/>
  <c r="M239" i="2" s="1"/>
  <c r="L239" i="2"/>
  <c r="N239" i="2" s="1"/>
  <c r="K240" i="2"/>
  <c r="M240" i="2" s="1"/>
  <c r="L240" i="2"/>
  <c r="N240" i="2" s="1"/>
  <c r="K241" i="2"/>
  <c r="M241" i="2" s="1"/>
  <c r="L241" i="2"/>
  <c r="N241" i="2" s="1"/>
  <c r="K242" i="2"/>
  <c r="M242" i="2" s="1"/>
  <c r="L242" i="2"/>
  <c r="N242" i="2" s="1"/>
  <c r="L243" i="2"/>
  <c r="N243" i="2" s="1"/>
  <c r="K243" i="2"/>
  <c r="M243" i="2" s="1"/>
  <c r="L244" i="2"/>
  <c r="N244" i="2" s="1"/>
  <c r="K244" i="2"/>
  <c r="M244" i="2" s="1"/>
  <c r="L245" i="2"/>
  <c r="N245" i="2" s="1"/>
  <c r="K245" i="2"/>
  <c r="M245" i="2" s="1"/>
  <c r="L246" i="2"/>
  <c r="N246" i="2" s="1"/>
  <c r="K246" i="2"/>
  <c r="M246" i="2" s="1"/>
  <c r="L247" i="2"/>
  <c r="N247" i="2" s="1"/>
  <c r="K247" i="2"/>
  <c r="M247" i="2" s="1"/>
  <c r="F32" i="3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Z232" i="2"/>
  <c r="Z234" i="2"/>
  <c r="Z236" i="2"/>
  <c r="Z238" i="2"/>
  <c r="Z240" i="2"/>
  <c r="Z242" i="2"/>
  <c r="Z244" i="2"/>
  <c r="Z246" i="2"/>
  <c r="Z248" i="2"/>
  <c r="Z249" i="2"/>
  <c r="Z251" i="2"/>
  <c r="Z253" i="2"/>
  <c r="Z255" i="2"/>
  <c r="Z257" i="2"/>
  <c r="Z258" i="2"/>
  <c r="Z260" i="2"/>
  <c r="Z262" i="2"/>
  <c r="Z264" i="2"/>
  <c r="Z266" i="2"/>
  <c r="Z267" i="2"/>
  <c r="Z269" i="2"/>
  <c r="Z271" i="2"/>
  <c r="Z273" i="2"/>
  <c r="Z275" i="2"/>
  <c r="Z276" i="2"/>
  <c r="Z278" i="2"/>
  <c r="Z280" i="2"/>
  <c r="Z282" i="2"/>
  <c r="Z284" i="2"/>
  <c r="Z285" i="2"/>
  <c r="Z287" i="2"/>
  <c r="Z289" i="2"/>
  <c r="Z291" i="2"/>
  <c r="Z293" i="2"/>
  <c r="Z294" i="2"/>
  <c r="Z233" i="2"/>
  <c r="Z235" i="2"/>
  <c r="Z237" i="2"/>
  <c r="Z239" i="2"/>
  <c r="Z241" i="2"/>
  <c r="Z243" i="2"/>
  <c r="Z245" i="2"/>
  <c r="Z247" i="2"/>
  <c r="Z250" i="2"/>
  <c r="Z252" i="2"/>
  <c r="Z254" i="2"/>
  <c r="Z256" i="2"/>
  <c r="Z259" i="2"/>
  <c r="Z261" i="2"/>
  <c r="Z263" i="2"/>
  <c r="Z265" i="2"/>
  <c r="Z268" i="2"/>
  <c r="Z270" i="2"/>
  <c r="Z272" i="2"/>
  <c r="Z274" i="2"/>
  <c r="Z277" i="2"/>
  <c r="Z279" i="2"/>
  <c r="Z281" i="2"/>
  <c r="Z283" i="2"/>
  <c r="Z286" i="2"/>
  <c r="Z288" i="2"/>
  <c r="Z290" i="2"/>
  <c r="Z292" i="2"/>
  <c r="Z295" i="2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28" i="2"/>
  <c r="AF228" i="2"/>
  <c r="AE229" i="2"/>
  <c r="AF229" i="2"/>
  <c r="AH230" i="2"/>
  <c r="AG230" i="2"/>
  <c r="AG231" i="2"/>
  <c r="AH231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7" i="2"/>
  <c r="Z228" i="2"/>
  <c r="Z229" i="2"/>
  <c r="Z230" i="2"/>
  <c r="Z231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6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L222" i="2"/>
  <c r="N222" i="2" s="1"/>
  <c r="K222" i="2"/>
  <c r="M222" i="2" s="1"/>
  <c r="L223" i="2"/>
  <c r="N223" i="2" s="1"/>
  <c r="K223" i="2"/>
  <c r="M223" i="2" s="1"/>
  <c r="K224" i="2"/>
  <c r="M224" i="2" s="1"/>
  <c r="L224" i="2"/>
  <c r="N224" i="2" s="1"/>
  <c r="K225" i="2"/>
  <c r="M225" i="2" s="1"/>
  <c r="L225" i="2"/>
  <c r="N225" i="2" s="1"/>
  <c r="K226" i="2"/>
  <c r="M226" i="2" s="1"/>
  <c r="L226" i="2"/>
  <c r="N226" i="2" s="1"/>
  <c r="L227" i="2"/>
  <c r="N227" i="2" s="1"/>
  <c r="K227" i="2"/>
  <c r="M227" i="2" s="1"/>
  <c r="K228" i="2"/>
  <c r="M228" i="2" s="1"/>
  <c r="L228" i="2"/>
  <c r="N228" i="2" s="1"/>
  <c r="K229" i="2"/>
  <c r="M229" i="2" s="1"/>
  <c r="L229" i="2"/>
  <c r="N229" i="2" s="1"/>
  <c r="L230" i="2"/>
  <c r="N230" i="2" s="1"/>
  <c r="K230" i="2"/>
  <c r="M230" i="2" s="1"/>
  <c r="L231" i="2"/>
  <c r="N231" i="2" s="1"/>
  <c r="K231" i="2"/>
  <c r="M231" i="2" s="1"/>
  <c r="W2" i="2"/>
  <c r="AC368" i="2" l="1"/>
  <c r="AD368" i="2"/>
  <c r="AC369" i="2"/>
  <c r="AD369" i="2"/>
  <c r="AD370" i="2"/>
  <c r="AC370" i="2"/>
  <c r="AD371" i="2"/>
  <c r="AC371" i="2"/>
  <c r="AC372" i="2"/>
  <c r="AD372" i="2"/>
  <c r="AC373" i="2"/>
  <c r="AD373" i="2"/>
  <c r="AD374" i="2"/>
  <c r="AC374" i="2"/>
  <c r="AD375" i="2"/>
  <c r="AC375" i="2"/>
  <c r="AD376" i="2"/>
  <c r="AC376" i="2"/>
  <c r="AD377" i="2"/>
  <c r="AC377" i="2"/>
  <c r="AD378" i="2"/>
  <c r="AC378" i="2"/>
  <c r="AD379" i="2"/>
  <c r="AC379" i="2"/>
  <c r="AD380" i="2"/>
  <c r="AC380" i="2"/>
  <c r="AC381" i="2"/>
  <c r="AD381" i="2"/>
  <c r="AC382" i="2"/>
  <c r="AD382" i="2"/>
  <c r="AD383" i="2"/>
  <c r="AC383" i="2"/>
  <c r="AD384" i="2"/>
  <c r="AC384" i="2"/>
  <c r="AD385" i="2"/>
  <c r="AC385" i="2"/>
  <c r="AD386" i="2"/>
  <c r="AC386" i="2"/>
  <c r="AD387" i="2"/>
  <c r="AC387" i="2"/>
  <c r="AD388" i="2"/>
  <c r="AC388" i="2"/>
  <c r="AD389" i="2"/>
  <c r="AC389" i="2"/>
  <c r="AD390" i="2"/>
  <c r="AC390" i="2"/>
  <c r="AD391" i="2"/>
  <c r="AC391" i="2"/>
  <c r="AD392" i="2"/>
  <c r="AC392" i="2"/>
  <c r="AC393" i="2"/>
  <c r="AD393" i="2"/>
  <c r="AC394" i="2"/>
  <c r="AD394" i="2"/>
  <c r="AD395" i="2"/>
  <c r="AC395" i="2"/>
  <c r="AC396" i="2"/>
  <c r="AD396" i="2"/>
  <c r="AC397" i="2"/>
  <c r="AD397" i="2"/>
  <c r="AC398" i="2"/>
  <c r="AD398" i="2"/>
  <c r="AC399" i="2"/>
  <c r="AD399" i="2"/>
  <c r="AC400" i="2"/>
  <c r="AD400" i="2"/>
  <c r="AC401" i="2"/>
  <c r="AD401" i="2"/>
  <c r="AC402" i="2"/>
  <c r="AD402" i="2"/>
  <c r="AD403" i="2"/>
  <c r="AC403" i="2"/>
  <c r="AC404" i="2"/>
  <c r="AD404" i="2"/>
  <c r="AC405" i="2"/>
  <c r="AD405" i="2"/>
  <c r="AD406" i="2"/>
  <c r="AC406" i="2"/>
  <c r="AD407" i="2"/>
  <c r="AC407" i="2"/>
  <c r="AC408" i="2"/>
  <c r="AD408" i="2"/>
  <c r="AD409" i="2"/>
  <c r="AC409" i="2"/>
  <c r="AD410" i="2"/>
  <c r="AC410" i="2"/>
  <c r="AC411" i="2"/>
  <c r="AD411" i="2"/>
  <c r="AD412" i="2"/>
  <c r="AC412" i="2"/>
  <c r="AD413" i="2"/>
  <c r="AC413" i="2"/>
  <c r="AC414" i="2"/>
  <c r="AD414" i="2"/>
  <c r="AC415" i="2"/>
  <c r="AD415" i="2"/>
  <c r="AD416" i="2"/>
  <c r="AC416" i="2"/>
  <c r="AC417" i="2"/>
  <c r="AD417" i="2"/>
  <c r="AC418" i="2"/>
  <c r="AD418" i="2"/>
  <c r="AD419" i="2"/>
  <c r="AC419" i="2"/>
  <c r="AC420" i="2"/>
  <c r="AD420" i="2"/>
  <c r="AC421" i="2"/>
  <c r="AD421" i="2"/>
  <c r="Q2" i="2"/>
  <c r="AA2" i="2" l="1"/>
  <c r="AB2" i="2" s="1"/>
  <c r="P3" i="2" a="1"/>
  <c r="O3" i="2" a="1"/>
  <c r="W3" i="2" l="1"/>
  <c r="Q3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3" i="2" l="1"/>
  <c r="AB3" i="2" s="1"/>
  <c r="P4" i="2" l="1" a="1"/>
  <c r="O5" i="2" a="1"/>
  <c r="P5" i="2" a="1"/>
  <c r="O4" i="2" a="1"/>
  <c r="Q5" i="2" l="1"/>
  <c r="W4" i="2"/>
  <c r="Q4" i="2"/>
  <c r="W5" i="2"/>
  <c r="AA5" i="2" l="1"/>
  <c r="AB5" i="2" s="1"/>
  <c r="P7" i="2" a="1"/>
  <c r="O6" i="2" a="1"/>
  <c r="P6" i="2" a="1"/>
  <c r="O7" i="2" a="1"/>
  <c r="AA4" i="2"/>
  <c r="AB4" i="2" s="1"/>
  <c r="W6" i="2" l="1"/>
  <c r="W7" i="2"/>
  <c r="Q7" i="2"/>
  <c r="Q6" i="2"/>
  <c r="AA7" i="2" l="1"/>
  <c r="AB7" i="2" s="1"/>
  <c r="AA6" i="2"/>
  <c r="AB6" i="2" s="1"/>
  <c r="P8" i="2" l="1" a="1"/>
  <c r="O8" i="2" a="1"/>
  <c r="O9" i="2" a="1"/>
  <c r="P9" i="2" a="1"/>
  <c r="W8" i="2" l="1"/>
  <c r="W9" i="2"/>
  <c r="Q8" i="2"/>
  <c r="Q9" i="2"/>
  <c r="AA8" i="2" l="1"/>
  <c r="AB8" i="2" s="1"/>
  <c r="AA9" i="2"/>
  <c r="AB9" i="2" s="1"/>
  <c r="O10" i="2" a="1"/>
  <c r="P11" i="2" a="1"/>
  <c r="P10" i="2" a="1"/>
  <c r="O11" i="2" a="1"/>
  <c r="W10" i="2" l="1"/>
  <c r="W11" i="2"/>
  <c r="Q11" i="2"/>
  <c r="Q10" i="2"/>
  <c r="AA10" i="2" l="1"/>
  <c r="AB10" i="2" s="1"/>
  <c r="AA11" i="2"/>
  <c r="AB11" i="2" s="1"/>
  <c r="O13" i="2" l="1" a="1"/>
  <c r="P12" i="2" a="1"/>
  <c r="P13" i="2" a="1"/>
  <c r="O12" i="2" a="1"/>
  <c r="W12" i="2" l="1"/>
  <c r="W13" i="2"/>
  <c r="Q12" i="2"/>
  <c r="Q13" i="2"/>
  <c r="AY9" i="3"/>
  <c r="AY8" i="3"/>
  <c r="AY7" i="3"/>
  <c r="AY6" i="3"/>
  <c r="AY5" i="3"/>
  <c r="AY4" i="3"/>
  <c r="AY3" i="3"/>
  <c r="AY2" i="3"/>
  <c r="AA12" i="2" l="1"/>
  <c r="AB12" i="2" s="1"/>
  <c r="AA13" i="2"/>
  <c r="AB13" i="2" s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P14" i="2" l="1" a="1"/>
  <c r="P15" i="2" a="1"/>
  <c r="O14" i="2" a="1"/>
  <c r="O15" i="2" a="1"/>
  <c r="AV7" i="3"/>
  <c r="AV8" i="3"/>
  <c r="AV5" i="3"/>
  <c r="AW7" i="3"/>
  <c r="AW5" i="3"/>
  <c r="AW9" i="3"/>
  <c r="AW8" i="3"/>
  <c r="AV9" i="3"/>
  <c r="W14" i="2" l="1"/>
  <c r="Q15" i="2"/>
  <c r="Q14" i="2"/>
  <c r="W15" i="2"/>
  <c r="AZ9" i="3"/>
  <c r="AZ7" i="3"/>
  <c r="AZ8" i="3"/>
  <c r="AZ5" i="3"/>
  <c r="AA14" i="2" l="1"/>
  <c r="AB14" i="2" s="1"/>
  <c r="AA15" i="2"/>
  <c r="AB15" i="2" s="1"/>
  <c r="O17" i="2" l="1" a="1"/>
  <c r="O16" i="2" a="1"/>
  <c r="P16" i="2" a="1"/>
  <c r="P17" i="2" a="1"/>
  <c r="C34" i="3"/>
  <c r="B34" i="3"/>
  <c r="C31" i="3"/>
  <c r="B31" i="3"/>
  <c r="C30" i="3"/>
  <c r="B30" i="3"/>
  <c r="C33" i="3"/>
  <c r="B33" i="3"/>
  <c r="Q16" i="2" l="1"/>
  <c r="Q17" i="2"/>
  <c r="W16" i="2"/>
  <c r="W17" i="2"/>
  <c r="AA16" i="2" l="1"/>
  <c r="AB16" i="2" s="1"/>
  <c r="AA17" i="2"/>
  <c r="AB17" i="2" s="1"/>
  <c r="E34" i="3"/>
  <c r="D34" i="3"/>
  <c r="E31" i="3"/>
  <c r="D31" i="3"/>
  <c r="E30" i="3"/>
  <c r="D30" i="3"/>
  <c r="E33" i="3"/>
  <c r="D33" i="3"/>
  <c r="O19" i="2" l="1" a="1"/>
  <c r="O18" i="2" a="1"/>
  <c r="P19" i="2" a="1"/>
  <c r="P18" i="2" a="1"/>
  <c r="F30" i="3"/>
  <c r="F34" i="3"/>
  <c r="F31" i="3"/>
  <c r="F33" i="3"/>
  <c r="Q18" i="2" l="1"/>
  <c r="W19" i="2"/>
  <c r="Q19" i="2"/>
  <c r="W18" i="2"/>
  <c r="AA19" i="2" l="1"/>
  <c r="AB19" i="2" s="1"/>
  <c r="AA18" i="2"/>
  <c r="AB18" i="2" s="1"/>
  <c r="P21" i="2" l="1" a="1"/>
  <c r="O20" i="2" a="1"/>
  <c r="O21" i="2" a="1"/>
  <c r="P20" i="2" a="1"/>
  <c r="W20" i="2" l="1"/>
  <c r="Q21" i="2"/>
  <c r="W21" i="2"/>
  <c r="Q20" i="2"/>
  <c r="AA20" i="2" l="1"/>
  <c r="AB20" i="2" s="1"/>
  <c r="AA21" i="2"/>
  <c r="AB21" i="2" s="1"/>
  <c r="P23" i="2" a="1"/>
  <c r="O23" i="2" a="1"/>
  <c r="AW3" i="3"/>
  <c r="AV3" i="3"/>
  <c r="O22" i="2" l="1" a="1"/>
  <c r="P22" i="2" a="1"/>
  <c r="W23" i="2"/>
  <c r="Q23" i="2"/>
  <c r="AZ3" i="3"/>
  <c r="AV2" i="3"/>
  <c r="AW2" i="3"/>
  <c r="AV4" i="3"/>
  <c r="AW4" i="3"/>
  <c r="W22" i="2" l="1"/>
  <c r="Q22" i="2"/>
  <c r="AA23" i="2"/>
  <c r="AB23" i="2" s="1"/>
  <c r="AZ4" i="3"/>
  <c r="AZ2" i="3"/>
  <c r="AW6" i="3"/>
  <c r="AV6" i="3"/>
  <c r="AA22" i="2" l="1"/>
  <c r="AB22" i="2" s="1"/>
  <c r="P25" i="2" a="1"/>
  <c r="O24" i="2" a="1"/>
  <c r="P24" i="2" a="1"/>
  <c r="O25" i="2" a="1"/>
  <c r="AZ6" i="3"/>
  <c r="W25" i="2" l="1"/>
  <c r="W24" i="2"/>
  <c r="Q25" i="2"/>
  <c r="Q24" i="2"/>
  <c r="AA24" i="2" l="1"/>
  <c r="AB24" i="2" s="1"/>
  <c r="AA25" i="2"/>
  <c r="AB25" i="2" s="1"/>
  <c r="P26" i="2" l="1" a="1"/>
  <c r="P27" i="2" a="1"/>
  <c r="O26" i="2" a="1"/>
  <c r="O27" i="2" a="1"/>
  <c r="Q26" i="2" l="1"/>
  <c r="Q27" i="2"/>
  <c r="W26" i="2"/>
  <c r="W27" i="2"/>
  <c r="AA26" i="2" l="1"/>
  <c r="AB26" i="2" s="1"/>
  <c r="AA27" i="2"/>
  <c r="AB27" i="2" s="1"/>
  <c r="O29" i="2" l="1" a="1"/>
  <c r="P29" i="2" a="1"/>
  <c r="O28" i="2" a="1"/>
  <c r="P28" i="2" a="1"/>
  <c r="Q28" i="2" l="1"/>
  <c r="Q29" i="2"/>
  <c r="W28" i="2"/>
  <c r="W29" i="2"/>
  <c r="AA28" i="2" l="1"/>
  <c r="AB28" i="2" s="1"/>
  <c r="AA29" i="2"/>
  <c r="AB29" i="2" s="1"/>
  <c r="P31" i="2" l="1" a="1"/>
  <c r="O31" i="2" a="1"/>
  <c r="P30" i="2" a="1"/>
  <c r="O30" i="2" a="1"/>
  <c r="W30" i="2" l="1"/>
  <c r="Q31" i="2"/>
  <c r="W31" i="2"/>
  <c r="Q30" i="2"/>
  <c r="AA31" i="2" l="1"/>
  <c r="AB31" i="2" s="1"/>
  <c r="AA30" i="2"/>
  <c r="AB30" i="2" s="1"/>
  <c r="O35" i="2" a="1"/>
  <c r="O34" i="2" a="1"/>
  <c r="P34" i="2" a="1"/>
  <c r="P35" i="2" a="1"/>
  <c r="P32" i="2" l="1" a="1"/>
  <c r="P33" i="2" a="1"/>
  <c r="O33" i="2" a="1"/>
  <c r="O32" i="2" a="1"/>
  <c r="Q34" i="2"/>
  <c r="Q35" i="2"/>
  <c r="W35" i="2"/>
  <c r="W34" i="2"/>
  <c r="W33" i="2" l="1"/>
  <c r="Q33" i="2"/>
  <c r="AA33" i="2" s="1"/>
  <c r="AB33" i="2" s="1"/>
  <c r="Q32" i="2"/>
  <c r="W32" i="2"/>
  <c r="AA32" i="2" s="1"/>
  <c r="AB32" i="2" s="1"/>
  <c r="AA35" i="2"/>
  <c r="AB35" i="2" s="1"/>
  <c r="AA34" i="2"/>
  <c r="AB34" i="2" s="1"/>
  <c r="P39" i="2" a="1"/>
  <c r="P38" i="2" a="1"/>
  <c r="O38" i="2" a="1"/>
  <c r="O39" i="2" a="1"/>
  <c r="P36" i="2" l="1" a="1"/>
  <c r="O37" i="2" a="1"/>
  <c r="O36" i="2" a="1"/>
  <c r="P37" i="2" a="1"/>
  <c r="W38" i="2"/>
  <c r="Q39" i="2"/>
  <c r="Q38" i="2"/>
  <c r="W39" i="2"/>
  <c r="Q37" i="2" l="1"/>
  <c r="Q36" i="2"/>
  <c r="W37" i="2"/>
  <c r="W36" i="2"/>
  <c r="AA38" i="2"/>
  <c r="AB38" i="2" s="1"/>
  <c r="AA39" i="2"/>
  <c r="AB39" i="2" s="1"/>
  <c r="AA36" i="2" l="1"/>
  <c r="AB36" i="2" s="1"/>
  <c r="AA37" i="2"/>
  <c r="AB37" i="2" s="1"/>
  <c r="P40" i="2" a="1"/>
  <c r="O41" i="2" a="1"/>
  <c r="P41" i="2" a="1"/>
  <c r="O40" i="2" a="1"/>
  <c r="W41" i="2" l="1"/>
  <c r="W40" i="2"/>
  <c r="Q41" i="2"/>
  <c r="Q40" i="2"/>
  <c r="AA41" i="2" l="1"/>
  <c r="AB41" i="2" s="1"/>
  <c r="AA40" i="2"/>
  <c r="AB40" i="2" s="1"/>
  <c r="O43" i="2" l="1" a="1"/>
  <c r="P43" i="2" a="1"/>
  <c r="O42" i="2" a="1"/>
  <c r="P42" i="2" a="1"/>
  <c r="P45" i="2" a="1"/>
  <c r="O44" i="2" a="1"/>
  <c r="P44" i="2" a="1"/>
  <c r="O45" i="2" a="1"/>
  <c r="Q42" i="2" l="1"/>
  <c r="Q43" i="2"/>
  <c r="W42" i="2"/>
  <c r="W43" i="2"/>
  <c r="W44" i="2"/>
  <c r="W45" i="2"/>
  <c r="Q44" i="2"/>
  <c r="Q45" i="2"/>
  <c r="AA42" i="2" l="1"/>
  <c r="AB42" i="2" s="1"/>
  <c r="AA43" i="2"/>
  <c r="AB43" i="2" s="1"/>
  <c r="AA44" i="2"/>
  <c r="AB44" i="2" s="1"/>
  <c r="AA45" i="2"/>
  <c r="AB45" i="2" s="1"/>
  <c r="O46" i="2" a="1"/>
  <c r="P46" i="2" a="1"/>
  <c r="O47" i="2" a="1"/>
  <c r="P47" i="2" a="1"/>
  <c r="W46" i="2" l="1"/>
  <c r="Q47" i="2"/>
  <c r="Q46" i="2"/>
  <c r="W47" i="2"/>
  <c r="AA46" i="2" l="1"/>
  <c r="AB46" i="2" s="1"/>
  <c r="AA47" i="2"/>
  <c r="AB47" i="2" s="1"/>
  <c r="P49" i="2" a="1"/>
  <c r="O49" i="2" a="1"/>
  <c r="P48" i="2" a="1"/>
  <c r="O48" i="2" a="1"/>
  <c r="W48" i="2" l="1"/>
  <c r="Q49" i="2"/>
  <c r="W49" i="2"/>
  <c r="Q48" i="2"/>
  <c r="AA49" i="2" l="1"/>
  <c r="AB49" i="2" s="1"/>
  <c r="AA48" i="2"/>
  <c r="AB48" i="2" s="1"/>
  <c r="P50" i="2" a="1"/>
  <c r="P51" i="2" a="1"/>
  <c r="O51" i="2" a="1"/>
  <c r="O50" i="2" a="1"/>
  <c r="Q50" i="2" l="1"/>
  <c r="Q51" i="2"/>
  <c r="W51" i="2"/>
  <c r="W50" i="2"/>
  <c r="AA51" i="2" l="1"/>
  <c r="AB51" i="2" s="1"/>
  <c r="AA50" i="2"/>
  <c r="AB50" i="2" s="1"/>
  <c r="O53" i="2" a="1"/>
  <c r="P53" i="2" a="1"/>
  <c r="O52" i="2" a="1"/>
  <c r="P52" i="2" a="1"/>
  <c r="Q53" i="2" l="1"/>
  <c r="W52" i="2"/>
  <c r="Q52" i="2"/>
  <c r="W53" i="2"/>
  <c r="AA52" i="2" l="1"/>
  <c r="AB52" i="2" s="1"/>
  <c r="AA53" i="2"/>
  <c r="AB53" i="2" s="1"/>
  <c r="P55" i="2" l="1" a="1"/>
  <c r="O54" i="2" a="1"/>
  <c r="O55" i="2" a="1"/>
  <c r="P54" i="2" a="1"/>
  <c r="Q55" i="2" l="1"/>
  <c r="W54" i="2"/>
  <c r="W55" i="2"/>
  <c r="Q54" i="2"/>
  <c r="AA55" i="2" l="1"/>
  <c r="AB55" i="2" s="1"/>
  <c r="P57" i="2" a="1"/>
  <c r="P56" i="2" a="1"/>
  <c r="O57" i="2" a="1"/>
  <c r="O56" i="2" a="1"/>
  <c r="AA54" i="2"/>
  <c r="AB54" i="2" s="1"/>
  <c r="Q57" i="2" l="1"/>
  <c r="Q56" i="2"/>
  <c r="W57" i="2"/>
  <c r="W56" i="2"/>
  <c r="AA57" i="2" l="1"/>
  <c r="AB57" i="2" s="1"/>
  <c r="AA56" i="2"/>
  <c r="AB56" i="2" s="1"/>
  <c r="O59" i="2" l="1" a="1"/>
  <c r="P58" i="2" a="1"/>
  <c r="O58" i="2" a="1"/>
  <c r="P59" i="2" a="1"/>
  <c r="W58" i="2" l="1"/>
  <c r="Q59" i="2"/>
  <c r="W59" i="2"/>
  <c r="Q58" i="2"/>
  <c r="AA58" i="2" l="1"/>
  <c r="AB58" i="2" s="1"/>
  <c r="AA59" i="2"/>
  <c r="AB59" i="2" s="1"/>
  <c r="O61" i="2" l="1" a="1"/>
  <c r="O60" i="2" a="1"/>
  <c r="P60" i="2" a="1"/>
  <c r="P61" i="2" a="1"/>
  <c r="P63" i="2" a="1"/>
  <c r="O62" i="2" a="1"/>
  <c r="O63" i="2" a="1"/>
  <c r="P62" i="2" a="1"/>
  <c r="W60" i="2" l="1"/>
  <c r="W61" i="2"/>
  <c r="Q60" i="2"/>
  <c r="Q61" i="2"/>
  <c r="W62" i="2"/>
  <c r="W63" i="2"/>
  <c r="Q63" i="2"/>
  <c r="Q62" i="2"/>
  <c r="AA60" i="2" l="1"/>
  <c r="AB60" i="2" s="1"/>
  <c r="AA61" i="2"/>
  <c r="AB61" i="2" s="1"/>
  <c r="AA62" i="2"/>
  <c r="AB62" i="2" s="1"/>
  <c r="AA63" i="2"/>
  <c r="AB63" i="2" s="1"/>
  <c r="O67" i="2" a="1"/>
  <c r="P66" i="2" a="1"/>
  <c r="P67" i="2" a="1"/>
  <c r="O66" i="2" a="1"/>
  <c r="P65" i="2" l="1" a="1"/>
  <c r="P64" i="2" a="1"/>
  <c r="O64" i="2" a="1"/>
  <c r="O65" i="2" a="1"/>
  <c r="W67" i="2"/>
  <c r="W66" i="2"/>
  <c r="Q66" i="2"/>
  <c r="Q67" i="2"/>
  <c r="W65" i="2" l="1"/>
  <c r="W64" i="2"/>
  <c r="Q65" i="2"/>
  <c r="Q64" i="2"/>
  <c r="AA67" i="2"/>
  <c r="AB67" i="2" s="1"/>
  <c r="AA66" i="2"/>
  <c r="AB66" i="2" s="1"/>
  <c r="AA65" i="2" l="1"/>
  <c r="AB65" i="2" s="1"/>
  <c r="AA64" i="2"/>
  <c r="AB64" i="2" s="1"/>
  <c r="P68" i="2" a="1"/>
  <c r="O68" i="2" a="1"/>
  <c r="P69" i="2" a="1"/>
  <c r="O69" i="2" a="1"/>
  <c r="W68" i="2" l="1"/>
  <c r="Q69" i="2"/>
  <c r="W69" i="2"/>
  <c r="Q68" i="2"/>
  <c r="AA69" i="2" l="1"/>
  <c r="AB69" i="2" s="1"/>
  <c r="AA68" i="2"/>
  <c r="AB68" i="2" s="1"/>
  <c r="O70" i="2" l="1" a="1"/>
  <c r="P70" i="2" a="1"/>
  <c r="O71" i="2" a="1"/>
  <c r="P71" i="2" a="1"/>
  <c r="W71" i="2" l="1"/>
  <c r="W70" i="2"/>
  <c r="Q70" i="2"/>
  <c r="Q71" i="2"/>
  <c r="AA71" i="2" l="1"/>
  <c r="AB71" i="2" s="1"/>
  <c r="AA70" i="2"/>
  <c r="AB70" i="2" s="1"/>
  <c r="P73" i="2" l="1" a="1"/>
  <c r="O73" i="2" a="1"/>
  <c r="P72" i="2" a="1"/>
  <c r="O72" i="2" a="1"/>
  <c r="P75" i="2" a="1"/>
  <c r="O74" i="2" a="1"/>
  <c r="P74" i="2" a="1"/>
  <c r="O75" i="2" a="1"/>
  <c r="Q72" i="2" l="1"/>
  <c r="Q73" i="2"/>
  <c r="W73" i="2"/>
  <c r="W72" i="2"/>
  <c r="W74" i="2"/>
  <c r="Q75" i="2"/>
  <c r="Q74" i="2"/>
  <c r="W75" i="2"/>
  <c r="AA72" i="2" l="1"/>
  <c r="AB72" i="2" s="1"/>
  <c r="AA73" i="2"/>
  <c r="AB73" i="2" s="1"/>
  <c r="AA74" i="2"/>
  <c r="AB74" i="2" s="1"/>
  <c r="AA75" i="2"/>
  <c r="AB75" i="2" s="1"/>
  <c r="P76" i="2" l="1" a="1"/>
  <c r="P77" i="2" a="1"/>
  <c r="O77" i="2" a="1"/>
  <c r="O76" i="2" a="1"/>
  <c r="Q76" i="2" l="1"/>
  <c r="W77" i="2"/>
  <c r="W76" i="2"/>
  <c r="Q77" i="2"/>
  <c r="AA76" i="2" l="1"/>
  <c r="AB76" i="2" s="1"/>
  <c r="AA77" i="2"/>
  <c r="AB77" i="2" s="1"/>
  <c r="O78" i="2" l="1" a="1"/>
  <c r="O79" i="2" a="1"/>
  <c r="P78" i="2" a="1"/>
  <c r="P79" i="2" a="1"/>
  <c r="W78" i="2" l="1"/>
  <c r="Q79" i="2"/>
  <c r="W79" i="2"/>
  <c r="Q78" i="2"/>
  <c r="AA79" i="2" l="1"/>
  <c r="AB79" i="2" s="1"/>
  <c r="AA78" i="2"/>
  <c r="AB78" i="2" s="1"/>
  <c r="O86" i="2" a="1"/>
  <c r="P87" i="2" a="1"/>
  <c r="O87" i="2" a="1"/>
  <c r="P86" i="2" a="1"/>
  <c r="W87" i="2" l="1"/>
  <c r="P84" i="2" a="1"/>
  <c r="O84" i="2" a="1"/>
  <c r="O85" i="2" a="1"/>
  <c r="P85" i="2" a="1"/>
  <c r="P83" i="2" a="1"/>
  <c r="O83" i="2" a="1"/>
  <c r="O82" i="2" a="1"/>
  <c r="P80" i="2" a="1"/>
  <c r="P82" i="2" a="1"/>
  <c r="P81" i="2" a="1"/>
  <c r="O81" i="2" a="1"/>
  <c r="O80" i="2" a="1"/>
  <c r="W86" i="2"/>
  <c r="Q87" i="2"/>
  <c r="P89" i="2" a="1"/>
  <c r="O89" i="2" a="1"/>
  <c r="P88" i="2" a="1"/>
  <c r="O88" i="2" a="1"/>
  <c r="Q86" i="2"/>
  <c r="W84" i="2" l="1"/>
  <c r="Q85" i="2"/>
  <c r="AA87" i="2"/>
  <c r="AB87" i="2" s="1"/>
  <c r="Q83" i="2"/>
  <c r="W82" i="2"/>
  <c r="Q81" i="2"/>
  <c r="W80" i="2"/>
  <c r="W85" i="2"/>
  <c r="W83" i="2"/>
  <c r="Q80" i="2"/>
  <c r="Q82" i="2"/>
  <c r="Q84" i="2"/>
  <c r="W81" i="2"/>
  <c r="AA86" i="2"/>
  <c r="AB86" i="2" s="1"/>
  <c r="Q89" i="2"/>
  <c r="Q88" i="2"/>
  <c r="W89" i="2"/>
  <c r="W88" i="2"/>
  <c r="AA80" i="2" l="1"/>
  <c r="AB80" i="2" s="1"/>
  <c r="AA81" i="2"/>
  <c r="AB81" i="2" s="1"/>
  <c r="AA85" i="2"/>
  <c r="AB85" i="2" s="1"/>
  <c r="AA84" i="2"/>
  <c r="AB84" i="2" s="1"/>
  <c r="AA83" i="2"/>
  <c r="AB83" i="2" s="1"/>
  <c r="AA82" i="2"/>
  <c r="AB82" i="2" s="1"/>
  <c r="AA89" i="2"/>
  <c r="AB89" i="2" s="1"/>
  <c r="AA88" i="2"/>
  <c r="AB88" i="2" s="1"/>
  <c r="P90" i="2" a="1"/>
  <c r="O91" i="2" a="1"/>
  <c r="O90" i="2" a="1"/>
  <c r="P92" i="2" a="1"/>
  <c r="O93" i="2" a="1"/>
  <c r="O92" i="2" a="1"/>
  <c r="P91" i="2" l="1" a="1"/>
  <c r="P93" i="2" a="1"/>
  <c r="Q92" i="2"/>
  <c r="Q90" i="2"/>
  <c r="W92" i="2"/>
  <c r="W90" i="2"/>
  <c r="O94" i="2" a="1"/>
  <c r="P94" i="2" a="1"/>
  <c r="P95" i="2" a="1"/>
  <c r="O95" i="2" a="1"/>
  <c r="O97" i="2" a="1"/>
  <c r="P97" i="2" a="1"/>
  <c r="O96" i="2" a="1"/>
  <c r="P96" i="2" a="1"/>
  <c r="W91" i="2" l="1"/>
  <c r="Q91" i="2"/>
  <c r="W93" i="2"/>
  <c r="Q93" i="2"/>
  <c r="AA92" i="2"/>
  <c r="AB92" i="2" s="1"/>
  <c r="AA90" i="2"/>
  <c r="AB90" i="2" s="1"/>
  <c r="W95" i="2"/>
  <c r="W94" i="2"/>
  <c r="Q95" i="2"/>
  <c r="Q94" i="2"/>
  <c r="W97" i="2"/>
  <c r="W96" i="2"/>
  <c r="Q97" i="2"/>
  <c r="Q96" i="2"/>
  <c r="AA93" i="2" l="1"/>
  <c r="AB93" i="2" s="1"/>
  <c r="AA91" i="2"/>
  <c r="AB91" i="2" s="1"/>
  <c r="AA95" i="2"/>
  <c r="AB95" i="2" s="1"/>
  <c r="AA94" i="2"/>
  <c r="AB94" i="2" s="1"/>
  <c r="AA96" i="2"/>
  <c r="AB96" i="2" s="1"/>
  <c r="AA97" i="2"/>
  <c r="AB97" i="2" s="1"/>
  <c r="P98" i="2" l="1" a="1"/>
  <c r="O99" i="2" a="1"/>
  <c r="O98" i="2" a="1"/>
  <c r="P99" i="2" a="1"/>
  <c r="W99" i="2" l="1"/>
  <c r="Q98" i="2"/>
  <c r="W98" i="2"/>
  <c r="Q99" i="2"/>
  <c r="AA98" i="2" l="1"/>
  <c r="AB98" i="2" s="1"/>
  <c r="AA99" i="2"/>
  <c r="AB99" i="2" s="1"/>
  <c r="O101" i="2" l="1" a="1"/>
  <c r="P101" i="2" a="1"/>
  <c r="O100" i="2" a="1"/>
  <c r="P100" i="2" a="1"/>
  <c r="W100" i="2" l="1"/>
  <c r="W101" i="2"/>
  <c r="Q101" i="2"/>
  <c r="Q100" i="2"/>
  <c r="AA100" i="2" l="1"/>
  <c r="AB100" i="2" s="1"/>
  <c r="AA101" i="2"/>
  <c r="AB101" i="2" s="1"/>
  <c r="O106" i="2" a="1"/>
  <c r="P106" i="2" a="1"/>
  <c r="P107" i="2" a="1"/>
  <c r="O107" i="2" a="1"/>
  <c r="O105" i="2" a="1"/>
  <c r="P105" i="2" a="1"/>
  <c r="O104" i="2" a="1"/>
  <c r="P104" i="2" a="1"/>
  <c r="P102" i="2" l="1" a="1"/>
  <c r="O102" i="2" a="1"/>
  <c r="P103" i="2" a="1"/>
  <c r="O103" i="2" a="1"/>
  <c r="Q106" i="2"/>
  <c r="Q107" i="2"/>
  <c r="W105" i="2"/>
  <c r="Q104" i="2"/>
  <c r="W106" i="2"/>
  <c r="Q105" i="2"/>
  <c r="W104" i="2"/>
  <c r="W107" i="2"/>
  <c r="Q103" i="2" l="1"/>
  <c r="W102" i="2"/>
  <c r="Q102" i="2"/>
  <c r="W103" i="2"/>
  <c r="AA106" i="2"/>
  <c r="AB106" i="2" s="1"/>
  <c r="AA105" i="2"/>
  <c r="AB105" i="2" s="1"/>
  <c r="AA104" i="2"/>
  <c r="AB104" i="2" s="1"/>
  <c r="AA107" i="2"/>
  <c r="AB107" i="2" s="1"/>
  <c r="P108" i="2" a="1"/>
  <c r="P109" i="2" a="1"/>
  <c r="O108" i="2" a="1"/>
  <c r="O109" i="2" a="1"/>
  <c r="AA102" i="2" l="1"/>
  <c r="AB102" i="2" s="1"/>
  <c r="AA103" i="2"/>
  <c r="AB103" i="2" s="1"/>
  <c r="Q109" i="2"/>
  <c r="Q108" i="2"/>
  <c r="W108" i="2"/>
  <c r="W109" i="2"/>
  <c r="AA109" i="2" l="1"/>
  <c r="AB109" i="2" s="1"/>
  <c r="AA108" i="2"/>
  <c r="AB108" i="2" s="1"/>
  <c r="P112" i="2" a="1"/>
  <c r="P113" i="2" a="1"/>
  <c r="O113" i="2" a="1"/>
  <c r="O112" i="2" a="1"/>
  <c r="O110" i="2" l="1" a="1"/>
  <c r="O111" i="2" a="1"/>
  <c r="P110" i="2" a="1"/>
  <c r="P111" i="2" a="1"/>
  <c r="Q113" i="2"/>
  <c r="Q112" i="2"/>
  <c r="W113" i="2"/>
  <c r="W112" i="2"/>
  <c r="W110" i="2" l="1"/>
  <c r="W111" i="2"/>
  <c r="Q110" i="2"/>
  <c r="Q111" i="2"/>
  <c r="AA113" i="2"/>
  <c r="AB113" i="2" s="1"/>
  <c r="AA112" i="2"/>
  <c r="AB112" i="2" s="1"/>
  <c r="O114" i="2" a="1"/>
  <c r="O115" i="2" a="1"/>
  <c r="P114" i="2" a="1"/>
  <c r="P115" i="2" a="1"/>
  <c r="AA110" i="2" l="1"/>
  <c r="AB110" i="2" s="1"/>
  <c r="AA111" i="2"/>
  <c r="AB111" i="2" s="1"/>
  <c r="Q115" i="2"/>
  <c r="W114" i="2"/>
  <c r="Q114" i="2"/>
  <c r="W115" i="2"/>
  <c r="AA115" i="2" l="1"/>
  <c r="AB115" i="2" s="1"/>
  <c r="AA114" i="2"/>
  <c r="AB114" i="2" s="1"/>
  <c r="P116" i="2" l="1" a="1"/>
  <c r="O117" i="2" a="1"/>
  <c r="P117" i="2" a="1"/>
  <c r="O116" i="2" a="1"/>
  <c r="W117" i="2" l="1"/>
  <c r="W116" i="2"/>
  <c r="Q116" i="2"/>
  <c r="Q117" i="2"/>
  <c r="AA117" i="2" l="1"/>
  <c r="AB117" i="2" s="1"/>
  <c r="AA116" i="2"/>
  <c r="AB116" i="2" s="1"/>
  <c r="O118" i="2" a="1"/>
  <c r="P118" i="2" a="1"/>
  <c r="O119" i="2" a="1"/>
  <c r="P119" i="2" a="1"/>
  <c r="Q118" i="2" l="1"/>
  <c r="W119" i="2"/>
  <c r="Q119" i="2"/>
  <c r="W118" i="2"/>
  <c r="AA119" i="2" l="1"/>
  <c r="AB119" i="2" s="1"/>
  <c r="O120" i="2" a="1"/>
  <c r="P121" i="2" a="1"/>
  <c r="O121" i="2" a="1"/>
  <c r="P120" i="2" a="1"/>
  <c r="AA118" i="2"/>
  <c r="AB118" i="2" s="1"/>
  <c r="Q121" i="2" l="1"/>
  <c r="Q120" i="2"/>
  <c r="W120" i="2"/>
  <c r="W121" i="2"/>
  <c r="AA121" i="2" l="1"/>
  <c r="AB121" i="2" s="1"/>
  <c r="AA120" i="2"/>
  <c r="AB120" i="2" s="1"/>
  <c r="O126" i="2" a="1"/>
  <c r="P128" i="2" a="1"/>
  <c r="O130" i="2" a="1"/>
  <c r="P130" i="2" a="1"/>
  <c r="O131" i="2" a="1"/>
  <c r="P131" i="2" a="1"/>
  <c r="O123" i="2" a="1"/>
  <c r="P124" i="2" a="1"/>
  <c r="P122" i="2" a="1"/>
  <c r="P125" i="2" a="1"/>
  <c r="O124" i="2" a="1"/>
  <c r="P123" i="2" a="1"/>
  <c r="O122" i="2" a="1"/>
  <c r="O125" i="2" a="1"/>
  <c r="O128" i="2" a="1"/>
  <c r="O127" i="2" a="1"/>
  <c r="P129" i="2" a="1"/>
  <c r="O129" i="2" a="1"/>
  <c r="P126" i="2" a="1"/>
  <c r="P127" i="2" a="1"/>
  <c r="W129" i="2" l="1"/>
  <c r="Q126" i="2"/>
  <c r="Q127" i="2"/>
  <c r="Q128" i="2"/>
  <c r="W130" i="2"/>
  <c r="Q131" i="2"/>
  <c r="Q122" i="2"/>
  <c r="Q125" i="2"/>
  <c r="W124" i="2"/>
  <c r="Q123" i="2"/>
  <c r="W126" i="2"/>
  <c r="Q130" i="2"/>
  <c r="W131" i="2"/>
  <c r="W123" i="2"/>
  <c r="Q124" i="2"/>
  <c r="W122" i="2"/>
  <c r="W125" i="2"/>
  <c r="Q129" i="2"/>
  <c r="W128" i="2"/>
  <c r="W127" i="2"/>
  <c r="AA129" i="2" l="1"/>
  <c r="AB129" i="2" s="1"/>
  <c r="AA126" i="2"/>
  <c r="AB126" i="2" s="1"/>
  <c r="P135" i="2" s="1" a="1"/>
  <c r="AA123" i="2"/>
  <c r="AB123" i="2" s="1"/>
  <c r="AA127" i="2"/>
  <c r="AB127" i="2" s="1"/>
  <c r="AA130" i="2"/>
  <c r="AB130" i="2" s="1"/>
  <c r="AA131" i="2"/>
  <c r="AB131" i="2" s="1"/>
  <c r="AA124" i="2"/>
  <c r="AB124" i="2" s="1"/>
  <c r="AA122" i="2"/>
  <c r="AB122" i="2" s="1"/>
  <c r="AA125" i="2"/>
  <c r="AB125" i="2" s="1"/>
  <c r="AA128" i="2"/>
  <c r="AB128" i="2" s="1"/>
  <c r="O137" i="2" a="1"/>
  <c r="P137" i="2" a="1"/>
  <c r="P136" i="2" a="1"/>
  <c r="P133" i="2" a="1"/>
  <c r="O132" i="2" a="1"/>
  <c r="O134" i="2" a="1"/>
  <c r="O133" i="2" a="1"/>
  <c r="P132" i="2" a="1"/>
  <c r="P134" i="2" a="1"/>
  <c r="O135" i="2" a="1"/>
  <c r="O136" i="2" a="1"/>
  <c r="W136" i="2" s="1"/>
  <c r="Q134" i="2" l="1"/>
  <c r="Q137" i="2"/>
  <c r="W132" i="2"/>
  <c r="Q135" i="2"/>
  <c r="W133" i="2"/>
  <c r="W137" i="2"/>
  <c r="Q133" i="2"/>
  <c r="Q136" i="2"/>
  <c r="AA136" i="2" s="1"/>
  <c r="AB136" i="2" s="1"/>
  <c r="W134" i="2"/>
  <c r="Q132" i="2"/>
  <c r="W135" i="2"/>
  <c r="AA134" i="2" l="1"/>
  <c r="AB134" i="2" s="1"/>
  <c r="AA133" i="2"/>
  <c r="AB133" i="2" s="1"/>
  <c r="AA137" i="2"/>
  <c r="AB137" i="2" s="1"/>
  <c r="AA135" i="2"/>
  <c r="AB135" i="2" s="1"/>
  <c r="AA132" i="2"/>
  <c r="AB132" i="2" s="1"/>
  <c r="O139" i="2" a="1"/>
  <c r="P138" i="2" a="1"/>
  <c r="O138" i="2" a="1"/>
  <c r="P139" i="2" a="1"/>
  <c r="Q139" i="2" l="1"/>
  <c r="Q138" i="2"/>
  <c r="W139" i="2"/>
  <c r="W138" i="2"/>
  <c r="AA138" i="2" l="1"/>
  <c r="AB138" i="2" s="1"/>
  <c r="AA139" i="2"/>
  <c r="AB139" i="2" s="1"/>
  <c r="O145" i="2" a="1"/>
  <c r="P142" i="2" a="1"/>
  <c r="O142" i="2" a="1"/>
  <c r="P143" i="2" a="1"/>
  <c r="O143" i="2" a="1"/>
  <c r="O141" i="2" a="1"/>
  <c r="P141" i="2" a="1"/>
  <c r="O140" i="2" a="1"/>
  <c r="P140" i="2" a="1"/>
  <c r="P144" i="2" a="1"/>
  <c r="P145" i="2" a="1"/>
  <c r="O144" i="2" a="1"/>
  <c r="W142" i="2" l="1"/>
  <c r="W145" i="2"/>
  <c r="Q140" i="2"/>
  <c r="W144" i="2"/>
  <c r="Q143" i="2"/>
  <c r="Q141" i="2"/>
  <c r="W143" i="2"/>
  <c r="W141" i="2"/>
  <c r="W140" i="2"/>
  <c r="Q144" i="2"/>
  <c r="Q145" i="2"/>
  <c r="Q142" i="2"/>
  <c r="AA142" i="2" l="1"/>
  <c r="AB142" i="2" s="1"/>
  <c r="AA140" i="2"/>
  <c r="AB140" i="2" s="1"/>
  <c r="AA141" i="2"/>
  <c r="AB141" i="2" s="1"/>
  <c r="AA145" i="2"/>
  <c r="AB145" i="2" s="1"/>
  <c r="AA143" i="2"/>
  <c r="AB143" i="2" s="1"/>
  <c r="AA144" i="2"/>
  <c r="AB144" i="2" s="1"/>
  <c r="O147" i="2" a="1"/>
  <c r="O146" i="2" a="1"/>
  <c r="P147" i="2" a="1"/>
  <c r="P146" i="2" a="1"/>
  <c r="O148" i="2" a="1"/>
  <c r="P148" i="2" a="1"/>
  <c r="P149" i="2" a="1"/>
  <c r="O149" i="2" a="1"/>
  <c r="Q149" i="2" l="1"/>
  <c r="W147" i="2"/>
  <c r="W148" i="2"/>
  <c r="W146" i="2"/>
  <c r="Q147" i="2"/>
  <c r="Q146" i="2"/>
  <c r="Q148" i="2"/>
  <c r="W149" i="2"/>
  <c r="AA147" i="2" l="1"/>
  <c r="AB147" i="2" s="1"/>
  <c r="AA149" i="2"/>
  <c r="AB149" i="2" s="1"/>
  <c r="AA148" i="2"/>
  <c r="AB148" i="2" s="1"/>
  <c r="AA146" i="2"/>
  <c r="AB146" i="2" s="1"/>
  <c r="O151" i="2" a="1"/>
  <c r="P152" i="2" a="1"/>
  <c r="O150" i="2" a="1"/>
  <c r="P150" i="2" a="1"/>
  <c r="O153" i="2" a="1"/>
  <c r="P153" i="2" a="1"/>
  <c r="P151" i="2" a="1"/>
  <c r="O152" i="2" a="1"/>
  <c r="W152" i="2" s="1"/>
  <c r="W150" i="2" l="1"/>
  <c r="W153" i="2"/>
  <c r="Q151" i="2"/>
  <c r="W151" i="2"/>
  <c r="Q152" i="2"/>
  <c r="AA152" i="2" s="1"/>
  <c r="AB152" i="2" s="1"/>
  <c r="Q150" i="2"/>
  <c r="Q153" i="2"/>
  <c r="AA153" i="2" l="1"/>
  <c r="AB153" i="2" s="1"/>
  <c r="AA151" i="2"/>
  <c r="AB151" i="2" s="1"/>
  <c r="AA150" i="2"/>
  <c r="AB150" i="2" s="1"/>
  <c r="O157" i="2" a="1"/>
  <c r="O156" i="2" a="1"/>
  <c r="P156" i="2" a="1"/>
  <c r="P154" i="2" a="1"/>
  <c r="O155" i="2" a="1"/>
  <c r="P155" i="2" a="1"/>
  <c r="O154" i="2" a="1"/>
  <c r="P157" i="2" a="1"/>
  <c r="Q157" i="2" s="1"/>
  <c r="O158" i="2" a="1"/>
  <c r="P159" i="2" a="1"/>
  <c r="P158" i="2" a="1"/>
  <c r="O159" i="2" a="1"/>
  <c r="Q158" i="2" l="1"/>
  <c r="Q154" i="2"/>
  <c r="W156" i="2"/>
  <c r="Q155" i="2"/>
  <c r="Q159" i="2"/>
  <c r="W157" i="2"/>
  <c r="AA157" i="2" s="1"/>
  <c r="AB157" i="2" s="1"/>
  <c r="Q156" i="2"/>
  <c r="W155" i="2"/>
  <c r="W154" i="2"/>
  <c r="W158" i="2"/>
  <c r="W159" i="2"/>
  <c r="AA156" i="2" l="1"/>
  <c r="AB156" i="2" s="1"/>
  <c r="AA154" i="2"/>
  <c r="AB154" i="2" s="1"/>
  <c r="AA155" i="2"/>
  <c r="AB155" i="2" s="1"/>
  <c r="AA158" i="2"/>
  <c r="AB158" i="2" s="1"/>
  <c r="AA159" i="2"/>
  <c r="AB159" i="2" s="1"/>
  <c r="P160" i="2" a="1"/>
  <c r="P161" i="2" a="1"/>
  <c r="O161" i="2" a="1"/>
  <c r="O160" i="2" a="1"/>
  <c r="W160" i="2" l="1"/>
  <c r="Q161" i="2"/>
  <c r="W161" i="2"/>
  <c r="Q160" i="2"/>
  <c r="P166" i="2" a="1"/>
  <c r="P167" i="2" a="1"/>
  <c r="AA160" i="2" l="1"/>
  <c r="AB160" i="2" s="1"/>
  <c r="AA161" i="2"/>
  <c r="AB161" i="2" s="1"/>
  <c r="O164" i="2" a="1"/>
  <c r="P165" i="2" a="1"/>
  <c r="P162" i="2" a="1"/>
  <c r="O162" i="2" a="1"/>
  <c r="P163" i="2" a="1"/>
  <c r="O163" i="2" a="1"/>
  <c r="P164" i="2" a="1"/>
  <c r="O165" i="2" a="1"/>
  <c r="O166" i="2" a="1"/>
  <c r="O167" i="2" a="1"/>
  <c r="Q164" i="2" l="1"/>
  <c r="W162" i="2"/>
  <c r="W165" i="2"/>
  <c r="Q162" i="2"/>
  <c r="W163" i="2"/>
  <c r="W166" i="2"/>
  <c r="Q166" i="2"/>
  <c r="W167" i="2"/>
  <c r="Q167" i="2"/>
  <c r="W164" i="2"/>
  <c r="Q163" i="2"/>
  <c r="Q165" i="2"/>
  <c r="AA162" i="2" l="1"/>
  <c r="AB162" i="2" s="1"/>
  <c r="AA166" i="2"/>
  <c r="AB166" i="2" s="1"/>
  <c r="AA164" i="2"/>
  <c r="AB164" i="2" s="1"/>
  <c r="AA165" i="2"/>
  <c r="AB165" i="2" s="1"/>
  <c r="AA163" i="2"/>
  <c r="AB163" i="2" s="1"/>
  <c r="AA167" i="2"/>
  <c r="AB167" i="2" s="1"/>
  <c r="P168" i="2" a="1"/>
  <c r="O169" i="2" a="1"/>
  <c r="P169" i="2" a="1"/>
  <c r="O168" i="2" a="1"/>
  <c r="P170" i="2" a="1"/>
  <c r="P171" i="2" a="1"/>
  <c r="O170" i="2" a="1"/>
  <c r="O171" i="2" a="1"/>
  <c r="Q168" i="2" l="1"/>
  <c r="W169" i="2"/>
  <c r="Q169" i="2"/>
  <c r="W168" i="2"/>
  <c r="W170" i="2"/>
  <c r="W171" i="2"/>
  <c r="Q171" i="2"/>
  <c r="Q170" i="2"/>
  <c r="AA171" i="2" l="1"/>
  <c r="AB171" i="2" s="1"/>
  <c r="AA168" i="2"/>
  <c r="AB168" i="2" s="1"/>
  <c r="AA170" i="2"/>
  <c r="AB170" i="2" s="1"/>
  <c r="AA169" i="2"/>
  <c r="AB169" i="2" s="1"/>
  <c r="P173" i="2" a="1"/>
  <c r="O173" i="2" a="1"/>
  <c r="P172" i="2" a="1"/>
  <c r="O172" i="2" a="1"/>
  <c r="P174" i="2" a="1"/>
  <c r="O174" i="2" a="1"/>
  <c r="P175" i="2" a="1"/>
  <c r="O175" i="2" a="1"/>
  <c r="Q172" i="2" l="1"/>
  <c r="W173" i="2"/>
  <c r="Q173" i="2"/>
  <c r="W172" i="2"/>
  <c r="W174" i="2"/>
  <c r="Q175" i="2"/>
  <c r="Q174" i="2"/>
  <c r="W175" i="2"/>
  <c r="AA173" i="2" l="1"/>
  <c r="AB173" i="2" s="1"/>
  <c r="AA172" i="2"/>
  <c r="AB172" i="2" s="1"/>
  <c r="AA174" i="2"/>
  <c r="AB174" i="2" s="1"/>
  <c r="AA175" i="2"/>
  <c r="AB175" i="2" s="1"/>
  <c r="O176" i="2" a="1"/>
  <c r="O177" i="2" a="1"/>
  <c r="P176" i="2" a="1"/>
  <c r="P177" i="2" a="1"/>
  <c r="W177" i="2" l="1"/>
  <c r="Q176" i="2"/>
  <c r="W176" i="2"/>
  <c r="Q177" i="2"/>
  <c r="AA176" i="2" l="1"/>
  <c r="AB176" i="2" s="1"/>
  <c r="AA177" i="2"/>
  <c r="AB177" i="2" s="1"/>
  <c r="P181" i="2" l="1" a="1"/>
  <c r="P178" i="2" a="1"/>
  <c r="P179" i="2" a="1"/>
  <c r="O179" i="2" a="1"/>
  <c r="O178" i="2" a="1"/>
  <c r="P180" i="2" a="1"/>
  <c r="O181" i="2" a="1"/>
  <c r="O180" i="2" a="1"/>
  <c r="Q180" i="2" l="1"/>
  <c r="W179" i="2"/>
  <c r="W178" i="2"/>
  <c r="W181" i="2"/>
  <c r="Q178" i="2"/>
  <c r="W180" i="2"/>
  <c r="Q181" i="2"/>
  <c r="Q179" i="2"/>
  <c r="O183" i="2" a="1"/>
  <c r="P182" i="2" a="1"/>
  <c r="P183" i="2" a="1"/>
  <c r="O182" i="2" a="1"/>
  <c r="O185" i="2" a="1"/>
  <c r="P185" i="2" a="1"/>
  <c r="O184" i="2" a="1"/>
  <c r="P184" i="2" a="1"/>
  <c r="Q183" i="2" l="1"/>
  <c r="AA180" i="2"/>
  <c r="AB180" i="2" s="1"/>
  <c r="AA178" i="2"/>
  <c r="AB178" i="2" s="1"/>
  <c r="AA179" i="2"/>
  <c r="AB179" i="2" s="1"/>
  <c r="AA181" i="2"/>
  <c r="AB181" i="2" s="1"/>
  <c r="W182" i="2"/>
  <c r="W183" i="2"/>
  <c r="Q182" i="2"/>
  <c r="W184" i="2"/>
  <c r="Q185" i="2"/>
  <c r="W185" i="2"/>
  <c r="Q184" i="2"/>
  <c r="AA183" i="2" l="1"/>
  <c r="AB183" i="2" s="1"/>
  <c r="AA182" i="2"/>
  <c r="AB182" i="2" s="1"/>
  <c r="AA185" i="2"/>
  <c r="AB185" i="2" s="1"/>
  <c r="AA184" i="2"/>
  <c r="AB184" i="2" s="1"/>
  <c r="O188" i="2" a="1"/>
  <c r="O190" i="2" a="1"/>
  <c r="P191" i="2" a="1"/>
  <c r="P192" i="2" a="1"/>
  <c r="O192" i="2" a="1"/>
  <c r="O193" i="2" a="1"/>
  <c r="O189" i="2" l="1" a="1"/>
  <c r="P189" i="2" a="1"/>
  <c r="P188" i="2" a="1"/>
  <c r="O191" i="2" a="1"/>
  <c r="P190" i="2" a="1"/>
  <c r="P193" i="2" a="1"/>
  <c r="P186" i="2" a="1"/>
  <c r="O186" i="2" a="1"/>
  <c r="P187" i="2" a="1"/>
  <c r="O187" i="2" a="1"/>
  <c r="W192" i="2"/>
  <c r="Q192" i="2"/>
  <c r="Q189" i="2" l="1"/>
  <c r="Q186" i="2"/>
  <c r="W189" i="2"/>
  <c r="W187" i="2"/>
  <c r="Q187" i="2"/>
  <c r="W186" i="2"/>
  <c r="W188" i="2"/>
  <c r="Q188" i="2"/>
  <c r="Q191" i="2"/>
  <c r="W191" i="2"/>
  <c r="W190" i="2"/>
  <c r="Q190" i="2"/>
  <c r="W193" i="2"/>
  <c r="Q193" i="2"/>
  <c r="AA192" i="2"/>
  <c r="AB192" i="2" s="1"/>
  <c r="AA191" i="2" l="1"/>
  <c r="AB191" i="2" s="1"/>
  <c r="AA189" i="2"/>
  <c r="AB189" i="2" s="1"/>
  <c r="AA187" i="2"/>
  <c r="AB187" i="2" s="1"/>
  <c r="AA186" i="2"/>
  <c r="AB186" i="2" s="1"/>
  <c r="AA188" i="2"/>
  <c r="AB188" i="2" s="1"/>
  <c r="AA190" i="2"/>
  <c r="AB190" i="2" s="1"/>
  <c r="AA193" i="2"/>
  <c r="AB193" i="2" s="1"/>
  <c r="O194" i="2" a="1"/>
  <c r="P194" i="2" a="1"/>
  <c r="P195" i="2" a="1"/>
  <c r="O195" i="2" a="1"/>
  <c r="Q194" i="2" l="1"/>
  <c r="Q195" i="2"/>
  <c r="W194" i="2"/>
  <c r="W195" i="2"/>
  <c r="O196" i="2" a="1"/>
  <c r="O197" i="2" a="1"/>
  <c r="P197" i="2" a="1"/>
  <c r="P196" i="2" a="1"/>
  <c r="P201" i="2" a="1"/>
  <c r="O200" i="2" a="1"/>
  <c r="P198" i="2" a="1"/>
  <c r="O199" i="2" a="1"/>
  <c r="P199" i="2" a="1"/>
  <c r="P200" i="2" a="1"/>
  <c r="O198" i="2" a="1"/>
  <c r="O201" i="2" a="1"/>
  <c r="W201" i="2" l="1"/>
  <c r="AA194" i="2"/>
  <c r="AB194" i="2" s="1"/>
  <c r="Q196" i="2"/>
  <c r="AA195" i="2"/>
  <c r="AB195" i="2" s="1"/>
  <c r="W197" i="2"/>
  <c r="Q200" i="2"/>
  <c r="W199" i="2"/>
  <c r="W198" i="2"/>
  <c r="W196" i="2"/>
  <c r="Q197" i="2"/>
  <c r="Q201" i="2"/>
  <c r="W200" i="2"/>
  <c r="Q198" i="2"/>
  <c r="Q199" i="2"/>
  <c r="P203" i="2" a="1"/>
  <c r="P202" i="2" a="1"/>
  <c r="O203" i="2" a="1"/>
  <c r="O202" i="2" a="1"/>
  <c r="AA201" i="2" l="1"/>
  <c r="AB201" i="2" s="1"/>
  <c r="AA196" i="2"/>
  <c r="AB196" i="2" s="1"/>
  <c r="AA197" i="2"/>
  <c r="AB197" i="2" s="1"/>
  <c r="AA200" i="2"/>
  <c r="AB200" i="2" s="1"/>
  <c r="AA198" i="2"/>
  <c r="AB198" i="2" s="1"/>
  <c r="AA199" i="2"/>
  <c r="AB199" i="2" s="1"/>
  <c r="Q202" i="2"/>
  <c r="Q203" i="2"/>
  <c r="W203" i="2"/>
  <c r="W202" i="2"/>
  <c r="AA203" i="2" l="1"/>
  <c r="AB203" i="2" s="1"/>
  <c r="AA202" i="2"/>
  <c r="AB202" i="2" s="1"/>
  <c r="O209" i="2" a="1"/>
  <c r="O208" i="2" a="1"/>
  <c r="P209" i="2" a="1"/>
  <c r="P208" i="2" a="1"/>
  <c r="P206" i="2" l="1" a="1"/>
  <c r="O207" i="2" a="1"/>
  <c r="P207" i="2" a="1"/>
  <c r="O204" i="2" a="1"/>
  <c r="O206" i="2" a="1"/>
  <c r="P205" i="2" a="1"/>
  <c r="O205" i="2" a="1"/>
  <c r="P204" i="2" a="1"/>
  <c r="Q208" i="2"/>
  <c r="W209" i="2"/>
  <c r="W208" i="2"/>
  <c r="Q209" i="2"/>
  <c r="W204" i="2" l="1"/>
  <c r="W205" i="2"/>
  <c r="Q206" i="2"/>
  <c r="Q207" i="2"/>
  <c r="W207" i="2"/>
  <c r="W206" i="2"/>
  <c r="Q205" i="2"/>
  <c r="Q204" i="2"/>
  <c r="AA208" i="2"/>
  <c r="AB208" i="2" s="1"/>
  <c r="AA209" i="2"/>
  <c r="AB209" i="2" s="1"/>
  <c r="AA206" i="2" l="1"/>
  <c r="AB206" i="2" s="1"/>
  <c r="AA204" i="2"/>
  <c r="AB204" i="2" s="1"/>
  <c r="AA207" i="2"/>
  <c r="AB207" i="2" s="1"/>
  <c r="AA205" i="2"/>
  <c r="AB205" i="2" s="1"/>
  <c r="O211" i="2" a="1"/>
  <c r="O210" i="2" a="1"/>
  <c r="P211" i="2" a="1"/>
  <c r="P210" i="2" a="1"/>
  <c r="W210" i="2" l="1"/>
  <c r="Q211" i="2"/>
  <c r="W211" i="2"/>
  <c r="Q210" i="2"/>
  <c r="AA210" i="2" l="1"/>
  <c r="AB210" i="2" s="1"/>
  <c r="AA211" i="2"/>
  <c r="AB211" i="2" s="1"/>
  <c r="P212" i="2" l="1" a="1"/>
  <c r="O212" i="2" a="1"/>
  <c r="O213" i="2" a="1"/>
  <c r="P213" i="2" a="1"/>
  <c r="W213" i="2" l="1"/>
  <c r="W212" i="2"/>
  <c r="Q213" i="2"/>
  <c r="Q212" i="2"/>
  <c r="AA213" i="2" l="1"/>
  <c r="AB213" i="2" s="1"/>
  <c r="AA212" i="2"/>
  <c r="AB212" i="2" s="1"/>
  <c r="P218" i="2" l="1" a="1"/>
  <c r="O217" i="2" a="1"/>
  <c r="P216" i="2" a="1"/>
  <c r="P219" i="2" a="1"/>
  <c r="O218" i="2" a="1"/>
  <c r="O219" i="2" a="1"/>
  <c r="O215" i="2" a="1"/>
  <c r="P214" i="2" a="1"/>
  <c r="P215" i="2" a="1"/>
  <c r="O214" i="2" a="1"/>
  <c r="O216" i="2" a="1"/>
  <c r="P217" i="2" a="1"/>
  <c r="W218" i="2" l="1"/>
  <c r="Q219" i="2"/>
  <c r="Q214" i="2"/>
  <c r="Q218" i="2"/>
  <c r="W215" i="2"/>
  <c r="W219" i="2"/>
  <c r="Q215" i="2"/>
  <c r="W214" i="2"/>
  <c r="Q216" i="2"/>
  <c r="W216" i="2"/>
  <c r="Q217" i="2"/>
  <c r="W217" i="2"/>
  <c r="AA218" i="2" l="1"/>
  <c r="AB218" i="2" s="1"/>
  <c r="AA219" i="2"/>
  <c r="AB219" i="2" s="1"/>
  <c r="AA214" i="2"/>
  <c r="AB214" i="2" s="1"/>
  <c r="AA217" i="2"/>
  <c r="AB217" i="2" s="1"/>
  <c r="AA215" i="2"/>
  <c r="AB215" i="2" s="1"/>
  <c r="P222" i="2" a="1"/>
  <c r="O220" i="2" a="1"/>
  <c r="P221" i="2" a="1"/>
  <c r="P220" i="2" a="1"/>
  <c r="O223" i="2" a="1"/>
  <c r="O222" i="2" a="1"/>
  <c r="O221" i="2" a="1"/>
  <c r="P223" i="2" a="1"/>
  <c r="AA216" i="2"/>
  <c r="AB216" i="2" s="1"/>
  <c r="W222" i="2" l="1"/>
  <c r="W220" i="2"/>
  <c r="Q223" i="2"/>
  <c r="Q221" i="2"/>
  <c r="Q222" i="2"/>
  <c r="W223" i="2"/>
  <c r="W221" i="2"/>
  <c r="Q220" i="2"/>
  <c r="AA222" i="2" l="1"/>
  <c r="AB222" i="2" s="1"/>
  <c r="AA223" i="2"/>
  <c r="AB223" i="2" s="1"/>
  <c r="AA221" i="2"/>
  <c r="AB221" i="2" s="1"/>
  <c r="AA220" i="2"/>
  <c r="AB220" i="2" s="1"/>
  <c r="O226" i="2" a="1"/>
  <c r="O224" i="2" a="1"/>
  <c r="P225" i="2" a="1"/>
  <c r="O225" i="2" a="1"/>
  <c r="P224" i="2" a="1"/>
  <c r="P227" i="2" a="1"/>
  <c r="P226" i="2" a="1"/>
  <c r="O227" i="2" a="1"/>
  <c r="W226" i="2" l="1"/>
  <c r="W224" i="2"/>
  <c r="W225" i="2"/>
  <c r="Q227" i="2"/>
  <c r="Q226" i="2"/>
  <c r="Q225" i="2"/>
  <c r="Q224" i="2"/>
  <c r="W227" i="2"/>
  <c r="AA226" i="2" l="1"/>
  <c r="AB226" i="2" s="1"/>
  <c r="AA225" i="2"/>
  <c r="AB225" i="2" s="1"/>
  <c r="AA224" i="2"/>
  <c r="AB224" i="2" s="1"/>
  <c r="AA227" i="2"/>
  <c r="AB227" i="2" s="1"/>
  <c r="O228" i="2" l="1" a="1"/>
  <c r="P229" i="2" a="1"/>
  <c r="O229" i="2" a="1"/>
  <c r="P228" i="2" a="1"/>
  <c r="O231" i="2" a="1"/>
  <c r="P230" i="2" a="1"/>
  <c r="O230" i="2" a="1"/>
  <c r="P231" i="2" a="1"/>
  <c r="Q229" i="2" l="1"/>
  <c r="W228" i="2"/>
  <c r="W229" i="2"/>
  <c r="Q228" i="2"/>
  <c r="W231" i="2"/>
  <c r="Q230" i="2"/>
  <c r="W230" i="2"/>
  <c r="Q231" i="2"/>
  <c r="AA228" i="2" l="1"/>
  <c r="AB228" i="2" s="1"/>
  <c r="AA229" i="2"/>
  <c r="AB229" i="2" s="1"/>
  <c r="AA230" i="2"/>
  <c r="AB230" i="2" s="1"/>
  <c r="AA231" i="2"/>
  <c r="AB231" i="2" s="1"/>
  <c r="P233" i="2" l="1" a="1"/>
  <c r="O232" i="2" a="1"/>
  <c r="P232" i="2" a="1"/>
  <c r="O233" i="2" a="1"/>
  <c r="P234" i="2" a="1"/>
  <c r="P235" i="2" a="1"/>
  <c r="O234" i="2" a="1"/>
  <c r="O235" i="2" a="1"/>
  <c r="Q233" i="2" l="1"/>
  <c r="Q232" i="2"/>
  <c r="W232" i="2"/>
  <c r="W233" i="2"/>
  <c r="Q234" i="2"/>
  <c r="Q235" i="2"/>
  <c r="W234" i="2"/>
  <c r="W235" i="2"/>
  <c r="AA233" i="2" l="1"/>
  <c r="AB233" i="2" s="1"/>
  <c r="AA232" i="2"/>
  <c r="AB232" i="2" s="1"/>
  <c r="AA234" i="2"/>
  <c r="AB234" i="2" s="1"/>
  <c r="AA235" i="2"/>
  <c r="AB235" i="2" s="1"/>
  <c r="P236" i="2" l="1" a="1"/>
  <c r="P237" i="2" a="1"/>
  <c r="O236" i="2" a="1"/>
  <c r="O237" i="2" a="1"/>
  <c r="Q237" i="2" l="1"/>
  <c r="W236" i="2"/>
  <c r="Q236" i="2"/>
  <c r="W237" i="2"/>
  <c r="AA237" i="2" l="1"/>
  <c r="AB237" i="2" s="1"/>
  <c r="AA236" i="2"/>
  <c r="AB236" i="2" s="1"/>
  <c r="P239" i="2" l="1" a="1"/>
  <c r="P238" i="2" a="1"/>
  <c r="O239" i="2" a="1"/>
  <c r="O238" i="2" a="1"/>
  <c r="Q238" i="2" l="1"/>
  <c r="W239" i="2"/>
  <c r="W238" i="2"/>
  <c r="Q239" i="2"/>
  <c r="AA238" i="2" l="1"/>
  <c r="AB238" i="2" s="1"/>
  <c r="AA239" i="2"/>
  <c r="AB239" i="2" s="1"/>
  <c r="O240" i="2" a="1"/>
  <c r="P240" i="2" a="1"/>
  <c r="O241" i="2" a="1"/>
  <c r="P241" i="2" a="1"/>
  <c r="W240" i="2" l="1"/>
  <c r="Q241" i="2"/>
  <c r="W241" i="2"/>
  <c r="Q240" i="2"/>
  <c r="AA240" i="2" l="1"/>
  <c r="AB240" i="2" s="1"/>
  <c r="AA241" i="2"/>
  <c r="AB241" i="2" s="1"/>
  <c r="P242" i="2" l="1" a="1"/>
  <c r="O242" i="2" a="1"/>
  <c r="O245" i="2" a="1"/>
  <c r="O243" i="2" a="1"/>
  <c r="P245" i="2" a="1"/>
  <c r="O244" i="2" a="1"/>
  <c r="P244" i="2" a="1"/>
  <c r="P243" i="2" a="1"/>
  <c r="W242" i="2" l="1"/>
  <c r="Q245" i="2"/>
  <c r="Q244" i="2"/>
  <c r="Q243" i="2"/>
  <c r="W245" i="2"/>
  <c r="W243" i="2"/>
  <c r="W244" i="2"/>
  <c r="Q242" i="2"/>
  <c r="O251" i="2" a="1"/>
  <c r="O252" i="2" a="1"/>
  <c r="P252" i="2" a="1"/>
  <c r="O253" i="2" a="1"/>
  <c r="AA242" i="2" l="1"/>
  <c r="AB242" i="2" s="1"/>
  <c r="AA245" i="2"/>
  <c r="AB245" i="2" s="1"/>
  <c r="AA244" i="2"/>
  <c r="AB244" i="2" s="1"/>
  <c r="AA243" i="2"/>
  <c r="AB243" i="2" s="1"/>
  <c r="P246" i="2" a="1"/>
  <c r="P247" i="2" a="1"/>
  <c r="O247" i="2" a="1"/>
  <c r="O246" i="2" a="1"/>
  <c r="O248" i="2" a="1"/>
  <c r="P250" i="2" a="1"/>
  <c r="P249" i="2" a="1"/>
  <c r="O249" i="2" a="1"/>
  <c r="O250" i="2" a="1"/>
  <c r="P248" i="2" a="1"/>
  <c r="P251" i="2" a="1"/>
  <c r="P253" i="2" a="1"/>
  <c r="Q252" i="2"/>
  <c r="W252" i="2"/>
  <c r="W250" i="2" l="1"/>
  <c r="Q249" i="2"/>
  <c r="W247" i="2"/>
  <c r="W246" i="2"/>
  <c r="Q250" i="2"/>
  <c r="W249" i="2"/>
  <c r="Q246" i="2"/>
  <c r="Q247" i="2"/>
  <c r="W248" i="2"/>
  <c r="Q248" i="2"/>
  <c r="Q251" i="2"/>
  <c r="W251" i="2"/>
  <c r="Q253" i="2"/>
  <c r="W253" i="2"/>
  <c r="AA252" i="2"/>
  <c r="AB252" i="2" s="1"/>
  <c r="AA250" i="2" l="1"/>
  <c r="AB250" i="2" s="1"/>
  <c r="AA249" i="2"/>
  <c r="AB249" i="2" s="1"/>
  <c r="AA246" i="2"/>
  <c r="AB246" i="2" s="1"/>
  <c r="AA253" i="2"/>
  <c r="AB253" i="2" s="1"/>
  <c r="AA251" i="2"/>
  <c r="AB251" i="2" s="1"/>
  <c r="AA247" i="2"/>
  <c r="AB247" i="2" s="1"/>
  <c r="AA248" i="2"/>
  <c r="AB248" i="2" s="1"/>
  <c r="O254" i="2" a="1"/>
  <c r="O255" i="2" a="1"/>
  <c r="P254" i="2" a="1"/>
  <c r="P255" i="2" a="1"/>
  <c r="Q255" i="2" l="1"/>
  <c r="Q254" i="2"/>
  <c r="W255" i="2"/>
  <c r="W254" i="2"/>
  <c r="O260" i="2" a="1"/>
  <c r="O261" i="2" a="1"/>
  <c r="O259" i="2" a="1"/>
  <c r="P259" i="2" a="1"/>
  <c r="P258" i="2" a="1"/>
  <c r="O258" i="2" a="1"/>
  <c r="P261" i="2" a="1"/>
  <c r="P260" i="2" a="1"/>
  <c r="AA255" i="2" l="1"/>
  <c r="AB255" i="2" s="1"/>
  <c r="AA254" i="2"/>
  <c r="AB254" i="2" s="1"/>
  <c r="O256" i="2" a="1"/>
  <c r="P256" i="2" a="1"/>
  <c r="O257" i="2" a="1"/>
  <c r="P257" i="2" a="1"/>
  <c r="W258" i="2"/>
  <c r="Q260" i="2"/>
  <c r="W261" i="2"/>
  <c r="W259" i="2"/>
  <c r="W260" i="2"/>
  <c r="Q259" i="2"/>
  <c r="Q258" i="2"/>
  <c r="Q261" i="2"/>
  <c r="W257" i="2" l="1"/>
  <c r="Q256" i="2"/>
  <c r="AA258" i="2"/>
  <c r="AB258" i="2" s="1"/>
  <c r="Q257" i="2"/>
  <c r="W256" i="2"/>
  <c r="AA260" i="2"/>
  <c r="AB260" i="2" s="1"/>
  <c r="AA261" i="2"/>
  <c r="AB261" i="2" s="1"/>
  <c r="AA259" i="2"/>
  <c r="AB259" i="2" s="1"/>
  <c r="P262" i="2" a="1"/>
  <c r="O262" i="2" a="1"/>
  <c r="P263" i="2" a="1"/>
  <c r="O263" i="2" a="1"/>
  <c r="AA257" i="2" l="1"/>
  <c r="AB257" i="2" s="1"/>
  <c r="AA256" i="2"/>
  <c r="AB256" i="2" s="1"/>
  <c r="W262" i="2"/>
  <c r="W263" i="2"/>
  <c r="Q262" i="2"/>
  <c r="Q263" i="2"/>
  <c r="AA262" i="2" l="1"/>
  <c r="AB262" i="2" s="1"/>
  <c r="AA263" i="2"/>
  <c r="AB263" i="2" s="1"/>
  <c r="P266" i="2" l="1" a="1"/>
  <c r="O264" i="2" a="1"/>
  <c r="O266" i="2" a="1"/>
  <c r="P267" i="2" a="1"/>
  <c r="O265" i="2" a="1"/>
  <c r="O267" i="2" a="1"/>
  <c r="P264" i="2" a="1"/>
  <c r="P265" i="2" a="1"/>
  <c r="W265" i="2" l="1"/>
  <c r="W264" i="2"/>
  <c r="W266" i="2"/>
  <c r="W267" i="2"/>
  <c r="Q266" i="2"/>
  <c r="Q267" i="2"/>
  <c r="Q264" i="2"/>
  <c r="Q265" i="2"/>
  <c r="P277" i="2" a="1"/>
  <c r="O276" i="2" a="1"/>
  <c r="AA266" i="2" l="1"/>
  <c r="AB266" i="2" s="1"/>
  <c r="AA265" i="2"/>
  <c r="AB265" i="2" s="1"/>
  <c r="AA267" i="2"/>
  <c r="AB267" i="2" s="1"/>
  <c r="AA264" i="2"/>
  <c r="AB264" i="2" s="1"/>
  <c r="O268" i="2" a="1"/>
  <c r="O273" i="2" a="1"/>
  <c r="P270" i="2" a="1"/>
  <c r="P271" i="2" a="1"/>
  <c r="P269" i="2" a="1"/>
  <c r="P268" i="2" a="1"/>
  <c r="P273" i="2" a="1"/>
  <c r="Q273" i="2" s="1"/>
  <c r="P272" i="2" a="1"/>
  <c r="O272" i="2" a="1"/>
  <c r="O271" i="2" a="1"/>
  <c r="O269" i="2" a="1"/>
  <c r="O270" i="2" a="1"/>
  <c r="O274" i="2" a="1"/>
  <c r="P275" i="2" a="1"/>
  <c r="O275" i="2" a="1"/>
  <c r="P274" i="2" a="1"/>
  <c r="Q268" i="2" l="1"/>
  <c r="W271" i="2"/>
  <c r="O277" i="2" a="1"/>
  <c r="P276" i="2" a="1"/>
  <c r="W272" i="2"/>
  <c r="W269" i="2"/>
  <c r="W270" i="2"/>
  <c r="W268" i="2"/>
  <c r="W273" i="2"/>
  <c r="AA273" i="2" s="1"/>
  <c r="AB273" i="2" s="1"/>
  <c r="Q270" i="2"/>
  <c r="Q271" i="2"/>
  <c r="Q269" i="2"/>
  <c r="Q272" i="2"/>
  <c r="W275" i="2"/>
  <c r="Q275" i="2"/>
  <c r="W274" i="2"/>
  <c r="Q274" i="2"/>
  <c r="AA268" i="2" l="1"/>
  <c r="AB268" i="2" s="1"/>
  <c r="AA271" i="2"/>
  <c r="AB271" i="2" s="1"/>
  <c r="AA274" i="2"/>
  <c r="AB274" i="2" s="1"/>
  <c r="Q277" i="2"/>
  <c r="W277" i="2"/>
  <c r="Q276" i="2"/>
  <c r="W276" i="2"/>
  <c r="AA272" i="2"/>
  <c r="AB272" i="2" s="1"/>
  <c r="AA269" i="2"/>
  <c r="AB269" i="2" s="1"/>
  <c r="AA270" i="2"/>
  <c r="AB270" i="2" s="1"/>
  <c r="AA275" i="2"/>
  <c r="AB275" i="2" s="1"/>
  <c r="O278" i="2" a="1"/>
  <c r="P279" i="2" a="1"/>
  <c r="O279" i="2" a="1"/>
  <c r="P278" i="2" a="1"/>
  <c r="AA277" i="2" l="1"/>
  <c r="AB277" i="2" s="1"/>
  <c r="AA276" i="2"/>
  <c r="AB276" i="2" s="1"/>
  <c r="Q279" i="2"/>
  <c r="Q278" i="2"/>
  <c r="W278" i="2"/>
  <c r="W279" i="2"/>
  <c r="AA279" i="2" l="1"/>
  <c r="AB279" i="2" s="1"/>
  <c r="AA278" i="2"/>
  <c r="AB278" i="2" s="1"/>
  <c r="O280" i="2" l="1" a="1"/>
  <c r="P281" i="2" a="1"/>
  <c r="P280" i="2" a="1"/>
  <c r="O281" i="2" a="1"/>
  <c r="O283" i="2" a="1"/>
  <c r="P282" i="2" a="1"/>
  <c r="O282" i="2" a="1"/>
  <c r="P283" i="2" a="1"/>
  <c r="W280" i="2" l="1"/>
  <c r="W281" i="2"/>
  <c r="Q281" i="2"/>
  <c r="Q280" i="2"/>
  <c r="W282" i="2"/>
  <c r="Q283" i="2"/>
  <c r="W283" i="2"/>
  <c r="Q282" i="2"/>
  <c r="AA280" i="2" l="1"/>
  <c r="AB280" i="2" s="1"/>
  <c r="AA281" i="2"/>
  <c r="AB281" i="2" s="1"/>
  <c r="AA282" i="2"/>
  <c r="AB282" i="2" s="1"/>
  <c r="AA283" i="2"/>
  <c r="AB283" i="2" s="1"/>
  <c r="P285" i="2" l="1" a="1"/>
  <c r="O284" i="2" a="1"/>
  <c r="O285" i="2" a="1"/>
  <c r="P284" i="2" a="1"/>
  <c r="W284" i="2" l="1"/>
  <c r="Q285" i="2"/>
  <c r="Q284" i="2"/>
  <c r="W285" i="2"/>
  <c r="AA284" i="2" l="1"/>
  <c r="AB284" i="2" s="1"/>
  <c r="AA285" i="2"/>
  <c r="AB285" i="2" s="1"/>
  <c r="O288" i="2" a="1"/>
  <c r="P288" i="2" a="1"/>
  <c r="O289" i="2" a="1"/>
  <c r="O287" i="2" a="1"/>
  <c r="P286" i="2" a="1"/>
  <c r="O286" i="2" a="1"/>
  <c r="P287" i="2" a="1"/>
  <c r="P289" i="2" a="1"/>
  <c r="W289" i="2" l="1"/>
  <c r="Q288" i="2"/>
  <c r="W286" i="2"/>
  <c r="Q287" i="2"/>
  <c r="W288" i="2"/>
  <c r="W287" i="2"/>
  <c r="Q286" i="2"/>
  <c r="Q289" i="2"/>
  <c r="AA287" i="2" l="1"/>
  <c r="AB287" i="2" s="1"/>
  <c r="AA289" i="2"/>
  <c r="AB289" i="2" s="1"/>
  <c r="AA288" i="2"/>
  <c r="AB288" i="2" s="1"/>
  <c r="AA286" i="2"/>
  <c r="AB286" i="2" s="1"/>
  <c r="P292" i="2" a="1"/>
  <c r="O293" i="2" a="1"/>
  <c r="P293" i="2" a="1"/>
  <c r="O292" i="2" a="1"/>
  <c r="O291" i="2" l="1" a="1"/>
  <c r="P290" i="2" a="1"/>
  <c r="O290" i="2" a="1"/>
  <c r="P291" i="2" a="1"/>
  <c r="Q293" i="2"/>
  <c r="Q292" i="2"/>
  <c r="W293" i="2"/>
  <c r="W292" i="2"/>
  <c r="O295" i="2" a="1"/>
  <c r="P294" i="2" a="1"/>
  <c r="O294" i="2" a="1"/>
  <c r="P295" i="2" a="1"/>
  <c r="W290" i="2" l="1"/>
  <c r="Q291" i="2"/>
  <c r="W291" i="2"/>
  <c r="Q290" i="2"/>
  <c r="AA293" i="2"/>
  <c r="AB293" i="2" s="1"/>
  <c r="O297" i="2" a="1"/>
  <c r="P296" i="2" a="1"/>
  <c r="P297" i="2" a="1"/>
  <c r="O296" i="2" a="1"/>
  <c r="AA292" i="2"/>
  <c r="AB292" i="2" s="1"/>
  <c r="Q295" i="2"/>
  <c r="W294" i="2"/>
  <c r="W295" i="2"/>
  <c r="Q294" i="2"/>
  <c r="AA291" i="2" l="1"/>
  <c r="AB291" i="2" s="1"/>
  <c r="AA290" i="2"/>
  <c r="AB290" i="2" s="1"/>
  <c r="Q297" i="2"/>
  <c r="W296" i="2"/>
  <c r="W297" i="2"/>
  <c r="Q296" i="2"/>
  <c r="AA295" i="2"/>
  <c r="AB295" i="2" s="1"/>
  <c r="AA294" i="2"/>
  <c r="AB294" i="2" s="1"/>
  <c r="AA297" i="2" l="1"/>
  <c r="AB297" i="2" s="1"/>
  <c r="AA296" i="2"/>
  <c r="AB296" i="2" s="1"/>
  <c r="P299" i="2" a="1"/>
  <c r="O298" i="2" a="1"/>
  <c r="O299" i="2" a="1"/>
  <c r="P298" i="2" a="1"/>
  <c r="Q299" i="2" l="1"/>
  <c r="W298" i="2"/>
  <c r="W299" i="2"/>
  <c r="Q298" i="2"/>
  <c r="AA298" i="2" l="1"/>
  <c r="AB298" i="2" s="1"/>
  <c r="AA299" i="2"/>
  <c r="AB299" i="2" s="1"/>
  <c r="P301" i="2" a="1"/>
  <c r="P300" i="2" a="1"/>
  <c r="O300" i="2" a="1"/>
  <c r="O301" i="2" a="1"/>
  <c r="W301" i="2" l="1"/>
  <c r="W300" i="2"/>
  <c r="Q301" i="2"/>
  <c r="Q300" i="2"/>
  <c r="P309" i="2" a="1"/>
  <c r="O308" i="2" a="1"/>
  <c r="AA301" i="2" l="1"/>
  <c r="AB301" i="2" s="1"/>
  <c r="P305" i="2" a="1"/>
  <c r="O302" i="2" a="1"/>
  <c r="P304" i="2" a="1"/>
  <c r="P307" i="2" a="1"/>
  <c r="O303" i="2" a="1"/>
  <c r="P302" i="2" a="1"/>
  <c r="O304" i="2" a="1"/>
  <c r="O307" i="2" a="1"/>
  <c r="O306" i="2" a="1"/>
  <c r="P303" i="2" a="1"/>
  <c r="O305" i="2" a="1"/>
  <c r="P306" i="2" a="1"/>
  <c r="AA300" i="2"/>
  <c r="AB300" i="2" s="1"/>
  <c r="O311" i="2" a="1"/>
  <c r="P310" i="2" a="1"/>
  <c r="W307" i="2" l="1"/>
  <c r="O310" i="2" a="1"/>
  <c r="P311" i="2" a="1"/>
  <c r="O309" i="2" a="1"/>
  <c r="P308" i="2" a="1"/>
  <c r="Q305" i="2"/>
  <c r="W302" i="2"/>
  <c r="Q304" i="2"/>
  <c r="Q303" i="2"/>
  <c r="W306" i="2"/>
  <c r="Q307" i="2"/>
  <c r="W303" i="2"/>
  <c r="Q302" i="2"/>
  <c r="W304" i="2"/>
  <c r="W305" i="2"/>
  <c r="Q306" i="2"/>
  <c r="AA307" i="2" l="1"/>
  <c r="AB307" i="2" s="1"/>
  <c r="W310" i="2"/>
  <c r="Q310" i="2"/>
  <c r="Q311" i="2"/>
  <c r="W311" i="2"/>
  <c r="AA303" i="2"/>
  <c r="AB303" i="2" s="1"/>
  <c r="W309" i="2"/>
  <c r="Q309" i="2"/>
  <c r="Q308" i="2"/>
  <c r="W308" i="2"/>
  <c r="AA302" i="2"/>
  <c r="AB302" i="2" s="1"/>
  <c r="AA304" i="2"/>
  <c r="AB304" i="2" s="1"/>
  <c r="AA305" i="2"/>
  <c r="AB305" i="2" s="1"/>
  <c r="AA306" i="2"/>
  <c r="AB306" i="2" s="1"/>
  <c r="AA310" i="2" l="1"/>
  <c r="AB310" i="2" s="1"/>
  <c r="AA311" i="2"/>
  <c r="AB311" i="2" s="1"/>
  <c r="AA309" i="2"/>
  <c r="AB309" i="2" s="1"/>
  <c r="AA308" i="2"/>
  <c r="AB308" i="2" s="1"/>
  <c r="P312" i="2" a="1"/>
  <c r="O313" i="2" a="1"/>
  <c r="P313" i="2" a="1"/>
  <c r="O312" i="2" a="1"/>
  <c r="W312" i="2" l="1"/>
  <c r="W313" i="2"/>
  <c r="Q312" i="2"/>
  <c r="Q313" i="2"/>
  <c r="AA312" i="2" l="1"/>
  <c r="AB312" i="2" s="1"/>
  <c r="AA313" i="2"/>
  <c r="AB313" i="2" s="1"/>
  <c r="O314" i="2" a="1"/>
  <c r="P315" i="2" a="1"/>
  <c r="P314" i="2" a="1"/>
  <c r="O315" i="2" a="1"/>
  <c r="O321" i="2" a="1"/>
  <c r="O320" i="2" a="1"/>
  <c r="P318" i="2" a="1"/>
  <c r="O316" i="2" a="1"/>
  <c r="O317" i="2" a="1"/>
  <c r="P316" i="2" a="1"/>
  <c r="P317" i="2" a="1"/>
  <c r="O319" i="2" a="1"/>
  <c r="P321" i="2" a="1"/>
  <c r="O318" i="2" a="1"/>
  <c r="P320" i="2" a="1"/>
  <c r="P319" i="2" a="1"/>
  <c r="Q315" i="2" l="1"/>
  <c r="Q314" i="2"/>
  <c r="W314" i="2"/>
  <c r="W315" i="2"/>
  <c r="W320" i="2"/>
  <c r="W318" i="2"/>
  <c r="W321" i="2"/>
  <c r="W316" i="2"/>
  <c r="Q317" i="2"/>
  <c r="Q319" i="2"/>
  <c r="Q318" i="2"/>
  <c r="W317" i="2"/>
  <c r="W319" i="2"/>
  <c r="Q316" i="2"/>
  <c r="Q321" i="2"/>
  <c r="Q320" i="2"/>
  <c r="AA314" i="2" l="1"/>
  <c r="AB314" i="2" s="1"/>
  <c r="AA315" i="2"/>
  <c r="AB315" i="2" s="1"/>
  <c r="AA316" i="2"/>
  <c r="AB316" i="2" s="1"/>
  <c r="AA320" i="2"/>
  <c r="AB320" i="2" s="1"/>
  <c r="AA318" i="2"/>
  <c r="AB318" i="2" s="1"/>
  <c r="AA317" i="2"/>
  <c r="AB317" i="2" s="1"/>
  <c r="AA321" i="2"/>
  <c r="AB321" i="2" s="1"/>
  <c r="AA319" i="2"/>
  <c r="AB319" i="2" s="1"/>
  <c r="O322" i="2" a="1"/>
  <c r="O323" i="2" a="1"/>
  <c r="P323" i="2" a="1"/>
  <c r="P322" i="2" a="1"/>
  <c r="W323" i="2" l="1"/>
  <c r="Q322" i="2"/>
  <c r="W322" i="2"/>
  <c r="Q323" i="2"/>
  <c r="AA322" i="2" l="1"/>
  <c r="AB322" i="2" s="1"/>
  <c r="AA323" i="2"/>
  <c r="AB323" i="2" s="1"/>
  <c r="O325" i="2" l="1" a="1"/>
  <c r="P327" i="2" a="1"/>
  <c r="P324" i="2" a="1"/>
  <c r="P325" i="2" a="1"/>
  <c r="O324" i="2" a="1"/>
  <c r="P326" i="2" a="1"/>
  <c r="O327" i="2" a="1"/>
  <c r="O326" i="2" a="1"/>
  <c r="O328" i="2" a="1"/>
  <c r="O331" i="2" a="1"/>
  <c r="P328" i="2" a="1"/>
  <c r="P330" i="2" a="1"/>
  <c r="O329" i="2" a="1"/>
  <c r="P329" i="2" a="1"/>
  <c r="P331" i="2" a="1"/>
  <c r="O330" i="2" a="1"/>
  <c r="Q329" i="2" l="1"/>
  <c r="Q326" i="2"/>
  <c r="W324" i="2"/>
  <c r="Q325" i="2"/>
  <c r="W327" i="2"/>
  <c r="Q328" i="2"/>
  <c r="W325" i="2"/>
  <c r="Q327" i="2"/>
  <c r="Q324" i="2"/>
  <c r="W326" i="2"/>
  <c r="W328" i="2"/>
  <c r="W329" i="2"/>
  <c r="W331" i="2"/>
  <c r="Q331" i="2"/>
  <c r="W330" i="2"/>
  <c r="Q330" i="2"/>
  <c r="AA327" i="2" l="1"/>
  <c r="AB327" i="2" s="1"/>
  <c r="AA324" i="2"/>
  <c r="AB324" i="2" s="1"/>
  <c r="AA326" i="2"/>
  <c r="AB326" i="2" s="1"/>
  <c r="AA328" i="2"/>
  <c r="AB328" i="2" s="1"/>
  <c r="AA329" i="2"/>
  <c r="AB329" i="2" s="1"/>
  <c r="AA325" i="2"/>
  <c r="AB325" i="2" s="1"/>
  <c r="AA331" i="2"/>
  <c r="AB331" i="2" s="1"/>
  <c r="AA330" i="2"/>
  <c r="AB330" i="2" s="1"/>
  <c r="O335" i="2" l="1" a="1"/>
  <c r="P334" i="2" a="1"/>
  <c r="P335" i="2" a="1"/>
  <c r="O334" i="2" a="1"/>
  <c r="P333" i="2" a="1"/>
  <c r="O332" i="2" a="1"/>
  <c r="P332" i="2" a="1"/>
  <c r="O333" i="2" a="1"/>
  <c r="P337" i="2" a="1"/>
  <c r="P336" i="2" a="1"/>
  <c r="O336" i="2" a="1"/>
  <c r="O337" i="2" a="1"/>
  <c r="O340" i="2" a="1"/>
  <c r="O341" i="2" a="1"/>
  <c r="P341" i="2" a="1"/>
  <c r="P340" i="2" a="1"/>
  <c r="W333" i="2" l="1"/>
  <c r="Q335" i="2"/>
  <c r="W334" i="2"/>
  <c r="Q332" i="2"/>
  <c r="Q336" i="2"/>
  <c r="W337" i="2"/>
  <c r="W335" i="2"/>
  <c r="Q334" i="2"/>
  <c r="Q333" i="2"/>
  <c r="W332" i="2"/>
  <c r="Q337" i="2"/>
  <c r="W336" i="2"/>
  <c r="O339" i="2" a="1"/>
  <c r="P338" i="2" a="1"/>
  <c r="P339" i="2" a="1"/>
  <c r="O338" i="2" a="1"/>
  <c r="Q340" i="2"/>
  <c r="W340" i="2"/>
  <c r="W341" i="2"/>
  <c r="Q341" i="2"/>
  <c r="Q339" i="2" l="1"/>
  <c r="AA335" i="2"/>
  <c r="AB335" i="2" s="1"/>
  <c r="AA333" i="2"/>
  <c r="AB333" i="2" s="1"/>
  <c r="AA334" i="2"/>
  <c r="AB334" i="2" s="1"/>
  <c r="AA332" i="2"/>
  <c r="AB332" i="2" s="1"/>
  <c r="AA337" i="2"/>
  <c r="AB337" i="2" s="1"/>
  <c r="AA336" i="2"/>
  <c r="AB336" i="2" s="1"/>
  <c r="Q338" i="2"/>
  <c r="W339" i="2"/>
  <c r="AA340" i="2"/>
  <c r="AB340" i="2" s="1"/>
  <c r="W338" i="2"/>
  <c r="AA341" i="2"/>
  <c r="AB341" i="2" s="1"/>
  <c r="O344" i="2" a="1"/>
  <c r="P345" i="2" a="1"/>
  <c r="AA339" i="2" l="1"/>
  <c r="AB339" i="2" s="1"/>
  <c r="O343" i="2" a="1"/>
  <c r="P342" i="2" a="1"/>
  <c r="P343" i="2" a="1"/>
  <c r="O342" i="2" a="1"/>
  <c r="AA338" i="2"/>
  <c r="AB338" i="2" s="1"/>
  <c r="O345" i="2" l="1" a="1"/>
  <c r="P344" i="2" a="1"/>
  <c r="W342" i="2"/>
  <c r="Q343" i="2"/>
  <c r="W343" i="2"/>
  <c r="Q342" i="2"/>
  <c r="P346" i="2" a="1"/>
  <c r="O346" i="2" a="1"/>
  <c r="O347" i="2" a="1"/>
  <c r="P347" i="2" a="1"/>
  <c r="Q345" i="2" l="1"/>
  <c r="W345" i="2"/>
  <c r="Q344" i="2"/>
  <c r="W344" i="2"/>
  <c r="AA342" i="2"/>
  <c r="AB342" i="2" s="1"/>
  <c r="AA343" i="2"/>
  <c r="AB343" i="2" s="1"/>
  <c r="Q346" i="2"/>
  <c r="W346" i="2"/>
  <c r="W347" i="2"/>
  <c r="Q347" i="2"/>
  <c r="AA345" i="2" l="1"/>
  <c r="AB345" i="2" s="1"/>
  <c r="AA344" i="2"/>
  <c r="AB344" i="2" s="1"/>
  <c r="AA346" i="2"/>
  <c r="AB346" i="2" s="1"/>
  <c r="AA347" i="2"/>
  <c r="AB347" i="2" s="1"/>
  <c r="P349" i="2" l="1" a="1"/>
  <c r="O348" i="2" a="1"/>
  <c r="O349" i="2" a="1"/>
  <c r="P348" i="2" a="1"/>
  <c r="O350" i="2" a="1"/>
  <c r="P350" i="2" a="1"/>
  <c r="O351" i="2" a="1"/>
  <c r="P351" i="2" a="1"/>
  <c r="Q348" i="2" l="1"/>
  <c r="Q349" i="2"/>
  <c r="W348" i="2"/>
  <c r="W349" i="2"/>
  <c r="Q350" i="2"/>
  <c r="W350" i="2"/>
  <c r="W351" i="2"/>
  <c r="Q351" i="2"/>
  <c r="AA348" i="2" l="1"/>
  <c r="AB348" i="2" s="1"/>
  <c r="AA349" i="2"/>
  <c r="AB349" i="2" s="1"/>
  <c r="AA350" i="2"/>
  <c r="AB350" i="2" s="1"/>
  <c r="P355" i="2" a="1"/>
  <c r="AA351" i="2"/>
  <c r="AB351" i="2" s="1"/>
  <c r="O355" i="2" l="1" a="1"/>
  <c r="P354" i="2" a="1"/>
  <c r="O354" i="2" a="1"/>
  <c r="P353" i="2" a="1"/>
  <c r="O352" i="2" a="1"/>
  <c r="P352" i="2" a="1"/>
  <c r="O353" i="2" a="1"/>
  <c r="Q354" i="2" l="1"/>
  <c r="Q353" i="2"/>
  <c r="W354" i="2"/>
  <c r="Q352" i="2"/>
  <c r="W353" i="2"/>
  <c r="W352" i="2"/>
  <c r="Q355" i="2"/>
  <c r="W355" i="2"/>
  <c r="AA353" i="2" l="1"/>
  <c r="AB353" i="2" s="1"/>
  <c r="AA354" i="2"/>
  <c r="AB354" i="2" s="1"/>
  <c r="AA352" i="2"/>
  <c r="AB352" i="2" s="1"/>
  <c r="AA355" i="2"/>
  <c r="AB355" i="2" s="1"/>
  <c r="O361" i="2" a="1"/>
  <c r="O360" i="2" a="1"/>
  <c r="O359" i="2" a="1"/>
  <c r="P357" i="2" a="1"/>
  <c r="P356" i="2" a="1"/>
  <c r="P358" i="2" a="1"/>
  <c r="O357" i="2" a="1"/>
  <c r="O356" i="2" a="1"/>
  <c r="P360" i="2" a="1"/>
  <c r="P361" i="2" a="1"/>
  <c r="O358" i="2" l="1" a="1"/>
  <c r="P359" i="2" a="1"/>
  <c r="Q360" i="2"/>
  <c r="Q361" i="2"/>
  <c r="W356" i="2"/>
  <c r="W361" i="2"/>
  <c r="W360" i="2"/>
  <c r="W357" i="2"/>
  <c r="Q357" i="2"/>
  <c r="Q356" i="2"/>
  <c r="AA360" i="2" l="1"/>
  <c r="AB360" i="2" s="1"/>
  <c r="Q358" i="2"/>
  <c r="W358" i="2"/>
  <c r="AA358" i="2" s="1"/>
  <c r="AB358" i="2" s="1"/>
  <c r="W359" i="2"/>
  <c r="Q359" i="2"/>
  <c r="AA361" i="2"/>
  <c r="AB361" i="2" s="1"/>
  <c r="AA356" i="2"/>
  <c r="AB356" i="2" s="1"/>
  <c r="AA357" i="2"/>
  <c r="AB357" i="2" s="1"/>
  <c r="P363" i="2" a="1"/>
  <c r="P362" i="2" a="1"/>
  <c r="O362" i="2" a="1"/>
  <c r="O363" i="2" a="1"/>
  <c r="AA359" i="2" l="1"/>
  <c r="AB359" i="2" s="1"/>
  <c r="P364" i="2" a="1"/>
  <c r="O365" i="2" a="1"/>
  <c r="O364" i="2" a="1"/>
  <c r="P365" i="2" a="1"/>
  <c r="W362" i="2"/>
  <c r="W363" i="2"/>
  <c r="Q362" i="2"/>
  <c r="Q363" i="2"/>
  <c r="W364" i="2" l="1"/>
  <c r="Q365" i="2"/>
  <c r="Q364" i="2"/>
  <c r="W365" i="2"/>
  <c r="AA362" i="2"/>
  <c r="AB362" i="2" s="1"/>
  <c r="AA363" i="2"/>
  <c r="AB363" i="2" s="1"/>
  <c r="AA364" i="2" l="1"/>
  <c r="AB364" i="2" s="1"/>
  <c r="AA365" i="2"/>
  <c r="AB365" i="2" s="1"/>
  <c r="O366" i="2" l="1" a="1"/>
  <c r="P367" i="2" a="1"/>
  <c r="O367" i="2" a="1"/>
  <c r="P366" i="2" a="1"/>
  <c r="Q366" i="2" s="1"/>
  <c r="P369" i="2" a="1"/>
  <c r="O369" i="2" a="1"/>
  <c r="P368" i="2" a="1"/>
  <c r="O368" i="2" a="1"/>
  <c r="Q367" i="2" l="1"/>
  <c r="W366" i="2"/>
  <c r="AA366" i="2" s="1"/>
  <c r="AB366" i="2" s="1"/>
  <c r="W367" i="2"/>
  <c r="AA367" i="2" s="1"/>
  <c r="AB367" i="2" s="1"/>
  <c r="W369" i="2"/>
  <c r="W368" i="2"/>
  <c r="Q368" i="2"/>
  <c r="Q369" i="2"/>
  <c r="AA369" i="2" l="1"/>
  <c r="AB369" i="2" s="1"/>
  <c r="P371" i="2" a="1"/>
  <c r="O373" i="2" a="1"/>
  <c r="P370" i="2" a="1"/>
  <c r="O372" i="2" a="1"/>
  <c r="P373" i="2" a="1"/>
  <c r="O371" i="2" a="1"/>
  <c r="P372" i="2" a="1"/>
  <c r="O370" i="2" a="1"/>
  <c r="AA368" i="2"/>
  <c r="AB368" i="2" s="1"/>
  <c r="Q370" i="2" l="1"/>
  <c r="Q372" i="2"/>
  <c r="W373" i="2"/>
  <c r="W372" i="2"/>
  <c r="W371" i="2"/>
  <c r="W370" i="2"/>
  <c r="Q371" i="2"/>
  <c r="Q373" i="2"/>
  <c r="AA371" i="2" l="1"/>
  <c r="AB371" i="2" s="1"/>
  <c r="AA370" i="2"/>
  <c r="AB370" i="2" s="1"/>
  <c r="AA373" i="2"/>
  <c r="AB373" i="2" s="1"/>
  <c r="AA372" i="2"/>
  <c r="AB372" i="2" s="1"/>
  <c r="O375" i="2" l="1" a="1"/>
  <c r="P374" i="2" a="1"/>
  <c r="O374" i="2" a="1"/>
  <c r="O376" i="2" a="1"/>
  <c r="O377" i="2" a="1"/>
  <c r="P376" i="2" a="1"/>
  <c r="P377" i="2" a="1"/>
  <c r="P375" i="2" a="1"/>
  <c r="Q377" i="2" l="1"/>
  <c r="Q374" i="2"/>
  <c r="W375" i="2"/>
  <c r="W376" i="2"/>
  <c r="W374" i="2"/>
  <c r="W377" i="2"/>
  <c r="Q376" i="2"/>
  <c r="Q375" i="2"/>
  <c r="AA377" i="2" l="1"/>
  <c r="AB377" i="2" s="1"/>
  <c r="P379" i="2" a="1"/>
  <c r="P378" i="2" a="1"/>
  <c r="O379" i="2" a="1"/>
  <c r="O378" i="2" a="1"/>
  <c r="AA374" i="2"/>
  <c r="AB374" i="2" s="1"/>
  <c r="AA376" i="2"/>
  <c r="AB376" i="2" s="1"/>
  <c r="AA375" i="2"/>
  <c r="AB375" i="2" s="1"/>
  <c r="Q378" i="2" l="1"/>
  <c r="W379" i="2"/>
  <c r="Q379" i="2"/>
  <c r="W378" i="2"/>
  <c r="AA379" i="2" l="1"/>
  <c r="AB379" i="2" s="1"/>
  <c r="AA378" i="2"/>
  <c r="AB378" i="2" s="1"/>
  <c r="P383" i="2" a="1"/>
  <c r="O381" i="2" a="1"/>
  <c r="O382" i="2" a="1"/>
  <c r="O383" i="2" a="1"/>
  <c r="P381" i="2" a="1"/>
  <c r="P380" i="2" a="1"/>
  <c r="P382" i="2" a="1"/>
  <c r="O380" i="2" a="1"/>
  <c r="P386" i="2" a="1"/>
  <c r="O386" i="2" a="1"/>
  <c r="O384" i="2" a="1"/>
  <c r="P385" i="2" a="1"/>
  <c r="O385" i="2" a="1"/>
  <c r="O387" i="2" a="1"/>
  <c r="P384" i="2" a="1"/>
  <c r="P387" i="2" a="1"/>
  <c r="W383" i="2" l="1"/>
  <c r="Q380" i="2"/>
  <c r="Q382" i="2"/>
  <c r="W381" i="2"/>
  <c r="Q383" i="2"/>
  <c r="W382" i="2"/>
  <c r="Q381" i="2"/>
  <c r="W380" i="2"/>
  <c r="W386" i="2"/>
  <c r="Q387" i="2"/>
  <c r="W385" i="2"/>
  <c r="W384" i="2"/>
  <c r="Q386" i="2"/>
  <c r="Q385" i="2"/>
  <c r="W387" i="2"/>
  <c r="Q384" i="2"/>
  <c r="AA383" i="2" l="1"/>
  <c r="AB383" i="2" s="1"/>
  <c r="AA382" i="2"/>
  <c r="AB382" i="2" s="1"/>
  <c r="P391" i="2" s="1" a="1"/>
  <c r="AA380" i="2"/>
  <c r="AB380" i="2" s="1"/>
  <c r="AA381" i="2"/>
  <c r="AB381" i="2" s="1"/>
  <c r="AA387" i="2"/>
  <c r="AB387" i="2" s="1"/>
  <c r="AA386" i="2"/>
  <c r="AB386" i="2" s="1"/>
  <c r="AA385" i="2"/>
  <c r="AB385" i="2" s="1"/>
  <c r="AA384" i="2"/>
  <c r="AB384" i="2" s="1"/>
  <c r="P388" i="2" a="1"/>
  <c r="P389" i="2" a="1"/>
  <c r="O388" i="2" a="1"/>
  <c r="O391" i="2" a="1"/>
  <c r="P390" i="2" a="1"/>
  <c r="O389" i="2" a="1"/>
  <c r="O390" i="2" a="1"/>
  <c r="Q391" i="2" l="1"/>
  <c r="Q390" i="2"/>
  <c r="Q389" i="2"/>
  <c r="W388" i="2"/>
  <c r="Q388" i="2"/>
  <c r="W391" i="2"/>
  <c r="W389" i="2"/>
  <c r="W390" i="2"/>
  <c r="AA390" i="2" l="1"/>
  <c r="AB390" i="2" s="1"/>
  <c r="AA391" i="2"/>
  <c r="AB391" i="2" s="1"/>
  <c r="AA388" i="2"/>
  <c r="AB388" i="2" s="1"/>
  <c r="AA389" i="2"/>
  <c r="AB389" i="2" s="1"/>
  <c r="P395" i="2" a="1"/>
  <c r="O395" i="2" a="1"/>
  <c r="P393" i="2" a="1"/>
  <c r="O392" i="2" a="1"/>
  <c r="O394" i="2" a="1"/>
  <c r="P392" i="2" a="1"/>
  <c r="P394" i="2" a="1"/>
  <c r="O393" i="2" a="1"/>
  <c r="Q392" i="2" l="1"/>
  <c r="W395" i="2"/>
  <c r="Q393" i="2"/>
  <c r="Q394" i="2"/>
  <c r="Q395" i="2"/>
  <c r="AA395" i="2" s="1"/>
  <c r="AB395" i="2" s="1"/>
  <c r="W392" i="2"/>
  <c r="W394" i="2"/>
  <c r="W393" i="2"/>
  <c r="AA392" i="2" l="1"/>
  <c r="AB392" i="2" s="1"/>
  <c r="O396" i="2" a="1"/>
  <c r="P396" i="2" a="1"/>
  <c r="P397" i="2" a="1"/>
  <c r="O397" i="2" a="1"/>
  <c r="AA393" i="2"/>
  <c r="AB393" i="2" s="1"/>
  <c r="AA394" i="2"/>
  <c r="AB394" i="2" s="1"/>
  <c r="Q396" i="2" l="1"/>
  <c r="Q397" i="2"/>
  <c r="W396" i="2"/>
  <c r="W397" i="2"/>
  <c r="O403" i="2" a="1"/>
  <c r="O402" i="2" a="1"/>
  <c r="P402" i="2" a="1"/>
  <c r="P403" i="2" a="1"/>
  <c r="Q403" i="2" s="1"/>
  <c r="P404" i="2" a="1"/>
  <c r="O404" i="2" a="1"/>
  <c r="P405" i="2" a="1"/>
  <c r="O405" i="2" a="1"/>
  <c r="AA396" i="2" l="1"/>
  <c r="AB396" i="2" s="1"/>
  <c r="AA397" i="2"/>
  <c r="AB397" i="2" s="1"/>
  <c r="P400" i="2" a="1"/>
  <c r="P401" i="2" a="1"/>
  <c r="O399" i="2" a="1"/>
  <c r="P399" i="2" a="1"/>
  <c r="P398" i="2" a="1"/>
  <c r="O398" i="2" a="1"/>
  <c r="O401" i="2" a="1"/>
  <c r="O400" i="2" a="1"/>
  <c r="W402" i="2"/>
  <c r="W403" i="2"/>
  <c r="AA403" i="2" s="1"/>
  <c r="AB403" i="2" s="1"/>
  <c r="Q402" i="2"/>
  <c r="Q405" i="2"/>
  <c r="W404" i="2"/>
  <c r="W405" i="2"/>
  <c r="Q404" i="2"/>
  <c r="W400" i="2" l="1"/>
  <c r="W399" i="2"/>
  <c r="Q401" i="2"/>
  <c r="Q399" i="2"/>
  <c r="W398" i="2"/>
  <c r="Q400" i="2"/>
  <c r="Q398" i="2"/>
  <c r="W401" i="2"/>
  <c r="AA402" i="2"/>
  <c r="AB402" i="2" s="1"/>
  <c r="AA405" i="2"/>
  <c r="AB405" i="2" s="1"/>
  <c r="AA404" i="2"/>
  <c r="AB404" i="2" s="1"/>
  <c r="AA399" i="2" l="1"/>
  <c r="AB399" i="2" s="1"/>
  <c r="AA400" i="2"/>
  <c r="AB400" i="2" s="1"/>
  <c r="AA401" i="2"/>
  <c r="AB401" i="2" s="1"/>
  <c r="AA398" i="2"/>
  <c r="AB398" i="2" s="1"/>
  <c r="P406" i="2" a="1"/>
  <c r="P407" i="2" a="1"/>
  <c r="O407" i="2" a="1"/>
  <c r="O406" i="2" a="1"/>
  <c r="Q406" i="2" l="1"/>
  <c r="Q407" i="2"/>
  <c r="W406" i="2"/>
  <c r="W407" i="2"/>
  <c r="AA406" i="2" l="1"/>
  <c r="AB406" i="2" s="1"/>
  <c r="AA407" i="2"/>
  <c r="AB407" i="2" s="1"/>
  <c r="P409" i="2" a="1"/>
  <c r="O411" i="2" a="1"/>
  <c r="O409" i="2" a="1"/>
  <c r="O408" i="2" a="1"/>
  <c r="P411" i="2" a="1"/>
  <c r="P408" i="2" a="1"/>
  <c r="O410" i="2" a="1"/>
  <c r="P410" i="2" a="1"/>
  <c r="W411" i="2" l="1"/>
  <c r="Q410" i="2"/>
  <c r="Q408" i="2"/>
  <c r="W409" i="2"/>
  <c r="W408" i="2"/>
  <c r="Q411" i="2"/>
  <c r="W410" i="2"/>
  <c r="Q409" i="2"/>
  <c r="O415" i="2" a="1"/>
  <c r="O414" i="2" a="1"/>
  <c r="P414" i="2" a="1"/>
  <c r="P415" i="2" a="1"/>
  <c r="AA411" i="2" l="1"/>
  <c r="AB411" i="2" s="1"/>
  <c r="AA410" i="2"/>
  <c r="AB410" i="2" s="1"/>
  <c r="AA408" i="2"/>
  <c r="AB408" i="2" s="1"/>
  <c r="AA409" i="2"/>
  <c r="AB409" i="2" s="1"/>
  <c r="O412" i="2" a="1"/>
  <c r="P412" i="2" a="1"/>
  <c r="P413" i="2" a="1"/>
  <c r="O413" i="2" a="1"/>
  <c r="Q415" i="2"/>
  <c r="Q414" i="2"/>
  <c r="W415" i="2"/>
  <c r="W414" i="2"/>
  <c r="Q412" i="2" l="1"/>
  <c r="W413" i="2"/>
  <c r="W412" i="2"/>
  <c r="Q413" i="2"/>
  <c r="AA415" i="2"/>
  <c r="AB415" i="2" s="1"/>
  <c r="AA414" i="2"/>
  <c r="AB414" i="2" s="1"/>
  <c r="P417" i="2" a="1"/>
  <c r="O416" i="2" a="1"/>
  <c r="P416" i="2" a="1"/>
  <c r="O417" i="2" a="1"/>
  <c r="AA412" i="2" l="1"/>
  <c r="AB412" i="2" s="1"/>
  <c r="AA413" i="2"/>
  <c r="AB413" i="2" s="1"/>
  <c r="Q417" i="2"/>
  <c r="W416" i="2"/>
  <c r="W417" i="2"/>
  <c r="Q416" i="2"/>
  <c r="AA417" i="2" l="1"/>
  <c r="AB417" i="2" s="1"/>
  <c r="P418" i="2" a="1"/>
  <c r="O418" i="2" a="1"/>
  <c r="P419" i="2" a="1"/>
  <c r="O419" i="2" a="1"/>
  <c r="AA416" i="2"/>
  <c r="AB416" i="2" s="1"/>
  <c r="Q419" i="2" l="1"/>
  <c r="W418" i="2"/>
  <c r="W419" i="2"/>
  <c r="Q418" i="2"/>
  <c r="AA419" i="2" l="1"/>
  <c r="AB419" i="2" s="1"/>
  <c r="AA418" i="2"/>
  <c r="AB418" i="2" s="1"/>
  <c r="P420" i="2" a="1"/>
  <c r="O421" i="2" a="1"/>
  <c r="P421" i="2" a="1"/>
  <c r="O420" i="2" a="1"/>
  <c r="AX5" i="3" a="1"/>
  <c r="Q421" i="2" l="1"/>
  <c r="W421" i="2"/>
  <c r="W420" i="2"/>
  <c r="Q420" i="2"/>
  <c r="AA421" i="2" l="1"/>
  <c r="AB421" i="2" s="1"/>
  <c r="AA420" i="2"/>
  <c r="AB420" i="2" s="1"/>
  <c r="O422" i="2" l="1" a="1"/>
  <c r="P422" i="2" a="1"/>
  <c r="O423" i="2" a="1"/>
  <c r="P423" i="2" a="1"/>
  <c r="O425" i="2" a="1"/>
  <c r="P427" i="2" a="1"/>
  <c r="O427" i="2" a="1"/>
  <c r="P426" i="2" a="1"/>
  <c r="P424" i="2" a="1"/>
  <c r="O426" i="2" a="1"/>
  <c r="P425" i="2" a="1"/>
  <c r="O424" i="2" a="1"/>
  <c r="W423" i="2" l="1"/>
  <c r="W422" i="2"/>
  <c r="W427" i="2"/>
  <c r="Q426" i="2"/>
  <c r="Q422" i="2"/>
  <c r="Q423" i="2"/>
  <c r="Q427" i="2"/>
  <c r="W426" i="2"/>
  <c r="Q425" i="2"/>
  <c r="W425" i="2"/>
  <c r="W424" i="2"/>
  <c r="Q424" i="2"/>
  <c r="AA422" i="2" l="1"/>
  <c r="AB422" i="2" s="1"/>
  <c r="AA423" i="2"/>
  <c r="AB423" i="2" s="1"/>
  <c r="AA427" i="2"/>
  <c r="AB427" i="2" s="1"/>
  <c r="AA426" i="2"/>
  <c r="AB426" i="2" s="1"/>
  <c r="P431" i="2" a="1"/>
  <c r="O433" i="2" a="1"/>
  <c r="P428" i="2" a="1"/>
  <c r="O429" i="2" a="1"/>
  <c r="P432" i="2" a="1"/>
  <c r="O432" i="2" a="1"/>
  <c r="O430" i="2" a="1"/>
  <c r="P433" i="2" a="1"/>
  <c r="O431" i="2" a="1"/>
  <c r="O428" i="2" a="1"/>
  <c r="P429" i="2" a="1"/>
  <c r="AA425" i="2"/>
  <c r="AB425" i="2" s="1"/>
  <c r="P430" i="2" s="1" a="1"/>
  <c r="AA424" i="2"/>
  <c r="AB424" i="2" s="1"/>
  <c r="AX2" i="3" a="1"/>
  <c r="W430" i="2" l="1"/>
  <c r="W429" i="2"/>
  <c r="Q432" i="2"/>
  <c r="Q428" i="2"/>
  <c r="W431" i="2"/>
  <c r="W433" i="2"/>
  <c r="Q431" i="2"/>
  <c r="Q430" i="2"/>
  <c r="W432" i="2"/>
  <c r="Q433" i="2"/>
  <c r="W428" i="2"/>
  <c r="Q429" i="2"/>
  <c r="AX9" i="3" a="1"/>
  <c r="AA430" i="2" l="1"/>
  <c r="AB430" i="2" s="1"/>
  <c r="AA431" i="2"/>
  <c r="AB431" i="2" s="1"/>
  <c r="AA432" i="2"/>
  <c r="AB432" i="2" s="1"/>
  <c r="AA433" i="2"/>
  <c r="AB433" i="2" s="1"/>
  <c r="AA429" i="2"/>
  <c r="AB429" i="2" s="1"/>
  <c r="AA428" i="2"/>
  <c r="AB428" i="2" s="1"/>
  <c r="P435" i="2" a="1"/>
  <c r="O435" i="2" a="1"/>
  <c r="O434" i="2" a="1"/>
  <c r="P434" i="2" a="1"/>
  <c r="O437" i="2" a="1"/>
  <c r="P439" i="2" a="1"/>
  <c r="P437" i="2" a="1"/>
  <c r="P436" i="2" a="1"/>
  <c r="O436" i="2" a="1"/>
  <c r="O438" i="2" a="1"/>
  <c r="P438" i="2" a="1"/>
  <c r="O439" i="2" a="1"/>
  <c r="AX4" i="3" a="1"/>
  <c r="Q434" i="2" l="1"/>
  <c r="Q438" i="2"/>
  <c r="W435" i="2"/>
  <c r="W437" i="2"/>
  <c r="W436" i="2"/>
  <c r="W439" i="2"/>
  <c r="Q435" i="2"/>
  <c r="W434" i="2"/>
  <c r="AA434" i="2" s="1"/>
  <c r="AB434" i="2" s="1"/>
  <c r="Q439" i="2"/>
  <c r="Q437" i="2"/>
  <c r="Q436" i="2"/>
  <c r="W438" i="2"/>
  <c r="AA438" i="2" l="1"/>
  <c r="AB438" i="2" s="1"/>
  <c r="AA435" i="2"/>
  <c r="AB435" i="2" s="1"/>
  <c r="AA439" i="2"/>
  <c r="AB439" i="2" s="1"/>
  <c r="AA437" i="2"/>
  <c r="AB437" i="2" s="1"/>
  <c r="AA436" i="2"/>
  <c r="AB436" i="2" s="1"/>
  <c r="O440" i="2" a="1"/>
  <c r="O441" i="2" a="1"/>
  <c r="P440" i="2" a="1"/>
  <c r="P441" i="2" a="1"/>
  <c r="Q441" i="2" l="1"/>
  <c r="W440" i="2"/>
  <c r="W441" i="2"/>
  <c r="Q440" i="2"/>
  <c r="AA441" i="2" l="1"/>
  <c r="AB441" i="2" s="1"/>
  <c r="AA440" i="2"/>
  <c r="AB440" i="2" s="1"/>
  <c r="P445" i="2" a="1"/>
  <c r="O445" i="2" a="1"/>
  <c r="O444" i="2" a="1"/>
  <c r="P447" i="2" a="1"/>
  <c r="O447" i="2" a="1"/>
  <c r="O446" i="2" a="1"/>
  <c r="P446" i="2" a="1"/>
  <c r="P444" i="2" a="1"/>
  <c r="O443" i="2" a="1"/>
  <c r="O442" i="2" a="1"/>
  <c r="P443" i="2" a="1"/>
  <c r="P442" i="2" a="1"/>
  <c r="O448" i="2" a="1"/>
  <c r="P448" i="2" a="1"/>
  <c r="O449" i="2" a="1"/>
  <c r="P449" i="2" a="1"/>
  <c r="Q448" i="2" l="1"/>
  <c r="Q444" i="2"/>
  <c r="W447" i="2"/>
  <c r="W442" i="2"/>
  <c r="W445" i="2"/>
  <c r="Q446" i="2"/>
  <c r="Q443" i="2"/>
  <c r="W449" i="2"/>
  <c r="Q445" i="2"/>
  <c r="W444" i="2"/>
  <c r="Q447" i="2"/>
  <c r="W446" i="2"/>
  <c r="W443" i="2"/>
  <c r="Q442" i="2"/>
  <c r="W448" i="2"/>
  <c r="Q449" i="2"/>
  <c r="O451" i="2" a="1"/>
  <c r="P450" i="2" a="1"/>
  <c r="AX8" i="3" a="1"/>
  <c r="AA447" i="2" l="1"/>
  <c r="AB447" i="2" s="1"/>
  <c r="AA448" i="2"/>
  <c r="AB448" i="2" s="1"/>
  <c r="AA444" i="2"/>
  <c r="AB444" i="2" s="1"/>
  <c r="AA442" i="2"/>
  <c r="AB442" i="2" s="1"/>
  <c r="AA445" i="2"/>
  <c r="AB445" i="2" s="1"/>
  <c r="AA446" i="2"/>
  <c r="AB446" i="2" s="1"/>
  <c r="AA443" i="2"/>
  <c r="AB443" i="2" s="1"/>
  <c r="AA449" i="2"/>
  <c r="AB449" i="2" s="1"/>
  <c r="P455" i="2" a="1"/>
  <c r="O455" i="2" a="1"/>
  <c r="P454" i="2" a="1"/>
  <c r="O454" i="2" a="1"/>
  <c r="P451" i="2" l="1" a="1"/>
  <c r="O450" i="2" a="1"/>
  <c r="O452" i="2" a="1"/>
  <c r="P453" i="2" a="1"/>
  <c r="P452" i="2" a="1"/>
  <c r="O453" i="2" a="1"/>
  <c r="W455" i="2"/>
  <c r="W454" i="2"/>
  <c r="Q455" i="2"/>
  <c r="Q454" i="2"/>
  <c r="W451" i="2" l="1"/>
  <c r="Q451" i="2"/>
  <c r="Q450" i="2"/>
  <c r="W450" i="2"/>
  <c r="W452" i="2"/>
  <c r="Q452" i="2"/>
  <c r="Q453" i="2"/>
  <c r="W453" i="2"/>
  <c r="AA455" i="2"/>
  <c r="AB455" i="2" s="1"/>
  <c r="P457" i="2" a="1"/>
  <c r="O457" i="2" a="1"/>
  <c r="P456" i="2" a="1"/>
  <c r="O456" i="2" a="1"/>
  <c r="AA454" i="2"/>
  <c r="AB454" i="2" s="1"/>
  <c r="AA450" i="2" l="1"/>
  <c r="AB450" i="2" s="1"/>
  <c r="AA451" i="2"/>
  <c r="AB451" i="2" s="1"/>
  <c r="AA452" i="2"/>
  <c r="AB452" i="2" s="1"/>
  <c r="AA453" i="2"/>
  <c r="AB453" i="2" s="1"/>
  <c r="W457" i="2"/>
  <c r="W456" i="2"/>
  <c r="Q457" i="2"/>
  <c r="Q456" i="2"/>
  <c r="AA457" i="2" l="1"/>
  <c r="AB457" i="2" s="1"/>
  <c r="AA456" i="2"/>
  <c r="AB456" i="2" s="1"/>
  <c r="P459" i="2" l="1" a="1"/>
  <c r="O459" i="2" a="1"/>
  <c r="O458" i="2" a="1"/>
  <c r="P458" i="2" a="1"/>
  <c r="Q459" i="2" l="1"/>
  <c r="W458" i="2"/>
  <c r="W459" i="2"/>
  <c r="Q458" i="2"/>
  <c r="AA459" i="2" l="1"/>
  <c r="AB459" i="2" s="1"/>
  <c r="AA458" i="2"/>
  <c r="AB458" i="2" s="1"/>
  <c r="O461" i="2" a="1"/>
  <c r="P460" i="2" a="1"/>
  <c r="P461" i="2" a="1"/>
  <c r="O460" i="2" a="1"/>
  <c r="W461" i="2" l="1"/>
  <c r="W460" i="2"/>
  <c r="Q460" i="2"/>
  <c r="Q461" i="2"/>
  <c r="AA460" i="2" l="1"/>
  <c r="AB460" i="2" s="1"/>
  <c r="AA461" i="2"/>
  <c r="AB461" i="2" s="1"/>
  <c r="P463" i="2" a="1"/>
  <c r="O462" i="2" a="1"/>
  <c r="P462" i="2" a="1"/>
  <c r="O463" i="2" a="1"/>
  <c r="O464" i="2" a="1"/>
  <c r="P466" i="2" a="1"/>
  <c r="P465" i="2" a="1"/>
  <c r="P464" i="2" a="1"/>
  <c r="P467" i="2" a="1"/>
  <c r="O465" i="2" a="1"/>
  <c r="O466" i="2" a="1"/>
  <c r="O467" i="2" a="1"/>
  <c r="P471" i="2" a="1"/>
  <c r="P469" i="2" a="1"/>
  <c r="O470" i="2" a="1"/>
  <c r="O468" i="2" a="1"/>
  <c r="P470" i="2" a="1"/>
  <c r="O471" i="2" a="1"/>
  <c r="O469" i="2" a="1"/>
  <c r="W463" i="2" l="1"/>
  <c r="W462" i="2"/>
  <c r="Q464" i="2"/>
  <c r="W465" i="2"/>
  <c r="W466" i="2"/>
  <c r="W467" i="2"/>
  <c r="Q463" i="2"/>
  <c r="Q462" i="2"/>
  <c r="W464" i="2"/>
  <c r="Q466" i="2"/>
  <c r="Q465" i="2"/>
  <c r="Q467" i="2"/>
  <c r="Q470" i="2"/>
  <c r="W470" i="2"/>
  <c r="W471" i="2"/>
  <c r="W469" i="2"/>
  <c r="Q471" i="2"/>
  <c r="Q469" i="2"/>
  <c r="AA463" i="2" l="1"/>
  <c r="AB463" i="2" s="1"/>
  <c r="AA462" i="2"/>
  <c r="AB462" i="2" s="1"/>
  <c r="AA464" i="2"/>
  <c r="AB464" i="2" s="1"/>
  <c r="AA466" i="2"/>
  <c r="AB466" i="2" s="1"/>
  <c r="AA465" i="2"/>
  <c r="AB465" i="2" s="1"/>
  <c r="P468" i="2" s="1" a="1"/>
  <c r="AA467" i="2"/>
  <c r="AB467" i="2" s="1"/>
  <c r="AA470" i="2"/>
  <c r="AB470" i="2" s="1"/>
  <c r="AA469" i="2"/>
  <c r="AB469" i="2" s="1"/>
  <c r="AA471" i="2"/>
  <c r="AB471" i="2" s="1"/>
  <c r="Q468" i="2" l="1"/>
  <c r="W468" i="2"/>
  <c r="P483" i="2" a="1"/>
  <c r="O482" i="2" a="1"/>
  <c r="O483" i="2" a="1"/>
  <c r="P482" i="2" a="1"/>
  <c r="O472" i="2" a="1"/>
  <c r="P473" i="2" a="1"/>
  <c r="O473" i="2" a="1"/>
  <c r="P472" i="2" a="1"/>
  <c r="AA468" i="2" l="1"/>
  <c r="AB468" i="2" s="1"/>
  <c r="W482" i="2"/>
  <c r="W483" i="2"/>
  <c r="Q483" i="2"/>
  <c r="Q482" i="2"/>
  <c r="W472" i="2"/>
  <c r="W473" i="2"/>
  <c r="Q473" i="2"/>
  <c r="Q472" i="2"/>
  <c r="AA482" i="2" l="1"/>
  <c r="AB482" i="2" s="1"/>
  <c r="AA483" i="2"/>
  <c r="AB483" i="2" s="1"/>
  <c r="G35" i="3" s="1" a="1"/>
  <c r="AA473" i="2"/>
  <c r="AB473" i="2" s="1"/>
  <c r="AA472" i="2"/>
  <c r="AB472" i="2" s="1"/>
  <c r="P475" i="2" a="1"/>
  <c r="O475" i="2" a="1"/>
  <c r="P474" i="2" a="1"/>
  <c r="O474" i="2" a="1"/>
  <c r="G30" i="3" l="1" a="1"/>
  <c r="AX7" i="3" a="1"/>
  <c r="Q475" i="2"/>
  <c r="W475" i="2"/>
  <c r="W474" i="2"/>
  <c r="Q474" i="2"/>
  <c r="P488" i="2" l="1" a="1"/>
  <c r="O488" i="2" a="1"/>
  <c r="P489" i="2" a="1"/>
  <c r="O489" i="2" a="1"/>
  <c r="AA475" i="2"/>
  <c r="AB475" i="2" s="1"/>
  <c r="P477" i="2" a="1"/>
  <c r="O477" i="2" a="1"/>
  <c r="P476" i="2" a="1"/>
  <c r="O476" i="2" a="1"/>
  <c r="AA474" i="2"/>
  <c r="AB474" i="2" s="1"/>
  <c r="O485" i="2" l="1" a="1"/>
  <c r="P484" i="2" a="1"/>
  <c r="P487" i="2" a="1"/>
  <c r="O486" i="2" a="1"/>
  <c r="W488" i="2"/>
  <c r="W489" i="2"/>
  <c r="Q488" i="2"/>
  <c r="Q489" i="2"/>
  <c r="Q477" i="2"/>
  <c r="W477" i="2"/>
  <c r="W476" i="2"/>
  <c r="Q476" i="2"/>
  <c r="AA488" i="2" l="1"/>
  <c r="AB488" i="2" s="1"/>
  <c r="AA489" i="2"/>
  <c r="AB489" i="2" s="1"/>
  <c r="AA476" i="2"/>
  <c r="AB476" i="2" s="1"/>
  <c r="AA477" i="2"/>
  <c r="AB477" i="2" s="1"/>
  <c r="G29" i="3" s="1" a="1"/>
  <c r="P479" i="2" a="1"/>
  <c r="O479" i="2" a="1"/>
  <c r="P478" i="2" a="1"/>
  <c r="O478" i="2" a="1"/>
  <c r="O484" i="2" l="1" a="1"/>
  <c r="P485" i="2" a="1"/>
  <c r="Q479" i="2"/>
  <c r="Q478" i="2"/>
  <c r="W479" i="2"/>
  <c r="W478" i="2"/>
  <c r="Q484" i="2" l="1"/>
  <c r="W484" i="2"/>
  <c r="W485" i="2"/>
  <c r="Q485" i="2"/>
  <c r="AA479" i="2"/>
  <c r="AB479" i="2" s="1"/>
  <c r="AA478" i="2"/>
  <c r="AB478" i="2" s="1"/>
  <c r="P480" i="2" a="1"/>
  <c r="O481" i="2" a="1"/>
  <c r="P481" i="2" a="1"/>
  <c r="O480" i="2" a="1"/>
  <c r="AA484" i="2" l="1"/>
  <c r="AB484" i="2" s="1"/>
  <c r="O492" i="2" a="1"/>
  <c r="P493" i="2" a="1"/>
  <c r="AA485" i="2"/>
  <c r="AB485" i="2" s="1"/>
  <c r="O487" i="2" a="1"/>
  <c r="P486" i="2" a="1"/>
  <c r="AX6" i="3" a="1"/>
  <c r="G34" i="3" a="1"/>
  <c r="P497" i="2" a="1"/>
  <c r="O496" i="2" a="1"/>
  <c r="P496" i="2" a="1"/>
  <c r="O497" i="2" a="1"/>
  <c r="W481" i="2"/>
  <c r="W480" i="2"/>
  <c r="Q481" i="2"/>
  <c r="Q480" i="2"/>
  <c r="P492" i="2" l="1" a="1"/>
  <c r="O493" i="2" a="1"/>
  <c r="Q487" i="2"/>
  <c r="W487" i="2"/>
  <c r="W486" i="2"/>
  <c r="Q486" i="2"/>
  <c r="Q497" i="2"/>
  <c r="Q496" i="2"/>
  <c r="W496" i="2"/>
  <c r="W497" i="2"/>
  <c r="AA481" i="2"/>
  <c r="AB481" i="2" s="1"/>
  <c r="AA480" i="2"/>
  <c r="AB480" i="2" s="1"/>
  <c r="AA496" i="2" l="1"/>
  <c r="AB496" i="2" s="1"/>
  <c r="G25" i="3" s="1" a="1"/>
  <c r="AA486" i="2"/>
  <c r="AB486" i="2" s="1"/>
  <c r="W492" i="2"/>
  <c r="Q492" i="2"/>
  <c r="Q493" i="2"/>
  <c r="W493" i="2"/>
  <c r="O494" i="2" a="1"/>
  <c r="P495" i="2" a="1"/>
  <c r="AA487" i="2"/>
  <c r="AB487" i="2" s="1"/>
  <c r="AA497" i="2"/>
  <c r="AB497" i="2" s="1"/>
  <c r="O491" i="2" a="1"/>
  <c r="P490" i="2" a="1"/>
  <c r="O490" i="2" a="1"/>
  <c r="P491" i="2" a="1"/>
  <c r="Q491" i="2" l="1"/>
  <c r="AA493" i="2"/>
  <c r="AB493" i="2" s="1"/>
  <c r="Q490" i="2"/>
  <c r="O495" i="2" a="1"/>
  <c r="P494" i="2" a="1"/>
  <c r="AA492" i="2"/>
  <c r="AB492" i="2" s="1"/>
  <c r="W491" i="2"/>
  <c r="AA491" i="2" s="1"/>
  <c r="AB491" i="2" s="1"/>
  <c r="W490" i="2"/>
  <c r="P501" i="2" l="1" a="1"/>
  <c r="O500" i="2" a="1"/>
  <c r="AA490" i="2"/>
  <c r="AB490" i="2" s="1"/>
  <c r="Q495" i="2"/>
  <c r="W495" i="2"/>
  <c r="W494" i="2"/>
  <c r="Q494" i="2"/>
  <c r="O501" i="2" a="1"/>
  <c r="P500" i="2" a="1"/>
  <c r="P498" i="2" a="1"/>
  <c r="O499" i="2" a="1"/>
  <c r="P499" i="2" l="1" a="1"/>
  <c r="O498" i="2" a="1"/>
  <c r="AA495" i="2"/>
  <c r="AB495" i="2" s="1"/>
  <c r="AA494" i="2"/>
  <c r="AB494" i="2" s="1"/>
  <c r="G26" i="3" s="1" a="1"/>
  <c r="Q501" i="2"/>
  <c r="W501" i="2"/>
  <c r="AA501" i="2" s="1"/>
  <c r="AB501" i="2" s="1"/>
  <c r="G32" i="3" s="1" a="1"/>
  <c r="W500" i="2"/>
  <c r="Q500" i="2"/>
  <c r="O502" i="2" a="1"/>
  <c r="P503" i="2" a="1"/>
  <c r="O503" i="2" a="1"/>
  <c r="P502" i="2" a="1"/>
  <c r="Q502" i="2" l="1"/>
  <c r="W499" i="2"/>
  <c r="Q499" i="2"/>
  <c r="Q498" i="2"/>
  <c r="W498" i="2"/>
  <c r="AA498" i="2" s="1"/>
  <c r="AB498" i="2" s="1"/>
  <c r="G36" i="3" s="1" a="1"/>
  <c r="AA500" i="2"/>
  <c r="AB500" i="2" s="1"/>
  <c r="W502" i="2"/>
  <c r="W503" i="2"/>
  <c r="Q503" i="2"/>
  <c r="AA502" i="2" l="1"/>
  <c r="AB502" i="2" s="1"/>
  <c r="AA499" i="2"/>
  <c r="AB499" i="2" s="1"/>
  <c r="P505" i="2" a="1"/>
  <c r="O504" i="2" a="1"/>
  <c r="P504" i="2" a="1"/>
  <c r="O505" i="2" a="1"/>
  <c r="AA503" i="2"/>
  <c r="AB503" i="2" s="1"/>
  <c r="Q504" i="2" l="1"/>
  <c r="W504" i="2"/>
  <c r="AA504" i="2" s="1"/>
  <c r="AB504" i="2" s="1"/>
  <c r="O508" i="2" s="1" a="1"/>
  <c r="Q505" i="2"/>
  <c r="W505" i="2"/>
  <c r="AA505" i="2" s="1"/>
  <c r="AB505" i="2" s="1"/>
  <c r="P508" i="2" a="1"/>
  <c r="O506" i="2" a="1"/>
  <c r="O509" i="2" a="1"/>
  <c r="P506" i="2" a="1"/>
  <c r="P509" i="2" a="1"/>
  <c r="O507" i="2" a="1"/>
  <c r="P507" i="2" a="1"/>
  <c r="Q509" i="2" l="1"/>
  <c r="Q506" i="2"/>
  <c r="W508" i="2"/>
  <c r="W506" i="2"/>
  <c r="W509" i="2"/>
  <c r="W507" i="2"/>
  <c r="Q508" i="2"/>
  <c r="Q507" i="2"/>
  <c r="AA508" i="2" l="1"/>
  <c r="AB508" i="2" s="1"/>
  <c r="O511" i="2" s="1" a="1"/>
  <c r="AA506" i="2"/>
  <c r="AB506" i="2" s="1"/>
  <c r="AA507" i="2"/>
  <c r="AB507" i="2" s="1"/>
  <c r="AA509" i="2"/>
  <c r="AB509" i="2" s="1"/>
  <c r="P512" i="2" a="1"/>
  <c r="O512" i="2" a="1"/>
  <c r="P511" i="2" a="1"/>
  <c r="P513" i="2" a="1"/>
  <c r="P510" i="2" a="1"/>
  <c r="O513" i="2" a="1"/>
  <c r="O510" i="2" a="1"/>
  <c r="Q512" i="2" l="1"/>
  <c r="Q511" i="2"/>
  <c r="W512" i="2"/>
  <c r="W511" i="2"/>
  <c r="W513" i="2"/>
  <c r="W510" i="2"/>
  <c r="Q513" i="2"/>
  <c r="Q510" i="2"/>
  <c r="AA512" i="2" l="1"/>
  <c r="AB512" i="2" s="1"/>
  <c r="AA511" i="2"/>
  <c r="AB511" i="2" s="1"/>
  <c r="AA513" i="2"/>
  <c r="AB513" i="2" s="1"/>
  <c r="G28" i="3" s="1" a="1"/>
  <c r="AA510" i="2"/>
  <c r="AB510" i="2" s="1"/>
  <c r="O515" i="2" l="1" a="1"/>
  <c r="P515" i="2" a="1"/>
  <c r="O514" i="2" a="1"/>
  <c r="P514" i="2" a="1"/>
  <c r="Q515" i="2" l="1"/>
  <c r="W515" i="2"/>
  <c r="W514" i="2"/>
  <c r="Q514" i="2"/>
  <c r="AA515" i="2" l="1"/>
  <c r="AB515" i="2" s="1"/>
  <c r="G27" i="3" s="1" a="1"/>
  <c r="P517" i="2" a="1"/>
  <c r="O517" i="2" a="1"/>
  <c r="P516" i="2" a="1"/>
  <c r="O516" i="2" a="1"/>
  <c r="AA514" i="2"/>
  <c r="AB514" i="2" s="1"/>
  <c r="Q516" i="2" l="1"/>
  <c r="Q517" i="2"/>
  <c r="W517" i="2"/>
  <c r="W516" i="2"/>
  <c r="AA516" i="2" l="1"/>
  <c r="AB516" i="2" s="1"/>
  <c r="AA517" i="2"/>
  <c r="AB517" i="2" s="1"/>
  <c r="P519" i="2" a="1"/>
  <c r="O519" i="2" a="1"/>
  <c r="P518" i="2" a="1"/>
  <c r="O518" i="2" a="1"/>
  <c r="Q518" i="2" l="1"/>
  <c r="Q519" i="2"/>
  <c r="W519" i="2"/>
  <c r="W518" i="2"/>
  <c r="AA518" i="2" l="1"/>
  <c r="AB518" i="2" s="1"/>
  <c r="AA519" i="2"/>
  <c r="AB519" i="2" s="1"/>
  <c r="P521" i="2" a="1"/>
  <c r="O521" i="2" a="1"/>
  <c r="P520" i="2" a="1"/>
  <c r="O520" i="2" a="1"/>
  <c r="W521" i="2" l="1"/>
  <c r="W520" i="2"/>
  <c r="Q521" i="2"/>
  <c r="Q520" i="2"/>
  <c r="AA521" i="2" l="1"/>
  <c r="AB521" i="2" s="1"/>
  <c r="AA520" i="2"/>
  <c r="AB520" i="2" s="1"/>
  <c r="P523" i="2" a="1"/>
  <c r="O523" i="2" a="1"/>
  <c r="P522" i="2" a="1"/>
  <c r="O522" i="2" a="1"/>
  <c r="W523" i="2" l="1"/>
  <c r="W522" i="2"/>
  <c r="Q523" i="2"/>
  <c r="Q522" i="2"/>
  <c r="AA522" i="2" l="1"/>
  <c r="AB522" i="2" s="1"/>
  <c r="G31" i="3" s="1" a="1"/>
  <c r="AA523" i="2"/>
  <c r="AB523" i="2" s="1"/>
  <c r="G33" i="3" l="1" a="1"/>
  <c r="A2" i="3" s="1" a="1"/>
  <c r="AX3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<sst xmlns="http://schemas.openxmlformats.org/spreadsheetml/2006/main" count="2680" uniqueCount="88">
  <si>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</si>
  <si>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</si>
  <si>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</si>
  <si>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</si>
  <si>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</si>
  <si>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</si>
  <si>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</si>
  <si>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</si>
  <si>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</si>
  <si>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</si>
  <si>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</si>
  <si>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</si>
  <si>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</si>
  <si>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</si>
  <si>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</si>
  <si>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W</t>
  </si>
  <si>
    <t>L</t>
  </si>
  <si>
    <t>Row Labels</t>
  </si>
  <si>
    <t>Grand Total</t>
  </si>
  <si>
    <t>Sum of W</t>
  </si>
  <si>
    <t>Sum of L</t>
  </si>
  <si>
    <t>OT</t>
  </si>
  <si>
    <t>Keff</t>
  </si>
  <si>
    <t>POMult</t>
  </si>
  <si>
    <t>Round</t>
  </si>
  <si>
    <t>Type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</si>
  <si>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</si>
  <si>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</si>
  <si>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</si>
  <si>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</si>
  <si>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</si>
  <si>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</si>
  <si>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</si>
  <si>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</si>
  <si>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</si>
  <si>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</si>
  <si>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</si>
  <si>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</si>
  <si>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</si>
  <si>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</si>
  <si>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</si>
  <si>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</si>
  <si>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</si>
  <si>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</si>
  <si>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</si>
  <si>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</si>
  <si>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</si>
  <si>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</si>
  <si>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</si>
  <si>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</si>
  <si>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</si>
  <si>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</si>
  <si>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</si>
  <si>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</si>
  <si>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</si>
  <si>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</si>
  <si>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</si>
  <si>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</si>
  <si>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</si>
  <si>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</si>
  <si>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NYL</t>
  </si>
  <si>
    <t>New York Liberty</t>
  </si>
  <si>
    <t>Phoenix Mercury</t>
  </si>
  <si>
    <t>LAS</t>
  </si>
  <si>
    <t>Los Angeles Sparks</t>
  </si>
  <si>
    <t>WAS</t>
  </si>
  <si>
    <t>Washington Mystics</t>
  </si>
  <si>
    <t>MIN</t>
  </si>
  <si>
    <t>Minnesota Lynx</t>
  </si>
  <si>
    <t>IND</t>
  </si>
  <si>
    <t>Indiana Fever</t>
  </si>
  <si>
    <t>SEA</t>
  </si>
  <si>
    <t>Seattle Storm</t>
  </si>
  <si>
    <t>Connecticut Sun</t>
  </si>
  <si>
    <t>CON</t>
  </si>
  <si>
    <t>CHI</t>
  </si>
  <si>
    <t>Chicago Sky</t>
  </si>
  <si>
    <t>ATL</t>
  </si>
  <si>
    <t>Atlanta Dream</t>
  </si>
  <si>
    <t>R</t>
  </si>
  <si>
    <t>RS</t>
  </si>
  <si>
    <t>A</t>
  </si>
  <si>
    <t>H</t>
  </si>
  <si>
    <t>P</t>
  </si>
  <si>
    <t>Dallas Wings</t>
  </si>
  <si>
    <t>DAL</t>
  </si>
  <si>
    <t>LVA</t>
  </si>
  <si>
    <t>Las Vegas 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</si>
</sst>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45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59.077153935184" createdVersion="8" refreshedVersion="8" minRefreshableVersion="3" recordCount="522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2023-05-19T00:00:00" maxDate="2023-10-19T00:00:00"/>
    </cacheField>
    <cacheField name="Season" numFmtId="1">
      <sharedItems containsSemiMixedTypes="0" containsString="0" containsNumber="1" containsInteger="1" minValue="2023" maxValue="2023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1">
      <sharedItems containsMixedTypes="1" containsNumber="1" minValue="0.1" maxValue="3"/>
    </cacheField>
    <cacheField name="Team" numFmtId="0">
      <sharedItems containsBlank="1" count="59">
        <s v="CON"/>
        <s v="IND"/>
        <s v="PHX"/>
        <s v="LAS"/>
        <s v="CHI"/>
        <s v="MIN"/>
        <s v="NYL"/>
        <s v="WAS"/>
        <s v="ATL"/>
        <s v="DAL"/>
        <s v="LVA"/>
        <s v="SEA"/>
        <s v="SAS" u="1"/>
        <s v="TUL" u="1"/>
        <s v="DET" u="1"/>
        <s v="SAC" u="1"/>
        <s v="HOU" u="1"/>
        <s v="CHA" u="1"/>
        <s v="CLE" u="1"/>
        <s v="UTA" u="1"/>
        <s v="MIA" u="1"/>
        <s v="POR" u="1"/>
        <s v="ORL" u="1"/>
        <s v="NO" u="1"/>
        <s v="TOR" u="1"/>
        <s v="LAL" u="1"/>
        <s v="LAC" u="1"/>
        <s v="BRK" u="1"/>
        <s v="MEM" u="1"/>
        <s v="BOS" u="1"/>
        <s v="PHI" u="1"/>
        <s v="NY" u="1"/>
        <s v="SA" u="1"/>
        <s v="OKC" u="1"/>
        <s v="DEN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8"/>
    </cacheField>
    <cacheField name="OppDaysOff" numFmtId="1">
      <sharedItems containsSemiMixedTypes="0" containsString="0" containsNumber="1" containsInteger="1" minValue="0" maxValue="8"/>
    </cacheField>
    <cacheField name="RestDiff" numFmtId="1">
      <sharedItems containsSemiMixedTypes="0" containsString="0" containsNumber="1" containsInteger="1" minValue="-6" maxValue="6"/>
    </cacheField>
    <cacheField name="OppRestDiff" numFmtId="1">
      <sharedItems containsSemiMixedTypes="0" containsString="0" containsNumber="1" containsInteger="1" minValue="-6" maxValue="6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302.9684390478224" maxValue="1782.967512959666"/>
    </cacheField>
    <cacheField name="OppPreGmRate" numFmtId="165">
      <sharedItems containsSemiMixedTypes="0" containsString="0" containsNumber="1" minValue="1302.9684390478224" maxValue="1782.967512959666"/>
    </cacheField>
    <cacheField name="ExpectedWin%" numFmtId="165">
      <sharedItems containsSemiMixedTypes="0" containsString="0" containsNumber="1" minValue="5.6127687981598673E-2" maxValue="0.94387231201840138"/>
    </cacheField>
    <cacheField name="PointsFor" numFmtId="0">
      <sharedItems containsSemiMixedTypes="0" containsString="0" containsNumber="1" containsInteger="1" minValue="58" maxValue="113"/>
    </cacheField>
    <cacheField name="PointsAgainst" numFmtId="0">
      <sharedItems containsSemiMixedTypes="0" containsString="0" containsNumber="1" containsInteger="1" minValue="58" maxValue="113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41" maxValue="41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20854404993873898" maxValue="0.80014413922393357"/>
    </cacheField>
    <cacheField name="POMult" numFmtId="166">
      <sharedItems containsSemiMixedTypes="0" containsString="0" containsNumber="1" minValue="1" maxValue="1.35"/>
    </cacheField>
    <cacheField name="K" numFmtId="2">
      <sharedItems containsSemiMixedTypes="0" containsString="0" containsNumber="1" minValue="68.349999999999994" maxValue="75.849999999999994"/>
    </cacheField>
    <cacheField name="Keff" numFmtId="165">
      <sharedItems containsSemiMixedTypes="0" containsString="0" containsNumber="1" minValue="69.849999999999994" maxValue="93.08250000000001"/>
    </cacheField>
    <cacheField name="RatingChange" numFmtId="165">
      <sharedItems containsSemiMixedTypes="0" containsString="0" containsNumber="1" minValue="-33.973837153409804" maxValue="33.973837153409804"/>
    </cacheField>
    <cacheField name="PostGmRate" numFmtId="165">
      <sharedItems containsSemiMixedTypes="0" containsString="0" containsNumber="1" minValue="1302.2188801791904" maxValue="1782.967512959666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1"/>
    </cacheField>
    <cacheField name="R1L" numFmtId="1">
      <sharedItems containsSemiMixedTypes="0" containsString="0" containsNumber="1" containsInteger="1" minValue="0" maxValue="1"/>
    </cacheField>
    <cacheField name="R2W" numFmtId="1">
      <sharedItems containsSemiMixedTypes="0" containsString="0" containsNumber="1" containsInteger="1" minValue="0" maxValue="1"/>
    </cacheField>
    <cacheField name="R2L" numFmtId="1">
      <sharedItems containsSemiMixedTypes="0" containsString="0" containsNumber="1" containsInteger="1" minValue="0" maxValue="1"/>
    </cacheField>
    <cacheField name="R3W" numFmtId="1">
      <sharedItems containsSemiMixedTypes="0" containsString="0" containsNumber="1" containsInteger="1" minValue="0" maxValue="1"/>
    </cacheField>
    <cacheField name="R3L" numFmtId="1">
      <sharedItems containsSemiMixedTypes="0" containsString="0" containsNumber="1" containsInteger="1" minValue="0" maxValue="1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2">
  <r>
    <d v="2023-05-19T00:00:00"/>
    <n v="2023"/>
    <x v="0"/>
    <s v="R"/>
    <s v="RS"/>
    <x v="0"/>
    <s v="IND"/>
    <s v="A"/>
    <n v="0"/>
    <n v="0"/>
    <n v="0"/>
    <n v="0"/>
    <n v="0"/>
    <n v="0"/>
    <n v="1585.2896105811471"/>
    <n v="1363.2213399135371"/>
    <n v="0.68885780715793776"/>
    <n v="70"/>
    <n v="61"/>
    <n v="0"/>
    <n v="9"/>
    <n v="1"/>
    <n v="0.34257555887101293"/>
    <n v="1"/>
    <n v="75.849999999999994"/>
    <n v="75.849999999999994"/>
    <n v="8.0848295491026843"/>
    <n v="1593.3744401302499"/>
    <n v="1"/>
    <n v="0"/>
    <n v="0"/>
    <n v="0"/>
    <n v="0"/>
    <n v="0"/>
    <n v="0"/>
    <n v="0"/>
    <n v="0"/>
    <n v="0"/>
  </r>
  <r>
    <d v="2023-05-19T00:00:00"/>
    <n v="2023"/>
    <x v="0"/>
    <s v="R"/>
    <s v="RS"/>
    <x v="1"/>
    <s v="CON"/>
    <s v="H"/>
    <n v="0"/>
    <n v="0"/>
    <n v="0"/>
    <n v="0"/>
    <n v="0"/>
    <n v="0"/>
    <n v="1363.2213399135371"/>
    <n v="1585.2896105811471"/>
    <n v="0.31114219284206224"/>
    <n v="61"/>
    <n v="70"/>
    <n v="0"/>
    <n v="-9"/>
    <n v="0"/>
    <n v="0.34257555887101293"/>
    <n v="1"/>
    <n v="75.849999999999994"/>
    <n v="75.849999999999994"/>
    <n v="-8.0848295491026843"/>
    <n v="1355.1365103644343"/>
    <n v="0"/>
    <n v="1"/>
    <n v="0"/>
    <n v="0"/>
    <n v="0"/>
    <n v="0"/>
    <n v="0"/>
    <n v="0"/>
    <n v="0"/>
    <n v="0"/>
  </r>
  <r>
    <d v="2023-05-19T00:00:00"/>
    <n v="2023"/>
    <x v="0"/>
    <s v="R"/>
    <s v="RS"/>
    <x v="2"/>
    <s v="LAS"/>
    <s v="A"/>
    <n v="0"/>
    <n v="0"/>
    <n v="0"/>
    <n v="0"/>
    <n v="0"/>
    <n v="0"/>
    <n v="1468.0962782523327"/>
    <n v="1427.143817421003"/>
    <n v="0.43836468512774368"/>
    <n v="71"/>
    <n v="94"/>
    <n v="0"/>
    <n v="-23"/>
    <n v="0"/>
    <n v="0.59503111229551453"/>
    <n v="1"/>
    <n v="75.849999999999994"/>
    <n v="75.849999999999994"/>
    <n v="-19.784761495952811"/>
    <n v="1448.3115167563799"/>
    <n v="0"/>
    <n v="1"/>
    <n v="0"/>
    <n v="0"/>
    <n v="0"/>
    <n v="0"/>
    <n v="0"/>
    <n v="0"/>
    <n v="0"/>
    <n v="0"/>
  </r>
  <r>
    <d v="2023-05-19T00:00:00"/>
    <n v="2023"/>
    <x v="0"/>
    <s v="R"/>
    <s v="RS"/>
    <x v="3"/>
    <s v="PHX"/>
    <s v="H"/>
    <n v="0"/>
    <n v="0"/>
    <n v="0"/>
    <n v="0"/>
    <n v="0"/>
    <n v="0"/>
    <n v="1427.143817421003"/>
    <n v="1468.0962782523327"/>
    <n v="0.56163531487225626"/>
    <n v="94"/>
    <n v="71"/>
    <n v="0"/>
    <n v="23"/>
    <n v="1"/>
    <n v="0.59503111229551453"/>
    <n v="1"/>
    <n v="75.849999999999994"/>
    <n v="75.849999999999994"/>
    <n v="19.784761495952811"/>
    <n v="1446.9285789169558"/>
    <n v="1"/>
    <n v="0"/>
    <n v="0"/>
    <n v="0"/>
    <n v="0"/>
    <n v="0"/>
    <n v="0"/>
    <n v="0"/>
    <n v="0"/>
    <n v="0"/>
  </r>
  <r>
    <d v="2023-05-19T00:00:00"/>
    <n v="2023"/>
    <x v="0"/>
    <s v="R"/>
    <s v="RS"/>
    <x v="4"/>
    <s v="MIN"/>
    <s v="A"/>
    <n v="0"/>
    <n v="0"/>
    <n v="0"/>
    <n v="0"/>
    <n v="0"/>
    <n v="0"/>
    <n v="1559.865040954254"/>
    <n v="1492.1305572140786"/>
    <n v="0.47660912678836742"/>
    <n v="77"/>
    <n v="66"/>
    <n v="0"/>
    <n v="11"/>
    <n v="1"/>
    <n v="0.41633573203119711"/>
    <n v="1"/>
    <n v="75.849999999999994"/>
    <n v="75.849999999999994"/>
    <n v="16.528194549262398"/>
    <n v="1576.3932355035165"/>
    <n v="1"/>
    <n v="0"/>
    <n v="0"/>
    <n v="0"/>
    <n v="0"/>
    <n v="0"/>
    <n v="0"/>
    <n v="0"/>
    <n v="0"/>
    <n v="0"/>
  </r>
  <r>
    <d v="2023-05-19T00:00:00"/>
    <n v="2023"/>
    <x v="0"/>
    <s v="R"/>
    <s v="RS"/>
    <x v="5"/>
    <s v="CHI"/>
    <s v="H"/>
    <n v="0"/>
    <n v="0"/>
    <n v="0"/>
    <n v="0"/>
    <n v="0"/>
    <n v="0"/>
    <n v="1492.1305572140786"/>
    <n v="1559.865040954254"/>
    <n v="0.52339087321163247"/>
    <n v="66"/>
    <n v="77"/>
    <n v="0"/>
    <n v="-11"/>
    <n v="0"/>
    <n v="0.41633573203119711"/>
    <n v="1"/>
    <n v="75.849999999999994"/>
    <n v="75.849999999999994"/>
    <n v="-16.528194549262395"/>
    <n v="1475.6023626648162"/>
    <n v="0"/>
    <n v="1"/>
    <n v="0"/>
    <n v="0"/>
    <n v="0"/>
    <n v="0"/>
    <n v="0"/>
    <n v="0"/>
    <n v="0"/>
    <n v="0"/>
  </r>
  <r>
    <d v="2023-05-19T00:00:00"/>
    <n v="2023"/>
    <x v="0"/>
    <s v="R"/>
    <s v="RS"/>
    <x v="6"/>
    <s v="WAS"/>
    <s v="A"/>
    <n v="0"/>
    <n v="0"/>
    <n v="0"/>
    <n v="0"/>
    <n v="0"/>
    <n v="0"/>
    <n v="1484.0531149140938"/>
    <n v="1524.505558076713"/>
    <n v="0.3281849294901853"/>
    <n v="64"/>
    <n v="80"/>
    <n v="0"/>
    <n v="-16"/>
    <n v="0"/>
    <n v="0.50090049172051831"/>
    <n v="1"/>
    <n v="75.849999999999994"/>
    <n v="75.849999999999994"/>
    <n v="-12.468829235440671"/>
    <n v="1471.5842856786533"/>
    <n v="0"/>
    <n v="1"/>
    <n v="0"/>
    <n v="0"/>
    <n v="0"/>
    <n v="0"/>
    <n v="0"/>
    <n v="0"/>
    <n v="0"/>
    <n v="0"/>
  </r>
  <r>
    <d v="2023-05-19T00:00:00"/>
    <n v="2023"/>
    <x v="0"/>
    <s v="R"/>
    <s v="RS"/>
    <x v="7"/>
    <s v="NYL"/>
    <s v="H"/>
    <n v="0"/>
    <n v="0"/>
    <n v="0"/>
    <n v="0"/>
    <n v="0"/>
    <n v="0"/>
    <n v="1524.505558076713"/>
    <n v="1484.0531149140938"/>
    <n v="0.6718150705098147"/>
    <n v="80"/>
    <n v="64"/>
    <n v="0"/>
    <n v="16"/>
    <n v="1"/>
    <n v="0.50090049172051831"/>
    <n v="1"/>
    <n v="75.849999999999994"/>
    <n v="75.849999999999994"/>
    <n v="12.468829235440671"/>
    <n v="1536.9743873121536"/>
    <n v="1"/>
    <n v="0"/>
    <n v="0"/>
    <n v="0"/>
    <n v="0"/>
    <n v="0"/>
    <n v="0"/>
    <n v="0"/>
    <n v="0"/>
    <n v="0"/>
  </r>
  <r>
    <d v="2023-05-20T00:00:00"/>
    <n v="2023"/>
    <x v="0"/>
    <s v="R"/>
    <s v="RS"/>
    <x v="8"/>
    <s v="DAL"/>
    <s v="A"/>
    <n v="1"/>
    <n v="1"/>
    <n v="0"/>
    <n v="0"/>
    <n v="0"/>
    <n v="0"/>
    <n v="1441.3338710373844"/>
    <n v="1496.7381251332204"/>
    <n v="0.30949625737179137"/>
    <n v="78"/>
    <n v="85"/>
    <n v="0"/>
    <n v="-7"/>
    <n v="0"/>
    <n v="0.35377338059480545"/>
    <n v="1"/>
    <n v="75.849999999999994"/>
    <n v="75.849999999999994"/>
    <n v="-8.304933100553475"/>
    <n v="1433.028937936831"/>
    <n v="0"/>
    <n v="1"/>
    <n v="0"/>
    <n v="0"/>
    <n v="0"/>
    <n v="0"/>
    <n v="0"/>
    <n v="0"/>
    <n v="0"/>
    <n v="0"/>
  </r>
  <r>
    <d v="2023-05-20T00:00:00"/>
    <n v="2023"/>
    <x v="0"/>
    <s v="R"/>
    <s v="RS"/>
    <x v="9"/>
    <s v="ATL"/>
    <s v="H"/>
    <n v="1"/>
    <n v="1"/>
    <n v="0"/>
    <n v="0"/>
    <n v="0"/>
    <n v="0"/>
    <n v="1496.7381251332204"/>
    <n v="1441.3338710373844"/>
    <n v="0.69050374262820868"/>
    <n v="85"/>
    <n v="78"/>
    <n v="0"/>
    <n v="7"/>
    <n v="1"/>
    <n v="0.35377338059480545"/>
    <n v="1"/>
    <n v="75.849999999999994"/>
    <n v="75.849999999999994"/>
    <n v="8.3049331005534732"/>
    <n v="1505.0430582337738"/>
    <n v="1"/>
    <n v="0"/>
    <n v="0"/>
    <n v="0"/>
    <n v="0"/>
    <n v="0"/>
    <n v="0"/>
    <n v="0"/>
    <n v="0"/>
    <n v="0"/>
  </r>
  <r>
    <d v="2023-05-20T00:00:00"/>
    <n v="2023"/>
    <x v="0"/>
    <s v="R"/>
    <s v="RS"/>
    <x v="10"/>
    <s v="SEA"/>
    <s v="A"/>
    <n v="1"/>
    <n v="1"/>
    <n v="0"/>
    <n v="0"/>
    <n v="0"/>
    <n v="0"/>
    <n v="1608.6249218888083"/>
    <n v="1549.3393609252562"/>
    <n v="0.46449293190951352"/>
    <n v="105"/>
    <n v="64"/>
    <n v="0"/>
    <n v="41"/>
    <n v="1"/>
    <n v="0.78982427091725604"/>
    <n v="1"/>
    <n v="75.849999999999994"/>
    <n v="75.849999999999994"/>
    <n v="32.081248979602208"/>
    <n v="1640.7061708684105"/>
    <n v="1"/>
    <n v="0"/>
    <n v="0"/>
    <n v="0"/>
    <n v="0"/>
    <n v="0"/>
    <n v="0"/>
    <n v="0"/>
    <n v="0"/>
    <n v="0"/>
  </r>
  <r>
    <d v="2023-05-20T00:00:00"/>
    <n v="2023"/>
    <x v="0"/>
    <s v="R"/>
    <s v="RS"/>
    <x v="11"/>
    <s v="LVA"/>
    <s v="H"/>
    <n v="1"/>
    <n v="1"/>
    <n v="0"/>
    <n v="0"/>
    <n v="0"/>
    <n v="0"/>
    <n v="1549.3393609252562"/>
    <n v="1608.6249218888083"/>
    <n v="0.53550706809048654"/>
    <n v="64"/>
    <n v="105"/>
    <n v="0"/>
    <n v="-41"/>
    <n v="0"/>
    <n v="0.78982427091725604"/>
    <n v="1"/>
    <n v="75.849999999999994"/>
    <n v="75.849999999999994"/>
    <n v="-32.081248979602208"/>
    <n v="1517.258111945654"/>
    <n v="0"/>
    <n v="1"/>
    <n v="0"/>
    <n v="0"/>
    <n v="0"/>
    <n v="0"/>
    <n v="0"/>
    <n v="0"/>
    <n v="0"/>
    <n v="0"/>
  </r>
  <r>
    <d v="2023-05-21T00:00:00"/>
    <n v="2023"/>
    <x v="1"/>
    <s v="R"/>
    <s v="RS"/>
    <x v="7"/>
    <s v="CON"/>
    <s v="A"/>
    <n v="1"/>
    <n v="1"/>
    <n v="0"/>
    <n v="0"/>
    <n v="0"/>
    <n v="0"/>
    <n v="1536.9743873121536"/>
    <n v="1593.3744401302499"/>
    <n v="0.30827256144926535"/>
    <n v="74"/>
    <n v="80"/>
    <n v="0"/>
    <n v="-6"/>
    <n v="0"/>
    <n v="0.33551169658397079"/>
    <n v="1"/>
    <n v="75.7"/>
    <n v="75.7"/>
    <n v="-7.8295790927311968"/>
    <n v="1529.1448082194224"/>
    <n v="0"/>
    <n v="1"/>
    <n v="0"/>
    <n v="0"/>
    <n v="0"/>
    <n v="0"/>
    <n v="0"/>
    <n v="0"/>
    <n v="0"/>
    <n v="0"/>
  </r>
  <r>
    <d v="2023-05-21T00:00:00"/>
    <n v="2023"/>
    <x v="1"/>
    <s v="R"/>
    <s v="RS"/>
    <x v="0"/>
    <s v="WAS"/>
    <s v="H"/>
    <n v="1"/>
    <n v="1"/>
    <n v="0"/>
    <n v="0"/>
    <n v="0"/>
    <n v="0"/>
    <n v="1593.3744401302499"/>
    <n v="1536.9743873121536"/>
    <n v="0.69172743855073471"/>
    <n v="80"/>
    <n v="74"/>
    <n v="0"/>
    <n v="6"/>
    <n v="1"/>
    <n v="0.33551169658397079"/>
    <n v="1"/>
    <n v="75.7"/>
    <n v="75.7"/>
    <n v="7.829579092731195"/>
    <n v="1601.2040192229811"/>
    <n v="1"/>
    <n v="0"/>
    <n v="0"/>
    <n v="0"/>
    <n v="0"/>
    <n v="0"/>
    <n v="0"/>
    <n v="0"/>
    <n v="0"/>
    <n v="0"/>
  </r>
  <r>
    <d v="2023-05-21T00:00:00"/>
    <n v="2023"/>
    <x v="1"/>
    <s v="R"/>
    <s v="RS"/>
    <x v="1"/>
    <s v="NYL"/>
    <s v="A"/>
    <n v="1"/>
    <n v="1"/>
    <n v="0"/>
    <n v="0"/>
    <n v="0"/>
    <n v="0"/>
    <n v="1355.1365103644343"/>
    <n v="1471.5842856786533"/>
    <n v="0.23978289477757767"/>
    <n v="73"/>
    <n v="90"/>
    <n v="0"/>
    <n v="-17"/>
    <n v="0"/>
    <n v="0.48534434474310412"/>
    <n v="1"/>
    <n v="75.7"/>
    <n v="75.7"/>
    <n v="-8.8097594863446087"/>
    <n v="1346.3267508780898"/>
    <n v="0"/>
    <n v="1"/>
    <n v="0"/>
    <n v="0"/>
    <n v="0"/>
    <n v="0"/>
    <n v="0"/>
    <n v="0"/>
    <n v="0"/>
    <n v="0"/>
  </r>
  <r>
    <d v="2023-05-21T00:00:00"/>
    <n v="2023"/>
    <x v="1"/>
    <s v="R"/>
    <s v="RS"/>
    <x v="6"/>
    <s v="IND"/>
    <s v="H"/>
    <n v="1"/>
    <n v="1"/>
    <n v="0"/>
    <n v="0"/>
    <n v="0"/>
    <n v="0"/>
    <n v="1471.5842856786533"/>
    <n v="1355.1365103644343"/>
    <n v="0.76021710522242236"/>
    <n v="90"/>
    <n v="73"/>
    <n v="0"/>
    <n v="17"/>
    <n v="1"/>
    <n v="0.48534434474310412"/>
    <n v="1"/>
    <n v="75.7"/>
    <n v="75.7"/>
    <n v="8.8097594863446087"/>
    <n v="1480.3940451649978"/>
    <n v="1"/>
    <n v="0"/>
    <n v="0"/>
    <n v="0"/>
    <n v="0"/>
    <n v="0"/>
    <n v="0"/>
    <n v="0"/>
    <n v="0"/>
    <n v="0"/>
  </r>
  <r>
    <d v="2023-05-21T00:00:00"/>
    <n v="2023"/>
    <x v="1"/>
    <s v="R"/>
    <s v="RS"/>
    <x v="4"/>
    <s v="PHX"/>
    <s v="A"/>
    <n v="1"/>
    <n v="1"/>
    <n v="0"/>
    <n v="0"/>
    <n v="0"/>
    <n v="0"/>
    <n v="1576.3932355035165"/>
    <n v="1448.3115167563799"/>
    <n v="0.5631004612471795"/>
    <n v="75"/>
    <n v="69"/>
    <n v="0"/>
    <n v="6"/>
    <n v="1"/>
    <n v="0.31740284303201793"/>
    <n v="1"/>
    <n v="75.7"/>
    <n v="75.7"/>
    <n v="10.497557887967854"/>
    <n v="1586.8907933914843"/>
    <n v="1"/>
    <n v="0"/>
    <n v="0"/>
    <n v="0"/>
    <n v="0"/>
    <n v="0"/>
    <n v="0"/>
    <n v="0"/>
    <n v="0"/>
    <n v="0"/>
  </r>
  <r>
    <d v="2023-05-21T00:00:00"/>
    <n v="2023"/>
    <x v="1"/>
    <s v="R"/>
    <s v="RS"/>
    <x v="2"/>
    <s v="CHI"/>
    <s v="H"/>
    <n v="1"/>
    <n v="1"/>
    <n v="0"/>
    <n v="0"/>
    <n v="0"/>
    <n v="0"/>
    <n v="1448.3115167563799"/>
    <n v="1576.3932355035165"/>
    <n v="0.43689953875282056"/>
    <n v="69"/>
    <n v="75"/>
    <n v="0"/>
    <n v="-6"/>
    <n v="0"/>
    <n v="0.31740284303201793"/>
    <n v="1"/>
    <n v="75.7"/>
    <n v="75.7"/>
    <n v="-10.497557887967856"/>
    <n v="1437.8139588684121"/>
    <n v="0"/>
    <n v="1"/>
    <n v="0"/>
    <n v="0"/>
    <n v="0"/>
    <n v="0"/>
    <n v="0"/>
    <n v="0"/>
    <n v="0"/>
    <n v="0"/>
  </r>
  <r>
    <d v="2023-05-23T00:00:00"/>
    <n v="2023"/>
    <x v="1"/>
    <s v="R"/>
    <s v="RS"/>
    <x v="8"/>
    <s v="MIN"/>
    <s v="A"/>
    <n v="2"/>
    <n v="3"/>
    <n v="-1"/>
    <n v="1"/>
    <n v="-8"/>
    <n v="8"/>
    <n v="1433.028937936831"/>
    <n v="1475.6023626648162"/>
    <n v="0.30561114105973919"/>
    <n v="83"/>
    <n v="77"/>
    <n v="0"/>
    <n v="6"/>
    <n v="1"/>
    <n v="0.33924507390898828"/>
    <n v="1"/>
    <n v="75.7"/>
    <n v="75.7"/>
    <n v="17.83249758279845"/>
    <n v="1450.8614355196294"/>
    <n v="1"/>
    <n v="0"/>
    <n v="0"/>
    <n v="0"/>
    <n v="0"/>
    <n v="0"/>
    <n v="0"/>
    <n v="0"/>
    <n v="0"/>
    <n v="0"/>
  </r>
  <r>
    <d v="2023-05-23T00:00:00"/>
    <n v="2023"/>
    <x v="1"/>
    <s v="R"/>
    <s v="RS"/>
    <x v="5"/>
    <s v="ATL"/>
    <s v="H"/>
    <n v="3"/>
    <n v="2"/>
    <n v="1"/>
    <n v="-1"/>
    <n v="8"/>
    <n v="-8"/>
    <n v="1475.6023626648162"/>
    <n v="1433.028937936831"/>
    <n v="0.69438885894026081"/>
    <n v="77"/>
    <n v="83"/>
    <n v="0"/>
    <n v="-6"/>
    <n v="0"/>
    <n v="0.33924507390898828"/>
    <n v="1"/>
    <n v="75.7"/>
    <n v="75.7"/>
    <n v="-17.83249758279845"/>
    <n v="1457.7698650820178"/>
    <n v="0"/>
    <n v="1"/>
    <n v="0"/>
    <n v="0"/>
    <n v="0"/>
    <n v="0"/>
    <n v="0"/>
    <n v="0"/>
    <n v="0"/>
    <n v="0"/>
  </r>
  <r>
    <d v="2023-05-23T00:00:00"/>
    <n v="2023"/>
    <x v="2"/>
    <s v="R"/>
    <s v="RS"/>
    <x v="0"/>
    <s v="WAS"/>
    <s v="A"/>
    <n v="1"/>
    <n v="1"/>
    <n v="0"/>
    <n v="0"/>
    <n v="0"/>
    <n v="0"/>
    <n v="1601.2040192229811"/>
    <n v="1529.1448082194224"/>
    <n v="0.48282258598111299"/>
    <n v="88"/>
    <n v="81"/>
    <n v="0"/>
    <n v="7"/>
    <n v="1"/>
    <n v="0.34914145752240583"/>
    <n v="1"/>
    <n v="75.55"/>
    <n v="75.55"/>
    <n v="13.641918151487241"/>
    <n v="1614.8459373744683"/>
    <n v="1"/>
    <n v="0"/>
    <n v="0"/>
    <n v="0"/>
    <n v="0"/>
    <n v="0"/>
    <n v="0"/>
    <n v="0"/>
    <n v="0"/>
    <n v="0"/>
  </r>
  <r>
    <d v="2023-05-23T00:00:00"/>
    <n v="2023"/>
    <x v="2"/>
    <s v="R"/>
    <s v="RS"/>
    <x v="7"/>
    <s v="CON"/>
    <s v="H"/>
    <n v="1"/>
    <n v="1"/>
    <n v="0"/>
    <n v="0"/>
    <n v="0"/>
    <n v="0"/>
    <n v="1529.1448082194224"/>
    <n v="1601.2040192229811"/>
    <n v="0.51717741401888695"/>
    <n v="81"/>
    <n v="88"/>
    <n v="0"/>
    <n v="-7"/>
    <n v="0"/>
    <n v="0.34914145752240583"/>
    <n v="1"/>
    <n v="75.55"/>
    <n v="75.55"/>
    <n v="-13.641918151487241"/>
    <n v="1515.5028900679351"/>
    <n v="0"/>
    <n v="1"/>
    <n v="0"/>
    <n v="0"/>
    <n v="0"/>
    <n v="0"/>
    <n v="0"/>
    <n v="0"/>
    <n v="0"/>
    <n v="0"/>
  </r>
  <r>
    <d v="2023-05-25T00:00:00"/>
    <n v="2023"/>
    <x v="1"/>
    <s v="R"/>
    <s v="RS"/>
    <x v="10"/>
    <s v="LAS"/>
    <s v="A"/>
    <n v="4"/>
    <n v="5"/>
    <n v="-1"/>
    <n v="1"/>
    <n v="-8"/>
    <n v="8"/>
    <n v="1640.7061708684105"/>
    <n v="1446.9285789169558"/>
    <n v="0.63177222220981422"/>
    <n v="94"/>
    <n v="85"/>
    <n v="0"/>
    <n v="9"/>
    <n v="1"/>
    <n v="0.34952910377515911"/>
    <n v="1"/>
    <n v="75.7"/>
    <n v="75.7"/>
    <n v="9.7430688143184412"/>
    <n v="1650.4492396827288"/>
    <n v="1"/>
    <n v="0"/>
    <n v="0"/>
    <n v="0"/>
    <n v="0"/>
    <n v="0"/>
    <n v="0"/>
    <n v="0"/>
    <n v="0"/>
    <n v="0"/>
  </r>
  <r>
    <d v="2023-05-25T00:00:00"/>
    <n v="2023"/>
    <x v="1"/>
    <s v="R"/>
    <s v="RS"/>
    <x v="3"/>
    <s v="LVA"/>
    <s v="H"/>
    <n v="5"/>
    <n v="4"/>
    <n v="1"/>
    <n v="-1"/>
    <n v="8"/>
    <n v="-8"/>
    <n v="1446.9285789169558"/>
    <n v="1640.7061708684105"/>
    <n v="0.36822777779018584"/>
    <n v="85"/>
    <n v="94"/>
    <n v="0"/>
    <n v="-9"/>
    <n v="0"/>
    <n v="0.34952910377515911"/>
    <n v="1"/>
    <n v="75.7"/>
    <n v="75.7"/>
    <n v="-9.743068814318443"/>
    <n v="1437.1855101026374"/>
    <n v="0"/>
    <n v="1"/>
    <n v="0"/>
    <n v="0"/>
    <n v="0"/>
    <n v="0"/>
    <n v="0"/>
    <n v="0"/>
    <n v="0"/>
    <n v="0"/>
  </r>
  <r>
    <d v="2023-05-25T00:00:00"/>
    <n v="2023"/>
    <x v="2"/>
    <s v="R"/>
    <s v="RS"/>
    <x v="5"/>
    <s v="PHX"/>
    <s v="A"/>
    <n v="1"/>
    <n v="3"/>
    <n v="-2"/>
    <n v="2"/>
    <n v="-16"/>
    <n v="16"/>
    <n v="1457.7698650820178"/>
    <n v="1437.8139588684121"/>
    <n v="0.36519781927461786"/>
    <n v="81"/>
    <n v="90"/>
    <n v="0"/>
    <n v="-9"/>
    <n v="0"/>
    <n v="0.39933068899901047"/>
    <n v="1"/>
    <n v="75.55"/>
    <n v="75.55"/>
    <n v="-11.017811342625722"/>
    <n v="1446.7520537393921"/>
    <n v="0"/>
    <n v="1"/>
    <n v="0"/>
    <n v="0"/>
    <n v="0"/>
    <n v="0"/>
    <n v="0"/>
    <n v="0"/>
    <n v="0"/>
    <n v="0"/>
  </r>
  <r>
    <d v="2023-05-25T00:00:00"/>
    <n v="2023"/>
    <x v="2"/>
    <s v="R"/>
    <s v="RS"/>
    <x v="2"/>
    <s v="MIN"/>
    <s v="H"/>
    <n v="3"/>
    <n v="1"/>
    <n v="2"/>
    <n v="-2"/>
    <n v="16"/>
    <n v="-16"/>
    <n v="1437.8139588684121"/>
    <n v="1457.7698650820178"/>
    <n v="0.63480218072538208"/>
    <n v="90"/>
    <n v="81"/>
    <n v="0"/>
    <n v="9"/>
    <n v="1"/>
    <n v="0.39933068899901047"/>
    <n v="1"/>
    <n v="75.55"/>
    <n v="75.55"/>
    <n v="11.017811342625723"/>
    <n v="1448.8317702110378"/>
    <n v="1"/>
    <n v="0"/>
    <n v="0"/>
    <n v="0"/>
    <n v="0"/>
    <n v="0"/>
    <n v="0"/>
    <n v="0"/>
    <n v="0"/>
    <n v="0"/>
  </r>
  <r>
    <d v="2023-05-26T00:00:00"/>
    <n v="2023"/>
    <x v="3"/>
    <s v="R"/>
    <s v="RS"/>
    <x v="7"/>
    <s v="CHI"/>
    <s v="A"/>
    <n v="2"/>
    <n v="4"/>
    <n v="-2"/>
    <n v="2"/>
    <n v="-16"/>
    <n v="16"/>
    <n v="1515.5028900679351"/>
    <n v="1586.8907933914843"/>
    <n v="0.25375372140548241"/>
    <n v="71"/>
    <n v="69"/>
    <n v="0"/>
    <n v="2"/>
    <n v="1"/>
    <n v="0.25280214176287463"/>
    <n v="1"/>
    <n v="75.400000000000006"/>
    <n v="75.400000000000006"/>
    <n v="14.224410376349676"/>
    <n v="1529.7273004442848"/>
    <n v="1"/>
    <n v="0"/>
    <n v="0"/>
    <n v="0"/>
    <n v="0"/>
    <n v="0"/>
    <n v="0"/>
    <n v="0"/>
    <n v="0"/>
    <n v="0"/>
  </r>
  <r>
    <d v="2023-05-26T00:00:00"/>
    <n v="2023"/>
    <x v="2"/>
    <s v="R"/>
    <s v="RS"/>
    <x v="4"/>
    <s v="WAS"/>
    <s v="H"/>
    <n v="4"/>
    <n v="2"/>
    <n v="2"/>
    <n v="-2"/>
    <n v="16"/>
    <n v="-16"/>
    <n v="1586.8907933914843"/>
    <n v="1515.5028900679351"/>
    <n v="0.74624627859451764"/>
    <n v="69"/>
    <n v="71"/>
    <n v="0"/>
    <n v="-2"/>
    <n v="0"/>
    <n v="0.25280214176287463"/>
    <n v="1"/>
    <n v="75.55"/>
    <n v="75.55"/>
    <n v="-14.252708274976364"/>
    <n v="1572.6380851165079"/>
    <n v="0"/>
    <n v="1"/>
    <n v="0"/>
    <n v="0"/>
    <n v="0"/>
    <n v="0"/>
    <n v="0"/>
    <n v="0"/>
    <n v="0"/>
    <n v="0"/>
  </r>
  <r>
    <d v="2023-05-26T00:00:00"/>
    <n v="2023"/>
    <x v="1"/>
    <s v="R"/>
    <s v="RS"/>
    <x v="9"/>
    <s v="SEA"/>
    <s v="A"/>
    <n v="5"/>
    <n v="5"/>
    <n v="0"/>
    <n v="0"/>
    <n v="0"/>
    <n v="0"/>
    <n v="1505.0430582337738"/>
    <n v="1517.258111945654"/>
    <n v="0.36496970158880815"/>
    <n v="95"/>
    <n v="91"/>
    <n v="0"/>
    <n v="4"/>
    <n v="1"/>
    <n v="0.30829453960359821"/>
    <n v="1"/>
    <n v="75.7"/>
    <n v="75.7"/>
    <n v="14.820271472664158"/>
    <n v="1519.863329706438"/>
    <n v="1"/>
    <n v="0"/>
    <n v="0"/>
    <n v="0"/>
    <n v="0"/>
    <n v="0"/>
    <n v="0"/>
    <n v="0"/>
    <n v="0"/>
    <n v="0"/>
  </r>
  <r>
    <d v="2023-05-26T00:00:00"/>
    <n v="2023"/>
    <x v="1"/>
    <s v="R"/>
    <s v="RS"/>
    <x v="11"/>
    <s v="DAL"/>
    <s v="H"/>
    <n v="5"/>
    <n v="5"/>
    <n v="0"/>
    <n v="0"/>
    <n v="0"/>
    <n v="0"/>
    <n v="1517.258111945654"/>
    <n v="1505.0430582337738"/>
    <n v="0.63503029841119185"/>
    <n v="91"/>
    <n v="95"/>
    <n v="0"/>
    <n v="-4"/>
    <n v="0"/>
    <n v="0.30829453960359821"/>
    <n v="1"/>
    <n v="75.7"/>
    <n v="75.7"/>
    <n v="-14.820271472664158"/>
    <n v="1502.4378404729898"/>
    <n v="0"/>
    <n v="1"/>
    <n v="0"/>
    <n v="0"/>
    <n v="0"/>
    <n v="0"/>
    <n v="0"/>
    <n v="0"/>
    <n v="0"/>
    <n v="0"/>
  </r>
  <r>
    <d v="2023-05-27T00:00:00"/>
    <n v="2023"/>
    <x v="2"/>
    <s v="R"/>
    <s v="RS"/>
    <x v="3"/>
    <s v="LVA"/>
    <s v="A"/>
    <n v="1"/>
    <n v="1"/>
    <n v="0"/>
    <n v="0"/>
    <n v="0"/>
    <n v="0"/>
    <n v="1437.1855101026374"/>
    <n v="1650.4492396827288"/>
    <n v="0.15300974448822846"/>
    <n v="65"/>
    <n v="93"/>
    <n v="0"/>
    <n v="-28"/>
    <n v="0"/>
    <n v="0.5766139574864827"/>
    <n v="1"/>
    <n v="75.55"/>
    <n v="75.55"/>
    <n v="-6.665591727618315"/>
    <n v="1430.5199183750192"/>
    <n v="0"/>
    <n v="1"/>
    <n v="0"/>
    <n v="0"/>
    <n v="0"/>
    <n v="0"/>
    <n v="0"/>
    <n v="0"/>
    <n v="0"/>
    <n v="0"/>
  </r>
  <r>
    <d v="2023-05-27T00:00:00"/>
    <n v="2023"/>
    <x v="2"/>
    <s v="R"/>
    <s v="RS"/>
    <x v="10"/>
    <s v="LAS"/>
    <s v="H"/>
    <n v="1"/>
    <n v="1"/>
    <n v="0"/>
    <n v="0"/>
    <n v="0"/>
    <n v="0"/>
    <n v="1650.4492396827288"/>
    <n v="1437.1855101026374"/>
    <n v="0.84699025551177154"/>
    <n v="93"/>
    <n v="65"/>
    <n v="0"/>
    <n v="28"/>
    <n v="1"/>
    <n v="0.5766139574864827"/>
    <n v="1"/>
    <n v="75.55"/>
    <n v="75.55"/>
    <n v="6.665591727618315"/>
    <n v="1657.1148314103471"/>
    <n v="1"/>
    <n v="0"/>
    <n v="0"/>
    <n v="0"/>
    <n v="0"/>
    <n v="0"/>
    <n v="0"/>
    <n v="0"/>
    <n v="0"/>
    <n v="0"/>
  </r>
  <r>
    <d v="2023-05-27T00:00:00"/>
    <n v="2023"/>
    <x v="3"/>
    <s v="R"/>
    <s v="RS"/>
    <x v="0"/>
    <s v="NYL"/>
    <s v="A"/>
    <n v="3"/>
    <n v="5"/>
    <n v="-2"/>
    <n v="2"/>
    <n v="-16"/>
    <n v="16"/>
    <n v="1614.8459373744683"/>
    <n v="1480.3940451649978"/>
    <n v="0.52652946961898317"/>
    <n v="65"/>
    <n v="81"/>
    <n v="0"/>
    <n v="-16"/>
    <n v="0"/>
    <n v="0.4656168141867652"/>
    <n v="1"/>
    <n v="75.400000000000006"/>
    <n v="75.400000000000006"/>
    <n v="-18.485137456145633"/>
    <n v="1596.3607999183228"/>
    <n v="0"/>
    <n v="1"/>
    <n v="0"/>
    <n v="0"/>
    <n v="0"/>
    <n v="0"/>
    <n v="0"/>
    <n v="0"/>
    <n v="0"/>
    <n v="0"/>
  </r>
  <r>
    <d v="2023-05-27T00:00:00"/>
    <n v="2023"/>
    <x v="2"/>
    <s v="R"/>
    <s v="RS"/>
    <x v="6"/>
    <s v="CON"/>
    <s v="H"/>
    <n v="5"/>
    <n v="3"/>
    <n v="2"/>
    <n v="-2"/>
    <n v="16"/>
    <n v="-16"/>
    <n v="1480.3940451649978"/>
    <n v="1614.8459373744683"/>
    <n v="0.47347053038101672"/>
    <n v="81"/>
    <n v="65"/>
    <n v="0"/>
    <n v="16"/>
    <n v="1"/>
    <n v="0.4656168141867652"/>
    <n v="1"/>
    <n v="75.55"/>
    <n v="75.55"/>
    <n v="18.521911602278553"/>
    <n v="1498.9159567672764"/>
    <n v="1"/>
    <n v="0"/>
    <n v="0"/>
    <n v="0"/>
    <n v="0"/>
    <n v="0"/>
    <n v="0"/>
    <n v="0"/>
    <n v="0"/>
    <n v="0"/>
  </r>
  <r>
    <d v="2023-05-28T00:00:00"/>
    <n v="2023"/>
    <x v="2"/>
    <s v="R"/>
    <s v="RS"/>
    <x v="1"/>
    <s v="ATL"/>
    <s v="A"/>
    <n v="6"/>
    <n v="4"/>
    <n v="2"/>
    <n v="-2"/>
    <n v="16"/>
    <n v="-16"/>
    <n v="1346.3267508780898"/>
    <n v="1450.8614355196294"/>
    <n v="0.28882735905813367"/>
    <n v="90"/>
    <n v="87"/>
    <n v="0"/>
    <n v="3"/>
    <n v="1"/>
    <n v="0.26693059940689406"/>
    <n v="1"/>
    <n v="75.55"/>
    <n v="75.55"/>
    <n v="14.341939006260336"/>
    <n v="1360.6686898843502"/>
    <n v="1"/>
    <n v="0"/>
    <n v="0"/>
    <n v="0"/>
    <n v="0"/>
    <n v="0"/>
    <n v="0"/>
    <n v="0"/>
    <n v="0"/>
    <n v="0"/>
  </r>
  <r>
    <d v="2023-05-28T00:00:00"/>
    <n v="2023"/>
    <x v="2"/>
    <s v="R"/>
    <s v="RS"/>
    <x v="8"/>
    <s v="IND"/>
    <s v="H"/>
    <n v="4"/>
    <n v="6"/>
    <n v="-2"/>
    <n v="2"/>
    <n v="-16"/>
    <n v="16"/>
    <n v="1450.8614355196294"/>
    <n v="1346.3267508780898"/>
    <n v="0.71117264094186627"/>
    <n v="87"/>
    <n v="90"/>
    <n v="0"/>
    <n v="-3"/>
    <n v="0"/>
    <n v="0.26693059940689406"/>
    <n v="1"/>
    <n v="75.55"/>
    <n v="75.55"/>
    <n v="-14.341939006260334"/>
    <n v="1436.5194965133689"/>
    <n v="0"/>
    <n v="1"/>
    <n v="0"/>
    <n v="0"/>
    <n v="0"/>
    <n v="0"/>
    <n v="0"/>
    <n v="0"/>
    <n v="0"/>
    <n v="0"/>
  </r>
  <r>
    <d v="2023-05-28T00:00:00"/>
    <n v="2023"/>
    <x v="2"/>
    <s v="R"/>
    <s v="RS"/>
    <x v="9"/>
    <s v="CHI"/>
    <s v="A"/>
    <n v="1"/>
    <n v="1"/>
    <n v="0"/>
    <n v="0"/>
    <n v="0"/>
    <n v="0"/>
    <n v="1519.863329706438"/>
    <n v="1572.6380851165079"/>
    <n v="0.31274036990251292"/>
    <n v="88"/>
    <n v="94"/>
    <n v="0"/>
    <n v="-6"/>
    <n v="0"/>
    <n v="0.33648260510422612"/>
    <n v="1"/>
    <n v="75.55"/>
    <n v="75.55"/>
    <n v="-7.9502545108665954"/>
    <n v="1511.9130751955713"/>
    <n v="0"/>
    <n v="1"/>
    <n v="0"/>
    <n v="0"/>
    <n v="0"/>
    <n v="0"/>
    <n v="0"/>
    <n v="0"/>
    <n v="0"/>
    <n v="0"/>
  </r>
  <r>
    <d v="2023-05-28T00:00:00"/>
    <n v="2023"/>
    <x v="3"/>
    <s v="R"/>
    <s v="RS"/>
    <x v="4"/>
    <s v="DAL"/>
    <s v="H"/>
    <n v="1"/>
    <n v="1"/>
    <n v="0"/>
    <n v="0"/>
    <n v="0"/>
    <n v="0"/>
    <n v="1572.6380851165079"/>
    <n v="1519.863329706438"/>
    <n v="0.68725963009748714"/>
    <n v="94"/>
    <n v="88"/>
    <n v="0"/>
    <n v="6"/>
    <n v="1"/>
    <n v="0.33648260510422612"/>
    <n v="1"/>
    <n v="75.400000000000006"/>
    <n v="75.400000000000006"/>
    <n v="7.9344697567086868"/>
    <n v="1580.5725548732166"/>
    <n v="1"/>
    <n v="0"/>
    <n v="0"/>
    <n v="0"/>
    <n v="0"/>
    <n v="0"/>
    <n v="0"/>
    <n v="0"/>
    <n v="0"/>
    <n v="0"/>
  </r>
  <r>
    <d v="2023-05-28T00:00:00"/>
    <n v="2023"/>
    <x v="3"/>
    <s v="R"/>
    <s v="RS"/>
    <x v="5"/>
    <s v="LVA"/>
    <s v="A"/>
    <n v="2"/>
    <n v="0"/>
    <n v="2"/>
    <n v="-2"/>
    <n v="16"/>
    <n v="-16"/>
    <n v="1446.7520537393921"/>
    <n v="1657.1148314103471"/>
    <n v="0.18089707090112653"/>
    <n v="73"/>
    <n v="94"/>
    <n v="0"/>
    <n v="-21"/>
    <n v="0"/>
    <n v="0.5007871439228142"/>
    <n v="1"/>
    <n v="75.400000000000006"/>
    <n v="75.400000000000006"/>
    <n v="-6.8305559320355798"/>
    <n v="1439.9214978073564"/>
    <n v="0"/>
    <n v="1"/>
    <n v="0"/>
    <n v="0"/>
    <n v="0"/>
    <n v="0"/>
    <n v="0"/>
    <n v="0"/>
    <n v="0"/>
    <n v="0"/>
  </r>
  <r>
    <d v="2023-05-28T00:00:00"/>
    <n v="2023"/>
    <x v="3"/>
    <s v="R"/>
    <s v="RS"/>
    <x v="10"/>
    <s v="MIN"/>
    <s v="H"/>
    <n v="0"/>
    <n v="2"/>
    <n v="-2"/>
    <n v="2"/>
    <n v="-16"/>
    <n v="16"/>
    <n v="1657.1148314103471"/>
    <n v="1446.7520537393921"/>
    <n v="0.8191029290988735"/>
    <n v="94"/>
    <n v="73"/>
    <n v="0"/>
    <n v="21"/>
    <n v="1"/>
    <n v="0.5007871439228142"/>
    <n v="1"/>
    <n v="75.400000000000006"/>
    <n v="75.400000000000006"/>
    <n v="6.8305559320355789"/>
    <n v="1663.9453873423827"/>
    <n v="1"/>
    <n v="0"/>
    <n v="0"/>
    <n v="0"/>
    <n v="0"/>
    <n v="0"/>
    <n v="0"/>
    <n v="0"/>
    <n v="0"/>
    <n v="0"/>
  </r>
  <r>
    <d v="2023-05-30T00:00:00"/>
    <n v="2023"/>
    <x v="4"/>
    <s v="R"/>
    <s v="RS"/>
    <x v="4"/>
    <s v="ATL"/>
    <s v="A"/>
    <n v="1"/>
    <n v="1"/>
    <n v="0"/>
    <n v="0"/>
    <n v="0"/>
    <n v="0"/>
    <n v="1580.5725548732166"/>
    <n v="1436.5194965133689"/>
    <n v="0.58557280116392518"/>
    <n v="65"/>
    <n v="83"/>
    <n v="0"/>
    <n v="-18"/>
    <n v="0"/>
    <n v="0.48822530812314013"/>
    <n v="1"/>
    <n v="75.25"/>
    <n v="75.25"/>
    <n v="-21.513332461078271"/>
    <n v="1559.0592224121383"/>
    <n v="0"/>
    <n v="1"/>
    <n v="0"/>
    <n v="0"/>
    <n v="0"/>
    <n v="0"/>
    <n v="0"/>
    <n v="0"/>
    <n v="0"/>
    <n v="0"/>
  </r>
  <r>
    <d v="2023-05-30T00:00:00"/>
    <n v="2023"/>
    <x v="3"/>
    <s v="R"/>
    <s v="RS"/>
    <x v="8"/>
    <s v="CHI"/>
    <s v="H"/>
    <n v="1"/>
    <n v="1"/>
    <n v="0"/>
    <n v="0"/>
    <n v="0"/>
    <n v="0"/>
    <n v="1436.5194965133689"/>
    <n v="1580.5725548732166"/>
    <n v="0.41442719883607482"/>
    <n v="83"/>
    <n v="65"/>
    <n v="0"/>
    <n v="18"/>
    <n v="1"/>
    <n v="0.48822530812314013"/>
    <n v="1"/>
    <n v="75.400000000000006"/>
    <n v="75.400000000000006"/>
    <n v="21.556216180269793"/>
    <n v="1458.0757126936387"/>
    <n v="1"/>
    <n v="0"/>
    <n v="0"/>
    <n v="0"/>
    <n v="0"/>
    <n v="0"/>
    <n v="0"/>
    <n v="0"/>
    <n v="0"/>
    <n v="0"/>
  </r>
  <r>
    <d v="2023-05-30T00:00:00"/>
    <n v="2023"/>
    <x v="3"/>
    <s v="R"/>
    <s v="RS"/>
    <x v="1"/>
    <s v="CON"/>
    <s v="A"/>
    <n v="1"/>
    <n v="2"/>
    <n v="-1"/>
    <n v="1"/>
    <n v="-8"/>
    <n v="8"/>
    <n v="1360.6686898843502"/>
    <n v="1596.3607999183228"/>
    <n v="0.12648527142818142"/>
    <n v="78"/>
    <n v="81"/>
    <n v="0"/>
    <n v="-3"/>
    <n v="0"/>
    <n v="0.24254519676242406"/>
    <n v="1"/>
    <n v="75.400000000000006"/>
    <n v="75.400000000000006"/>
    <n v="-2.3131509864757045"/>
    <n v="1358.3555388978746"/>
    <n v="0"/>
    <n v="1"/>
    <n v="0"/>
    <n v="0"/>
    <n v="0"/>
    <n v="0"/>
    <n v="0"/>
    <n v="0"/>
    <n v="0"/>
    <n v="0"/>
  </r>
  <r>
    <d v="2023-05-30T00:00:00"/>
    <n v="2023"/>
    <x v="4"/>
    <s v="R"/>
    <s v="RS"/>
    <x v="0"/>
    <s v="IND"/>
    <s v="H"/>
    <n v="2"/>
    <n v="1"/>
    <n v="1"/>
    <n v="-1"/>
    <n v="8"/>
    <n v="-8"/>
    <n v="1596.3607999183228"/>
    <n v="1360.6686898843502"/>
    <n v="0.87351472857181844"/>
    <n v="81"/>
    <n v="78"/>
    <n v="0"/>
    <n v="3"/>
    <n v="1"/>
    <n v="0.24254519676242406"/>
    <n v="1"/>
    <n v="75.25"/>
    <n v="75.25"/>
    <n v="2.3085492272187924"/>
    <n v="1598.6693491455414"/>
    <n v="1"/>
    <n v="0"/>
    <n v="0"/>
    <n v="0"/>
    <n v="0"/>
    <n v="0"/>
    <n v="0"/>
    <n v="0"/>
    <n v="0"/>
    <n v="0"/>
  </r>
  <r>
    <d v="2023-05-30T00:00:00"/>
    <n v="2023"/>
    <x v="4"/>
    <s v="R"/>
    <s v="RS"/>
    <x v="5"/>
    <s v="DAL"/>
    <s v="A"/>
    <n v="1"/>
    <n v="1"/>
    <n v="0"/>
    <n v="0"/>
    <n v="0"/>
    <n v="0"/>
    <n v="1439.9214978073564"/>
    <n v="1511.9130751955713"/>
    <n v="0.28946995966972022"/>
    <n v="89"/>
    <n v="94"/>
    <n v="0"/>
    <n v="-5"/>
    <n v="0"/>
    <n v="0.31297940774964267"/>
    <n v="1"/>
    <n v="75.25"/>
    <n v="75.25"/>
    <n v="-6.8175097745403344"/>
    <n v="1433.103988032816"/>
    <n v="0"/>
    <n v="1"/>
    <n v="0"/>
    <n v="0"/>
    <n v="0"/>
    <n v="0"/>
    <n v="0"/>
    <n v="0"/>
    <n v="0"/>
    <n v="0"/>
  </r>
  <r>
    <d v="2023-05-30T00:00:00"/>
    <n v="2023"/>
    <x v="3"/>
    <s v="R"/>
    <s v="RS"/>
    <x v="9"/>
    <s v="MIN"/>
    <s v="H"/>
    <n v="1"/>
    <n v="1"/>
    <n v="0"/>
    <n v="0"/>
    <n v="0"/>
    <n v="0"/>
    <n v="1511.9130751955713"/>
    <n v="1439.9214978073564"/>
    <n v="0.71053004033027978"/>
    <n v="94"/>
    <n v="89"/>
    <n v="0"/>
    <n v="5"/>
    <n v="1"/>
    <n v="0.31297940774964267"/>
    <n v="1"/>
    <n v="75.400000000000006"/>
    <n v="75.400000000000006"/>
    <n v="6.8310994950211459"/>
    <n v="1518.7441746905924"/>
    <n v="1"/>
    <n v="0"/>
    <n v="0"/>
    <n v="0"/>
    <n v="0"/>
    <n v="0"/>
    <n v="0"/>
    <n v="0"/>
    <n v="0"/>
    <n v="0"/>
  </r>
  <r>
    <d v="2023-05-30T00:00:00"/>
    <n v="2023"/>
    <x v="3"/>
    <s v="R"/>
    <s v="RS"/>
    <x v="6"/>
    <s v="SEA"/>
    <s v="A"/>
    <n v="2"/>
    <n v="3"/>
    <n v="-1"/>
    <n v="1"/>
    <n v="-8"/>
    <n v="8"/>
    <n v="1498.9159567672764"/>
    <n v="1502.4378404729898"/>
    <n v="0.35527771802797059"/>
    <n v="86"/>
    <n v="78"/>
    <n v="0"/>
    <n v="8"/>
    <n v="1"/>
    <n v="0.38717920156867558"/>
    <n v="1"/>
    <n v="75.400000000000006"/>
    <n v="75.400000000000006"/>
    <n v="18.821578600906854"/>
    <n v="1517.7375353681832"/>
    <n v="1"/>
    <n v="0"/>
    <n v="0"/>
    <n v="0"/>
    <n v="0"/>
    <n v="0"/>
    <n v="0"/>
    <n v="0"/>
    <n v="0"/>
    <n v="0"/>
  </r>
  <r>
    <d v="2023-05-30T00:00:00"/>
    <n v="2023"/>
    <x v="2"/>
    <s v="R"/>
    <s v="RS"/>
    <x v="11"/>
    <s v="NYL"/>
    <s v="H"/>
    <n v="3"/>
    <n v="2"/>
    <n v="1"/>
    <n v="-1"/>
    <n v="8"/>
    <n v="-8"/>
    <n v="1502.4378404729898"/>
    <n v="1498.9159567672764"/>
    <n v="0.64472228197202941"/>
    <n v="78"/>
    <n v="86"/>
    <n v="0"/>
    <n v="-8"/>
    <n v="0"/>
    <n v="0.38717920156867558"/>
    <n v="1"/>
    <n v="75.55"/>
    <n v="75.55"/>
    <n v="-18.859022059661971"/>
    <n v="1483.5788184133278"/>
    <n v="0"/>
    <n v="1"/>
    <n v="0"/>
    <n v="0"/>
    <n v="0"/>
    <n v="0"/>
    <n v="0"/>
    <n v="0"/>
    <n v="0"/>
    <n v="0"/>
  </r>
  <r>
    <d v="2023-06-01T00:00:00"/>
    <n v="2023"/>
    <x v="5"/>
    <s v="R"/>
    <s v="RS"/>
    <x v="0"/>
    <s v="MIN"/>
    <s v="A"/>
    <n v="1"/>
    <n v="1"/>
    <n v="0"/>
    <n v="0"/>
    <n v="0"/>
    <n v="0"/>
    <n v="1598.6693491455414"/>
    <n v="1433.103988032816"/>
    <n v="0.61527202512709966"/>
    <n v="89"/>
    <n v="84"/>
    <n v="0"/>
    <n v="5"/>
    <n v="1"/>
    <n v="0.2915328565665295"/>
    <n v="1"/>
    <n v="75.099999999999994"/>
    <n v="75.099999999999994"/>
    <n v="8.4232794982330201"/>
    <n v="1607.0926286437746"/>
    <n v="1"/>
    <n v="0"/>
    <n v="0"/>
    <n v="0"/>
    <n v="0"/>
    <n v="0"/>
    <n v="0"/>
    <n v="0"/>
    <n v="0"/>
    <n v="0"/>
  </r>
  <r>
    <d v="2023-06-01T00:00:00"/>
    <n v="2023"/>
    <x v="5"/>
    <s v="R"/>
    <s v="RS"/>
    <x v="5"/>
    <s v="CON"/>
    <s v="H"/>
    <n v="1"/>
    <n v="1"/>
    <n v="0"/>
    <n v="0"/>
    <n v="0"/>
    <n v="0"/>
    <n v="1433.103988032816"/>
    <n v="1598.6693491455414"/>
    <n v="0.38472797487290034"/>
    <n v="84"/>
    <n v="89"/>
    <n v="0"/>
    <n v="-5"/>
    <n v="0"/>
    <n v="0.2915328565665295"/>
    <n v="1"/>
    <n v="75.099999999999994"/>
    <n v="75.099999999999994"/>
    <n v="-8.4232794982330201"/>
    <n v="1424.6807085345829"/>
    <n v="0"/>
    <n v="1"/>
    <n v="0"/>
    <n v="0"/>
    <n v="0"/>
    <n v="0"/>
    <n v="0"/>
    <n v="0"/>
    <n v="0"/>
    <n v="0"/>
  </r>
  <r>
    <d v="2023-06-02T00:00:00"/>
    <n v="2023"/>
    <x v="4"/>
    <s v="R"/>
    <s v="RS"/>
    <x v="10"/>
    <s v="ATL"/>
    <s v="A"/>
    <n v="4"/>
    <n v="2"/>
    <n v="2"/>
    <n v="-2"/>
    <n v="16"/>
    <n v="-16"/>
    <n v="1663.9453873423827"/>
    <n v="1458.0757126936387"/>
    <n v="0.70801131997977496"/>
    <n v="92"/>
    <n v="87"/>
    <n v="0"/>
    <n v="5"/>
    <n v="1"/>
    <n v="0.28317501809188977"/>
    <n v="1"/>
    <n v="75.25"/>
    <n v="75.25"/>
    <n v="6.2219634559884058"/>
    <n v="1670.167350798371"/>
    <n v="1"/>
    <n v="0"/>
    <n v="0"/>
    <n v="0"/>
    <n v="0"/>
    <n v="0"/>
    <n v="0"/>
    <n v="0"/>
    <n v="0"/>
    <n v="0"/>
  </r>
  <r>
    <d v="2023-06-02T00:00:00"/>
    <n v="2023"/>
    <x v="4"/>
    <s v="R"/>
    <s v="RS"/>
    <x v="8"/>
    <s v="LVA"/>
    <s v="H"/>
    <n v="2"/>
    <n v="4"/>
    <n v="-2"/>
    <n v="2"/>
    <n v="-16"/>
    <n v="16"/>
    <n v="1458.0757126936387"/>
    <n v="1663.9453873423827"/>
    <n v="0.2919886800202251"/>
    <n v="87"/>
    <n v="92"/>
    <n v="0"/>
    <n v="-5"/>
    <n v="0"/>
    <n v="0.28317501809188977"/>
    <n v="1"/>
    <n v="75.25"/>
    <n v="75.25"/>
    <n v="-6.2219634559884076"/>
    <n v="1451.8537492376504"/>
    <n v="0"/>
    <n v="1"/>
    <n v="0"/>
    <n v="0"/>
    <n v="0"/>
    <n v="0"/>
    <n v="0"/>
    <n v="0"/>
    <n v="0"/>
    <n v="0"/>
  </r>
  <r>
    <d v="2023-06-02T00:00:00"/>
    <n v="2023"/>
    <x v="4"/>
    <s v="R"/>
    <s v="RS"/>
    <x v="6"/>
    <s v="CHI"/>
    <s v="A"/>
    <n v="2"/>
    <n v="2"/>
    <n v="0"/>
    <n v="0"/>
    <n v="0"/>
    <n v="0"/>
    <n v="1517.7375353681832"/>
    <n v="1559.0592224121383"/>
    <n v="0.32708265032732681"/>
    <n v="77"/>
    <n v="76"/>
    <n v="0"/>
    <n v="1"/>
    <n v="1"/>
    <n v="0.23605130581109107"/>
    <n v="1"/>
    <n v="75.25"/>
    <n v="75.25"/>
    <n v="11.952937186761275"/>
    <n v="1529.6904725549446"/>
    <n v="1"/>
    <n v="0"/>
    <n v="0"/>
    <n v="0"/>
    <n v="0"/>
    <n v="0"/>
    <n v="0"/>
    <n v="0"/>
    <n v="0"/>
    <n v="0"/>
  </r>
  <r>
    <d v="2023-06-02T00:00:00"/>
    <n v="2023"/>
    <x v="5"/>
    <s v="R"/>
    <s v="RS"/>
    <x v="4"/>
    <s v="NYL"/>
    <s v="H"/>
    <n v="2"/>
    <n v="2"/>
    <n v="0"/>
    <n v="0"/>
    <n v="0"/>
    <n v="0"/>
    <n v="1559.0592224121383"/>
    <n v="1517.7375353681832"/>
    <n v="0.67291734967267314"/>
    <n v="76"/>
    <n v="77"/>
    <n v="0"/>
    <n v="-1"/>
    <n v="0"/>
    <n v="0.23605130581109107"/>
    <n v="1"/>
    <n v="75.099999999999994"/>
    <n v="75.099999999999994"/>
    <n v="-11.929110733897296"/>
    <n v="1547.1301116782411"/>
    <n v="0"/>
    <n v="1"/>
    <n v="0"/>
    <n v="0"/>
    <n v="0"/>
    <n v="0"/>
    <n v="0"/>
    <n v="0"/>
    <n v="0"/>
    <n v="0"/>
  </r>
  <r>
    <d v="2023-06-02T00:00:00"/>
    <n v="2023"/>
    <x v="3"/>
    <s v="R"/>
    <s v="RS"/>
    <x v="3"/>
    <s v="PHX"/>
    <s v="A"/>
    <n v="5"/>
    <n v="7"/>
    <n v="-2"/>
    <n v="2"/>
    <n v="-16"/>
    <n v="16"/>
    <n v="1430.5199183750192"/>
    <n v="1448.8317702110378"/>
    <n v="0.31579567884571713"/>
    <n v="99"/>
    <n v="93"/>
    <n v="1"/>
    <n v="6"/>
    <n v="1"/>
    <n v="0.31140074801581674"/>
    <n v="1"/>
    <n v="75.400000000000006"/>
    <n v="75.400000000000006"/>
    <n v="16.064855000193575"/>
    <n v="1446.5847733752128"/>
    <n v="1"/>
    <n v="0"/>
    <n v="0"/>
    <n v="0"/>
    <n v="0"/>
    <n v="0"/>
    <n v="0"/>
    <n v="0"/>
    <n v="0"/>
    <n v="0"/>
  </r>
  <r>
    <d v="2023-06-02T00:00:00"/>
    <n v="2023"/>
    <x v="3"/>
    <s v="R"/>
    <s v="RS"/>
    <x v="2"/>
    <s v="LAS"/>
    <s v="H"/>
    <n v="7"/>
    <n v="5"/>
    <n v="2"/>
    <n v="-2"/>
    <n v="16"/>
    <n v="-16"/>
    <n v="1448.8317702110378"/>
    <n v="1430.5199183750192"/>
    <n v="0.68420432115428287"/>
    <n v="93"/>
    <n v="99"/>
    <n v="1"/>
    <n v="-6"/>
    <n v="0"/>
    <n v="0.31140074801581674"/>
    <n v="1"/>
    <n v="75.400000000000006"/>
    <n v="75.400000000000006"/>
    <n v="-16.064855000193575"/>
    <n v="1432.7669152108442"/>
    <n v="0"/>
    <n v="1"/>
    <n v="0"/>
    <n v="0"/>
    <n v="0"/>
    <n v="0"/>
    <n v="0"/>
    <n v="0"/>
    <n v="0"/>
    <n v="0"/>
  </r>
  <r>
    <d v="2023-06-02T00:00:00"/>
    <n v="2023"/>
    <x v="4"/>
    <s v="R"/>
    <s v="RS"/>
    <x v="9"/>
    <s v="WAS"/>
    <s v="A"/>
    <n v="2"/>
    <n v="6"/>
    <n v="-4"/>
    <n v="4"/>
    <n v="-16"/>
    <n v="16"/>
    <n v="1518.7441746905924"/>
    <n v="1529.7273004442848"/>
    <n v="0.3249811071585067"/>
    <n v="74"/>
    <n v="75"/>
    <n v="0"/>
    <n v="-1"/>
    <n v="0"/>
    <n v="0.24196506039337659"/>
    <n v="1"/>
    <n v="75.25"/>
    <n v="75.25"/>
    <n v="-5.9172140098286636"/>
    <n v="1512.8269606807637"/>
    <n v="0"/>
    <n v="1"/>
    <n v="0"/>
    <n v="0"/>
    <n v="0"/>
    <n v="0"/>
    <n v="0"/>
    <n v="0"/>
    <n v="0"/>
    <n v="0"/>
  </r>
  <r>
    <d v="2023-06-02T00:00:00"/>
    <n v="2023"/>
    <x v="4"/>
    <s v="R"/>
    <s v="RS"/>
    <x v="7"/>
    <s v="DAL"/>
    <s v="H"/>
    <n v="6"/>
    <n v="2"/>
    <n v="4"/>
    <n v="-4"/>
    <n v="16"/>
    <n v="-16"/>
    <n v="1529.7273004442848"/>
    <n v="1518.7441746905924"/>
    <n v="0.6750188928414933"/>
    <n v="75"/>
    <n v="74"/>
    <n v="0"/>
    <n v="1"/>
    <n v="1"/>
    <n v="0.24196506039337659"/>
    <n v="1"/>
    <n v="75.25"/>
    <n v="75.25"/>
    <n v="5.9172140098286636"/>
    <n v="1535.6445144541135"/>
    <n v="1"/>
    <n v="0"/>
    <n v="0"/>
    <n v="0"/>
    <n v="0"/>
    <n v="0"/>
    <n v="0"/>
    <n v="0"/>
    <n v="0"/>
    <n v="0"/>
  </r>
  <r>
    <d v="2023-06-03T00:00:00"/>
    <n v="2023"/>
    <x v="3"/>
    <s v="R"/>
    <s v="RS"/>
    <x v="11"/>
    <s v="LAS"/>
    <s v="A"/>
    <n v="3"/>
    <n v="0"/>
    <n v="3"/>
    <n v="-3"/>
    <n v="16"/>
    <n v="-16"/>
    <n v="1483.5788184133278"/>
    <n v="1446.5847733752128"/>
    <n v="0.4784181130301251"/>
    <n v="85"/>
    <n v="92"/>
    <n v="0"/>
    <n v="-7"/>
    <n v="0"/>
    <n v="0.35903859745007843"/>
    <n v="1"/>
    <n v="75.400000000000006"/>
    <n v="75.400000000000006"/>
    <n v="-12.951500849597512"/>
    <n v="1470.6273175637302"/>
    <n v="0"/>
    <n v="1"/>
    <n v="0"/>
    <n v="0"/>
    <n v="0"/>
    <n v="0"/>
    <n v="0"/>
    <n v="0"/>
    <n v="0"/>
    <n v="0"/>
  </r>
  <r>
    <d v="2023-06-03T00:00:00"/>
    <n v="2023"/>
    <x v="4"/>
    <s v="R"/>
    <s v="RS"/>
    <x v="3"/>
    <s v="SEA"/>
    <s v="H"/>
    <n v="0"/>
    <n v="3"/>
    <n v="-3"/>
    <n v="3"/>
    <n v="-16"/>
    <n v="16"/>
    <n v="1446.5847733752128"/>
    <n v="1483.5788184133278"/>
    <n v="0.52158188696987495"/>
    <n v="92"/>
    <n v="85"/>
    <n v="0"/>
    <n v="7"/>
    <n v="1"/>
    <n v="0.35903859745007843"/>
    <n v="1"/>
    <n v="75.25"/>
    <n v="75.25"/>
    <n v="12.925735264352952"/>
    <n v="1459.5105086395656"/>
    <n v="1"/>
    <n v="0"/>
    <n v="0"/>
    <n v="0"/>
    <n v="0"/>
    <n v="0"/>
    <n v="0"/>
    <n v="0"/>
    <n v="0"/>
    <n v="0"/>
  </r>
  <r>
    <d v="2023-06-03T00:00:00"/>
    <n v="2023"/>
    <x v="6"/>
    <s v="R"/>
    <s v="RS"/>
    <x v="5"/>
    <s v="WAS"/>
    <s v="A"/>
    <n v="1"/>
    <n v="0"/>
    <n v="1"/>
    <n v="-1"/>
    <n v="8"/>
    <n v="-8"/>
    <n v="1424.6807085345829"/>
    <n v="1535.6445144541135"/>
    <n v="0.26304562663551828"/>
    <n v="80"/>
    <n v="78"/>
    <n v="0"/>
    <n v="2"/>
    <n v="1"/>
    <n v="0.24517044903933263"/>
    <n v="1"/>
    <n v="74.95"/>
    <n v="74.95"/>
    <n v="13.541923626213284"/>
    <n v="1438.2226321607961"/>
    <n v="1"/>
    <n v="0"/>
    <n v="0"/>
    <n v="0"/>
    <n v="0"/>
    <n v="0"/>
    <n v="0"/>
    <n v="0"/>
    <n v="0"/>
    <n v="0"/>
  </r>
  <r>
    <d v="2023-06-03T00:00:00"/>
    <n v="2023"/>
    <x v="5"/>
    <s v="R"/>
    <s v="RS"/>
    <x v="7"/>
    <s v="MIN"/>
    <s v="H"/>
    <n v="0"/>
    <n v="1"/>
    <n v="-1"/>
    <n v="1"/>
    <n v="-8"/>
    <n v="8"/>
    <n v="1535.6445144541135"/>
    <n v="1424.6807085345829"/>
    <n v="0.73695437336448177"/>
    <n v="78"/>
    <n v="80"/>
    <n v="0"/>
    <n v="-2"/>
    <n v="0"/>
    <n v="0.24517044903933263"/>
    <n v="1"/>
    <n v="75.099999999999994"/>
    <n v="75.099999999999994"/>
    <n v="-13.569025541409175"/>
    <n v="1522.0754889127043"/>
    <n v="0"/>
    <n v="1"/>
    <n v="0"/>
    <n v="0"/>
    <n v="0"/>
    <n v="0"/>
    <n v="0"/>
    <n v="0"/>
    <n v="0"/>
    <n v="0"/>
  </r>
  <r>
    <d v="2023-06-04T00:00:00"/>
    <n v="2023"/>
    <x v="5"/>
    <s v="R"/>
    <s v="RS"/>
    <x v="9"/>
    <s v="CON"/>
    <s v="A"/>
    <n v="1"/>
    <n v="2"/>
    <n v="-1"/>
    <n v="1"/>
    <n v="-8"/>
    <n v="8"/>
    <n v="1512.8269606807637"/>
    <n v="1607.0926286437746"/>
    <n v="0.24632989384495876"/>
    <n v="74"/>
    <n v="80"/>
    <n v="0"/>
    <n v="-6"/>
    <n v="0"/>
    <n v="0.32569581635633499"/>
    <n v="1"/>
    <n v="75.099999999999994"/>
    <n v="75.099999999999994"/>
    <n v="-6.0251690517471186"/>
    <n v="1506.8017916290166"/>
    <n v="0"/>
    <n v="1"/>
    <n v="0"/>
    <n v="0"/>
    <n v="0"/>
    <n v="0"/>
    <n v="0"/>
    <n v="0"/>
    <n v="0"/>
    <n v="0"/>
  </r>
  <r>
    <d v="2023-06-04T00:00:00"/>
    <n v="2023"/>
    <x v="6"/>
    <s v="R"/>
    <s v="RS"/>
    <x v="0"/>
    <s v="DAL"/>
    <s v="H"/>
    <n v="2"/>
    <n v="1"/>
    <n v="1"/>
    <n v="-1"/>
    <n v="8"/>
    <n v="-8"/>
    <n v="1607.0926286437746"/>
    <n v="1512.8269606807637"/>
    <n v="0.75367010615504126"/>
    <n v="80"/>
    <n v="74"/>
    <n v="0"/>
    <n v="6"/>
    <n v="1"/>
    <n v="0.32569581635633499"/>
    <n v="1"/>
    <n v="74.95"/>
    <n v="74.95"/>
    <n v="6.0131347593667979"/>
    <n v="1613.1057634031413"/>
    <n v="1"/>
    <n v="0"/>
    <n v="0"/>
    <n v="0"/>
    <n v="0"/>
    <n v="0"/>
    <n v="0"/>
    <n v="0"/>
    <n v="0"/>
    <n v="0"/>
  </r>
  <r>
    <d v="2023-06-04T00:00:00"/>
    <n v="2023"/>
    <x v="5"/>
    <s v="R"/>
    <s v="RS"/>
    <x v="10"/>
    <s v="IND"/>
    <s v="A"/>
    <n v="1"/>
    <n v="4"/>
    <n v="-3"/>
    <n v="3"/>
    <n v="-16"/>
    <n v="16"/>
    <n v="1670.167350798371"/>
    <n v="1358.3555388978746"/>
    <n v="0.75531873064571864"/>
    <n v="84"/>
    <n v="80"/>
    <n v="0"/>
    <n v="4"/>
    <n v="1"/>
    <n v="0.24719960443678055"/>
    <n v="1"/>
    <n v="75.099999999999994"/>
    <n v="75.099999999999994"/>
    <n v="4.5424319861098246"/>
    <n v="1674.7097827844809"/>
    <n v="1"/>
    <n v="0"/>
    <n v="0"/>
    <n v="0"/>
    <n v="0"/>
    <n v="0"/>
    <n v="0"/>
    <n v="0"/>
    <n v="0"/>
    <n v="0"/>
  </r>
  <r>
    <d v="2023-06-04T00:00:00"/>
    <n v="2023"/>
    <x v="4"/>
    <s v="R"/>
    <s v="RS"/>
    <x v="1"/>
    <s v="LVA"/>
    <s v="H"/>
    <n v="4"/>
    <n v="1"/>
    <n v="3"/>
    <n v="-3"/>
    <n v="16"/>
    <n v="-16"/>
    <n v="1358.3555388978746"/>
    <n v="1670.167350798371"/>
    <n v="0.24468126935428125"/>
    <n v="80"/>
    <n v="84"/>
    <n v="0"/>
    <n v="-4"/>
    <n v="0"/>
    <n v="0.24719960443678055"/>
    <n v="1"/>
    <n v="75.25"/>
    <n v="75.25"/>
    <n v="-4.5515047530594428"/>
    <n v="1353.8040341448152"/>
    <n v="0"/>
    <n v="1"/>
    <n v="0"/>
    <n v="0"/>
    <n v="0"/>
    <n v="0"/>
    <n v="0"/>
    <n v="0"/>
    <n v="0"/>
    <n v="0"/>
  </r>
  <r>
    <d v="2023-06-04T00:00:00"/>
    <n v="2023"/>
    <x v="6"/>
    <s v="R"/>
    <s v="RS"/>
    <x v="4"/>
    <s v="NYL"/>
    <s v="A"/>
    <n v="1"/>
    <n v="1"/>
    <n v="0"/>
    <n v="0"/>
    <n v="0"/>
    <n v="0"/>
    <n v="1547.1301116782411"/>
    <n v="1529.6904725549446"/>
    <n v="0.40536684140534723"/>
    <n v="86"/>
    <n v="82"/>
    <n v="0"/>
    <n v="4"/>
    <n v="1"/>
    <n v="0.3069715079704306"/>
    <n v="1"/>
    <n v="74.95"/>
    <n v="74.95"/>
    <n v="13.681031031857406"/>
    <n v="1560.8111427100985"/>
    <n v="1"/>
    <n v="0"/>
    <n v="0"/>
    <n v="0"/>
    <n v="0"/>
    <n v="0"/>
    <n v="0"/>
    <n v="0"/>
    <n v="0"/>
    <n v="0"/>
  </r>
  <r>
    <d v="2023-06-04T00:00:00"/>
    <n v="2023"/>
    <x v="5"/>
    <s v="R"/>
    <s v="RS"/>
    <x v="6"/>
    <s v="CHI"/>
    <s v="H"/>
    <n v="1"/>
    <n v="1"/>
    <n v="0"/>
    <n v="0"/>
    <n v="0"/>
    <n v="0"/>
    <n v="1529.6904725549446"/>
    <n v="1547.1301116782411"/>
    <n v="0.59463315859465271"/>
    <n v="82"/>
    <n v="86"/>
    <n v="0"/>
    <n v="-4"/>
    <n v="0"/>
    <n v="0.3069715079704306"/>
    <n v="1"/>
    <n v="75.099999999999994"/>
    <n v="75.099999999999994"/>
    <n v="-13.708411347464859"/>
    <n v="1515.9820612074798"/>
    <n v="0"/>
    <n v="1"/>
    <n v="0"/>
    <n v="0"/>
    <n v="0"/>
    <n v="0"/>
    <n v="0"/>
    <n v="0"/>
    <n v="0"/>
    <n v="0"/>
  </r>
  <r>
    <d v="2023-06-06T00:00:00"/>
    <n v="2023"/>
    <x v="5"/>
    <s v="R"/>
    <s v="RS"/>
    <x v="1"/>
    <s v="CHI"/>
    <s v="A"/>
    <n v="1"/>
    <n v="1"/>
    <n v="0"/>
    <n v="0"/>
    <n v="0"/>
    <n v="0"/>
    <n v="1353.8040341448152"/>
    <n v="1560.8111427100985"/>
    <n v="0.15773589098999577"/>
    <n v="103"/>
    <n v="108"/>
    <n v="1"/>
    <n v="-5"/>
    <n v="0"/>
    <n v="0.25465148776931218"/>
    <n v="1"/>
    <n v="75.099999999999994"/>
    <n v="75.099999999999994"/>
    <n v="-3.0165927165730566"/>
    <n v="1350.7874414282421"/>
    <n v="0"/>
    <n v="1"/>
    <n v="0"/>
    <n v="0"/>
    <n v="0"/>
    <n v="0"/>
    <n v="0"/>
    <n v="0"/>
    <n v="0"/>
    <n v="0"/>
  </r>
  <r>
    <d v="2023-06-06T00:00:00"/>
    <n v="2023"/>
    <x v="7"/>
    <s v="R"/>
    <s v="RS"/>
    <x v="4"/>
    <s v="IND"/>
    <s v="H"/>
    <n v="1"/>
    <n v="1"/>
    <n v="0"/>
    <n v="0"/>
    <n v="0"/>
    <n v="0"/>
    <n v="1560.8111427100985"/>
    <n v="1353.8040341448152"/>
    <n v="0.84226410901000426"/>
    <n v="108"/>
    <n v="103"/>
    <n v="1"/>
    <n v="5"/>
    <n v="1"/>
    <n v="0.25465148776931218"/>
    <n v="1"/>
    <n v="74.8"/>
    <n v="74.8"/>
    <n v="3.0045424127784903"/>
    <n v="1563.8156851228769"/>
    <n v="1"/>
    <n v="0"/>
    <n v="0"/>
    <n v="0"/>
    <n v="0"/>
    <n v="0"/>
    <n v="0"/>
    <n v="0"/>
    <n v="0"/>
    <n v="0"/>
  </r>
  <r>
    <d v="2023-06-06T00:00:00"/>
    <n v="2023"/>
    <x v="6"/>
    <s v="R"/>
    <s v="RS"/>
    <x v="10"/>
    <s v="CON"/>
    <s v="A"/>
    <n v="1"/>
    <n v="1"/>
    <n v="0"/>
    <n v="0"/>
    <n v="0"/>
    <n v="0"/>
    <n v="1674.7097827844809"/>
    <n v="1613.1057634031413"/>
    <n v="0.46781416020517397"/>
    <n v="90"/>
    <n v="84"/>
    <n v="0"/>
    <n v="6"/>
    <n v="1"/>
    <n v="0.33412775073109041"/>
    <n v="1"/>
    <n v="74.95"/>
    <n v="74.95"/>
    <n v="13.327463418737544"/>
    <n v="1688.0372462032185"/>
    <n v="1"/>
    <n v="0"/>
    <n v="0"/>
    <n v="0"/>
    <n v="0"/>
    <n v="0"/>
    <n v="0"/>
    <n v="0"/>
    <n v="0"/>
    <n v="0"/>
  </r>
  <r>
    <d v="2023-06-06T00:00:00"/>
    <n v="2023"/>
    <x v="7"/>
    <s v="R"/>
    <s v="RS"/>
    <x v="0"/>
    <s v="LVA"/>
    <s v="H"/>
    <n v="1"/>
    <n v="1"/>
    <n v="0"/>
    <n v="0"/>
    <n v="0"/>
    <n v="0"/>
    <n v="1613.1057634031413"/>
    <n v="1674.7097827844809"/>
    <n v="0.53218583979482614"/>
    <n v="84"/>
    <n v="90"/>
    <n v="0"/>
    <n v="-6"/>
    <n v="0"/>
    <n v="0.33412775073109041"/>
    <n v="1"/>
    <n v="74.8"/>
    <n v="74.8"/>
    <n v="-13.30079071009431"/>
    <n v="1599.8049726930469"/>
    <n v="0"/>
    <n v="1"/>
    <n v="0"/>
    <n v="0"/>
    <n v="0"/>
    <n v="0"/>
    <n v="0"/>
    <n v="0"/>
    <n v="0"/>
    <n v="0"/>
  </r>
  <r>
    <d v="2023-06-06T00:00:00"/>
    <n v="2023"/>
    <x v="5"/>
    <s v="R"/>
    <s v="RS"/>
    <x v="3"/>
    <s v="SEA"/>
    <s v="A"/>
    <n v="2"/>
    <n v="2"/>
    <n v="0"/>
    <n v="0"/>
    <n v="0"/>
    <n v="0"/>
    <n v="1459.5105086395656"/>
    <n v="1470.6273175637302"/>
    <n v="0.36643617961129149"/>
    <n v="63"/>
    <n v="66"/>
    <n v="0"/>
    <n v="-3"/>
    <n v="0"/>
    <n v="0.28751993428922334"/>
    <n v="1"/>
    <n v="75.099999999999994"/>
    <n v="75.099999999999994"/>
    <n v="-7.9123637418557458"/>
    <n v="1451.59814489771"/>
    <n v="0"/>
    <n v="1"/>
    <n v="0"/>
    <n v="0"/>
    <n v="0"/>
    <n v="0"/>
    <n v="0"/>
    <n v="0"/>
    <n v="0"/>
    <n v="0"/>
  </r>
  <r>
    <d v="2023-06-06T00:00:00"/>
    <n v="2023"/>
    <x v="4"/>
    <s v="R"/>
    <s v="RS"/>
    <x v="11"/>
    <s v="LAS"/>
    <s v="H"/>
    <n v="2"/>
    <n v="2"/>
    <n v="0"/>
    <n v="0"/>
    <n v="0"/>
    <n v="0"/>
    <n v="1470.6273175637302"/>
    <n v="1459.5105086395656"/>
    <n v="0.63356382038870851"/>
    <n v="66"/>
    <n v="63"/>
    <n v="0"/>
    <n v="3"/>
    <n v="1"/>
    <n v="0.28751993428922334"/>
    <n v="1"/>
    <n v="75.25"/>
    <n v="75.25"/>
    <n v="7.9281673977982008"/>
    <n v="1478.5554849615285"/>
    <n v="1"/>
    <n v="0"/>
    <n v="0"/>
    <n v="0"/>
    <n v="0"/>
    <n v="0"/>
    <n v="0"/>
    <n v="0"/>
    <n v="0"/>
    <n v="0"/>
  </r>
  <r>
    <d v="2023-06-07T00:00:00"/>
    <n v="2023"/>
    <x v="4"/>
    <s v="R"/>
    <s v="RS"/>
    <x v="2"/>
    <s v="DAL"/>
    <s v="A"/>
    <n v="4"/>
    <n v="2"/>
    <n v="2"/>
    <n v="-2"/>
    <n v="16"/>
    <n v="-16"/>
    <n v="1432.7669152108442"/>
    <n v="1506.8017916290166"/>
    <n v="0.32617968517926443"/>
    <n v="79"/>
    <n v="84"/>
    <n v="0"/>
    <n v="-5"/>
    <n v="0"/>
    <n v="0.31247745090992923"/>
    <n v="1"/>
    <n v="75.25"/>
    <n v="75.25"/>
    <n v="-7.6697656913973384"/>
    <n v="1425.0971495194469"/>
    <n v="0"/>
    <n v="1"/>
    <n v="0"/>
    <n v="0"/>
    <n v="0"/>
    <n v="0"/>
    <n v="0"/>
    <n v="0"/>
    <n v="0"/>
    <n v="0"/>
  </r>
  <r>
    <d v="2023-06-07T00:00:00"/>
    <n v="2023"/>
    <x v="6"/>
    <s v="R"/>
    <s v="RS"/>
    <x v="9"/>
    <s v="PHX"/>
    <s v="H"/>
    <n v="2"/>
    <n v="4"/>
    <n v="-2"/>
    <n v="2"/>
    <n v="-16"/>
    <n v="16"/>
    <n v="1506.8017916290166"/>
    <n v="1432.7669152108442"/>
    <n v="0.67382031482073568"/>
    <n v="84"/>
    <n v="79"/>
    <n v="0"/>
    <n v="5"/>
    <n v="1"/>
    <n v="0.31247745090992923"/>
    <n v="1"/>
    <n v="74.95"/>
    <n v="74.95"/>
    <n v="7.6391885524283101"/>
    <n v="1514.440980181445"/>
    <n v="1"/>
    <n v="0"/>
    <n v="0"/>
    <n v="0"/>
    <n v="0"/>
    <n v="0"/>
    <n v="0"/>
    <n v="0"/>
    <n v="0"/>
    <n v="0"/>
  </r>
  <r>
    <d v="2023-06-08T00:00:00"/>
    <n v="2023"/>
    <x v="7"/>
    <s v="R"/>
    <s v="RS"/>
    <x v="10"/>
    <s v="CON"/>
    <s v="A"/>
    <n v="1"/>
    <n v="1"/>
    <n v="0"/>
    <n v="0"/>
    <n v="0"/>
    <n v="0"/>
    <n v="1688.0372462032185"/>
    <n v="1599.8049726930469"/>
    <n v="0.50609042993776931"/>
    <n v="77"/>
    <n v="94"/>
    <n v="0"/>
    <n v="-17"/>
    <n v="0"/>
    <n v="0.49597459715664538"/>
    <n v="1"/>
    <n v="74.8"/>
    <n v="74.8"/>
    <n v="-18.775398184068749"/>
    <n v="1669.2618480191497"/>
    <n v="0"/>
    <n v="1"/>
    <n v="0"/>
    <n v="0"/>
    <n v="0"/>
    <n v="0"/>
    <n v="0"/>
    <n v="0"/>
    <n v="0"/>
    <n v="0"/>
  </r>
  <r>
    <d v="2023-06-08T00:00:00"/>
    <n v="2023"/>
    <x v="8"/>
    <s v="R"/>
    <s v="RS"/>
    <x v="0"/>
    <s v="LVA"/>
    <s v="H"/>
    <n v="1"/>
    <n v="1"/>
    <n v="0"/>
    <n v="0"/>
    <n v="0"/>
    <n v="0"/>
    <n v="1599.8049726930469"/>
    <n v="1688.0372462032185"/>
    <n v="0.49390957006223063"/>
    <n v="94"/>
    <n v="77"/>
    <n v="0"/>
    <n v="17"/>
    <n v="1"/>
    <n v="0.49597459715664538"/>
    <n v="1"/>
    <n v="74.650000000000006"/>
    <n v="74.650000000000006"/>
    <n v="18.737746984501769"/>
    <n v="1618.5427196775486"/>
    <n v="1"/>
    <n v="0"/>
    <n v="0"/>
    <n v="0"/>
    <n v="0"/>
    <n v="0"/>
    <n v="0"/>
    <n v="0"/>
    <n v="0"/>
    <n v="0"/>
  </r>
  <r>
    <d v="2023-06-09T00:00:00"/>
    <n v="2023"/>
    <x v="6"/>
    <s v="R"/>
    <s v="RS"/>
    <x v="6"/>
    <s v="ATL"/>
    <s v="A"/>
    <n v="4"/>
    <n v="6"/>
    <n v="-2"/>
    <n v="2"/>
    <n v="-16"/>
    <n v="16"/>
    <n v="1515.9820612074798"/>
    <n v="1451.8537492376504"/>
    <n v="0.42590038662473773"/>
    <n v="106"/>
    <n v="83"/>
    <n v="0"/>
    <n v="23"/>
    <n v="1"/>
    <n v="0.58412213070657448"/>
    <n v="1"/>
    <n v="74.95"/>
    <n v="74.95"/>
    <n v="25.134054490723283"/>
    <n v="1541.116115698203"/>
    <n v="1"/>
    <n v="0"/>
    <n v="0"/>
    <n v="0"/>
    <n v="0"/>
    <n v="0"/>
    <n v="0"/>
    <n v="0"/>
    <n v="0"/>
    <n v="0"/>
  </r>
  <r>
    <d v="2023-06-09T00:00:00"/>
    <n v="2023"/>
    <x v="5"/>
    <s v="R"/>
    <s v="RS"/>
    <x v="8"/>
    <s v="NYL"/>
    <s v="H"/>
    <n v="6"/>
    <n v="4"/>
    <n v="2"/>
    <n v="-2"/>
    <n v="16"/>
    <n v="-16"/>
    <n v="1451.8537492376504"/>
    <n v="1515.9820612074798"/>
    <n v="0.57409961337526227"/>
    <n v="83"/>
    <n v="106"/>
    <n v="0"/>
    <n v="-23"/>
    <n v="0"/>
    <n v="0.58412213070657448"/>
    <n v="1"/>
    <n v="75.099999999999994"/>
    <n v="75.099999999999994"/>
    <n v="-25.184356134133669"/>
    <n v="1426.6693931035168"/>
    <n v="0"/>
    <n v="1"/>
    <n v="0"/>
    <n v="0"/>
    <n v="0"/>
    <n v="0"/>
    <n v="0"/>
    <n v="0"/>
    <n v="0"/>
    <n v="0"/>
  </r>
  <r>
    <d v="2023-06-09T00:00:00"/>
    <n v="2023"/>
    <x v="5"/>
    <s v="R"/>
    <s v="RS"/>
    <x v="2"/>
    <s v="DAL"/>
    <s v="A"/>
    <n v="1"/>
    <n v="1"/>
    <n v="0"/>
    <n v="0"/>
    <n v="0"/>
    <n v="0"/>
    <n v="1425.0971495194469"/>
    <n v="1514.440980181445"/>
    <n v="0.26936487812371906"/>
    <n v="77"/>
    <n v="90"/>
    <n v="0"/>
    <n v="-13"/>
    <n v="0"/>
    <n v="0.43933394127003567"/>
    <n v="1"/>
    <n v="75.099999999999994"/>
    <n v="75.099999999999994"/>
    <n v="-8.8874191292908051"/>
    <n v="1416.2097303901562"/>
    <n v="0"/>
    <n v="1"/>
    <n v="0"/>
    <n v="0"/>
    <n v="0"/>
    <n v="0"/>
    <n v="0"/>
    <n v="0"/>
    <n v="0"/>
    <n v="0"/>
  </r>
  <r>
    <d v="2023-06-09T00:00:00"/>
    <n v="2023"/>
    <x v="7"/>
    <s v="R"/>
    <s v="RS"/>
    <x v="9"/>
    <s v="PHX"/>
    <s v="H"/>
    <n v="1"/>
    <n v="1"/>
    <n v="0"/>
    <n v="0"/>
    <n v="0"/>
    <n v="0"/>
    <n v="1514.440980181445"/>
    <n v="1425.0971495194469"/>
    <n v="0.73063512187628099"/>
    <n v="90"/>
    <n v="77"/>
    <n v="0"/>
    <n v="13"/>
    <n v="1"/>
    <n v="0.43933394127003567"/>
    <n v="1"/>
    <n v="74.8"/>
    <n v="74.8"/>
    <n v="8.8519167892270563"/>
    <n v="1523.292896970672"/>
    <n v="1"/>
    <n v="0"/>
    <n v="0"/>
    <n v="0"/>
    <n v="0"/>
    <n v="0"/>
    <n v="0"/>
    <n v="0"/>
    <n v="0"/>
    <n v="0"/>
  </r>
  <r>
    <d v="2023-06-09T00:00:00"/>
    <n v="2023"/>
    <x v="8"/>
    <s v="R"/>
    <s v="RS"/>
    <x v="4"/>
    <s v="LAS"/>
    <s v="A"/>
    <n v="2"/>
    <n v="2"/>
    <n v="0"/>
    <n v="0"/>
    <n v="0"/>
    <n v="0"/>
    <n v="1563.8156851228769"/>
    <n v="1451.59814489771"/>
    <n v="0.54051925363800468"/>
    <n v="62"/>
    <n v="77"/>
    <n v="0"/>
    <n v="-15"/>
    <n v="0"/>
    <n v="0.45984573072462831"/>
    <n v="1"/>
    <n v="74.650000000000006"/>
    <n v="74.650000000000006"/>
    <n v="-18.55466592208646"/>
    <n v="1545.2610192007903"/>
    <n v="0"/>
    <n v="1"/>
    <n v="0"/>
    <n v="0"/>
    <n v="0"/>
    <n v="0"/>
    <n v="0"/>
    <n v="0"/>
    <n v="0"/>
    <n v="0"/>
  </r>
  <r>
    <d v="2023-06-09T00:00:00"/>
    <n v="2023"/>
    <x v="6"/>
    <s v="R"/>
    <s v="RS"/>
    <x v="3"/>
    <s v="CHI"/>
    <s v="H"/>
    <n v="2"/>
    <n v="2"/>
    <n v="0"/>
    <n v="0"/>
    <n v="0"/>
    <n v="0"/>
    <n v="1451.59814489771"/>
    <n v="1563.8156851228769"/>
    <n v="0.45948074636199532"/>
    <n v="77"/>
    <n v="62"/>
    <n v="0"/>
    <n v="15"/>
    <n v="1"/>
    <n v="0.45984573072462831"/>
    <n v="1"/>
    <n v="74.95"/>
    <n v="74.95"/>
    <n v="18.629232563434428"/>
    <n v="1470.2273774611444"/>
    <n v="1"/>
    <n v="0"/>
    <n v="0"/>
    <n v="0"/>
    <n v="0"/>
    <n v="0"/>
    <n v="0"/>
    <n v="0"/>
    <n v="0"/>
    <n v="0"/>
  </r>
  <r>
    <d v="2023-06-09T00:00:00"/>
    <n v="2023"/>
    <x v="6"/>
    <s v="R"/>
    <s v="RS"/>
    <x v="1"/>
    <s v="MIN"/>
    <s v="A"/>
    <n v="2"/>
    <n v="5"/>
    <n v="-3"/>
    <n v="3"/>
    <n v="-16"/>
    <n v="16"/>
    <n v="1350.7874414282421"/>
    <n v="1438.2226321607961"/>
    <n v="0.23666215619409015"/>
    <n v="71"/>
    <n v="69"/>
    <n v="0"/>
    <n v="2"/>
    <n v="1"/>
    <n v="0.24965107935935862"/>
    <n v="1"/>
    <n v="74.95"/>
    <n v="74.95"/>
    <n v="14.283080340818218"/>
    <n v="1365.0705217690604"/>
    <n v="1"/>
    <n v="0"/>
    <n v="0"/>
    <n v="0"/>
    <n v="0"/>
    <n v="0"/>
    <n v="0"/>
    <n v="0"/>
    <n v="0"/>
    <n v="0"/>
  </r>
  <r>
    <d v="2023-06-09T00:00:00"/>
    <n v="2023"/>
    <x v="7"/>
    <s v="R"/>
    <s v="RS"/>
    <x v="5"/>
    <s v="IND"/>
    <s v="H"/>
    <n v="5"/>
    <n v="2"/>
    <n v="3"/>
    <n v="-3"/>
    <n v="16"/>
    <n v="-16"/>
    <n v="1438.2226321607961"/>
    <n v="1350.7874414282421"/>
    <n v="0.76333784380590974"/>
    <n v="69"/>
    <n v="71"/>
    <n v="0"/>
    <n v="-2"/>
    <n v="0"/>
    <n v="0.24965107935935862"/>
    <n v="1"/>
    <n v="74.8"/>
    <n v="74.8"/>
    <n v="-14.254495123324917"/>
    <n v="1423.9681370374713"/>
    <n v="0"/>
    <n v="1"/>
    <n v="0"/>
    <n v="0"/>
    <n v="0"/>
    <n v="0"/>
    <n v="0"/>
    <n v="0"/>
    <n v="0"/>
    <n v="0"/>
  </r>
  <r>
    <d v="2023-06-09T00:00:00"/>
    <n v="2023"/>
    <x v="6"/>
    <s v="R"/>
    <s v="RS"/>
    <x v="7"/>
    <s v="SEA"/>
    <s v="A"/>
    <n v="5"/>
    <n v="2"/>
    <n v="3"/>
    <n v="-3"/>
    <n v="16"/>
    <n v="-16"/>
    <n v="1522.0754889127043"/>
    <n v="1478.5554849615285"/>
    <n v="0.48779872744738922"/>
    <n v="73"/>
    <n v="66"/>
    <n v="0"/>
    <n v="7"/>
    <n v="1"/>
    <n v="0.35715437272693989"/>
    <n v="1"/>
    <n v="74.95"/>
    <n v="74.95"/>
    <n v="13.710972569424685"/>
    <n v="1535.786461482129"/>
    <n v="1"/>
    <n v="0"/>
    <n v="0"/>
    <n v="0"/>
    <n v="0"/>
    <n v="0"/>
    <n v="0"/>
    <n v="0"/>
    <n v="0"/>
    <n v="0"/>
  </r>
  <r>
    <d v="2023-06-09T00:00:00"/>
    <n v="2023"/>
    <x v="5"/>
    <s v="R"/>
    <s v="RS"/>
    <x v="11"/>
    <s v="WAS"/>
    <s v="H"/>
    <n v="2"/>
    <n v="5"/>
    <n v="-3"/>
    <n v="3"/>
    <n v="-16"/>
    <n v="16"/>
    <n v="1478.5554849615285"/>
    <n v="1522.0754889127043"/>
    <n v="0.51220127255261083"/>
    <n v="66"/>
    <n v="73"/>
    <n v="0"/>
    <n v="-7"/>
    <n v="0"/>
    <n v="0.35715437272693989"/>
    <n v="1"/>
    <n v="75.099999999999994"/>
    <n v="75.099999999999994"/>
    <n v="-13.738412808055953"/>
    <n v="1464.8170721534725"/>
    <n v="0"/>
    <n v="1"/>
    <n v="0"/>
    <n v="0"/>
    <n v="0"/>
    <n v="0"/>
    <n v="0"/>
    <n v="0"/>
    <n v="0"/>
    <n v="0"/>
  </r>
  <r>
    <d v="2023-06-11T00:00:00"/>
    <n v="2023"/>
    <x v="9"/>
    <s v="R"/>
    <s v="RS"/>
    <x v="0"/>
    <s v="ATL"/>
    <s v="A"/>
    <n v="2"/>
    <n v="1"/>
    <n v="1"/>
    <n v="-1"/>
    <n v="8"/>
    <n v="-8"/>
    <n v="1618.5427196775486"/>
    <n v="1426.6693931035168"/>
    <n v="0.67107964532232456"/>
    <n v="89"/>
    <n v="77"/>
    <n v="0"/>
    <n v="12"/>
    <n v="1"/>
    <n v="0.39325082336272199"/>
    <n v="1"/>
    <n v="74.5"/>
    <n v="74.5"/>
    <n v="9.6364409221827039"/>
    <n v="1628.1791605997312"/>
    <n v="1"/>
    <n v="0"/>
    <n v="0"/>
    <n v="0"/>
    <n v="0"/>
    <n v="0"/>
    <n v="0"/>
    <n v="0"/>
    <n v="0"/>
    <n v="0"/>
  </r>
  <r>
    <d v="2023-06-11T00:00:00"/>
    <n v="2023"/>
    <x v="6"/>
    <s v="R"/>
    <s v="RS"/>
    <x v="8"/>
    <s v="CON"/>
    <s v="H"/>
    <n v="1"/>
    <n v="2"/>
    <n v="-1"/>
    <n v="1"/>
    <n v="-8"/>
    <n v="8"/>
    <n v="1426.6693931035168"/>
    <n v="1618.5427196775486"/>
    <n v="0.32892035467767544"/>
    <n v="77"/>
    <n v="89"/>
    <n v="0"/>
    <n v="-12"/>
    <n v="0"/>
    <n v="0.39325082336272199"/>
    <n v="1"/>
    <n v="74.95"/>
    <n v="74.95"/>
    <n v="-9.6946476123166931"/>
    <n v="1416.9747454912001"/>
    <n v="0"/>
    <n v="1"/>
    <n v="0"/>
    <n v="0"/>
    <n v="0"/>
    <n v="0"/>
    <n v="0"/>
    <n v="0"/>
    <n v="0"/>
    <n v="0"/>
  </r>
  <r>
    <d v="2023-06-11T00:00:00"/>
    <n v="2023"/>
    <x v="6"/>
    <s v="R"/>
    <s v="RS"/>
    <x v="2"/>
    <s v="IND"/>
    <s v="A"/>
    <n v="1"/>
    <n v="1"/>
    <n v="0"/>
    <n v="0"/>
    <n v="0"/>
    <n v="0"/>
    <n v="1416.2097303901562"/>
    <n v="1365.0705217690604"/>
    <n v="0.45285003025624881"/>
    <n v="85"/>
    <n v="82"/>
    <n v="0"/>
    <n v="3"/>
    <n v="1"/>
    <n v="0.27832252631761878"/>
    <n v="1"/>
    <n v="74.95"/>
    <n v="74.95"/>
    <n v="11.413697930934029"/>
    <n v="1427.6234283210902"/>
    <n v="1"/>
    <n v="0"/>
    <n v="0"/>
    <n v="0"/>
    <n v="0"/>
    <n v="0"/>
    <n v="0"/>
    <n v="0"/>
    <n v="0"/>
    <n v="0"/>
  </r>
  <r>
    <d v="2023-06-11T00:00:00"/>
    <n v="2023"/>
    <x v="7"/>
    <s v="R"/>
    <s v="RS"/>
    <x v="1"/>
    <s v="PHX"/>
    <s v="H"/>
    <n v="1"/>
    <n v="1"/>
    <n v="0"/>
    <n v="0"/>
    <n v="0"/>
    <n v="0"/>
    <n v="1365.0705217690604"/>
    <n v="1416.2097303901562"/>
    <n v="0.54714996974375107"/>
    <n v="82"/>
    <n v="85"/>
    <n v="0"/>
    <n v="-3"/>
    <n v="0"/>
    <n v="0.27832252631761878"/>
    <n v="1"/>
    <n v="74.8"/>
    <n v="74.8"/>
    <n v="-11.390855306655974"/>
    <n v="1353.6796664624044"/>
    <n v="0"/>
    <n v="1"/>
    <n v="0"/>
    <n v="0"/>
    <n v="0"/>
    <n v="0"/>
    <n v="0"/>
    <n v="0"/>
    <n v="0"/>
    <n v="0"/>
  </r>
  <r>
    <d v="2023-06-11T00:00:00"/>
    <n v="2023"/>
    <x v="9"/>
    <s v="R"/>
    <s v="RS"/>
    <x v="4"/>
    <s v="LVA"/>
    <s v="A"/>
    <n v="1"/>
    <n v="2"/>
    <n v="-1"/>
    <n v="1"/>
    <n v="-8"/>
    <n v="8"/>
    <n v="1545.2610192007903"/>
    <n v="1669.2618480191497"/>
    <n v="0.21594550830805181"/>
    <n v="80"/>
    <n v="93"/>
    <n v="0"/>
    <n v="-13"/>
    <n v="0"/>
    <n v="0.42783395179781503"/>
    <n v="1"/>
    <n v="74.5"/>
    <n v="74.5"/>
    <n v="-6.8829671043354166"/>
    <n v="1538.3780520964549"/>
    <n v="0"/>
    <n v="1"/>
    <n v="0"/>
    <n v="0"/>
    <n v="0"/>
    <n v="0"/>
    <n v="0"/>
    <n v="0"/>
    <n v="0"/>
    <n v="0"/>
  </r>
  <r>
    <d v="2023-06-11T00:00:00"/>
    <n v="2023"/>
    <x v="8"/>
    <s v="R"/>
    <s v="RS"/>
    <x v="10"/>
    <s v="CHI"/>
    <s v="H"/>
    <n v="2"/>
    <n v="1"/>
    <n v="1"/>
    <n v="-1"/>
    <n v="8"/>
    <n v="-8"/>
    <n v="1669.2618480191497"/>
    <n v="1545.2610192007903"/>
    <n v="0.7840544916919483"/>
    <n v="93"/>
    <n v="80"/>
    <n v="0"/>
    <n v="13"/>
    <n v="1"/>
    <n v="0.42783395179781503"/>
    <n v="1"/>
    <n v="74.650000000000006"/>
    <n v="74.650000000000006"/>
    <n v="6.8968254273642771"/>
    <n v="1676.1586734465141"/>
    <n v="1"/>
    <n v="0"/>
    <n v="0"/>
    <n v="0"/>
    <n v="0"/>
    <n v="0"/>
    <n v="0"/>
    <n v="0"/>
    <n v="0"/>
    <n v="0"/>
  </r>
  <r>
    <d v="2023-06-11T00:00:00"/>
    <n v="2023"/>
    <x v="7"/>
    <s v="R"/>
    <s v="RS"/>
    <x v="3"/>
    <s v="MIN"/>
    <s v="A"/>
    <n v="1"/>
    <n v="1"/>
    <n v="0"/>
    <n v="0"/>
    <n v="0"/>
    <n v="0"/>
    <n v="1470.2273774611444"/>
    <n v="1423.9681370374713"/>
    <n v="0.44589930529035071"/>
    <n v="86"/>
    <n v="91"/>
    <n v="0"/>
    <n v="-5"/>
    <n v="0"/>
    <n v="0.31944170012184492"/>
    <n v="1"/>
    <n v="74.8"/>
    <n v="74.8"/>
    <n v="-10.654424645949419"/>
    <n v="1459.5729528151951"/>
    <n v="0"/>
    <n v="1"/>
    <n v="0"/>
    <n v="0"/>
    <n v="0"/>
    <n v="0"/>
    <n v="0"/>
    <n v="0"/>
    <n v="0"/>
    <n v="0"/>
  </r>
  <r>
    <d v="2023-06-11T00:00:00"/>
    <n v="2023"/>
    <x v="8"/>
    <s v="R"/>
    <s v="RS"/>
    <x v="5"/>
    <s v="LAS"/>
    <s v="H"/>
    <n v="1"/>
    <n v="1"/>
    <n v="0"/>
    <n v="0"/>
    <n v="0"/>
    <n v="0"/>
    <n v="1423.9681370374713"/>
    <n v="1470.2273774611444"/>
    <n v="0.55410069470964929"/>
    <n v="91"/>
    <n v="86"/>
    <n v="0"/>
    <n v="5"/>
    <n v="1"/>
    <n v="0.31944170012184492"/>
    <n v="1"/>
    <n v="74.650000000000006"/>
    <n v="74.650000000000006"/>
    <n v="10.633058821124656"/>
    <n v="1434.6011958585959"/>
    <n v="1"/>
    <n v="0"/>
    <n v="0"/>
    <n v="0"/>
    <n v="0"/>
    <n v="0"/>
    <n v="0"/>
    <n v="0"/>
    <n v="0"/>
    <n v="0"/>
  </r>
  <r>
    <d v="2023-06-11T00:00:00"/>
    <n v="2023"/>
    <x v="8"/>
    <s v="R"/>
    <s v="RS"/>
    <x v="9"/>
    <s v="NYL"/>
    <s v="A"/>
    <n v="1"/>
    <n v="1"/>
    <n v="0"/>
    <n v="0"/>
    <n v="0"/>
    <n v="0"/>
    <n v="1523.292896970672"/>
    <n v="1541.116115698203"/>
    <n v="0.3575206476030125"/>
    <n v="93"/>
    <n v="102"/>
    <n v="0"/>
    <n v="-9"/>
    <n v="0"/>
    <n v="0.40003000853089105"/>
    <n v="1"/>
    <n v="74.650000000000006"/>
    <n v="74.650000000000006"/>
    <n v="-10.676367432596498"/>
    <n v="1512.6165295380756"/>
    <n v="0"/>
    <n v="1"/>
    <n v="0"/>
    <n v="0"/>
    <n v="0"/>
    <n v="0"/>
    <n v="0"/>
    <n v="0"/>
    <n v="0"/>
    <n v="0"/>
  </r>
  <r>
    <d v="2023-06-11T00:00:00"/>
    <n v="2023"/>
    <x v="7"/>
    <s v="R"/>
    <s v="RS"/>
    <x v="6"/>
    <s v="DAL"/>
    <s v="H"/>
    <n v="1"/>
    <n v="1"/>
    <n v="0"/>
    <n v="0"/>
    <n v="0"/>
    <n v="0"/>
    <n v="1541.116115698203"/>
    <n v="1523.292896970672"/>
    <n v="0.6424793523969875"/>
    <n v="102"/>
    <n v="93"/>
    <n v="0"/>
    <n v="9"/>
    <n v="1"/>
    <n v="0.40003000853089105"/>
    <n v="1"/>
    <n v="74.8"/>
    <n v="74.8"/>
    <n v="10.697820280753087"/>
    <n v="1551.8139359789561"/>
    <n v="1"/>
    <n v="0"/>
    <n v="0"/>
    <n v="0"/>
    <n v="0"/>
    <n v="0"/>
    <n v="0"/>
    <n v="0"/>
    <n v="0"/>
    <n v="0"/>
  </r>
  <r>
    <d v="2023-06-11T00:00:00"/>
    <n v="2023"/>
    <x v="7"/>
    <s v="R"/>
    <s v="RS"/>
    <x v="7"/>
    <s v="SEA"/>
    <s v="A"/>
    <n v="1"/>
    <n v="1"/>
    <n v="0"/>
    <n v="0"/>
    <n v="0"/>
    <n v="0"/>
    <n v="1535.786461482129"/>
    <n v="1464.8170721534725"/>
    <n v="0.48125623153543357"/>
    <n v="71"/>
    <n v="65"/>
    <n v="0"/>
    <n v="6"/>
    <n v="1"/>
    <n v="0.33166566940833375"/>
    <n v="1"/>
    <n v="74.8"/>
    <n v="74.8"/>
    <n v="12.869302541596316"/>
    <n v="1548.6557640237254"/>
    <n v="1"/>
    <n v="0"/>
    <n v="0"/>
    <n v="0"/>
    <n v="0"/>
    <n v="0"/>
    <n v="0"/>
    <n v="0"/>
    <n v="0"/>
    <n v="0"/>
  </r>
  <r>
    <d v="2023-06-11T00:00:00"/>
    <n v="2023"/>
    <x v="6"/>
    <s v="R"/>
    <s v="RS"/>
    <x v="11"/>
    <s v="WAS"/>
    <s v="H"/>
    <n v="1"/>
    <n v="1"/>
    <n v="0"/>
    <n v="0"/>
    <n v="0"/>
    <n v="0"/>
    <n v="1464.8170721534725"/>
    <n v="1535.786461482129"/>
    <n v="0.51874376846456638"/>
    <n v="65"/>
    <n v="71"/>
    <n v="0"/>
    <n v="-6"/>
    <n v="0"/>
    <n v="0.33166566940833375"/>
    <n v="1"/>
    <n v="74.95"/>
    <n v="74.95"/>
    <n v="-12.895109966479197"/>
    <n v="1451.9219621869934"/>
    <n v="0"/>
    <n v="1"/>
    <n v="0"/>
    <n v="0"/>
    <n v="0"/>
    <n v="0"/>
    <n v="0"/>
    <n v="0"/>
    <n v="0"/>
    <n v="0"/>
  </r>
  <r>
    <d v="2023-06-13T00:00:00"/>
    <n v="2023"/>
    <x v="8"/>
    <s v="R"/>
    <s v="RS"/>
    <x v="7"/>
    <s v="IND"/>
    <s v="A"/>
    <n v="1"/>
    <n v="1"/>
    <n v="0"/>
    <n v="0"/>
    <n v="0"/>
    <n v="0"/>
    <n v="1548.6557640237254"/>
    <n v="1353.6796664624044"/>
    <n v="0.6544888805879655"/>
    <n v="66"/>
    <n v="87"/>
    <n v="0"/>
    <n v="-21"/>
    <n v="0"/>
    <n v="0.50631085977717771"/>
    <n v="1"/>
    <n v="74.650000000000006"/>
    <n v="74.650000000000006"/>
    <n v="-24.737130898636373"/>
    <n v="1523.9186331250889"/>
    <n v="0"/>
    <n v="1"/>
    <n v="0"/>
    <n v="0"/>
    <n v="0"/>
    <n v="0"/>
    <n v="0"/>
    <n v="0"/>
    <n v="0"/>
    <n v="0"/>
  </r>
  <r>
    <d v="2023-06-13T00:00:00"/>
    <n v="2023"/>
    <x v="8"/>
    <s v="R"/>
    <s v="RS"/>
    <x v="1"/>
    <s v="WAS"/>
    <s v="H"/>
    <n v="1"/>
    <n v="1"/>
    <n v="0"/>
    <n v="0"/>
    <n v="0"/>
    <n v="0"/>
    <n v="1353.6796664624044"/>
    <n v="1548.6557640237254"/>
    <n v="0.3455111194120345"/>
    <n v="87"/>
    <n v="66"/>
    <n v="0"/>
    <n v="21"/>
    <n v="1"/>
    <n v="0.50631085977717771"/>
    <n v="1"/>
    <n v="74.650000000000006"/>
    <n v="74.650000000000006"/>
    <n v="24.737130898636373"/>
    <n v="1378.4167973610408"/>
    <n v="1"/>
    <n v="0"/>
    <n v="0"/>
    <n v="0"/>
    <n v="0"/>
    <n v="0"/>
    <n v="0"/>
    <n v="0"/>
    <n v="0"/>
    <n v="0"/>
  </r>
  <r>
    <d v="2023-06-13T00:00:00"/>
    <n v="2023"/>
    <x v="7"/>
    <s v="R"/>
    <s v="RS"/>
    <x v="8"/>
    <s v="NYL"/>
    <s v="A"/>
    <n v="1"/>
    <n v="1"/>
    <n v="0"/>
    <n v="0"/>
    <n v="0"/>
    <n v="0"/>
    <n v="1416.9747454912001"/>
    <n v="1551.8139359789561"/>
    <n v="0.22101871423413677"/>
    <n v="86"/>
    <n v="79"/>
    <n v="0"/>
    <n v="7"/>
    <n v="1"/>
    <n v="0.33272068287289158"/>
    <n v="1"/>
    <n v="74.8"/>
    <n v="74.8"/>
    <n v="19.386902263822538"/>
    <n v="1436.3616477550227"/>
    <n v="1"/>
    <n v="0"/>
    <n v="0"/>
    <n v="0"/>
    <n v="0"/>
    <n v="0"/>
    <n v="0"/>
    <n v="0"/>
    <n v="0"/>
    <n v="0"/>
  </r>
  <r>
    <d v="2023-06-13T00:00:00"/>
    <n v="2023"/>
    <x v="8"/>
    <s v="R"/>
    <s v="RS"/>
    <x v="6"/>
    <s v="ATL"/>
    <s v="H"/>
    <n v="1"/>
    <n v="1"/>
    <n v="0"/>
    <n v="0"/>
    <n v="0"/>
    <n v="0"/>
    <n v="1551.8139359789561"/>
    <n v="1416.9747454912001"/>
    <n v="0.77898128576586323"/>
    <n v="79"/>
    <n v="86"/>
    <n v="0"/>
    <n v="-7"/>
    <n v="0"/>
    <n v="0.33272068287289158"/>
    <n v="1"/>
    <n v="74.650000000000006"/>
    <n v="74.650000000000006"/>
    <n v="-19.348024786020758"/>
    <n v="1532.4659111929354"/>
    <n v="0"/>
    <n v="1"/>
    <n v="0"/>
    <n v="0"/>
    <n v="0"/>
    <n v="0"/>
    <n v="0"/>
    <n v="0"/>
    <n v="0"/>
    <n v="0"/>
  </r>
  <r>
    <d v="2023-06-13T00:00:00"/>
    <n v="2023"/>
    <x v="7"/>
    <s v="R"/>
    <s v="RS"/>
    <x v="11"/>
    <s v="PHX"/>
    <s v="A"/>
    <n v="1"/>
    <n v="1"/>
    <n v="0"/>
    <n v="0"/>
    <n v="0"/>
    <n v="0"/>
    <n v="1451.9219621869934"/>
    <n v="1427.6234283210902"/>
    <n v="0.41491844501206693"/>
    <n v="83"/>
    <n v="69"/>
    <n v="0"/>
    <n v="14"/>
    <n v="1"/>
    <n v="0.47793059295210299"/>
    <n v="1"/>
    <n v="74.8"/>
    <n v="74.8"/>
    <n v="20.916202412653956"/>
    <n v="1472.8381645996474"/>
    <n v="1"/>
    <n v="0"/>
    <n v="0"/>
    <n v="0"/>
    <n v="0"/>
    <n v="0"/>
    <n v="0"/>
    <n v="0"/>
    <n v="0"/>
    <n v="0"/>
  </r>
  <r>
    <d v="2023-06-13T00:00:00"/>
    <n v="2023"/>
    <x v="7"/>
    <s v="R"/>
    <s v="RS"/>
    <x v="2"/>
    <s v="SEA"/>
    <s v="H"/>
    <n v="1"/>
    <n v="1"/>
    <n v="0"/>
    <n v="0"/>
    <n v="0"/>
    <n v="0"/>
    <n v="1427.6234283210902"/>
    <n v="1451.9219621869934"/>
    <n v="0.58508155498793313"/>
    <n v="69"/>
    <n v="83"/>
    <n v="0"/>
    <n v="-14"/>
    <n v="0"/>
    <n v="0.47793059295210299"/>
    <n v="1"/>
    <n v="74.8"/>
    <n v="74.8"/>
    <n v="-20.916202412653956"/>
    <n v="1406.7072259084362"/>
    <n v="0"/>
    <n v="1"/>
    <n v="0"/>
    <n v="0"/>
    <n v="0"/>
    <n v="0"/>
    <n v="0"/>
    <n v="0"/>
    <n v="0"/>
    <n v="0"/>
  </r>
  <r>
    <d v="2023-06-14T00:00:00"/>
    <n v="2023"/>
    <x v="8"/>
    <s v="R"/>
    <s v="RS"/>
    <x v="3"/>
    <s v="DAL"/>
    <s v="A"/>
    <n v="2"/>
    <n v="2"/>
    <n v="0"/>
    <n v="0"/>
    <n v="0"/>
    <n v="0"/>
    <n v="1459.5729528151951"/>
    <n v="1512.6165295380756"/>
    <n v="0.31240786484326449"/>
    <n v="79"/>
    <n v="61"/>
    <n v="0"/>
    <n v="18"/>
    <n v="1"/>
    <n v="0.5236854733079318"/>
    <n v="1"/>
    <n v="74.650000000000006"/>
    <n v="74.650000000000006"/>
    <n v="26.880122251217657"/>
    <n v="1486.4530750664128"/>
    <n v="1"/>
    <n v="0"/>
    <n v="0"/>
    <n v="0"/>
    <n v="0"/>
    <n v="0"/>
    <n v="0"/>
    <n v="0"/>
    <n v="0"/>
    <n v="0"/>
  </r>
  <r>
    <d v="2023-06-14T00:00:00"/>
    <n v="2023"/>
    <x v="9"/>
    <s v="R"/>
    <s v="RS"/>
    <x v="9"/>
    <s v="LAS"/>
    <s v="H"/>
    <n v="2"/>
    <n v="2"/>
    <n v="0"/>
    <n v="0"/>
    <n v="0"/>
    <n v="0"/>
    <n v="1512.6165295380756"/>
    <n v="1459.5729528151951"/>
    <n v="0.68759213515673545"/>
    <n v="61"/>
    <n v="79"/>
    <n v="0"/>
    <n v="-18"/>
    <n v="0"/>
    <n v="0.5236854733079318"/>
    <n v="1"/>
    <n v="74.5"/>
    <n v="74.5"/>
    <n v="-26.8261099493063"/>
    <n v="1485.7904195887693"/>
    <n v="0"/>
    <n v="1"/>
    <n v="0"/>
    <n v="0"/>
    <n v="0"/>
    <n v="0"/>
    <n v="0"/>
    <n v="0"/>
    <n v="0"/>
    <n v="0"/>
  </r>
  <r>
    <d v="2023-06-15T00:00:00"/>
    <n v="2023"/>
    <x v="9"/>
    <s v="R"/>
    <s v="RS"/>
    <x v="1"/>
    <s v="CHI"/>
    <s v="A"/>
    <n v="1"/>
    <n v="3"/>
    <n v="-2"/>
    <n v="2"/>
    <n v="-16"/>
    <n v="16"/>
    <n v="1378.4167973610408"/>
    <n v="1538.3780520964549"/>
    <n v="0.1695864957579612"/>
    <n v="92"/>
    <n v="90"/>
    <n v="0"/>
    <n v="2"/>
    <n v="1"/>
    <n v="0.23633731023766213"/>
    <n v="1"/>
    <n v="74.5"/>
    <n v="74.5"/>
    <n v="14.62119820133082"/>
    <n v="1393.0379955623716"/>
    <n v="1"/>
    <n v="0"/>
    <n v="0"/>
    <n v="0"/>
    <n v="0"/>
    <n v="0"/>
    <n v="0"/>
    <n v="0"/>
    <n v="0"/>
    <n v="0"/>
  </r>
  <r>
    <d v="2023-06-15T00:00:00"/>
    <n v="2023"/>
    <x v="10"/>
    <s v="R"/>
    <s v="RS"/>
    <x v="4"/>
    <s v="IND"/>
    <s v="H"/>
    <n v="3"/>
    <n v="1"/>
    <n v="2"/>
    <n v="-2"/>
    <n v="16"/>
    <n v="-16"/>
    <n v="1538.3780520964549"/>
    <n v="1378.4167973610408"/>
    <n v="0.83041350424203886"/>
    <n v="90"/>
    <n v="92"/>
    <n v="0"/>
    <n v="-2"/>
    <n v="0"/>
    <n v="0.23633731023766213"/>
    <n v="1"/>
    <n v="74.349999999999994"/>
    <n v="74.349999999999994"/>
    <n v="-14.591759547234181"/>
    <n v="1523.7862925492207"/>
    <n v="0"/>
    <n v="1"/>
    <n v="0"/>
    <n v="0"/>
    <n v="0"/>
    <n v="0"/>
    <n v="0"/>
    <n v="0"/>
    <n v="0"/>
    <n v="0"/>
  </r>
  <r>
    <d v="2023-06-15T00:00:00"/>
    <n v="2023"/>
    <x v="8"/>
    <s v="R"/>
    <s v="RS"/>
    <x v="8"/>
    <s v="CON"/>
    <s v="A"/>
    <n v="1"/>
    <n v="3"/>
    <n v="-2"/>
    <n v="2"/>
    <n v="-16"/>
    <n v="16"/>
    <n v="1436.3616477550227"/>
    <n v="1628.1791605997312"/>
    <n v="0.1453012317619837"/>
    <n v="92"/>
    <n v="88"/>
    <n v="1"/>
    <n v="4"/>
    <n v="1"/>
    <n v="0.24166052703901961"/>
    <n v="1"/>
    <n v="74.650000000000006"/>
    <n v="74.650000000000006"/>
    <n v="15.418730175222791"/>
    <n v="1451.7803779302455"/>
    <n v="1"/>
    <n v="0"/>
    <n v="0"/>
    <n v="0"/>
    <n v="0"/>
    <n v="0"/>
    <n v="0"/>
    <n v="0"/>
    <n v="0"/>
    <n v="0"/>
  </r>
  <r>
    <d v="2023-06-15T00:00:00"/>
    <n v="2023"/>
    <x v="10"/>
    <s v="R"/>
    <s v="RS"/>
    <x v="0"/>
    <s v="ATL"/>
    <s v="H"/>
    <n v="3"/>
    <n v="1"/>
    <n v="2"/>
    <n v="-2"/>
    <n v="16"/>
    <n v="-16"/>
    <n v="1628.1791605997312"/>
    <n v="1436.3616477550227"/>
    <n v="0.85469876823801627"/>
    <n v="88"/>
    <n v="92"/>
    <n v="1"/>
    <n v="-4"/>
    <n v="0"/>
    <n v="0.24166052703901961"/>
    <n v="1"/>
    <n v="74.349999999999994"/>
    <n v="74.349999999999994"/>
    <n v="-15.356766088785191"/>
    <n v="1612.822394510946"/>
    <n v="0"/>
    <n v="1"/>
    <n v="0"/>
    <n v="0"/>
    <n v="0"/>
    <n v="0"/>
    <n v="0"/>
    <n v="0"/>
    <n v="0"/>
    <n v="0"/>
  </r>
  <r>
    <d v="2023-06-15T00:00:00"/>
    <n v="2023"/>
    <x v="8"/>
    <s v="R"/>
    <s v="RS"/>
    <x v="11"/>
    <s v="LVA"/>
    <s v="A"/>
    <n v="1"/>
    <n v="3"/>
    <n v="-2"/>
    <n v="2"/>
    <n v="-16"/>
    <n v="16"/>
    <n v="1472.8381645996474"/>
    <n v="1676.1586734465141"/>
    <n v="0.13726945308919278"/>
    <n v="63"/>
    <n v="96"/>
    <n v="0"/>
    <n v="-33"/>
    <n v="0"/>
    <n v="0.63199448094605259"/>
    <n v="1"/>
    <n v="74.650000000000006"/>
    <n v="74.650000000000006"/>
    <n v="-6.47615151874977"/>
    <n v="1466.3620130808977"/>
    <n v="0"/>
    <n v="1"/>
    <n v="0"/>
    <n v="0"/>
    <n v="0"/>
    <n v="0"/>
    <n v="0"/>
    <n v="0"/>
    <n v="0"/>
    <n v="0"/>
  </r>
  <r>
    <d v="2023-06-15T00:00:00"/>
    <n v="2023"/>
    <x v="9"/>
    <s v="R"/>
    <s v="RS"/>
    <x v="10"/>
    <s v="SEA"/>
    <s v="H"/>
    <n v="3"/>
    <n v="1"/>
    <n v="2"/>
    <n v="-2"/>
    <n v="16"/>
    <n v="-16"/>
    <n v="1676.1586734465141"/>
    <n v="1472.8381645996474"/>
    <n v="0.86273054691080731"/>
    <n v="96"/>
    <n v="63"/>
    <n v="0"/>
    <n v="33"/>
    <n v="1"/>
    <n v="0.63199448094605259"/>
    <n v="1"/>
    <n v="74.5"/>
    <n v="74.5"/>
    <n v="6.4631384882365381"/>
    <n v="1682.6218119347507"/>
    <n v="1"/>
    <n v="0"/>
    <n v="0"/>
    <n v="0"/>
    <n v="0"/>
    <n v="0"/>
    <n v="0"/>
    <n v="0"/>
    <n v="0"/>
    <n v="0"/>
  </r>
  <r>
    <d v="2023-06-16T00:00:00"/>
    <n v="2023"/>
    <x v="9"/>
    <s v="R"/>
    <s v="RS"/>
    <x v="5"/>
    <s v="LAS"/>
    <s v="A"/>
    <n v="4"/>
    <n v="1"/>
    <n v="3"/>
    <n v="-3"/>
    <n v="16"/>
    <n v="-16"/>
    <n v="1434.6011958585959"/>
    <n v="1486.4530750664128"/>
    <n v="0.35484272243206338"/>
    <n v="77"/>
    <n v="72"/>
    <n v="0"/>
    <n v="5"/>
    <n v="1"/>
    <n v="0.31801459674719912"/>
    <n v="1"/>
    <n v="74.5"/>
    <n v="74.5"/>
    <n v="15.285122644089469"/>
    <n v="1449.8863185026853"/>
    <n v="1"/>
    <n v="0"/>
    <n v="0"/>
    <n v="0"/>
    <n v="0"/>
    <n v="0"/>
    <n v="0"/>
    <n v="0"/>
    <n v="0"/>
    <n v="0"/>
  </r>
  <r>
    <d v="2023-06-16T00:00:00"/>
    <n v="2023"/>
    <x v="9"/>
    <s v="R"/>
    <s v="RS"/>
    <x v="3"/>
    <s v="MIN"/>
    <s v="H"/>
    <n v="1"/>
    <n v="4"/>
    <n v="-3"/>
    <n v="3"/>
    <n v="-16"/>
    <n v="16"/>
    <n v="1486.4530750664128"/>
    <n v="1434.6011958585959"/>
    <n v="0.64515727756793673"/>
    <n v="72"/>
    <n v="77"/>
    <n v="0"/>
    <n v="-5"/>
    <n v="0"/>
    <n v="0.31801459674719912"/>
    <n v="1"/>
    <n v="74.5"/>
    <n v="74.5"/>
    <n v="-15.285122644089473"/>
    <n v="1471.1679524223234"/>
    <n v="0"/>
    <n v="1"/>
    <n v="0"/>
    <n v="0"/>
    <n v="0"/>
    <n v="0"/>
    <n v="0"/>
    <n v="0"/>
    <n v="0"/>
    <n v="0"/>
  </r>
  <r>
    <d v="2023-06-16T00:00:00"/>
    <n v="2023"/>
    <x v="8"/>
    <s v="R"/>
    <s v="RS"/>
    <x v="2"/>
    <s v="WAS"/>
    <s v="A"/>
    <n v="2"/>
    <n v="2"/>
    <n v="0"/>
    <n v="0"/>
    <n v="0"/>
    <n v="0"/>
    <n v="1406.7072259084362"/>
    <n v="1523.9186331250889"/>
    <n v="0.23898251076091381"/>
    <n v="69"/>
    <n v="88"/>
    <n v="0"/>
    <n v="-19"/>
    <n v="0"/>
    <n v="0.51105926017614367"/>
    <n v="1"/>
    <n v="74.650000000000006"/>
    <n v="74.650000000000006"/>
    <n v="-9.1173199070376665"/>
    <n v="1397.5899060013985"/>
    <n v="0"/>
    <n v="1"/>
    <n v="0"/>
    <n v="0"/>
    <n v="0"/>
    <n v="0"/>
    <n v="0"/>
    <n v="0"/>
    <n v="0"/>
    <n v="0"/>
  </r>
  <r>
    <d v="2023-06-16T00:00:00"/>
    <n v="2023"/>
    <x v="9"/>
    <s v="R"/>
    <s v="RS"/>
    <x v="7"/>
    <s v="PHX"/>
    <s v="H"/>
    <n v="2"/>
    <n v="2"/>
    <n v="0"/>
    <n v="0"/>
    <n v="0"/>
    <n v="0"/>
    <n v="1523.9186331250889"/>
    <n v="1406.7072259084362"/>
    <n v="0.76101748923908619"/>
    <n v="88"/>
    <n v="69"/>
    <n v="0"/>
    <n v="19"/>
    <n v="1"/>
    <n v="0.51105926017614367"/>
    <n v="1"/>
    <n v="74.5"/>
    <n v="74.5"/>
    <n v="9.0989997732659891"/>
    <n v="1533.017632898355"/>
    <n v="1"/>
    <n v="0"/>
    <n v="0"/>
    <n v="0"/>
    <n v="0"/>
    <n v="0"/>
    <n v="0"/>
    <n v="0"/>
    <n v="0"/>
    <n v="0"/>
  </r>
  <r>
    <d v="2023-06-17T00:00:00"/>
    <n v="2023"/>
    <x v="9"/>
    <s v="R"/>
    <s v="RS"/>
    <x v="11"/>
    <s v="DAL"/>
    <s v="A"/>
    <n v="1"/>
    <n v="2"/>
    <n v="-1"/>
    <n v="1"/>
    <n v="-8"/>
    <n v="8"/>
    <n v="1466.3620130808977"/>
    <n v="1485.7904195887693"/>
    <n v="0.3345927427216861"/>
    <n v="109"/>
    <n v="103"/>
    <n v="0"/>
    <n v="6"/>
    <n v="1"/>
    <n v="0.34568401970917095"/>
    <n v="1"/>
    <n v="74.5"/>
    <n v="74.5"/>
    <n v="17.13653883025184"/>
    <n v="1483.4985519111494"/>
    <n v="1"/>
    <n v="0"/>
    <n v="0"/>
    <n v="0"/>
    <n v="0"/>
    <n v="0"/>
    <n v="0"/>
    <n v="0"/>
    <n v="0"/>
    <n v="0"/>
  </r>
  <r>
    <d v="2023-06-17T00:00:00"/>
    <n v="2023"/>
    <x v="10"/>
    <s v="R"/>
    <s v="RS"/>
    <x v="9"/>
    <s v="SEA"/>
    <s v="H"/>
    <n v="2"/>
    <n v="1"/>
    <n v="1"/>
    <n v="-1"/>
    <n v="8"/>
    <n v="-8"/>
    <n v="1485.7904195887693"/>
    <n v="1466.3620130808977"/>
    <n v="0.66540725727831385"/>
    <n v="103"/>
    <n v="109"/>
    <n v="0"/>
    <n v="-6"/>
    <n v="0"/>
    <n v="0.34568401970917095"/>
    <n v="1"/>
    <n v="74.349999999999994"/>
    <n v="74.349999999999994"/>
    <n v="-17.102035731935899"/>
    <n v="1468.6883838568333"/>
    <n v="0"/>
    <n v="1"/>
    <n v="0"/>
    <n v="0"/>
    <n v="0"/>
    <n v="0"/>
    <n v="0"/>
    <n v="0"/>
    <n v="0"/>
    <n v="0"/>
  </r>
  <r>
    <d v="2023-06-18T00:00:00"/>
    <n v="2023"/>
    <x v="9"/>
    <s v="R"/>
    <s v="RS"/>
    <x v="8"/>
    <s v="IND"/>
    <s v="A"/>
    <n v="2"/>
    <n v="2"/>
    <n v="0"/>
    <n v="0"/>
    <n v="0"/>
    <n v="0"/>
    <n v="1451.7803779302455"/>
    <n v="1393.0379955623716"/>
    <n v="0.46371526414941122"/>
    <n v="100"/>
    <n v="94"/>
    <n v="0"/>
    <n v="6"/>
    <n v="1"/>
    <n v="0.33488735996655566"/>
    <n v="1"/>
    <n v="74.5"/>
    <n v="74.5"/>
    <n v="13.379825963762718"/>
    <n v="1465.1602038940082"/>
    <n v="1"/>
    <n v="0"/>
    <n v="0"/>
    <n v="0"/>
    <n v="0"/>
    <n v="0"/>
    <n v="0"/>
    <n v="0"/>
    <n v="0"/>
    <n v="0"/>
  </r>
  <r>
    <d v="2023-06-18T00:00:00"/>
    <n v="2023"/>
    <x v="10"/>
    <s v="R"/>
    <s v="RS"/>
    <x v="1"/>
    <s v="ATL"/>
    <s v="H"/>
    <n v="2"/>
    <n v="2"/>
    <n v="0"/>
    <n v="0"/>
    <n v="0"/>
    <n v="0"/>
    <n v="1393.0379955623716"/>
    <n v="1451.7803779302455"/>
    <n v="0.53628473585058878"/>
    <n v="94"/>
    <n v="100"/>
    <n v="0"/>
    <n v="-6"/>
    <n v="0"/>
    <n v="0.33488735996655566"/>
    <n v="1"/>
    <n v="74.349999999999994"/>
    <n v="74.349999999999994"/>
    <n v="-13.352886716855814"/>
    <n v="1379.6851088455157"/>
    <n v="0"/>
    <n v="1"/>
    <n v="0"/>
    <n v="0"/>
    <n v="0"/>
    <n v="0"/>
    <n v="0"/>
    <n v="0"/>
    <n v="0"/>
    <n v="0"/>
  </r>
  <r>
    <d v="2023-06-18T00:00:00"/>
    <n v="2023"/>
    <x v="11"/>
    <s v="R"/>
    <s v="RS"/>
    <x v="0"/>
    <s v="LAS"/>
    <s v="A"/>
    <n v="2"/>
    <n v="1"/>
    <n v="1"/>
    <n v="-1"/>
    <n v="8"/>
    <n v="-8"/>
    <n v="1612.822394510946"/>
    <n v="1471.1679524223234"/>
    <n v="0.60443739958663012"/>
    <n v="83"/>
    <n v="74"/>
    <n v="0"/>
    <n v="9"/>
    <n v="1"/>
    <n v="0.36310827683639257"/>
    <n v="1"/>
    <n v="74.2"/>
    <n v="74.2"/>
    <n v="10.657498422902977"/>
    <n v="1623.479892933849"/>
    <n v="1"/>
    <n v="0"/>
    <n v="0"/>
    <n v="0"/>
    <n v="0"/>
    <n v="0"/>
    <n v="0"/>
    <n v="0"/>
    <n v="0"/>
    <n v="0"/>
  </r>
  <r>
    <d v="2023-06-18T00:00:00"/>
    <n v="2023"/>
    <x v="10"/>
    <s v="R"/>
    <s v="RS"/>
    <x v="3"/>
    <s v="CON"/>
    <s v="H"/>
    <n v="1"/>
    <n v="2"/>
    <n v="-1"/>
    <n v="1"/>
    <n v="-8"/>
    <n v="8"/>
    <n v="1471.1679524223234"/>
    <n v="1612.822394510946"/>
    <n v="0.39556260041336994"/>
    <n v="74"/>
    <n v="83"/>
    <n v="0"/>
    <n v="-9"/>
    <n v="0"/>
    <n v="0.36310827683639257"/>
    <n v="1"/>
    <n v="74.349999999999994"/>
    <n v="74.349999999999994"/>
    <n v="-10.67904323103553"/>
    <n v="1460.4889091912878"/>
    <n v="0"/>
    <n v="1"/>
    <n v="0"/>
    <n v="0"/>
    <n v="0"/>
    <n v="0"/>
    <n v="0"/>
    <n v="0"/>
    <n v="0"/>
    <n v="0"/>
  </r>
  <r>
    <d v="2023-06-18T00:00:00"/>
    <n v="2023"/>
    <x v="10"/>
    <s v="R"/>
    <s v="RS"/>
    <x v="5"/>
    <s v="LVA"/>
    <s v="A"/>
    <n v="1"/>
    <n v="2"/>
    <n v="-1"/>
    <n v="1"/>
    <n v="-8"/>
    <n v="8"/>
    <n v="1449.8863185026853"/>
    <n v="1682.6218119347507"/>
    <n v="0.12837770223763076"/>
    <n v="62"/>
    <n v="93"/>
    <n v="0"/>
    <n v="-31"/>
    <n v="0"/>
    <n v="0.59926026304161184"/>
    <n v="1"/>
    <n v="74.349999999999994"/>
    <n v="74.349999999999994"/>
    <n v="-5.7198685947224837"/>
    <n v="1444.1664499079627"/>
    <n v="0"/>
    <n v="1"/>
    <n v="0"/>
    <n v="0"/>
    <n v="0"/>
    <n v="0"/>
    <n v="0"/>
    <n v="0"/>
    <n v="0"/>
    <n v="0"/>
  </r>
  <r>
    <d v="2023-06-18T00:00:00"/>
    <n v="2023"/>
    <x v="10"/>
    <s v="R"/>
    <s v="RS"/>
    <x v="10"/>
    <s v="MIN"/>
    <s v="H"/>
    <n v="2"/>
    <n v="1"/>
    <n v="1"/>
    <n v="-1"/>
    <n v="8"/>
    <n v="-8"/>
    <n v="1682.6218119347507"/>
    <n v="1449.8863185026853"/>
    <n v="0.87162229776236921"/>
    <n v="93"/>
    <n v="62"/>
    <n v="0"/>
    <n v="31"/>
    <n v="1"/>
    <n v="0.59926026304161184"/>
    <n v="1"/>
    <n v="74.349999999999994"/>
    <n v="74.349999999999994"/>
    <n v="5.7198685947224854"/>
    <n v="1688.3416805294733"/>
    <n v="1"/>
    <n v="0"/>
    <n v="0"/>
    <n v="0"/>
    <n v="0"/>
    <n v="0"/>
    <n v="0"/>
    <n v="0"/>
    <n v="0"/>
    <n v="0"/>
  </r>
  <r>
    <d v="2023-06-18T00:00:00"/>
    <n v="2023"/>
    <x v="9"/>
    <s v="R"/>
    <s v="RS"/>
    <x v="2"/>
    <s v="NYL"/>
    <s v="A"/>
    <n v="1"/>
    <n v="4"/>
    <n v="-3"/>
    <n v="3"/>
    <n v="-16"/>
    <n v="16"/>
    <n v="1397.5899060013985"/>
    <n v="1532.4659111929354"/>
    <n v="0.1909022263129577"/>
    <n v="71"/>
    <n v="89"/>
    <n v="0"/>
    <n v="-18"/>
    <n v="0"/>
    <n v="0.49158177688378579"/>
    <n v="1"/>
    <n v="74.5"/>
    <n v="74.5"/>
    <n v="-6.991382143838579"/>
    <n v="1390.5985238575599"/>
    <n v="0"/>
    <n v="1"/>
    <n v="0"/>
    <n v="0"/>
    <n v="0"/>
    <n v="0"/>
    <n v="0"/>
    <n v="0"/>
    <n v="0"/>
    <n v="0"/>
  </r>
  <r>
    <d v="2023-06-18T00:00:00"/>
    <n v="2023"/>
    <x v="9"/>
    <s v="R"/>
    <s v="RS"/>
    <x v="6"/>
    <s v="PHX"/>
    <s v="H"/>
    <n v="4"/>
    <n v="1"/>
    <n v="3"/>
    <n v="-3"/>
    <n v="16"/>
    <n v="-16"/>
    <n v="1532.4659111929354"/>
    <n v="1397.5899060013985"/>
    <n v="0.80909777368704228"/>
    <n v="89"/>
    <n v="71"/>
    <n v="0"/>
    <n v="18"/>
    <n v="1"/>
    <n v="0.49158177688378579"/>
    <n v="1"/>
    <n v="74.5"/>
    <n v="74.5"/>
    <n v="6.9913821438385799"/>
    <n v="1539.457293336774"/>
    <n v="1"/>
    <n v="0"/>
    <n v="0"/>
    <n v="0"/>
    <n v="0"/>
    <n v="0"/>
    <n v="0"/>
    <n v="0"/>
    <n v="0"/>
    <n v="0"/>
  </r>
  <r>
    <d v="2023-06-18T00:00:00"/>
    <n v="2023"/>
    <x v="11"/>
    <s v="R"/>
    <s v="RS"/>
    <x v="4"/>
    <s v="WAS"/>
    <s v="A"/>
    <n v="2"/>
    <n v="1"/>
    <n v="1"/>
    <n v="-1"/>
    <n v="8"/>
    <n v="-8"/>
    <n v="1523.7862925492207"/>
    <n v="1533.017632898355"/>
    <n v="0.39065034857225117"/>
    <n v="69"/>
    <n v="77"/>
    <n v="0"/>
    <n v="-8"/>
    <n v="0"/>
    <n v="0.38535111227688429"/>
    <n v="1"/>
    <n v="74.2"/>
    <n v="74.2"/>
    <n v="-11.169885937958281"/>
    <n v="1512.6164066112624"/>
    <n v="0"/>
    <n v="1"/>
    <n v="0"/>
    <n v="0"/>
    <n v="0"/>
    <n v="0"/>
    <n v="0"/>
    <n v="0"/>
    <n v="0"/>
    <n v="0"/>
  </r>
  <r>
    <d v="2023-06-18T00:00:00"/>
    <n v="2023"/>
    <x v="10"/>
    <s v="R"/>
    <s v="RS"/>
    <x v="7"/>
    <s v="CHI"/>
    <s v="H"/>
    <n v="1"/>
    <n v="2"/>
    <n v="-1"/>
    <n v="1"/>
    <n v="-8"/>
    <n v="8"/>
    <n v="1533.017632898355"/>
    <n v="1523.7862925492207"/>
    <n v="0.60934965142774888"/>
    <n v="77"/>
    <n v="69"/>
    <n v="0"/>
    <n v="8"/>
    <n v="1"/>
    <n v="0.38535111227688429"/>
    <n v="1"/>
    <n v="74.349999999999994"/>
    <n v="74.349999999999994"/>
    <n v="11.192466569908328"/>
    <n v="1544.2100994682633"/>
    <n v="1"/>
    <n v="0"/>
    <n v="0"/>
    <n v="0"/>
    <n v="0"/>
    <n v="0"/>
    <n v="0"/>
    <n v="0"/>
    <n v="0"/>
    <n v="0"/>
  </r>
  <r>
    <d v="2023-06-20T00:00:00"/>
    <n v="2023"/>
    <x v="10"/>
    <s v="R"/>
    <s v="RS"/>
    <x v="8"/>
    <s v="DAL"/>
    <s v="A"/>
    <n v="1"/>
    <n v="2"/>
    <n v="-1"/>
    <n v="1"/>
    <n v="-8"/>
    <n v="8"/>
    <n v="1465.1602038940082"/>
    <n v="1468.6883838568333"/>
    <n v="0.35526941614657959"/>
    <n v="73"/>
    <n v="85"/>
    <n v="0"/>
    <n v="-12"/>
    <n v="0"/>
    <n v="0.45479228555226331"/>
    <n v="1"/>
    <n v="74.349999999999994"/>
    <n v="74.349999999999994"/>
    <n v="-12.013011268367601"/>
    <n v="1453.1471926256406"/>
    <n v="0"/>
    <n v="1"/>
    <n v="0"/>
    <n v="0"/>
    <n v="0"/>
    <n v="0"/>
    <n v="0"/>
    <n v="0"/>
    <n v="0"/>
    <n v="0"/>
  </r>
  <r>
    <d v="2023-06-20T00:00:00"/>
    <n v="2023"/>
    <x v="11"/>
    <s v="R"/>
    <s v="RS"/>
    <x v="9"/>
    <s v="ATL"/>
    <s v="H"/>
    <n v="2"/>
    <n v="1"/>
    <n v="1"/>
    <n v="-1"/>
    <n v="8"/>
    <n v="-8"/>
    <n v="1468.6883838568333"/>
    <n v="1465.1602038940082"/>
    <n v="0.64473058385342041"/>
    <n v="85"/>
    <n v="73"/>
    <n v="0"/>
    <n v="12"/>
    <n v="1"/>
    <n v="0.45479228555226331"/>
    <n v="1"/>
    <n v="74.2"/>
    <n v="74.2"/>
    <n v="11.988775199904184"/>
    <n v="1480.6771590567375"/>
    <n v="1"/>
    <n v="0"/>
    <n v="0"/>
    <n v="0"/>
    <n v="0"/>
    <n v="0"/>
    <n v="0"/>
    <n v="0"/>
    <n v="0"/>
    <n v="0"/>
  </r>
  <r>
    <d v="2023-06-20T00:00:00"/>
    <n v="2023"/>
    <x v="11"/>
    <s v="R"/>
    <s v="RS"/>
    <x v="5"/>
    <s v="LAS"/>
    <s v="A"/>
    <n v="1"/>
    <n v="1"/>
    <n v="0"/>
    <n v="0"/>
    <n v="0"/>
    <n v="0"/>
    <n v="1444.1664499079627"/>
    <n v="1460.4889091912878"/>
    <n v="0.35950747106032016"/>
    <n v="67"/>
    <n v="61"/>
    <n v="0"/>
    <n v="6"/>
    <n v="1"/>
    <n v="0.34656674312958563"/>
    <n v="1"/>
    <n v="74.2"/>
    <n v="74.2"/>
    <n v="16.47042700370649"/>
    <n v="1460.6368769116691"/>
    <n v="1"/>
    <n v="0"/>
    <n v="0"/>
    <n v="0"/>
    <n v="0"/>
    <n v="0"/>
    <n v="0"/>
    <n v="0"/>
    <n v="0"/>
    <n v="0"/>
  </r>
  <r>
    <d v="2023-06-20T00:00:00"/>
    <n v="2023"/>
    <x v="11"/>
    <s v="R"/>
    <s v="RS"/>
    <x v="3"/>
    <s v="MIN"/>
    <s v="H"/>
    <n v="1"/>
    <n v="1"/>
    <n v="0"/>
    <n v="0"/>
    <n v="0"/>
    <n v="0"/>
    <n v="1460.4889091912878"/>
    <n v="1444.1664499079627"/>
    <n v="0.64049252893967978"/>
    <n v="61"/>
    <n v="67"/>
    <n v="0"/>
    <n v="-6"/>
    <n v="0"/>
    <n v="0.34656674312958563"/>
    <n v="1"/>
    <n v="74.2"/>
    <n v="74.2"/>
    <n v="-16.470427003706487"/>
    <n v="1444.0184821875814"/>
    <n v="0"/>
    <n v="1"/>
    <n v="0"/>
    <n v="0"/>
    <n v="0"/>
    <n v="0"/>
    <n v="0"/>
    <n v="0"/>
    <n v="0"/>
    <n v="0"/>
  </r>
  <r>
    <d v="2023-06-20T00:00:00"/>
    <n v="2023"/>
    <x v="12"/>
    <s v="R"/>
    <s v="RS"/>
    <x v="0"/>
    <s v="SEA"/>
    <s v="A"/>
    <n v="1"/>
    <n v="2"/>
    <n v="-1"/>
    <n v="1"/>
    <n v="-8"/>
    <n v="8"/>
    <n v="1623.479892933849"/>
    <n v="1483.4985519111494"/>
    <n v="0.5572851339727608"/>
    <n v="85"/>
    <n v="79"/>
    <n v="0"/>
    <n v="6"/>
    <n v="1"/>
    <n v="0.31458416651344184"/>
    <n v="1"/>
    <n v="74.05"/>
    <n v="74.05"/>
    <n v="10.313024002146008"/>
    <n v="1633.792916935995"/>
    <n v="1"/>
    <n v="0"/>
    <n v="0"/>
    <n v="0"/>
    <n v="0"/>
    <n v="0"/>
    <n v="0"/>
    <n v="0"/>
    <n v="0"/>
    <n v="0"/>
  </r>
  <r>
    <d v="2023-06-20T00:00:00"/>
    <n v="2023"/>
    <x v="10"/>
    <s v="R"/>
    <s v="RS"/>
    <x v="11"/>
    <s v="CON"/>
    <s v="H"/>
    <n v="2"/>
    <n v="1"/>
    <n v="1"/>
    <n v="-1"/>
    <n v="8"/>
    <n v="-8"/>
    <n v="1483.4985519111494"/>
    <n v="1623.479892933849"/>
    <n v="0.4427148660272392"/>
    <n v="79"/>
    <n v="85"/>
    <n v="0"/>
    <n v="-6"/>
    <n v="0"/>
    <n v="0.31458416651344184"/>
    <n v="1"/>
    <n v="74.349999999999994"/>
    <n v="74.349999999999994"/>
    <n v="-10.354805328285694"/>
    <n v="1473.1437465828637"/>
    <n v="0"/>
    <n v="1"/>
    <n v="0"/>
    <n v="0"/>
    <n v="0"/>
    <n v="0"/>
    <n v="0"/>
    <n v="0"/>
    <n v="0"/>
    <n v="0"/>
  </r>
  <r>
    <d v="2023-06-21T00:00:00"/>
    <n v="2023"/>
    <x v="11"/>
    <s v="R"/>
    <s v="RS"/>
    <x v="10"/>
    <s v="PHX"/>
    <s v="A"/>
    <n v="2"/>
    <n v="2"/>
    <n v="0"/>
    <n v="0"/>
    <n v="0"/>
    <n v="0"/>
    <n v="1688.3416805294733"/>
    <n v="1390.5985238575599"/>
    <n v="0.77388936613675252"/>
    <n v="99"/>
    <n v="79"/>
    <n v="0"/>
    <n v="20"/>
    <n v="1"/>
    <n v="0.46060289286417683"/>
    <n v="1"/>
    <n v="74.2"/>
    <n v="74.2"/>
    <n v="7.727723135205526"/>
    <n v="1696.0694036646787"/>
    <n v="1"/>
    <n v="0"/>
    <n v="0"/>
    <n v="0"/>
    <n v="0"/>
    <n v="0"/>
    <n v="0"/>
    <n v="0"/>
    <n v="0"/>
    <n v="0"/>
  </r>
  <r>
    <d v="2023-06-21T00:00:00"/>
    <n v="2023"/>
    <x v="10"/>
    <s v="R"/>
    <s v="RS"/>
    <x v="2"/>
    <s v="LVA"/>
    <s v="H"/>
    <n v="2"/>
    <n v="2"/>
    <n v="0"/>
    <n v="0"/>
    <n v="0"/>
    <n v="0"/>
    <n v="1390.5985238575599"/>
    <n v="1688.3416805294733"/>
    <n v="0.22611063386324737"/>
    <n v="79"/>
    <n v="99"/>
    <n v="0"/>
    <n v="-20"/>
    <n v="0"/>
    <n v="0.46060289286417683"/>
    <n v="1"/>
    <n v="74.349999999999994"/>
    <n v="74.349999999999994"/>
    <n v="-7.7433452170152357"/>
    <n v="1382.8551786405446"/>
    <n v="0"/>
    <n v="1"/>
    <n v="0"/>
    <n v="0"/>
    <n v="0"/>
    <n v="0"/>
    <n v="0"/>
    <n v="0"/>
    <n v="0"/>
    <n v="0"/>
  </r>
  <r>
    <d v="2023-06-22T00:00:00"/>
    <n v="2023"/>
    <x v="11"/>
    <s v="R"/>
    <s v="RS"/>
    <x v="7"/>
    <s v="CHI"/>
    <s v="A"/>
    <n v="3"/>
    <n v="3"/>
    <n v="0"/>
    <n v="0"/>
    <n v="0"/>
    <n v="0"/>
    <n v="1544.2100994682633"/>
    <n v="1512.6164066112624"/>
    <n v="0.42514807790102449"/>
    <n v="80"/>
    <n v="59"/>
    <n v="0"/>
    <n v="21"/>
    <n v="1"/>
    <n v="0.57347772355545135"/>
    <n v="1"/>
    <n v="74.2"/>
    <n v="74.2"/>
    <n v="24.461126057676275"/>
    <n v="1568.6712255259395"/>
    <n v="1"/>
    <n v="0"/>
    <n v="0"/>
    <n v="0"/>
    <n v="0"/>
    <n v="0"/>
    <n v="0"/>
    <n v="0"/>
    <n v="0"/>
    <n v="0"/>
  </r>
  <r>
    <d v="2023-06-22T00:00:00"/>
    <n v="2023"/>
    <x v="12"/>
    <s v="R"/>
    <s v="RS"/>
    <x v="4"/>
    <s v="WAS"/>
    <s v="H"/>
    <n v="3"/>
    <n v="3"/>
    <n v="0"/>
    <n v="0"/>
    <n v="0"/>
    <n v="0"/>
    <n v="1512.6164066112624"/>
    <n v="1544.2100994682633"/>
    <n v="0.57485192209897562"/>
    <n v="59"/>
    <n v="80"/>
    <n v="0"/>
    <n v="-21"/>
    <n v="0"/>
    <n v="0.57347772355545135"/>
    <n v="1"/>
    <n v="74.05"/>
    <n v="74.05"/>
    <n v="-24.411676341926256"/>
    <n v="1488.2047302693361"/>
    <n v="0"/>
    <n v="1"/>
    <n v="0"/>
    <n v="0"/>
    <n v="0"/>
    <n v="0"/>
    <n v="0"/>
    <n v="0"/>
    <n v="0"/>
    <n v="0"/>
  </r>
  <r>
    <d v="2023-06-22T00:00:00"/>
    <n v="2023"/>
    <x v="13"/>
    <s v="R"/>
    <s v="RS"/>
    <x v="0"/>
    <s v="MIN"/>
    <s v="A"/>
    <n v="1"/>
    <n v="1"/>
    <n v="0"/>
    <n v="0"/>
    <n v="0"/>
    <n v="0"/>
    <n v="1633.792916935995"/>
    <n v="1460.6368769116691"/>
    <n v="0.6255618152494794"/>
    <n v="89"/>
    <n v="68"/>
    <n v="0"/>
    <n v="21"/>
    <n v="1"/>
    <n v="0.51435636354363079"/>
    <n v="1"/>
    <n v="73.900000000000006"/>
    <n v="73.900000000000006"/>
    <n v="14.232745601623526"/>
    <n v="1648.0256625376185"/>
    <n v="1"/>
    <n v="0"/>
    <n v="0"/>
    <n v="0"/>
    <n v="0"/>
    <n v="0"/>
    <n v="0"/>
    <n v="0"/>
    <n v="0"/>
    <n v="0"/>
  </r>
  <r>
    <d v="2023-06-22T00:00:00"/>
    <n v="2023"/>
    <x v="12"/>
    <s v="R"/>
    <s v="RS"/>
    <x v="5"/>
    <s v="CON"/>
    <s v="H"/>
    <n v="1"/>
    <n v="1"/>
    <n v="0"/>
    <n v="0"/>
    <n v="0"/>
    <n v="0"/>
    <n v="1460.6368769116691"/>
    <n v="1633.792916935995"/>
    <n v="0.37443818475052054"/>
    <n v="68"/>
    <n v="89"/>
    <n v="0"/>
    <n v="-21"/>
    <n v="0"/>
    <n v="0.51435636354363079"/>
    <n v="1"/>
    <n v="74.05"/>
    <n v="74.05"/>
    <n v="-14.261634801085545"/>
    <n v="1446.3752421105835"/>
    <n v="0"/>
    <n v="1"/>
    <n v="0"/>
    <n v="0"/>
    <n v="0"/>
    <n v="0"/>
    <n v="0"/>
    <n v="0"/>
    <n v="0"/>
    <n v="0"/>
  </r>
  <r>
    <d v="2023-06-22T00:00:00"/>
    <n v="2023"/>
    <x v="11"/>
    <s v="R"/>
    <s v="RS"/>
    <x v="1"/>
    <s v="SEA"/>
    <s v="A"/>
    <n v="3"/>
    <n v="1"/>
    <n v="2"/>
    <n v="-2"/>
    <n v="16"/>
    <n v="-16"/>
    <n v="1379.6851088455157"/>
    <n v="1473.1437465828637"/>
    <n v="0.30209799925357406"/>
    <n v="80"/>
    <n v="68"/>
    <n v="0"/>
    <n v="12"/>
    <n v="1"/>
    <n v="0.42317188638466213"/>
    <n v="1"/>
    <n v="74.2"/>
    <n v="74.2"/>
    <n v="21.913671957628125"/>
    <n v="1401.5987808031439"/>
    <n v="1"/>
    <n v="0"/>
    <n v="0"/>
    <n v="0"/>
    <n v="0"/>
    <n v="0"/>
    <n v="0"/>
    <n v="0"/>
    <n v="0"/>
    <n v="0"/>
  </r>
  <r>
    <d v="2023-06-22T00:00:00"/>
    <n v="2023"/>
    <x v="11"/>
    <s v="R"/>
    <s v="RS"/>
    <x v="11"/>
    <s v="IND"/>
    <s v="H"/>
    <n v="1"/>
    <n v="3"/>
    <n v="-2"/>
    <n v="2"/>
    <n v="-16"/>
    <n v="16"/>
    <n v="1473.1437465828637"/>
    <n v="1379.6851088455157"/>
    <n v="0.69790200074642594"/>
    <n v="68"/>
    <n v="80"/>
    <n v="0"/>
    <n v="-12"/>
    <n v="0"/>
    <n v="0.42317188638466213"/>
    <n v="1"/>
    <n v="74.2"/>
    <n v="74.2"/>
    <n v="-21.913671957628125"/>
    <n v="1451.2300746252356"/>
    <n v="0"/>
    <n v="1"/>
    <n v="0"/>
    <n v="0"/>
    <n v="0"/>
    <n v="0"/>
    <n v="0"/>
    <n v="0"/>
    <n v="0"/>
    <n v="0"/>
  </r>
  <r>
    <d v="2023-06-23T00:00:00"/>
    <n v="2023"/>
    <x v="10"/>
    <s v="R"/>
    <s v="RS"/>
    <x v="6"/>
    <s v="ATL"/>
    <s v="A"/>
    <n v="4"/>
    <n v="2"/>
    <n v="2"/>
    <n v="-2"/>
    <n v="16"/>
    <n v="-16"/>
    <n v="1539.457293336774"/>
    <n v="1453.1471926256406"/>
    <n v="0.54921632145871901"/>
    <n v="110"/>
    <n v="80"/>
    <n v="0"/>
    <n v="30"/>
    <n v="1"/>
    <n v="0.65628903253040105"/>
    <n v="1"/>
    <n v="74.349999999999994"/>
    <n v="74.349999999999994"/>
    <n v="21.996029970500715"/>
    <n v="1561.4533233072748"/>
    <n v="1"/>
    <n v="0"/>
    <n v="0"/>
    <n v="0"/>
    <n v="0"/>
    <n v="0"/>
    <n v="0"/>
    <n v="0"/>
    <n v="0"/>
    <n v="0"/>
  </r>
  <r>
    <d v="2023-06-23T00:00:00"/>
    <n v="2023"/>
    <x v="11"/>
    <s v="R"/>
    <s v="RS"/>
    <x v="8"/>
    <s v="NYL"/>
    <s v="H"/>
    <n v="2"/>
    <n v="4"/>
    <n v="-2"/>
    <n v="2"/>
    <n v="-16"/>
    <n v="16"/>
    <n v="1453.1471926256406"/>
    <n v="1539.457293336774"/>
    <n v="0.45078367854128104"/>
    <n v="80"/>
    <n v="110"/>
    <n v="0"/>
    <n v="-30"/>
    <n v="0"/>
    <n v="0.65628903253040105"/>
    <n v="1"/>
    <n v="74.2"/>
    <n v="74.2"/>
    <n v="-21.951653312860167"/>
    <n v="1431.1955393127805"/>
    <n v="0"/>
    <n v="1"/>
    <n v="0"/>
    <n v="0"/>
    <n v="0"/>
    <n v="0"/>
    <n v="0"/>
    <n v="0"/>
    <n v="0"/>
    <n v="0"/>
  </r>
  <r>
    <d v="2023-06-23T00:00:00"/>
    <n v="2023"/>
    <x v="12"/>
    <s v="R"/>
    <s v="RS"/>
    <x v="9"/>
    <s v="LAS"/>
    <s v="A"/>
    <n v="2"/>
    <n v="2"/>
    <n v="0"/>
    <n v="0"/>
    <n v="0"/>
    <n v="0"/>
    <n v="1480.6771590567375"/>
    <n v="1444.0184821875814"/>
    <n v="0.43228889644796042"/>
    <n v="74"/>
    <n v="76"/>
    <n v="0"/>
    <n v="-2"/>
    <n v="0"/>
    <n v="0.25990161309935189"/>
    <n v="1"/>
    <n v="74.05"/>
    <n v="74.05"/>
    <n v="-8.3197086609460946"/>
    <n v="1472.3574503957914"/>
    <n v="0"/>
    <n v="1"/>
    <n v="0"/>
    <n v="0"/>
    <n v="0"/>
    <n v="0"/>
    <n v="0"/>
    <n v="0"/>
    <n v="0"/>
    <n v="0"/>
  </r>
  <r>
    <d v="2023-06-23T00:00:00"/>
    <n v="2023"/>
    <x v="12"/>
    <s v="R"/>
    <s v="RS"/>
    <x v="3"/>
    <s v="DAL"/>
    <s v="H"/>
    <n v="2"/>
    <n v="2"/>
    <n v="0"/>
    <n v="0"/>
    <n v="0"/>
    <n v="0"/>
    <n v="1444.0184821875814"/>
    <n v="1480.6771590567375"/>
    <n v="0.56771110355203958"/>
    <n v="76"/>
    <n v="74"/>
    <n v="0"/>
    <n v="2"/>
    <n v="1"/>
    <n v="0.25990161309935189"/>
    <n v="1"/>
    <n v="74.05"/>
    <n v="74.05"/>
    <n v="8.3197086609460946"/>
    <n v="1452.3381908485276"/>
    <n v="1"/>
    <n v="0"/>
    <n v="0"/>
    <n v="0"/>
    <n v="0"/>
    <n v="0"/>
    <n v="0"/>
    <n v="0"/>
    <n v="0"/>
    <n v="0"/>
  </r>
  <r>
    <d v="2023-06-24T00:00:00"/>
    <n v="2023"/>
    <x v="12"/>
    <s v="R"/>
    <s v="RS"/>
    <x v="1"/>
    <s v="LVA"/>
    <s v="A"/>
    <n v="1"/>
    <n v="2"/>
    <n v="-1"/>
    <n v="1"/>
    <n v="-8"/>
    <n v="8"/>
    <n v="1401.5987808031439"/>
    <n v="1696.0694036646787"/>
    <n v="9.3574117687348191E-2"/>
    <n v="88"/>
    <n v="101"/>
    <n v="0"/>
    <n v="-13"/>
    <n v="0"/>
    <n v="0.37903221255184472"/>
    <n v="1"/>
    <n v="74.05"/>
    <n v="74.05"/>
    <n v="-2.6263761402252808"/>
    <n v="1398.9724046629185"/>
    <n v="0"/>
    <n v="1"/>
    <n v="0"/>
    <n v="0"/>
    <n v="0"/>
    <n v="0"/>
    <n v="0"/>
    <n v="0"/>
    <n v="0"/>
    <n v="0"/>
  </r>
  <r>
    <d v="2023-06-24T00:00:00"/>
    <n v="2023"/>
    <x v="12"/>
    <s v="R"/>
    <s v="RS"/>
    <x v="10"/>
    <s v="IND"/>
    <s v="H"/>
    <n v="2"/>
    <n v="1"/>
    <n v="1"/>
    <n v="-1"/>
    <n v="8"/>
    <n v="-8"/>
    <n v="1696.0694036646787"/>
    <n v="1401.5987808031439"/>
    <n v="0.90642588231265175"/>
    <n v="101"/>
    <n v="88"/>
    <n v="0"/>
    <n v="13"/>
    <n v="1"/>
    <n v="0.37903221255184472"/>
    <n v="1"/>
    <n v="74.05"/>
    <n v="74.05"/>
    <n v="2.6263761402252821"/>
    <n v="1698.6957798049041"/>
    <n v="1"/>
    <n v="0"/>
    <n v="0"/>
    <n v="0"/>
    <n v="0"/>
    <n v="0"/>
    <n v="0"/>
    <n v="0"/>
    <n v="0"/>
    <n v="0"/>
  </r>
  <r>
    <d v="2023-06-24T00:00:00"/>
    <n v="2023"/>
    <x v="11"/>
    <s v="R"/>
    <s v="RS"/>
    <x v="2"/>
    <s v="SEA"/>
    <s v="A"/>
    <n v="2"/>
    <n v="1"/>
    <n v="1"/>
    <n v="-1"/>
    <n v="8"/>
    <n v="-8"/>
    <n v="1382.8551786405446"/>
    <n v="1451.2300746252356"/>
    <n v="0.31323531252689518"/>
    <n v="74"/>
    <n v="97"/>
    <n v="0"/>
    <n v="-23"/>
    <n v="0"/>
    <n v="0.58216645994169414"/>
    <n v="1"/>
    <n v="74.2"/>
    <n v="74.2"/>
    <n v="-13.530747902270448"/>
    <n v="1369.3244307382743"/>
    <n v="0"/>
    <n v="1"/>
    <n v="0"/>
    <n v="0"/>
    <n v="0"/>
    <n v="0"/>
    <n v="0"/>
    <n v="0"/>
    <n v="0"/>
    <n v="0"/>
  </r>
  <r>
    <d v="2023-06-24T00:00:00"/>
    <n v="2023"/>
    <x v="12"/>
    <s v="R"/>
    <s v="RS"/>
    <x v="11"/>
    <s v="PHX"/>
    <s v="H"/>
    <n v="1"/>
    <n v="2"/>
    <n v="-1"/>
    <n v="1"/>
    <n v="-8"/>
    <n v="8"/>
    <n v="1451.2300746252356"/>
    <n v="1382.8551786405446"/>
    <n v="0.68676468747310482"/>
    <n v="97"/>
    <n v="74"/>
    <n v="0"/>
    <n v="23"/>
    <n v="1"/>
    <n v="0.58216645994169414"/>
    <n v="1"/>
    <n v="74.05"/>
    <n v="74.05"/>
    <n v="13.50339463831707"/>
    <n v="1464.7334692635527"/>
    <n v="1"/>
    <n v="0"/>
    <n v="0"/>
    <n v="0"/>
    <n v="0"/>
    <n v="0"/>
    <n v="0"/>
    <n v="0"/>
    <n v="0"/>
    <n v="0"/>
  </r>
  <r>
    <d v="2023-06-25T00:00:00"/>
    <n v="2023"/>
    <x v="13"/>
    <s v="R"/>
    <s v="RS"/>
    <x v="4"/>
    <s v="CON"/>
    <s v="A"/>
    <n v="2"/>
    <n v="2"/>
    <n v="0"/>
    <n v="0"/>
    <n v="0"/>
    <n v="0"/>
    <n v="1488.2047302693361"/>
    <n v="1648.0256625376185"/>
    <n v="0.19725400027383314"/>
    <n v="72"/>
    <n v="96"/>
    <n v="0"/>
    <n v="-24"/>
    <n v="0"/>
    <n v="0.55457089933145876"/>
    <n v="1"/>
    <n v="73.900000000000006"/>
    <n v="73.900000000000006"/>
    <n v="-8.084019163482612"/>
    <n v="1480.1207111058534"/>
    <n v="0"/>
    <n v="1"/>
    <n v="0"/>
    <n v="0"/>
    <n v="0"/>
    <n v="0"/>
    <n v="0"/>
    <n v="0"/>
    <n v="0"/>
    <n v="0"/>
  </r>
  <r>
    <d v="2023-06-25T00:00:00"/>
    <n v="2023"/>
    <x v="14"/>
    <s v="R"/>
    <s v="RS"/>
    <x v="0"/>
    <s v="CHI"/>
    <s v="H"/>
    <n v="2"/>
    <n v="2"/>
    <n v="0"/>
    <n v="0"/>
    <n v="0"/>
    <n v="0"/>
    <n v="1648.0256625376185"/>
    <n v="1488.2047302693361"/>
    <n v="0.80274599972616689"/>
    <n v="96"/>
    <n v="72"/>
    <n v="0"/>
    <n v="24"/>
    <n v="1"/>
    <n v="0.55457089933145876"/>
    <n v="1"/>
    <n v="73.75"/>
    <n v="73.75"/>
    <n v="8.067610464233324"/>
    <n v="1656.0932730018517"/>
    <n v="1"/>
    <n v="0"/>
    <n v="0"/>
    <n v="0"/>
    <n v="0"/>
    <n v="0"/>
    <n v="0"/>
    <n v="0"/>
    <n v="0"/>
    <n v="0"/>
  </r>
  <r>
    <d v="2023-06-25T00:00:00"/>
    <n v="2023"/>
    <x v="13"/>
    <s v="R"/>
    <s v="RS"/>
    <x v="9"/>
    <s v="LAS"/>
    <s v="A"/>
    <n v="1"/>
    <n v="1"/>
    <n v="0"/>
    <n v="0"/>
    <n v="0"/>
    <n v="0"/>
    <n v="1472.3574503957914"/>
    <n v="1452.3381908485276"/>
    <n v="0.40895120105760996"/>
    <n v="83"/>
    <n v="93"/>
    <n v="0"/>
    <n v="-10"/>
    <n v="0"/>
    <n v="0.41618657674893056"/>
    <n v="1"/>
    <n v="73.900000000000006"/>
    <n v="73.900000000000006"/>
    <n v="-12.577780031446691"/>
    <n v="1459.7796703643446"/>
    <n v="0"/>
    <n v="1"/>
    <n v="0"/>
    <n v="0"/>
    <n v="0"/>
    <n v="0"/>
    <n v="0"/>
    <n v="0"/>
    <n v="0"/>
    <n v="0"/>
  </r>
  <r>
    <d v="2023-06-25T00:00:00"/>
    <n v="2023"/>
    <x v="13"/>
    <s v="R"/>
    <s v="RS"/>
    <x v="3"/>
    <s v="DAL"/>
    <s v="H"/>
    <n v="1"/>
    <n v="1"/>
    <n v="0"/>
    <n v="0"/>
    <n v="0"/>
    <n v="0"/>
    <n v="1452.3381908485276"/>
    <n v="1472.3574503957914"/>
    <n v="0.59104879894239004"/>
    <n v="93"/>
    <n v="83"/>
    <n v="0"/>
    <n v="10"/>
    <n v="1"/>
    <n v="0.41618657674893056"/>
    <n v="1"/>
    <n v="73.900000000000006"/>
    <n v="73.900000000000006"/>
    <n v="12.577780031446691"/>
    <n v="1464.9159708799743"/>
    <n v="1"/>
    <n v="0"/>
    <n v="0"/>
    <n v="0"/>
    <n v="0"/>
    <n v="0"/>
    <n v="0"/>
    <n v="0"/>
    <n v="0"/>
    <n v="0"/>
  </r>
  <r>
    <d v="2023-06-25T00:00:00"/>
    <n v="2023"/>
    <x v="12"/>
    <s v="R"/>
    <s v="RS"/>
    <x v="7"/>
    <s v="NYL"/>
    <s v="A"/>
    <n v="2"/>
    <n v="1"/>
    <n v="1"/>
    <n v="-1"/>
    <n v="8"/>
    <n v="-8"/>
    <n v="1568.6712255259395"/>
    <n v="1561.4533233072748"/>
    <n v="0.41340912498546678"/>
    <n v="88"/>
    <n v="89"/>
    <n v="1"/>
    <n v="-1"/>
    <n v="0"/>
    <n v="0.21844775840207023"/>
    <n v="1"/>
    <n v="74.05"/>
    <n v="74.05"/>
    <n v="-6.687329367379502"/>
    <n v="1561.9838961585599"/>
    <n v="0"/>
    <n v="1"/>
    <n v="0"/>
    <n v="0"/>
    <n v="0"/>
    <n v="0"/>
    <n v="0"/>
    <n v="0"/>
    <n v="0"/>
    <n v="0"/>
  </r>
  <r>
    <d v="2023-06-25T00:00:00"/>
    <n v="2023"/>
    <x v="11"/>
    <s v="R"/>
    <s v="RS"/>
    <x v="6"/>
    <s v="WAS"/>
    <s v="H"/>
    <n v="1"/>
    <n v="2"/>
    <n v="-1"/>
    <n v="1"/>
    <n v="-8"/>
    <n v="8"/>
    <n v="1561.4533233072748"/>
    <n v="1568.6712255259395"/>
    <n v="0.58659087501453322"/>
    <n v="89"/>
    <n v="88"/>
    <n v="1"/>
    <n v="1"/>
    <n v="1"/>
    <n v="0.21844775840207023"/>
    <n v="1"/>
    <n v="74.2"/>
    <n v="74.2"/>
    <n v="6.7008756118779083"/>
    <n v="1568.1541989191528"/>
    <n v="1"/>
    <n v="0"/>
    <n v="0"/>
    <n v="0"/>
    <n v="0"/>
    <n v="0"/>
    <n v="0"/>
    <n v="0"/>
    <n v="0"/>
    <n v="0"/>
  </r>
  <r>
    <d v="2023-06-26T00:00:00"/>
    <n v="2023"/>
    <x v="13"/>
    <s v="R"/>
    <s v="RS"/>
    <x v="1"/>
    <s v="LVA"/>
    <s v="A"/>
    <n v="1"/>
    <n v="1"/>
    <n v="0"/>
    <n v="0"/>
    <n v="0"/>
    <n v="0"/>
    <n v="1398.9724046629185"/>
    <n v="1698.6957798049041"/>
    <n v="9.895506160588613E-2"/>
    <n v="80"/>
    <n v="88"/>
    <n v="0"/>
    <n v="-8"/>
    <n v="0"/>
    <n v="0.31070972802533686"/>
    <n v="1"/>
    <n v="73.900000000000006"/>
    <n v="73.900000000000006"/>
    <n v="-2.272151590566025"/>
    <n v="1396.7002530723526"/>
    <n v="0"/>
    <n v="1"/>
    <n v="0"/>
    <n v="0"/>
    <n v="0"/>
    <n v="0"/>
    <n v="0"/>
    <n v="0"/>
    <n v="0"/>
    <n v="0"/>
  </r>
  <r>
    <d v="2023-06-26T00:00:00"/>
    <n v="2023"/>
    <x v="13"/>
    <s v="R"/>
    <s v="RS"/>
    <x v="10"/>
    <s v="IND"/>
    <s v="H"/>
    <n v="1"/>
    <n v="1"/>
    <n v="0"/>
    <n v="0"/>
    <n v="0"/>
    <n v="0"/>
    <n v="1698.6957798049041"/>
    <n v="1398.9724046629185"/>
    <n v="0.90104493839411393"/>
    <n v="88"/>
    <n v="80"/>
    <n v="0"/>
    <n v="8"/>
    <n v="1"/>
    <n v="0.31070972802533686"/>
    <n v="1"/>
    <n v="73.900000000000006"/>
    <n v="73.900000000000006"/>
    <n v="2.2721515905660237"/>
    <n v="1700.96793139547"/>
    <n v="1"/>
    <n v="0"/>
    <n v="0"/>
    <n v="0"/>
    <n v="0"/>
    <n v="0"/>
    <n v="0"/>
    <n v="0"/>
    <n v="0"/>
    <n v="0"/>
  </r>
  <r>
    <d v="2023-06-27T00:00:00"/>
    <n v="2023"/>
    <x v="12"/>
    <s v="R"/>
    <s v="RS"/>
    <x v="6"/>
    <s v="CON"/>
    <s v="A"/>
    <n v="1"/>
    <n v="1"/>
    <n v="0"/>
    <n v="0"/>
    <n v="0"/>
    <n v="0"/>
    <n v="1568.1541989191528"/>
    <n v="1656.0932730018517"/>
    <n v="0.2709593124529675"/>
    <n v="89"/>
    <n v="81"/>
    <n v="0"/>
    <n v="8"/>
    <n v="1"/>
    <n v="0.36180177415262271"/>
    <n v="1"/>
    <n v="74.05"/>
    <n v="74.05"/>
    <n v="19.532036260322553"/>
    <n v="1587.6862351794753"/>
    <n v="1"/>
    <n v="0"/>
    <n v="0"/>
    <n v="0"/>
    <n v="0"/>
    <n v="0"/>
    <n v="0"/>
    <n v="0"/>
    <n v="0"/>
    <n v="0"/>
  </r>
  <r>
    <d v="2023-06-27T00:00:00"/>
    <n v="2023"/>
    <x v="15"/>
    <s v="R"/>
    <s v="RS"/>
    <x v="0"/>
    <s v="NYL"/>
    <s v="H"/>
    <n v="1"/>
    <n v="1"/>
    <n v="0"/>
    <n v="0"/>
    <n v="0"/>
    <n v="0"/>
    <n v="1656.0932730018517"/>
    <n v="1568.1541989191528"/>
    <n v="0.72904068754703244"/>
    <n v="81"/>
    <n v="89"/>
    <n v="0"/>
    <n v="-8"/>
    <n v="0"/>
    <n v="0.36180177415262271"/>
    <n v="1"/>
    <n v="73.599999999999994"/>
    <n v="73.599999999999994"/>
    <n v="-19.413340563939766"/>
    <n v="1636.6799324379119"/>
    <n v="0"/>
    <n v="1"/>
    <n v="0"/>
    <n v="0"/>
    <n v="0"/>
    <n v="0"/>
    <n v="0"/>
    <n v="0"/>
    <n v="0"/>
    <n v="0"/>
  </r>
  <r>
    <d v="2023-06-27T00:00:00"/>
    <n v="2023"/>
    <x v="13"/>
    <s v="R"/>
    <s v="RS"/>
    <x v="11"/>
    <s v="MIN"/>
    <s v="A"/>
    <n v="2"/>
    <n v="4"/>
    <n v="-2"/>
    <n v="2"/>
    <n v="-16"/>
    <n v="16"/>
    <n v="1464.7334692635527"/>
    <n v="1446.3752421105835"/>
    <n v="0.36306835344405886"/>
    <n v="93"/>
    <n v="104"/>
    <n v="0"/>
    <n v="-11"/>
    <n v="0"/>
    <n v="0.43320851991332276"/>
    <n v="1"/>
    <n v="73.900000000000006"/>
    <n v="73.900000000000006"/>
    <n v="-11.623310067289937"/>
    <n v="1453.1101591962627"/>
    <n v="0"/>
    <n v="1"/>
    <n v="0"/>
    <n v="0"/>
    <n v="0"/>
    <n v="0"/>
    <n v="0"/>
    <n v="0"/>
    <n v="0"/>
    <n v="0"/>
  </r>
  <r>
    <d v="2023-06-27T00:00:00"/>
    <n v="2023"/>
    <x v="13"/>
    <s v="R"/>
    <s v="RS"/>
    <x v="5"/>
    <s v="SEA"/>
    <s v="H"/>
    <n v="4"/>
    <n v="2"/>
    <n v="2"/>
    <n v="-2"/>
    <n v="16"/>
    <n v="-16"/>
    <n v="1446.3752421105835"/>
    <n v="1464.7334692635527"/>
    <n v="0.63693164655594114"/>
    <n v="104"/>
    <n v="93"/>
    <n v="0"/>
    <n v="11"/>
    <n v="1"/>
    <n v="0.43320851991332276"/>
    <n v="1"/>
    <n v="73.900000000000006"/>
    <n v="73.900000000000006"/>
    <n v="11.623310067289937"/>
    <n v="1457.9985521778735"/>
    <n v="1"/>
    <n v="0"/>
    <n v="0"/>
    <n v="0"/>
    <n v="0"/>
    <n v="0"/>
    <n v="0"/>
    <n v="0"/>
    <n v="0"/>
    <n v="0"/>
  </r>
  <r>
    <d v="2023-06-27T00:00:00"/>
    <n v="2023"/>
    <x v="14"/>
    <s v="R"/>
    <s v="RS"/>
    <x v="9"/>
    <s v="PHX"/>
    <s v="A"/>
    <n v="1"/>
    <n v="2"/>
    <n v="-1"/>
    <n v="1"/>
    <n v="-8"/>
    <n v="8"/>
    <n v="1459.7796703643446"/>
    <n v="1369.3244307382743"/>
    <n v="0.48626744019131091"/>
    <n v="77"/>
    <n v="62"/>
    <n v="0"/>
    <n v="15"/>
    <n v="1"/>
    <n v="0.46760059173332191"/>
    <n v="1"/>
    <n v="73.75"/>
    <n v="73.75"/>
    <n v="17.716346610742271"/>
    <n v="1477.4960169750868"/>
    <n v="1"/>
    <n v="0"/>
    <n v="0"/>
    <n v="0"/>
    <n v="0"/>
    <n v="0"/>
    <n v="0"/>
    <n v="0"/>
    <n v="0"/>
    <n v="0"/>
  </r>
  <r>
    <d v="2023-06-27T00:00:00"/>
    <n v="2023"/>
    <x v="12"/>
    <s v="R"/>
    <s v="RS"/>
    <x v="2"/>
    <s v="DAL"/>
    <s v="H"/>
    <n v="2"/>
    <n v="1"/>
    <n v="1"/>
    <n v="-1"/>
    <n v="8"/>
    <n v="-8"/>
    <n v="1369.3244307382743"/>
    <n v="1459.7796703643446"/>
    <n v="0.51373255980868915"/>
    <n v="62"/>
    <n v="77"/>
    <n v="0"/>
    <n v="-15"/>
    <n v="0"/>
    <n v="0.46760059173332191"/>
    <n v="1"/>
    <n v="74.05"/>
    <n v="74.05"/>
    <n v="-17.788413105430035"/>
    <n v="1351.5360176328443"/>
    <n v="0"/>
    <n v="1"/>
    <n v="0"/>
    <n v="0"/>
    <n v="0"/>
    <n v="0"/>
    <n v="0"/>
    <n v="0"/>
    <n v="0"/>
    <n v="0"/>
  </r>
  <r>
    <d v="2023-06-28T00:00:00"/>
    <n v="2023"/>
    <x v="14"/>
    <s v="R"/>
    <s v="RS"/>
    <x v="3"/>
    <s v="CHI"/>
    <s v="A"/>
    <n v="2"/>
    <n v="2"/>
    <n v="0"/>
    <n v="0"/>
    <n v="0"/>
    <n v="0"/>
    <n v="1464.9159708799743"/>
    <n v="1480.1207111058534"/>
    <n v="0.36099033600144259"/>
    <n v="63"/>
    <n v="80"/>
    <n v="0"/>
    <n v="-17"/>
    <n v="0"/>
    <n v="0.52578011074877307"/>
    <n v="1"/>
    <n v="73.75"/>
    <n v="73.75"/>
    <n v="-13.997863489603052"/>
    <n v="1450.9181073903712"/>
    <n v="0"/>
    <n v="1"/>
    <n v="0"/>
    <n v="0"/>
    <n v="0"/>
    <n v="0"/>
    <n v="0"/>
    <n v="0"/>
    <n v="0"/>
    <n v="0"/>
  </r>
  <r>
    <d v="2023-06-28T00:00:00"/>
    <n v="2023"/>
    <x v="14"/>
    <s v="R"/>
    <s v="RS"/>
    <x v="4"/>
    <s v="LAS"/>
    <s v="H"/>
    <n v="2"/>
    <n v="2"/>
    <n v="0"/>
    <n v="0"/>
    <n v="0"/>
    <n v="0"/>
    <n v="1480.1207111058534"/>
    <n v="1464.9159708799743"/>
    <n v="0.63900966399855741"/>
    <n v="80"/>
    <n v="63"/>
    <n v="0"/>
    <n v="17"/>
    <n v="1"/>
    <n v="0.52578011074877307"/>
    <n v="1"/>
    <n v="73.75"/>
    <n v="73.75"/>
    <n v="13.997863489603052"/>
    <n v="1494.1185745954565"/>
    <n v="1"/>
    <n v="0"/>
    <n v="0"/>
    <n v="0"/>
    <n v="0"/>
    <n v="0"/>
    <n v="0"/>
    <n v="0"/>
    <n v="0"/>
    <n v="0"/>
  </r>
  <r>
    <d v="2023-06-28T00:00:00"/>
    <n v="2023"/>
    <x v="12"/>
    <s v="R"/>
    <s v="RS"/>
    <x v="8"/>
    <s v="WAS"/>
    <s v="A"/>
    <n v="4"/>
    <n v="2"/>
    <n v="2"/>
    <n v="-2"/>
    <n v="16"/>
    <n v="-16"/>
    <n v="1431.1955393127805"/>
    <n v="1561.9838961585599"/>
    <n v="0.25880010889183924"/>
    <n v="86"/>
    <n v="109"/>
    <n v="0"/>
    <n v="-23"/>
    <n v="0"/>
    <n v="0.55486307742012608"/>
    <n v="1"/>
    <n v="74.05"/>
    <n v="74.05"/>
    <n v="-10.633478170615653"/>
    <n v="1420.5620611421648"/>
    <n v="0"/>
    <n v="1"/>
    <n v="0"/>
    <n v="0"/>
    <n v="0"/>
    <n v="0"/>
    <n v="0"/>
    <n v="0"/>
    <n v="0"/>
    <n v="0"/>
  </r>
  <r>
    <d v="2023-06-28T00:00:00"/>
    <n v="2023"/>
    <x v="13"/>
    <s v="R"/>
    <s v="RS"/>
    <x v="7"/>
    <s v="ATL"/>
    <s v="H"/>
    <n v="2"/>
    <n v="4"/>
    <n v="-2"/>
    <n v="2"/>
    <n v="-16"/>
    <n v="16"/>
    <n v="1561.9838961585599"/>
    <n v="1431.1955393127805"/>
    <n v="0.74119989110816076"/>
    <n v="109"/>
    <n v="86"/>
    <n v="0"/>
    <n v="23"/>
    <n v="1"/>
    <n v="0.55486307742012608"/>
    <n v="1"/>
    <n v="73.900000000000006"/>
    <n v="73.900000000000006"/>
    <n v="10.611938376887196"/>
    <n v="1572.595834535447"/>
    <n v="1"/>
    <n v="0"/>
    <n v="0"/>
    <n v="0"/>
    <n v="0"/>
    <n v="0"/>
    <n v="0"/>
    <n v="0"/>
    <n v="0"/>
    <n v="0"/>
  </r>
  <r>
    <d v="2023-06-29T00:00:00"/>
    <n v="2023"/>
    <x v="13"/>
    <s v="R"/>
    <s v="RS"/>
    <x v="6"/>
    <s v="LVA"/>
    <s v="A"/>
    <n v="1"/>
    <n v="2"/>
    <n v="-1"/>
    <n v="1"/>
    <n v="-8"/>
    <n v="8"/>
    <n v="1587.6862351794753"/>
    <n v="1700.96793139547"/>
    <n v="0.22657579763896474"/>
    <n v="81"/>
    <n v="98"/>
    <n v="0"/>
    <n v="-17"/>
    <n v="0"/>
    <n v="0.48651442012735718"/>
    <n v="1"/>
    <n v="73.900000000000006"/>
    <n v="73.900000000000006"/>
    <n v="-8.14617382815754"/>
    <n v="1579.5400613513177"/>
    <n v="0"/>
    <n v="1"/>
    <n v="0"/>
    <n v="0"/>
    <n v="0"/>
    <n v="0"/>
    <n v="0"/>
    <n v="0"/>
    <n v="0"/>
    <n v="0"/>
  </r>
  <r>
    <d v="2023-06-29T00:00:00"/>
    <n v="2023"/>
    <x v="14"/>
    <s v="R"/>
    <s v="RS"/>
    <x v="10"/>
    <s v="NYL"/>
    <s v="H"/>
    <n v="2"/>
    <n v="1"/>
    <n v="1"/>
    <n v="-1"/>
    <n v="8"/>
    <n v="-8"/>
    <n v="1700.96793139547"/>
    <n v="1587.6862351794753"/>
    <n v="0.77342420236103526"/>
    <n v="98"/>
    <n v="81"/>
    <n v="0"/>
    <n v="17"/>
    <n v="1"/>
    <n v="0.48651442012735718"/>
    <n v="1"/>
    <n v="73.75"/>
    <n v="73.75"/>
    <n v="8.1296389692370585"/>
    <n v="1709.0975703647071"/>
    <n v="1"/>
    <n v="0"/>
    <n v="0"/>
    <n v="0"/>
    <n v="0"/>
    <n v="0"/>
    <n v="0"/>
    <n v="0"/>
    <n v="0"/>
    <n v="0"/>
  </r>
  <r>
    <d v="2023-06-29T00:00:00"/>
    <n v="2023"/>
    <x v="14"/>
    <s v="R"/>
    <s v="RS"/>
    <x v="1"/>
    <s v="PHX"/>
    <s v="A"/>
    <n v="2"/>
    <n v="1"/>
    <n v="1"/>
    <n v="-1"/>
    <n v="8"/>
    <n v="-8"/>
    <n v="1396.7002530723526"/>
    <n v="1351.5360176328443"/>
    <n v="0.46718393448164436"/>
    <n v="63"/>
    <n v="85"/>
    <n v="0"/>
    <n v="-22"/>
    <n v="0"/>
    <n v="0.58021856476563249"/>
    <n v="1"/>
    <n v="73.75"/>
    <n v="73.75"/>
    <n v="-19.991323406054445"/>
    <n v="1376.7089296662982"/>
    <n v="0"/>
    <n v="1"/>
    <n v="0"/>
    <n v="0"/>
    <n v="0"/>
    <n v="0"/>
    <n v="0"/>
    <n v="0"/>
    <n v="0"/>
    <n v="0"/>
  </r>
  <r>
    <d v="2023-06-29T00:00:00"/>
    <n v="2023"/>
    <x v="13"/>
    <s v="R"/>
    <s v="RS"/>
    <x v="2"/>
    <s v="IND"/>
    <s v="H"/>
    <n v="1"/>
    <n v="2"/>
    <n v="-1"/>
    <n v="1"/>
    <n v="-8"/>
    <n v="8"/>
    <n v="1351.5360176328443"/>
    <n v="1396.7002530723526"/>
    <n v="0.53281606551835559"/>
    <n v="85"/>
    <n v="63"/>
    <n v="0"/>
    <n v="22"/>
    <n v="1"/>
    <n v="0.58021856476563249"/>
    <n v="1"/>
    <n v="73.900000000000006"/>
    <n v="73.900000000000006"/>
    <n v="20.031983724846427"/>
    <n v="1371.5680013576907"/>
    <n v="1"/>
    <n v="0"/>
    <n v="0"/>
    <n v="0"/>
    <n v="0"/>
    <n v="0"/>
    <n v="0"/>
    <n v="0"/>
    <n v="0"/>
    <n v="0"/>
  </r>
  <r>
    <d v="2023-06-29T00:00:00"/>
    <n v="2023"/>
    <x v="14"/>
    <s v="R"/>
    <s v="RS"/>
    <x v="5"/>
    <s v="SEA"/>
    <s v="A"/>
    <n v="1"/>
    <n v="1"/>
    <n v="0"/>
    <n v="0"/>
    <n v="0"/>
    <n v="0"/>
    <n v="1457.9985521778735"/>
    <n v="1453.1101591962627"/>
    <n v="0.38807692081518369"/>
    <n v="99"/>
    <n v="97"/>
    <n v="1"/>
    <n v="2"/>
    <n v="1"/>
    <n v="0.24007918754916441"/>
    <n v="1"/>
    <n v="73.75"/>
    <n v="73.75"/>
    <n v="10.834612182378933"/>
    <n v="1468.8331643602526"/>
    <n v="1"/>
    <n v="0"/>
    <n v="0"/>
    <n v="0"/>
    <n v="0"/>
    <n v="0"/>
    <n v="0"/>
    <n v="0"/>
    <n v="0"/>
    <n v="0"/>
  </r>
  <r>
    <d v="2023-06-29T00:00:00"/>
    <n v="2023"/>
    <x v="14"/>
    <s v="R"/>
    <s v="RS"/>
    <x v="11"/>
    <s v="MIN"/>
    <s v="H"/>
    <n v="1"/>
    <n v="1"/>
    <n v="0"/>
    <n v="0"/>
    <n v="0"/>
    <n v="0"/>
    <n v="1453.1101591962627"/>
    <n v="1457.9985521778735"/>
    <n v="0.61192307918481637"/>
    <n v="97"/>
    <n v="99"/>
    <n v="1"/>
    <n v="-2"/>
    <n v="0"/>
    <n v="0.24007918754916441"/>
    <n v="1"/>
    <n v="73.75"/>
    <n v="73.75"/>
    <n v="-10.834612182378937"/>
    <n v="1442.2755470138836"/>
    <n v="0"/>
    <n v="1"/>
    <n v="0"/>
    <n v="0"/>
    <n v="0"/>
    <n v="0"/>
    <n v="0"/>
    <n v="0"/>
    <n v="0"/>
    <n v="0"/>
  </r>
  <r>
    <d v="2023-06-30T00:00:00"/>
    <n v="2023"/>
    <x v="14"/>
    <s v="R"/>
    <s v="RS"/>
    <x v="7"/>
    <s v="ATL"/>
    <s v="A"/>
    <n v="1"/>
    <n v="1"/>
    <n v="0"/>
    <n v="0"/>
    <n v="0"/>
    <n v="0"/>
    <n v="1572.595834535447"/>
    <n v="1420.5620611421648"/>
    <n v="0.59667596095281661"/>
    <n v="89"/>
    <n v="94"/>
    <n v="0"/>
    <n v="-5"/>
    <n v="0"/>
    <n v="0.29445061091509811"/>
    <n v="1"/>
    <n v="73.75"/>
    <n v="73.75"/>
    <n v="-12.957255590042118"/>
    <n v="1559.6385789454048"/>
    <n v="0"/>
    <n v="1"/>
    <n v="0"/>
    <n v="0"/>
    <n v="0"/>
    <n v="0"/>
    <n v="0"/>
    <n v="0"/>
    <n v="0"/>
    <n v="0"/>
  </r>
  <r>
    <d v="2023-06-30T00:00:00"/>
    <n v="2023"/>
    <x v="13"/>
    <s v="R"/>
    <s v="RS"/>
    <x v="8"/>
    <s v="WAS"/>
    <s v="H"/>
    <n v="1"/>
    <n v="1"/>
    <n v="0"/>
    <n v="0"/>
    <n v="0"/>
    <n v="0"/>
    <n v="1420.5620611421648"/>
    <n v="1572.595834535447"/>
    <n v="0.40332403904718334"/>
    <n v="94"/>
    <n v="89"/>
    <n v="0"/>
    <n v="5"/>
    <n v="1"/>
    <n v="0.29445061091509811"/>
    <n v="1"/>
    <n v="73.900000000000006"/>
    <n v="73.900000000000006"/>
    <n v="12.983609330225258"/>
    <n v="1433.5456704723902"/>
    <n v="1"/>
    <n v="0"/>
    <n v="0"/>
    <n v="0"/>
    <n v="0"/>
    <n v="0"/>
    <n v="0"/>
    <n v="0"/>
    <n v="0"/>
    <n v="0"/>
  </r>
  <r>
    <d v="2023-06-30T00:00:00"/>
    <n v="2023"/>
    <x v="15"/>
    <s v="R"/>
    <s v="RS"/>
    <x v="3"/>
    <s v="CHI"/>
    <s v="A"/>
    <n v="1"/>
    <n v="1"/>
    <n v="0"/>
    <n v="0"/>
    <n v="0"/>
    <n v="0"/>
    <n v="1450.9181073903712"/>
    <n v="1494.1185745954565"/>
    <n v="0.32470671154835729"/>
    <n v="78"/>
    <n v="86"/>
    <n v="0"/>
    <n v="-8"/>
    <n v="0"/>
    <n v="0.37482180412238869"/>
    <n v="1"/>
    <n v="73.599999999999994"/>
    <n v="73.599999999999994"/>
    <n v="-8.9576466398837642"/>
    <n v="1441.9604607504875"/>
    <n v="0"/>
    <n v="1"/>
    <n v="0"/>
    <n v="0"/>
    <n v="0"/>
    <n v="0"/>
    <n v="0"/>
    <n v="0"/>
    <n v="0"/>
    <n v="0"/>
  </r>
  <r>
    <d v="2023-06-30T00:00:00"/>
    <n v="2023"/>
    <x v="15"/>
    <s v="R"/>
    <s v="RS"/>
    <x v="4"/>
    <s v="LAS"/>
    <s v="H"/>
    <n v="1"/>
    <n v="1"/>
    <n v="0"/>
    <n v="0"/>
    <n v="0"/>
    <n v="0"/>
    <n v="1494.1185745954565"/>
    <n v="1450.9181073903712"/>
    <n v="0.67529328845164271"/>
    <n v="86"/>
    <n v="78"/>
    <n v="0"/>
    <n v="8"/>
    <n v="1"/>
    <n v="0.37482180412238869"/>
    <n v="1"/>
    <n v="73.599999999999994"/>
    <n v="73.599999999999994"/>
    <n v="8.9576466398837642"/>
    <n v="1503.0762212353402"/>
    <n v="1"/>
    <n v="0"/>
    <n v="0"/>
    <n v="0"/>
    <n v="0"/>
    <n v="0"/>
    <n v="0"/>
    <n v="0"/>
    <n v="0"/>
    <n v="0"/>
  </r>
  <r>
    <d v="2023-07-01T00:00:00"/>
    <n v="2023"/>
    <x v="16"/>
    <s v="R"/>
    <s v="RS"/>
    <x v="0"/>
    <s v="LVA"/>
    <s v="A"/>
    <n v="3"/>
    <n v="1"/>
    <n v="2"/>
    <n v="-2"/>
    <n v="16"/>
    <n v="-16"/>
    <n v="1636.6799324379119"/>
    <n v="1709.0975703647071"/>
    <n v="0.32822910520676585"/>
    <n v="84"/>
    <n v="102"/>
    <n v="0"/>
    <n v="-18"/>
    <n v="0"/>
    <n v="0.51571174352845461"/>
    <n v="1"/>
    <n v="73.45"/>
    <n v="73.45"/>
    <n v="-12.432999322831837"/>
    <n v="1624.2469331150801"/>
    <n v="0"/>
    <n v="1"/>
    <n v="0"/>
    <n v="0"/>
    <n v="0"/>
    <n v="0"/>
    <n v="0"/>
    <n v="0"/>
    <n v="0"/>
    <n v="0"/>
  </r>
  <r>
    <d v="2023-07-01T00:00:00"/>
    <n v="2023"/>
    <x v="15"/>
    <s v="R"/>
    <s v="RS"/>
    <x v="10"/>
    <s v="CON"/>
    <s v="H"/>
    <n v="1"/>
    <n v="3"/>
    <n v="-2"/>
    <n v="2"/>
    <n v="-16"/>
    <n v="16"/>
    <n v="1709.0975703647071"/>
    <n v="1636.6799324379119"/>
    <n v="0.67177089479323415"/>
    <n v="102"/>
    <n v="84"/>
    <n v="0"/>
    <n v="18"/>
    <n v="1"/>
    <n v="0.51571174352845461"/>
    <n v="1"/>
    <n v="73.599999999999994"/>
    <n v="73.599999999999994"/>
    <n v="12.458390063450281"/>
    <n v="1721.5559604281573"/>
    <n v="1"/>
    <n v="0"/>
    <n v="0"/>
    <n v="0"/>
    <n v="0"/>
    <n v="0"/>
    <n v="0"/>
    <n v="0"/>
    <n v="0"/>
    <n v="0"/>
  </r>
  <r>
    <d v="2023-07-01T00:00:00"/>
    <n v="2023"/>
    <x v="15"/>
    <s v="R"/>
    <s v="RS"/>
    <x v="5"/>
    <s v="PHX"/>
    <s v="A"/>
    <n v="1"/>
    <n v="1"/>
    <n v="0"/>
    <n v="0"/>
    <n v="0"/>
    <n v="0"/>
    <n v="1468.8331643602526"/>
    <n v="1371.5680013576907"/>
    <n v="0.51908083346007095"/>
    <n v="86"/>
    <n v="76"/>
    <n v="0"/>
    <n v="10"/>
    <n v="1"/>
    <n v="0.3914046670485809"/>
    <n v="1"/>
    <n v="73.599999999999994"/>
    <n v="73.599999999999994"/>
    <n v="13.854022860503568"/>
    <n v="1482.6871872207562"/>
    <n v="1"/>
    <n v="0"/>
    <n v="0"/>
    <n v="0"/>
    <n v="0"/>
    <n v="0"/>
    <n v="0"/>
    <n v="0"/>
    <n v="0"/>
    <n v="0"/>
  </r>
  <r>
    <d v="2023-07-01T00:00:00"/>
    <n v="2023"/>
    <x v="14"/>
    <s v="R"/>
    <s v="RS"/>
    <x v="2"/>
    <s v="MIN"/>
    <s v="H"/>
    <n v="1"/>
    <n v="1"/>
    <n v="0"/>
    <n v="0"/>
    <n v="0"/>
    <n v="0"/>
    <n v="1371.5680013576907"/>
    <n v="1468.8331643602526"/>
    <n v="0.48091916653992905"/>
    <n v="76"/>
    <n v="86"/>
    <n v="0"/>
    <n v="-10"/>
    <n v="0"/>
    <n v="0.3914046670485809"/>
    <n v="1"/>
    <n v="73.75"/>
    <n v="73.75"/>
    <n v="-13.882257961442093"/>
    <n v="1357.6857433962487"/>
    <n v="0"/>
    <n v="1"/>
    <n v="0"/>
    <n v="0"/>
    <n v="0"/>
    <n v="0"/>
    <n v="0"/>
    <n v="0"/>
    <n v="0"/>
    <n v="0"/>
  </r>
  <r>
    <d v="2023-07-02T00:00:00"/>
    <n v="2023"/>
    <x v="16"/>
    <s v="R"/>
    <s v="RS"/>
    <x v="3"/>
    <s v="ATL"/>
    <s v="A"/>
    <n v="1"/>
    <n v="1"/>
    <n v="0"/>
    <n v="0"/>
    <n v="0"/>
    <n v="0"/>
    <n v="1441.9604607504875"/>
    <n v="1433.5456704723902"/>
    <n v="0.39290833727982272"/>
    <n v="84"/>
    <n v="112"/>
    <n v="0"/>
    <n v="-28"/>
    <n v="0"/>
    <n v="0.67436082265903485"/>
    <n v="1"/>
    <n v="73.45"/>
    <n v="73.45"/>
    <n v="-19.461458133006808"/>
    <n v="1422.4990026174808"/>
    <n v="0"/>
    <n v="1"/>
    <n v="0"/>
    <n v="0"/>
    <n v="0"/>
    <n v="0"/>
    <n v="0"/>
    <n v="0"/>
    <n v="0"/>
    <n v="0"/>
  </r>
  <r>
    <d v="2023-07-02T00:00:00"/>
    <n v="2023"/>
    <x v="14"/>
    <s v="R"/>
    <s v="RS"/>
    <x v="8"/>
    <s v="LAS"/>
    <s v="H"/>
    <n v="1"/>
    <n v="1"/>
    <n v="0"/>
    <n v="0"/>
    <n v="0"/>
    <n v="0"/>
    <n v="1433.5456704723902"/>
    <n v="1441.9604607504875"/>
    <n v="0.60709166272017723"/>
    <n v="112"/>
    <n v="84"/>
    <n v="0"/>
    <n v="28"/>
    <n v="1"/>
    <n v="0.67436082265903485"/>
    <n v="1"/>
    <n v="73.75"/>
    <n v="73.75"/>
    <n v="19.540946729874094"/>
    <n v="1453.0866172022643"/>
    <n v="1"/>
    <n v="0"/>
    <n v="0"/>
    <n v="0"/>
    <n v="0"/>
    <n v="0"/>
    <n v="0"/>
    <n v="0"/>
    <n v="0"/>
    <n v="0"/>
  </r>
  <r>
    <d v="2023-07-02T00:00:00"/>
    <n v="2023"/>
    <x v="15"/>
    <s v="R"/>
    <s v="RS"/>
    <x v="7"/>
    <s v="DAL"/>
    <s v="A"/>
    <n v="1"/>
    <n v="4"/>
    <n v="-3"/>
    <n v="3"/>
    <n v="-16"/>
    <n v="16"/>
    <n v="1559.6385789454048"/>
    <n v="1477.4960169750868"/>
    <n v="0.45142888315031288"/>
    <n v="72"/>
    <n v="89"/>
    <n v="0"/>
    <n v="-17"/>
    <n v="0"/>
    <n v="0.4983302963724468"/>
    <n v="1"/>
    <n v="73.599999999999994"/>
    <n v="73.599999999999994"/>
    <n v="-16.557106720069424"/>
    <n v="1543.0814722253353"/>
    <n v="0"/>
    <n v="1"/>
    <n v="0"/>
    <n v="0"/>
    <n v="0"/>
    <n v="0"/>
    <n v="0"/>
    <n v="0"/>
    <n v="0"/>
    <n v="0"/>
  </r>
  <r>
    <d v="2023-07-02T00:00:00"/>
    <n v="2023"/>
    <x v="15"/>
    <s v="R"/>
    <s v="RS"/>
    <x v="9"/>
    <s v="WAS"/>
    <s v="H"/>
    <n v="4"/>
    <n v="1"/>
    <n v="3"/>
    <n v="-3"/>
    <n v="16"/>
    <n v="-16"/>
    <n v="1477.4960169750868"/>
    <n v="1559.6385789454048"/>
    <n v="0.54857111684968707"/>
    <n v="89"/>
    <n v="72"/>
    <n v="0"/>
    <n v="17"/>
    <n v="1"/>
    <n v="0.4983302963724468"/>
    <n v="1"/>
    <n v="73.599999999999994"/>
    <n v="73.599999999999994"/>
    <n v="16.557106720069427"/>
    <n v="1494.0531236951563"/>
    <n v="1"/>
    <n v="0"/>
    <n v="0"/>
    <n v="0"/>
    <n v="0"/>
    <n v="0"/>
    <n v="0"/>
    <n v="0"/>
    <n v="0"/>
    <n v="0"/>
  </r>
  <r>
    <d v="2023-07-02T00:00:00"/>
    <n v="2023"/>
    <x v="16"/>
    <s v="R"/>
    <s v="RS"/>
    <x v="4"/>
    <s v="IND"/>
    <s v="A"/>
    <n v="1"/>
    <n v="2"/>
    <n v="-1"/>
    <n v="1"/>
    <n v="-8"/>
    <n v="8"/>
    <n v="1503.0762212353402"/>
    <n v="1376.7089296662982"/>
    <n v="0.53787290145335898"/>
    <n v="89"/>
    <n v="87"/>
    <n v="0"/>
    <n v="2"/>
    <n v="1"/>
    <n v="0.24232321395032935"/>
    <n v="1"/>
    <n v="73.45"/>
    <n v="73.45"/>
    <n v="8.2252338911534864"/>
    <n v="1511.3014551264937"/>
    <n v="1"/>
    <n v="0"/>
    <n v="0"/>
    <n v="0"/>
    <n v="0"/>
    <n v="0"/>
    <n v="0"/>
    <n v="0"/>
    <n v="0"/>
    <n v="0"/>
  </r>
  <r>
    <d v="2023-07-02T00:00:00"/>
    <n v="2023"/>
    <x v="15"/>
    <s v="R"/>
    <s v="RS"/>
    <x v="1"/>
    <s v="CHI"/>
    <s v="H"/>
    <n v="2"/>
    <n v="1"/>
    <n v="1"/>
    <n v="-1"/>
    <n v="8"/>
    <n v="-8"/>
    <n v="1376.7089296662982"/>
    <n v="1503.0762212353402"/>
    <n v="0.46212709854664114"/>
    <n v="87"/>
    <n v="89"/>
    <n v="0"/>
    <n v="-2"/>
    <n v="0"/>
    <n v="0.24232321395032935"/>
    <n v="1"/>
    <n v="73.599999999999994"/>
    <n v="73.599999999999994"/>
    <n v="-8.2420315097194905"/>
    <n v="1368.4668981565787"/>
    <n v="0"/>
    <n v="1"/>
    <n v="0"/>
    <n v="0"/>
    <n v="0"/>
    <n v="0"/>
    <n v="0"/>
    <n v="0"/>
    <n v="0"/>
    <n v="0"/>
  </r>
  <r>
    <d v="2023-07-02T00:00:00"/>
    <n v="2023"/>
    <x v="14"/>
    <s v="R"/>
    <s v="RS"/>
    <x v="6"/>
    <s v="SEA"/>
    <s v="A"/>
    <n v="2"/>
    <n v="2"/>
    <n v="0"/>
    <n v="0"/>
    <n v="0"/>
    <n v="0"/>
    <n v="1579.5400613513177"/>
    <n v="1442.2755470138836"/>
    <n v="0.57605885355589803"/>
    <n v="81"/>
    <n v="66"/>
    <n v="0"/>
    <n v="15"/>
    <n v="1"/>
    <n v="0.45123281683241828"/>
    <n v="1"/>
    <n v="73.75"/>
    <n v="73.75"/>
    <n v="14.108091628983845"/>
    <n v="1593.6481529803016"/>
    <n v="1"/>
    <n v="0"/>
    <n v="0"/>
    <n v="0"/>
    <n v="0"/>
    <n v="0"/>
    <n v="0"/>
    <n v="0"/>
    <n v="0"/>
    <n v="0"/>
  </r>
  <r>
    <d v="2023-07-02T00:00:00"/>
    <n v="2023"/>
    <x v="15"/>
    <s v="R"/>
    <s v="RS"/>
    <x v="11"/>
    <s v="NYL"/>
    <s v="H"/>
    <n v="2"/>
    <n v="2"/>
    <n v="0"/>
    <n v="0"/>
    <n v="0"/>
    <n v="0"/>
    <n v="1442.2755470138836"/>
    <n v="1579.5400613513177"/>
    <n v="0.42394114644410197"/>
    <n v="66"/>
    <n v="81"/>
    <n v="0"/>
    <n v="-15"/>
    <n v="0"/>
    <n v="0.45123281683241828"/>
    <n v="1"/>
    <n v="73.599999999999994"/>
    <n v="73.599999999999994"/>
    <n v="-14.079397205331674"/>
    <n v="1428.196149808552"/>
    <n v="0"/>
    <n v="1"/>
    <n v="0"/>
    <n v="0"/>
    <n v="0"/>
    <n v="0"/>
    <n v="0"/>
    <n v="0"/>
    <n v="0"/>
    <n v="0"/>
  </r>
  <r>
    <d v="2023-07-05T00:00:00"/>
    <n v="2023"/>
    <x v="15"/>
    <s v="R"/>
    <s v="RS"/>
    <x v="8"/>
    <s v="LAS"/>
    <s v="A"/>
    <n v="2"/>
    <n v="2"/>
    <n v="0"/>
    <n v="0"/>
    <n v="0"/>
    <n v="0"/>
    <n v="1453.0866172022643"/>
    <n v="1422.4990026174808"/>
    <n v="0.42373328055903792"/>
    <n v="90"/>
    <n v="79"/>
    <n v="0"/>
    <n v="11"/>
    <n v="1"/>
    <n v="0.42890336133217583"/>
    <n v="1"/>
    <n v="73.599999999999994"/>
    <n v="73.599999999999994"/>
    <n v="18.191177148218156"/>
    <n v="1471.2777943504825"/>
    <n v="1"/>
    <n v="0"/>
    <n v="0"/>
    <n v="0"/>
    <n v="0"/>
    <n v="0"/>
    <n v="0"/>
    <n v="0"/>
    <n v="0"/>
    <n v="0"/>
  </r>
  <r>
    <d v="2023-07-05T00:00:00"/>
    <n v="2023"/>
    <x v="17"/>
    <s v="R"/>
    <s v="RS"/>
    <x v="3"/>
    <s v="ATL"/>
    <s v="H"/>
    <n v="2"/>
    <n v="2"/>
    <n v="0"/>
    <n v="0"/>
    <n v="0"/>
    <n v="0"/>
    <n v="1422.4990026174808"/>
    <n v="1453.0866172022643"/>
    <n v="0.57626671944096208"/>
    <n v="79"/>
    <n v="90"/>
    <n v="0"/>
    <n v="-11"/>
    <n v="0"/>
    <n v="0.42890336133217583"/>
    <n v="1"/>
    <n v="73.3"/>
    <n v="73.3"/>
    <n v="-18.117028328320529"/>
    <n v="1404.3819742891603"/>
    <n v="0"/>
    <n v="1"/>
    <n v="0"/>
    <n v="0"/>
    <n v="0"/>
    <n v="0"/>
    <n v="0"/>
    <n v="0"/>
    <n v="0"/>
    <n v="0"/>
  </r>
  <r>
    <d v="2023-07-05T00:00:00"/>
    <n v="2023"/>
    <x v="16"/>
    <s v="R"/>
    <s v="RS"/>
    <x v="9"/>
    <s v="LVA"/>
    <s v="A"/>
    <n v="2"/>
    <n v="3"/>
    <n v="-1"/>
    <n v="1"/>
    <n v="-8"/>
    <n v="8"/>
    <n v="1494.0531236951563"/>
    <n v="1721.5559604281573"/>
    <n v="0.13178610969722354"/>
    <n v="82"/>
    <n v="89"/>
    <n v="0"/>
    <n v="-7"/>
    <n v="0"/>
    <n v="0.31112274915055277"/>
    <n v="1"/>
    <n v="73.45"/>
    <n v="73.45"/>
    <n v="-3.0115716882035106"/>
    <n v="1491.0415520069528"/>
    <n v="0"/>
    <n v="1"/>
    <n v="0"/>
    <n v="0"/>
    <n v="0"/>
    <n v="0"/>
    <n v="0"/>
    <n v="0"/>
    <n v="0"/>
    <n v="0"/>
  </r>
  <r>
    <d v="2023-07-05T00:00:00"/>
    <n v="2023"/>
    <x v="16"/>
    <s v="R"/>
    <s v="RS"/>
    <x v="10"/>
    <s v="DAL"/>
    <s v="H"/>
    <n v="3"/>
    <n v="2"/>
    <n v="1"/>
    <n v="-1"/>
    <n v="8"/>
    <n v="-8"/>
    <n v="1721.5559604281573"/>
    <n v="1494.0531236951563"/>
    <n v="0.86821389030277651"/>
    <n v="89"/>
    <n v="82"/>
    <n v="0"/>
    <n v="7"/>
    <n v="1"/>
    <n v="0.31112274915055277"/>
    <n v="1"/>
    <n v="73.45"/>
    <n v="73.45"/>
    <n v="3.0115716882035093"/>
    <n v="1724.5675321163608"/>
    <n v="1"/>
    <n v="0"/>
    <n v="0"/>
    <n v="0"/>
    <n v="0"/>
    <n v="0"/>
    <n v="0"/>
    <n v="0"/>
    <n v="0"/>
    <n v="0"/>
  </r>
  <r>
    <d v="2023-07-05T00:00:00"/>
    <n v="2023"/>
    <x v="16"/>
    <s v="R"/>
    <s v="RS"/>
    <x v="1"/>
    <s v="MIN"/>
    <s v="A"/>
    <n v="2"/>
    <n v="3"/>
    <n v="-1"/>
    <n v="1"/>
    <n v="-8"/>
    <n v="8"/>
    <n v="1368.4668981565787"/>
    <n v="1482.6871872207562"/>
    <n v="0.22563038359971363"/>
    <n v="83"/>
    <n v="90"/>
    <n v="0"/>
    <n v="-7"/>
    <n v="0"/>
    <n v="0.33794076280836949"/>
    <n v="1"/>
    <n v="73.45"/>
    <n v="73.45"/>
    <n v="-5.6005407548654489"/>
    <n v="1362.8663574017132"/>
    <n v="0"/>
    <n v="1"/>
    <n v="0"/>
    <n v="0"/>
    <n v="0"/>
    <n v="0"/>
    <n v="0"/>
    <n v="0"/>
    <n v="0"/>
    <n v="0"/>
  </r>
  <r>
    <d v="2023-07-05T00:00:00"/>
    <n v="2023"/>
    <x v="16"/>
    <s v="R"/>
    <s v="RS"/>
    <x v="5"/>
    <s v="IND"/>
    <s v="H"/>
    <n v="3"/>
    <n v="2"/>
    <n v="1"/>
    <n v="-1"/>
    <n v="8"/>
    <n v="-8"/>
    <n v="1482.6871872207562"/>
    <n v="1368.4668981565787"/>
    <n v="0.77436961640028645"/>
    <n v="90"/>
    <n v="83"/>
    <n v="0"/>
    <n v="7"/>
    <n v="1"/>
    <n v="0.33794076280836949"/>
    <n v="1"/>
    <n v="73.45"/>
    <n v="73.45"/>
    <n v="5.6005407548654471"/>
    <n v="1488.2877279756217"/>
    <n v="1"/>
    <n v="0"/>
    <n v="0"/>
    <n v="0"/>
    <n v="0"/>
    <n v="0"/>
    <n v="0"/>
    <n v="0"/>
    <n v="0"/>
    <n v="0"/>
  </r>
  <r>
    <d v="2023-07-05T00:00:00"/>
    <n v="2023"/>
    <x v="15"/>
    <s v="R"/>
    <s v="RS"/>
    <x v="2"/>
    <s v="NYL"/>
    <s v="A"/>
    <n v="3"/>
    <n v="2"/>
    <n v="1"/>
    <n v="-1"/>
    <n v="8"/>
    <n v="-8"/>
    <n v="1357.6857433962487"/>
    <n v="1593.6481529803016"/>
    <n v="0.14807894973396332"/>
    <n v="95"/>
    <n v="99"/>
    <n v="0"/>
    <n v="-4"/>
    <n v="0"/>
    <n v="0.26025700909044569"/>
    <n v="1"/>
    <n v="73.599999999999994"/>
    <n v="73.599999999999994"/>
    <n v="-2.8364398241323583"/>
    <n v="1354.8493035721162"/>
    <n v="0"/>
    <n v="1"/>
    <n v="0"/>
    <n v="0"/>
    <n v="0"/>
    <n v="0"/>
    <n v="0"/>
    <n v="0"/>
    <n v="0"/>
    <n v="0"/>
  </r>
  <r>
    <d v="2023-07-05T00:00:00"/>
    <n v="2023"/>
    <x v="15"/>
    <s v="R"/>
    <s v="RS"/>
    <x v="6"/>
    <s v="PHX"/>
    <s v="H"/>
    <n v="2"/>
    <n v="3"/>
    <n v="-1"/>
    <n v="1"/>
    <n v="-8"/>
    <n v="8"/>
    <n v="1593.6481529803016"/>
    <n v="1357.6857433962487"/>
    <n v="0.85192105026603659"/>
    <n v="99"/>
    <n v="95"/>
    <n v="0"/>
    <n v="4"/>
    <n v="1"/>
    <n v="0.26025700909044569"/>
    <n v="1"/>
    <n v="73.599999999999994"/>
    <n v="73.599999999999994"/>
    <n v="2.8364398241323601"/>
    <n v="1596.484592804434"/>
    <n v="1"/>
    <n v="0"/>
    <n v="0"/>
    <n v="0"/>
    <n v="0"/>
    <n v="0"/>
    <n v="0"/>
    <n v="0"/>
    <n v="0"/>
    <n v="0"/>
  </r>
  <r>
    <d v="2023-07-06T00:00:00"/>
    <n v="2023"/>
    <x v="16"/>
    <s v="R"/>
    <s v="RS"/>
    <x v="11"/>
    <s v="CON"/>
    <s v="A"/>
    <n v="3"/>
    <n v="4"/>
    <n v="-1"/>
    <n v="1"/>
    <n v="-8"/>
    <n v="8"/>
    <n v="1428.196149808552"/>
    <n v="1624.2469331150801"/>
    <n v="0.15391682633396814"/>
    <n v="73"/>
    <n v="93"/>
    <n v="0"/>
    <n v="-20"/>
    <n v="0"/>
    <n v="0.49415453863123188"/>
    <n v="1"/>
    <n v="73.45"/>
    <n v="73.45"/>
    <n v="-5.5865113904762094"/>
    <n v="1422.6096384180757"/>
    <n v="0"/>
    <n v="1"/>
    <n v="0"/>
    <n v="0"/>
    <n v="0"/>
    <n v="0"/>
    <n v="0"/>
    <n v="0"/>
    <n v="0"/>
    <n v="0"/>
  </r>
  <r>
    <d v="2023-07-06T00:00:00"/>
    <n v="2023"/>
    <x v="17"/>
    <s v="R"/>
    <s v="RS"/>
    <x v="0"/>
    <s v="SEA"/>
    <s v="H"/>
    <n v="4"/>
    <n v="3"/>
    <n v="1"/>
    <n v="-1"/>
    <n v="8"/>
    <n v="-8"/>
    <n v="1624.2469331150801"/>
    <n v="1428.196149808552"/>
    <n v="0.84608317366603181"/>
    <n v="93"/>
    <n v="73"/>
    <n v="0"/>
    <n v="20"/>
    <n v="1"/>
    <n v="0.49415453863123188"/>
    <n v="1"/>
    <n v="73.3"/>
    <n v="73.3"/>
    <n v="5.5751025857305141"/>
    <n v="1629.8220357008106"/>
    <n v="1"/>
    <n v="0"/>
    <n v="0"/>
    <n v="0"/>
    <n v="0"/>
    <n v="0"/>
    <n v="0"/>
    <n v="0"/>
    <n v="0"/>
    <n v="0"/>
  </r>
  <r>
    <d v="2023-07-07T00:00:00"/>
    <n v="2023"/>
    <x v="16"/>
    <s v="R"/>
    <s v="RS"/>
    <x v="8"/>
    <s v="CHI"/>
    <s v="A"/>
    <n v="1"/>
    <n v="4"/>
    <n v="-3"/>
    <n v="3"/>
    <n v="-16"/>
    <n v="16"/>
    <n v="1471.2777943504825"/>
    <n v="1511.3014551264937"/>
    <n v="0.28943197529553294"/>
    <n v="82"/>
    <n v="68"/>
    <n v="0"/>
    <n v="14"/>
    <n v="1"/>
    <n v="0.47186980599607692"/>
    <n v="1"/>
    <n v="73.45"/>
    <n v="73.45"/>
    <n v="24.627461523578749"/>
    <n v="1495.9052558740614"/>
    <n v="1"/>
    <n v="0"/>
    <n v="0"/>
    <n v="0"/>
    <n v="0"/>
    <n v="0"/>
    <n v="0"/>
    <n v="0"/>
    <n v="0"/>
    <n v="0"/>
  </r>
  <r>
    <d v="2023-07-07T00:00:00"/>
    <n v="2023"/>
    <x v="17"/>
    <s v="R"/>
    <s v="RS"/>
    <x v="4"/>
    <s v="ATL"/>
    <s v="H"/>
    <n v="4"/>
    <n v="1"/>
    <n v="3"/>
    <n v="-3"/>
    <n v="16"/>
    <n v="-16"/>
    <n v="1511.3014551264937"/>
    <n v="1471.2777943504825"/>
    <n v="0.71056802470446701"/>
    <n v="68"/>
    <n v="82"/>
    <n v="0"/>
    <n v="-14"/>
    <n v="0"/>
    <n v="0.47186980599607692"/>
    <n v="1"/>
    <n v="73.3"/>
    <n v="73.3"/>
    <n v="-24.577167184184098"/>
    <n v="1486.7242879423095"/>
    <n v="0"/>
    <n v="1"/>
    <n v="0"/>
    <n v="0"/>
    <n v="0"/>
    <n v="0"/>
    <n v="0"/>
    <n v="0"/>
    <n v="0"/>
    <n v="0"/>
  </r>
  <r>
    <d v="2023-07-07T00:00:00"/>
    <n v="2023"/>
    <x v="17"/>
    <s v="R"/>
    <s v="RS"/>
    <x v="10"/>
    <s v="DAL"/>
    <s v="A"/>
    <n v="1"/>
    <n v="1"/>
    <n v="0"/>
    <n v="0"/>
    <n v="0"/>
    <n v="0"/>
    <n v="1724.5675321163608"/>
    <n v="1491.0415520069528"/>
    <n v="0.70281539126051373"/>
    <n v="78"/>
    <n v="80"/>
    <n v="0"/>
    <n v="-2"/>
    <n v="0"/>
    <n v="0.22420911056461881"/>
    <n v="1"/>
    <n v="73.3"/>
    <n v="73.3"/>
    <n v="-11.550439089021731"/>
    <n v="1713.0170930273391"/>
    <n v="0"/>
    <n v="1"/>
    <n v="0"/>
    <n v="0"/>
    <n v="0"/>
    <n v="0"/>
    <n v="0"/>
    <n v="0"/>
    <n v="0"/>
    <n v="0"/>
  </r>
  <r>
    <d v="2023-07-07T00:00:00"/>
    <n v="2023"/>
    <x v="17"/>
    <s v="R"/>
    <s v="RS"/>
    <x v="9"/>
    <s v="LVA"/>
    <s v="H"/>
    <n v="1"/>
    <n v="1"/>
    <n v="0"/>
    <n v="0"/>
    <n v="0"/>
    <n v="0"/>
    <n v="1491.0415520069528"/>
    <n v="1724.5675321163608"/>
    <n v="0.29718460873948627"/>
    <n v="80"/>
    <n v="78"/>
    <n v="0"/>
    <n v="2"/>
    <n v="1"/>
    <n v="0.22420911056461881"/>
    <n v="1"/>
    <n v="73.3"/>
    <n v="73.3"/>
    <n v="11.550439089021731"/>
    <n v="1502.5919910959744"/>
    <n v="1"/>
    <n v="0"/>
    <n v="0"/>
    <n v="0"/>
    <n v="0"/>
    <n v="0"/>
    <n v="0"/>
    <n v="0"/>
    <n v="0"/>
    <n v="0"/>
  </r>
  <r>
    <d v="2023-07-07T00:00:00"/>
    <n v="2023"/>
    <x v="16"/>
    <s v="R"/>
    <s v="RS"/>
    <x v="2"/>
    <s v="MIN"/>
    <s v="A"/>
    <n v="1"/>
    <n v="1"/>
    <n v="0"/>
    <n v="0"/>
    <n v="0"/>
    <n v="0"/>
    <n v="1354.8493035721162"/>
    <n v="1488.2877279756217"/>
    <n v="0.22241011775707306"/>
    <n v="64"/>
    <n v="75"/>
    <n v="0"/>
    <n v="-11"/>
    <n v="0"/>
    <n v="0.3958211752786881"/>
    <n v="1"/>
    <n v="73.45"/>
    <n v="73.45"/>
    <n v="-6.466143882318768"/>
    <n v="1348.3831596897974"/>
    <n v="0"/>
    <n v="1"/>
    <n v="0"/>
    <n v="0"/>
    <n v="0"/>
    <n v="0"/>
    <n v="0"/>
    <n v="0"/>
    <n v="0"/>
    <n v="0"/>
  </r>
  <r>
    <d v="2023-07-07T00:00:00"/>
    <n v="2023"/>
    <x v="17"/>
    <s v="R"/>
    <s v="RS"/>
    <x v="5"/>
    <s v="PHX"/>
    <s v="H"/>
    <n v="1"/>
    <n v="1"/>
    <n v="0"/>
    <n v="0"/>
    <n v="0"/>
    <n v="0"/>
    <n v="1488.2877279756217"/>
    <n v="1354.8493035721162"/>
    <n v="0.77758988224292702"/>
    <n v="75"/>
    <n v="64"/>
    <n v="0"/>
    <n v="11"/>
    <n v="1"/>
    <n v="0.3958211752786881"/>
    <n v="1"/>
    <n v="73.3"/>
    <n v="73.3"/>
    <n v="6.4529386871880936"/>
    <n v="1494.7406666628099"/>
    <n v="1"/>
    <n v="0"/>
    <n v="0"/>
    <n v="0"/>
    <n v="0"/>
    <n v="0"/>
    <n v="0"/>
    <n v="0"/>
    <n v="0"/>
    <n v="0"/>
  </r>
  <r>
    <d v="2023-07-07T00:00:00"/>
    <n v="2023"/>
    <x v="17"/>
    <s v="R"/>
    <s v="RS"/>
    <x v="1"/>
    <s v="WAS"/>
    <s v="A"/>
    <n v="1"/>
    <n v="4"/>
    <n v="-3"/>
    <n v="3"/>
    <n v="-16"/>
    <n v="16"/>
    <n v="1362.8663574017132"/>
    <n v="1543.0814722253353"/>
    <n v="0.15379367658523732"/>
    <n v="88"/>
    <n v="96"/>
    <n v="0"/>
    <n v="-8"/>
    <n v="0"/>
    <n v="0.33761305538459779"/>
    <n v="1"/>
    <n v="73.3"/>
    <n v="73.3"/>
    <n v="-3.8059377986216347"/>
    <n v="1359.0604196030915"/>
    <n v="0"/>
    <n v="1"/>
    <n v="0"/>
    <n v="0"/>
    <n v="0"/>
    <n v="0"/>
    <n v="0"/>
    <n v="0"/>
    <n v="0"/>
    <n v="0"/>
  </r>
  <r>
    <d v="2023-07-07T00:00:00"/>
    <n v="2023"/>
    <x v="16"/>
    <s v="R"/>
    <s v="RS"/>
    <x v="7"/>
    <s v="IND"/>
    <s v="H"/>
    <n v="4"/>
    <n v="1"/>
    <n v="3"/>
    <n v="-3"/>
    <n v="16"/>
    <n v="-16"/>
    <n v="1543.0814722253353"/>
    <n v="1362.8663574017132"/>
    <n v="0.84620632341476265"/>
    <n v="96"/>
    <n v="88"/>
    <n v="0"/>
    <n v="8"/>
    <n v="1"/>
    <n v="0.33761305538459779"/>
    <n v="1"/>
    <n v="73.45"/>
    <n v="73.45"/>
    <n v="3.8137262115792518"/>
    <n v="1546.8951984369146"/>
    <n v="1"/>
    <n v="0"/>
    <n v="0"/>
    <n v="0"/>
    <n v="0"/>
    <n v="0"/>
    <n v="0"/>
    <n v="0"/>
    <n v="0"/>
    <n v="0"/>
  </r>
  <r>
    <d v="2023-07-08T00:00:00"/>
    <n v="2023"/>
    <x v="17"/>
    <s v="R"/>
    <s v="RS"/>
    <x v="11"/>
    <s v="NYL"/>
    <s v="A"/>
    <n v="1"/>
    <n v="2"/>
    <n v="-1"/>
    <n v="1"/>
    <n v="-8"/>
    <n v="8"/>
    <n v="1422.6096384180757"/>
    <n v="1596.484592804434"/>
    <n v="0.17128450378742302"/>
    <n v="76"/>
    <n v="80"/>
    <n v="0"/>
    <n v="-4"/>
    <n v="0"/>
    <n v="0.27201841091249612"/>
    <n v="1"/>
    <n v="73.3"/>
    <n v="73.3"/>
    <n v="-3.4152330745561441"/>
    <n v="1419.1944053435195"/>
    <n v="0"/>
    <n v="1"/>
    <n v="0"/>
    <n v="0"/>
    <n v="0"/>
    <n v="0"/>
    <n v="0"/>
    <n v="0"/>
    <n v="0"/>
    <n v="0"/>
  </r>
  <r>
    <d v="2023-07-08T00:00:00"/>
    <n v="2023"/>
    <x v="16"/>
    <s v="R"/>
    <s v="RS"/>
    <x v="6"/>
    <s v="SEA"/>
    <s v="H"/>
    <n v="2"/>
    <n v="1"/>
    <n v="1"/>
    <n v="-1"/>
    <n v="8"/>
    <n v="-8"/>
    <n v="1596.484592804434"/>
    <n v="1422.6096384180757"/>
    <n v="0.82871549621257701"/>
    <n v="80"/>
    <n v="76"/>
    <n v="0"/>
    <n v="4"/>
    <n v="1"/>
    <n v="0.27201841091249612"/>
    <n v="1"/>
    <n v="73.45"/>
    <n v="73.45"/>
    <n v="3.4222219553362723"/>
    <n v="1599.9068147597702"/>
    <n v="1"/>
    <n v="0"/>
    <n v="0"/>
    <n v="0"/>
    <n v="0"/>
    <n v="0"/>
    <n v="0"/>
    <n v="0"/>
    <n v="0"/>
    <n v="0"/>
  </r>
  <r>
    <d v="2023-07-09T00:00:00"/>
    <n v="2023"/>
    <x v="17"/>
    <s v="R"/>
    <s v="RS"/>
    <x v="8"/>
    <s v="CHI"/>
    <s v="A"/>
    <n v="1"/>
    <n v="1"/>
    <n v="0"/>
    <n v="0"/>
    <n v="0"/>
    <n v="0"/>
    <n v="1495.9052558740614"/>
    <n v="1486.7242879423095"/>
    <n v="0.39396086892923526"/>
    <n v="88"/>
    <n v="77"/>
    <n v="0"/>
    <n v="11"/>
    <n v="1"/>
    <n v="0.43649642055807458"/>
    <n v="1"/>
    <n v="73.3"/>
    <n v="73.3"/>
    <n v="19.390335707856718"/>
    <n v="1515.2955915819182"/>
    <n v="1"/>
    <n v="0"/>
    <n v="0"/>
    <n v="0"/>
    <n v="0"/>
    <n v="0"/>
    <n v="0"/>
    <n v="0"/>
    <n v="0"/>
    <n v="0"/>
  </r>
  <r>
    <d v="2023-07-09T00:00:00"/>
    <n v="2023"/>
    <x v="18"/>
    <s v="R"/>
    <s v="RS"/>
    <x v="4"/>
    <s v="ATL"/>
    <s v="H"/>
    <n v="1"/>
    <n v="1"/>
    <n v="0"/>
    <n v="0"/>
    <n v="0"/>
    <n v="0"/>
    <n v="1486.7242879423095"/>
    <n v="1495.9052558740614"/>
    <n v="0.60603913107076479"/>
    <n v="77"/>
    <n v="88"/>
    <n v="0"/>
    <n v="-11"/>
    <n v="0"/>
    <n v="0.43649642055807458"/>
    <n v="1"/>
    <n v="73.150000000000006"/>
    <n v="73.150000000000006"/>
    <n v="-19.350655621142149"/>
    <n v="1467.3736323211674"/>
    <n v="0"/>
    <n v="1"/>
    <n v="0"/>
    <n v="0"/>
    <n v="0"/>
    <n v="0"/>
    <n v="0"/>
    <n v="0"/>
    <n v="0"/>
    <n v="0"/>
  </r>
  <r>
    <d v="2023-07-09T00:00:00"/>
    <n v="2023"/>
    <x v="17"/>
    <s v="R"/>
    <s v="RS"/>
    <x v="7"/>
    <s v="CON"/>
    <s v="A"/>
    <n v="1"/>
    <n v="2"/>
    <n v="-1"/>
    <n v="1"/>
    <n v="-8"/>
    <n v="8"/>
    <n v="1546.8951984369146"/>
    <n v="1629.8220357008106"/>
    <n v="0.2586472254869242"/>
    <n v="84"/>
    <n v="92"/>
    <n v="0"/>
    <n v="-8"/>
    <n v="0"/>
    <n v="0.36321528903191502"/>
    <n v="1"/>
    <n v="73.3"/>
    <n v="73.3"/>
    <n v="-6.8861411416938942"/>
    <n v="1540.0090572952206"/>
    <n v="0"/>
    <n v="1"/>
    <n v="0"/>
    <n v="0"/>
    <n v="0"/>
    <n v="0"/>
    <n v="0"/>
    <n v="0"/>
    <n v="0"/>
    <n v="0"/>
  </r>
  <r>
    <d v="2023-07-09T00:00:00"/>
    <n v="2023"/>
    <x v="18"/>
    <s v="R"/>
    <s v="RS"/>
    <x v="0"/>
    <s v="WAS"/>
    <s v="H"/>
    <n v="2"/>
    <n v="1"/>
    <n v="1"/>
    <n v="-1"/>
    <n v="8"/>
    <n v="-8"/>
    <n v="1629.8220357008106"/>
    <n v="1546.8951984369146"/>
    <n v="0.7413527745130758"/>
    <n v="92"/>
    <n v="84"/>
    <n v="0"/>
    <n v="8"/>
    <n v="1"/>
    <n v="0.36321528903191502"/>
    <n v="1"/>
    <n v="73.150000000000006"/>
    <n v="73.150000000000006"/>
    <n v="6.8720494476795144"/>
    <n v="1636.6940851484901"/>
    <n v="1"/>
    <n v="0"/>
    <n v="0"/>
    <n v="0"/>
    <n v="0"/>
    <n v="0"/>
    <n v="0"/>
    <n v="0"/>
    <n v="0"/>
    <n v="0"/>
  </r>
  <r>
    <d v="2023-07-09T00:00:00"/>
    <n v="2023"/>
    <x v="18"/>
    <s v="R"/>
    <s v="RS"/>
    <x v="9"/>
    <s v="IND"/>
    <s v="A"/>
    <n v="1"/>
    <n v="1"/>
    <n v="0"/>
    <n v="0"/>
    <n v="0"/>
    <n v="0"/>
    <n v="1502.5919910959744"/>
    <n v="1359.0604196030915"/>
    <n v="0.58484411676635073"/>
    <n v="77"/>
    <n v="76"/>
    <n v="0"/>
    <n v="1"/>
    <n v="1"/>
    <n v="0.2180935761954324"/>
    <n v="1"/>
    <n v="73.150000000000006"/>
    <n v="73.150000000000006"/>
    <n v="6.6232081061569454"/>
    <n v="1509.2151992021313"/>
    <n v="1"/>
    <n v="0"/>
    <n v="0"/>
    <n v="0"/>
    <n v="0"/>
    <n v="0"/>
    <n v="0"/>
    <n v="0"/>
    <n v="0"/>
    <n v="0"/>
  </r>
  <r>
    <d v="2023-07-09T00:00:00"/>
    <n v="2023"/>
    <x v="18"/>
    <s v="R"/>
    <s v="RS"/>
    <x v="1"/>
    <s v="DAL"/>
    <s v="H"/>
    <n v="1"/>
    <n v="1"/>
    <n v="0"/>
    <n v="0"/>
    <n v="0"/>
    <n v="0"/>
    <n v="1359.0604196030915"/>
    <n v="1502.5919910959744"/>
    <n v="0.41515588323364921"/>
    <n v="76"/>
    <n v="77"/>
    <n v="0"/>
    <n v="-1"/>
    <n v="0"/>
    <n v="0.2180935761954324"/>
    <n v="1"/>
    <n v="73.150000000000006"/>
    <n v="73.150000000000006"/>
    <n v="-6.6232081061569446"/>
    <n v="1352.4372114969347"/>
    <n v="0"/>
    <n v="1"/>
    <n v="0"/>
    <n v="0"/>
    <n v="0"/>
    <n v="0"/>
    <n v="0"/>
    <n v="0"/>
    <n v="0"/>
    <n v="0"/>
  </r>
  <r>
    <d v="2023-07-09T00:00:00"/>
    <n v="2023"/>
    <x v="18"/>
    <s v="R"/>
    <s v="RS"/>
    <x v="10"/>
    <s v="MIN"/>
    <s v="A"/>
    <n v="1"/>
    <n v="1"/>
    <n v="0"/>
    <n v="0"/>
    <n v="0"/>
    <n v="0"/>
    <n v="1713.0170930273391"/>
    <n v="1494.7406666628099"/>
    <n v="0.68416025758789378"/>
    <n v="113"/>
    <n v="89"/>
    <n v="0"/>
    <n v="24"/>
    <n v="1"/>
    <n v="0.53171377830116939"/>
    <n v="1"/>
    <n v="73.150000000000006"/>
    <n v="73.150000000000006"/>
    <n v="12.284543474035805"/>
    <n v="1725.301636501375"/>
    <n v="1"/>
    <n v="0"/>
    <n v="0"/>
    <n v="0"/>
    <n v="0"/>
    <n v="0"/>
    <n v="0"/>
    <n v="0"/>
    <n v="0"/>
    <n v="0"/>
  </r>
  <r>
    <d v="2023-07-09T00:00:00"/>
    <n v="2023"/>
    <x v="18"/>
    <s v="R"/>
    <s v="RS"/>
    <x v="5"/>
    <s v="LVA"/>
    <s v="H"/>
    <n v="1"/>
    <n v="1"/>
    <n v="0"/>
    <n v="0"/>
    <n v="0"/>
    <n v="0"/>
    <n v="1494.7406666628099"/>
    <n v="1713.0170930273391"/>
    <n v="0.31583974241210627"/>
    <n v="89"/>
    <n v="113"/>
    <n v="0"/>
    <n v="-24"/>
    <n v="0"/>
    <n v="0.53171377830116939"/>
    <n v="1"/>
    <n v="73.150000000000006"/>
    <n v="73.150000000000006"/>
    <n v="-12.284543474035807"/>
    <n v="1482.456123188774"/>
    <n v="0"/>
    <n v="1"/>
    <n v="0"/>
    <n v="0"/>
    <n v="0"/>
    <n v="0"/>
    <n v="0"/>
    <n v="0"/>
    <n v="0"/>
    <n v="0"/>
  </r>
  <r>
    <d v="2023-07-09T00:00:00"/>
    <n v="2023"/>
    <x v="18"/>
    <s v="R"/>
    <s v="RS"/>
    <x v="3"/>
    <s v="PHX"/>
    <s v="A"/>
    <n v="3"/>
    <n v="1"/>
    <n v="2"/>
    <n v="-2"/>
    <n v="16"/>
    <n v="-16"/>
    <n v="1404.3819742891603"/>
    <n v="1348.3831596897974"/>
    <n v="0.50575450270852695"/>
    <n v="72"/>
    <n v="78"/>
    <n v="0"/>
    <n v="-6"/>
    <n v="0"/>
    <n v="0.3356188783057501"/>
    <n v="1"/>
    <n v="73.150000000000006"/>
    <n v="73.150000000000006"/>
    <n v="-12.416536513324202"/>
    <n v="1391.9654377758361"/>
    <n v="0"/>
    <n v="1"/>
    <n v="0"/>
    <n v="0"/>
    <n v="0"/>
    <n v="0"/>
    <n v="0"/>
    <n v="0"/>
    <n v="0"/>
    <n v="0"/>
  </r>
  <r>
    <d v="2023-07-09T00:00:00"/>
    <n v="2023"/>
    <x v="17"/>
    <s v="R"/>
    <s v="RS"/>
    <x v="2"/>
    <s v="LAS"/>
    <s v="H"/>
    <n v="1"/>
    <n v="3"/>
    <n v="-2"/>
    <n v="2"/>
    <n v="-16"/>
    <n v="16"/>
    <n v="1348.3831596897974"/>
    <n v="1404.3819742891603"/>
    <n v="0.49424549729147305"/>
    <n v="78"/>
    <n v="72"/>
    <n v="0"/>
    <n v="6"/>
    <n v="1"/>
    <n v="0.3356188783057501"/>
    <n v="1"/>
    <n v="73.3"/>
    <n v="73.3"/>
    <n v="12.441997627158768"/>
    <n v="1360.8251573169562"/>
    <n v="1"/>
    <n v="0"/>
    <n v="0"/>
    <n v="0"/>
    <n v="0"/>
    <n v="0"/>
    <n v="0"/>
    <n v="0"/>
    <n v="0"/>
    <n v="0"/>
  </r>
  <r>
    <d v="2023-07-11T00:00:00"/>
    <n v="2023"/>
    <x v="18"/>
    <s v="R"/>
    <s v="RS"/>
    <x v="2"/>
    <s v="LVA"/>
    <s v="A"/>
    <n v="1"/>
    <n v="1"/>
    <n v="0"/>
    <n v="0"/>
    <n v="0"/>
    <n v="0"/>
    <n v="1360.8251573169562"/>
    <n v="1725.301636501375"/>
    <n v="7.032954854828713E-2"/>
    <n v="72"/>
    <n v="98"/>
    <n v="0"/>
    <n v="-26"/>
    <n v="0"/>
    <n v="0.5017044788230911"/>
    <n v="1"/>
    <n v="73.150000000000006"/>
    <n v="73.150000000000006"/>
    <n v="-2.581072110945605"/>
    <n v="1358.2440852060106"/>
    <n v="0"/>
    <n v="1"/>
    <n v="0"/>
    <n v="0"/>
    <n v="0"/>
    <n v="0"/>
    <n v="0"/>
    <n v="0"/>
    <n v="0"/>
    <n v="0"/>
  </r>
  <r>
    <d v="2023-07-11T00:00:00"/>
    <n v="2023"/>
    <x v="19"/>
    <s v="R"/>
    <s v="RS"/>
    <x v="10"/>
    <s v="PHX"/>
    <s v="H"/>
    <n v="1"/>
    <n v="1"/>
    <n v="0"/>
    <n v="0"/>
    <n v="0"/>
    <n v="0"/>
    <n v="1725.301636501375"/>
    <n v="1360.8251573169562"/>
    <n v="0.9296704514517129"/>
    <n v="98"/>
    <n v="72"/>
    <n v="0"/>
    <n v="26"/>
    <n v="1"/>
    <n v="0.5017044788230911"/>
    <n v="1"/>
    <n v="73"/>
    <n v="73"/>
    <n v="2.5757794135205612"/>
    <n v="1727.8774159148957"/>
    <n v="1"/>
    <n v="0"/>
    <n v="0"/>
    <n v="0"/>
    <n v="0"/>
    <n v="0"/>
    <n v="0"/>
    <n v="0"/>
    <n v="0"/>
    <n v="0"/>
  </r>
  <r>
    <d v="2023-07-11T00:00:00"/>
    <n v="2023"/>
    <x v="18"/>
    <s v="R"/>
    <s v="RS"/>
    <x v="11"/>
    <s v="WAS"/>
    <s v="A"/>
    <n v="2"/>
    <n v="1"/>
    <n v="1"/>
    <n v="-1"/>
    <n v="8"/>
    <n v="-8"/>
    <n v="1419.1944053435195"/>
    <n v="1540.0090572952206"/>
    <n v="0.25220162790128242"/>
    <n v="86"/>
    <n v="93"/>
    <n v="0"/>
    <n v="-7"/>
    <n v="0"/>
    <n v="0.3362535434690383"/>
    <n v="1"/>
    <n v="73.150000000000006"/>
    <n v="73.150000000000006"/>
    <n v="-6.2033900003415949"/>
    <n v="1412.9910153431779"/>
    <n v="0"/>
    <n v="1"/>
    <n v="0"/>
    <n v="0"/>
    <n v="0"/>
    <n v="0"/>
    <n v="0"/>
    <n v="0"/>
    <n v="0"/>
    <n v="0"/>
  </r>
  <r>
    <d v="2023-07-11T00:00:00"/>
    <n v="2023"/>
    <x v="18"/>
    <s v="R"/>
    <s v="RS"/>
    <x v="7"/>
    <s v="SEA"/>
    <s v="H"/>
    <n v="1"/>
    <n v="2"/>
    <n v="-1"/>
    <n v="1"/>
    <n v="-8"/>
    <n v="8"/>
    <n v="1540.0090572952206"/>
    <n v="1419.1944053435195"/>
    <n v="0.74779837209871758"/>
    <n v="93"/>
    <n v="86"/>
    <n v="0"/>
    <n v="7"/>
    <n v="1"/>
    <n v="0.3362535434690383"/>
    <n v="1"/>
    <n v="73.150000000000006"/>
    <n v="73.150000000000006"/>
    <n v="6.2033900003415949"/>
    <n v="1546.2124472955622"/>
    <n v="1"/>
    <n v="0"/>
    <n v="0"/>
    <n v="0"/>
    <n v="0"/>
    <n v="0"/>
    <n v="0"/>
    <n v="0"/>
    <n v="0"/>
    <n v="0"/>
  </r>
  <r>
    <d v="2023-07-12T00:00:00"/>
    <n v="2023"/>
    <x v="19"/>
    <s v="R"/>
    <s v="RS"/>
    <x v="11"/>
    <s v="ATL"/>
    <s v="A"/>
    <n v="0"/>
    <n v="2"/>
    <n v="-2"/>
    <n v="2"/>
    <n v="-16"/>
    <n v="16"/>
    <n v="1412.9910153431779"/>
    <n v="1515.2955915819182"/>
    <n v="0.22154901833443236"/>
    <n v="75"/>
    <n v="85"/>
    <n v="0"/>
    <n v="-10"/>
    <n v="0"/>
    <n v="0.3898900829061191"/>
    <n v="1"/>
    <n v="73"/>
    <n v="73"/>
    <n v="-6.305722854211222"/>
    <n v="1406.6852924889668"/>
    <n v="0"/>
    <n v="1"/>
    <n v="0"/>
    <n v="0"/>
    <n v="0"/>
    <n v="0"/>
    <n v="0"/>
    <n v="0"/>
    <n v="0"/>
    <n v="0"/>
  </r>
  <r>
    <d v="2023-07-12T00:00:00"/>
    <n v="2023"/>
    <x v="18"/>
    <s v="R"/>
    <s v="RS"/>
    <x v="8"/>
    <s v="SEA"/>
    <s v="H"/>
    <n v="2"/>
    <n v="0"/>
    <n v="2"/>
    <n v="-2"/>
    <n v="16"/>
    <n v="-16"/>
    <n v="1515.2955915819182"/>
    <n v="1412.9910153431779"/>
    <n v="0.7784509816655677"/>
    <n v="85"/>
    <n v="75"/>
    <n v="0"/>
    <n v="10"/>
    <n v="1"/>
    <n v="0.3898900829061191"/>
    <n v="1"/>
    <n v="73.150000000000006"/>
    <n v="73.150000000000006"/>
    <n v="6.3186798189801481"/>
    <n v="1521.6142714008984"/>
    <n v="1"/>
    <n v="0"/>
    <n v="0"/>
    <n v="0"/>
    <n v="0"/>
    <n v="0"/>
    <n v="0"/>
    <n v="0"/>
    <n v="0"/>
    <n v="0"/>
  </r>
  <r>
    <d v="2023-07-12T00:00:00"/>
    <n v="2023"/>
    <x v="19"/>
    <s v="R"/>
    <s v="RS"/>
    <x v="0"/>
    <s v="CHI"/>
    <s v="A"/>
    <n v="2"/>
    <n v="2"/>
    <n v="0"/>
    <n v="0"/>
    <n v="0"/>
    <n v="0"/>
    <n v="1636.6940851484901"/>
    <n v="1467.3736323211674"/>
    <n v="0.62037589410748417"/>
    <n v="84"/>
    <n v="72"/>
    <n v="0"/>
    <n v="12"/>
    <n v="1"/>
    <n v="0.39972771206454238"/>
    <n v="1"/>
    <n v="73"/>
    <n v="73"/>
    <n v="11.077478096386294"/>
    <n v="1647.7715632448765"/>
    <n v="1"/>
    <n v="0"/>
    <n v="0"/>
    <n v="0"/>
    <n v="0"/>
    <n v="0"/>
    <n v="0"/>
    <n v="0"/>
    <n v="0"/>
    <n v="0"/>
  </r>
  <r>
    <d v="2023-07-12T00:00:00"/>
    <n v="2023"/>
    <x v="19"/>
    <s v="R"/>
    <s v="RS"/>
    <x v="4"/>
    <s v="CON"/>
    <s v="H"/>
    <n v="2"/>
    <n v="2"/>
    <n v="0"/>
    <n v="0"/>
    <n v="0"/>
    <n v="0"/>
    <n v="1467.3736323211674"/>
    <n v="1636.6940851484901"/>
    <n v="0.37962410589251572"/>
    <n v="72"/>
    <n v="84"/>
    <n v="0"/>
    <n v="-12"/>
    <n v="0"/>
    <n v="0.39972771206454238"/>
    <n v="1"/>
    <n v="73"/>
    <n v="73"/>
    <n v="-11.07747809638629"/>
    <n v="1456.296154224781"/>
    <n v="0"/>
    <n v="1"/>
    <n v="0"/>
    <n v="0"/>
    <n v="0"/>
    <n v="0"/>
    <n v="0"/>
    <n v="0"/>
    <n v="0"/>
    <n v="0"/>
  </r>
  <r>
    <d v="2023-07-12T00:00:00"/>
    <n v="2023"/>
    <x v="17"/>
    <s v="R"/>
    <s v="RS"/>
    <x v="6"/>
    <s v="IND"/>
    <s v="A"/>
    <n v="3"/>
    <n v="2"/>
    <n v="1"/>
    <n v="-1"/>
    <n v="8"/>
    <n v="-8"/>
    <n v="1599.9068147597702"/>
    <n v="1352.4372114969347"/>
    <n v="0.73751840582263184"/>
    <n v="95"/>
    <n v="87"/>
    <n v="1"/>
    <n v="8"/>
    <n v="1"/>
    <n v="0.2897337373150306"/>
    <n v="1"/>
    <n v="73.3"/>
    <n v="73.3"/>
    <n v="5.5744483797685964"/>
    <n v="1605.4812631395389"/>
    <n v="1"/>
    <n v="0"/>
    <n v="0"/>
    <n v="0"/>
    <n v="0"/>
    <n v="0"/>
    <n v="0"/>
    <n v="0"/>
    <n v="0"/>
    <n v="0"/>
  </r>
  <r>
    <d v="2023-07-12T00:00:00"/>
    <n v="2023"/>
    <x v="19"/>
    <s v="R"/>
    <s v="RS"/>
    <x v="1"/>
    <s v="NYL"/>
    <s v="H"/>
    <n v="2"/>
    <n v="3"/>
    <n v="-1"/>
    <n v="1"/>
    <n v="-8"/>
    <n v="8"/>
    <n v="1352.4372114969347"/>
    <n v="1599.9068147597702"/>
    <n v="0.26248159417736816"/>
    <n v="87"/>
    <n v="95"/>
    <n v="1"/>
    <n v="-8"/>
    <n v="0"/>
    <n v="0.2897337373150306"/>
    <n v="1"/>
    <n v="73"/>
    <n v="73"/>
    <n v="-5.5516334477913718"/>
    <n v="1346.8855780491433"/>
    <n v="0"/>
    <n v="1"/>
    <n v="0"/>
    <n v="0"/>
    <n v="0"/>
    <n v="0"/>
    <n v="0"/>
    <n v="0"/>
    <n v="0"/>
    <n v="0"/>
  </r>
  <r>
    <d v="2023-07-12T00:00:00"/>
    <n v="2023"/>
    <x v="20"/>
    <s v="R"/>
    <s v="RS"/>
    <x v="10"/>
    <s v="LAS"/>
    <s v="A"/>
    <n v="0"/>
    <n v="2"/>
    <n v="-2"/>
    <n v="2"/>
    <n v="-16"/>
    <n v="16"/>
    <n v="1727.8774159148957"/>
    <n v="1391.9654377758361"/>
    <n v="0.78004267965360874"/>
    <n v="97"/>
    <n v="78"/>
    <n v="0"/>
    <n v="19"/>
    <n v="1"/>
    <n v="0.43828884522624084"/>
    <n v="1"/>
    <n v="72.849999999999994"/>
    <n v="72.849999999999994"/>
    <n v="7.0230925891684528"/>
    <n v="1734.9005085040642"/>
    <n v="1"/>
    <n v="0"/>
    <n v="0"/>
    <n v="0"/>
    <n v="0"/>
    <n v="0"/>
    <n v="0"/>
    <n v="0"/>
    <n v="0"/>
    <n v="0"/>
  </r>
  <r>
    <d v="2023-07-12T00:00:00"/>
    <n v="2023"/>
    <x v="19"/>
    <s v="R"/>
    <s v="RS"/>
    <x v="3"/>
    <s v="LVA"/>
    <s v="H"/>
    <n v="2"/>
    <n v="0"/>
    <n v="2"/>
    <n v="-2"/>
    <n v="16"/>
    <n v="-16"/>
    <n v="1391.9654377758361"/>
    <n v="1727.8774159148957"/>
    <n v="0.21995732034639123"/>
    <n v="78"/>
    <n v="97"/>
    <n v="0"/>
    <n v="-19"/>
    <n v="0"/>
    <n v="0.43828884522624084"/>
    <n v="1"/>
    <n v="73"/>
    <n v="73"/>
    <n v="-7.0375533151585046"/>
    <n v="1384.9278844606777"/>
    <n v="0"/>
    <n v="1"/>
    <n v="0"/>
    <n v="0"/>
    <n v="0"/>
    <n v="0"/>
    <n v="0"/>
    <n v="0"/>
    <n v="0"/>
    <n v="0"/>
  </r>
  <r>
    <d v="2023-07-12T00:00:00"/>
    <n v="2023"/>
    <x v="19"/>
    <s v="R"/>
    <s v="RS"/>
    <x v="9"/>
    <s v="MIN"/>
    <s v="A"/>
    <n v="2"/>
    <n v="2"/>
    <n v="0"/>
    <n v="0"/>
    <n v="0"/>
    <n v="0"/>
    <n v="1509.2151992021313"/>
    <n v="1482.456123188774"/>
    <n v="0.41836100936744358"/>
    <n v="107"/>
    <n v="67"/>
    <n v="0"/>
    <n v="40"/>
    <n v="1"/>
    <n v="0.80014413922393357"/>
    <n v="1"/>
    <n v="73"/>
    <n v="73"/>
    <n v="33.973837153409804"/>
    <n v="1543.189036355541"/>
    <n v="1"/>
    <n v="0"/>
    <n v="0"/>
    <n v="0"/>
    <n v="0"/>
    <n v="0"/>
    <n v="0"/>
    <n v="0"/>
    <n v="0"/>
    <n v="0"/>
  </r>
  <r>
    <d v="2023-07-12T00:00:00"/>
    <n v="2023"/>
    <x v="19"/>
    <s v="R"/>
    <s v="RS"/>
    <x v="5"/>
    <s v="DAL"/>
    <s v="H"/>
    <n v="2"/>
    <n v="2"/>
    <n v="0"/>
    <n v="0"/>
    <n v="0"/>
    <n v="0"/>
    <n v="1482.456123188774"/>
    <n v="1509.2151992021313"/>
    <n v="0.58163899063255642"/>
    <n v="67"/>
    <n v="107"/>
    <n v="0"/>
    <n v="-40"/>
    <n v="0"/>
    <n v="0.80014413922393357"/>
    <n v="1"/>
    <n v="73"/>
    <n v="73"/>
    <n v="-33.973837153409804"/>
    <n v="1448.4822860353643"/>
    <n v="0"/>
    <n v="1"/>
    <n v="0"/>
    <n v="0"/>
    <n v="0"/>
    <n v="0"/>
    <n v="0"/>
    <n v="0"/>
    <n v="0"/>
    <n v="0"/>
  </r>
  <r>
    <d v="2023-07-18T00:00:00"/>
    <n v="2023"/>
    <x v="20"/>
    <s v="R"/>
    <s v="RS"/>
    <x v="5"/>
    <s v="ATL"/>
    <s v="A"/>
    <n v="5"/>
    <n v="5"/>
    <n v="0"/>
    <n v="0"/>
    <n v="0"/>
    <n v="0"/>
    <n v="1448.4822860353643"/>
    <n v="1521.6142714008984"/>
    <n v="0.28812161624942034"/>
    <n v="73"/>
    <n v="82"/>
    <n v="0"/>
    <n v="-9"/>
    <n v="0"/>
    <n v="0.38265147539814515"/>
    <n v="1"/>
    <n v="72.849999999999994"/>
    <n v="72.849999999999994"/>
    <n v="-8.0317242690587474"/>
    <n v="1440.4505617663056"/>
    <n v="0"/>
    <n v="1"/>
    <n v="0"/>
    <n v="0"/>
    <n v="0"/>
    <n v="0"/>
    <n v="0"/>
    <n v="0"/>
    <n v="0"/>
    <n v="0"/>
  </r>
  <r>
    <d v="2023-07-18T00:00:00"/>
    <n v="2023"/>
    <x v="19"/>
    <s v="R"/>
    <s v="RS"/>
    <x v="8"/>
    <s v="MIN"/>
    <s v="H"/>
    <n v="5"/>
    <n v="5"/>
    <n v="0"/>
    <n v="0"/>
    <n v="0"/>
    <n v="0"/>
    <n v="1521.6142714008984"/>
    <n v="1448.4822860353643"/>
    <n v="0.71187838375057966"/>
    <n v="82"/>
    <n v="73"/>
    <n v="0"/>
    <n v="9"/>
    <n v="1"/>
    <n v="0.38265147539814515"/>
    <n v="1"/>
    <n v="73"/>
    <n v="73"/>
    <n v="8.0482617932915392"/>
    <n v="1529.6625331941898"/>
    <n v="1"/>
    <n v="0"/>
    <n v="0"/>
    <n v="0"/>
    <n v="0"/>
    <n v="0"/>
    <n v="0"/>
    <n v="0"/>
    <n v="0"/>
    <n v="0"/>
  </r>
  <r>
    <d v="2023-07-18T00:00:00"/>
    <n v="2023"/>
    <x v="20"/>
    <s v="R"/>
    <s v="RS"/>
    <x v="0"/>
    <s v="PHX"/>
    <s v="A"/>
    <n v="5"/>
    <n v="6"/>
    <n v="-1"/>
    <n v="1"/>
    <n v="-8"/>
    <n v="8"/>
    <n v="1647.7715632448765"/>
    <n v="1358.2440852060106"/>
    <n v="0.74857146147652354"/>
    <n v="66"/>
    <n v="72"/>
    <n v="0"/>
    <n v="-6"/>
    <n v="0"/>
    <n v="0.28300042766864014"/>
    <n v="1"/>
    <n v="72.849999999999994"/>
    <n v="72.849999999999994"/>
    <n v="-15.432984286342085"/>
    <n v="1632.3385789585343"/>
    <n v="0"/>
    <n v="1"/>
    <n v="0"/>
    <n v="0"/>
    <n v="0"/>
    <n v="0"/>
    <n v="0"/>
    <n v="0"/>
    <n v="0"/>
    <n v="0"/>
  </r>
  <r>
    <d v="2023-07-18T00:00:00"/>
    <n v="2023"/>
    <x v="19"/>
    <s v="R"/>
    <s v="RS"/>
    <x v="2"/>
    <s v="CON"/>
    <s v="H"/>
    <n v="6"/>
    <n v="5"/>
    <n v="1"/>
    <n v="-1"/>
    <n v="8"/>
    <n v="-8"/>
    <n v="1358.2440852060106"/>
    <n v="1647.7715632448765"/>
    <n v="0.25142853852347652"/>
    <n v="72"/>
    <n v="66"/>
    <n v="0"/>
    <n v="6"/>
    <n v="1"/>
    <n v="0.28300042766864014"/>
    <n v="1"/>
    <n v="73"/>
    <n v="73"/>
    <n v="15.464761192902847"/>
    <n v="1373.7088463989135"/>
    <n v="1"/>
    <n v="0"/>
    <n v="0"/>
    <n v="0"/>
    <n v="0"/>
    <n v="0"/>
    <n v="0"/>
    <n v="0"/>
    <n v="0"/>
    <n v="0"/>
  </r>
  <r>
    <d v="2023-07-19T00:00:00"/>
    <n v="2023"/>
    <x v="20"/>
    <s v="R"/>
    <s v="RS"/>
    <x v="9"/>
    <s v="NYL"/>
    <s v="A"/>
    <n v="6"/>
    <n v="6"/>
    <n v="0"/>
    <n v="0"/>
    <n v="0"/>
    <n v="0"/>
    <n v="1543.189036355541"/>
    <n v="1605.4812631395389"/>
    <n v="0.30108726512605882"/>
    <n v="98"/>
    <n v="88"/>
    <n v="0"/>
    <n v="10"/>
    <n v="1"/>
    <n v="0.4022488837567938"/>
    <n v="1"/>
    <n v="72.849999999999994"/>
    <n v="72.849999999999994"/>
    <n v="20.480820793473942"/>
    <n v="1563.6698571490149"/>
    <n v="1"/>
    <n v="0"/>
    <n v="0"/>
    <n v="0"/>
    <n v="0"/>
    <n v="0"/>
    <n v="0"/>
    <n v="0"/>
    <n v="0"/>
    <n v="0"/>
  </r>
  <r>
    <d v="2023-07-19T00:00:00"/>
    <n v="2023"/>
    <x v="18"/>
    <s v="R"/>
    <s v="RS"/>
    <x v="6"/>
    <s v="DAL"/>
    <s v="H"/>
    <n v="6"/>
    <n v="6"/>
    <n v="0"/>
    <n v="0"/>
    <n v="0"/>
    <n v="0"/>
    <n v="1605.4812631395389"/>
    <n v="1543.189036355541"/>
    <n v="0.69891273487394123"/>
    <n v="88"/>
    <n v="98"/>
    <n v="0"/>
    <n v="-10"/>
    <n v="0"/>
    <n v="0.4022488837567938"/>
    <n v="1"/>
    <n v="73.150000000000006"/>
    <n v="73.150000000000006"/>
    <n v="-20.565161853707878"/>
    <n v="1584.916101285831"/>
    <n v="0"/>
    <n v="1"/>
    <n v="0"/>
    <n v="0"/>
    <n v="0"/>
    <n v="0"/>
    <n v="0"/>
    <n v="0"/>
    <n v="0"/>
    <n v="0"/>
  </r>
  <r>
    <d v="2023-07-19T00:00:00"/>
    <n v="2023"/>
    <x v="20"/>
    <s v="R"/>
    <s v="RS"/>
    <x v="1"/>
    <s v="WAS"/>
    <s v="A"/>
    <n v="6"/>
    <n v="7"/>
    <n v="-1"/>
    <n v="1"/>
    <n v="-8"/>
    <n v="8"/>
    <n v="1346.8855780491433"/>
    <n v="1546.2124472955622"/>
    <n v="0.15147692610384481"/>
    <n v="82"/>
    <n v="76"/>
    <n v="0"/>
    <n v="6"/>
    <n v="1"/>
    <n v="0.30124263499363857"/>
    <n v="1"/>
    <n v="72.849999999999994"/>
    <n v="72.849999999999994"/>
    <n v="18.621285145241707"/>
    <n v="1365.506863194385"/>
    <n v="1"/>
    <n v="0"/>
    <n v="0"/>
    <n v="0"/>
    <n v="0"/>
    <n v="0"/>
    <n v="0"/>
    <n v="0"/>
    <n v="0"/>
    <n v="0"/>
  </r>
  <r>
    <d v="2023-07-19T00:00:00"/>
    <n v="2023"/>
    <x v="19"/>
    <s v="R"/>
    <s v="RS"/>
    <x v="7"/>
    <s v="IND"/>
    <s v="H"/>
    <n v="7"/>
    <n v="6"/>
    <n v="1"/>
    <n v="-1"/>
    <n v="8"/>
    <n v="-8"/>
    <n v="1546.2124472955622"/>
    <n v="1346.8855780491433"/>
    <n v="0.84852307389615511"/>
    <n v="76"/>
    <n v="82"/>
    <n v="0"/>
    <n v="-6"/>
    <n v="0"/>
    <n v="0.30124263499363857"/>
    <n v="1"/>
    <n v="73"/>
    <n v="73"/>
    <n v="-18.659626844236715"/>
    <n v="1527.5528204513255"/>
    <n v="0"/>
    <n v="1"/>
    <n v="0"/>
    <n v="0"/>
    <n v="0"/>
    <n v="0"/>
    <n v="0"/>
    <n v="0"/>
    <n v="0"/>
    <n v="0"/>
  </r>
  <r>
    <d v="2023-07-20T00:00:00"/>
    <n v="2023"/>
    <x v="20"/>
    <s v="R"/>
    <s v="RS"/>
    <x v="8"/>
    <s v="CON"/>
    <s v="A"/>
    <n v="1"/>
    <n v="1"/>
    <n v="0"/>
    <n v="0"/>
    <n v="0"/>
    <n v="0"/>
    <n v="1529.6625331941898"/>
    <n v="1632.3385789585343"/>
    <n v="0.25453047136736162"/>
    <n v="71"/>
    <n v="82"/>
    <n v="0"/>
    <n v="-11"/>
    <n v="0"/>
    <n v="0.40516839626038376"/>
    <n v="1"/>
    <n v="72.849999999999994"/>
    <n v="72.849999999999994"/>
    <n v="-7.5128531550493838"/>
    <n v="1522.1496800391403"/>
    <n v="0"/>
    <n v="1"/>
    <n v="0"/>
    <n v="0"/>
    <n v="0"/>
    <n v="0"/>
    <n v="0"/>
    <n v="0"/>
    <n v="0"/>
    <n v="0"/>
  </r>
  <r>
    <d v="2023-07-20T00:00:00"/>
    <n v="2023"/>
    <x v="21"/>
    <s v="R"/>
    <s v="RS"/>
    <x v="0"/>
    <s v="ATL"/>
    <s v="H"/>
    <n v="1"/>
    <n v="1"/>
    <n v="0"/>
    <n v="0"/>
    <n v="0"/>
    <n v="0"/>
    <n v="1632.3385789585343"/>
    <n v="1529.6625331941898"/>
    <n v="0.74546952863263838"/>
    <n v="82"/>
    <n v="71"/>
    <n v="0"/>
    <n v="11"/>
    <n v="1"/>
    <n v="0.40516839626038376"/>
    <n v="1"/>
    <n v="72.7"/>
    <n v="72.7"/>
    <n v="7.4973839996168872"/>
    <n v="1639.8359629581512"/>
    <n v="1"/>
    <n v="0"/>
    <n v="0"/>
    <n v="0"/>
    <n v="0"/>
    <n v="0"/>
    <n v="0"/>
    <n v="0"/>
    <n v="0"/>
    <n v="0"/>
  </r>
  <r>
    <d v="2023-07-20T00:00:00"/>
    <n v="2023"/>
    <x v="20"/>
    <s v="R"/>
    <s v="RS"/>
    <x v="3"/>
    <s v="MIN"/>
    <s v="A"/>
    <n v="7"/>
    <n v="1"/>
    <n v="6"/>
    <n v="-6"/>
    <n v="16"/>
    <n v="-16"/>
    <n v="1384.9278844606777"/>
    <n v="1440.4505617663056"/>
    <n v="0.35002023038868341"/>
    <n v="70"/>
    <n v="73"/>
    <n v="0"/>
    <n v="-3"/>
    <n v="0"/>
    <n v="0.27735080505732951"/>
    <n v="1"/>
    <n v="72.849999999999994"/>
    <n v="72.849999999999994"/>
    <n v="-7.0721609070769915"/>
    <n v="1377.8557235536007"/>
    <n v="0"/>
    <n v="1"/>
    <n v="0"/>
    <n v="0"/>
    <n v="0"/>
    <n v="0"/>
    <n v="0"/>
    <n v="0"/>
    <n v="0"/>
    <n v="0"/>
  </r>
  <r>
    <d v="2023-07-20T00:00:00"/>
    <n v="2023"/>
    <x v="21"/>
    <s v="R"/>
    <s v="RS"/>
    <x v="5"/>
    <s v="LAS"/>
    <s v="H"/>
    <n v="1"/>
    <n v="7"/>
    <n v="-6"/>
    <n v="6"/>
    <n v="-16"/>
    <n v="16"/>
    <n v="1440.4505617663056"/>
    <n v="1384.9278844606777"/>
    <n v="0.64997976961131665"/>
    <n v="73"/>
    <n v="70"/>
    <n v="0"/>
    <n v="3"/>
    <n v="1"/>
    <n v="0.27735080505732951"/>
    <n v="1"/>
    <n v="72.7"/>
    <n v="72.7"/>
    <n v="7.0575991481742939"/>
    <n v="1447.50816091448"/>
    <n v="1"/>
    <n v="0"/>
    <n v="0"/>
    <n v="0"/>
    <n v="0"/>
    <n v="0"/>
    <n v="0"/>
    <n v="0"/>
    <n v="0"/>
    <n v="0"/>
  </r>
  <r>
    <d v="2023-07-20T00:00:00"/>
    <n v="2023"/>
    <x v="20"/>
    <s v="R"/>
    <s v="RS"/>
    <x v="4"/>
    <s v="PHX"/>
    <s v="A"/>
    <n v="7"/>
    <n v="1"/>
    <n v="6"/>
    <n v="-6"/>
    <n v="16"/>
    <n v="-16"/>
    <n v="1456.296154224781"/>
    <n v="1373.7088463989135"/>
    <n v="0.54390530251999969"/>
    <n v="62"/>
    <n v="80"/>
    <n v="0"/>
    <n v="-18"/>
    <n v="0"/>
    <n v="0.51162265098656001"/>
    <n v="1"/>
    <n v="72.849999999999994"/>
    <n v="72.849999999999994"/>
    <n v="-20.272280770633685"/>
    <n v="1436.0238734541474"/>
    <n v="0"/>
    <n v="1"/>
    <n v="0"/>
    <n v="0"/>
    <n v="0"/>
    <n v="0"/>
    <n v="0"/>
    <n v="0"/>
    <n v="0"/>
    <n v="0"/>
  </r>
  <r>
    <d v="2023-07-20T00:00:00"/>
    <n v="2023"/>
    <x v="20"/>
    <s v="R"/>
    <s v="RS"/>
    <x v="2"/>
    <s v="CHI"/>
    <s v="H"/>
    <n v="1"/>
    <n v="7"/>
    <n v="-6"/>
    <n v="6"/>
    <n v="-16"/>
    <n v="16"/>
    <n v="1373.7088463989135"/>
    <n v="1456.296154224781"/>
    <n v="0.45609469748000031"/>
    <n v="80"/>
    <n v="62"/>
    <n v="0"/>
    <n v="18"/>
    <n v="1"/>
    <n v="0.51162265098656001"/>
    <n v="1"/>
    <n v="72.849999999999994"/>
    <n v="72.849999999999994"/>
    <n v="20.272280770633685"/>
    <n v="1393.9811271695471"/>
    <n v="1"/>
    <n v="0"/>
    <n v="0"/>
    <n v="0"/>
    <n v="0"/>
    <n v="0"/>
    <n v="0"/>
    <n v="0"/>
    <n v="0"/>
    <n v="0"/>
  </r>
  <r>
    <d v="2023-07-20T00:00:00"/>
    <n v="2023"/>
    <x v="21"/>
    <s v="R"/>
    <s v="RS"/>
    <x v="10"/>
    <s v="SEA"/>
    <s v="A"/>
    <n v="7"/>
    <n v="7"/>
    <n v="0"/>
    <n v="0"/>
    <n v="0"/>
    <n v="0"/>
    <n v="1734.9005085040642"/>
    <n v="1406.6852924889668"/>
    <n v="0.80310514490293528"/>
    <n v="79"/>
    <n v="63"/>
    <n v="0"/>
    <n v="16"/>
    <n v="1"/>
    <n v="0.40658097905624824"/>
    <n v="1"/>
    <n v="72.7"/>
    <n v="72.7"/>
    <n v="5.819904204937747"/>
    <n v="1740.7204127090019"/>
    <n v="1"/>
    <n v="0"/>
    <n v="0"/>
    <n v="0"/>
    <n v="0"/>
    <n v="0"/>
    <n v="0"/>
    <n v="0"/>
    <n v="0"/>
    <n v="0"/>
  </r>
  <r>
    <d v="2023-07-20T00:00:00"/>
    <n v="2023"/>
    <x v="20"/>
    <s v="R"/>
    <s v="RS"/>
    <x v="11"/>
    <s v="LVA"/>
    <s v="H"/>
    <n v="7"/>
    <n v="7"/>
    <n v="0"/>
    <n v="0"/>
    <n v="0"/>
    <n v="0"/>
    <n v="1406.6852924889668"/>
    <n v="1734.9005085040642"/>
    <n v="0.1968948550970647"/>
    <n v="63"/>
    <n v="79"/>
    <n v="0"/>
    <n v="-16"/>
    <n v="0"/>
    <n v="0.40658097905624824"/>
    <n v="1"/>
    <n v="72.849999999999994"/>
    <n v="72.849999999999994"/>
    <n v="-5.8319122603812206"/>
    <n v="1400.8533802285856"/>
    <n v="0"/>
    <n v="1"/>
    <n v="0"/>
    <n v="0"/>
    <n v="0"/>
    <n v="0"/>
    <n v="0"/>
    <n v="0"/>
    <n v="0"/>
    <n v="0"/>
  </r>
  <r>
    <d v="2023-07-21T00:00:00"/>
    <n v="2023"/>
    <x v="19"/>
    <s v="R"/>
    <s v="RS"/>
    <x v="6"/>
    <s v="WAS"/>
    <s v="A"/>
    <n v="1"/>
    <n v="1"/>
    <n v="0"/>
    <n v="0"/>
    <n v="0"/>
    <n v="0"/>
    <n v="1584.916101285831"/>
    <n v="1527.5528204513255"/>
    <n v="0.46174160840304024"/>
    <n v="96"/>
    <n v="87"/>
    <n v="0"/>
    <n v="9"/>
    <n v="1"/>
    <n v="0.38745034152211122"/>
    <n v="1"/>
    <n v="73"/>
    <n v="73"/>
    <n v="15.224033028551057"/>
    <n v="1600.1401343143821"/>
    <n v="1"/>
    <n v="0"/>
    <n v="0"/>
    <n v="0"/>
    <n v="0"/>
    <n v="0"/>
    <n v="0"/>
    <n v="0"/>
    <n v="0"/>
    <n v="0"/>
  </r>
  <r>
    <d v="2023-07-21T00:00:00"/>
    <n v="2023"/>
    <x v="20"/>
    <s v="R"/>
    <s v="RS"/>
    <x v="7"/>
    <s v="NYL"/>
    <s v="H"/>
    <n v="1"/>
    <n v="1"/>
    <n v="0"/>
    <n v="0"/>
    <n v="0"/>
    <n v="0"/>
    <n v="1527.5528204513255"/>
    <n v="1584.916101285831"/>
    <n v="0.53825839159695976"/>
    <n v="87"/>
    <n v="96"/>
    <n v="0"/>
    <n v="-9"/>
    <n v="0"/>
    <n v="0.38745034152211122"/>
    <n v="1"/>
    <n v="72.849999999999994"/>
    <n v="72.849999999999994"/>
    <n v="-15.192750768903347"/>
    <n v="1512.3600696824221"/>
    <n v="0"/>
    <n v="1"/>
    <n v="0"/>
    <n v="0"/>
    <n v="0"/>
    <n v="0"/>
    <n v="0"/>
    <n v="0"/>
    <n v="0"/>
    <n v="0"/>
  </r>
  <r>
    <d v="2023-07-22T00:00:00"/>
    <n v="2023"/>
    <x v="22"/>
    <s v="R"/>
    <s v="RS"/>
    <x v="0"/>
    <s v="ATL"/>
    <s v="A"/>
    <n v="1"/>
    <n v="1"/>
    <n v="0"/>
    <n v="0"/>
    <n v="0"/>
    <n v="0"/>
    <n v="1639.8359629581512"/>
    <n v="1522.1496800391403"/>
    <n v="0.5483271175401222"/>
    <n v="86"/>
    <n v="78"/>
    <n v="0"/>
    <n v="8"/>
    <n v="1"/>
    <n v="0.35363397801436103"/>
    <n v="1"/>
    <n v="72.55"/>
    <n v="72.55"/>
    <n v="11.588185012357988"/>
    <n v="1651.4241479705092"/>
    <n v="1"/>
    <n v="0"/>
    <n v="0"/>
    <n v="0"/>
    <n v="0"/>
    <n v="0"/>
    <n v="0"/>
    <n v="0"/>
    <n v="0"/>
    <n v="0"/>
  </r>
  <r>
    <d v="2023-07-22T00:00:00"/>
    <n v="2023"/>
    <x v="21"/>
    <s v="R"/>
    <s v="RS"/>
    <x v="8"/>
    <s v="CON"/>
    <s v="H"/>
    <n v="1"/>
    <n v="1"/>
    <n v="0"/>
    <n v="0"/>
    <n v="0"/>
    <n v="0"/>
    <n v="1522.1496800391403"/>
    <n v="1639.8359629581512"/>
    <n v="0.4516728824598778"/>
    <n v="78"/>
    <n v="86"/>
    <n v="0"/>
    <n v="-8"/>
    <n v="0"/>
    <n v="0.35363397801436103"/>
    <n v="1"/>
    <n v="72.7"/>
    <n v="72.7"/>
    <n v="-11.612144044085815"/>
    <n v="1510.5375359950544"/>
    <n v="0"/>
    <n v="1"/>
    <n v="0"/>
    <n v="0"/>
    <n v="0"/>
    <n v="0"/>
    <n v="0"/>
    <n v="0"/>
    <n v="0"/>
    <n v="0"/>
  </r>
  <r>
    <d v="2023-07-22T00:00:00"/>
    <n v="2023"/>
    <x v="21"/>
    <s v="R"/>
    <s v="RS"/>
    <x v="3"/>
    <s v="DAL"/>
    <s v="A"/>
    <n v="1"/>
    <n v="2"/>
    <n v="-1"/>
    <n v="1"/>
    <n v="-8"/>
    <n v="8"/>
    <n v="1377.8557235536007"/>
    <n v="1563.6698571490149"/>
    <n v="0.16174810769062697"/>
    <n v="84"/>
    <n v="98"/>
    <n v="0"/>
    <n v="-14"/>
    <n v="0"/>
    <n v="0.4222281401639601"/>
    <n v="1"/>
    <n v="72.7"/>
    <n v="72.7"/>
    <n v="-4.9650176152179188"/>
    <n v="1372.8907059383828"/>
    <n v="0"/>
    <n v="1"/>
    <n v="0"/>
    <n v="0"/>
    <n v="0"/>
    <n v="0"/>
    <n v="0"/>
    <n v="0"/>
    <n v="0"/>
    <n v="0"/>
  </r>
  <r>
    <d v="2023-07-22T00:00:00"/>
    <n v="2023"/>
    <x v="21"/>
    <s v="R"/>
    <s v="RS"/>
    <x v="9"/>
    <s v="LAS"/>
    <s v="H"/>
    <n v="2"/>
    <n v="1"/>
    <n v="1"/>
    <n v="-1"/>
    <n v="8"/>
    <n v="-8"/>
    <n v="1563.6698571490149"/>
    <n v="1377.8557235536007"/>
    <n v="0.83825189230937303"/>
    <n v="98"/>
    <n v="84"/>
    <n v="0"/>
    <n v="14"/>
    <n v="1"/>
    <n v="0.4222281401639601"/>
    <n v="1"/>
    <n v="72.7"/>
    <n v="72.7"/>
    <n v="4.9650176152179188"/>
    <n v="1568.6348747642328"/>
    <n v="1"/>
    <n v="0"/>
    <n v="0"/>
    <n v="0"/>
    <n v="0"/>
    <n v="0"/>
    <n v="0"/>
    <n v="0"/>
    <n v="0"/>
    <n v="0"/>
  </r>
  <r>
    <d v="2023-07-22T00:00:00"/>
    <n v="2023"/>
    <x v="22"/>
    <s v="R"/>
    <s v="RS"/>
    <x v="10"/>
    <s v="MIN"/>
    <s v="A"/>
    <n v="1"/>
    <n v="1"/>
    <n v="0"/>
    <n v="0"/>
    <n v="0"/>
    <n v="0"/>
    <n v="1740.7204127090019"/>
    <n v="1447.50816091448"/>
    <n v="0.76929284497849404"/>
    <n v="98"/>
    <n v="81"/>
    <n v="0"/>
    <n v="17"/>
    <n v="1"/>
    <n v="0.4278899279928482"/>
    <n v="1"/>
    <n v="72.55"/>
    <n v="72.55"/>
    <n v="7.1619377897425407"/>
    <n v="1747.8823504987445"/>
    <n v="1"/>
    <n v="0"/>
    <n v="0"/>
    <n v="0"/>
    <n v="0"/>
    <n v="0"/>
    <n v="0"/>
    <n v="0"/>
    <n v="0"/>
    <n v="0"/>
  </r>
  <r>
    <d v="2023-07-22T00:00:00"/>
    <n v="2023"/>
    <x v="22"/>
    <s v="R"/>
    <s v="RS"/>
    <x v="5"/>
    <s v="LVA"/>
    <s v="H"/>
    <n v="1"/>
    <n v="1"/>
    <n v="0"/>
    <n v="0"/>
    <n v="0"/>
    <n v="0"/>
    <n v="1447.50816091448"/>
    <n v="1740.7204127090019"/>
    <n v="0.23070715502150607"/>
    <n v="81"/>
    <n v="98"/>
    <n v="0"/>
    <n v="-17"/>
    <n v="0"/>
    <n v="0.4278899279928482"/>
    <n v="1"/>
    <n v="72.55"/>
    <n v="72.55"/>
    <n v="-7.1619377897425442"/>
    <n v="1440.3462231247374"/>
    <n v="0"/>
    <n v="1"/>
    <n v="0"/>
    <n v="0"/>
    <n v="0"/>
    <n v="0"/>
    <n v="0"/>
    <n v="0"/>
    <n v="0"/>
    <n v="0"/>
  </r>
  <r>
    <d v="2023-07-22T00:00:00"/>
    <n v="2023"/>
    <x v="21"/>
    <s v="R"/>
    <s v="RS"/>
    <x v="4"/>
    <s v="SEA"/>
    <s v="A"/>
    <n v="1"/>
    <n v="1"/>
    <n v="0"/>
    <n v="0"/>
    <n v="0"/>
    <n v="0"/>
    <n v="1436.0238734541474"/>
    <n v="1400.8533802285856"/>
    <n v="0.4301877361040799"/>
    <n v="90"/>
    <n v="75"/>
    <n v="0"/>
    <n v="15"/>
    <n v="1"/>
    <n v="0.48852983208717449"/>
    <n v="1"/>
    <n v="72.7"/>
    <n v="72.7"/>
    <n v="20.237520054086236"/>
    <n v="1456.2613935082336"/>
    <n v="1"/>
    <n v="0"/>
    <n v="0"/>
    <n v="0"/>
    <n v="0"/>
    <n v="0"/>
    <n v="0"/>
    <n v="0"/>
    <n v="0"/>
    <n v="0"/>
  </r>
  <r>
    <d v="2023-07-22T00:00:00"/>
    <n v="2023"/>
    <x v="21"/>
    <s v="R"/>
    <s v="RS"/>
    <x v="11"/>
    <s v="CHI"/>
    <s v="H"/>
    <n v="1"/>
    <n v="1"/>
    <n v="0"/>
    <n v="0"/>
    <n v="0"/>
    <n v="0"/>
    <n v="1400.8533802285856"/>
    <n v="1436.0238734541474"/>
    <n v="0.5698122638959201"/>
    <n v="75"/>
    <n v="90"/>
    <n v="0"/>
    <n v="-15"/>
    <n v="0"/>
    <n v="0.48852983208717449"/>
    <n v="1"/>
    <n v="72.7"/>
    <n v="72.7"/>
    <n v="-20.237520054086236"/>
    <n v="1380.6158601744994"/>
    <n v="0"/>
    <n v="1"/>
    <n v="0"/>
    <n v="0"/>
    <n v="0"/>
    <n v="0"/>
    <n v="0"/>
    <n v="0"/>
    <n v="0"/>
    <n v="0"/>
  </r>
  <r>
    <d v="2023-07-23T00:00:00"/>
    <n v="2023"/>
    <x v="21"/>
    <s v="R"/>
    <s v="RS"/>
    <x v="1"/>
    <s v="NYL"/>
    <s v="A"/>
    <n v="3"/>
    <n v="1"/>
    <n v="2"/>
    <n v="-2"/>
    <n v="16"/>
    <n v="-16"/>
    <n v="1365.506863194385"/>
    <n v="1600.1401343143821"/>
    <n v="0.16110979521728752"/>
    <n v="83"/>
    <n v="101"/>
    <n v="0"/>
    <n v="-18"/>
    <n v="0"/>
    <n v="0.45739962383508592"/>
    <n v="1"/>
    <n v="72.7"/>
    <n v="72.7"/>
    <n v="-5.3573763922644977"/>
    <n v="1360.1494868021205"/>
    <n v="0"/>
    <n v="1"/>
    <n v="0"/>
    <n v="0"/>
    <n v="0"/>
    <n v="0"/>
    <n v="0"/>
    <n v="0"/>
    <n v="0"/>
    <n v="0"/>
  </r>
  <r>
    <d v="2023-07-23T00:00:00"/>
    <n v="2023"/>
    <x v="20"/>
    <s v="R"/>
    <s v="RS"/>
    <x v="6"/>
    <s v="IND"/>
    <s v="H"/>
    <n v="1"/>
    <n v="3"/>
    <n v="-2"/>
    <n v="2"/>
    <n v="-16"/>
    <n v="16"/>
    <n v="1600.1401343143821"/>
    <n v="1365.506863194385"/>
    <n v="0.83889020478271248"/>
    <n v="101"/>
    <n v="83"/>
    <n v="0"/>
    <n v="18"/>
    <n v="1"/>
    <n v="0.45739962383508592"/>
    <n v="1"/>
    <n v="72.849999999999994"/>
    <n v="72.849999999999994"/>
    <n v="5.3684301262237772"/>
    <n v="1605.5085644406058"/>
    <n v="1"/>
    <n v="0"/>
    <n v="0"/>
    <n v="0"/>
    <n v="0"/>
    <n v="0"/>
    <n v="0"/>
    <n v="0"/>
    <n v="0"/>
    <n v="0"/>
  </r>
  <r>
    <d v="2023-07-23T00:00:00"/>
    <n v="2023"/>
    <x v="21"/>
    <s v="R"/>
    <s v="RS"/>
    <x v="2"/>
    <s v="WAS"/>
    <s v="A"/>
    <n v="2"/>
    <n v="1"/>
    <n v="1"/>
    <n v="-1"/>
    <n v="8"/>
    <n v="-8"/>
    <n v="1393.9811271695471"/>
    <n v="1512.3600696824221"/>
    <n v="0.25485512109055325"/>
    <n v="69"/>
    <n v="84"/>
    <n v="0"/>
    <n v="-15"/>
    <n v="0"/>
    <n v="0.45769665624693739"/>
    <n v="1"/>
    <n v="72.7"/>
    <n v="72.7"/>
    <n v="-8.4801886817653163"/>
    <n v="1385.5009384877817"/>
    <n v="0"/>
    <n v="1"/>
    <n v="0"/>
    <n v="0"/>
    <n v="0"/>
    <n v="0"/>
    <n v="0"/>
    <n v="0"/>
    <n v="0"/>
    <n v="0"/>
  </r>
  <r>
    <d v="2023-07-23T00:00:00"/>
    <n v="2023"/>
    <x v="21"/>
    <s v="R"/>
    <s v="RS"/>
    <x v="7"/>
    <s v="PHX"/>
    <s v="H"/>
    <n v="1"/>
    <n v="2"/>
    <n v="-1"/>
    <n v="1"/>
    <n v="-8"/>
    <n v="8"/>
    <n v="1512.3600696824221"/>
    <n v="1393.9811271695471"/>
    <n v="0.74514487890944681"/>
    <n v="84"/>
    <n v="69"/>
    <n v="0"/>
    <n v="15"/>
    <n v="1"/>
    <n v="0.45769665624693739"/>
    <n v="1"/>
    <n v="72.7"/>
    <n v="72.7"/>
    <n v="8.4801886817653145"/>
    <n v="1520.8402583641875"/>
    <n v="1"/>
    <n v="0"/>
    <n v="0"/>
    <n v="0"/>
    <n v="0"/>
    <n v="0"/>
    <n v="0"/>
    <n v="0"/>
    <n v="0"/>
    <n v="0"/>
  </r>
  <r>
    <d v="2023-07-25T00:00:00"/>
    <n v="2023"/>
    <x v="22"/>
    <s v="R"/>
    <s v="RS"/>
    <x v="2"/>
    <s v="ATL"/>
    <s v="A"/>
    <n v="1"/>
    <n v="2"/>
    <n v="-1"/>
    <n v="1"/>
    <n v="-8"/>
    <n v="8"/>
    <n v="1385.5009384877817"/>
    <n v="1510.5375359950544"/>
    <n v="0.21493771214918903"/>
    <n v="65"/>
    <n v="78"/>
    <n v="0"/>
    <n v="-13"/>
    <n v="0"/>
    <n v="0.42749951800771452"/>
    <n v="1"/>
    <n v="72.55"/>
    <n v="72.55"/>
    <n v="-6.6663124934630638"/>
    <n v="1378.8346259943187"/>
    <n v="0"/>
    <n v="1"/>
    <n v="0"/>
    <n v="0"/>
    <n v="0"/>
    <n v="0"/>
    <n v="0"/>
    <n v="0"/>
    <n v="0"/>
    <n v="0"/>
  </r>
  <r>
    <d v="2023-07-25T00:00:00"/>
    <n v="2023"/>
    <x v="22"/>
    <s v="R"/>
    <s v="RS"/>
    <x v="8"/>
    <s v="PHX"/>
    <s v="H"/>
    <n v="2"/>
    <n v="1"/>
    <n v="1"/>
    <n v="-1"/>
    <n v="8"/>
    <n v="-8"/>
    <n v="1510.5375359950544"/>
    <n v="1385.5009384877817"/>
    <n v="0.785062287850811"/>
    <n v="78"/>
    <n v="65"/>
    <n v="0"/>
    <n v="13"/>
    <n v="1"/>
    <n v="0.42749951800771452"/>
    <n v="1"/>
    <n v="72.55"/>
    <n v="72.55"/>
    <n v="6.6663124934630629"/>
    <n v="1517.2038484885175"/>
    <n v="1"/>
    <n v="0"/>
    <n v="0"/>
    <n v="0"/>
    <n v="0"/>
    <n v="0"/>
    <n v="0"/>
    <n v="0"/>
    <n v="0"/>
    <n v="0"/>
  </r>
  <r>
    <d v="2023-07-25T00:00:00"/>
    <n v="2023"/>
    <x v="23"/>
    <s v="R"/>
    <s v="RS"/>
    <x v="10"/>
    <s v="CHI"/>
    <s v="A"/>
    <n v="2"/>
    <n v="2"/>
    <n v="0"/>
    <n v="0"/>
    <n v="0"/>
    <n v="0"/>
    <n v="1747.8823504987445"/>
    <n v="1456.2613935082336"/>
    <n v="0.76766306608583579"/>
    <n v="107"/>
    <n v="95"/>
    <n v="0"/>
    <n v="12"/>
    <n v="1"/>
    <n v="0.36695336648808624"/>
    <n v="1"/>
    <n v="72.400000000000006"/>
    <n v="72.400000000000006"/>
    <n v="6.1725937722949551"/>
    <n v="1754.0549442710394"/>
    <n v="1"/>
    <n v="0"/>
    <n v="0"/>
    <n v="0"/>
    <n v="0"/>
    <n v="0"/>
    <n v="0"/>
    <n v="0"/>
    <n v="0"/>
    <n v="0"/>
  </r>
  <r>
    <d v="2023-07-25T00:00:00"/>
    <n v="2023"/>
    <x v="22"/>
    <s v="R"/>
    <s v="RS"/>
    <x v="4"/>
    <s v="LVA"/>
    <s v="H"/>
    <n v="2"/>
    <n v="2"/>
    <n v="0"/>
    <n v="0"/>
    <n v="0"/>
    <n v="0"/>
    <n v="1456.2613935082336"/>
    <n v="1747.8823504987445"/>
    <n v="0.23233693391416418"/>
    <n v="95"/>
    <n v="107"/>
    <n v="0"/>
    <n v="-12"/>
    <n v="0"/>
    <n v="0.36695336648808624"/>
    <n v="1"/>
    <n v="72.55"/>
    <n v="72.55"/>
    <n v="-6.1853822953038522"/>
    <n v="1450.0760112129296"/>
    <n v="0"/>
    <n v="1"/>
    <n v="0"/>
    <n v="0"/>
    <n v="0"/>
    <n v="0"/>
    <n v="0"/>
    <n v="0"/>
    <n v="0"/>
    <n v="0"/>
  </r>
  <r>
    <d v="2023-07-25T00:00:00"/>
    <n v="2023"/>
    <x v="23"/>
    <s v="R"/>
    <s v="RS"/>
    <x v="0"/>
    <s v="DAL"/>
    <s v="A"/>
    <n v="2"/>
    <n v="2"/>
    <n v="0"/>
    <n v="0"/>
    <n v="0"/>
    <n v="0"/>
    <n v="1651.4241479705092"/>
    <n v="1568.6348747642328"/>
    <n v="0.49825763113598764"/>
    <n v="88"/>
    <n v="83"/>
    <n v="0"/>
    <n v="5"/>
    <n v="1"/>
    <n v="0.31034494820684427"/>
    <n v="1"/>
    <n v="72.400000000000006"/>
    <n v="72.400000000000006"/>
    <n v="11.273636366227565"/>
    <n v="1662.6977843367367"/>
    <n v="1"/>
    <n v="0"/>
    <n v="0"/>
    <n v="0"/>
    <n v="0"/>
    <n v="0"/>
    <n v="0"/>
    <n v="0"/>
    <n v="0"/>
    <n v="0"/>
  </r>
  <r>
    <d v="2023-07-25T00:00:00"/>
    <n v="2023"/>
    <x v="22"/>
    <s v="R"/>
    <s v="RS"/>
    <x v="9"/>
    <s v="CON"/>
    <s v="H"/>
    <n v="2"/>
    <n v="2"/>
    <n v="0"/>
    <n v="0"/>
    <n v="0"/>
    <n v="0"/>
    <n v="1568.6348747642328"/>
    <n v="1651.4241479705092"/>
    <n v="0.50174236886401247"/>
    <n v="83"/>
    <n v="88"/>
    <n v="0"/>
    <n v="-5"/>
    <n v="0"/>
    <n v="0.31034494820684427"/>
    <n v="1"/>
    <n v="72.55"/>
    <n v="72.55"/>
    <n v="-11.296993347649309"/>
    <n v="1557.3378814165835"/>
    <n v="0"/>
    <n v="1"/>
    <n v="0"/>
    <n v="0"/>
    <n v="0"/>
    <n v="0"/>
    <n v="0"/>
    <n v="0"/>
    <n v="0"/>
    <n v="0"/>
  </r>
  <r>
    <d v="2023-07-25T00:00:00"/>
    <n v="2023"/>
    <x v="22"/>
    <s v="R"/>
    <s v="RS"/>
    <x v="1"/>
    <s v="LAS"/>
    <s v="A"/>
    <n v="1"/>
    <n v="2"/>
    <n v="-1"/>
    <n v="1"/>
    <n v="-8"/>
    <n v="8"/>
    <n v="1360.1494868021205"/>
    <n v="1372.8907059383828"/>
    <n v="0.34321703340134019"/>
    <n v="78"/>
    <n v="79"/>
    <n v="0"/>
    <n v="-1"/>
    <n v="0"/>
    <n v="0.24161428714944108"/>
    <n v="1"/>
    <n v="72.55"/>
    <n v="72.55"/>
    <n v="-6.0162913744969178"/>
    <n v="1354.1331954276236"/>
    <n v="0"/>
    <n v="1"/>
    <n v="0"/>
    <n v="0"/>
    <n v="0"/>
    <n v="0"/>
    <n v="0"/>
    <n v="0"/>
    <n v="0"/>
    <n v="0"/>
  </r>
  <r>
    <d v="2023-07-25T00:00:00"/>
    <n v="2023"/>
    <x v="22"/>
    <s v="R"/>
    <s v="RS"/>
    <x v="3"/>
    <s v="IND"/>
    <s v="H"/>
    <n v="2"/>
    <n v="1"/>
    <n v="1"/>
    <n v="-1"/>
    <n v="8"/>
    <n v="-8"/>
    <n v="1372.8907059383828"/>
    <n v="1360.1494868021205"/>
    <n v="0.65678296659865976"/>
    <n v="79"/>
    <n v="78"/>
    <n v="0"/>
    <n v="1"/>
    <n v="1"/>
    <n v="0.24161428714944108"/>
    <n v="1"/>
    <n v="72.55"/>
    <n v="72.55"/>
    <n v="6.0162913744969186"/>
    <n v="1378.9069973128796"/>
    <n v="1"/>
    <n v="0"/>
    <n v="0"/>
    <n v="0"/>
    <n v="0"/>
    <n v="0"/>
    <n v="0"/>
    <n v="0"/>
    <n v="0"/>
    <n v="0"/>
  </r>
  <r>
    <d v="2023-07-25T00:00:00"/>
    <n v="2023"/>
    <x v="22"/>
    <s v="R"/>
    <s v="RS"/>
    <x v="11"/>
    <s v="NYL"/>
    <s v="A"/>
    <n v="2"/>
    <n v="1"/>
    <n v="1"/>
    <n v="-1"/>
    <n v="8"/>
    <n v="-8"/>
    <n v="1380.6158601744994"/>
    <n v="1605.5085644406058"/>
    <n v="0.15629918333148315"/>
    <n v="82"/>
    <n v="86"/>
    <n v="0"/>
    <n v="-4"/>
    <n v="0"/>
    <n v="0.2622788935375594"/>
    <n v="1"/>
    <n v="72.55"/>
    <n v="72.55"/>
    <n v="-2.9741130215561524"/>
    <n v="1377.6417471529433"/>
    <n v="0"/>
    <n v="1"/>
    <n v="0"/>
    <n v="0"/>
    <n v="0"/>
    <n v="0"/>
    <n v="0"/>
    <n v="0"/>
    <n v="0"/>
    <n v="0"/>
  </r>
  <r>
    <d v="2023-07-25T00:00:00"/>
    <n v="2023"/>
    <x v="21"/>
    <s v="R"/>
    <s v="RS"/>
    <x v="6"/>
    <s v="SEA"/>
    <s v="H"/>
    <n v="1"/>
    <n v="2"/>
    <n v="-1"/>
    <n v="1"/>
    <n v="-8"/>
    <n v="8"/>
    <n v="1605.5085644406058"/>
    <n v="1380.6158601744994"/>
    <n v="0.84370081666851682"/>
    <n v="86"/>
    <n v="82"/>
    <n v="0"/>
    <n v="4"/>
    <n v="1"/>
    <n v="0.2622788935375594"/>
    <n v="1"/>
    <n v="72.7"/>
    <n v="72.7"/>
    <n v="2.9802621180859039"/>
    <n v="1608.4888265586917"/>
    <n v="1"/>
    <n v="0"/>
    <n v="0"/>
    <n v="0"/>
    <n v="0"/>
    <n v="0"/>
    <n v="0"/>
    <n v="0"/>
    <n v="0"/>
    <n v="0"/>
  </r>
  <r>
    <d v="2023-07-26T00:00:00"/>
    <n v="2023"/>
    <x v="22"/>
    <s v="R"/>
    <s v="RS"/>
    <x v="7"/>
    <s v="MIN"/>
    <s v="A"/>
    <n v="2"/>
    <n v="3"/>
    <n v="-1"/>
    <n v="1"/>
    <n v="-8"/>
    <n v="8"/>
    <n v="1520.8402583641875"/>
    <n v="1440.3462231247374"/>
    <n v="0.47195811668593785"/>
    <n v="92"/>
    <n v="97"/>
    <n v="0"/>
    <n v="-5"/>
    <n v="0"/>
    <n v="0.31090122999210373"/>
    <n v="1"/>
    <n v="72.55"/>
    <n v="72.55"/>
    <n v="-10.6454326441742"/>
    <n v="1510.1948257200133"/>
    <n v="0"/>
    <n v="1"/>
    <n v="0"/>
    <n v="0"/>
    <n v="0"/>
    <n v="0"/>
    <n v="0"/>
    <n v="0"/>
    <n v="0"/>
    <n v="0"/>
  </r>
  <r>
    <d v="2023-07-26T00:00:00"/>
    <n v="2023"/>
    <x v="23"/>
    <s v="R"/>
    <s v="RS"/>
    <x v="5"/>
    <s v="WAS"/>
    <s v="H"/>
    <n v="3"/>
    <n v="2"/>
    <n v="1"/>
    <n v="-1"/>
    <n v="8"/>
    <n v="-8"/>
    <n v="1440.3462231247374"/>
    <n v="1520.8402583641875"/>
    <n v="0.52804188331406221"/>
    <n v="97"/>
    <n v="92"/>
    <n v="0"/>
    <n v="5"/>
    <n v="1"/>
    <n v="0.31090122999210373"/>
    <n v="1"/>
    <n v="72.400000000000006"/>
    <n v="72.400000000000006"/>
    <n v="10.623422790326838"/>
    <n v="1450.9696459150643"/>
    <n v="1"/>
    <n v="0"/>
    <n v="0"/>
    <n v="0"/>
    <n v="0"/>
    <n v="0"/>
    <n v="0"/>
    <n v="0"/>
    <n v="0"/>
    <n v="0"/>
  </r>
  <r>
    <d v="2023-07-27T00:00:00"/>
    <n v="2023"/>
    <x v="23"/>
    <s v="R"/>
    <s v="RS"/>
    <x v="1"/>
    <s v="LAS"/>
    <s v="A"/>
    <n v="1"/>
    <n v="1"/>
    <n v="0"/>
    <n v="0"/>
    <n v="0"/>
    <n v="0"/>
    <n v="1354.1331954276236"/>
    <n v="1378.9069973128796"/>
    <n v="0.34838349486223263"/>
    <n v="68"/>
    <n v="81"/>
    <n v="0"/>
    <n v="-13"/>
    <n v="0"/>
    <n v="0.4624956101322697"/>
    <n v="1"/>
    <n v="72.400000000000006"/>
    <n v="72.400000000000006"/>
    <n v="-11.665510599981623"/>
    <n v="1342.467684827642"/>
    <n v="0"/>
    <n v="1"/>
    <n v="0"/>
    <n v="0"/>
    <n v="0"/>
    <n v="0"/>
    <n v="0"/>
    <n v="0"/>
    <n v="0"/>
    <n v="0"/>
  </r>
  <r>
    <d v="2023-07-27T00:00:00"/>
    <n v="2023"/>
    <x v="23"/>
    <s v="R"/>
    <s v="RS"/>
    <x v="3"/>
    <s v="IND"/>
    <s v="H"/>
    <n v="1"/>
    <n v="1"/>
    <n v="0"/>
    <n v="0"/>
    <n v="0"/>
    <n v="0"/>
    <n v="1378.9069973128796"/>
    <n v="1354.1331954276236"/>
    <n v="0.65161650513776748"/>
    <n v="81"/>
    <n v="68"/>
    <n v="0"/>
    <n v="13"/>
    <n v="1"/>
    <n v="0.4624956101322697"/>
    <n v="1"/>
    <n v="72.400000000000006"/>
    <n v="72.400000000000006"/>
    <n v="11.665510599981619"/>
    <n v="1390.5725079128613"/>
    <n v="1"/>
    <n v="0"/>
    <n v="0"/>
    <n v="0"/>
    <n v="0"/>
    <n v="0"/>
    <n v="0"/>
    <n v="0"/>
    <n v="0"/>
    <n v="0"/>
  </r>
  <r>
    <d v="2023-07-27T00:00:00"/>
    <n v="2023"/>
    <x v="23"/>
    <s v="R"/>
    <s v="RS"/>
    <x v="8"/>
    <s v="NYL"/>
    <s v="A"/>
    <n v="1"/>
    <n v="1"/>
    <n v="0"/>
    <n v="0"/>
    <n v="0"/>
    <n v="0"/>
    <n v="1517.2038484885175"/>
    <n v="1608.4888265586917"/>
    <n v="0.26717139944230756"/>
    <n v="84"/>
    <n v="95"/>
    <n v="0"/>
    <n v="-11"/>
    <n v="0"/>
    <n v="0.4087425884082998"/>
    <n v="1"/>
    <n v="72.400000000000006"/>
    <n v="72.400000000000006"/>
    <n v="-7.9063934454262812"/>
    <n v="1509.2974550430911"/>
    <n v="0"/>
    <n v="1"/>
    <n v="0"/>
    <n v="0"/>
    <n v="0"/>
    <n v="0"/>
    <n v="0"/>
    <n v="0"/>
    <n v="0"/>
    <n v="0"/>
  </r>
  <r>
    <d v="2023-07-27T00:00:00"/>
    <n v="2023"/>
    <x v="22"/>
    <s v="R"/>
    <s v="RS"/>
    <x v="6"/>
    <s v="ATL"/>
    <s v="H"/>
    <n v="1"/>
    <n v="1"/>
    <n v="0"/>
    <n v="0"/>
    <n v="0"/>
    <n v="0"/>
    <n v="1608.4888265586917"/>
    <n v="1517.2038484885175"/>
    <n v="0.73282860055769239"/>
    <n v="95"/>
    <n v="84"/>
    <n v="0"/>
    <n v="11"/>
    <n v="1"/>
    <n v="0.4087425884082998"/>
    <n v="1"/>
    <n v="72.55"/>
    <n v="72.55"/>
    <n v="7.9227740948297889"/>
    <n v="1616.4116006535214"/>
    <n v="1"/>
    <n v="0"/>
    <n v="0"/>
    <n v="0"/>
    <n v="0"/>
    <n v="0"/>
    <n v="0"/>
    <n v="0"/>
    <n v="0"/>
    <n v="0"/>
  </r>
  <r>
    <d v="2023-07-28T00:00:00"/>
    <n v="2023"/>
    <x v="23"/>
    <s v="R"/>
    <s v="RS"/>
    <x v="11"/>
    <s v="CHI"/>
    <s v="A"/>
    <n v="2"/>
    <n v="2"/>
    <n v="0"/>
    <n v="0"/>
    <n v="0"/>
    <n v="0"/>
    <n v="1377.6417471529433"/>
    <n v="1450.0760112129296"/>
    <n v="0.2889461121172151"/>
    <n v="83"/>
    <n v="74"/>
    <n v="0"/>
    <n v="9"/>
    <n v="1"/>
    <n v="0.38286129691468673"/>
    <n v="1"/>
    <n v="72.400000000000006"/>
    <n v="72.400000000000006"/>
    <n v="19.709814991230811"/>
    <n v="1397.3515621441741"/>
    <n v="1"/>
    <n v="0"/>
    <n v="0"/>
    <n v="0"/>
    <n v="0"/>
    <n v="0"/>
    <n v="0"/>
    <n v="0"/>
    <n v="0"/>
    <n v="0"/>
  </r>
  <r>
    <d v="2023-07-28T00:00:00"/>
    <n v="2023"/>
    <x v="23"/>
    <s v="R"/>
    <s v="RS"/>
    <x v="4"/>
    <s v="SEA"/>
    <s v="H"/>
    <n v="2"/>
    <n v="2"/>
    <n v="0"/>
    <n v="0"/>
    <n v="0"/>
    <n v="0"/>
    <n v="1450.0760112129296"/>
    <n v="1377.6417471529433"/>
    <n v="0.7110538878827849"/>
    <n v="74"/>
    <n v="83"/>
    <n v="0"/>
    <n v="-9"/>
    <n v="0"/>
    <n v="0.38286129691468673"/>
    <n v="1"/>
    <n v="72.400000000000006"/>
    <n v="72.400000000000006"/>
    <n v="-19.709814991230811"/>
    <n v="1430.3661962216988"/>
    <n v="0"/>
    <n v="1"/>
    <n v="0"/>
    <n v="0"/>
    <n v="0"/>
    <n v="0"/>
    <n v="0"/>
    <n v="0"/>
    <n v="0"/>
    <n v="0"/>
  </r>
  <r>
    <d v="2023-07-28T00:00:00"/>
    <n v="2023"/>
    <x v="23"/>
    <s v="R"/>
    <s v="RS"/>
    <x v="7"/>
    <s v="DAL"/>
    <s v="A"/>
    <n v="1"/>
    <n v="2"/>
    <n v="-1"/>
    <n v="1"/>
    <n v="-8"/>
    <n v="8"/>
    <n v="1510.1948257200133"/>
    <n v="1557.3378814165835"/>
    <n v="0.30005761538536718"/>
    <n v="62"/>
    <n v="90"/>
    <n v="0"/>
    <n v="-28"/>
    <n v="0"/>
    <n v="0.65341950016321926"/>
    <n v="1"/>
    <n v="72.400000000000006"/>
    <n v="72.400000000000006"/>
    <n v="-14.194997187525846"/>
    <n v="1495.9998285324875"/>
    <n v="0"/>
    <n v="1"/>
    <n v="0"/>
    <n v="0"/>
    <n v="0"/>
    <n v="0"/>
    <n v="0"/>
    <n v="0"/>
    <n v="0"/>
    <n v="0"/>
  </r>
  <r>
    <d v="2023-07-28T00:00:00"/>
    <n v="2023"/>
    <x v="23"/>
    <s v="R"/>
    <s v="RS"/>
    <x v="9"/>
    <s v="WAS"/>
    <s v="H"/>
    <n v="2"/>
    <n v="1"/>
    <n v="1"/>
    <n v="-1"/>
    <n v="8"/>
    <n v="-8"/>
    <n v="1557.3378814165835"/>
    <n v="1510.1948257200133"/>
    <n v="0.69994238461463287"/>
    <n v="90"/>
    <n v="62"/>
    <n v="0"/>
    <n v="28"/>
    <n v="1"/>
    <n v="0.65341950016321926"/>
    <n v="1"/>
    <n v="72.400000000000006"/>
    <n v="72.400000000000006"/>
    <n v="14.194997187525844"/>
    <n v="1571.5328786041093"/>
    <n v="1"/>
    <n v="0"/>
    <n v="0"/>
    <n v="0"/>
    <n v="0"/>
    <n v="0"/>
    <n v="0"/>
    <n v="0"/>
    <n v="0"/>
    <n v="0"/>
  </r>
  <r>
    <d v="2023-07-28T00:00:00"/>
    <n v="2023"/>
    <x v="24"/>
    <s v="R"/>
    <s v="RS"/>
    <x v="5"/>
    <s v="NYL"/>
    <s v="A"/>
    <n v="1"/>
    <n v="0"/>
    <n v="1"/>
    <n v="-1"/>
    <n v="8"/>
    <n v="-8"/>
    <n v="1450.9696459150643"/>
    <n v="1616.4116006535214"/>
    <n v="0.20688585882373695"/>
    <n v="88"/>
    <n v="83"/>
    <n v="0"/>
    <n v="5"/>
    <n v="1"/>
    <n v="0.29155920482152792"/>
    <n v="1"/>
    <n v="72.25"/>
    <n v="72.25"/>
    <n v="16.707070372135856"/>
    <n v="1467.6767162872002"/>
    <n v="1"/>
    <n v="0"/>
    <n v="0"/>
    <n v="0"/>
    <n v="0"/>
    <n v="0"/>
    <n v="0"/>
    <n v="0"/>
    <n v="0"/>
    <n v="0"/>
  </r>
  <r>
    <d v="2023-07-28T00:00:00"/>
    <n v="2023"/>
    <x v="23"/>
    <s v="R"/>
    <s v="RS"/>
    <x v="6"/>
    <s v="MIN"/>
    <s v="H"/>
    <n v="0"/>
    <n v="1"/>
    <n v="-1"/>
    <n v="1"/>
    <n v="-8"/>
    <n v="8"/>
    <n v="1616.4116006535214"/>
    <n v="1450.9696459150643"/>
    <n v="0.793114141176263"/>
    <n v="83"/>
    <n v="88"/>
    <n v="0"/>
    <n v="-5"/>
    <n v="0"/>
    <n v="0.29155920482152792"/>
    <n v="1"/>
    <n v="72.400000000000006"/>
    <n v="72.400000000000006"/>
    <n v="-16.741756331385965"/>
    <n v="1599.6698443221355"/>
    <n v="0"/>
    <n v="1"/>
    <n v="0"/>
    <n v="0"/>
    <n v="0"/>
    <n v="0"/>
    <n v="0"/>
    <n v="0"/>
    <n v="0"/>
    <n v="0"/>
  </r>
  <r>
    <d v="2023-07-30T00:00:00"/>
    <n v="2023"/>
    <x v="24"/>
    <s v="R"/>
    <s v="RS"/>
    <x v="7"/>
    <s v="ATL"/>
    <s v="A"/>
    <n v="1"/>
    <n v="2"/>
    <n v="-1"/>
    <n v="1"/>
    <n v="-8"/>
    <n v="8"/>
    <n v="1495.9998285324875"/>
    <n v="1509.2974550430911"/>
    <n v="0.34249539292506698"/>
    <n v="73"/>
    <n v="80"/>
    <n v="0"/>
    <n v="-7"/>
    <n v="0"/>
    <n v="0.36605083310175135"/>
    <n v="1"/>
    <n v="72.25"/>
    <n v="72.25"/>
    <n v="-9.0580348027671675"/>
    <n v="1486.9417937297203"/>
    <n v="0"/>
    <n v="1"/>
    <n v="0"/>
    <n v="0"/>
    <n v="0"/>
    <n v="0"/>
    <n v="0"/>
    <n v="0"/>
    <n v="0"/>
    <n v="0"/>
  </r>
  <r>
    <d v="2023-07-30T00:00:00"/>
    <n v="2023"/>
    <x v="24"/>
    <s v="R"/>
    <s v="RS"/>
    <x v="8"/>
    <s v="WAS"/>
    <s v="H"/>
    <n v="2"/>
    <n v="1"/>
    <n v="1"/>
    <n v="-1"/>
    <n v="8"/>
    <n v="-8"/>
    <n v="1509.2974550430911"/>
    <n v="1495.9998285324875"/>
    <n v="0.65750460707493297"/>
    <n v="80"/>
    <n v="73"/>
    <n v="0"/>
    <n v="7"/>
    <n v="1"/>
    <n v="0.36605083310175135"/>
    <n v="1"/>
    <n v="72.25"/>
    <n v="72.25"/>
    <n v="9.0580348027671693"/>
    <n v="1518.3554898458583"/>
    <n v="1"/>
    <n v="0"/>
    <n v="0"/>
    <n v="0"/>
    <n v="0"/>
    <n v="0"/>
    <n v="0"/>
    <n v="0"/>
    <n v="0"/>
    <n v="0"/>
  </r>
  <r>
    <d v="2023-07-30T00:00:00"/>
    <n v="2023"/>
    <x v="23"/>
    <s v="R"/>
    <s v="RS"/>
    <x v="2"/>
    <s v="CHI"/>
    <s v="A"/>
    <n v="4"/>
    <n v="1"/>
    <n v="3"/>
    <n v="-3"/>
    <n v="16"/>
    <n v="-16"/>
    <n v="1378.8346259943187"/>
    <n v="1430.3661962216988"/>
    <n v="0.35526494597539954"/>
    <n v="85"/>
    <n v="104"/>
    <n v="0"/>
    <n v="-19"/>
    <n v="0"/>
    <n v="0.53787942971779501"/>
    <n v="1"/>
    <n v="72.400000000000006"/>
    <n v="72.400000000000006"/>
    <n v="-13.834894753493913"/>
    <n v="1364.9997312408248"/>
    <n v="0"/>
    <n v="1"/>
    <n v="0"/>
    <n v="0"/>
    <n v="0"/>
    <n v="0"/>
    <n v="0"/>
    <n v="0"/>
    <n v="0"/>
    <n v="0"/>
  </r>
  <r>
    <d v="2023-07-30T00:00:00"/>
    <n v="2023"/>
    <x v="24"/>
    <s v="R"/>
    <s v="RS"/>
    <x v="4"/>
    <s v="PHX"/>
    <s v="H"/>
    <n v="1"/>
    <n v="4"/>
    <n v="-3"/>
    <n v="3"/>
    <n v="-16"/>
    <n v="16"/>
    <n v="1430.3661962216988"/>
    <n v="1378.8346259943187"/>
    <n v="0.64473505402460041"/>
    <n v="104"/>
    <n v="85"/>
    <n v="0"/>
    <n v="19"/>
    <n v="1"/>
    <n v="0.53787942971779501"/>
    <n v="1"/>
    <n v="72.25"/>
    <n v="72.25"/>
    <n v="13.80623129751292"/>
    <n v="1444.1724275192119"/>
    <n v="1"/>
    <n v="0"/>
    <n v="0"/>
    <n v="0"/>
    <n v="0"/>
    <n v="0"/>
    <n v="0"/>
    <n v="0"/>
    <n v="0"/>
    <n v="0"/>
  </r>
  <r>
    <d v="2023-07-30T00:00:00"/>
    <n v="2023"/>
    <x v="25"/>
    <s v="R"/>
    <s v="RS"/>
    <x v="5"/>
    <s v="CON"/>
    <s v="A"/>
    <n v="1"/>
    <n v="4"/>
    <n v="-3"/>
    <n v="3"/>
    <n v="-16"/>
    <n v="16"/>
    <n v="1467.6767162872002"/>
    <n v="1662.6977843367367"/>
    <n v="0.1430259951693072"/>
    <n v="87"/>
    <n v="83"/>
    <n v="0"/>
    <n v="4"/>
    <n v="1"/>
    <n v="0.2678950809016632"/>
    <n v="1"/>
    <n v="72.099999999999994"/>
    <n v="72.099999999999994"/>
    <n v="16.55265457757681"/>
    <n v="1484.2293708647769"/>
    <n v="1"/>
    <n v="0"/>
    <n v="0"/>
    <n v="0"/>
    <n v="0"/>
    <n v="0"/>
    <n v="0"/>
    <n v="0"/>
    <n v="0"/>
    <n v="0"/>
  </r>
  <r>
    <d v="2023-07-30T00:00:00"/>
    <n v="2023"/>
    <x v="24"/>
    <s v="R"/>
    <s v="RS"/>
    <x v="0"/>
    <s v="MIN"/>
    <s v="H"/>
    <n v="4"/>
    <n v="1"/>
    <n v="3"/>
    <n v="-3"/>
    <n v="16"/>
    <n v="-16"/>
    <n v="1662.6977843367367"/>
    <n v="1467.6767162872002"/>
    <n v="0.85697400483069275"/>
    <n v="83"/>
    <n v="87"/>
    <n v="0"/>
    <n v="-4"/>
    <n v="0"/>
    <n v="0.2678950809016632"/>
    <n v="1"/>
    <n v="72.25"/>
    <n v="72.25"/>
    <n v="-16.587091445630019"/>
    <n v="1646.1106928911067"/>
    <n v="0"/>
    <n v="1"/>
    <n v="0"/>
    <n v="0"/>
    <n v="0"/>
    <n v="0"/>
    <n v="0"/>
    <n v="0"/>
    <n v="0"/>
    <n v="0"/>
  </r>
  <r>
    <d v="2023-07-30T00:00:00"/>
    <n v="2023"/>
    <x v="24"/>
    <s v="R"/>
    <s v="RS"/>
    <x v="11"/>
    <s v="IND"/>
    <s v="A"/>
    <n v="1"/>
    <n v="2"/>
    <n v="-1"/>
    <n v="1"/>
    <n v="-8"/>
    <n v="8"/>
    <n v="1397.3515621441741"/>
    <n v="1342.467684827642"/>
    <n v="0.43543517523464065"/>
    <n v="85"/>
    <n v="62"/>
    <n v="0"/>
    <n v="23"/>
    <n v="1"/>
    <n v="0.58842522118727214"/>
    <n v="1"/>
    <n v="72.25"/>
    <n v="72.25"/>
    <n v="24.001752141343708"/>
    <n v="1421.3533142855179"/>
    <n v="1"/>
    <n v="0"/>
    <n v="0"/>
    <n v="0"/>
    <n v="0"/>
    <n v="0"/>
    <n v="0"/>
    <n v="0"/>
    <n v="0"/>
    <n v="0"/>
  </r>
  <r>
    <d v="2023-07-30T00:00:00"/>
    <n v="2023"/>
    <x v="24"/>
    <s v="R"/>
    <s v="RS"/>
    <x v="1"/>
    <s v="SEA"/>
    <s v="H"/>
    <n v="2"/>
    <n v="1"/>
    <n v="1"/>
    <n v="-1"/>
    <n v="8"/>
    <n v="-8"/>
    <n v="1342.467684827642"/>
    <n v="1397.3515621441741"/>
    <n v="0.56456482476535941"/>
    <n v="62"/>
    <n v="85"/>
    <n v="0"/>
    <n v="-23"/>
    <n v="0"/>
    <n v="0.58842522118727214"/>
    <n v="1"/>
    <n v="72.25"/>
    <n v="72.25"/>
    <n v="-24.001752141343708"/>
    <n v="1318.4659326862982"/>
    <n v="0"/>
    <n v="1"/>
    <n v="0"/>
    <n v="0"/>
    <n v="0"/>
    <n v="0"/>
    <n v="0"/>
    <n v="0"/>
    <n v="0"/>
    <n v="0"/>
  </r>
  <r>
    <d v="2023-07-30T00:00:00"/>
    <n v="2023"/>
    <x v="24"/>
    <s v="R"/>
    <s v="RS"/>
    <x v="6"/>
    <s v="LAS"/>
    <s v="A"/>
    <n v="1"/>
    <n v="2"/>
    <n v="-1"/>
    <n v="1"/>
    <n v="-8"/>
    <n v="8"/>
    <n v="1599.6698443221355"/>
    <n v="1390.5725079128613"/>
    <n v="0.6520391769000633"/>
    <n v="87"/>
    <n v="79"/>
    <n v="0"/>
    <n v="8"/>
    <n v="1"/>
    <n v="0.33069301173404703"/>
    <n v="1"/>
    <n v="72.25"/>
    <n v="72.25"/>
    <n v="8.3136783571981674"/>
    <n v="1607.9835226793336"/>
    <n v="1"/>
    <n v="0"/>
    <n v="0"/>
    <n v="0"/>
    <n v="0"/>
    <n v="0"/>
    <n v="0"/>
    <n v="0"/>
    <n v="0"/>
    <n v="0"/>
  </r>
  <r>
    <d v="2023-07-30T00:00:00"/>
    <n v="2023"/>
    <x v="24"/>
    <s v="R"/>
    <s v="RS"/>
    <x v="3"/>
    <s v="NYL"/>
    <s v="H"/>
    <n v="2"/>
    <n v="1"/>
    <n v="1"/>
    <n v="-1"/>
    <n v="8"/>
    <n v="-8"/>
    <n v="1390.5725079128613"/>
    <n v="1599.6698443221355"/>
    <n v="0.34796082309993676"/>
    <n v="79"/>
    <n v="87"/>
    <n v="0"/>
    <n v="-8"/>
    <n v="0"/>
    <n v="0.33069301173404703"/>
    <n v="1"/>
    <n v="72.25"/>
    <n v="72.25"/>
    <n v="-8.3136783571981692"/>
    <n v="1382.2588295556632"/>
    <n v="0"/>
    <n v="1"/>
    <n v="0"/>
    <n v="0"/>
    <n v="0"/>
    <n v="0"/>
    <n v="0"/>
    <n v="0"/>
    <n v="0"/>
    <n v="0"/>
  </r>
  <r>
    <d v="2023-07-30T00:00:00"/>
    <n v="2023"/>
    <x v="24"/>
    <s v="R"/>
    <s v="RS"/>
    <x v="9"/>
    <s v="LVA"/>
    <s v="A"/>
    <n v="1"/>
    <n v="4"/>
    <n v="-3"/>
    <n v="3"/>
    <n v="-16"/>
    <n v="16"/>
    <n v="1571.5328786041093"/>
    <n v="1754.0549442710394"/>
    <n v="0.15207335236421515"/>
    <n v="91"/>
    <n v="104"/>
    <n v="0"/>
    <n v="-13"/>
    <n v="0"/>
    <n v="0.40972402599858965"/>
    <n v="1"/>
    <n v="72.25"/>
    <n v="72.25"/>
    <n v="-4.5017606713437646"/>
    <n v="1567.0311179327655"/>
    <n v="0"/>
    <n v="1"/>
    <n v="0"/>
    <n v="0"/>
    <n v="0"/>
    <n v="0"/>
    <n v="0"/>
    <n v="0"/>
    <n v="0"/>
    <n v="0"/>
  </r>
  <r>
    <d v="2023-07-30T00:00:00"/>
    <n v="2023"/>
    <x v="24"/>
    <s v="R"/>
    <s v="RS"/>
    <x v="10"/>
    <s v="DAL"/>
    <s v="H"/>
    <n v="4"/>
    <n v="1"/>
    <n v="3"/>
    <n v="-3"/>
    <n v="16"/>
    <n v="-16"/>
    <n v="1754.0549442710394"/>
    <n v="1571.5328786041093"/>
    <n v="0.84792664763578496"/>
    <n v="104"/>
    <n v="91"/>
    <n v="0"/>
    <n v="13"/>
    <n v="1"/>
    <n v="0.40972402599858965"/>
    <n v="1"/>
    <n v="72.25"/>
    <n v="72.25"/>
    <n v="4.5017606713437619"/>
    <n v="1758.5567049423832"/>
    <n v="1"/>
    <n v="0"/>
    <n v="0"/>
    <n v="0"/>
    <n v="0"/>
    <n v="0"/>
    <n v="0"/>
    <n v="0"/>
    <n v="0"/>
    <n v="0"/>
  </r>
  <r>
    <d v="2023-08-01T00:00:00"/>
    <n v="2023"/>
    <x v="26"/>
    <s v="R"/>
    <s v="RS"/>
    <x v="5"/>
    <s v="CON"/>
    <s v="A"/>
    <n v="1"/>
    <n v="1"/>
    <n v="0"/>
    <n v="0"/>
    <n v="0"/>
    <n v="0"/>
    <n v="1484.2293708647769"/>
    <n v="1646.1106928911067"/>
    <n v="0.19538268340502138"/>
    <n v="69"/>
    <n v="79"/>
    <n v="0"/>
    <n v="-10"/>
    <n v="0"/>
    <n v="0.37283398412664631"/>
    <n v="1"/>
    <n v="71.95"/>
    <n v="71.95"/>
    <n v="-5.2412196431797877"/>
    <n v="1478.988151221597"/>
    <n v="0"/>
    <n v="1"/>
    <n v="0"/>
    <n v="0"/>
    <n v="0"/>
    <n v="0"/>
    <n v="0"/>
    <n v="0"/>
    <n v="0"/>
    <n v="0"/>
  </r>
  <r>
    <d v="2023-08-01T00:00:00"/>
    <n v="2023"/>
    <x v="25"/>
    <s v="R"/>
    <s v="RS"/>
    <x v="0"/>
    <s v="MIN"/>
    <s v="H"/>
    <n v="1"/>
    <n v="1"/>
    <n v="0"/>
    <n v="0"/>
    <n v="0"/>
    <n v="0"/>
    <n v="1646.1106928911067"/>
    <n v="1484.2293708647769"/>
    <n v="0.80461731659497859"/>
    <n v="79"/>
    <n v="69"/>
    <n v="0"/>
    <n v="10"/>
    <n v="1"/>
    <n v="0.37283398412664631"/>
    <n v="1"/>
    <n v="72.099999999999994"/>
    <n v="72.099999999999994"/>
    <n v="5.2521464388222752"/>
    <n v="1651.3628393299291"/>
    <n v="1"/>
    <n v="0"/>
    <n v="0"/>
    <n v="0"/>
    <n v="0"/>
    <n v="0"/>
    <n v="0"/>
    <n v="0"/>
    <n v="0"/>
    <n v="0"/>
  </r>
  <r>
    <d v="2023-08-01T00:00:00"/>
    <n v="2023"/>
    <x v="24"/>
    <s v="R"/>
    <s v="RS"/>
    <x v="2"/>
    <s v="IND"/>
    <s v="A"/>
    <n v="1"/>
    <n v="1"/>
    <n v="0"/>
    <n v="0"/>
    <n v="0"/>
    <n v="0"/>
    <n v="1364.9997312408248"/>
    <n v="1318.4659326862982"/>
    <n v="0.44628983361917712"/>
    <n v="71"/>
    <n v="72"/>
    <n v="0"/>
    <n v="-1"/>
    <n v="0"/>
    <n v="0.23506430832291214"/>
    <n v="1"/>
    <n v="72.25"/>
    <n v="72.25"/>
    <n v="-7.5795170984520475"/>
    <n v="1357.4202141423727"/>
    <n v="0"/>
    <n v="1"/>
    <n v="0"/>
    <n v="0"/>
    <n v="0"/>
    <n v="0"/>
    <n v="0"/>
    <n v="0"/>
    <n v="0"/>
    <n v="0"/>
  </r>
  <r>
    <d v="2023-08-01T00:00:00"/>
    <n v="2023"/>
    <x v="25"/>
    <s v="R"/>
    <s v="RS"/>
    <x v="1"/>
    <s v="PHX"/>
    <s v="H"/>
    <n v="1"/>
    <n v="1"/>
    <n v="0"/>
    <n v="0"/>
    <n v="0"/>
    <n v="0"/>
    <n v="1318.4659326862982"/>
    <n v="1364.9997312408248"/>
    <n v="0.55371016638082282"/>
    <n v="72"/>
    <n v="71"/>
    <n v="0"/>
    <n v="1"/>
    <n v="1"/>
    <n v="0.23506430832291214"/>
    <n v="1"/>
    <n v="72.099999999999994"/>
    <n v="72.099999999999994"/>
    <n v="7.5637810767943625"/>
    <n v="1326.0297137630926"/>
    <n v="1"/>
    <n v="0"/>
    <n v="0"/>
    <n v="0"/>
    <n v="0"/>
    <n v="0"/>
    <n v="0"/>
    <n v="0"/>
    <n v="0"/>
    <n v="0"/>
  </r>
  <r>
    <d v="2023-08-01T00:00:00"/>
    <n v="2023"/>
    <x v="25"/>
    <s v="R"/>
    <s v="RS"/>
    <x v="6"/>
    <s v="LAS"/>
    <s v="A"/>
    <n v="1"/>
    <n v="1"/>
    <n v="0"/>
    <n v="0"/>
    <n v="0"/>
    <n v="0"/>
    <n v="1607.9835226793336"/>
    <n v="1382.2588295556632"/>
    <n v="0.6933510682043178"/>
    <n v="76"/>
    <n v="69"/>
    <n v="0"/>
    <n v="7"/>
    <n v="1"/>
    <n v="0.3115107770291381"/>
    <n v="1"/>
    <n v="72.099999999999994"/>
    <n v="72.099999999999994"/>
    <n v="6.887312630057508"/>
    <n v="1614.8708353093912"/>
    <n v="1"/>
    <n v="0"/>
    <n v="0"/>
    <n v="0"/>
    <n v="0"/>
    <n v="0"/>
    <n v="0"/>
    <n v="0"/>
    <n v="0"/>
    <n v="0"/>
  </r>
  <r>
    <d v="2023-08-01T00:00:00"/>
    <n v="2023"/>
    <x v="25"/>
    <s v="R"/>
    <s v="RS"/>
    <x v="3"/>
    <s v="NYL"/>
    <s v="H"/>
    <n v="1"/>
    <n v="1"/>
    <n v="0"/>
    <n v="0"/>
    <n v="0"/>
    <n v="0"/>
    <n v="1382.2588295556632"/>
    <n v="1607.9835226793336"/>
    <n v="0.30664893179568226"/>
    <n v="69"/>
    <n v="76"/>
    <n v="0"/>
    <n v="-7"/>
    <n v="0"/>
    <n v="0.3115107770291381"/>
    <n v="1"/>
    <n v="72.099999999999994"/>
    <n v="72.099999999999994"/>
    <n v="-6.8873126300575089"/>
    <n v="1375.3715169256056"/>
    <n v="0"/>
    <n v="1"/>
    <n v="0"/>
    <n v="0"/>
    <n v="0"/>
    <n v="0"/>
    <n v="0"/>
    <n v="0"/>
    <n v="0"/>
    <n v="0"/>
  </r>
  <r>
    <d v="2023-08-01T00:00:00"/>
    <n v="2023"/>
    <x v="25"/>
    <s v="R"/>
    <s v="RS"/>
    <x v="8"/>
    <s v="LVA"/>
    <s v="A"/>
    <n v="1"/>
    <n v="1"/>
    <n v="0"/>
    <n v="0"/>
    <n v="0"/>
    <n v="0"/>
    <n v="1518.3554898458583"/>
    <n v="1758.5567049423832"/>
    <n v="0.13397596865460085"/>
    <n v="72"/>
    <n v="93"/>
    <n v="0"/>
    <n v="-21"/>
    <n v="0"/>
    <n v="0.49041171464193467"/>
    <n v="1"/>
    <n v="72.099999999999994"/>
    <n v="72.099999999999994"/>
    <n v="-4.7372140230784874"/>
    <n v="1513.6182758227799"/>
    <n v="0"/>
    <n v="1"/>
    <n v="0"/>
    <n v="0"/>
    <n v="0"/>
    <n v="0"/>
    <n v="0"/>
    <n v="0"/>
    <n v="0"/>
    <n v="0"/>
  </r>
  <r>
    <d v="2023-08-01T00:00:00"/>
    <n v="2023"/>
    <x v="25"/>
    <s v="R"/>
    <s v="RS"/>
    <x v="10"/>
    <s v="ATL"/>
    <s v="H"/>
    <n v="1"/>
    <n v="1"/>
    <n v="0"/>
    <n v="0"/>
    <n v="0"/>
    <n v="0"/>
    <n v="1758.5567049423832"/>
    <n v="1518.3554898458583"/>
    <n v="0.86602403134539918"/>
    <n v="93"/>
    <n v="72"/>
    <n v="0"/>
    <n v="21"/>
    <n v="1"/>
    <n v="0.49041171464193467"/>
    <n v="1"/>
    <n v="72.099999999999994"/>
    <n v="72.099999999999994"/>
    <n v="4.7372140230784865"/>
    <n v="1763.2939189654617"/>
    <n v="1"/>
    <n v="0"/>
    <n v="0"/>
    <n v="0"/>
    <n v="0"/>
    <n v="0"/>
    <n v="0"/>
    <n v="0"/>
    <n v="0"/>
    <n v="0"/>
  </r>
  <r>
    <d v="2023-08-02T00:00:00"/>
    <n v="2023"/>
    <x v="25"/>
    <s v="R"/>
    <s v="RS"/>
    <x v="9"/>
    <s v="SEA"/>
    <s v="A"/>
    <n v="2"/>
    <n v="2"/>
    <n v="0"/>
    <n v="0"/>
    <n v="0"/>
    <n v="0"/>
    <n v="1567.0311179327655"/>
    <n v="1421.3533142855179"/>
    <n v="0.58784067829027975"/>
    <n v="76"/>
    <n v="65"/>
    <n v="0"/>
    <n v="11"/>
    <n v="1"/>
    <n v="0.3922210523786826"/>
    <n v="1"/>
    <n v="72.099999999999994"/>
    <n v="72.099999999999994"/>
    <n v="11.655510285715142"/>
    <n v="1578.6866282184806"/>
    <n v="1"/>
    <n v="0"/>
    <n v="0"/>
    <n v="0"/>
    <n v="0"/>
    <n v="0"/>
    <n v="0"/>
    <n v="0"/>
    <n v="0"/>
    <n v="0"/>
  </r>
  <r>
    <d v="2023-08-02T00:00:00"/>
    <n v="2023"/>
    <x v="25"/>
    <s v="R"/>
    <s v="RS"/>
    <x v="11"/>
    <s v="DAL"/>
    <s v="H"/>
    <n v="2"/>
    <n v="2"/>
    <n v="0"/>
    <n v="0"/>
    <n v="0"/>
    <n v="0"/>
    <n v="1421.3533142855179"/>
    <n v="1567.0311179327655"/>
    <n v="0.41215932170972025"/>
    <n v="65"/>
    <n v="76"/>
    <n v="0"/>
    <n v="-11"/>
    <n v="0"/>
    <n v="0.3922210523786826"/>
    <n v="1"/>
    <n v="72.099999999999994"/>
    <n v="72.099999999999994"/>
    <n v="-11.655510285715142"/>
    <n v="1409.6978039998028"/>
    <n v="0"/>
    <n v="1"/>
    <n v="0"/>
    <n v="0"/>
    <n v="0"/>
    <n v="0"/>
    <n v="0"/>
    <n v="0"/>
    <n v="0"/>
    <n v="0"/>
  </r>
  <r>
    <d v="2023-08-03T00:00:00"/>
    <n v="2023"/>
    <x v="26"/>
    <s v="R"/>
    <s v="RS"/>
    <x v="8"/>
    <s v="PHX"/>
    <s v="A"/>
    <n v="1"/>
    <n v="1"/>
    <n v="0"/>
    <n v="0"/>
    <n v="0"/>
    <n v="0"/>
    <n v="1513.6182758227799"/>
    <n v="1357.4202141423727"/>
    <n v="0.60243119624600938"/>
    <n v="71"/>
    <n v="91"/>
    <n v="0"/>
    <n v="-20"/>
    <n v="0"/>
    <n v="0.5086755763946641"/>
    <n v="1"/>
    <n v="71.95"/>
    <n v="71.95"/>
    <n v="-22.048504489377311"/>
    <n v="1491.5697713334025"/>
    <n v="0"/>
    <n v="1"/>
    <n v="0"/>
    <n v="0"/>
    <n v="0"/>
    <n v="0"/>
    <n v="0"/>
    <n v="0"/>
    <n v="0"/>
    <n v="0"/>
  </r>
  <r>
    <d v="2023-08-03T00:00:00"/>
    <n v="2023"/>
    <x v="25"/>
    <s v="R"/>
    <s v="RS"/>
    <x v="2"/>
    <s v="ATL"/>
    <s v="H"/>
    <n v="1"/>
    <n v="1"/>
    <n v="0"/>
    <n v="0"/>
    <n v="0"/>
    <n v="0"/>
    <n v="1357.4202141423727"/>
    <n v="1513.6182758227799"/>
    <n v="0.39756880375399056"/>
    <n v="91"/>
    <n v="71"/>
    <n v="0"/>
    <n v="20"/>
    <n v="1"/>
    <n v="0.5086755763946641"/>
    <n v="1"/>
    <n v="72.099999999999994"/>
    <n v="72.099999999999994"/>
    <n v="22.094470794775592"/>
    <n v="1379.5146849371483"/>
    <n v="1"/>
    <n v="0"/>
    <n v="0"/>
    <n v="0"/>
    <n v="0"/>
    <n v="0"/>
    <n v="0"/>
    <n v="0"/>
    <n v="0"/>
    <n v="0"/>
  </r>
  <r>
    <d v="2023-08-04T00:00:00"/>
    <n v="2023"/>
    <x v="25"/>
    <s v="R"/>
    <s v="RS"/>
    <x v="4"/>
    <s v="DAL"/>
    <s v="A"/>
    <n v="4"/>
    <n v="1"/>
    <n v="3"/>
    <n v="-3"/>
    <n v="16"/>
    <n v="-16"/>
    <n v="1444.1724275192119"/>
    <n v="1578.6866282184806"/>
    <n v="0.25470728841588652"/>
    <n v="104"/>
    <n v="89"/>
    <n v="0"/>
    <n v="15"/>
    <n v="1"/>
    <n v="0.45216276704911268"/>
    <n v="1"/>
    <n v="72.099999999999994"/>
    <n v="72.099999999999994"/>
    <n v="24.29723962213459"/>
    <n v="1468.4696671413465"/>
    <n v="1"/>
    <n v="0"/>
    <n v="0"/>
    <n v="0"/>
    <n v="0"/>
    <n v="0"/>
    <n v="0"/>
    <n v="0"/>
    <n v="0"/>
    <n v="0"/>
  </r>
  <r>
    <d v="2023-08-04T00:00:00"/>
    <n v="2023"/>
    <x v="26"/>
    <s v="R"/>
    <s v="RS"/>
    <x v="9"/>
    <s v="CHI"/>
    <s v="H"/>
    <n v="1"/>
    <n v="4"/>
    <n v="-3"/>
    <n v="3"/>
    <n v="-16"/>
    <n v="16"/>
    <n v="1578.6866282184806"/>
    <n v="1444.1724275192119"/>
    <n v="0.74529271158411337"/>
    <n v="89"/>
    <n v="104"/>
    <n v="0"/>
    <n v="-15"/>
    <n v="0"/>
    <n v="0.45216276704911268"/>
    <n v="1"/>
    <n v="71.95"/>
    <n v="71.95"/>
    <n v="-24.246690579924874"/>
    <n v="1554.4399376385556"/>
    <n v="0"/>
    <n v="1"/>
    <n v="0"/>
    <n v="0"/>
    <n v="0"/>
    <n v="0"/>
    <n v="0"/>
    <n v="0"/>
    <n v="0"/>
    <n v="0"/>
  </r>
  <r>
    <d v="2023-08-04T00:00:00"/>
    <n v="2023"/>
    <x v="26"/>
    <s v="R"/>
    <s v="RS"/>
    <x v="0"/>
    <s v="IND"/>
    <s v="A"/>
    <n v="2"/>
    <n v="2"/>
    <n v="0"/>
    <n v="0"/>
    <n v="0"/>
    <n v="0"/>
    <n v="1651.3628393299291"/>
    <n v="1326.0297137630926"/>
    <n v="0.80046851290300403"/>
    <n v="88"/>
    <n v="72"/>
    <n v="0"/>
    <n v="16"/>
    <n v="1"/>
    <n v="0.40734920675454017"/>
    <n v="1"/>
    <n v="71.95"/>
    <n v="71.95"/>
    <n v="5.84802354573951"/>
    <n v="1657.2108628756687"/>
    <n v="1"/>
    <n v="0"/>
    <n v="0"/>
    <n v="0"/>
    <n v="0"/>
    <n v="0"/>
    <n v="0"/>
    <n v="0"/>
    <n v="0"/>
    <n v="0"/>
  </r>
  <r>
    <d v="2023-08-04T00:00:00"/>
    <n v="2023"/>
    <x v="26"/>
    <s v="R"/>
    <s v="RS"/>
    <x v="1"/>
    <s v="CON"/>
    <s v="H"/>
    <n v="2"/>
    <n v="2"/>
    <n v="0"/>
    <n v="0"/>
    <n v="0"/>
    <n v="0"/>
    <n v="1326.0297137630926"/>
    <n v="1651.3628393299291"/>
    <n v="0.19953148709699609"/>
    <n v="72"/>
    <n v="88"/>
    <n v="0"/>
    <n v="-16"/>
    <n v="0"/>
    <n v="0.40734920675454017"/>
    <n v="1"/>
    <n v="71.95"/>
    <n v="71.95"/>
    <n v="-5.8480235457395136"/>
    <n v="1320.181690217353"/>
    <n v="0"/>
    <n v="1"/>
    <n v="0"/>
    <n v="0"/>
    <n v="0"/>
    <n v="0"/>
    <n v="0"/>
    <n v="0"/>
    <n v="0"/>
    <n v="0"/>
  </r>
  <r>
    <d v="2023-08-04T00:00:00"/>
    <n v="2023"/>
    <x v="26"/>
    <s v="R"/>
    <s v="RS"/>
    <x v="6"/>
    <s v="MIN"/>
    <s v="A"/>
    <n v="2"/>
    <n v="2"/>
    <n v="0"/>
    <n v="0"/>
    <n v="0"/>
    <n v="0"/>
    <n v="1614.8708353093912"/>
    <n v="1478.988151221597"/>
    <n v="0.57411509034580432"/>
    <n v="76"/>
    <n v="66"/>
    <n v="0"/>
    <n v="10"/>
    <n v="1"/>
    <n v="0.38008999236745183"/>
    <n v="1"/>
    <n v="71.95"/>
    <n v="71.95"/>
    <n v="11.64687689870809"/>
    <n v="1626.5177122080993"/>
    <n v="1"/>
    <n v="0"/>
    <n v="0"/>
    <n v="0"/>
    <n v="0"/>
    <n v="0"/>
    <n v="0"/>
    <n v="0"/>
    <n v="0"/>
    <n v="0"/>
  </r>
  <r>
    <d v="2023-08-04T00:00:00"/>
    <n v="2023"/>
    <x v="27"/>
    <s v="R"/>
    <s v="RS"/>
    <x v="5"/>
    <s v="NYL"/>
    <s v="H"/>
    <n v="2"/>
    <n v="2"/>
    <n v="0"/>
    <n v="0"/>
    <n v="0"/>
    <n v="0"/>
    <n v="1478.988151221597"/>
    <n v="1614.8708353093912"/>
    <n v="0.42588490965419568"/>
    <n v="66"/>
    <n v="76"/>
    <n v="0"/>
    <n v="-10"/>
    <n v="0"/>
    <n v="0.38008999236745183"/>
    <n v="1"/>
    <n v="71.8"/>
    <n v="71.8"/>
    <n v="-11.622595709899107"/>
    <n v="1467.3655555116979"/>
    <n v="0"/>
    <n v="1"/>
    <n v="0"/>
    <n v="0"/>
    <n v="0"/>
    <n v="0"/>
    <n v="0"/>
    <n v="0"/>
    <n v="0"/>
    <n v="0"/>
  </r>
  <r>
    <d v="2023-08-04T00:00:00"/>
    <n v="2023"/>
    <x v="26"/>
    <s v="R"/>
    <s v="RS"/>
    <x v="3"/>
    <s v="WAS"/>
    <s v="A"/>
    <n v="2"/>
    <n v="4"/>
    <n v="-2"/>
    <n v="2"/>
    <n v="-16"/>
    <n v="16"/>
    <n v="1375.3715169256056"/>
    <n v="1486.9417937297203"/>
    <n v="0.2124868746707306"/>
    <n v="77"/>
    <n v="79"/>
    <n v="0"/>
    <n v="-2"/>
    <n v="0"/>
    <n v="0.2450570820762866"/>
    <n v="1"/>
    <n v="71.95"/>
    <n v="71.95"/>
    <n v="-3.7465382003406416"/>
    <n v="1371.624978725265"/>
    <n v="0"/>
    <n v="1"/>
    <n v="0"/>
    <n v="0"/>
    <n v="0"/>
    <n v="0"/>
    <n v="0"/>
    <n v="0"/>
    <n v="0"/>
    <n v="0"/>
  </r>
  <r>
    <d v="2023-08-04T00:00:00"/>
    <n v="2023"/>
    <x v="25"/>
    <s v="R"/>
    <s v="RS"/>
    <x v="7"/>
    <s v="LAS"/>
    <s v="H"/>
    <n v="4"/>
    <n v="2"/>
    <n v="2"/>
    <n v="-2"/>
    <n v="16"/>
    <n v="-16"/>
    <n v="1486.9417937297203"/>
    <n v="1375.3715169256056"/>
    <n v="0.78751312532926931"/>
    <n v="79"/>
    <n v="77"/>
    <n v="0"/>
    <n v="2"/>
    <n v="1"/>
    <n v="0.2450570820762866"/>
    <n v="1"/>
    <n v="72.099999999999994"/>
    <n v="72.099999999999994"/>
    <n v="3.7543489123635903"/>
    <n v="1490.6961426420839"/>
    <n v="1"/>
    <n v="0"/>
    <n v="0"/>
    <n v="0"/>
    <n v="0"/>
    <n v="0"/>
    <n v="0"/>
    <n v="0"/>
    <n v="0"/>
    <n v="0"/>
  </r>
  <r>
    <d v="2023-08-05T00:00:00"/>
    <n v="2023"/>
    <x v="26"/>
    <s v="R"/>
    <s v="RS"/>
    <x v="11"/>
    <s v="PHX"/>
    <s v="A"/>
    <n v="2"/>
    <n v="1"/>
    <n v="1"/>
    <n v="-1"/>
    <n v="8"/>
    <n v="-8"/>
    <n v="1409.6978039998028"/>
    <n v="1379.5146849371483"/>
    <n v="0.44579104294528932"/>
    <n v="97"/>
    <n v="91"/>
    <n v="0"/>
    <n v="6"/>
    <n v="1"/>
    <n v="0.3426619230723818"/>
    <n v="1"/>
    <n v="71.95"/>
    <n v="71.95"/>
    <n v="13.663758789247632"/>
    <n v="1423.3615627890504"/>
    <n v="1"/>
    <n v="0"/>
    <n v="0"/>
    <n v="0"/>
    <n v="0"/>
    <n v="0"/>
    <n v="0"/>
    <n v="0"/>
    <n v="0"/>
    <n v="0"/>
  </r>
  <r>
    <d v="2023-08-05T00:00:00"/>
    <n v="2023"/>
    <x v="26"/>
    <s v="R"/>
    <s v="RS"/>
    <x v="2"/>
    <s v="SEA"/>
    <s v="H"/>
    <n v="1"/>
    <n v="2"/>
    <n v="-1"/>
    <n v="1"/>
    <n v="-8"/>
    <n v="8"/>
    <n v="1379.5146849371483"/>
    <n v="1409.6978039998028"/>
    <n v="0.55420895705471063"/>
    <n v="91"/>
    <n v="97"/>
    <n v="0"/>
    <n v="-6"/>
    <n v="0"/>
    <n v="0.3426619230723818"/>
    <n v="1"/>
    <n v="71.95"/>
    <n v="71.95"/>
    <n v="-13.663758789247632"/>
    <n v="1365.8509261479007"/>
    <n v="0"/>
    <n v="1"/>
    <n v="0"/>
    <n v="0"/>
    <n v="0"/>
    <n v="0"/>
    <n v="0"/>
    <n v="0"/>
    <n v="0"/>
    <n v="0"/>
  </r>
  <r>
    <d v="2023-08-06T00:00:00"/>
    <n v="2023"/>
    <x v="27"/>
    <s v="R"/>
    <s v="RS"/>
    <x v="1"/>
    <s v="ATL"/>
    <s v="A"/>
    <n v="1"/>
    <n v="2"/>
    <n v="-1"/>
    <n v="1"/>
    <n v="-8"/>
    <n v="8"/>
    <n v="1320.181690217353"/>
    <n v="1491.5697713334025"/>
    <n v="0.17332611922874569"/>
    <n v="73"/>
    <n v="82"/>
    <n v="0"/>
    <n v="-9"/>
    <n v="0"/>
    <n v="0.35523557429508279"/>
    <n v="1"/>
    <n v="71.8"/>
    <n v="71.8"/>
    <n v="-4.4208411316275127"/>
    <n v="1315.7608490857256"/>
    <n v="0"/>
    <n v="1"/>
    <n v="0"/>
    <n v="0"/>
    <n v="0"/>
    <n v="0"/>
    <n v="0"/>
    <n v="0"/>
    <n v="0"/>
    <n v="0"/>
  </r>
  <r>
    <d v="2023-08-06T00:00:00"/>
    <n v="2023"/>
    <x v="27"/>
    <s v="R"/>
    <s v="RS"/>
    <x v="8"/>
    <s v="IND"/>
    <s v="H"/>
    <n v="2"/>
    <n v="1"/>
    <n v="1"/>
    <n v="-1"/>
    <n v="8"/>
    <n v="-8"/>
    <n v="1491.5697713334025"/>
    <n v="1320.181690217353"/>
    <n v="0.82667388077125437"/>
    <n v="82"/>
    <n v="73"/>
    <n v="0"/>
    <n v="9"/>
    <n v="1"/>
    <n v="0.35523557429508279"/>
    <n v="1"/>
    <n v="71.8"/>
    <n v="71.8"/>
    <n v="4.4208411316275118"/>
    <n v="1495.9906124650299"/>
    <n v="1"/>
    <n v="0"/>
    <n v="0"/>
    <n v="0"/>
    <n v="0"/>
    <n v="0"/>
    <n v="0"/>
    <n v="0"/>
    <n v="0"/>
    <n v="0"/>
  </r>
  <r>
    <d v="2023-08-06T00:00:00"/>
    <n v="2023"/>
    <x v="26"/>
    <s v="R"/>
    <s v="RS"/>
    <x v="4"/>
    <s v="DAL"/>
    <s v="A"/>
    <n v="1"/>
    <n v="1"/>
    <n v="0"/>
    <n v="0"/>
    <n v="0"/>
    <n v="0"/>
    <n v="1468.4696671413465"/>
    <n v="1554.4399376385556"/>
    <n v="0.2732039079268867"/>
    <n v="104"/>
    <n v="96"/>
    <n v="0"/>
    <n v="8"/>
    <n v="1"/>
    <n v="0.36235568791449591"/>
    <n v="1"/>
    <n v="71.95"/>
    <n v="71.95"/>
    <n v="18.948658315108027"/>
    <n v="1487.4183254564546"/>
    <n v="1"/>
    <n v="0"/>
    <n v="0"/>
    <n v="0"/>
    <n v="0"/>
    <n v="0"/>
    <n v="0"/>
    <n v="0"/>
    <n v="0"/>
    <n v="0"/>
  </r>
  <r>
    <d v="2023-08-06T00:00:00"/>
    <n v="2023"/>
    <x v="27"/>
    <s v="R"/>
    <s v="RS"/>
    <x v="9"/>
    <s v="CHI"/>
    <s v="H"/>
    <n v="1"/>
    <n v="1"/>
    <n v="0"/>
    <n v="0"/>
    <n v="0"/>
    <n v="0"/>
    <n v="1554.4399376385556"/>
    <n v="1468.4696671413465"/>
    <n v="0.72679609207311324"/>
    <n v="96"/>
    <n v="104"/>
    <n v="0"/>
    <n v="-8"/>
    <n v="0"/>
    <n v="0.36235568791449591"/>
    <n v="1"/>
    <n v="71.8"/>
    <n v="71.8"/>
    <n v="-18.909154510420514"/>
    <n v="1535.5307831281352"/>
    <n v="0"/>
    <n v="1"/>
    <n v="0"/>
    <n v="0"/>
    <n v="0"/>
    <n v="0"/>
    <n v="0"/>
    <n v="0"/>
    <n v="0"/>
    <n v="0"/>
  </r>
  <r>
    <d v="2023-08-06T00:00:00"/>
    <n v="2023"/>
    <x v="26"/>
    <s v="R"/>
    <s v="RS"/>
    <x v="10"/>
    <s v="NYL"/>
    <s v="A"/>
    <n v="4"/>
    <n v="1"/>
    <n v="3"/>
    <n v="-3"/>
    <n v="16"/>
    <n v="-16"/>
    <n v="1763.2939189654617"/>
    <n v="1626.5177122080993"/>
    <n v="0.61963778059487462"/>
    <n v="61"/>
    <n v="99"/>
    <n v="0"/>
    <n v="-38"/>
    <n v="0"/>
    <n v="0.71453312395113777"/>
    <n v="1"/>
    <n v="71.95"/>
    <n v="71.95"/>
    <n v="-31.855986188281264"/>
    <n v="1731.4379327771803"/>
    <n v="0"/>
    <n v="1"/>
    <n v="0"/>
    <n v="0"/>
    <n v="0"/>
    <n v="0"/>
    <n v="0"/>
    <n v="0"/>
    <n v="0"/>
    <n v="0"/>
  </r>
  <r>
    <d v="2023-08-06T00:00:00"/>
    <n v="2023"/>
    <x v="27"/>
    <s v="R"/>
    <s v="RS"/>
    <x v="6"/>
    <s v="LVA"/>
    <s v="H"/>
    <n v="1"/>
    <n v="4"/>
    <n v="-3"/>
    <n v="3"/>
    <n v="-16"/>
    <n v="16"/>
    <n v="1626.5177122080993"/>
    <n v="1763.2939189654617"/>
    <n v="0.38036221940512538"/>
    <n v="99"/>
    <n v="61"/>
    <n v="0"/>
    <n v="38"/>
    <n v="1"/>
    <n v="0.71453312395113777"/>
    <n v="1"/>
    <n v="71.8"/>
    <n v="71.8"/>
    <n v="31.789573430418272"/>
    <n v="1658.3072856385174"/>
    <n v="1"/>
    <n v="0"/>
    <n v="0"/>
    <n v="0"/>
    <n v="0"/>
    <n v="0"/>
    <n v="0"/>
    <n v="0"/>
    <n v="0"/>
    <n v="0"/>
  </r>
  <r>
    <d v="2023-08-06T00:00:00"/>
    <n v="2023"/>
    <x v="27"/>
    <s v="R"/>
    <s v="RS"/>
    <x v="3"/>
    <s v="WAS"/>
    <s v="A"/>
    <n v="1"/>
    <n v="1"/>
    <n v="0"/>
    <n v="0"/>
    <n v="0"/>
    <n v="0"/>
    <n v="1371.624978725265"/>
    <n v="1490.6961426420839"/>
    <n v="0.23704092503695931"/>
    <n v="91"/>
    <n v="83"/>
    <n v="0"/>
    <n v="8"/>
    <n v="1"/>
    <n v="0.35326270086895128"/>
    <n v="1"/>
    <n v="71.8"/>
    <n v="71.8"/>
    <n v="19.351893813427484"/>
    <n v="1390.9768725386925"/>
    <n v="1"/>
    <n v="0"/>
    <n v="0"/>
    <n v="0"/>
    <n v="0"/>
    <n v="0"/>
    <n v="0"/>
    <n v="0"/>
    <n v="0"/>
    <n v="0"/>
  </r>
  <r>
    <d v="2023-08-06T00:00:00"/>
    <n v="2023"/>
    <x v="26"/>
    <s v="R"/>
    <s v="RS"/>
    <x v="7"/>
    <s v="LAS"/>
    <s v="H"/>
    <n v="1"/>
    <n v="1"/>
    <n v="0"/>
    <n v="0"/>
    <n v="0"/>
    <n v="0"/>
    <n v="1490.6961426420839"/>
    <n v="1371.624978725265"/>
    <n v="0.76295907496304072"/>
    <n v="83"/>
    <n v="91"/>
    <n v="0"/>
    <n v="-8"/>
    <n v="0"/>
    <n v="0.35326270086895128"/>
    <n v="1"/>
    <n v="71.95"/>
    <n v="71.95"/>
    <n v="-19.392322560948578"/>
    <n v="1471.3038200811354"/>
    <n v="0"/>
    <n v="1"/>
    <n v="0"/>
    <n v="0"/>
    <n v="0"/>
    <n v="0"/>
    <n v="0"/>
    <n v="0"/>
    <n v="0"/>
    <n v="0"/>
  </r>
  <r>
    <d v="2023-08-08T00:00:00"/>
    <n v="2023"/>
    <x v="28"/>
    <s v="R"/>
    <s v="RS"/>
    <x v="5"/>
    <s v="CHI"/>
    <s v="A"/>
    <n v="3"/>
    <n v="1"/>
    <n v="2"/>
    <n v="-2"/>
    <n v="16"/>
    <n v="-16"/>
    <n v="1467.3655555116979"/>
    <n v="1487.4183254564546"/>
    <n v="0.39776913723794782"/>
    <n v="88"/>
    <n v="79"/>
    <n v="0"/>
    <n v="9"/>
    <n v="1"/>
    <n v="0.39929898491091498"/>
    <n v="1"/>
    <n v="71.650000000000006"/>
    <n v="71.650000000000006"/>
    <n v="17.229687836905647"/>
    <n v="1484.5952433486036"/>
    <n v="1"/>
    <n v="0"/>
    <n v="0"/>
    <n v="0"/>
    <n v="0"/>
    <n v="0"/>
    <n v="0"/>
    <n v="0"/>
    <n v="0"/>
    <n v="0"/>
  </r>
  <r>
    <d v="2023-08-08T00:00:00"/>
    <n v="2023"/>
    <x v="27"/>
    <s v="R"/>
    <s v="RS"/>
    <x v="4"/>
    <s v="MIN"/>
    <s v="H"/>
    <n v="1"/>
    <n v="3"/>
    <n v="-2"/>
    <n v="2"/>
    <n v="-16"/>
    <n v="16"/>
    <n v="1487.4183254564546"/>
    <n v="1467.3655555116979"/>
    <n v="0.60223086276205218"/>
    <n v="79"/>
    <n v="88"/>
    <n v="0"/>
    <n v="-9"/>
    <n v="0"/>
    <n v="0.39929898491091498"/>
    <n v="1"/>
    <n v="71.8"/>
    <n v="71.8"/>
    <n v="-17.265758362733081"/>
    <n v="1470.1525670937215"/>
    <n v="0"/>
    <n v="1"/>
    <n v="0"/>
    <n v="0"/>
    <n v="0"/>
    <n v="0"/>
    <n v="0"/>
    <n v="0"/>
    <n v="0"/>
    <n v="0"/>
  </r>
  <r>
    <d v="2023-08-08T00:00:00"/>
    <n v="2023"/>
    <x v="27"/>
    <s v="R"/>
    <s v="RS"/>
    <x v="10"/>
    <s v="DAL"/>
    <s v="A"/>
    <n v="1"/>
    <n v="1"/>
    <n v="0"/>
    <n v="0"/>
    <n v="0"/>
    <n v="0"/>
    <n v="1731.4379327771803"/>
    <n v="1535.5307831281352"/>
    <n v="0.65569985089353078"/>
    <n v="104"/>
    <n v="84"/>
    <n v="0"/>
    <n v="20"/>
    <n v="1"/>
    <n v="0.49420538529661595"/>
    <n v="1"/>
    <n v="71.8"/>
    <n v="71.8"/>
    <n v="12.217128127403466"/>
    <n v="1743.6550609045837"/>
    <n v="1"/>
    <n v="0"/>
    <n v="0"/>
    <n v="0"/>
    <n v="0"/>
    <n v="0"/>
    <n v="0"/>
    <n v="0"/>
    <n v="0"/>
    <n v="0"/>
  </r>
  <r>
    <d v="2023-08-08T00:00:00"/>
    <n v="2023"/>
    <x v="28"/>
    <s v="R"/>
    <s v="RS"/>
    <x v="9"/>
    <s v="LVA"/>
    <s v="H"/>
    <n v="1"/>
    <n v="1"/>
    <n v="0"/>
    <n v="0"/>
    <n v="0"/>
    <n v="0"/>
    <n v="1535.5307831281352"/>
    <n v="1731.4379327771803"/>
    <n v="0.34430014910646917"/>
    <n v="84"/>
    <n v="104"/>
    <n v="0"/>
    <n v="-20"/>
    <n v="0"/>
    <n v="0.49420538529661595"/>
    <n v="1"/>
    <n v="71.650000000000006"/>
    <n v="71.650000000000006"/>
    <n v="-12.191604879226439"/>
    <n v="1523.3391782489089"/>
    <n v="0"/>
    <n v="1"/>
    <n v="0"/>
    <n v="0"/>
    <n v="0"/>
    <n v="0"/>
    <n v="0"/>
    <n v="0"/>
    <n v="0"/>
    <n v="0"/>
  </r>
  <r>
    <d v="2023-08-08T00:00:00"/>
    <n v="2023"/>
    <x v="28"/>
    <s v="R"/>
    <s v="RS"/>
    <x v="3"/>
    <s v="IND"/>
    <s v="A"/>
    <n v="1"/>
    <n v="1"/>
    <n v="0"/>
    <n v="0"/>
    <n v="0"/>
    <n v="0"/>
    <n v="1390.9768725386925"/>
    <n v="1315.7608490857256"/>
    <n v="0.48736153429323942"/>
    <n v="87"/>
    <n v="80"/>
    <n v="0"/>
    <n v="7"/>
    <n v="1"/>
    <n v="0.34827715368725881"/>
    <n v="1"/>
    <n v="71.650000000000006"/>
    <n v="71.650000000000006"/>
    <n v="12.792410037903256"/>
    <n v="1403.7692825765957"/>
    <n v="1"/>
    <n v="0"/>
    <n v="0"/>
    <n v="0"/>
    <n v="0"/>
    <n v="0"/>
    <n v="0"/>
    <n v="0"/>
    <n v="0"/>
    <n v="0"/>
  </r>
  <r>
    <d v="2023-08-08T00:00:00"/>
    <n v="2023"/>
    <x v="28"/>
    <s v="R"/>
    <s v="RS"/>
    <x v="1"/>
    <s v="LAS"/>
    <s v="H"/>
    <n v="1"/>
    <n v="1"/>
    <n v="0"/>
    <n v="0"/>
    <n v="0"/>
    <n v="0"/>
    <n v="1315.7608490857256"/>
    <n v="1390.9768725386925"/>
    <n v="0.51263846570676064"/>
    <n v="80"/>
    <n v="87"/>
    <n v="0"/>
    <n v="-7"/>
    <n v="0"/>
    <n v="0.34827715368725881"/>
    <n v="1"/>
    <n v="71.650000000000006"/>
    <n v="71.650000000000006"/>
    <n v="-12.792410037903256"/>
    <n v="1302.9684390478224"/>
    <n v="0"/>
    <n v="1"/>
    <n v="0"/>
    <n v="0"/>
    <n v="0"/>
    <n v="0"/>
    <n v="0"/>
    <n v="0"/>
    <n v="0"/>
    <n v="0"/>
  </r>
  <r>
    <d v="2023-08-08T00:00:00"/>
    <n v="2023"/>
    <x v="27"/>
    <s v="R"/>
    <s v="RS"/>
    <x v="7"/>
    <s v="PHX"/>
    <s v="A"/>
    <n v="1"/>
    <n v="2"/>
    <n v="-1"/>
    <n v="1"/>
    <n v="-8"/>
    <n v="8"/>
    <n v="1471.3038200811354"/>
    <n v="1365.8509261479007"/>
    <n v="0.50784670091319306"/>
    <n v="72"/>
    <n v="91"/>
    <n v="0"/>
    <n v="-19"/>
    <n v="0"/>
    <n v="0.51566248801172609"/>
    <n v="1"/>
    <n v="71.8"/>
    <n v="71.8"/>
    <n v="-18.802804020479684"/>
    <n v="1452.5010160606557"/>
    <n v="0"/>
    <n v="1"/>
    <n v="0"/>
    <n v="0"/>
    <n v="0"/>
    <n v="0"/>
    <n v="0"/>
    <n v="0"/>
    <n v="0"/>
    <n v="0"/>
  </r>
  <r>
    <d v="2023-08-08T00:00:00"/>
    <n v="2023"/>
    <x v="27"/>
    <s v="R"/>
    <s v="RS"/>
    <x v="2"/>
    <s v="WAS"/>
    <s v="H"/>
    <n v="2"/>
    <n v="1"/>
    <n v="1"/>
    <n v="-1"/>
    <n v="8"/>
    <n v="-8"/>
    <n v="1365.8509261479007"/>
    <n v="1471.3038200811354"/>
    <n v="0.49215329908680699"/>
    <n v="91"/>
    <n v="72"/>
    <n v="0"/>
    <n v="19"/>
    <n v="1"/>
    <n v="0.51566248801172609"/>
    <n v="1"/>
    <n v="71.8"/>
    <n v="71.8"/>
    <n v="18.802804020479684"/>
    <n v="1384.6537301683804"/>
    <n v="1"/>
    <n v="0"/>
    <n v="0"/>
    <n v="0"/>
    <n v="0"/>
    <n v="0"/>
    <n v="0"/>
    <n v="0"/>
    <n v="0"/>
    <n v="0"/>
  </r>
  <r>
    <d v="2023-08-08T00:00:00"/>
    <n v="2023"/>
    <x v="27"/>
    <s v="R"/>
    <s v="RS"/>
    <x v="0"/>
    <s v="SEA"/>
    <s v="A"/>
    <n v="3"/>
    <n v="2"/>
    <n v="1"/>
    <n v="-1"/>
    <n v="8"/>
    <n v="-8"/>
    <n v="1657.2108628756687"/>
    <n v="1423.3615627890504"/>
    <n v="0.72206046966958759"/>
    <n v="81"/>
    <n v="69"/>
    <n v="0"/>
    <n v="12"/>
    <n v="1"/>
    <n v="0.38173839584033226"/>
    <n v="1"/>
    <n v="71.8"/>
    <n v="71.8"/>
    <n v="7.6179936742343948"/>
    <n v="1664.8288565499031"/>
    <n v="1"/>
    <n v="0"/>
    <n v="0"/>
    <n v="0"/>
    <n v="0"/>
    <n v="0"/>
    <n v="0"/>
    <n v="0"/>
    <n v="0"/>
    <n v="0"/>
  </r>
  <r>
    <d v="2023-08-08T00:00:00"/>
    <n v="2023"/>
    <x v="27"/>
    <s v="R"/>
    <s v="RS"/>
    <x v="11"/>
    <s v="CON"/>
    <s v="H"/>
    <n v="2"/>
    <n v="3"/>
    <n v="-1"/>
    <n v="1"/>
    <n v="-8"/>
    <n v="8"/>
    <n v="1423.3615627890504"/>
    <n v="1657.2108628756687"/>
    <n v="0.27793953033041235"/>
    <n v="69"/>
    <n v="81"/>
    <n v="0"/>
    <n v="-12"/>
    <n v="0"/>
    <n v="0.38173839584033226"/>
    <n v="1"/>
    <n v="71.8"/>
    <n v="71.8"/>
    <n v="-7.617993674234393"/>
    <n v="1415.743569114816"/>
    <n v="0"/>
    <n v="1"/>
    <n v="0"/>
    <n v="0"/>
    <n v="0"/>
    <n v="0"/>
    <n v="0"/>
    <n v="0"/>
    <n v="0"/>
    <n v="0"/>
  </r>
  <r>
    <d v="2023-08-10T00:00:00"/>
    <n v="2023"/>
    <x v="29"/>
    <s v="R"/>
    <s v="RS"/>
    <x v="5"/>
    <s v="IND"/>
    <s v="A"/>
    <n v="1"/>
    <n v="1"/>
    <n v="0"/>
    <n v="0"/>
    <n v="0"/>
    <n v="0"/>
    <n v="1484.5952433486036"/>
    <n v="1302.9684390478224"/>
    <n v="0.63691172048517941"/>
    <n v="73"/>
    <n v="91"/>
    <n v="0"/>
    <n v="-18"/>
    <n v="0"/>
    <n v="0.47494787775464292"/>
    <n v="1"/>
    <n v="71.5"/>
    <n v="71.5"/>
    <n v="-21.628740702246841"/>
    <n v="1462.9665026463567"/>
    <n v="0"/>
    <n v="1"/>
    <n v="0"/>
    <n v="0"/>
    <n v="0"/>
    <n v="0"/>
    <n v="0"/>
    <n v="0"/>
    <n v="0"/>
    <n v="0"/>
  </r>
  <r>
    <d v="2023-08-10T00:00:00"/>
    <n v="2023"/>
    <x v="29"/>
    <s v="R"/>
    <s v="RS"/>
    <x v="1"/>
    <s v="MIN"/>
    <s v="H"/>
    <n v="1"/>
    <n v="1"/>
    <n v="0"/>
    <n v="0"/>
    <n v="0"/>
    <n v="0"/>
    <n v="1302.9684390478224"/>
    <n v="1484.5952433486036"/>
    <n v="0.36308827951482059"/>
    <n v="91"/>
    <n v="73"/>
    <n v="0"/>
    <n v="18"/>
    <n v="1"/>
    <n v="0.47494787775464292"/>
    <n v="1"/>
    <n v="71.5"/>
    <n v="71.5"/>
    <n v="21.628740702246841"/>
    <n v="1324.5971797500692"/>
    <n v="1"/>
    <n v="0"/>
    <n v="0"/>
    <n v="0"/>
    <n v="0"/>
    <n v="0"/>
    <n v="0"/>
    <n v="0"/>
    <n v="0"/>
    <n v="0"/>
  </r>
  <r>
    <d v="2023-08-10T00:00:00"/>
    <n v="2023"/>
    <x v="28"/>
    <s v="R"/>
    <s v="RS"/>
    <x v="0"/>
    <s v="PHX"/>
    <s v="A"/>
    <n v="1"/>
    <n v="1"/>
    <n v="0"/>
    <n v="0"/>
    <n v="0"/>
    <n v="0"/>
    <n v="1664.8288565499031"/>
    <n v="1384.6537301683804"/>
    <n v="0.75570504192304722"/>
    <n v="84"/>
    <n v="90"/>
    <n v="0"/>
    <n v="-6"/>
    <n v="0"/>
    <n v="0.28478854008288257"/>
    <n v="1"/>
    <n v="71.650000000000006"/>
    <n v="71.650000000000006"/>
    <n v="-15.420236117354861"/>
    <n v="1649.4086204325483"/>
    <n v="0"/>
    <n v="1"/>
    <n v="0"/>
    <n v="0"/>
    <n v="0"/>
    <n v="0"/>
    <n v="0"/>
    <n v="0"/>
    <n v="0"/>
    <n v="0"/>
  </r>
  <r>
    <d v="2023-08-10T00:00:00"/>
    <n v="2023"/>
    <x v="28"/>
    <s v="R"/>
    <s v="RS"/>
    <x v="2"/>
    <s v="CON"/>
    <s v="H"/>
    <n v="1"/>
    <n v="1"/>
    <n v="0"/>
    <n v="0"/>
    <n v="0"/>
    <n v="0"/>
    <n v="1384.6537301683804"/>
    <n v="1664.8288565499031"/>
    <n v="0.24429495807695273"/>
    <n v="90"/>
    <n v="84"/>
    <n v="0"/>
    <n v="6"/>
    <n v="1"/>
    <n v="0.28478854008288257"/>
    <n v="1"/>
    <n v="71.650000000000006"/>
    <n v="71.650000000000006"/>
    <n v="15.420236117354863"/>
    <n v="1400.0739662857352"/>
    <n v="1"/>
    <n v="0"/>
    <n v="0"/>
    <n v="0"/>
    <n v="0"/>
    <n v="0"/>
    <n v="0"/>
    <n v="0"/>
    <n v="0"/>
    <n v="0"/>
  </r>
  <r>
    <d v="2023-08-10T00:00:00"/>
    <n v="2023"/>
    <x v="28"/>
    <s v="R"/>
    <s v="RS"/>
    <x v="8"/>
    <s v="SEA"/>
    <s v="A"/>
    <n v="3"/>
    <n v="1"/>
    <n v="2"/>
    <n v="-2"/>
    <n v="16"/>
    <n v="-16"/>
    <n v="1495.9906124650299"/>
    <n v="1415.743569114816"/>
    <n v="0.5405614329230477"/>
    <n v="67"/>
    <n v="68"/>
    <n v="0"/>
    <n v="-1"/>
    <n v="0"/>
    <n v="0.22887426819715539"/>
    <n v="1"/>
    <n v="71.650000000000006"/>
    <n v="71.650000000000006"/>
    <n v="-8.8645811602309603"/>
    <n v="1487.126031304799"/>
    <n v="0"/>
    <n v="1"/>
    <n v="0"/>
    <n v="0"/>
    <n v="0"/>
    <n v="0"/>
    <n v="0"/>
    <n v="0"/>
    <n v="0"/>
    <n v="0"/>
  </r>
  <r>
    <d v="2023-08-10T00:00:00"/>
    <n v="2023"/>
    <x v="28"/>
    <s v="R"/>
    <s v="RS"/>
    <x v="11"/>
    <s v="ATL"/>
    <s v="H"/>
    <n v="1"/>
    <n v="3"/>
    <n v="-2"/>
    <n v="2"/>
    <n v="-16"/>
    <n v="16"/>
    <n v="1415.743569114816"/>
    <n v="1495.9906124650299"/>
    <n v="0.4594385670769523"/>
    <n v="68"/>
    <n v="67"/>
    <n v="0"/>
    <n v="1"/>
    <n v="1"/>
    <n v="0.22887426819715539"/>
    <n v="1"/>
    <n v="71.650000000000006"/>
    <n v="71.650000000000006"/>
    <n v="8.8645811602309603"/>
    <n v="1424.6081502750469"/>
    <n v="1"/>
    <n v="0"/>
    <n v="0"/>
    <n v="0"/>
    <n v="0"/>
    <n v="0"/>
    <n v="0"/>
    <n v="0"/>
    <n v="0"/>
    <n v="0"/>
  </r>
  <r>
    <d v="2023-08-11T00:00:00"/>
    <n v="2023"/>
    <x v="28"/>
    <s v="R"/>
    <s v="RS"/>
    <x v="7"/>
    <s v="LVA"/>
    <s v="A"/>
    <n v="2"/>
    <n v="2"/>
    <n v="0"/>
    <n v="0"/>
    <n v="0"/>
    <n v="0"/>
    <n v="1452.5010160606557"/>
    <n v="1743.6550609045837"/>
    <n v="0.10344122465839932"/>
    <n v="89"/>
    <n v="113"/>
    <n v="0"/>
    <n v="-24"/>
    <n v="0"/>
    <n v="0.50572717147858048"/>
    <n v="1"/>
    <n v="71.650000000000006"/>
    <n v="71.650000000000006"/>
    <n v="-3.7482291698893628"/>
    <n v="1448.7527868907664"/>
    <n v="0"/>
    <n v="1"/>
    <n v="0"/>
    <n v="0"/>
    <n v="0"/>
    <n v="0"/>
    <n v="0"/>
    <n v="0"/>
    <n v="0"/>
    <n v="0"/>
  </r>
  <r>
    <d v="2023-08-11T00:00:00"/>
    <n v="2023"/>
    <x v="28"/>
    <s v="R"/>
    <s v="RS"/>
    <x v="10"/>
    <s v="WAS"/>
    <s v="H"/>
    <n v="2"/>
    <n v="2"/>
    <n v="0"/>
    <n v="0"/>
    <n v="0"/>
    <n v="0"/>
    <n v="1743.6550609045837"/>
    <n v="1452.5010160606557"/>
    <n v="0.89655877534160056"/>
    <n v="113"/>
    <n v="89"/>
    <n v="0"/>
    <n v="24"/>
    <n v="1"/>
    <n v="0.50572717147858048"/>
    <n v="1"/>
    <n v="71.650000000000006"/>
    <n v="71.650000000000006"/>
    <n v="3.7482291698893673"/>
    <n v="1747.403290074473"/>
    <n v="1"/>
    <n v="0"/>
    <n v="0"/>
    <n v="0"/>
    <n v="0"/>
    <n v="0"/>
    <n v="0"/>
    <n v="0"/>
    <n v="0"/>
    <n v="0"/>
  </r>
  <r>
    <d v="2023-08-11T00:00:00"/>
    <n v="2023"/>
    <x v="28"/>
    <s v="R"/>
    <s v="RS"/>
    <x v="4"/>
    <s v="NYL"/>
    <s v="A"/>
    <n v="2"/>
    <n v="4"/>
    <n v="-2"/>
    <n v="2"/>
    <n v="-16"/>
    <n v="16"/>
    <n v="1470.1525670937215"/>
    <n v="1658.3072856385174"/>
    <n v="0.14793935189737767"/>
    <n v="73"/>
    <n v="89"/>
    <n v="0"/>
    <n v="-16"/>
    <n v="0"/>
    <n v="0.44760373641018125"/>
    <n v="1"/>
    <n v="71.650000000000006"/>
    <n v="71.650000000000006"/>
    <n v="-4.7445345080034382"/>
    <n v="1465.408032585718"/>
    <n v="0"/>
    <n v="1"/>
    <n v="0"/>
    <n v="0"/>
    <n v="0"/>
    <n v="0"/>
    <n v="0"/>
    <n v="0"/>
    <n v="0"/>
    <n v="0"/>
  </r>
  <r>
    <d v="2023-08-11T00:00:00"/>
    <n v="2023"/>
    <x v="28"/>
    <s v="R"/>
    <s v="RS"/>
    <x v="6"/>
    <s v="CHI"/>
    <s v="H"/>
    <n v="4"/>
    <n v="2"/>
    <n v="2"/>
    <n v="-2"/>
    <n v="16"/>
    <n v="-16"/>
    <n v="1658.3072856385174"/>
    <n v="1470.1525670937215"/>
    <n v="0.85206064810262228"/>
    <n v="89"/>
    <n v="73"/>
    <n v="0"/>
    <n v="16"/>
    <n v="1"/>
    <n v="0.44760373641018125"/>
    <n v="1"/>
    <n v="71.650000000000006"/>
    <n v="71.650000000000006"/>
    <n v="4.74453450800344"/>
    <n v="1663.0518201465209"/>
    <n v="1"/>
    <n v="0"/>
    <n v="0"/>
    <n v="0"/>
    <n v="0"/>
    <n v="0"/>
    <n v="0"/>
    <n v="0"/>
    <n v="0"/>
    <n v="0"/>
  </r>
  <r>
    <d v="2023-08-12T00:00:00"/>
    <n v="2023"/>
    <x v="29"/>
    <s v="R"/>
    <s v="RS"/>
    <x v="0"/>
    <s v="DAL"/>
    <s v="A"/>
    <n v="1"/>
    <n v="3"/>
    <n v="-2"/>
    <n v="2"/>
    <n v="-16"/>
    <n v="16"/>
    <n v="1649.4086204325483"/>
    <n v="1523.3391782489089"/>
    <n v="0.51448703618306313"/>
    <n v="81"/>
    <n v="91"/>
    <n v="0"/>
    <n v="-10"/>
    <n v="0"/>
    <n v="0.38290275233446236"/>
    <n v="1"/>
    <n v="71.5"/>
    <n v="71.5"/>
    <n v="-14.085392906934993"/>
    <n v="1635.3232275256134"/>
    <n v="0"/>
    <n v="1"/>
    <n v="0"/>
    <n v="0"/>
    <n v="0"/>
    <n v="0"/>
    <n v="0"/>
    <n v="0"/>
    <n v="0"/>
    <n v="0"/>
  </r>
  <r>
    <d v="2023-08-12T00:00:00"/>
    <n v="2023"/>
    <x v="29"/>
    <s v="R"/>
    <s v="RS"/>
    <x v="9"/>
    <s v="CON"/>
    <s v="H"/>
    <n v="3"/>
    <n v="1"/>
    <n v="2"/>
    <n v="-2"/>
    <n v="16"/>
    <n v="-16"/>
    <n v="1523.3391782489089"/>
    <n v="1649.4086204325483"/>
    <n v="0.48551296381693687"/>
    <n v="91"/>
    <n v="81"/>
    <n v="0"/>
    <n v="10"/>
    <n v="1"/>
    <n v="0.38290275233446236"/>
    <n v="1"/>
    <n v="71.5"/>
    <n v="71.5"/>
    <n v="14.085392906934993"/>
    <n v="1537.4245711558438"/>
    <n v="1"/>
    <n v="0"/>
    <n v="0"/>
    <n v="0"/>
    <n v="0"/>
    <n v="0"/>
    <n v="0"/>
    <n v="0"/>
    <n v="0"/>
    <n v="0"/>
  </r>
  <r>
    <d v="2023-08-12T00:00:00"/>
    <n v="2023"/>
    <x v="29"/>
    <s v="R"/>
    <s v="RS"/>
    <x v="8"/>
    <s v="LAS"/>
    <s v="A"/>
    <n v="1"/>
    <n v="3"/>
    <n v="-2"/>
    <n v="2"/>
    <n v="-16"/>
    <n v="16"/>
    <n v="1487.126031304799"/>
    <n v="1403.7692825765957"/>
    <n v="0.45316032998972461"/>
    <n v="74"/>
    <n v="85"/>
    <n v="0"/>
    <n v="-11"/>
    <n v="0"/>
    <n v="0.41126768907570449"/>
    <n v="1"/>
    <n v="71.5"/>
    <n v="71.5"/>
    <n v="-13.325469421239525"/>
    <n v="1473.8005618835593"/>
    <n v="0"/>
    <n v="1"/>
    <n v="0"/>
    <n v="0"/>
    <n v="0"/>
    <n v="0"/>
    <n v="0"/>
    <n v="0"/>
    <n v="0"/>
    <n v="0"/>
  </r>
  <r>
    <d v="2023-08-12T00:00:00"/>
    <n v="2023"/>
    <x v="29"/>
    <s v="R"/>
    <s v="RS"/>
    <x v="3"/>
    <s v="ATL"/>
    <s v="H"/>
    <n v="3"/>
    <n v="1"/>
    <n v="2"/>
    <n v="-2"/>
    <n v="16"/>
    <n v="-16"/>
    <n v="1403.7692825765957"/>
    <n v="1487.126031304799"/>
    <n v="0.54683967001027534"/>
    <n v="85"/>
    <n v="74"/>
    <n v="0"/>
    <n v="11"/>
    <n v="1"/>
    <n v="0.41126768907570449"/>
    <n v="1"/>
    <n v="71.5"/>
    <n v="71.5"/>
    <n v="13.325469421239527"/>
    <n v="1417.0947519978354"/>
    <n v="1"/>
    <n v="0"/>
    <n v="0"/>
    <n v="0"/>
    <n v="0"/>
    <n v="0"/>
    <n v="0"/>
    <n v="0"/>
    <n v="0"/>
    <n v="0"/>
  </r>
  <r>
    <d v="2023-08-13T00:00:00"/>
    <n v="2023"/>
    <x v="29"/>
    <s v="R"/>
    <s v="RS"/>
    <x v="6"/>
    <s v="IND"/>
    <s v="A"/>
    <n v="1"/>
    <n v="2"/>
    <n v="-1"/>
    <n v="1"/>
    <n v="-8"/>
    <n v="8"/>
    <n v="1663.0518201465209"/>
    <n v="1324.5971797500692"/>
    <n v="0.79780881055928965"/>
    <n v="100"/>
    <n v="89"/>
    <n v="0"/>
    <n v="11"/>
    <n v="1"/>
    <n v="0.34307359505454482"/>
    <n v="1"/>
    <n v="71.5"/>
    <n v="71.5"/>
    <n v="4.9597017648591999"/>
    <n v="1668.01152191138"/>
    <n v="1"/>
    <n v="0"/>
    <n v="0"/>
    <n v="0"/>
    <n v="0"/>
    <n v="0"/>
    <n v="0"/>
    <n v="0"/>
    <n v="0"/>
    <n v="0"/>
  </r>
  <r>
    <d v="2023-08-13T00:00:00"/>
    <n v="2023"/>
    <x v="30"/>
    <s v="R"/>
    <s v="RS"/>
    <x v="1"/>
    <s v="NYL"/>
    <s v="H"/>
    <n v="2"/>
    <n v="1"/>
    <n v="1"/>
    <n v="-1"/>
    <n v="8"/>
    <n v="-8"/>
    <n v="1324.5971797500692"/>
    <n v="1663.0518201465209"/>
    <n v="0.20219118944071035"/>
    <n v="89"/>
    <n v="100"/>
    <n v="0"/>
    <n v="-11"/>
    <n v="0"/>
    <n v="0.34307359505454482"/>
    <n v="1"/>
    <n v="71.349999999999994"/>
    <n v="71.349999999999994"/>
    <n v="-4.9492967961217325"/>
    <n v="1319.6478829539476"/>
    <n v="0"/>
    <n v="1"/>
    <n v="0"/>
    <n v="0"/>
    <n v="0"/>
    <n v="0"/>
    <n v="0"/>
    <n v="0"/>
    <n v="0"/>
    <n v="0"/>
  </r>
  <r>
    <d v="2023-08-13T00:00:00"/>
    <n v="2023"/>
    <x v="30"/>
    <s v="R"/>
    <s v="RS"/>
    <x v="8"/>
    <s v="LVA"/>
    <s v="A"/>
    <n v="0"/>
    <n v="1"/>
    <n v="-1"/>
    <n v="1"/>
    <n v="-8"/>
    <n v="8"/>
    <n v="1473.8005618835593"/>
    <n v="1747.403290074473"/>
    <n v="0.10427234971415777"/>
    <n v="65"/>
    <n v="86"/>
    <n v="0"/>
    <n v="-21"/>
    <n v="0"/>
    <n v="0.47929576527859169"/>
    <n v="1"/>
    <n v="71.349999999999994"/>
    <n v="71.349999999999994"/>
    <n v="-3.5658800448875132"/>
    <n v="1470.2346818386718"/>
    <n v="0"/>
    <n v="1"/>
    <n v="0"/>
    <n v="0"/>
    <n v="0"/>
    <n v="0"/>
    <n v="0"/>
    <n v="0"/>
    <n v="0"/>
    <n v="0"/>
  </r>
  <r>
    <d v="2023-08-13T00:00:00"/>
    <n v="2023"/>
    <x v="29"/>
    <s v="R"/>
    <s v="RS"/>
    <x v="10"/>
    <s v="ATL"/>
    <s v="H"/>
    <n v="1"/>
    <n v="0"/>
    <n v="1"/>
    <n v="-1"/>
    <n v="8"/>
    <n v="-8"/>
    <n v="1747.403290074473"/>
    <n v="1473.8005618835593"/>
    <n v="0.89572765028584234"/>
    <n v="86"/>
    <n v="65"/>
    <n v="0"/>
    <n v="21"/>
    <n v="1"/>
    <n v="0.47929576527859169"/>
    <n v="1"/>
    <n v="71.5"/>
    <n v="71.5"/>
    <n v="3.5733766392355557"/>
    <n v="1750.9766667137085"/>
    <n v="1"/>
    <n v="0"/>
    <n v="0"/>
    <n v="0"/>
    <n v="0"/>
    <n v="0"/>
    <n v="0"/>
    <n v="0"/>
    <n v="0"/>
    <n v="0"/>
  </r>
  <r>
    <d v="2023-08-13T00:00:00"/>
    <n v="2023"/>
    <x v="29"/>
    <s v="R"/>
    <s v="RS"/>
    <x v="2"/>
    <s v="SEA"/>
    <s v="A"/>
    <n v="2"/>
    <n v="2"/>
    <n v="0"/>
    <n v="0"/>
    <n v="0"/>
    <n v="0"/>
    <n v="1400.0739662857352"/>
    <n v="1424.6081502750469"/>
    <n v="0.348696690252426"/>
    <n v="71"/>
    <n v="81"/>
    <n v="0"/>
    <n v="-10"/>
    <n v="0"/>
    <n v="0.41465207410099764"/>
    <n v="1"/>
    <n v="71.5"/>
    <n v="71.5"/>
    <n v="-10.338028117940491"/>
    <n v="1389.7359381677948"/>
    <n v="0"/>
    <n v="1"/>
    <n v="0"/>
    <n v="0"/>
    <n v="0"/>
    <n v="0"/>
    <n v="0"/>
    <n v="0"/>
    <n v="0"/>
    <n v="0"/>
  </r>
  <r>
    <d v="2023-08-13T00:00:00"/>
    <n v="2023"/>
    <x v="29"/>
    <s v="R"/>
    <s v="RS"/>
    <x v="11"/>
    <s v="PHX"/>
    <s v="H"/>
    <n v="2"/>
    <n v="2"/>
    <n v="0"/>
    <n v="0"/>
    <n v="0"/>
    <n v="0"/>
    <n v="1424.6081502750469"/>
    <n v="1400.0739662857352"/>
    <n v="0.651303309747574"/>
    <n v="81"/>
    <n v="71"/>
    <n v="0"/>
    <n v="10"/>
    <n v="1"/>
    <n v="0.41465207410099764"/>
    <n v="1"/>
    <n v="71.5"/>
    <n v="71.5"/>
    <n v="10.338028117940491"/>
    <n v="1434.9461783929873"/>
    <n v="1"/>
    <n v="0"/>
    <n v="0"/>
    <n v="0"/>
    <n v="0"/>
    <n v="0"/>
    <n v="0"/>
    <n v="0"/>
    <n v="0"/>
    <n v="0"/>
  </r>
  <r>
    <d v="2023-08-13T00:00:00"/>
    <n v="2023"/>
    <x v="29"/>
    <s v="R"/>
    <s v="RS"/>
    <x v="4"/>
    <s v="WAS"/>
    <s v="A"/>
    <n v="1"/>
    <n v="1"/>
    <n v="0"/>
    <n v="0"/>
    <n v="0"/>
    <n v="0"/>
    <n v="1465.408032585718"/>
    <n v="1448.7527868907664"/>
    <n v="0.40427891199838034"/>
    <n v="76"/>
    <n v="83"/>
    <n v="0"/>
    <n v="-7"/>
    <n v="0"/>
    <n v="0.36504063789319252"/>
    <n v="1"/>
    <n v="71.5"/>
    <n v="71.5"/>
    <n v="-10.551843582469804"/>
    <n v="1454.8561890032483"/>
    <n v="0"/>
    <n v="1"/>
    <n v="0"/>
    <n v="0"/>
    <n v="0"/>
    <n v="0"/>
    <n v="0"/>
    <n v="0"/>
    <n v="0"/>
    <n v="0"/>
  </r>
  <r>
    <d v="2023-08-13T00:00:00"/>
    <n v="2023"/>
    <x v="29"/>
    <s v="R"/>
    <s v="RS"/>
    <x v="7"/>
    <s v="CHI"/>
    <s v="H"/>
    <n v="1"/>
    <n v="1"/>
    <n v="0"/>
    <n v="0"/>
    <n v="0"/>
    <n v="0"/>
    <n v="1448.7527868907664"/>
    <n v="1465.408032585718"/>
    <n v="0.5957210880016196"/>
    <n v="83"/>
    <n v="76"/>
    <n v="0"/>
    <n v="7"/>
    <n v="1"/>
    <n v="0.36504063789319252"/>
    <n v="1"/>
    <n v="71.5"/>
    <n v="71.5"/>
    <n v="10.551843582469806"/>
    <n v="1459.3046304732361"/>
    <n v="1"/>
    <n v="0"/>
    <n v="0"/>
    <n v="0"/>
    <n v="0"/>
    <n v="0"/>
    <n v="0"/>
    <n v="0"/>
    <n v="0"/>
    <n v="0"/>
  </r>
  <r>
    <d v="2023-08-15T00:00:00"/>
    <n v="2023"/>
    <x v="30"/>
    <s v="P"/>
    <n v="0.1"/>
    <x v="6"/>
    <s v="LVA"/>
    <s v="A"/>
    <n v="1"/>
    <n v="1"/>
    <n v="0"/>
    <n v="0"/>
    <n v="0"/>
    <n v="0"/>
    <n v="1668.01152191138"/>
    <n v="1750.9766667137085"/>
    <n v="0.27665228052439422"/>
    <n v="82"/>
    <n v="63"/>
    <n v="0"/>
    <n v="19"/>
    <n v="1"/>
    <n v="0.52470099440732521"/>
    <n v="1.02"/>
    <n v="71.349999999999994"/>
    <n v="72.777000000000001"/>
    <n v="27.621874840212271"/>
    <n v="1695.6333967515923"/>
    <n v="0"/>
    <n v="0"/>
    <n v="0"/>
    <n v="0"/>
    <n v="0"/>
    <n v="0"/>
    <n v="0"/>
    <n v="0"/>
    <n v="0"/>
    <n v="0"/>
  </r>
  <r>
    <d v="2023-08-15T00:00:00"/>
    <n v="2023"/>
    <x v="30"/>
    <s v="P"/>
    <n v="0.1"/>
    <x v="10"/>
    <s v="NYL"/>
    <s v="H"/>
    <n v="1"/>
    <n v="1"/>
    <n v="0"/>
    <n v="0"/>
    <n v="0"/>
    <n v="0"/>
    <n v="1750.9766667137085"/>
    <n v="1668.01152191138"/>
    <n v="0.72334771947560572"/>
    <n v="63"/>
    <n v="82"/>
    <n v="0"/>
    <n v="-19"/>
    <n v="0"/>
    <n v="0.52470099440732521"/>
    <n v="1.02"/>
    <n v="71.349999999999994"/>
    <n v="72.777000000000001"/>
    <n v="-27.621874840212271"/>
    <n v="1723.3547918734962"/>
    <n v="0"/>
    <n v="0"/>
    <n v="0"/>
    <n v="0"/>
    <n v="0"/>
    <n v="0"/>
    <n v="0"/>
    <n v="0"/>
    <n v="0"/>
    <n v="0"/>
  </r>
  <r>
    <d v="2023-08-17T00:00:00"/>
    <n v="2023"/>
    <x v="31"/>
    <s v="R"/>
    <s v="RS"/>
    <x v="6"/>
    <s v="LVA"/>
    <s v="A"/>
    <n v="1"/>
    <n v="1"/>
    <n v="0"/>
    <n v="0"/>
    <n v="0"/>
    <n v="0"/>
    <n v="1695.6333967515923"/>
    <n v="1723.3547918734962"/>
    <n v="0.34454158935506896"/>
    <n v="75"/>
    <n v="88"/>
    <n v="0"/>
    <n v="-13"/>
    <n v="0"/>
    <n v="0.46138522064339882"/>
    <n v="1"/>
    <n v="71.2"/>
    <n v="71.2"/>
    <n v="-11.318407482449606"/>
    <n v="1684.3149892691426"/>
    <n v="0"/>
    <n v="1"/>
    <n v="0"/>
    <n v="0"/>
    <n v="0"/>
    <n v="0"/>
    <n v="0"/>
    <n v="0"/>
    <n v="0"/>
    <n v="0"/>
  </r>
  <r>
    <d v="2023-08-17T00:00:00"/>
    <n v="2023"/>
    <x v="31"/>
    <s v="R"/>
    <s v="RS"/>
    <x v="10"/>
    <s v="NYL"/>
    <s v="H"/>
    <n v="1"/>
    <n v="1"/>
    <n v="0"/>
    <n v="0"/>
    <n v="0"/>
    <n v="0"/>
    <n v="1723.3547918734962"/>
    <n v="1695.6333967515923"/>
    <n v="0.65545841064493104"/>
    <n v="88"/>
    <n v="75"/>
    <n v="0"/>
    <n v="13"/>
    <n v="1"/>
    <n v="0.46138522064339882"/>
    <n v="1"/>
    <n v="71.2"/>
    <n v="71.2"/>
    <n v="11.318407482449606"/>
    <n v="1734.6731993559458"/>
    <n v="1"/>
    <n v="0"/>
    <n v="0"/>
    <n v="0"/>
    <n v="0"/>
    <n v="0"/>
    <n v="0"/>
    <n v="0"/>
    <n v="0"/>
    <n v="0"/>
  </r>
  <r>
    <d v="2023-08-18T00:00:00"/>
    <n v="2023"/>
    <x v="30"/>
    <s v="R"/>
    <s v="RS"/>
    <x v="4"/>
    <s v="ATL"/>
    <s v="A"/>
    <n v="4"/>
    <n v="4"/>
    <n v="0"/>
    <n v="0"/>
    <n v="0"/>
    <n v="0"/>
    <n v="1454.8561890032483"/>
    <n v="1470.2346818386718"/>
    <n v="0.3607596455494928"/>
    <n v="67"/>
    <n v="78"/>
    <n v="0"/>
    <n v="-11"/>
    <n v="0"/>
    <n v="0.43427061398611438"/>
    <n v="1"/>
    <n v="71.349999999999994"/>
    <n v="71.349999999999994"/>
    <n v="-11.178212766438543"/>
    <n v="1443.6779762368099"/>
    <n v="0"/>
    <n v="1"/>
    <n v="0"/>
    <n v="0"/>
    <n v="0"/>
    <n v="0"/>
    <n v="0"/>
    <n v="0"/>
    <n v="0"/>
    <n v="0"/>
  </r>
  <r>
    <d v="2023-08-18T00:00:00"/>
    <n v="2023"/>
    <x v="31"/>
    <s v="R"/>
    <s v="RS"/>
    <x v="8"/>
    <s v="CHI"/>
    <s v="H"/>
    <n v="4"/>
    <n v="4"/>
    <n v="0"/>
    <n v="0"/>
    <n v="0"/>
    <n v="0"/>
    <n v="1470.2346818386718"/>
    <n v="1454.8561890032483"/>
    <n v="0.6392403544505072"/>
    <n v="78"/>
    <n v="67"/>
    <n v="0"/>
    <n v="11"/>
    <n v="1"/>
    <n v="0.43427061398611438"/>
    <n v="1"/>
    <n v="71.2"/>
    <n v="71.2"/>
    <n v="11.154712669522416"/>
    <n v="1481.3893945081943"/>
    <n v="1"/>
    <n v="0"/>
    <n v="0"/>
    <n v="0"/>
    <n v="0"/>
    <n v="0"/>
    <n v="0"/>
    <n v="0"/>
    <n v="0"/>
    <n v="0"/>
  </r>
  <r>
    <d v="2023-08-18T00:00:00"/>
    <n v="2023"/>
    <x v="30"/>
    <s v="R"/>
    <s v="RS"/>
    <x v="9"/>
    <s v="CON"/>
    <s v="A"/>
    <n v="5"/>
    <n v="5"/>
    <n v="0"/>
    <n v="0"/>
    <n v="0"/>
    <n v="0"/>
    <n v="1537.4245711558438"/>
    <n v="1635.3232275256134"/>
    <n v="0.25978374665195259"/>
    <n v="95"/>
    <n v="75"/>
    <n v="0"/>
    <n v="20"/>
    <n v="1"/>
    <n v="0.53152442014245038"/>
    <n v="1"/>
    <n v="71.349999999999994"/>
    <n v="71.349999999999994"/>
    <n v="28.072159108893789"/>
    <n v="1565.4967302647376"/>
    <n v="1"/>
    <n v="0"/>
    <n v="0"/>
    <n v="0"/>
    <n v="0"/>
    <n v="0"/>
    <n v="0"/>
    <n v="0"/>
    <n v="0"/>
    <n v="0"/>
  </r>
  <r>
    <d v="2023-08-18T00:00:00"/>
    <n v="2023"/>
    <x v="30"/>
    <s v="R"/>
    <s v="RS"/>
    <x v="0"/>
    <s v="DAL"/>
    <s v="H"/>
    <n v="5"/>
    <n v="5"/>
    <n v="0"/>
    <n v="0"/>
    <n v="0"/>
    <n v="0"/>
    <n v="1635.3232275256134"/>
    <n v="1537.4245711558438"/>
    <n v="0.74021625334804741"/>
    <n v="75"/>
    <n v="95"/>
    <n v="0"/>
    <n v="-20"/>
    <n v="0"/>
    <n v="0.53152442014245038"/>
    <n v="1"/>
    <n v="71.349999999999994"/>
    <n v="71.349999999999994"/>
    <n v="-28.072159108893789"/>
    <n v="1607.2510684167196"/>
    <n v="0"/>
    <n v="1"/>
    <n v="0"/>
    <n v="0"/>
    <n v="0"/>
    <n v="0"/>
    <n v="0"/>
    <n v="0"/>
    <n v="0"/>
    <n v="0"/>
  </r>
  <r>
    <d v="2023-08-18T00:00:00"/>
    <n v="2023"/>
    <x v="30"/>
    <s v="R"/>
    <s v="RS"/>
    <x v="7"/>
    <s v="IND"/>
    <s v="A"/>
    <n v="4"/>
    <n v="4"/>
    <n v="0"/>
    <n v="0"/>
    <n v="0"/>
    <n v="0"/>
    <n v="1459.3046304732361"/>
    <n v="1319.6478829539476"/>
    <n v="0.5794183186964883"/>
    <n v="83"/>
    <n v="79"/>
    <n v="0"/>
    <n v="4"/>
    <n v="1"/>
    <n v="0.27896644612636073"/>
    <n v="1"/>
    <n v="71.349999999999994"/>
    <n v="71.349999999999994"/>
    <n v="8.3713654246040932"/>
    <n v="1467.6759958978403"/>
    <n v="1"/>
    <n v="0"/>
    <n v="0"/>
    <n v="0"/>
    <n v="0"/>
    <n v="0"/>
    <n v="0"/>
    <n v="0"/>
    <n v="0"/>
    <n v="0"/>
  </r>
  <r>
    <d v="2023-08-18T00:00:00"/>
    <n v="2023"/>
    <x v="31"/>
    <s v="R"/>
    <s v="RS"/>
    <x v="1"/>
    <s v="WAS"/>
    <s v="H"/>
    <n v="4"/>
    <n v="4"/>
    <n v="0"/>
    <n v="0"/>
    <n v="0"/>
    <n v="0"/>
    <n v="1319.6478829539476"/>
    <n v="1459.3046304732361"/>
    <n v="0.4205816813035117"/>
    <n v="79"/>
    <n v="83"/>
    <n v="0"/>
    <n v="-4"/>
    <n v="0"/>
    <n v="0.27896644612636073"/>
    <n v="1"/>
    <n v="71.2"/>
    <n v="71.2"/>
    <n v="-8.3537661980632318"/>
    <n v="1311.2941167558843"/>
    <n v="0"/>
    <n v="1"/>
    <n v="0"/>
    <n v="0"/>
    <n v="0"/>
    <n v="0"/>
    <n v="0"/>
    <n v="0"/>
    <n v="0"/>
    <n v="0"/>
  </r>
  <r>
    <d v="2023-08-18T00:00:00"/>
    <n v="2023"/>
    <x v="32"/>
    <s v="R"/>
    <s v="RS"/>
    <x v="6"/>
    <s v="PHX"/>
    <s v="A"/>
    <n v="0"/>
    <n v="4"/>
    <n v="-4"/>
    <n v="4"/>
    <n v="-16"/>
    <n v="16"/>
    <n v="1684.3149892691426"/>
    <n v="1389.7359381677948"/>
    <n v="0.73652479810990645"/>
    <n v="85"/>
    <n v="63"/>
    <n v="0"/>
    <n v="22"/>
    <n v="1"/>
    <n v="0.48339189891081702"/>
    <n v="1"/>
    <n v="71.05"/>
    <n v="71.05"/>
    <n v="9.0490543380948658"/>
    <n v="1693.3640436072376"/>
    <n v="1"/>
    <n v="0"/>
    <n v="0"/>
    <n v="0"/>
    <n v="0"/>
    <n v="0"/>
    <n v="0"/>
    <n v="0"/>
    <n v="0"/>
    <n v="0"/>
  </r>
  <r>
    <d v="2023-08-18T00:00:00"/>
    <n v="2023"/>
    <x v="30"/>
    <s v="R"/>
    <s v="RS"/>
    <x v="2"/>
    <s v="NYL"/>
    <s v="H"/>
    <n v="4"/>
    <n v="0"/>
    <n v="4"/>
    <n v="-4"/>
    <n v="16"/>
    <n v="-16"/>
    <n v="1389.7359381677948"/>
    <n v="1684.3149892691426"/>
    <n v="0.26347520189009355"/>
    <n v="63"/>
    <n v="85"/>
    <n v="0"/>
    <n v="-22"/>
    <n v="0"/>
    <n v="0.48339189891081702"/>
    <n v="1"/>
    <n v="71.349999999999994"/>
    <n v="71.349999999999994"/>
    <n v="-9.0872628715421335"/>
    <n v="1380.6486752962526"/>
    <n v="0"/>
    <n v="1"/>
    <n v="0"/>
    <n v="0"/>
    <n v="0"/>
    <n v="0"/>
    <n v="0"/>
    <n v="0"/>
    <n v="0"/>
    <n v="0"/>
  </r>
  <r>
    <d v="2023-08-18T00:00:00"/>
    <n v="2023"/>
    <x v="30"/>
    <s v="R"/>
    <s v="RS"/>
    <x v="5"/>
    <s v="SEA"/>
    <s v="A"/>
    <n v="7"/>
    <n v="4"/>
    <n v="3"/>
    <n v="-3"/>
    <n v="16"/>
    <n v="-16"/>
    <n v="1462.9665026463567"/>
    <n v="1434.9461783929873"/>
    <n v="0.46554516521767036"/>
    <n v="78"/>
    <n v="70"/>
    <n v="0"/>
    <n v="8"/>
    <n v="1"/>
    <n v="0.37945515460985502"/>
    <n v="1"/>
    <n v="71.349999999999994"/>
    <n v="71.349999999999994"/>
    <n v="14.469897154153761"/>
    <n v="1477.4363998005106"/>
    <n v="1"/>
    <n v="0"/>
    <n v="0"/>
    <n v="0"/>
    <n v="0"/>
    <n v="0"/>
    <n v="0"/>
    <n v="0"/>
    <n v="0"/>
    <n v="0"/>
  </r>
  <r>
    <d v="2023-08-18T00:00:00"/>
    <n v="2023"/>
    <x v="30"/>
    <s v="R"/>
    <s v="RS"/>
    <x v="11"/>
    <s v="MIN"/>
    <s v="H"/>
    <n v="4"/>
    <n v="7"/>
    <n v="-3"/>
    <n v="3"/>
    <n v="-16"/>
    <n v="16"/>
    <n v="1434.9461783929873"/>
    <n v="1462.9665026463567"/>
    <n v="0.53445483478232969"/>
    <n v="70"/>
    <n v="78"/>
    <n v="0"/>
    <n v="-8"/>
    <n v="0"/>
    <n v="0.37945515460985502"/>
    <n v="1"/>
    <n v="71.349999999999994"/>
    <n v="71.349999999999994"/>
    <n v="-14.469897154153761"/>
    <n v="1420.4762812388335"/>
    <n v="0"/>
    <n v="1"/>
    <n v="0"/>
    <n v="0"/>
    <n v="0"/>
    <n v="0"/>
    <n v="0"/>
    <n v="0"/>
    <n v="0"/>
    <n v="0"/>
  </r>
  <r>
    <d v="2023-08-19T00:00:00"/>
    <n v="2023"/>
    <x v="30"/>
    <s v="R"/>
    <s v="RS"/>
    <x v="3"/>
    <s v="LVA"/>
    <s v="A"/>
    <n v="6"/>
    <n v="1"/>
    <n v="5"/>
    <n v="-5"/>
    <n v="16"/>
    <n v="-16"/>
    <n v="1417.0947519978354"/>
    <n v="1734.6731993559458"/>
    <n v="0.10645593006006342"/>
    <n v="78"/>
    <n v="72"/>
    <n v="0"/>
    <n v="6"/>
    <n v="1"/>
    <n v="0.27776943857039232"/>
    <n v="1"/>
    <n v="71.349999999999994"/>
    <n v="71.349999999999994"/>
    <n v="17.709015391929277"/>
    <n v="1434.8037673897647"/>
    <n v="1"/>
    <n v="0"/>
    <n v="0"/>
    <n v="0"/>
    <n v="0"/>
    <n v="0"/>
    <n v="0"/>
    <n v="0"/>
    <n v="0"/>
    <n v="0"/>
  </r>
  <r>
    <d v="2023-08-19T00:00:00"/>
    <n v="2023"/>
    <x v="32"/>
    <s v="R"/>
    <s v="RS"/>
    <x v="10"/>
    <s v="LAS"/>
    <s v="H"/>
    <n v="1"/>
    <n v="6"/>
    <n v="-5"/>
    <n v="5"/>
    <n v="-16"/>
    <n v="16"/>
    <n v="1734.6731993559458"/>
    <n v="1417.0947519978354"/>
    <n v="0.89354406993993651"/>
    <n v="72"/>
    <n v="78"/>
    <n v="0"/>
    <n v="-6"/>
    <n v="0"/>
    <n v="0.27776943857039232"/>
    <n v="1"/>
    <n v="71.05"/>
    <n v="71.05"/>
    <n v="-17.634555621535743"/>
    <n v="1717.03864373441"/>
    <n v="0"/>
    <n v="1"/>
    <n v="0"/>
    <n v="0"/>
    <n v="0"/>
    <n v="0"/>
    <n v="0"/>
    <n v="0"/>
    <n v="0"/>
    <n v="0"/>
  </r>
  <r>
    <d v="2023-08-20T00:00:00"/>
    <n v="2023"/>
    <x v="31"/>
    <s v="R"/>
    <s v="RS"/>
    <x v="0"/>
    <s v="CHI"/>
    <s v="A"/>
    <n v="1"/>
    <n v="1"/>
    <n v="0"/>
    <n v="0"/>
    <n v="0"/>
    <n v="0"/>
    <n v="1607.2510684167196"/>
    <n v="1443.6779762368099"/>
    <n v="0.61255374417742126"/>
    <n v="79"/>
    <n v="73"/>
    <n v="0"/>
    <n v="6"/>
    <n v="1"/>
    <n v="0.3091414136335659"/>
    <n v="1"/>
    <n v="71.2"/>
    <n v="71.2"/>
    <n v="8.5280286461201236"/>
    <n v="1615.7790970628398"/>
    <n v="1"/>
    <n v="0"/>
    <n v="0"/>
    <n v="0"/>
    <n v="0"/>
    <n v="0"/>
    <n v="0"/>
    <n v="0"/>
    <n v="0"/>
    <n v="0"/>
  </r>
  <r>
    <d v="2023-08-20T00:00:00"/>
    <n v="2023"/>
    <x v="31"/>
    <s v="R"/>
    <s v="RS"/>
    <x v="4"/>
    <s v="CON"/>
    <s v="H"/>
    <n v="1"/>
    <n v="1"/>
    <n v="0"/>
    <n v="0"/>
    <n v="0"/>
    <n v="0"/>
    <n v="1443.6779762368099"/>
    <n v="1607.2510684167196"/>
    <n v="0.38744625582257869"/>
    <n v="73"/>
    <n v="79"/>
    <n v="0"/>
    <n v="-6"/>
    <n v="0"/>
    <n v="0.3091414136335659"/>
    <n v="1"/>
    <n v="71.2"/>
    <n v="71.2"/>
    <n v="-8.5280286461201218"/>
    <n v="1435.1499475906896"/>
    <n v="0"/>
    <n v="1"/>
    <n v="0"/>
    <n v="0"/>
    <n v="0"/>
    <n v="0"/>
    <n v="0"/>
    <n v="0"/>
    <n v="0"/>
    <n v="0"/>
  </r>
  <r>
    <d v="2023-08-20T00:00:00"/>
    <n v="2023"/>
    <x v="31"/>
    <s v="R"/>
    <s v="RS"/>
    <x v="11"/>
    <s v="MIN"/>
    <s v="A"/>
    <n v="1"/>
    <n v="1"/>
    <n v="0"/>
    <n v="0"/>
    <n v="0"/>
    <n v="0"/>
    <n v="1420.4762812388335"/>
    <n v="1477.4363998005106"/>
    <n v="0.30758549959307946"/>
    <n v="88"/>
    <n v="74"/>
    <n v="0"/>
    <n v="14"/>
    <n v="1"/>
    <n v="0.46551176572768099"/>
    <n v="1"/>
    <n v="71.2"/>
    <n v="71.2"/>
    <n v="22.949689285031148"/>
    <n v="1443.4259705238646"/>
    <n v="1"/>
    <n v="0"/>
    <n v="0"/>
    <n v="0"/>
    <n v="0"/>
    <n v="0"/>
    <n v="0"/>
    <n v="0"/>
    <n v="0"/>
    <n v="0"/>
  </r>
  <r>
    <d v="2023-08-20T00:00:00"/>
    <n v="2023"/>
    <x v="31"/>
    <s v="R"/>
    <s v="RS"/>
    <x v="5"/>
    <s v="SEA"/>
    <s v="H"/>
    <n v="1"/>
    <n v="1"/>
    <n v="0"/>
    <n v="0"/>
    <n v="0"/>
    <n v="0"/>
    <n v="1477.4363998005106"/>
    <n v="1420.4762812388335"/>
    <n v="0.69241450040692054"/>
    <n v="74"/>
    <n v="88"/>
    <n v="0"/>
    <n v="-14"/>
    <n v="0"/>
    <n v="0.46551176572768099"/>
    <n v="1"/>
    <n v="71.2"/>
    <n v="71.2"/>
    <n v="-22.949689285031148"/>
    <n v="1454.4867105154794"/>
    <n v="0"/>
    <n v="1"/>
    <n v="0"/>
    <n v="0"/>
    <n v="0"/>
    <n v="0"/>
    <n v="0"/>
    <n v="0"/>
    <n v="0"/>
    <n v="0"/>
  </r>
  <r>
    <d v="2023-08-20T00:00:00"/>
    <n v="2023"/>
    <x v="32"/>
    <s v="R"/>
    <s v="RS"/>
    <x v="1"/>
    <s v="PHX"/>
    <s v="A"/>
    <n v="1"/>
    <n v="1"/>
    <n v="0"/>
    <n v="0"/>
    <n v="0"/>
    <n v="0"/>
    <n v="1311.2941167558843"/>
    <n v="1380.6486752962526"/>
    <n v="0.29260206718471327"/>
    <n v="83"/>
    <n v="73"/>
    <n v="0"/>
    <n v="10"/>
    <n v="1"/>
    <n v="0.40001088410050639"/>
    <n v="1"/>
    <n v="71.05"/>
    <n v="71.05"/>
    <n v="20.104796292284071"/>
    <n v="1331.3989130481684"/>
    <n v="1"/>
    <n v="0"/>
    <n v="0"/>
    <n v="0"/>
    <n v="0"/>
    <n v="0"/>
    <n v="0"/>
    <n v="0"/>
    <n v="0"/>
    <n v="0"/>
  </r>
  <r>
    <d v="2023-08-20T00:00:00"/>
    <n v="2023"/>
    <x v="31"/>
    <s v="R"/>
    <s v="RS"/>
    <x v="2"/>
    <s v="IND"/>
    <s v="H"/>
    <n v="1"/>
    <n v="1"/>
    <n v="0"/>
    <n v="0"/>
    <n v="0"/>
    <n v="0"/>
    <n v="1380.6486752962526"/>
    <n v="1311.2941167558843"/>
    <n v="0.70739793281528673"/>
    <n v="73"/>
    <n v="83"/>
    <n v="0"/>
    <n v="-10"/>
    <n v="0"/>
    <n v="0.40001088410050639"/>
    <n v="1"/>
    <n v="71.2"/>
    <n v="71.2"/>
    <n v="-20.14724132316152"/>
    <n v="1360.501433973091"/>
    <n v="0"/>
    <n v="1"/>
    <n v="0"/>
    <n v="0"/>
    <n v="0"/>
    <n v="0"/>
    <n v="0"/>
    <n v="0"/>
    <n v="0"/>
    <n v="0"/>
  </r>
  <r>
    <d v="2023-08-20T00:00:00"/>
    <n v="2023"/>
    <x v="31"/>
    <s v="R"/>
    <s v="RS"/>
    <x v="9"/>
    <s v="WAS"/>
    <s v="A"/>
    <n v="1"/>
    <n v="1"/>
    <n v="0"/>
    <n v="0"/>
    <n v="0"/>
    <n v="0"/>
    <n v="1565.4967302647376"/>
    <n v="1467.6759958978403"/>
    <n v="0.51987915115955741"/>
    <n v="97"/>
    <n v="84"/>
    <n v="0"/>
    <n v="13"/>
    <n v="1"/>
    <n v="0.43646436813422296"/>
    <n v="1"/>
    <n v="71.2"/>
    <n v="71.2"/>
    <n v="14.920361775705391"/>
    <n v="1580.4170920404431"/>
    <n v="1"/>
    <n v="0"/>
    <n v="0"/>
    <n v="0"/>
    <n v="0"/>
    <n v="0"/>
    <n v="0"/>
    <n v="0"/>
    <n v="0"/>
    <n v="0"/>
  </r>
  <r>
    <d v="2023-08-20T00:00:00"/>
    <n v="2023"/>
    <x v="31"/>
    <s v="R"/>
    <s v="RS"/>
    <x v="7"/>
    <s v="DAL"/>
    <s v="H"/>
    <n v="1"/>
    <n v="1"/>
    <n v="0"/>
    <n v="0"/>
    <n v="0"/>
    <n v="0"/>
    <n v="1467.6759958978403"/>
    <n v="1565.4967302647376"/>
    <n v="0.48012084884044259"/>
    <n v="84"/>
    <n v="97"/>
    <n v="0"/>
    <n v="-13"/>
    <n v="0"/>
    <n v="0.43646436813422296"/>
    <n v="1"/>
    <n v="71.2"/>
    <n v="71.2"/>
    <n v="-14.920361775705391"/>
    <n v="1452.7556341221348"/>
    <n v="0"/>
    <n v="1"/>
    <n v="0"/>
    <n v="0"/>
    <n v="0"/>
    <n v="0"/>
    <n v="0"/>
    <n v="0"/>
    <n v="0"/>
    <n v="0"/>
  </r>
  <r>
    <d v="2023-08-22T00:00:00"/>
    <n v="2023"/>
    <x v="33"/>
    <s v="R"/>
    <s v="RS"/>
    <x v="10"/>
    <s v="ATL"/>
    <s v="A"/>
    <n v="2"/>
    <n v="3"/>
    <n v="-1"/>
    <n v="1"/>
    <n v="-8"/>
    <n v="8"/>
    <n v="1717.03864373441"/>
    <n v="1481.3893945081943"/>
    <n v="0.68586540124484574"/>
    <n v="112"/>
    <n v="100"/>
    <n v="0"/>
    <n v="12"/>
    <n v="1"/>
    <n v="0.38125979029129969"/>
    <n v="1"/>
    <n v="70.900000000000006"/>
    <n v="70.900000000000006"/>
    <n v="8.4914725892443865"/>
    <n v="1725.5301163236545"/>
    <n v="1"/>
    <n v="0"/>
    <n v="0"/>
    <n v="0"/>
    <n v="0"/>
    <n v="0"/>
    <n v="0"/>
    <n v="0"/>
    <n v="0"/>
    <n v="0"/>
  </r>
  <r>
    <d v="2023-08-22T00:00:00"/>
    <n v="2023"/>
    <x v="32"/>
    <s v="R"/>
    <s v="RS"/>
    <x v="8"/>
    <s v="LVA"/>
    <s v="H"/>
    <n v="3"/>
    <n v="2"/>
    <n v="1"/>
    <n v="-1"/>
    <n v="8"/>
    <n v="-8"/>
    <n v="1481.3893945081943"/>
    <n v="1717.03864373441"/>
    <n v="0.31413459875515432"/>
    <n v="100"/>
    <n v="112"/>
    <n v="0"/>
    <n v="-12"/>
    <n v="0"/>
    <n v="0.38125979029129969"/>
    <n v="1"/>
    <n v="71.05"/>
    <n v="71.05"/>
    <n v="-8.5094376229310829"/>
    <n v="1472.8799568852633"/>
    <n v="0"/>
    <n v="1"/>
    <n v="0"/>
    <n v="0"/>
    <n v="0"/>
    <n v="0"/>
    <n v="0"/>
    <n v="0"/>
    <n v="0"/>
    <n v="0"/>
  </r>
  <r>
    <d v="2023-08-22T00:00:00"/>
    <n v="2023"/>
    <x v="32"/>
    <s v="R"/>
    <s v="RS"/>
    <x v="11"/>
    <s v="CHI"/>
    <s v="A"/>
    <n v="1"/>
    <n v="1"/>
    <n v="0"/>
    <n v="0"/>
    <n v="0"/>
    <n v="0"/>
    <n v="1443.4259705238646"/>
    <n v="1435.1499475906896"/>
    <n v="0.3927178125669738"/>
    <n v="79"/>
    <n v="102"/>
    <n v="0"/>
    <n v="-23"/>
    <n v="0"/>
    <n v="0.61112304561154096"/>
    <n v="1"/>
    <n v="71.05"/>
    <n v="71.05"/>
    <n v="-17.051922248694115"/>
    <n v="1426.3740482751705"/>
    <n v="0"/>
    <n v="1"/>
    <n v="0"/>
    <n v="0"/>
    <n v="0"/>
    <n v="0"/>
    <n v="0"/>
    <n v="0"/>
    <n v="0"/>
    <n v="0"/>
  </r>
  <r>
    <d v="2023-08-22T00:00:00"/>
    <n v="2023"/>
    <x v="32"/>
    <s v="R"/>
    <s v="RS"/>
    <x v="4"/>
    <s v="SEA"/>
    <s v="H"/>
    <n v="1"/>
    <n v="1"/>
    <n v="0"/>
    <n v="0"/>
    <n v="0"/>
    <n v="0"/>
    <n v="1435.1499475906896"/>
    <n v="1443.4259705238646"/>
    <n v="0.6072821874330262"/>
    <n v="102"/>
    <n v="79"/>
    <n v="0"/>
    <n v="23"/>
    <n v="1"/>
    <n v="0.61112304561154096"/>
    <n v="1"/>
    <n v="71.05"/>
    <n v="71.05"/>
    <n v="17.051922248694115"/>
    <n v="1452.2018698393838"/>
    <n v="1"/>
    <n v="0"/>
    <n v="0"/>
    <n v="0"/>
    <n v="0"/>
    <n v="0"/>
    <n v="0"/>
    <n v="0"/>
    <n v="0"/>
    <n v="0"/>
  </r>
  <r>
    <d v="2023-08-22T00:00:00"/>
    <n v="2023"/>
    <x v="32"/>
    <s v="R"/>
    <s v="RS"/>
    <x v="9"/>
    <s v="MIN"/>
    <s v="A"/>
    <n v="1"/>
    <n v="1"/>
    <n v="0"/>
    <n v="0"/>
    <n v="0"/>
    <n v="0"/>
    <n v="1580.4170920404431"/>
    <n v="1454.4867105154794"/>
    <n v="0.56005140376554308"/>
    <n v="86"/>
    <n v="91"/>
    <n v="0"/>
    <n v="-5"/>
    <n v="0"/>
    <n v="0.30024741577731323"/>
    <n v="1"/>
    <n v="71.05"/>
    <n v="71.05"/>
    <n v="-11.94734075383148"/>
    <n v="1568.4697512866117"/>
    <n v="0"/>
    <n v="1"/>
    <n v="0"/>
    <n v="0"/>
    <n v="0"/>
    <n v="0"/>
    <n v="0"/>
    <n v="0"/>
    <n v="0"/>
    <n v="0"/>
  </r>
  <r>
    <d v="2023-08-22T00:00:00"/>
    <n v="2023"/>
    <x v="32"/>
    <s v="R"/>
    <s v="RS"/>
    <x v="5"/>
    <s v="DAL"/>
    <s v="H"/>
    <n v="1"/>
    <n v="1"/>
    <n v="0"/>
    <n v="0"/>
    <n v="0"/>
    <n v="0"/>
    <n v="1454.4867105154794"/>
    <n v="1580.4170920404431"/>
    <n v="0.43994859623445687"/>
    <n v="91"/>
    <n v="86"/>
    <n v="0"/>
    <n v="5"/>
    <n v="1"/>
    <n v="0.30024741577731323"/>
    <n v="1"/>
    <n v="71.05"/>
    <n v="71.05"/>
    <n v="11.94734075383148"/>
    <n v="1466.4340512693109"/>
    <n v="1"/>
    <n v="0"/>
    <n v="0"/>
    <n v="0"/>
    <n v="0"/>
    <n v="0"/>
    <n v="0"/>
    <n v="0"/>
    <n v="0"/>
    <n v="0"/>
  </r>
  <r>
    <d v="2023-08-22T00:00:00"/>
    <n v="2023"/>
    <x v="32"/>
    <s v="R"/>
    <s v="RS"/>
    <x v="0"/>
    <s v="WAS"/>
    <s v="A"/>
    <n v="1"/>
    <n v="1"/>
    <n v="0"/>
    <n v="0"/>
    <n v="0"/>
    <n v="0"/>
    <n v="1615.7790970628398"/>
    <n v="1452.7556341221348"/>
    <n v="0.61180257888181766"/>
    <n v="68"/>
    <n v="64"/>
    <n v="0"/>
    <n v="4"/>
    <n v="1"/>
    <n v="0.27418404161463283"/>
    <n v="1"/>
    <n v="71.05"/>
    <n v="71.05"/>
    <n v="7.5623870654191485"/>
    <n v="1623.341484128259"/>
    <n v="1"/>
    <n v="0"/>
    <n v="0"/>
    <n v="0"/>
    <n v="0"/>
    <n v="0"/>
    <n v="0"/>
    <n v="0"/>
    <n v="0"/>
    <n v="0"/>
  </r>
  <r>
    <d v="2023-08-22T00:00:00"/>
    <n v="2023"/>
    <x v="32"/>
    <s v="R"/>
    <s v="RS"/>
    <x v="7"/>
    <s v="CON"/>
    <s v="H"/>
    <n v="1"/>
    <n v="1"/>
    <n v="0"/>
    <n v="0"/>
    <n v="0"/>
    <n v="0"/>
    <n v="1452.7556341221348"/>
    <n v="1615.7790970628398"/>
    <n v="0.38819742111818228"/>
    <n v="64"/>
    <n v="68"/>
    <n v="0"/>
    <n v="-4"/>
    <n v="0"/>
    <n v="0.27418404161463283"/>
    <n v="1"/>
    <n v="71.05"/>
    <n v="71.05"/>
    <n v="-7.5623870654191476"/>
    <n v="1445.1932470567156"/>
    <n v="0"/>
    <n v="1"/>
    <n v="0"/>
    <n v="0"/>
    <n v="0"/>
    <n v="0"/>
    <n v="0"/>
    <n v="0"/>
    <n v="0"/>
    <n v="0"/>
  </r>
  <r>
    <d v="2023-08-23T00:00:00"/>
    <n v="2023"/>
    <x v="32"/>
    <s v="R"/>
    <s v="RS"/>
    <x v="2"/>
    <s v="LAS"/>
    <s v="A"/>
    <n v="2"/>
    <n v="3"/>
    <n v="-1"/>
    <n v="1"/>
    <n v="-8"/>
    <n v="8"/>
    <n v="1360.501433973091"/>
    <n v="1434.8037673897647"/>
    <n v="0.26828035912074044"/>
    <n v="62"/>
    <n v="91"/>
    <n v="0"/>
    <n v="-29"/>
    <n v="0"/>
    <n v="0.65105079246673037"/>
    <n v="1"/>
    <n v="71.05"/>
    <n v="71.05"/>
    <n v="-12.409887176046453"/>
    <n v="1348.0915467970447"/>
    <n v="0"/>
    <n v="1"/>
    <n v="0"/>
    <n v="0"/>
    <n v="0"/>
    <n v="0"/>
    <n v="0"/>
    <n v="0"/>
    <n v="0"/>
    <n v="0"/>
  </r>
  <r>
    <d v="2023-08-23T00:00:00"/>
    <n v="2023"/>
    <x v="31"/>
    <s v="R"/>
    <s v="RS"/>
    <x v="3"/>
    <s v="PHX"/>
    <s v="H"/>
    <n v="3"/>
    <n v="2"/>
    <n v="1"/>
    <n v="-1"/>
    <n v="8"/>
    <n v="-8"/>
    <n v="1434.8037673897647"/>
    <n v="1360.501433973091"/>
    <n v="0.73171964087925956"/>
    <n v="91"/>
    <n v="62"/>
    <n v="0"/>
    <n v="29"/>
    <n v="1"/>
    <n v="0.65105079246673037"/>
    <n v="1"/>
    <n v="71.2"/>
    <n v="71.2"/>
    <n v="12.436086797107777"/>
    <n v="1447.2398541868724"/>
    <n v="1"/>
    <n v="0"/>
    <n v="0"/>
    <n v="0"/>
    <n v="0"/>
    <n v="0"/>
    <n v="0"/>
    <n v="0"/>
    <n v="0"/>
    <n v="0"/>
  </r>
  <r>
    <d v="2023-08-24T00:00:00"/>
    <n v="2023"/>
    <x v="34"/>
    <s v="R"/>
    <s v="RS"/>
    <x v="10"/>
    <s v="CHI"/>
    <s v="A"/>
    <n v="1"/>
    <n v="1"/>
    <n v="0"/>
    <n v="0"/>
    <n v="0"/>
    <n v="0"/>
    <n v="1725.5301163236545"/>
    <n v="1452.2018698393838"/>
    <n v="0.74835554517306657"/>
    <n v="94"/>
    <n v="87"/>
    <n v="0"/>
    <n v="7"/>
    <n v="1"/>
    <n v="0.30144579664741095"/>
    <n v="1"/>
    <n v="70.75"/>
    <n v="70.75"/>
    <n v="5.3668942933724919"/>
    <n v="1730.897010617027"/>
    <n v="1"/>
    <n v="0"/>
    <n v="0"/>
    <n v="0"/>
    <n v="0"/>
    <n v="0"/>
    <n v="0"/>
    <n v="0"/>
    <n v="0"/>
    <n v="0"/>
  </r>
  <r>
    <d v="2023-08-24T00:00:00"/>
    <n v="2023"/>
    <x v="33"/>
    <s v="R"/>
    <s v="RS"/>
    <x v="4"/>
    <s v="LVA"/>
    <s v="H"/>
    <n v="1"/>
    <n v="1"/>
    <n v="0"/>
    <n v="0"/>
    <n v="0"/>
    <n v="0"/>
    <n v="1452.2018698393838"/>
    <n v="1725.5301163236545"/>
    <n v="0.25164445482693348"/>
    <n v="87"/>
    <n v="94"/>
    <n v="0"/>
    <n v="-7"/>
    <n v="0"/>
    <n v="0.30144579664741095"/>
    <n v="1"/>
    <n v="70.900000000000006"/>
    <n v="70.900000000000006"/>
    <n v="-5.3782728678460749"/>
    <n v="1446.8235969715377"/>
    <n v="0"/>
    <n v="1"/>
    <n v="0"/>
    <n v="0"/>
    <n v="0"/>
    <n v="0"/>
    <n v="0"/>
    <n v="0"/>
    <n v="0"/>
    <n v="0"/>
  </r>
  <r>
    <d v="2023-08-24T00:00:00"/>
    <n v="2023"/>
    <x v="33"/>
    <s v="R"/>
    <s v="RS"/>
    <x v="6"/>
    <s v="CON"/>
    <s v="A"/>
    <n v="5"/>
    <n v="1"/>
    <n v="4"/>
    <n v="-4"/>
    <n v="16"/>
    <n v="-16"/>
    <n v="1693.3640436072376"/>
    <n v="1623.341484128259"/>
    <n v="0.52591330949726489"/>
    <n v="95"/>
    <n v="90"/>
    <n v="1"/>
    <n v="5"/>
    <n v="1"/>
    <n v="0.28211818036140807"/>
    <n v="1"/>
    <n v="70.900000000000006"/>
    <n v="70.900000000000006"/>
    <n v="9.4827668390859312"/>
    <n v="1702.8468104463236"/>
    <n v="1"/>
    <n v="0"/>
    <n v="0"/>
    <n v="0"/>
    <n v="0"/>
    <n v="0"/>
    <n v="0"/>
    <n v="0"/>
    <n v="0"/>
    <n v="0"/>
  </r>
  <r>
    <d v="2023-08-24T00:00:00"/>
    <n v="2023"/>
    <x v="33"/>
    <s v="R"/>
    <s v="RS"/>
    <x v="0"/>
    <s v="NYL"/>
    <s v="H"/>
    <n v="1"/>
    <n v="5"/>
    <n v="-4"/>
    <n v="4"/>
    <n v="-16"/>
    <n v="16"/>
    <n v="1623.341484128259"/>
    <n v="1693.3640436072376"/>
    <n v="0.47408669050273511"/>
    <n v="90"/>
    <n v="95"/>
    <n v="1"/>
    <n v="-5"/>
    <n v="0"/>
    <n v="0.28211818036140807"/>
    <n v="1"/>
    <n v="70.900000000000006"/>
    <n v="70.900000000000006"/>
    <n v="-9.4827668390859312"/>
    <n v="1613.858717289173"/>
    <n v="0"/>
    <n v="1"/>
    <n v="0"/>
    <n v="0"/>
    <n v="0"/>
    <n v="0"/>
    <n v="0"/>
    <n v="0"/>
    <n v="0"/>
    <n v="0"/>
  </r>
  <r>
    <d v="2023-08-24T00:00:00"/>
    <n v="2023"/>
    <x v="33"/>
    <s v="R"/>
    <s v="RS"/>
    <x v="5"/>
    <s v="DAL"/>
    <s v="A"/>
    <n v="1"/>
    <n v="1"/>
    <n v="0"/>
    <n v="0"/>
    <n v="0"/>
    <n v="0"/>
    <n v="1466.4340512693109"/>
    <n v="1568.4697512866117"/>
    <n v="0.25523052699937188"/>
    <n v="90"/>
    <n v="81"/>
    <n v="0"/>
    <n v="9"/>
    <n v="1"/>
    <n v="0.37415704697668289"/>
    <n v="1"/>
    <n v="70.900000000000006"/>
    <n v="70.900000000000006"/>
    <n v="19.757046940767342"/>
    <n v="1486.1910982100783"/>
    <n v="1"/>
    <n v="0"/>
    <n v="0"/>
    <n v="0"/>
    <n v="0"/>
    <n v="0"/>
    <n v="0"/>
    <n v="0"/>
    <n v="0"/>
    <n v="0"/>
  </r>
  <r>
    <d v="2023-08-24T00:00:00"/>
    <n v="2023"/>
    <x v="33"/>
    <s v="R"/>
    <s v="RS"/>
    <x v="9"/>
    <s v="MIN"/>
    <s v="H"/>
    <n v="1"/>
    <n v="1"/>
    <n v="0"/>
    <n v="0"/>
    <n v="0"/>
    <n v="0"/>
    <n v="1568.4697512866117"/>
    <n v="1466.4340512693109"/>
    <n v="0.74476947300062812"/>
    <n v="81"/>
    <n v="90"/>
    <n v="0"/>
    <n v="-9"/>
    <n v="0"/>
    <n v="0.37415704697668289"/>
    <n v="1"/>
    <n v="70.900000000000006"/>
    <n v="70.900000000000006"/>
    <n v="-19.757046940767342"/>
    <n v="1548.7127043458443"/>
    <n v="0"/>
    <n v="1"/>
    <n v="0"/>
    <n v="0"/>
    <n v="0"/>
    <n v="0"/>
    <n v="0"/>
    <n v="0"/>
    <n v="0"/>
    <n v="0"/>
  </r>
  <r>
    <d v="2023-08-24T00:00:00"/>
    <n v="2023"/>
    <x v="33"/>
    <s v="R"/>
    <s v="RS"/>
    <x v="11"/>
    <s v="IND"/>
    <s v="A"/>
    <n v="1"/>
    <n v="3"/>
    <n v="-2"/>
    <n v="2"/>
    <n v="-16"/>
    <n v="16"/>
    <n v="1426.3740482751705"/>
    <n v="1331.3989130481684"/>
    <n v="0.469779667276152"/>
    <n v="86"/>
    <n v="90"/>
    <n v="0"/>
    <n v="-4"/>
    <n v="0"/>
    <n v="0.28859185919360858"/>
    <n v="1"/>
    <n v="70.900000000000006"/>
    <n v="70.900000000000006"/>
    <n v="-9.6122382601720897"/>
    <n v="1416.7618100149984"/>
    <n v="0"/>
    <n v="1"/>
    <n v="0"/>
    <n v="0"/>
    <n v="0"/>
    <n v="0"/>
    <n v="0"/>
    <n v="0"/>
    <n v="0"/>
    <n v="0"/>
  </r>
  <r>
    <d v="2023-08-24T00:00:00"/>
    <n v="2023"/>
    <x v="33"/>
    <s v="R"/>
    <s v="RS"/>
    <x v="1"/>
    <s v="SEA"/>
    <s v="H"/>
    <n v="3"/>
    <n v="1"/>
    <n v="2"/>
    <n v="-2"/>
    <n v="16"/>
    <n v="-16"/>
    <n v="1331.3989130481684"/>
    <n v="1426.3740482751705"/>
    <n v="0.53022033272384794"/>
    <n v="90"/>
    <n v="86"/>
    <n v="0"/>
    <n v="4"/>
    <n v="1"/>
    <n v="0.28859185919360858"/>
    <n v="1"/>
    <n v="70.900000000000006"/>
    <n v="70.900000000000006"/>
    <n v="9.6122382601720915"/>
    <n v="1341.0111513083405"/>
    <n v="1"/>
    <n v="0"/>
    <n v="0"/>
    <n v="0"/>
    <n v="0"/>
    <n v="0"/>
    <n v="0"/>
    <n v="0"/>
    <n v="0"/>
    <n v="0"/>
  </r>
  <r>
    <d v="2023-08-25T00:00:00"/>
    <n v="2023"/>
    <x v="32"/>
    <s v="R"/>
    <s v="RS"/>
    <x v="3"/>
    <s v="ATL"/>
    <s v="A"/>
    <n v="1"/>
    <n v="2"/>
    <n v="-1"/>
    <n v="1"/>
    <n v="-8"/>
    <n v="8"/>
    <n v="1447.2398541868724"/>
    <n v="1472.8799568852633"/>
    <n v="0.32667934719634356"/>
    <n v="83"/>
    <n v="78"/>
    <n v="0"/>
    <n v="5"/>
    <n v="1"/>
    <n v="0.3248157184780569"/>
    <n v="1"/>
    <n v="71.05"/>
    <n v="71.05"/>
    <n v="15.538999600644235"/>
    <n v="1462.7788537875167"/>
    <n v="1"/>
    <n v="0"/>
    <n v="0"/>
    <n v="0"/>
    <n v="0"/>
    <n v="0"/>
    <n v="0"/>
    <n v="0"/>
    <n v="0"/>
    <n v="0"/>
  </r>
  <r>
    <d v="2023-08-25T00:00:00"/>
    <n v="2023"/>
    <x v="33"/>
    <s v="R"/>
    <s v="RS"/>
    <x v="8"/>
    <s v="LAS"/>
    <s v="H"/>
    <n v="2"/>
    <n v="1"/>
    <n v="1"/>
    <n v="-1"/>
    <n v="8"/>
    <n v="-8"/>
    <n v="1472.8799568852633"/>
    <n v="1447.2398541868724"/>
    <n v="0.67332065280365649"/>
    <n v="78"/>
    <n v="83"/>
    <n v="0"/>
    <n v="-5"/>
    <n v="0"/>
    <n v="0.3248157184780569"/>
    <n v="1"/>
    <n v="70.900000000000006"/>
    <n v="70.900000000000006"/>
    <n v="-15.506193830903261"/>
    <n v="1457.3737630543601"/>
    <n v="0"/>
    <n v="1"/>
    <n v="0"/>
    <n v="0"/>
    <n v="0"/>
    <n v="0"/>
    <n v="0"/>
    <n v="0"/>
    <n v="0"/>
    <n v="0"/>
  </r>
  <r>
    <d v="2023-08-26T00:00:00"/>
    <n v="2023"/>
    <x v="34"/>
    <s v="R"/>
    <s v="RS"/>
    <x v="6"/>
    <s v="MIN"/>
    <s v="A"/>
    <n v="1"/>
    <n v="1"/>
    <n v="0"/>
    <n v="0"/>
    <n v="0"/>
    <n v="0"/>
    <n v="1702.8468104463236"/>
    <n v="1486.1910982100783"/>
    <n v="0.68214082017017408"/>
    <n v="111"/>
    <n v="76"/>
    <n v="0"/>
    <n v="35"/>
    <n v="1"/>
    <n v="0.6456121243537043"/>
    <n v="1"/>
    <n v="70.75"/>
    <n v="70.75"/>
    <n v="14.518872128719646"/>
    <n v="1717.3656825750434"/>
    <n v="1"/>
    <n v="0"/>
    <n v="0"/>
    <n v="0"/>
    <n v="0"/>
    <n v="0"/>
    <n v="0"/>
    <n v="0"/>
    <n v="0"/>
    <n v="0"/>
  </r>
  <r>
    <d v="2023-08-26T00:00:00"/>
    <n v="2023"/>
    <x v="34"/>
    <s v="R"/>
    <s v="RS"/>
    <x v="5"/>
    <s v="NYL"/>
    <s v="H"/>
    <n v="1"/>
    <n v="1"/>
    <n v="0"/>
    <n v="0"/>
    <n v="0"/>
    <n v="0"/>
    <n v="1486.1910982100783"/>
    <n v="1702.8468104463236"/>
    <n v="0.31785917982982592"/>
    <n v="76"/>
    <n v="111"/>
    <n v="0"/>
    <n v="-35"/>
    <n v="0"/>
    <n v="0.6456121243537043"/>
    <n v="1"/>
    <n v="70.75"/>
    <n v="70.75"/>
    <n v="-14.518872128719646"/>
    <n v="1471.6722260813585"/>
    <n v="0"/>
    <n v="1"/>
    <n v="0"/>
    <n v="0"/>
    <n v="0"/>
    <n v="0"/>
    <n v="0"/>
    <n v="0"/>
    <n v="0"/>
    <n v="0"/>
  </r>
  <r>
    <d v="2023-08-26T00:00:00"/>
    <n v="2023"/>
    <x v="35"/>
    <s v="R"/>
    <s v="RS"/>
    <x v="10"/>
    <s v="WAS"/>
    <s v="A"/>
    <n v="1"/>
    <n v="3"/>
    <n v="-2"/>
    <n v="2"/>
    <n v="-16"/>
    <n v="16"/>
    <n v="1730.897010617027"/>
    <n v="1445.1932470567156"/>
    <n v="0.72649136239442913"/>
    <n v="62"/>
    <n v="78"/>
    <n v="0"/>
    <n v="-16"/>
    <n v="0"/>
    <n v="0.4182147571916352"/>
    <n v="1"/>
    <n v="70.599999999999994"/>
    <n v="70.599999999999994"/>
    <n v="-21.450356256027813"/>
    <n v="1709.4466543609992"/>
    <n v="0"/>
    <n v="1"/>
    <n v="0"/>
    <n v="0"/>
    <n v="0"/>
    <n v="0"/>
    <n v="0"/>
    <n v="0"/>
    <n v="0"/>
    <n v="0"/>
  </r>
  <r>
    <d v="2023-08-26T00:00:00"/>
    <n v="2023"/>
    <x v="33"/>
    <s v="R"/>
    <s v="RS"/>
    <x v="7"/>
    <s v="LVA"/>
    <s v="H"/>
    <n v="3"/>
    <n v="1"/>
    <n v="2"/>
    <n v="-2"/>
    <n v="16"/>
    <n v="-16"/>
    <n v="1445.1932470567156"/>
    <n v="1730.897010617027"/>
    <n v="0.27350863760557093"/>
    <n v="78"/>
    <n v="62"/>
    <n v="0"/>
    <n v="16"/>
    <n v="1"/>
    <n v="0.4182147571916352"/>
    <n v="1"/>
    <n v="70.900000000000006"/>
    <n v="70.900000000000006"/>
    <n v="21.541505078645496"/>
    <n v="1466.7347521353611"/>
    <n v="1"/>
    <n v="0"/>
    <n v="0"/>
    <n v="0"/>
    <n v="0"/>
    <n v="0"/>
    <n v="0"/>
    <n v="0"/>
    <n v="0"/>
    <n v="0"/>
  </r>
  <r>
    <d v="2023-08-27T00:00:00"/>
    <n v="2023"/>
    <x v="33"/>
    <s v="R"/>
    <s v="RS"/>
    <x v="3"/>
    <s v="CON"/>
    <s v="A"/>
    <n v="1"/>
    <n v="2"/>
    <n v="-1"/>
    <n v="1"/>
    <n v="-8"/>
    <n v="8"/>
    <n v="1462.7788537875167"/>
    <n v="1613.858717289173"/>
    <n v="0.19072103450231068"/>
    <n v="68"/>
    <n v="83"/>
    <n v="0"/>
    <n v="-15"/>
    <n v="0"/>
    <n v="0.44661877506679043"/>
    <n v="1"/>
    <n v="70.900000000000006"/>
    <n v="70.900000000000006"/>
    <n v="-6.0392332719505193"/>
    <n v="1456.7396205155662"/>
    <n v="0"/>
    <n v="1"/>
    <n v="0"/>
    <n v="0"/>
    <n v="0"/>
    <n v="0"/>
    <n v="0"/>
    <n v="0"/>
    <n v="0"/>
    <n v="0"/>
  </r>
  <r>
    <d v="2023-08-27T00:00:00"/>
    <n v="2023"/>
    <x v="34"/>
    <s v="R"/>
    <s v="RS"/>
    <x v="0"/>
    <s v="LAS"/>
    <s v="H"/>
    <n v="2"/>
    <n v="1"/>
    <n v="1"/>
    <n v="-1"/>
    <n v="8"/>
    <n v="-8"/>
    <n v="1613.858717289173"/>
    <n v="1462.7788537875167"/>
    <n v="0.8092789654976893"/>
    <n v="83"/>
    <n v="68"/>
    <n v="0"/>
    <n v="15"/>
    <n v="1"/>
    <n v="0.44661877506679043"/>
    <n v="1"/>
    <n v="70.75"/>
    <n v="70.75"/>
    <n v="6.0264563327291851"/>
    <n v="1619.8851736219021"/>
    <n v="1"/>
    <n v="0"/>
    <n v="0"/>
    <n v="0"/>
    <n v="0"/>
    <n v="0"/>
    <n v="0"/>
    <n v="0"/>
    <n v="0"/>
    <n v="0"/>
  </r>
  <r>
    <d v="2023-08-27T00:00:00"/>
    <n v="2023"/>
    <x v="34"/>
    <s v="R"/>
    <s v="RS"/>
    <x v="8"/>
    <s v="IND"/>
    <s v="A"/>
    <n v="1"/>
    <n v="2"/>
    <n v="-1"/>
    <n v="1"/>
    <n v="-8"/>
    <n v="8"/>
    <n v="1457.3737630543601"/>
    <n v="1341.0111513083405"/>
    <n v="0.52353029721501698"/>
    <n v="80"/>
    <n v="83"/>
    <n v="0"/>
    <n v="-3"/>
    <n v="0"/>
    <n v="0.26453214502694766"/>
    <n v="1"/>
    <n v="70.75"/>
    <n v="70.75"/>
    <n v="-9.7982094200035359"/>
    <n v="1447.5755536343565"/>
    <n v="0"/>
    <n v="1"/>
    <n v="0"/>
    <n v="0"/>
    <n v="0"/>
    <n v="0"/>
    <n v="0"/>
    <n v="0"/>
    <n v="0"/>
    <n v="0"/>
  </r>
  <r>
    <d v="2023-08-27T00:00:00"/>
    <n v="2023"/>
    <x v="34"/>
    <s v="R"/>
    <s v="RS"/>
    <x v="1"/>
    <s v="ATL"/>
    <s v="H"/>
    <n v="2"/>
    <n v="1"/>
    <n v="1"/>
    <n v="-1"/>
    <n v="8"/>
    <n v="-8"/>
    <n v="1341.0111513083405"/>
    <n v="1457.3737630543601"/>
    <n v="0.47646970278498302"/>
    <n v="83"/>
    <n v="80"/>
    <n v="0"/>
    <n v="3"/>
    <n v="1"/>
    <n v="0.26453214502694766"/>
    <n v="1"/>
    <n v="70.75"/>
    <n v="70.75"/>
    <n v="9.7982094200035359"/>
    <n v="1350.809360728344"/>
    <n v="1"/>
    <n v="0"/>
    <n v="0"/>
    <n v="0"/>
    <n v="0"/>
    <n v="0"/>
    <n v="0"/>
    <n v="0"/>
    <n v="0"/>
    <n v="0"/>
  </r>
  <r>
    <d v="2023-08-27T00:00:00"/>
    <n v="2023"/>
    <x v="34"/>
    <s v="R"/>
    <s v="RS"/>
    <x v="9"/>
    <s v="PHX"/>
    <s v="A"/>
    <n v="2"/>
    <n v="3"/>
    <n v="-1"/>
    <n v="1"/>
    <n v="-8"/>
    <n v="8"/>
    <n v="1548.7127043458443"/>
    <n v="1348.0915467970447"/>
    <n v="0.64088835590783966"/>
    <n v="77"/>
    <n v="74"/>
    <n v="0"/>
    <n v="3"/>
    <n v="1"/>
    <n v="0.24861842436241877"/>
    <n v="1"/>
    <n v="70.75"/>
    <n v="70.75"/>
    <n v="6.3166853070506361"/>
    <n v="1555.0293896528949"/>
    <n v="1"/>
    <n v="0"/>
    <n v="0"/>
    <n v="0"/>
    <n v="0"/>
    <n v="0"/>
    <n v="0"/>
    <n v="0"/>
    <n v="0"/>
    <n v="0"/>
  </r>
  <r>
    <d v="2023-08-27T00:00:00"/>
    <n v="2023"/>
    <x v="33"/>
    <s v="R"/>
    <s v="RS"/>
    <x v="2"/>
    <s v="DAL"/>
    <s v="H"/>
    <n v="3"/>
    <n v="2"/>
    <n v="1"/>
    <n v="-1"/>
    <n v="8"/>
    <n v="-8"/>
    <n v="1348.0915467970447"/>
    <n v="1548.7127043458443"/>
    <n v="0.35911164409216029"/>
    <n v="74"/>
    <n v="77"/>
    <n v="0"/>
    <n v="-3"/>
    <n v="0"/>
    <n v="0.24861842436241877"/>
    <n v="1"/>
    <n v="70.900000000000006"/>
    <n v="70.900000000000006"/>
    <n v="-6.3300775727192944"/>
    <n v="1341.7614692243253"/>
    <n v="0"/>
    <n v="1"/>
    <n v="0"/>
    <n v="0"/>
    <n v="0"/>
    <n v="0"/>
    <n v="0"/>
    <n v="0"/>
    <n v="0"/>
    <n v="0"/>
  </r>
  <r>
    <d v="2023-08-27T00:00:00"/>
    <n v="2023"/>
    <x v="34"/>
    <s v="R"/>
    <s v="RS"/>
    <x v="4"/>
    <s v="SEA"/>
    <s v="A"/>
    <n v="2"/>
    <n v="2"/>
    <n v="0"/>
    <n v="0"/>
    <n v="0"/>
    <n v="0"/>
    <n v="1446.8235969715377"/>
    <n v="1416.7618100149984"/>
    <n v="0.42299433127086022"/>
    <n v="90"/>
    <n v="85"/>
    <n v="0"/>
    <n v="5"/>
    <n v="1"/>
    <n v="0.32364810839178054"/>
    <n v="1"/>
    <n v="70.75"/>
    <n v="70.75"/>
    <n v="13.212335619998074"/>
    <n v="1460.0359325915358"/>
    <n v="1"/>
    <n v="0"/>
    <n v="0"/>
    <n v="0"/>
    <n v="0"/>
    <n v="0"/>
    <n v="0"/>
    <n v="0"/>
    <n v="0"/>
    <n v="0"/>
  </r>
  <r>
    <d v="2023-08-27T00:00:00"/>
    <n v="2023"/>
    <x v="34"/>
    <s v="R"/>
    <s v="RS"/>
    <x v="11"/>
    <s v="CHI"/>
    <s v="H"/>
    <n v="2"/>
    <n v="2"/>
    <n v="0"/>
    <n v="0"/>
    <n v="0"/>
    <n v="0"/>
    <n v="1416.7618100149984"/>
    <n v="1446.8235969715377"/>
    <n v="0.57700566872913972"/>
    <n v="85"/>
    <n v="90"/>
    <n v="0"/>
    <n v="-5"/>
    <n v="0"/>
    <n v="0.32364810839178054"/>
    <n v="1"/>
    <n v="70.75"/>
    <n v="70.75"/>
    <n v="-13.21233561999807"/>
    <n v="1403.5494743950003"/>
    <n v="0"/>
    <n v="1"/>
    <n v="0"/>
    <n v="0"/>
    <n v="0"/>
    <n v="0"/>
    <n v="0"/>
    <n v="0"/>
    <n v="0"/>
    <n v="0"/>
  </r>
  <r>
    <d v="2023-08-28T00:00:00"/>
    <n v="2023"/>
    <x v="36"/>
    <s v="R"/>
    <s v="RS"/>
    <x v="10"/>
    <s v="NYL"/>
    <s v="A"/>
    <n v="1"/>
    <n v="1"/>
    <n v="0"/>
    <n v="0"/>
    <n v="0"/>
    <n v="0"/>
    <n v="1709.4466543609992"/>
    <n v="1717.3656825750434"/>
    <n v="0.37072018375504817"/>
    <n v="85"/>
    <n v="94"/>
    <n v="0"/>
    <n v="-9"/>
    <n v="0"/>
    <n v="0.40331000770555397"/>
    <n v="1"/>
    <n v="70.45"/>
    <n v="70.45"/>
    <n v="-10.533343033754784"/>
    <n v="1698.9133113272444"/>
    <n v="0"/>
    <n v="1"/>
    <n v="0"/>
    <n v="0"/>
    <n v="0"/>
    <n v="0"/>
    <n v="0"/>
    <n v="0"/>
    <n v="0"/>
    <n v="0"/>
  </r>
  <r>
    <d v="2023-08-28T00:00:00"/>
    <n v="2023"/>
    <x v="35"/>
    <s v="R"/>
    <s v="RS"/>
    <x v="6"/>
    <s v="LVA"/>
    <s v="H"/>
    <n v="1"/>
    <n v="1"/>
    <n v="0"/>
    <n v="0"/>
    <n v="0"/>
    <n v="0"/>
    <n v="1717.3656825750434"/>
    <n v="1709.4466543609992"/>
    <n v="0.62927981624495177"/>
    <n v="94"/>
    <n v="85"/>
    <n v="0"/>
    <n v="9"/>
    <n v="1"/>
    <n v="0.40331000770555397"/>
    <n v="1"/>
    <n v="70.599999999999994"/>
    <n v="70.599999999999994"/>
    <n v="10.555770307779813"/>
    <n v="1727.9214528828231"/>
    <n v="1"/>
    <n v="0"/>
    <n v="0"/>
    <n v="0"/>
    <n v="0"/>
    <n v="0"/>
    <n v="0"/>
    <n v="0"/>
    <n v="0"/>
    <n v="0"/>
  </r>
  <r>
    <d v="2023-08-29T00:00:00"/>
    <n v="2023"/>
    <x v="34"/>
    <s v="R"/>
    <s v="RS"/>
    <x v="2"/>
    <s v="ATL"/>
    <s v="A"/>
    <n v="1"/>
    <n v="1"/>
    <n v="0"/>
    <n v="0"/>
    <n v="0"/>
    <n v="0"/>
    <n v="1341.7614692243253"/>
    <n v="1447.5755536343565"/>
    <n v="0.25111814603166727"/>
    <n v="76"/>
    <n v="94"/>
    <n v="0"/>
    <n v="-18"/>
    <n v="0"/>
    <n v="0.5025223164506285"/>
    <n v="1"/>
    <n v="70.75"/>
    <n v="70.75"/>
    <n v="-8.9281174255984102"/>
    <n v="1332.8333517987269"/>
    <n v="0"/>
    <n v="1"/>
    <n v="0"/>
    <n v="0"/>
    <n v="0"/>
    <n v="0"/>
    <n v="0"/>
    <n v="0"/>
    <n v="0"/>
    <n v="0"/>
  </r>
  <r>
    <d v="2023-08-29T00:00:00"/>
    <n v="2023"/>
    <x v="35"/>
    <s v="R"/>
    <s v="RS"/>
    <x v="8"/>
    <s v="PHX"/>
    <s v="H"/>
    <n v="1"/>
    <n v="1"/>
    <n v="0"/>
    <n v="0"/>
    <n v="0"/>
    <n v="0"/>
    <n v="1447.5755536343565"/>
    <n v="1341.7614692243253"/>
    <n v="0.74888185396833273"/>
    <n v="94"/>
    <n v="76"/>
    <n v="0"/>
    <n v="18"/>
    <n v="1"/>
    <n v="0.5025223164506285"/>
    <n v="1"/>
    <n v="70.599999999999994"/>
    <n v="70.599999999999994"/>
    <n v="8.9091885547314167"/>
    <n v="1456.4847421890879"/>
    <n v="1"/>
    <n v="0"/>
    <n v="0"/>
    <n v="0"/>
    <n v="0"/>
    <n v="0"/>
    <n v="0"/>
    <n v="0"/>
    <n v="0"/>
    <n v="0"/>
  </r>
  <r>
    <d v="2023-08-29T00:00:00"/>
    <n v="2023"/>
    <x v="35"/>
    <s v="R"/>
    <s v="RS"/>
    <x v="4"/>
    <s v="LAS"/>
    <s v="A"/>
    <n v="1"/>
    <n v="1"/>
    <n v="0"/>
    <n v="0"/>
    <n v="0"/>
    <n v="0"/>
    <n v="1460.0359325915358"/>
    <n v="1456.7396205155662"/>
    <n v="0.38590278237215003"/>
    <n v="76"/>
    <n v="75"/>
    <n v="0"/>
    <n v="1"/>
    <n v="1"/>
    <n v="0.24351076473660188"/>
    <n v="1"/>
    <n v="70.599999999999994"/>
    <n v="70.599999999999994"/>
    <n v="10.557473385954708"/>
    <n v="1470.5934059774904"/>
    <n v="1"/>
    <n v="0"/>
    <n v="0"/>
    <n v="0"/>
    <n v="0"/>
    <n v="0"/>
    <n v="0"/>
    <n v="0"/>
    <n v="0"/>
    <n v="0"/>
  </r>
  <r>
    <d v="2023-08-29T00:00:00"/>
    <n v="2023"/>
    <x v="34"/>
    <s v="R"/>
    <s v="RS"/>
    <x v="3"/>
    <s v="CHI"/>
    <s v="H"/>
    <n v="1"/>
    <n v="1"/>
    <n v="0"/>
    <n v="0"/>
    <n v="0"/>
    <n v="0"/>
    <n v="1456.7396205155662"/>
    <n v="1460.0359325915358"/>
    <n v="0.61409721762784997"/>
    <n v="75"/>
    <n v="76"/>
    <n v="0"/>
    <n v="-1"/>
    <n v="0"/>
    <n v="0.24351076473660188"/>
    <n v="1"/>
    <n v="70.75"/>
    <n v="70.75"/>
    <n v="-10.579904278417786"/>
    <n v="1446.1597162371484"/>
    <n v="0"/>
    <n v="1"/>
    <n v="0"/>
    <n v="0"/>
    <n v="0"/>
    <n v="0"/>
    <n v="0"/>
    <n v="0"/>
    <n v="0"/>
    <n v="0"/>
  </r>
  <r>
    <d v="2023-08-29T00:00:00"/>
    <n v="2023"/>
    <x v="35"/>
    <s v="R"/>
    <s v="RS"/>
    <x v="5"/>
    <s v="WAS"/>
    <s v="A"/>
    <n v="2"/>
    <n v="2"/>
    <n v="0"/>
    <n v="0"/>
    <n v="0"/>
    <n v="0"/>
    <n v="1471.6722260813585"/>
    <n v="1466.7347521353611"/>
    <n v="0.38814401689775818"/>
    <n v="72"/>
    <n v="83"/>
    <n v="0"/>
    <n v="-11"/>
    <n v="0"/>
    <n v="0.43803365379672193"/>
    <n v="1"/>
    <n v="70.599999999999994"/>
    <n v="70.599999999999994"/>
    <n v="-12.003422019626948"/>
    <n v="1459.6688040617316"/>
    <n v="0"/>
    <n v="1"/>
    <n v="0"/>
    <n v="0"/>
    <n v="0"/>
    <n v="0"/>
    <n v="0"/>
    <n v="0"/>
    <n v="0"/>
    <n v="0"/>
  </r>
  <r>
    <d v="2023-08-29T00:00:00"/>
    <n v="2023"/>
    <x v="34"/>
    <s v="R"/>
    <s v="RS"/>
    <x v="7"/>
    <s v="MIN"/>
    <s v="H"/>
    <n v="2"/>
    <n v="2"/>
    <n v="0"/>
    <n v="0"/>
    <n v="0"/>
    <n v="0"/>
    <n v="1466.7347521353611"/>
    <n v="1471.6722260813585"/>
    <n v="0.61185598310224187"/>
    <n v="83"/>
    <n v="72"/>
    <n v="0"/>
    <n v="11"/>
    <n v="1"/>
    <n v="0.43803365379672193"/>
    <n v="1"/>
    <n v="70.75"/>
    <n v="70.75"/>
    <n v="12.028925040915107"/>
    <n v="1478.7636771762761"/>
    <n v="1"/>
    <n v="0"/>
    <n v="0"/>
    <n v="0"/>
    <n v="0"/>
    <n v="0"/>
    <n v="0"/>
    <n v="0"/>
    <n v="0"/>
    <n v="0"/>
  </r>
  <r>
    <d v="2023-08-31T00:00:00"/>
    <n v="2023"/>
    <x v="35"/>
    <s v="R"/>
    <s v="RS"/>
    <x v="2"/>
    <s v="CON"/>
    <s v="A"/>
    <n v="1"/>
    <n v="3"/>
    <n v="-2"/>
    <n v="2"/>
    <n v="-16"/>
    <n v="16"/>
    <n v="1332.8333517987269"/>
    <n v="1619.8851736219021"/>
    <n v="8.9467611667717245E-2"/>
    <n v="74"/>
    <n v="84"/>
    <n v="0"/>
    <n v="-10"/>
    <n v="0"/>
    <n v="0.34145120684241881"/>
    <n v="1"/>
    <n v="70.599999999999994"/>
    <n v="70.599999999999994"/>
    <n v="-2.1567469727939153"/>
    <n v="1330.6766048259331"/>
    <n v="0"/>
    <n v="1"/>
    <n v="0"/>
    <n v="0"/>
    <n v="0"/>
    <n v="0"/>
    <n v="0"/>
    <n v="0"/>
    <n v="0"/>
    <n v="0"/>
  </r>
  <r>
    <d v="2023-08-31T00:00:00"/>
    <n v="2023"/>
    <x v="35"/>
    <s v="R"/>
    <s v="RS"/>
    <x v="0"/>
    <s v="PHX"/>
    <s v="H"/>
    <n v="3"/>
    <n v="1"/>
    <n v="2"/>
    <n v="-2"/>
    <n v="16"/>
    <n v="-16"/>
    <n v="1619.8851736219021"/>
    <n v="1332.8333517987269"/>
    <n v="0.91053238833228278"/>
    <n v="84"/>
    <n v="74"/>
    <n v="0"/>
    <n v="10"/>
    <n v="1"/>
    <n v="0.34145120684241881"/>
    <n v="1"/>
    <n v="70.599999999999994"/>
    <n v="70.599999999999994"/>
    <n v="2.1567469727939144"/>
    <n v="1622.041920594696"/>
    <n v="1"/>
    <n v="0"/>
    <n v="0"/>
    <n v="0"/>
    <n v="0"/>
    <n v="0"/>
    <n v="0"/>
    <n v="0"/>
    <n v="0"/>
    <n v="0"/>
  </r>
  <r>
    <d v="2023-08-31T00:00:00"/>
    <n v="2023"/>
    <x v="35"/>
    <s v="R"/>
    <s v="RS"/>
    <x v="11"/>
    <s v="LAS"/>
    <s v="A"/>
    <n v="3"/>
    <n v="1"/>
    <n v="2"/>
    <n v="-2"/>
    <n v="16"/>
    <n v="-16"/>
    <n v="1403.5494743950003"/>
    <n v="1446.1597162371484"/>
    <n v="0.367113431539905"/>
    <n v="72"/>
    <n v="61"/>
    <n v="0"/>
    <n v="11"/>
    <n v="1"/>
    <n v="0.42475359250757394"/>
    <n v="1"/>
    <n v="70.599999999999994"/>
    <n v="70.599999999999994"/>
    <n v="18.978751558387049"/>
    <n v="1422.5282259533874"/>
    <n v="1"/>
    <n v="0"/>
    <n v="0"/>
    <n v="0"/>
    <n v="0"/>
    <n v="0"/>
    <n v="0"/>
    <n v="0"/>
    <n v="0"/>
    <n v="0"/>
  </r>
  <r>
    <d v="2023-08-31T00:00:00"/>
    <n v="2023"/>
    <x v="35"/>
    <s v="R"/>
    <s v="RS"/>
    <x v="3"/>
    <s v="SEA"/>
    <s v="H"/>
    <n v="1"/>
    <n v="3"/>
    <n v="-2"/>
    <n v="2"/>
    <n v="-16"/>
    <n v="16"/>
    <n v="1446.1597162371484"/>
    <n v="1403.5494743950003"/>
    <n v="0.63288656846009494"/>
    <n v="61"/>
    <n v="72"/>
    <n v="0"/>
    <n v="-11"/>
    <n v="0"/>
    <n v="0.42475359250757394"/>
    <n v="1"/>
    <n v="70.599999999999994"/>
    <n v="70.599999999999994"/>
    <n v="-18.978751558387046"/>
    <n v="1427.1809646787613"/>
    <n v="0"/>
    <n v="1"/>
    <n v="0"/>
    <n v="0"/>
    <n v="0"/>
    <n v="0"/>
    <n v="0"/>
    <n v="0"/>
    <n v="0"/>
    <n v="0"/>
  </r>
  <r>
    <d v="2023-08-31T00:00:00"/>
    <n v="2023"/>
    <x v="35"/>
    <s v="R"/>
    <s v="RS"/>
    <x v="7"/>
    <s v="LVA"/>
    <s v="A"/>
    <n v="1"/>
    <n v="2"/>
    <n v="-1"/>
    <n v="1"/>
    <n v="-8"/>
    <n v="8"/>
    <n v="1478.7636771762761"/>
    <n v="1698.9133113272444"/>
    <n v="0.1367052013580175"/>
    <n v="75"/>
    <n v="84"/>
    <n v="0"/>
    <n v="-9"/>
    <n v="0"/>
    <n v="0.34303838191525632"/>
    <n v="1"/>
    <n v="70.599999999999994"/>
    <n v="70.599999999999994"/>
    <n v="-3.3107962537717057"/>
    <n v="1475.4528809225044"/>
    <n v="0"/>
    <n v="1"/>
    <n v="0"/>
    <n v="0"/>
    <n v="0"/>
    <n v="0"/>
    <n v="0"/>
    <n v="0"/>
    <n v="0"/>
    <n v="0"/>
  </r>
  <r>
    <d v="2023-08-31T00:00:00"/>
    <n v="2023"/>
    <x v="37"/>
    <s v="R"/>
    <s v="RS"/>
    <x v="10"/>
    <s v="WAS"/>
    <s v="H"/>
    <n v="2"/>
    <n v="1"/>
    <n v="1"/>
    <n v="-1"/>
    <n v="8"/>
    <n v="-8"/>
    <n v="1698.9133113272444"/>
    <n v="1478.7636771762761"/>
    <n v="0.86329479864198255"/>
    <n v="84"/>
    <n v="75"/>
    <n v="0"/>
    <n v="9"/>
    <n v="1"/>
    <n v="0.34303838191525632"/>
    <n v="1"/>
    <n v="70.3"/>
    <n v="70.3"/>
    <n v="3.296727714449728"/>
    <n v="1702.210039041694"/>
    <n v="1"/>
    <n v="0"/>
    <n v="0"/>
    <n v="0"/>
    <n v="0"/>
    <n v="0"/>
    <n v="0"/>
    <n v="0"/>
    <n v="0"/>
    <n v="0"/>
  </r>
  <r>
    <d v="2023-09-01T00:00:00"/>
    <n v="2023"/>
    <x v="35"/>
    <s v="R"/>
    <s v="RS"/>
    <x v="9"/>
    <s v="IND"/>
    <s v="A"/>
    <n v="4"/>
    <n v="4"/>
    <n v="0"/>
    <n v="0"/>
    <n v="0"/>
    <n v="0"/>
    <n v="1555.0293896528949"/>
    <n v="1350.809360728344"/>
    <n v="0.66642105159769938"/>
    <n v="110"/>
    <n v="100"/>
    <n v="0"/>
    <n v="10"/>
    <n v="1"/>
    <n v="0.36159264840255501"/>
    <n v="1"/>
    <n v="70.599999999999994"/>
    <n v="70.599999999999994"/>
    <n v="8.5157504955313748"/>
    <n v="1563.5451401484263"/>
    <n v="1"/>
    <n v="0"/>
    <n v="0"/>
    <n v="0"/>
    <n v="0"/>
    <n v="0"/>
    <n v="0"/>
    <n v="0"/>
    <n v="0"/>
    <n v="0"/>
  </r>
  <r>
    <d v="2023-09-01T00:00:00"/>
    <n v="2023"/>
    <x v="35"/>
    <s v="R"/>
    <s v="RS"/>
    <x v="1"/>
    <s v="DAL"/>
    <s v="H"/>
    <n v="4"/>
    <n v="4"/>
    <n v="0"/>
    <n v="0"/>
    <n v="0"/>
    <n v="0"/>
    <n v="1350.809360728344"/>
    <n v="1555.0293896528949"/>
    <n v="0.33357894840230068"/>
    <n v="100"/>
    <n v="110"/>
    <n v="0"/>
    <n v="-10"/>
    <n v="0"/>
    <n v="0.36159264840255501"/>
    <n v="1"/>
    <n v="70.599999999999994"/>
    <n v="70.599999999999994"/>
    <n v="-8.5157504955313765"/>
    <n v="1342.2936102328126"/>
    <n v="0"/>
    <n v="1"/>
    <n v="0"/>
    <n v="0"/>
    <n v="0"/>
    <n v="0"/>
    <n v="0"/>
    <n v="0"/>
    <n v="0"/>
    <n v="0"/>
  </r>
  <r>
    <d v="2023-09-01T00:00:00"/>
    <n v="2023"/>
    <x v="36"/>
    <s v="R"/>
    <s v="RS"/>
    <x v="8"/>
    <s v="MIN"/>
    <s v="A"/>
    <n v="2"/>
    <n v="2"/>
    <n v="0"/>
    <n v="0"/>
    <n v="0"/>
    <n v="0"/>
    <n v="1456.4847421890879"/>
    <n v="1459.6688040617316"/>
    <n v="0.37710088907064704"/>
    <n v="85"/>
    <n v="91"/>
    <n v="1"/>
    <n v="-6"/>
    <n v="0"/>
    <n v="0.31531603019058979"/>
    <n v="1"/>
    <n v="70.45"/>
    <n v="70.45"/>
    <n v="-8.376924552512282"/>
    <n v="1448.1078176365756"/>
    <n v="0"/>
    <n v="1"/>
    <n v="0"/>
    <n v="0"/>
    <n v="0"/>
    <n v="0"/>
    <n v="0"/>
    <n v="0"/>
    <n v="0"/>
    <n v="0"/>
  </r>
  <r>
    <d v="2023-09-01T00:00:00"/>
    <n v="2023"/>
    <x v="36"/>
    <s v="R"/>
    <s v="RS"/>
    <x v="5"/>
    <s v="ATL"/>
    <s v="H"/>
    <n v="2"/>
    <n v="2"/>
    <n v="0"/>
    <n v="0"/>
    <n v="0"/>
    <n v="0"/>
    <n v="1459.6688040617316"/>
    <n v="1456.4847421890879"/>
    <n v="0.62289911092935302"/>
    <n v="91"/>
    <n v="85"/>
    <n v="1"/>
    <n v="6"/>
    <n v="1"/>
    <n v="0.31531603019058979"/>
    <n v="1"/>
    <n v="70.45"/>
    <n v="70.45"/>
    <n v="8.376924552512282"/>
    <n v="1468.0457286142439"/>
    <n v="1"/>
    <n v="0"/>
    <n v="0"/>
    <n v="0"/>
    <n v="0"/>
    <n v="0"/>
    <n v="0"/>
    <n v="0"/>
    <n v="0"/>
    <n v="0"/>
  </r>
  <r>
    <d v="2023-09-01T00:00:00"/>
    <n v="2023"/>
    <x v="36"/>
    <s v="R"/>
    <s v="RS"/>
    <x v="0"/>
    <s v="NYL"/>
    <s v="A"/>
    <n v="0"/>
    <n v="3"/>
    <n v="-3"/>
    <n v="3"/>
    <n v="-16"/>
    <n v="16"/>
    <n v="1622.041920594696"/>
    <n v="1727.9214528828231"/>
    <n v="0.21802018827813582"/>
    <n v="58"/>
    <n v="89"/>
    <n v="0"/>
    <n v="-31"/>
    <n v="0"/>
    <n v="0.65747370062441335"/>
    <n v="1"/>
    <n v="70.45"/>
    <n v="70.45"/>
    <n v="-10.098481942863136"/>
    <n v="1611.9434386518328"/>
    <n v="0"/>
    <n v="1"/>
    <n v="0"/>
    <n v="0"/>
    <n v="0"/>
    <n v="0"/>
    <n v="0"/>
    <n v="0"/>
    <n v="0"/>
    <n v="0"/>
  </r>
  <r>
    <d v="2023-09-01T00:00:00"/>
    <n v="2023"/>
    <x v="36"/>
    <s v="R"/>
    <s v="RS"/>
    <x v="6"/>
    <s v="CON"/>
    <s v="H"/>
    <n v="3"/>
    <n v="0"/>
    <n v="3"/>
    <n v="-3"/>
    <n v="16"/>
    <n v="-16"/>
    <n v="1727.9214528828231"/>
    <n v="1622.041920594696"/>
    <n v="0.78197981172186415"/>
    <n v="89"/>
    <n v="58"/>
    <n v="0"/>
    <n v="31"/>
    <n v="1"/>
    <n v="0.65747370062441335"/>
    <n v="1"/>
    <n v="70.45"/>
    <n v="70.45"/>
    <n v="10.098481942863138"/>
    <n v="1738.0199348256863"/>
    <n v="1"/>
    <n v="0"/>
    <n v="0"/>
    <n v="0"/>
    <n v="0"/>
    <n v="0"/>
    <n v="0"/>
    <n v="0"/>
    <n v="0"/>
    <n v="0"/>
  </r>
  <r>
    <d v="2023-09-02T00:00:00"/>
    <n v="2023"/>
    <x v="36"/>
    <s v="R"/>
    <s v="RS"/>
    <x v="11"/>
    <s v="LVA"/>
    <s v="A"/>
    <n v="1"/>
    <n v="1"/>
    <n v="0"/>
    <n v="0"/>
    <n v="0"/>
    <n v="0"/>
    <n v="1422.5282259533874"/>
    <n v="1702.210039041694"/>
    <n v="0.10972816159580165"/>
    <n v="77"/>
    <n v="103"/>
    <n v="0"/>
    <n v="-26"/>
    <n v="0"/>
    <n v="0.53045516250686031"/>
    <n v="1"/>
    <n v="70.45"/>
    <n v="70.45"/>
    <n v="-4.1006035267674958"/>
    <n v="1418.4276224266198"/>
    <n v="0"/>
    <n v="1"/>
    <n v="0"/>
    <n v="0"/>
    <n v="0"/>
    <n v="0"/>
    <n v="0"/>
    <n v="0"/>
    <n v="0"/>
    <n v="0"/>
  </r>
  <r>
    <d v="2023-09-02T00:00:00"/>
    <n v="2023"/>
    <x v="38"/>
    <s v="R"/>
    <s v="RS"/>
    <x v="10"/>
    <s v="SEA"/>
    <s v="H"/>
    <n v="1"/>
    <n v="1"/>
    <n v="0"/>
    <n v="0"/>
    <n v="0"/>
    <n v="0"/>
    <n v="1702.210039041694"/>
    <n v="1422.5282259533874"/>
    <n v="0.89027183840419832"/>
    <n v="103"/>
    <n v="77"/>
    <n v="0"/>
    <n v="26"/>
    <n v="1"/>
    <n v="0.53045516250686031"/>
    <n v="1"/>
    <n v="70.150000000000006"/>
    <n v="70.150000000000006"/>
    <n v="4.0831417658302334"/>
    <n v="1706.2931808075243"/>
    <n v="1"/>
    <n v="0"/>
    <n v="0"/>
    <n v="0"/>
    <n v="0"/>
    <n v="0"/>
    <n v="0"/>
    <n v="0"/>
    <n v="0"/>
    <n v="0"/>
  </r>
  <r>
    <d v="2023-09-03T00:00:00"/>
    <n v="2023"/>
    <x v="37"/>
    <s v="R"/>
    <s v="RS"/>
    <x v="6"/>
    <s v="CHI"/>
    <s v="A"/>
    <n v="1"/>
    <n v="4"/>
    <n v="-3"/>
    <n v="3"/>
    <n v="-16"/>
    <n v="16"/>
    <n v="1738.0199348256863"/>
    <n v="1470.5934059774904"/>
    <n v="0.70509539405830934"/>
    <n v="86"/>
    <n v="69"/>
    <n v="0"/>
    <n v="17"/>
    <n v="1"/>
    <n v="0.4354088401276911"/>
    <n v="1"/>
    <n v="70.3"/>
    <n v="70.3"/>
    <n v="9.0268062912233891"/>
    <n v="1747.0467411169097"/>
    <n v="1"/>
    <n v="0"/>
    <n v="0"/>
    <n v="0"/>
    <n v="0"/>
    <n v="0"/>
    <n v="0"/>
    <n v="0"/>
    <n v="0"/>
    <n v="0"/>
  </r>
  <r>
    <d v="2023-09-03T00:00:00"/>
    <n v="2023"/>
    <x v="36"/>
    <s v="R"/>
    <s v="RS"/>
    <x v="4"/>
    <s v="NYL"/>
    <s v="H"/>
    <n v="4"/>
    <n v="1"/>
    <n v="3"/>
    <n v="-3"/>
    <n v="16"/>
    <n v="-16"/>
    <n v="1470.5934059774904"/>
    <n v="1738.0199348256863"/>
    <n v="0.2949046059416906"/>
    <n v="69"/>
    <n v="86"/>
    <n v="0"/>
    <n v="-17"/>
    <n v="0"/>
    <n v="0.4354088401276911"/>
    <n v="1"/>
    <n v="70.45"/>
    <n v="70.45"/>
    <n v="-9.0460669020865954"/>
    <n v="1461.5473390754039"/>
    <n v="0"/>
    <n v="1"/>
    <n v="0"/>
    <n v="0"/>
    <n v="0"/>
    <n v="0"/>
    <n v="0"/>
    <n v="0"/>
    <n v="0"/>
    <n v="0"/>
  </r>
  <r>
    <d v="2023-09-03T00:00:00"/>
    <n v="2023"/>
    <x v="36"/>
    <s v="R"/>
    <s v="RS"/>
    <x v="1"/>
    <s v="DAL"/>
    <s v="A"/>
    <n v="1"/>
    <n v="1"/>
    <n v="0"/>
    <n v="0"/>
    <n v="0"/>
    <n v="0"/>
    <n v="1342.2936102328126"/>
    <n v="1563.5451401484263"/>
    <n v="0.14714525018408611"/>
    <n v="97"/>
    <n v="84"/>
    <n v="1"/>
    <n v="13"/>
    <n v="1"/>
    <n v="0.35870304824193688"/>
    <n v="1"/>
    <n v="70.45"/>
    <n v="70.45"/>
    <n v="21.552176611970758"/>
    <n v="1363.8457868447833"/>
    <n v="1"/>
    <n v="0"/>
    <n v="0"/>
    <n v="0"/>
    <n v="0"/>
    <n v="0"/>
    <n v="0"/>
    <n v="0"/>
    <n v="0"/>
    <n v="0"/>
  </r>
  <r>
    <d v="2023-09-03T00:00:00"/>
    <n v="2023"/>
    <x v="36"/>
    <s v="R"/>
    <s v="RS"/>
    <x v="9"/>
    <s v="IND"/>
    <s v="H"/>
    <n v="1"/>
    <n v="1"/>
    <n v="0"/>
    <n v="0"/>
    <n v="0"/>
    <n v="0"/>
    <n v="1563.5451401484263"/>
    <n v="1342.2936102328126"/>
    <n v="0.8528547498159138"/>
    <n v="84"/>
    <n v="97"/>
    <n v="1"/>
    <n v="-13"/>
    <n v="0"/>
    <n v="0.35870304824193688"/>
    <n v="1"/>
    <n v="70.45"/>
    <n v="70.45"/>
    <n v="-21.552176611970758"/>
    <n v="1541.9929635364556"/>
    <n v="0"/>
    <n v="1"/>
    <n v="0"/>
    <n v="0"/>
    <n v="0"/>
    <n v="0"/>
    <n v="0"/>
    <n v="0"/>
    <n v="0"/>
    <n v="0"/>
  </r>
  <r>
    <d v="2023-09-03T00:00:00"/>
    <n v="2023"/>
    <x v="36"/>
    <s v="R"/>
    <s v="RS"/>
    <x v="7"/>
    <s v="LAS"/>
    <s v="A"/>
    <n v="2"/>
    <n v="2"/>
    <n v="0"/>
    <n v="0"/>
    <n v="0"/>
    <n v="0"/>
    <n v="1475.4528809225044"/>
    <n v="1427.1809646787613"/>
    <n v="0.44876363138171382"/>
    <n v="64"/>
    <n v="72"/>
    <n v="0"/>
    <n v="-8"/>
    <n v="0"/>
    <n v="0.37329898713560222"/>
    <n v="1"/>
    <n v="70.45"/>
    <n v="70.45"/>
    <n v="-11.801995988142338"/>
    <n v="1463.650884934362"/>
    <n v="0"/>
    <n v="1"/>
    <n v="0"/>
    <n v="0"/>
    <n v="0"/>
    <n v="0"/>
    <n v="0"/>
    <n v="0"/>
    <n v="0"/>
    <n v="0"/>
  </r>
  <r>
    <d v="2023-09-03T00:00:00"/>
    <n v="2023"/>
    <x v="36"/>
    <s v="R"/>
    <s v="RS"/>
    <x v="3"/>
    <s v="WAS"/>
    <s v="H"/>
    <n v="2"/>
    <n v="2"/>
    <n v="0"/>
    <n v="0"/>
    <n v="0"/>
    <n v="0"/>
    <n v="1427.1809646787613"/>
    <n v="1475.4528809225044"/>
    <n v="0.55123636861828618"/>
    <n v="72"/>
    <n v="64"/>
    <n v="0"/>
    <n v="8"/>
    <n v="1"/>
    <n v="0.37329898713560222"/>
    <n v="1"/>
    <n v="70.45"/>
    <n v="70.45"/>
    <n v="11.801995988142338"/>
    <n v="1438.9829606669036"/>
    <n v="1"/>
    <n v="0"/>
    <n v="0"/>
    <n v="0"/>
    <n v="0"/>
    <n v="0"/>
    <n v="0"/>
    <n v="0"/>
    <n v="0"/>
    <n v="0"/>
  </r>
  <r>
    <d v="2023-09-03T00:00:00"/>
    <n v="2023"/>
    <x v="36"/>
    <s v="R"/>
    <s v="RS"/>
    <x v="2"/>
    <s v="MIN"/>
    <s v="A"/>
    <n v="2"/>
    <n v="1"/>
    <n v="1"/>
    <n v="-1"/>
    <n v="8"/>
    <n v="-8"/>
    <n v="1330.6766048259331"/>
    <n v="1468.0457286142439"/>
    <n v="0.23465691350859133"/>
    <n v="73"/>
    <n v="86"/>
    <n v="0"/>
    <n v="-13"/>
    <n v="0"/>
    <n v="0.42355733858455941"/>
    <n v="1"/>
    <n v="70.45"/>
    <n v="70.45"/>
    <n v="-7.0020718396264012"/>
    <n v="1323.6745329863068"/>
    <n v="0"/>
    <n v="1"/>
    <n v="0"/>
    <n v="0"/>
    <n v="0"/>
    <n v="0"/>
    <n v="0"/>
    <n v="0"/>
    <n v="0"/>
    <n v="0"/>
  </r>
  <r>
    <d v="2023-09-03T00:00:00"/>
    <n v="2023"/>
    <x v="37"/>
    <s v="R"/>
    <s v="RS"/>
    <x v="5"/>
    <s v="PHX"/>
    <s v="H"/>
    <n v="1"/>
    <n v="2"/>
    <n v="-1"/>
    <n v="1"/>
    <n v="-8"/>
    <n v="8"/>
    <n v="1468.0457286142439"/>
    <n v="1330.6766048259331"/>
    <n v="0.7653430864914087"/>
    <n v="86"/>
    <n v="73"/>
    <n v="0"/>
    <n v="13"/>
    <n v="1"/>
    <n v="0.42355733858455941"/>
    <n v="1"/>
    <n v="70.3"/>
    <n v="70.3"/>
    <n v="6.9871632409614746"/>
    <n v="1475.0328918552054"/>
    <n v="1"/>
    <n v="0"/>
    <n v="0"/>
    <n v="0"/>
    <n v="0"/>
    <n v="0"/>
    <n v="0"/>
    <n v="0"/>
    <n v="0"/>
    <n v="0"/>
  </r>
  <r>
    <d v="2023-09-05T00:00:00"/>
    <n v="2023"/>
    <x v="37"/>
    <s v="R"/>
    <s v="RS"/>
    <x v="3"/>
    <s v="CON"/>
    <s v="A"/>
    <n v="1"/>
    <n v="3"/>
    <n v="-2"/>
    <n v="2"/>
    <n v="-16"/>
    <n v="16"/>
    <n v="1438.9829606669036"/>
    <n v="1611.9434386518328"/>
    <n v="0.15930742466462533"/>
    <n v="76"/>
    <n v="90"/>
    <n v="0"/>
    <n v="-14"/>
    <n v="0"/>
    <n v="0.42618103989395706"/>
    <n v="1"/>
    <n v="70.3"/>
    <n v="70.3"/>
    <n v="-4.7729344146197965"/>
    <n v="1434.2100262522838"/>
    <n v="0"/>
    <n v="1"/>
    <n v="0"/>
    <n v="0"/>
    <n v="0"/>
    <n v="0"/>
    <n v="0"/>
    <n v="0"/>
    <n v="0"/>
    <n v="0"/>
  </r>
  <r>
    <d v="2023-09-05T00:00:00"/>
    <n v="2023"/>
    <x v="37"/>
    <s v="R"/>
    <s v="RS"/>
    <x v="0"/>
    <s v="LAS"/>
    <s v="H"/>
    <n v="3"/>
    <n v="1"/>
    <n v="2"/>
    <n v="-2"/>
    <n v="16"/>
    <n v="-16"/>
    <n v="1611.9434386518328"/>
    <n v="1438.9829606669036"/>
    <n v="0.84069257533537467"/>
    <n v="90"/>
    <n v="76"/>
    <n v="0"/>
    <n v="14"/>
    <n v="1"/>
    <n v="0.42618103989395706"/>
    <n v="1"/>
    <n v="70.3"/>
    <n v="70.3"/>
    <n v="4.7729344146197965"/>
    <n v="1616.7163730664527"/>
    <n v="1"/>
    <n v="0"/>
    <n v="0"/>
    <n v="0"/>
    <n v="0"/>
    <n v="0"/>
    <n v="0"/>
    <n v="0"/>
    <n v="0"/>
    <n v="0"/>
  </r>
  <r>
    <d v="2023-09-05T00:00:00"/>
    <n v="2023"/>
    <x v="38"/>
    <s v="R"/>
    <s v="RS"/>
    <x v="6"/>
    <s v="DAL"/>
    <s v="A"/>
    <n v="1"/>
    <n v="1"/>
    <n v="0"/>
    <n v="0"/>
    <n v="0"/>
    <n v="0"/>
    <n v="1747.0467411169097"/>
    <n v="1541.9929635364556"/>
    <n v="0.66748713359389744"/>
    <n v="94"/>
    <n v="93"/>
    <n v="0"/>
    <n v="1"/>
    <n v="1"/>
    <n v="0.20854404993873898"/>
    <n v="1"/>
    <n v="70.150000000000006"/>
    <n v="70.150000000000006"/>
    <n v="4.8644521241672853"/>
    <n v="1751.9111932410769"/>
    <n v="1"/>
    <n v="0"/>
    <n v="0"/>
    <n v="0"/>
    <n v="0"/>
    <n v="0"/>
    <n v="0"/>
    <n v="0"/>
    <n v="0"/>
    <n v="0"/>
  </r>
  <r>
    <d v="2023-09-05T00:00:00"/>
    <n v="2023"/>
    <x v="37"/>
    <s v="R"/>
    <s v="RS"/>
    <x v="9"/>
    <s v="NYL"/>
    <s v="H"/>
    <n v="1"/>
    <n v="1"/>
    <n v="0"/>
    <n v="0"/>
    <n v="0"/>
    <n v="0"/>
    <n v="1541.9929635364556"/>
    <n v="1747.0467411169097"/>
    <n v="0.33251286640610256"/>
    <n v="93"/>
    <n v="94"/>
    <n v="0"/>
    <n v="-1"/>
    <n v="0"/>
    <n v="0.20854404993873898"/>
    <n v="1"/>
    <n v="70.3"/>
    <n v="70.3"/>
    <n v="-4.874853661139845"/>
    <n v="1537.1181098753157"/>
    <n v="0"/>
    <n v="1"/>
    <n v="0"/>
    <n v="0"/>
    <n v="0"/>
    <n v="0"/>
    <n v="0"/>
    <n v="0"/>
    <n v="0"/>
    <n v="0"/>
  </r>
  <r>
    <d v="2023-09-05T00:00:00"/>
    <n v="2023"/>
    <x v="37"/>
    <s v="R"/>
    <s v="RS"/>
    <x v="4"/>
    <s v="IND"/>
    <s v="A"/>
    <n v="1"/>
    <n v="1"/>
    <n v="0"/>
    <n v="0"/>
    <n v="0"/>
    <n v="0"/>
    <n v="1461.5473390754039"/>
    <n v="1363.8457868447833"/>
    <n v="0.51970790306986514"/>
    <n v="96"/>
    <n v="69"/>
    <n v="0"/>
    <n v="27"/>
    <n v="1"/>
    <n v="0.61647456506843124"/>
    <n v="1"/>
    <n v="70.3"/>
    <n v="70.3"/>
    <n v="20.81497666772492"/>
    <n v="1482.3623157431289"/>
    <n v="1"/>
    <n v="0"/>
    <n v="0"/>
    <n v="0"/>
    <n v="0"/>
    <n v="0"/>
    <n v="0"/>
    <n v="0"/>
    <n v="0"/>
    <n v="0"/>
  </r>
  <r>
    <d v="2023-09-05T00:00:00"/>
    <n v="2023"/>
    <x v="37"/>
    <s v="R"/>
    <s v="RS"/>
    <x v="1"/>
    <s v="CHI"/>
    <s v="H"/>
    <n v="1"/>
    <n v="1"/>
    <n v="0"/>
    <n v="0"/>
    <n v="0"/>
    <n v="0"/>
    <n v="1363.8457868447833"/>
    <n v="1461.5473390754039"/>
    <n v="0.4802920969301348"/>
    <n v="69"/>
    <n v="96"/>
    <n v="0"/>
    <n v="-27"/>
    <n v="0"/>
    <n v="0.61647456506843124"/>
    <n v="1"/>
    <n v="70.3"/>
    <n v="70.3"/>
    <n v="-20.814976667724917"/>
    <n v="1343.0308101770584"/>
    <n v="0"/>
    <n v="1"/>
    <n v="0"/>
    <n v="0"/>
    <n v="0"/>
    <n v="0"/>
    <n v="0"/>
    <n v="0"/>
    <n v="0"/>
    <n v="0"/>
  </r>
  <r>
    <d v="2023-09-05T00:00:00"/>
    <n v="2023"/>
    <x v="37"/>
    <s v="R"/>
    <s v="RS"/>
    <x v="7"/>
    <s v="PHX"/>
    <s v="A"/>
    <n v="1"/>
    <n v="1"/>
    <n v="0"/>
    <n v="0"/>
    <n v="0"/>
    <n v="0"/>
    <n v="1463.650884934362"/>
    <n v="1323.6745329863068"/>
    <n v="0.57986659675930619"/>
    <n v="100"/>
    <n v="77"/>
    <n v="0"/>
    <n v="23"/>
    <n v="1"/>
    <n v="0.55105847353263337"/>
    <n v="1"/>
    <n v="70.3"/>
    <n v="70.3"/>
    <n v="16.275720452453061"/>
    <n v="1479.926605386815"/>
    <n v="1"/>
    <n v="0"/>
    <n v="0"/>
    <n v="0"/>
    <n v="0"/>
    <n v="0"/>
    <n v="0"/>
    <n v="0"/>
    <n v="0"/>
    <n v="0"/>
  </r>
  <r>
    <d v="2023-09-05T00:00:00"/>
    <n v="2023"/>
    <x v="37"/>
    <s v="R"/>
    <s v="RS"/>
    <x v="2"/>
    <s v="WAS"/>
    <s v="H"/>
    <n v="1"/>
    <n v="1"/>
    <n v="0"/>
    <n v="0"/>
    <n v="0"/>
    <n v="0"/>
    <n v="1323.6745329863068"/>
    <n v="1463.650884934362"/>
    <n v="0.42013340324069387"/>
    <n v="77"/>
    <n v="100"/>
    <n v="0"/>
    <n v="-23"/>
    <n v="0"/>
    <n v="0.55105847353263337"/>
    <n v="1"/>
    <n v="70.3"/>
    <n v="70.3"/>
    <n v="-16.275720452453061"/>
    <n v="1307.3988125338537"/>
    <n v="0"/>
    <n v="1"/>
    <n v="0"/>
    <n v="0"/>
    <n v="0"/>
    <n v="0"/>
    <n v="0"/>
    <n v="0"/>
    <n v="0"/>
    <n v="0"/>
  </r>
  <r>
    <d v="2023-09-06T00:00:00"/>
    <n v="2023"/>
    <x v="37"/>
    <s v="R"/>
    <s v="RS"/>
    <x v="11"/>
    <s v="ATL"/>
    <s v="A"/>
    <n v="3"/>
    <n v="4"/>
    <n v="-1"/>
    <n v="1"/>
    <n v="-8"/>
    <n v="8"/>
    <n v="1418.4276224266198"/>
    <n v="1448.1078176365756"/>
    <n v="0.32158458325301703"/>
    <n v="68"/>
    <n v="79"/>
    <n v="0"/>
    <n v="-11"/>
    <n v="0"/>
    <n v="0.42921986250176247"/>
    <n v="1"/>
    <n v="70.3"/>
    <n v="70.3"/>
    <n v="-9.7035434896402215"/>
    <n v="1408.7240789369796"/>
    <n v="0"/>
    <n v="1"/>
    <n v="0"/>
    <n v="0"/>
    <n v="0"/>
    <n v="0"/>
    <n v="0"/>
    <n v="0"/>
    <n v="0"/>
    <n v="0"/>
  </r>
  <r>
    <d v="2023-09-06T00:00:00"/>
    <n v="2023"/>
    <x v="37"/>
    <s v="R"/>
    <s v="RS"/>
    <x v="8"/>
    <s v="SEA"/>
    <s v="H"/>
    <n v="4"/>
    <n v="3"/>
    <n v="1"/>
    <n v="-1"/>
    <n v="8"/>
    <n v="-8"/>
    <n v="1448.1078176365756"/>
    <n v="1418.4276224266198"/>
    <n v="0.67841541674698302"/>
    <n v="79"/>
    <n v="68"/>
    <n v="0"/>
    <n v="11"/>
    <n v="1"/>
    <n v="0.42921986250176247"/>
    <n v="1"/>
    <n v="70.3"/>
    <n v="70.3"/>
    <n v="9.7035434896402197"/>
    <n v="1457.8113611262158"/>
    <n v="1"/>
    <n v="0"/>
    <n v="0"/>
    <n v="0"/>
    <n v="0"/>
    <n v="0"/>
    <n v="0"/>
    <n v="0"/>
    <n v="0"/>
    <n v="0"/>
  </r>
  <r>
    <d v="2023-09-07T00:00:00"/>
    <n v="2023"/>
    <x v="38"/>
    <s v="R"/>
    <s v="RS"/>
    <x v="3"/>
    <s v="NYL"/>
    <s v="A"/>
    <n v="1"/>
    <n v="1"/>
    <n v="0"/>
    <n v="0"/>
    <n v="0"/>
    <n v="0"/>
    <n v="1434.2100262522838"/>
    <n v="1751.9111932410769"/>
    <n v="9.0103012176941624E-2"/>
    <n v="89"/>
    <n v="96"/>
    <n v="0"/>
    <n v="-7"/>
    <n v="0"/>
    <n v="0.29263244744402539"/>
    <n v="1"/>
    <n v="70.150000000000006"/>
    <n v="70.150000000000006"/>
    <n v="-1.8496496080255203"/>
    <n v="1432.3603766442582"/>
    <n v="0"/>
    <n v="1"/>
    <n v="0"/>
    <n v="0"/>
    <n v="0"/>
    <n v="0"/>
    <n v="0"/>
    <n v="0"/>
    <n v="0"/>
    <n v="0"/>
  </r>
  <r>
    <d v="2023-09-07T00:00:00"/>
    <n v="2023"/>
    <x v="39"/>
    <s v="R"/>
    <s v="RS"/>
    <x v="6"/>
    <s v="LAS"/>
    <s v="H"/>
    <n v="1"/>
    <n v="1"/>
    <n v="0"/>
    <n v="0"/>
    <n v="0"/>
    <n v="0"/>
    <n v="1751.9111932410769"/>
    <n v="1434.2100262522838"/>
    <n v="0.90989698782305839"/>
    <n v="96"/>
    <n v="89"/>
    <n v="0"/>
    <n v="7"/>
    <n v="1"/>
    <n v="0.29263244744402539"/>
    <n v="1"/>
    <n v="70"/>
    <n v="70"/>
    <n v="1.8456945482792073"/>
    <n v="1753.7568877893561"/>
    <n v="1"/>
    <n v="0"/>
    <n v="0"/>
    <n v="0"/>
    <n v="0"/>
    <n v="0"/>
    <n v="0"/>
    <n v="0"/>
    <n v="0"/>
    <n v="0"/>
  </r>
  <r>
    <d v="2023-09-08T00:00:00"/>
    <n v="2023"/>
    <x v="38"/>
    <s v="R"/>
    <s v="RS"/>
    <x v="5"/>
    <s v="CHI"/>
    <s v="A"/>
    <n v="4"/>
    <n v="2"/>
    <n v="2"/>
    <n v="-2"/>
    <n v="16"/>
    <n v="-16"/>
    <n v="1475.0328918552054"/>
    <n v="1482.3623157431289"/>
    <n v="0.41543844828808402"/>
    <n v="87"/>
    <n v="92"/>
    <n v="0"/>
    <n v="-5"/>
    <n v="0"/>
    <n v="0.3297419599627463"/>
    <n v="1"/>
    <n v="70.150000000000006"/>
    <n v="70.150000000000006"/>
    <n v="-9.6096722959949989"/>
    <n v="1465.4232195592103"/>
    <n v="0"/>
    <n v="1"/>
    <n v="0"/>
    <n v="0"/>
    <n v="0"/>
    <n v="0"/>
    <n v="0"/>
    <n v="0"/>
    <n v="0"/>
    <n v="0"/>
  </r>
  <r>
    <d v="2023-09-08T00:00:00"/>
    <n v="2023"/>
    <x v="38"/>
    <s v="R"/>
    <s v="RS"/>
    <x v="4"/>
    <s v="MIN"/>
    <s v="H"/>
    <n v="2"/>
    <n v="4"/>
    <n v="-2"/>
    <n v="2"/>
    <n v="-16"/>
    <n v="16"/>
    <n v="1482.3623157431289"/>
    <n v="1475.0328918552054"/>
    <n v="0.58456155171191604"/>
    <n v="92"/>
    <n v="87"/>
    <n v="0"/>
    <n v="5"/>
    <n v="1"/>
    <n v="0.3297419599627463"/>
    <n v="1"/>
    <n v="70.150000000000006"/>
    <n v="70.150000000000006"/>
    <n v="9.6096722959949989"/>
    <n v="1491.971988039124"/>
    <n v="1"/>
    <n v="0"/>
    <n v="0"/>
    <n v="0"/>
    <n v="0"/>
    <n v="0"/>
    <n v="0"/>
    <n v="0"/>
    <n v="0"/>
    <n v="0"/>
  </r>
  <r>
    <d v="2023-09-08T00:00:00"/>
    <n v="2023"/>
    <x v="38"/>
    <s v="R"/>
    <s v="RS"/>
    <x v="1"/>
    <s v="CON"/>
    <s v="A"/>
    <n v="2"/>
    <n v="2"/>
    <n v="0"/>
    <n v="0"/>
    <n v="0"/>
    <n v="0"/>
    <n v="1343.0308101770584"/>
    <n v="1616.7163730664527"/>
    <n v="0.11314577283297926"/>
    <n v="59"/>
    <n v="76"/>
    <n v="0"/>
    <n v="-17"/>
    <n v="0"/>
    <n v="0.4335595726714403"/>
    <n v="1"/>
    <n v="70.150000000000006"/>
    <n v="70.150000000000006"/>
    <n v="-3.4412386192711018"/>
    <n v="1339.5895715577872"/>
    <n v="0"/>
    <n v="1"/>
    <n v="0"/>
    <n v="0"/>
    <n v="0"/>
    <n v="0"/>
    <n v="0"/>
    <n v="0"/>
    <n v="0"/>
    <n v="0"/>
  </r>
  <r>
    <d v="2023-09-08T00:00:00"/>
    <n v="2023"/>
    <x v="38"/>
    <s v="R"/>
    <s v="RS"/>
    <x v="0"/>
    <s v="IND"/>
    <s v="H"/>
    <n v="2"/>
    <n v="2"/>
    <n v="0"/>
    <n v="0"/>
    <n v="0"/>
    <n v="0"/>
    <n v="1616.7163730664527"/>
    <n v="1343.0308101770584"/>
    <n v="0.88685422716702078"/>
    <n v="76"/>
    <n v="59"/>
    <n v="0"/>
    <n v="17"/>
    <n v="1"/>
    <n v="0.4335595726714403"/>
    <n v="1"/>
    <n v="70.150000000000006"/>
    <n v="70.150000000000006"/>
    <n v="3.4412386192711004"/>
    <n v="1620.1576116857239"/>
    <n v="1"/>
    <n v="0"/>
    <n v="0"/>
    <n v="0"/>
    <n v="0"/>
    <n v="0"/>
    <n v="0"/>
    <n v="0"/>
    <n v="0"/>
    <n v="0"/>
  </r>
  <r>
    <d v="2023-09-08T00:00:00"/>
    <n v="2023"/>
    <x v="38"/>
    <s v="R"/>
    <s v="RS"/>
    <x v="11"/>
    <s v="DAL"/>
    <s v="A"/>
    <n v="1"/>
    <n v="2"/>
    <n v="-1"/>
    <n v="1"/>
    <n v="-8"/>
    <n v="8"/>
    <n v="1408.7240789369796"/>
    <n v="1537.1181098753157"/>
    <n v="0.21169446328965547"/>
    <n v="91"/>
    <n v="106"/>
    <n v="0"/>
    <n v="-15"/>
    <n v="0"/>
    <n v="0.45424596889243835"/>
    <n v="1"/>
    <n v="70.150000000000006"/>
    <n v="70.150000000000006"/>
    <n v="-6.7457191645201258"/>
    <n v="1401.9783597724595"/>
    <n v="0"/>
    <n v="1"/>
    <n v="0"/>
    <n v="0"/>
    <n v="0"/>
    <n v="0"/>
    <n v="0"/>
    <n v="0"/>
    <n v="0"/>
    <n v="0"/>
  </r>
  <r>
    <d v="2023-09-08T00:00:00"/>
    <n v="2023"/>
    <x v="38"/>
    <s v="R"/>
    <s v="RS"/>
    <x v="9"/>
    <s v="SEA"/>
    <s v="H"/>
    <n v="2"/>
    <n v="1"/>
    <n v="1"/>
    <n v="-1"/>
    <n v="8"/>
    <n v="-8"/>
    <n v="1537.1181098753157"/>
    <n v="1408.7240789369796"/>
    <n v="0.78830553671034453"/>
    <n v="106"/>
    <n v="91"/>
    <n v="0"/>
    <n v="15"/>
    <n v="1"/>
    <n v="0.45424596889243835"/>
    <n v="1"/>
    <n v="70.150000000000006"/>
    <n v="70.150000000000006"/>
    <n v="6.7457191645201258"/>
    <n v="1543.8638290398358"/>
    <n v="1"/>
    <n v="0"/>
    <n v="0"/>
    <n v="0"/>
    <n v="0"/>
    <n v="0"/>
    <n v="0"/>
    <n v="0"/>
    <n v="0"/>
    <n v="0"/>
  </r>
  <r>
    <d v="2023-09-08T00:00:00"/>
    <n v="2023"/>
    <x v="39"/>
    <s v="R"/>
    <s v="RS"/>
    <x v="10"/>
    <s v="PHX"/>
    <s v="A"/>
    <n v="5"/>
    <n v="2"/>
    <n v="3"/>
    <n v="-3"/>
    <n v="16"/>
    <n v="-16"/>
    <n v="1706.2931808075243"/>
    <n v="1307.3988125338537"/>
    <n v="0.88046958251896945"/>
    <n v="94"/>
    <n v="73"/>
    <n v="0"/>
    <n v="21"/>
    <n v="1"/>
    <n v="0.44173746642654638"/>
    <n v="1"/>
    <n v="70"/>
    <n v="70"/>
    <n v="3.6960744645284462"/>
    <n v="1709.9892552720528"/>
    <n v="1"/>
    <n v="0"/>
    <n v="0"/>
    <n v="0"/>
    <n v="0"/>
    <n v="0"/>
    <n v="0"/>
    <n v="0"/>
    <n v="0"/>
    <n v="0"/>
  </r>
  <r>
    <d v="2023-09-08T00:00:00"/>
    <n v="2023"/>
    <x v="38"/>
    <s v="R"/>
    <s v="RS"/>
    <x v="2"/>
    <s v="LVA"/>
    <s v="H"/>
    <n v="2"/>
    <n v="5"/>
    <n v="-3"/>
    <n v="3"/>
    <n v="-16"/>
    <n v="16"/>
    <n v="1307.3988125338537"/>
    <n v="1706.2931808075243"/>
    <n v="0.11953041748103058"/>
    <n v="73"/>
    <n v="94"/>
    <n v="0"/>
    <n v="-21"/>
    <n v="0"/>
    <n v="0.44173746642654638"/>
    <n v="1"/>
    <n v="70.150000000000006"/>
    <n v="70.150000000000006"/>
    <n v="-3.7039946240952939"/>
    <n v="1303.6948179097585"/>
    <n v="0"/>
    <n v="1"/>
    <n v="0"/>
    <n v="0"/>
    <n v="0"/>
    <n v="0"/>
    <n v="0"/>
    <n v="0"/>
    <n v="0"/>
    <n v="0"/>
  </r>
  <r>
    <d v="2023-09-08T00:00:00"/>
    <n v="2023"/>
    <x v="38"/>
    <s v="R"/>
    <s v="RS"/>
    <x v="8"/>
    <s v="WAS"/>
    <s v="A"/>
    <n v="1"/>
    <n v="2"/>
    <n v="-1"/>
    <n v="1"/>
    <n v="-8"/>
    <n v="8"/>
    <n v="1457.8113611262158"/>
    <n v="1479.926605386815"/>
    <n v="0.33115808933047158"/>
    <n v="80"/>
    <n v="75"/>
    <n v="0"/>
    <n v="5"/>
    <n v="1"/>
    <n v="0.3257525609169199"/>
    <n v="1"/>
    <n v="70.150000000000006"/>
    <n v="70.150000000000006"/>
    <n v="15.284069112228902"/>
    <n v="1473.0954302384448"/>
    <n v="1"/>
    <n v="0"/>
    <n v="0"/>
    <n v="0"/>
    <n v="0"/>
    <n v="0"/>
    <n v="0"/>
    <n v="0"/>
    <n v="0"/>
    <n v="0"/>
  </r>
  <r>
    <d v="2023-09-08T00:00:00"/>
    <n v="2023"/>
    <x v="38"/>
    <s v="R"/>
    <s v="RS"/>
    <x v="7"/>
    <s v="ATL"/>
    <s v="H"/>
    <n v="2"/>
    <n v="1"/>
    <n v="1"/>
    <n v="-1"/>
    <n v="8"/>
    <n v="-8"/>
    <n v="1479.926605386815"/>
    <n v="1457.8113611262158"/>
    <n v="0.66884191066952847"/>
    <n v="75"/>
    <n v="80"/>
    <n v="0"/>
    <n v="-5"/>
    <n v="0"/>
    <n v="0.3257525609169199"/>
    <n v="1"/>
    <n v="70.150000000000006"/>
    <n v="70.150000000000006"/>
    <n v="-15.284069112228902"/>
    <n v="1464.6425362745861"/>
    <n v="0"/>
    <n v="1"/>
    <n v="0"/>
    <n v="0"/>
    <n v="0"/>
    <n v="0"/>
    <n v="0"/>
    <n v="0"/>
    <n v="0"/>
    <n v="0"/>
  </r>
  <r>
    <d v="2023-09-10T00:00:00"/>
    <n v="2023"/>
    <x v="39"/>
    <s v="R"/>
    <s v="RS"/>
    <x v="9"/>
    <s v="ATL"/>
    <s v="A"/>
    <n v="1"/>
    <n v="1"/>
    <n v="0"/>
    <n v="0"/>
    <n v="0"/>
    <n v="0"/>
    <n v="1543.8638290398358"/>
    <n v="1473.0954302384448"/>
    <n v="0.48096739569707497"/>
    <n v="94"/>
    <n v="77"/>
    <n v="0"/>
    <n v="17"/>
    <n v="1"/>
    <n v="0.50279066075379764"/>
    <n v="1"/>
    <n v="70"/>
    <n v="70"/>
    <n v="18.267532224916245"/>
    <n v="1562.1313612647521"/>
    <n v="1"/>
    <n v="0"/>
    <n v="0"/>
    <n v="0"/>
    <n v="0"/>
    <n v="0"/>
    <n v="0"/>
    <n v="0"/>
    <n v="0"/>
    <n v="0"/>
  </r>
  <r>
    <d v="2023-09-10T00:00:00"/>
    <n v="2023"/>
    <x v="39"/>
    <s v="R"/>
    <s v="RS"/>
    <x v="8"/>
    <s v="DAL"/>
    <s v="H"/>
    <n v="1"/>
    <n v="1"/>
    <n v="0"/>
    <n v="0"/>
    <n v="0"/>
    <n v="0"/>
    <n v="1473.0954302384448"/>
    <n v="1543.8638290398358"/>
    <n v="0.51903260430292508"/>
    <n v="77"/>
    <n v="94"/>
    <n v="0"/>
    <n v="-17"/>
    <n v="0"/>
    <n v="0.50279066075379764"/>
    <n v="1"/>
    <n v="70"/>
    <n v="70"/>
    <n v="-18.267532224916248"/>
    <n v="1454.8278980135285"/>
    <n v="0"/>
    <n v="1"/>
    <n v="0"/>
    <n v="0"/>
    <n v="0"/>
    <n v="0"/>
    <n v="0"/>
    <n v="0"/>
    <n v="0"/>
    <n v="0"/>
  </r>
  <r>
    <d v="2023-09-10T00:00:00"/>
    <n v="2023"/>
    <x v="39"/>
    <s v="R"/>
    <s v="RS"/>
    <x v="4"/>
    <s v="CON"/>
    <s v="A"/>
    <n v="1"/>
    <n v="1"/>
    <n v="0"/>
    <n v="0"/>
    <n v="0"/>
    <n v="0"/>
    <n v="1491.971988039124"/>
    <n v="1620.1576116857239"/>
    <n v="0.2276833766517895"/>
    <n v="102"/>
    <n v="91"/>
    <n v="1"/>
    <n v="11"/>
    <n v="1"/>
    <n v="0.35764793671990142"/>
    <n v="1"/>
    <n v="70"/>
    <n v="70"/>
    <n v="19.335221278447811"/>
    <n v="1511.3072093175717"/>
    <n v="1"/>
    <n v="0"/>
    <n v="0"/>
    <n v="0"/>
    <n v="0"/>
    <n v="0"/>
    <n v="0"/>
    <n v="0"/>
    <n v="0"/>
    <n v="0"/>
  </r>
  <r>
    <d v="2023-09-10T00:00:00"/>
    <n v="2023"/>
    <x v="39"/>
    <s v="R"/>
    <s v="RS"/>
    <x v="0"/>
    <s v="CHI"/>
    <s v="H"/>
    <n v="1"/>
    <n v="1"/>
    <n v="0"/>
    <n v="0"/>
    <n v="0"/>
    <n v="0"/>
    <n v="1620.1576116857239"/>
    <n v="1491.971988039124"/>
    <n v="0.7723166233482105"/>
    <n v="91"/>
    <n v="102"/>
    <n v="1"/>
    <n v="-11"/>
    <n v="0"/>
    <n v="0.35764793671990142"/>
    <n v="1"/>
    <n v="70"/>
    <n v="70"/>
    <n v="-19.335221278447811"/>
    <n v="1600.8223904072761"/>
    <n v="0"/>
    <n v="1"/>
    <n v="0"/>
    <n v="0"/>
    <n v="0"/>
    <n v="0"/>
    <n v="0"/>
    <n v="0"/>
    <n v="0"/>
    <n v="0"/>
  </r>
  <r>
    <d v="2023-09-10T00:00:00"/>
    <n v="2023"/>
    <x v="39"/>
    <s v="R"/>
    <s v="RS"/>
    <x v="5"/>
    <s v="IND"/>
    <s v="A"/>
    <n v="1"/>
    <n v="1"/>
    <n v="0"/>
    <n v="0"/>
    <n v="0"/>
    <n v="0"/>
    <n v="1465.4232195592103"/>
    <n v="1339.5895715577872"/>
    <n v="0.55991419652103125"/>
    <n v="72"/>
    <n v="87"/>
    <n v="0"/>
    <n v="-15"/>
    <n v="0"/>
    <n v="0.45512318575117988"/>
    <n v="1"/>
    <n v="70"/>
    <n v="70"/>
    <n v="-17.838095300757477"/>
    <n v="1447.5851242584529"/>
    <n v="0"/>
    <n v="1"/>
    <n v="0"/>
    <n v="0"/>
    <n v="0"/>
    <n v="0"/>
    <n v="0"/>
    <n v="0"/>
    <n v="0"/>
    <n v="0"/>
  </r>
  <r>
    <d v="2023-09-10T00:00:00"/>
    <n v="2023"/>
    <x v="39"/>
    <s v="R"/>
    <s v="RS"/>
    <x v="1"/>
    <s v="MIN"/>
    <s v="H"/>
    <n v="1"/>
    <n v="1"/>
    <n v="0"/>
    <n v="0"/>
    <n v="0"/>
    <n v="0"/>
    <n v="1339.5895715577872"/>
    <n v="1465.4232195592103"/>
    <n v="0.44008580347896875"/>
    <n v="87"/>
    <n v="72"/>
    <n v="0"/>
    <n v="15"/>
    <n v="1"/>
    <n v="0.45512318575117988"/>
    <n v="1"/>
    <n v="70"/>
    <n v="70"/>
    <n v="17.838095300757477"/>
    <n v="1357.4276668585446"/>
    <n v="1"/>
    <n v="0"/>
    <n v="0"/>
    <n v="0"/>
    <n v="0"/>
    <n v="0"/>
    <n v="0"/>
    <n v="0"/>
    <n v="0"/>
    <n v="0"/>
  </r>
  <r>
    <d v="2023-09-10T00:00:00"/>
    <n v="2023"/>
    <x v="39"/>
    <s v="R"/>
    <s v="RS"/>
    <x v="2"/>
    <s v="LVA"/>
    <s v="A"/>
    <n v="1"/>
    <n v="1"/>
    <n v="0"/>
    <n v="0"/>
    <n v="0"/>
    <n v="0"/>
    <n v="1303.6948179097585"/>
    <n v="1709.9892552720528"/>
    <n v="5.6127687981598673E-2"/>
    <n v="85"/>
    <n v="100"/>
    <n v="0"/>
    <n v="-15"/>
    <n v="0"/>
    <n v="0.37565817300929699"/>
    <n v="1"/>
    <n v="70"/>
    <n v="70"/>
    <n v="-1.4759377305682264"/>
    <n v="1302.2188801791904"/>
    <n v="0"/>
    <n v="1"/>
    <n v="0"/>
    <n v="0"/>
    <n v="0"/>
    <n v="0"/>
    <n v="0"/>
    <n v="0"/>
    <n v="0"/>
    <n v="0"/>
  </r>
  <r>
    <d v="2023-09-10T00:00:00"/>
    <n v="2023"/>
    <x v="40"/>
    <s v="R"/>
    <s v="RS"/>
    <x v="10"/>
    <s v="PHX"/>
    <s v="H"/>
    <n v="1"/>
    <n v="1"/>
    <n v="0"/>
    <n v="0"/>
    <n v="0"/>
    <n v="0"/>
    <n v="1709.9892552720528"/>
    <n v="1303.6948179097585"/>
    <n v="0.94387231201840138"/>
    <n v="100"/>
    <n v="85"/>
    <n v="0"/>
    <n v="15"/>
    <n v="1"/>
    <n v="0.37565817300929699"/>
    <n v="1"/>
    <n v="69.849999999999994"/>
    <n v="69.849999999999994"/>
    <n v="1.4727750068598642"/>
    <n v="1711.4620302789126"/>
    <n v="1"/>
    <n v="0"/>
    <n v="0"/>
    <n v="0"/>
    <n v="0"/>
    <n v="0"/>
    <n v="0"/>
    <n v="0"/>
    <n v="0"/>
    <n v="0"/>
  </r>
  <r>
    <d v="2023-09-10T00:00:00"/>
    <n v="2023"/>
    <x v="39"/>
    <s v="R"/>
    <s v="RS"/>
    <x v="7"/>
    <s v="NYL"/>
    <s v="A"/>
    <n v="1"/>
    <n v="2"/>
    <n v="-1"/>
    <n v="1"/>
    <n v="-8"/>
    <n v="8"/>
    <n v="1464.6425362745861"/>
    <n v="1753.7568877893561"/>
    <n v="9.6222301770801197E-2"/>
    <n v="90"/>
    <n v="88"/>
    <n v="0"/>
    <n v="2"/>
    <n v="1"/>
    <n v="0.21583942471889869"/>
    <n v="1"/>
    <n v="70"/>
    <n v="70"/>
    <n v="13.654960092169249"/>
    <n v="1478.2974963667552"/>
    <n v="1"/>
    <n v="0"/>
    <n v="0"/>
    <n v="0"/>
    <n v="0"/>
    <n v="0"/>
    <n v="0"/>
    <n v="0"/>
    <n v="0"/>
    <n v="0"/>
  </r>
  <r>
    <d v="2023-09-10T00:00:00"/>
    <n v="2023"/>
    <x v="40"/>
    <s v="R"/>
    <s v="RS"/>
    <x v="6"/>
    <s v="WAS"/>
    <s v="H"/>
    <n v="2"/>
    <n v="1"/>
    <n v="1"/>
    <n v="-1"/>
    <n v="8"/>
    <n v="-8"/>
    <n v="1753.7568877893561"/>
    <n v="1464.6425362745861"/>
    <n v="0.90377769822919873"/>
    <n v="88"/>
    <n v="90"/>
    <n v="0"/>
    <n v="-2"/>
    <n v="0"/>
    <n v="0.21583942471889869"/>
    <n v="1"/>
    <n v="69.849999999999994"/>
    <n v="69.849999999999994"/>
    <n v="-13.625699463400313"/>
    <n v="1740.1311883259559"/>
    <n v="0"/>
    <n v="1"/>
    <n v="0"/>
    <n v="0"/>
    <n v="0"/>
    <n v="0"/>
    <n v="0"/>
    <n v="0"/>
    <n v="0"/>
    <n v="0"/>
  </r>
  <r>
    <d v="2023-09-10T00:00:00"/>
    <n v="2023"/>
    <x v="39"/>
    <s v="R"/>
    <s v="RS"/>
    <x v="3"/>
    <s v="SEA"/>
    <s v="A"/>
    <n v="2"/>
    <n v="1"/>
    <n v="1"/>
    <n v="-1"/>
    <n v="8"/>
    <n v="-8"/>
    <n v="1432.3603766442582"/>
    <n v="1401.9783597724595"/>
    <n v="0.44607393287252667"/>
    <n v="91"/>
    <n v="89"/>
    <n v="0"/>
    <n v="2"/>
    <n v="1"/>
    <n v="0.26122747290209586"/>
    <n v="1"/>
    <n v="70"/>
    <n v="70"/>
    <n v="10.12904946832146"/>
    <n v="1442.4894261125796"/>
    <n v="1"/>
    <n v="0"/>
    <n v="0"/>
    <n v="0"/>
    <n v="0"/>
    <n v="0"/>
    <n v="0"/>
    <n v="0"/>
    <n v="0"/>
    <n v="0"/>
  </r>
  <r>
    <d v="2023-09-10T00:00:00"/>
    <n v="2023"/>
    <x v="39"/>
    <s v="R"/>
    <s v="RS"/>
    <x v="11"/>
    <s v="LAS"/>
    <s v="H"/>
    <n v="1"/>
    <n v="2"/>
    <n v="-1"/>
    <n v="1"/>
    <n v="-8"/>
    <n v="8"/>
    <n v="1401.9783597724595"/>
    <n v="1432.3603766442582"/>
    <n v="0.55392606712747328"/>
    <n v="89"/>
    <n v="91"/>
    <n v="0"/>
    <n v="-2"/>
    <n v="0"/>
    <n v="0.26122747290209586"/>
    <n v="1"/>
    <n v="70"/>
    <n v="70"/>
    <n v="-10.12904946832146"/>
    <n v="1391.849310304138"/>
    <n v="0"/>
    <n v="1"/>
    <n v="0"/>
    <n v="0"/>
    <n v="0"/>
    <n v="0"/>
    <n v="0"/>
    <n v="0"/>
    <n v="0"/>
    <n v="0"/>
  </r>
  <r>
    <d v="2023-09-13T00:00:00"/>
    <n v="2023"/>
    <x v="40"/>
    <s v="P"/>
    <n v="1"/>
    <x v="5"/>
    <s v="CON"/>
    <s v="A"/>
    <n v="2"/>
    <n v="2"/>
    <n v="0"/>
    <n v="0"/>
    <n v="0"/>
    <n v="0"/>
    <n v="1447.5851242584529"/>
    <n v="1600.8223904072761"/>
    <n v="0.20332397157536533"/>
    <n v="60"/>
    <n v="90"/>
    <n v="0"/>
    <n v="-30"/>
    <n v="0"/>
    <n v="0.62383089251767021"/>
    <n v="1.1000000000000001"/>
    <n v="69.849999999999994"/>
    <n v="76.834999999999994"/>
    <n v="-9.7457340858549255"/>
    <n v="1437.8393901725979"/>
    <n v="0"/>
    <n v="0"/>
    <n v="0"/>
    <n v="1"/>
    <n v="0"/>
    <n v="0"/>
    <n v="0"/>
    <n v="0"/>
    <n v="0"/>
    <n v="0"/>
  </r>
  <r>
    <d v="2023-09-13T00:00:00"/>
    <n v="2023"/>
    <x v="40"/>
    <s v="P"/>
    <n v="1"/>
    <x v="0"/>
    <s v="MIN"/>
    <s v="H"/>
    <n v="2"/>
    <n v="2"/>
    <n v="0"/>
    <n v="0"/>
    <n v="0"/>
    <n v="0"/>
    <n v="1600.8223904072761"/>
    <n v="1447.5851242584529"/>
    <n v="0.79667602842463481"/>
    <n v="90"/>
    <n v="60"/>
    <n v="0"/>
    <n v="30"/>
    <n v="1"/>
    <n v="0.62383089251767021"/>
    <n v="1.1000000000000001"/>
    <n v="69.849999999999994"/>
    <n v="76.834999999999994"/>
    <n v="9.7457340858549184"/>
    <n v="1610.5681244931311"/>
    <n v="0"/>
    <n v="0"/>
    <n v="1"/>
    <n v="0"/>
    <n v="0"/>
    <n v="0"/>
    <n v="0"/>
    <n v="0"/>
    <n v="0"/>
    <n v="0"/>
  </r>
  <r>
    <d v="2023-09-13T00:00:00"/>
    <n v="2023"/>
    <x v="40"/>
    <s v="P"/>
    <n v="1"/>
    <x v="4"/>
    <s v="LVA"/>
    <s v="A"/>
    <n v="2"/>
    <n v="2"/>
    <n v="0"/>
    <n v="0"/>
    <n v="0"/>
    <n v="0"/>
    <n v="1511.3072093175717"/>
    <n v="1711.4620302789126"/>
    <n v="0.16304737882944198"/>
    <n v="59"/>
    <n v="87"/>
    <n v="0"/>
    <n v="-28"/>
    <n v="0"/>
    <n v="0.58201248882303636"/>
    <n v="1.1000000000000001"/>
    <n v="69.849999999999994"/>
    <n v="76.834999999999994"/>
    <n v="-7.2913042518683717"/>
    <n v="1504.0159050657035"/>
    <n v="0"/>
    <n v="0"/>
    <n v="0"/>
    <n v="1"/>
    <n v="0"/>
    <n v="0"/>
    <n v="0"/>
    <n v="0"/>
    <n v="0"/>
    <n v="0"/>
  </r>
  <r>
    <d v="2023-09-13T00:00:00"/>
    <n v="2023"/>
    <x v="41"/>
    <s v="P"/>
    <n v="1"/>
    <x v="10"/>
    <s v="CHI"/>
    <s v="H"/>
    <n v="2"/>
    <n v="2"/>
    <n v="0"/>
    <n v="0"/>
    <n v="0"/>
    <n v="0"/>
    <n v="1711.4620302789126"/>
    <n v="1511.3072093175717"/>
    <n v="0.83695262117055802"/>
    <n v="87"/>
    <n v="59"/>
    <n v="0"/>
    <n v="28"/>
    <n v="1"/>
    <n v="0.58201248882303636"/>
    <n v="1.1000000000000001"/>
    <n v="69.7"/>
    <n v="76.670000000000016"/>
    <n v="7.2756464760948552"/>
    <n v="1718.7376767550074"/>
    <n v="0"/>
    <n v="0"/>
    <n v="1"/>
    <n v="0"/>
    <n v="0"/>
    <n v="0"/>
    <n v="0"/>
    <n v="0"/>
    <n v="0"/>
    <n v="0"/>
  </r>
  <r>
    <d v="2023-09-15T00:00:00"/>
    <n v="2023"/>
    <x v="40"/>
    <s v="P"/>
    <n v="1"/>
    <x v="8"/>
    <s v="DAL"/>
    <s v="A"/>
    <n v="4"/>
    <n v="4"/>
    <n v="0"/>
    <n v="0"/>
    <n v="0"/>
    <n v="0"/>
    <n v="1454.8278980135285"/>
    <n v="1562.1313612647521"/>
    <n v="0.24950926506037008"/>
    <n v="82"/>
    <n v="94"/>
    <n v="0"/>
    <n v="-12"/>
    <n v="0"/>
    <n v="0.41869034013770068"/>
    <n v="1.1000000000000001"/>
    <n v="69.849999999999994"/>
    <n v="76.834999999999994"/>
    <n v="-8.0267310926396416"/>
    <n v="1446.8011669208888"/>
    <n v="0"/>
    <n v="0"/>
    <n v="0"/>
    <n v="1"/>
    <n v="0"/>
    <n v="0"/>
    <n v="0"/>
    <n v="0"/>
    <n v="0"/>
    <n v="0"/>
  </r>
  <r>
    <d v="2023-09-15T00:00:00"/>
    <n v="2023"/>
    <x v="40"/>
    <s v="P"/>
    <n v="1"/>
    <x v="9"/>
    <s v="ATL"/>
    <s v="H"/>
    <n v="4"/>
    <n v="4"/>
    <n v="0"/>
    <n v="0"/>
    <n v="0"/>
    <n v="0"/>
    <n v="1562.1313612647521"/>
    <n v="1454.8278980135285"/>
    <n v="0.75049073493962992"/>
    <n v="94"/>
    <n v="82"/>
    <n v="0"/>
    <n v="12"/>
    <n v="1"/>
    <n v="0.41869034013770068"/>
    <n v="1.1000000000000001"/>
    <n v="69.849999999999994"/>
    <n v="76.834999999999994"/>
    <n v="8.0267310926396416"/>
    <n v="1570.1580923573918"/>
    <n v="0"/>
    <n v="0"/>
    <n v="1"/>
    <n v="0"/>
    <n v="0"/>
    <n v="0"/>
    <n v="0"/>
    <n v="0"/>
    <n v="0"/>
    <n v="0"/>
  </r>
  <r>
    <d v="2023-09-15T00:00:00"/>
    <n v="2023"/>
    <x v="40"/>
    <s v="P"/>
    <n v="1"/>
    <x v="7"/>
    <s v="NYL"/>
    <s v="A"/>
    <n v="4"/>
    <n v="4"/>
    <n v="0"/>
    <n v="0"/>
    <n v="0"/>
    <n v="0"/>
    <n v="1478.2974963667552"/>
    <n v="1740.1311883259559"/>
    <n v="0.12017449786223985"/>
    <n v="75"/>
    <n v="90"/>
    <n v="0"/>
    <n v="-15"/>
    <n v="0"/>
    <n v="0.41278131498378229"/>
    <n v="1.1000000000000001"/>
    <n v="69.849999999999994"/>
    <n v="76.834999999999994"/>
    <n v="-3.8114606637449242"/>
    <n v="1474.4860357030102"/>
    <n v="0"/>
    <n v="0"/>
    <n v="0"/>
    <n v="1"/>
    <n v="0"/>
    <n v="0"/>
    <n v="0"/>
    <n v="0"/>
    <n v="0"/>
    <n v="0"/>
  </r>
  <r>
    <d v="2023-09-15T00:00:00"/>
    <n v="2023"/>
    <x v="41"/>
    <s v="P"/>
    <n v="1"/>
    <x v="6"/>
    <s v="WAS"/>
    <s v="H"/>
    <n v="4"/>
    <n v="4"/>
    <n v="0"/>
    <n v="0"/>
    <n v="0"/>
    <n v="0"/>
    <n v="1740.1311883259559"/>
    <n v="1478.2974963667552"/>
    <n v="0.87982550213776012"/>
    <n v="90"/>
    <n v="75"/>
    <n v="0"/>
    <n v="15"/>
    <n v="1"/>
    <n v="0.41278131498378229"/>
    <n v="1.1000000000000001"/>
    <n v="69.7"/>
    <n v="76.670000000000016"/>
    <n v="3.8032757088478362"/>
    <n v="1743.9344640348038"/>
    <n v="0"/>
    <n v="0"/>
    <n v="1"/>
    <n v="0"/>
    <n v="0"/>
    <n v="0"/>
    <n v="0"/>
    <n v="0"/>
    <n v="0"/>
    <n v="0"/>
  </r>
  <r>
    <d v="2023-09-17T00:00:00"/>
    <n v="2023"/>
    <x v="41"/>
    <s v="P"/>
    <n v="1"/>
    <x v="5"/>
    <s v="CON"/>
    <s v="A"/>
    <n v="3"/>
    <n v="3"/>
    <n v="0"/>
    <n v="0"/>
    <n v="0"/>
    <n v="0"/>
    <n v="1437.8393901725979"/>
    <n v="1610.5681244931311"/>
    <n v="0.18575247578659823"/>
    <n v="82"/>
    <n v="75"/>
    <n v="0"/>
    <n v="7"/>
    <n v="1"/>
    <n v="0.32353705133477567"/>
    <n v="1.1000000000000001"/>
    <n v="69.7"/>
    <n v="76.670000000000016"/>
    <n v="20.197886763926284"/>
    <n v="1458.0372769365242"/>
    <n v="0"/>
    <n v="0"/>
    <n v="1"/>
    <n v="0"/>
    <n v="0"/>
    <n v="0"/>
    <n v="0"/>
    <n v="0"/>
    <n v="0"/>
    <n v="0"/>
  </r>
  <r>
    <d v="2023-09-17T00:00:00"/>
    <n v="2023"/>
    <x v="41"/>
    <s v="P"/>
    <n v="1"/>
    <x v="0"/>
    <s v="MIN"/>
    <s v="H"/>
    <n v="3"/>
    <n v="3"/>
    <n v="0"/>
    <n v="0"/>
    <n v="0"/>
    <n v="0"/>
    <n v="1610.5681244931311"/>
    <n v="1437.8393901725979"/>
    <n v="0.81424752421340185"/>
    <n v="75"/>
    <n v="82"/>
    <n v="0"/>
    <n v="-7"/>
    <n v="0"/>
    <n v="0.32353705133477567"/>
    <n v="1.1000000000000001"/>
    <n v="69.7"/>
    <n v="76.670000000000016"/>
    <n v="-20.197886763926288"/>
    <n v="1590.3702377292047"/>
    <n v="0"/>
    <n v="0"/>
    <n v="0"/>
    <n v="1"/>
    <n v="0"/>
    <n v="0"/>
    <n v="0"/>
    <n v="0"/>
    <n v="0"/>
    <n v="0"/>
  </r>
  <r>
    <d v="2023-09-17T00:00:00"/>
    <n v="2023"/>
    <x v="41"/>
    <s v="P"/>
    <n v="1"/>
    <x v="4"/>
    <s v="LVA"/>
    <s v="A"/>
    <n v="3"/>
    <n v="3"/>
    <n v="0"/>
    <n v="0"/>
    <n v="0"/>
    <n v="0"/>
    <n v="1504.0159050657035"/>
    <n v="1718.7376767550074"/>
    <n v="0.15192517408665551"/>
    <n v="70"/>
    <n v="92"/>
    <n v="0"/>
    <n v="-22"/>
    <n v="0"/>
    <n v="0.51067808528988501"/>
    <n v="1.1000000000000001"/>
    <n v="69.7"/>
    <n v="76.670000000000016"/>
    <n v="-5.9484309869494707"/>
    <n v="1498.067474078754"/>
    <n v="0"/>
    <n v="0"/>
    <n v="0"/>
    <n v="1"/>
    <n v="0"/>
    <n v="0"/>
    <n v="0"/>
    <n v="0"/>
    <n v="0"/>
    <n v="0"/>
  </r>
  <r>
    <d v="2023-09-17T00:00:00"/>
    <n v="2023"/>
    <x v="42"/>
    <s v="P"/>
    <n v="1"/>
    <x v="10"/>
    <s v="CHI"/>
    <s v="H"/>
    <n v="3"/>
    <n v="3"/>
    <n v="0"/>
    <n v="0"/>
    <n v="0"/>
    <n v="0"/>
    <n v="1718.7376767550074"/>
    <n v="1504.0159050657035"/>
    <n v="0.84807482591334438"/>
    <n v="92"/>
    <n v="70"/>
    <n v="0"/>
    <n v="22"/>
    <n v="1"/>
    <n v="0.51067808528988501"/>
    <n v="1.1000000000000001"/>
    <n v="69.55"/>
    <n v="76.50500000000001"/>
    <n v="5.9356294855428402"/>
    <n v="1724.6733062405503"/>
    <n v="0"/>
    <n v="0"/>
    <n v="1"/>
    <n v="0"/>
    <n v="0"/>
    <n v="0"/>
    <n v="0"/>
    <n v="0"/>
    <n v="0"/>
    <n v="0"/>
  </r>
  <r>
    <d v="2023-09-19T00:00:00"/>
    <n v="2023"/>
    <x v="41"/>
    <s v="P"/>
    <n v="1"/>
    <x v="8"/>
    <s v="DAL"/>
    <s v="A"/>
    <n v="3"/>
    <n v="3"/>
    <n v="0"/>
    <n v="0"/>
    <n v="0"/>
    <n v="0"/>
    <n v="1446.8011669208888"/>
    <n v="1570.1580923573918"/>
    <n v="0.23260812603054137"/>
    <n v="74"/>
    <n v="101"/>
    <n v="0"/>
    <n v="-27"/>
    <n v="0"/>
    <n v="0.60452322772718603"/>
    <n v="1.1000000000000001"/>
    <n v="69.7"/>
    <n v="76.670000000000016"/>
    <n v="-10.781106551056361"/>
    <n v="1436.0200603698324"/>
    <n v="0"/>
    <n v="0"/>
    <n v="0"/>
    <n v="1"/>
    <n v="0"/>
    <n v="0"/>
    <n v="0"/>
    <n v="0"/>
    <n v="0"/>
    <n v="0"/>
  </r>
  <r>
    <d v="2023-09-19T00:00:00"/>
    <n v="2023"/>
    <x v="41"/>
    <s v="P"/>
    <n v="1"/>
    <x v="9"/>
    <s v="ATL"/>
    <s v="H"/>
    <n v="3"/>
    <n v="3"/>
    <n v="0"/>
    <n v="0"/>
    <n v="0"/>
    <n v="0"/>
    <n v="1570.1580923573918"/>
    <n v="1446.8011669208888"/>
    <n v="0.76739187396945874"/>
    <n v="101"/>
    <n v="74"/>
    <n v="0"/>
    <n v="27"/>
    <n v="1"/>
    <n v="0.60452322772718603"/>
    <n v="1.1000000000000001"/>
    <n v="69.7"/>
    <n v="76.670000000000016"/>
    <n v="10.781106551056356"/>
    <n v="1580.9391989084481"/>
    <n v="0"/>
    <n v="0"/>
    <n v="1"/>
    <n v="0"/>
    <n v="0"/>
    <n v="0"/>
    <n v="0"/>
    <n v="0"/>
    <n v="0"/>
    <n v="0"/>
  </r>
  <r>
    <d v="2023-09-19T00:00:00"/>
    <n v="2023"/>
    <x v="41"/>
    <s v="P"/>
    <n v="1"/>
    <x v="7"/>
    <s v="NYL"/>
    <s v="A"/>
    <n v="3"/>
    <n v="3"/>
    <n v="0"/>
    <n v="0"/>
    <n v="0"/>
    <n v="0"/>
    <n v="1474.4860357030102"/>
    <n v="1743.9344640348038"/>
    <n v="0.11561643935886397"/>
    <n v="85"/>
    <n v="90"/>
    <n v="1"/>
    <n v="-5"/>
    <n v="0"/>
    <n v="0.24383057383300433"/>
    <n v="1.1000000000000001"/>
    <n v="69.7"/>
    <n v="76.670000000000016"/>
    <n v="-2.1613903805032204"/>
    <n v="1472.324645322507"/>
    <n v="0"/>
    <n v="0"/>
    <n v="0"/>
    <n v="1"/>
    <n v="0"/>
    <n v="0"/>
    <n v="0"/>
    <n v="0"/>
    <n v="0"/>
    <n v="0"/>
  </r>
  <r>
    <d v="2023-09-19T00:00:00"/>
    <n v="2023"/>
    <x v="42"/>
    <s v="P"/>
    <n v="1"/>
    <x v="6"/>
    <s v="WAS"/>
    <s v="H"/>
    <n v="3"/>
    <n v="3"/>
    <n v="0"/>
    <n v="0"/>
    <n v="0"/>
    <n v="0"/>
    <n v="1743.9344640348038"/>
    <n v="1474.4860357030102"/>
    <n v="0.88438356064113599"/>
    <n v="90"/>
    <n v="85"/>
    <n v="1"/>
    <n v="5"/>
    <n v="1"/>
    <n v="0.24383057383300433"/>
    <n v="1.1000000000000001"/>
    <n v="69.55"/>
    <n v="76.50500000000001"/>
    <n v="2.1567388947489099"/>
    <n v="1746.0912029295528"/>
    <n v="0"/>
    <n v="0"/>
    <n v="1"/>
    <n v="0"/>
    <n v="0"/>
    <n v="0"/>
    <n v="0"/>
    <n v="0"/>
    <n v="0"/>
    <n v="0"/>
  </r>
  <r>
    <d v="2023-09-20T00:00:00"/>
    <n v="2023"/>
    <x v="42"/>
    <s v="P"/>
    <n v="1"/>
    <x v="0"/>
    <s v="MIN"/>
    <s v="A"/>
    <n v="2"/>
    <n v="2"/>
    <n v="0"/>
    <n v="0"/>
    <n v="0"/>
    <n v="0"/>
    <n v="1590.3702377292047"/>
    <n v="1458.0372769365242"/>
    <n v="0.56911146830307902"/>
    <n v="90"/>
    <n v="75"/>
    <n v="0"/>
    <n v="15"/>
    <n v="1"/>
    <n v="0.45290302905627194"/>
    <n v="1.1000000000000001"/>
    <n v="69.55"/>
    <n v="76.50500000000001"/>
    <n v="14.930005924728547"/>
    <n v="1605.3002436539332"/>
    <n v="0"/>
    <n v="0"/>
    <n v="1"/>
    <n v="0"/>
    <n v="0"/>
    <n v="0"/>
    <n v="0"/>
    <n v="0"/>
    <n v="0"/>
    <n v="0"/>
  </r>
  <r>
    <d v="2023-09-20T00:00:00"/>
    <n v="2023"/>
    <x v="42"/>
    <s v="P"/>
    <n v="1"/>
    <x v="5"/>
    <s v="CON"/>
    <s v="H"/>
    <n v="2"/>
    <n v="2"/>
    <n v="0"/>
    <n v="0"/>
    <n v="0"/>
    <n v="0"/>
    <n v="1458.0372769365242"/>
    <n v="1590.3702377292047"/>
    <n v="0.43088853169692093"/>
    <n v="75"/>
    <n v="90"/>
    <n v="0"/>
    <n v="-15"/>
    <n v="0"/>
    <n v="0.45290302905627194"/>
    <n v="1.1000000000000001"/>
    <n v="69.55"/>
    <n v="76.50500000000001"/>
    <n v="-14.930005924728546"/>
    <n v="1443.1072710117958"/>
    <n v="0"/>
    <n v="0"/>
    <n v="0"/>
    <n v="1"/>
    <n v="0"/>
    <n v="0"/>
    <n v="0"/>
    <n v="0"/>
    <n v="0"/>
    <n v="0"/>
  </r>
  <r>
    <d v="2023-09-24T00:00:00"/>
    <n v="2023"/>
    <x v="42"/>
    <s v="P"/>
    <n v="2"/>
    <x v="9"/>
    <s v="LVA"/>
    <s v="A"/>
    <n v="4"/>
    <n v="6"/>
    <n v="-2"/>
    <n v="2"/>
    <n v="-16"/>
    <n v="16"/>
    <n v="1580.9391989084481"/>
    <n v="1724.6733062405503"/>
    <n v="0.18315004204457153"/>
    <n v="83"/>
    <n v="97"/>
    <n v="0"/>
    <n v="-14"/>
    <n v="0"/>
    <n v="0.43545052629694653"/>
    <n v="1.2"/>
    <n v="69.55"/>
    <n v="83.46"/>
    <n v="-6.6561672023799971"/>
    <n v="1574.2830317060682"/>
    <n v="0"/>
    <n v="0"/>
    <n v="0"/>
    <n v="0"/>
    <n v="0"/>
    <n v="1"/>
    <n v="0"/>
    <n v="0"/>
    <n v="0"/>
    <n v="0"/>
  </r>
  <r>
    <d v="2023-09-24T00:00:00"/>
    <n v="2023"/>
    <x v="43"/>
    <s v="P"/>
    <n v="2"/>
    <x v="10"/>
    <s v="DAL"/>
    <s v="H"/>
    <n v="6"/>
    <n v="4"/>
    <n v="2"/>
    <n v="-2"/>
    <n v="16"/>
    <n v="-16"/>
    <n v="1724.6733062405503"/>
    <n v="1580.9391989084481"/>
    <n v="0.81684995795542858"/>
    <n v="97"/>
    <n v="83"/>
    <n v="0"/>
    <n v="14"/>
    <n v="1"/>
    <n v="0.43545052629694653"/>
    <n v="1.2"/>
    <n v="69.400000000000006"/>
    <n v="83.28"/>
    <n v="6.6418117015840625"/>
    <n v="1731.3151179421345"/>
    <n v="0"/>
    <n v="0"/>
    <n v="0"/>
    <n v="0"/>
    <n v="1"/>
    <n v="0"/>
    <n v="0"/>
    <n v="0"/>
    <n v="0"/>
    <n v="0"/>
  </r>
  <r>
    <d v="2023-09-24T00:00:00"/>
    <n v="2023"/>
    <x v="43"/>
    <s v="P"/>
    <n v="2"/>
    <x v="0"/>
    <s v="NYL"/>
    <s v="A"/>
    <n v="3"/>
    <n v="4"/>
    <n v="-1"/>
    <n v="1"/>
    <n v="-8"/>
    <n v="8"/>
    <n v="1605.3002436539332"/>
    <n v="1746.0912029295528"/>
    <n v="0.20003043017292194"/>
    <n v="78"/>
    <n v="63"/>
    <n v="0"/>
    <n v="15"/>
    <n v="1"/>
    <n v="0.45004601909049319"/>
    <n v="1.2"/>
    <n v="69.400000000000006"/>
    <n v="83.28"/>
    <n v="29.982725458101882"/>
    <n v="1635.2829691120351"/>
    <n v="0"/>
    <n v="0"/>
    <n v="0"/>
    <n v="0"/>
    <n v="1"/>
    <n v="0"/>
    <n v="0"/>
    <n v="0"/>
    <n v="0"/>
    <n v="0"/>
  </r>
  <r>
    <d v="2023-09-24T00:00:00"/>
    <n v="2023"/>
    <x v="43"/>
    <s v="P"/>
    <n v="2"/>
    <x v="6"/>
    <s v="CON"/>
    <s v="H"/>
    <n v="4"/>
    <n v="3"/>
    <n v="1"/>
    <n v="-1"/>
    <n v="8"/>
    <n v="-8"/>
    <n v="1746.0912029295528"/>
    <n v="1605.3002436539332"/>
    <n v="0.79996956982707812"/>
    <n v="63"/>
    <n v="78"/>
    <n v="0"/>
    <n v="-15"/>
    <n v="0"/>
    <n v="0.45004601909049319"/>
    <n v="1.2"/>
    <n v="69.400000000000006"/>
    <n v="83.28"/>
    <n v="-29.982725458101882"/>
    <n v="1716.1084774714509"/>
    <n v="0"/>
    <n v="0"/>
    <n v="0"/>
    <n v="0"/>
    <n v="0"/>
    <n v="1"/>
    <n v="0"/>
    <n v="0"/>
    <n v="0"/>
    <n v="0"/>
  </r>
  <r>
    <d v="2023-09-26T00:00:00"/>
    <n v="2023"/>
    <x v="43"/>
    <s v="P"/>
    <n v="2"/>
    <x v="9"/>
    <s v="LVA"/>
    <s v="A"/>
    <n v="1"/>
    <n v="1"/>
    <n v="0"/>
    <n v="0"/>
    <n v="0"/>
    <n v="0"/>
    <n v="1574.2830317060682"/>
    <n v="1731.3151179421345"/>
    <n v="0.19980841117093731"/>
    <n v="84"/>
    <n v="91"/>
    <n v="0"/>
    <n v="-7"/>
    <n v="0"/>
    <n v="0.32727937053901346"/>
    <n v="1.2"/>
    <n v="69.400000000000006"/>
    <n v="83.28"/>
    <n v="-5.4459432839134534"/>
    <n v="1568.8370884221547"/>
    <n v="0"/>
    <n v="0"/>
    <n v="0"/>
    <n v="0"/>
    <n v="0"/>
    <n v="1"/>
    <n v="0"/>
    <n v="0"/>
    <n v="0"/>
    <n v="0"/>
  </r>
  <r>
    <d v="2023-09-26T00:00:00"/>
    <n v="2023"/>
    <x v="44"/>
    <s v="P"/>
    <n v="2"/>
    <x v="10"/>
    <s v="DAL"/>
    <s v="H"/>
    <n v="1"/>
    <n v="1"/>
    <n v="0"/>
    <n v="0"/>
    <n v="0"/>
    <n v="0"/>
    <n v="1731.3151179421345"/>
    <n v="1574.2830317060682"/>
    <n v="0.80019158882906272"/>
    <n v="91"/>
    <n v="84"/>
    <n v="0"/>
    <n v="7"/>
    <n v="1"/>
    <n v="0.32727937053901346"/>
    <n v="1.2"/>
    <n v="69.25"/>
    <n v="83.1"/>
    <n v="5.4341725131268959"/>
    <n v="1736.7492904552614"/>
    <n v="0"/>
    <n v="0"/>
    <n v="0"/>
    <n v="0"/>
    <n v="1"/>
    <n v="0"/>
    <n v="0"/>
    <n v="0"/>
    <n v="0"/>
    <n v="0"/>
  </r>
  <r>
    <d v="2023-09-26T00:00:00"/>
    <n v="2023"/>
    <x v="44"/>
    <s v="P"/>
    <n v="2"/>
    <x v="0"/>
    <s v="NYL"/>
    <s v="A"/>
    <n v="1"/>
    <n v="1"/>
    <n v="0"/>
    <n v="0"/>
    <n v="0"/>
    <n v="0"/>
    <n v="1635.2829691120351"/>
    <n v="1716.1084774714509"/>
    <n v="0.27912382200111113"/>
    <n v="77"/>
    <n v="84"/>
    <n v="0"/>
    <n v="-7"/>
    <n v="0"/>
    <n v="0.34675184409268955"/>
    <n v="1.2"/>
    <n v="69.25"/>
    <n v="83.1"/>
    <n v="-8.0429747707549559"/>
    <n v="1627.2399943412802"/>
    <n v="0"/>
    <n v="0"/>
    <n v="0"/>
    <n v="0"/>
    <n v="0"/>
    <n v="1"/>
    <n v="0"/>
    <n v="0"/>
    <n v="0"/>
    <n v="0"/>
  </r>
  <r>
    <d v="2023-09-26T00:00:00"/>
    <n v="2023"/>
    <x v="44"/>
    <s v="P"/>
    <n v="2"/>
    <x v="6"/>
    <s v="CON"/>
    <s v="H"/>
    <n v="1"/>
    <n v="1"/>
    <n v="0"/>
    <n v="0"/>
    <n v="0"/>
    <n v="0"/>
    <n v="1716.1084774714509"/>
    <n v="1635.2829691120351"/>
    <n v="0.72087617799888892"/>
    <n v="84"/>
    <n v="77"/>
    <n v="0"/>
    <n v="7"/>
    <n v="1"/>
    <n v="0.34675184409268955"/>
    <n v="1.2"/>
    <n v="69.25"/>
    <n v="83.1"/>
    <n v="8.0429747707549542"/>
    <n v="1724.1514522422058"/>
    <n v="0"/>
    <n v="0"/>
    <n v="0"/>
    <n v="0"/>
    <n v="1"/>
    <n v="0"/>
    <n v="0"/>
    <n v="0"/>
    <n v="0"/>
    <n v="0"/>
  </r>
  <r>
    <d v="2023-09-29T00:00:00"/>
    <n v="2023"/>
    <x v="45"/>
    <s v="P"/>
    <n v="2"/>
    <x v="6"/>
    <s v="CON"/>
    <s v="A"/>
    <n v="2"/>
    <n v="2"/>
    <n v="0"/>
    <n v="0"/>
    <n v="0"/>
    <n v="0"/>
    <n v="1724.1514522422058"/>
    <n v="1627.2399943412802"/>
    <n v="0.51857253262515002"/>
    <n v="92"/>
    <n v="81"/>
    <n v="0"/>
    <n v="11"/>
    <n v="1"/>
    <n v="0.40696931243356932"/>
    <n v="1.2"/>
    <n v="69.099999999999994"/>
    <n v="82.919999999999987"/>
    <n v="16.246200950455982"/>
    <n v="1740.3976531926617"/>
    <n v="0"/>
    <n v="0"/>
    <n v="0"/>
    <n v="0"/>
    <n v="1"/>
    <n v="0"/>
    <n v="0"/>
    <n v="0"/>
    <n v="0"/>
    <n v="0"/>
  </r>
  <r>
    <d v="2023-09-29T00:00:00"/>
    <n v="2023"/>
    <x v="45"/>
    <s v="P"/>
    <n v="2"/>
    <x v="0"/>
    <s v="NYL"/>
    <s v="H"/>
    <n v="2"/>
    <n v="2"/>
    <n v="0"/>
    <n v="0"/>
    <n v="0"/>
    <n v="0"/>
    <n v="1627.2399943412802"/>
    <n v="1724.1514522422058"/>
    <n v="0.48142746737485004"/>
    <n v="81"/>
    <n v="92"/>
    <n v="0"/>
    <n v="-11"/>
    <n v="0"/>
    <n v="0.40696931243356932"/>
    <n v="1.2"/>
    <n v="69.099999999999994"/>
    <n v="82.919999999999987"/>
    <n v="-16.246200950455982"/>
    <n v="1610.9937933908243"/>
    <n v="0"/>
    <n v="0"/>
    <n v="0"/>
    <n v="0"/>
    <n v="0"/>
    <n v="1"/>
    <n v="0"/>
    <n v="0"/>
    <n v="0"/>
    <n v="0"/>
  </r>
  <r>
    <d v="2023-09-29T00:00:00"/>
    <n v="2023"/>
    <x v="45"/>
    <s v="P"/>
    <n v="2"/>
    <x v="10"/>
    <s v="DAL"/>
    <s v="A"/>
    <n v="2"/>
    <n v="2"/>
    <n v="0"/>
    <n v="0"/>
    <n v="0"/>
    <n v="0"/>
    <n v="1736.7492904552614"/>
    <n v="1568.8370884221547"/>
    <n v="0.61846487062670896"/>
    <n v="64"/>
    <n v="61"/>
    <n v="0"/>
    <n v="3"/>
    <n v="1"/>
    <n v="0.25456328615308449"/>
    <n v="1.2"/>
    <n v="69.099999999999994"/>
    <n v="82.919999999999987"/>
    <n v="8.0535914273316074"/>
    <n v="1744.8028818825931"/>
    <n v="0"/>
    <n v="0"/>
    <n v="0"/>
    <n v="0"/>
    <n v="1"/>
    <n v="0"/>
    <n v="0"/>
    <n v="0"/>
    <n v="0"/>
    <n v="0"/>
  </r>
  <r>
    <d v="2023-09-29T00:00:00"/>
    <n v="2023"/>
    <x v="44"/>
    <s v="P"/>
    <n v="2"/>
    <x v="9"/>
    <s v="LVA"/>
    <s v="H"/>
    <n v="2"/>
    <n v="2"/>
    <n v="0"/>
    <n v="0"/>
    <n v="0"/>
    <n v="0"/>
    <n v="1568.8370884221547"/>
    <n v="1736.7492904552614"/>
    <n v="0.38153512937329104"/>
    <n v="61"/>
    <n v="64"/>
    <n v="0"/>
    <n v="-3"/>
    <n v="0"/>
    <n v="0.25456328615308449"/>
    <n v="1.2"/>
    <n v="69.25"/>
    <n v="83.1"/>
    <n v="-8.0710738978685068"/>
    <n v="1560.7660145242862"/>
    <n v="0"/>
    <n v="0"/>
    <n v="0"/>
    <n v="0"/>
    <n v="0"/>
    <n v="1"/>
    <n v="0"/>
    <n v="0"/>
    <n v="0"/>
    <n v="0"/>
  </r>
  <r>
    <d v="2023-10-01T00:00:00"/>
    <n v="2023"/>
    <x v="46"/>
    <s v="P"/>
    <n v="2"/>
    <x v="6"/>
    <s v="CON"/>
    <s v="A"/>
    <n v="1"/>
    <n v="1"/>
    <n v="0"/>
    <n v="0"/>
    <n v="0"/>
    <n v="0"/>
    <n v="1740.3976531926617"/>
    <n v="1610.9937933908243"/>
    <n v="0.56497196345203038"/>
    <n v="87"/>
    <n v="84"/>
    <n v="0"/>
    <n v="3"/>
    <n v="1"/>
    <n v="0.26193712523924506"/>
    <n v="1.2"/>
    <n v="68.95"/>
    <n v="82.74"/>
    <n v="9.4282224449675365"/>
    <n v="1749.8258756376292"/>
    <n v="0"/>
    <n v="0"/>
    <n v="0"/>
    <n v="0"/>
    <n v="1"/>
    <n v="0"/>
    <n v="0"/>
    <n v="0"/>
    <n v="0"/>
    <n v="0"/>
  </r>
  <r>
    <d v="2023-10-01T00:00:00"/>
    <n v="2023"/>
    <x v="46"/>
    <s v="P"/>
    <n v="2"/>
    <x v="0"/>
    <s v="NYL"/>
    <s v="H"/>
    <n v="1"/>
    <n v="1"/>
    <n v="0"/>
    <n v="0"/>
    <n v="0"/>
    <n v="0"/>
    <n v="1610.9937933908243"/>
    <n v="1740.3976531926617"/>
    <n v="0.43502803654796957"/>
    <n v="84"/>
    <n v="87"/>
    <n v="0"/>
    <n v="-3"/>
    <n v="0"/>
    <n v="0.26193712523924506"/>
    <n v="1.2"/>
    <n v="68.95"/>
    <n v="82.74"/>
    <n v="-9.4282224449675347"/>
    <n v="1601.5655709458567"/>
    <n v="0"/>
    <n v="0"/>
    <n v="0"/>
    <n v="0"/>
    <n v="0"/>
    <n v="1"/>
    <n v="0"/>
    <n v="0"/>
    <n v="0"/>
    <n v="0"/>
  </r>
  <r>
    <d v="2023-10-08T00:00:00"/>
    <n v="2023"/>
    <x v="47"/>
    <s v="P"/>
    <n v="3"/>
    <x v="6"/>
    <s v="LVA"/>
    <s v="A"/>
    <n v="6"/>
    <n v="8"/>
    <n v="-2"/>
    <n v="2"/>
    <n v="-16"/>
    <n v="16"/>
    <n v="1749.8258756376292"/>
    <n v="1744.8028818825931"/>
    <n v="0.34550993655472501"/>
    <n v="82"/>
    <n v="99"/>
    <n v="0"/>
    <n v="-17"/>
    <n v="0"/>
    <n v="0.53022264820639775"/>
    <n v="1.35"/>
    <n v="68.8"/>
    <n v="92.88"/>
    <n v="-17.015355336150378"/>
    <n v="1732.8105203014788"/>
    <n v="0"/>
    <n v="0"/>
    <n v="0"/>
    <n v="0"/>
    <n v="0"/>
    <n v="0"/>
    <n v="0"/>
    <n v="1"/>
    <n v="0"/>
    <n v="0"/>
  </r>
  <r>
    <d v="2023-10-08T00:00:00"/>
    <n v="2023"/>
    <x v="46"/>
    <s v="P"/>
    <n v="3"/>
    <x v="10"/>
    <s v="NYL"/>
    <s v="H"/>
    <n v="8"/>
    <n v="6"/>
    <n v="2"/>
    <n v="-2"/>
    <n v="16"/>
    <n v="-16"/>
    <n v="1744.8028818825931"/>
    <n v="1749.8258756376292"/>
    <n v="0.65449006344527494"/>
    <n v="99"/>
    <n v="82"/>
    <n v="0"/>
    <n v="17"/>
    <n v="1"/>
    <n v="0.53022264820639775"/>
    <n v="1.35"/>
    <n v="68.95"/>
    <n v="93.08250000000001"/>
    <n v="17.052452767842574"/>
    <n v="1761.8553346504357"/>
    <n v="0"/>
    <n v="0"/>
    <n v="0"/>
    <n v="0"/>
    <n v="0"/>
    <n v="0"/>
    <n v="1"/>
    <n v="0"/>
    <n v="0"/>
    <n v="0"/>
  </r>
  <r>
    <d v="2023-10-11T00:00:00"/>
    <n v="2023"/>
    <x v="48"/>
    <s v="P"/>
    <n v="3"/>
    <x v="6"/>
    <s v="LVA"/>
    <s v="A"/>
    <n v="2"/>
    <n v="2"/>
    <n v="0"/>
    <n v="0"/>
    <n v="0"/>
    <n v="0"/>
    <n v="1732.8105203014788"/>
    <n v="1761.8553346504357"/>
    <n v="0.3428231912093071"/>
    <n v="76"/>
    <n v="104"/>
    <n v="0"/>
    <n v="-28"/>
    <n v="0"/>
    <n v="0.66304139814214291"/>
    <n v="1.35"/>
    <n v="68.650000000000006"/>
    <n v="92.677500000000009"/>
    <n v="-21.0661488507074"/>
    <n v="1711.7443714507715"/>
    <n v="0"/>
    <n v="0"/>
    <n v="0"/>
    <n v="0"/>
    <n v="0"/>
    <n v="0"/>
    <n v="0"/>
    <n v="1"/>
    <n v="0"/>
    <n v="0"/>
  </r>
  <r>
    <d v="2023-10-11T00:00:00"/>
    <n v="2023"/>
    <x v="47"/>
    <s v="P"/>
    <n v="3"/>
    <x v="10"/>
    <s v="NYL"/>
    <s v="H"/>
    <n v="2"/>
    <n v="2"/>
    <n v="0"/>
    <n v="0"/>
    <n v="0"/>
    <n v="0"/>
    <n v="1761.8553346504357"/>
    <n v="1732.8105203014788"/>
    <n v="0.65717680879069296"/>
    <n v="104"/>
    <n v="76"/>
    <n v="0"/>
    <n v="28"/>
    <n v="1"/>
    <n v="0.66304139814214291"/>
    <n v="1.35"/>
    <n v="68.8"/>
    <n v="92.88"/>
    <n v="21.112178309230426"/>
    <n v="1782.967512959666"/>
    <n v="0"/>
    <n v="0"/>
    <n v="0"/>
    <n v="0"/>
    <n v="0"/>
    <n v="0"/>
    <n v="1"/>
    <n v="0"/>
    <n v="0"/>
    <n v="0"/>
  </r>
  <r>
    <d v="2023-10-15T00:00:00"/>
    <n v="2023"/>
    <x v="48"/>
    <s v="P"/>
    <n v="3"/>
    <x v="10"/>
    <s v="NYL"/>
    <s v="A"/>
    <n v="3"/>
    <n v="3"/>
    <n v="0"/>
    <n v="0"/>
    <n v="0"/>
    <n v="0"/>
    <n v="1782.967512959666"/>
    <n v="1711.7443714507715"/>
    <n v="0.48162090700603943"/>
    <n v="73"/>
    <n v="87"/>
    <n v="0"/>
    <n v="-14"/>
    <n v="0"/>
    <n v="0.46028876059194007"/>
    <n v="1.35"/>
    <n v="68.650000000000006"/>
    <n v="92.677500000000009"/>
    <n v="-20.54518289092935"/>
    <n v="1762.4223300687368"/>
    <n v="0"/>
    <n v="0"/>
    <n v="0"/>
    <n v="0"/>
    <n v="0"/>
    <n v="0"/>
    <n v="0"/>
    <n v="1"/>
    <n v="0"/>
    <n v="0"/>
  </r>
  <r>
    <d v="2023-10-15T00:00:00"/>
    <n v="2023"/>
    <x v="49"/>
    <s v="P"/>
    <n v="3"/>
    <x v="6"/>
    <s v="LVA"/>
    <s v="H"/>
    <n v="3"/>
    <n v="3"/>
    <n v="0"/>
    <n v="0"/>
    <n v="0"/>
    <n v="0"/>
    <n v="1711.7443714507715"/>
    <n v="1782.967512959666"/>
    <n v="0.51837909299396057"/>
    <n v="87"/>
    <n v="73"/>
    <n v="0"/>
    <n v="14"/>
    <n v="1"/>
    <n v="0.46028876059194007"/>
    <n v="1.35"/>
    <n v="68.5"/>
    <n v="92.475000000000009"/>
    <n v="20.500291741131253"/>
    <n v="1732.2446631919026"/>
    <n v="0"/>
    <n v="0"/>
    <n v="0"/>
    <n v="0"/>
    <n v="0"/>
    <n v="0"/>
    <n v="1"/>
    <n v="0"/>
    <n v="0"/>
    <n v="0"/>
  </r>
  <r>
    <d v="2023-10-18T00:00:00"/>
    <n v="2023"/>
    <x v="49"/>
    <s v="P"/>
    <n v="3"/>
    <x v="10"/>
    <s v="NYL"/>
    <s v="A"/>
    <n v="2"/>
    <n v="2"/>
    <n v="0"/>
    <n v="0"/>
    <n v="0"/>
    <n v="0"/>
    <n v="1762.4223300687368"/>
    <n v="1732.2446631919026"/>
    <n v="0.4231571486671058"/>
    <n v="70"/>
    <n v="69"/>
    <n v="0"/>
    <n v="1"/>
    <n v="1"/>
    <n v="0.23818966402004188"/>
    <n v="1.35"/>
    <n v="68.5"/>
    <n v="92.475000000000009"/>
    <n v="12.705880507875634"/>
    <n v="1775.1282105766124"/>
    <n v="0"/>
    <n v="0"/>
    <n v="0"/>
    <n v="0"/>
    <n v="0"/>
    <n v="0"/>
    <n v="1"/>
    <n v="0"/>
    <n v="0"/>
    <n v="0"/>
  </r>
  <r>
    <d v="2023-10-18T00:00:00"/>
    <n v="2023"/>
    <x v="50"/>
    <s v="P"/>
    <n v="3"/>
    <x v="6"/>
    <s v="LVA"/>
    <s v="H"/>
    <n v="2"/>
    <n v="2"/>
    <n v="0"/>
    <n v="0"/>
    <n v="0"/>
    <n v="0"/>
    <n v="1732.2446631919026"/>
    <n v="1762.4223300687368"/>
    <n v="0.57684285133289415"/>
    <n v="69"/>
    <n v="70"/>
    <n v="0"/>
    <n v="-1"/>
    <n v="0"/>
    <n v="0.23818966402004188"/>
    <n v="1.35"/>
    <n v="68.349999999999994"/>
    <n v="92.272499999999994"/>
    <n v="-12.678057411872983"/>
    <n v="1719.5666057800297"/>
    <n v="0"/>
    <n v="0"/>
    <n v="0"/>
    <n v="0"/>
    <n v="0"/>
    <n v="0"/>
    <n v="0"/>
    <n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6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60">
        <item m="1" x="40"/>
        <item x="8"/>
        <item m="1" x="51"/>
        <item m="1" x="29"/>
        <item m="1" x="27"/>
        <item m="1" x="39"/>
        <item m="1" x="55"/>
        <item m="1" x="17"/>
        <item x="4"/>
        <item m="1" x="41"/>
        <item m="1" x="18"/>
        <item x="0"/>
        <item x="9"/>
        <item m="1" x="34"/>
        <item m="1" x="14"/>
        <item m="1" x="56"/>
        <item m="1" x="36"/>
        <item m="1" x="16"/>
        <item x="1"/>
        <item m="1" x="50"/>
        <item m="1" x="49"/>
        <item m="1" x="26"/>
        <item m="1" x="25"/>
        <item m="1" x="58"/>
        <item x="3"/>
        <item m="1" x="57"/>
        <item x="10"/>
        <item m="1" x="28"/>
        <item m="1" x="20"/>
        <item m="1" x="35"/>
        <item x="5"/>
        <item m="1" x="43"/>
        <item m="1" x="23"/>
        <item m="1" x="31"/>
        <item m="1" x="44"/>
        <item m="1" x="52"/>
        <item x="6"/>
        <item m="1" x="45"/>
        <item m="1" x="33"/>
        <item m="1" x="22"/>
        <item m="1" x="30"/>
        <item x="2"/>
        <item m="1" x="47"/>
        <item m="1" x="21"/>
        <item m="1" x="32"/>
        <item m="1" x="15"/>
        <item m="1" x="12"/>
        <item m="1" x="42"/>
        <item x="11"/>
        <item m="1" x="53"/>
        <item m="1" x="48"/>
        <item m="1" x="54"/>
        <item m="1" x="46"/>
        <item m="1" x="24"/>
        <item m="1" x="13"/>
        <item m="1" x="19"/>
        <item m="1" x="38"/>
        <item x="7"/>
        <item m="1" x="37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3">
    <i>
      <x v="1"/>
    </i>
    <i>
      <x v="8"/>
    </i>
    <i>
      <x v="11"/>
    </i>
    <i>
      <x v="12"/>
    </i>
    <i>
      <x v="18"/>
    </i>
    <i>
      <x v="24"/>
    </i>
    <i>
      <x v="26"/>
    </i>
    <i>
      <x v="30"/>
    </i>
    <i>
      <x v="36"/>
    </i>
    <i>
      <x v="41"/>
    </i>
    <i>
      <x v="48"/>
    </i>
    <i>
      <x v="5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41">
      <pivotArea outline="0" collapsedLevelsAreSubtotals="1" fieldPosition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55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m="1" x="202"/>
        <item x="49"/>
        <item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50"/>
    </i>
    <i>
      <x v="5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3" totalsRowShown="0">
  <autoFilter ref="A1:D13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3">
    <sortCondition ref="C12:C13"/>
  </sortState>
  <tableColumns count="4">
    <tableColumn id="1" xr3:uid="{8C17ECDF-4459-4994-A3F5-8E8FEDF92B6F}" name="TeamID"/>
    <tableColumn id="4" xr3:uid="{789F069E-DAF9-4B19-A6DB-107BA6995CE5}" name="Logo" dataDxfId="44"/>
    <tableColumn id="5" xr3:uid="{A9DA91BA-5529-4913-978B-19C8EF225B29}" name="TeamName" dataDxfId="43"/>
    <tableColumn id="2" xr3:uid="{AA4C8157-DB69-4779-8EEE-6F419B992D71}" name="PreSeasonElo" dataDxfId="4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523" totalsRowShown="0" headerRowDxfId="39" dataDxfId="38">
  <autoFilter ref="A1:AL523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37"/>
    <tableColumn id="21" xr3:uid="{D754AB95-C77C-4DD5-B1B9-A24A4FEE7279}" name="Season" dataDxfId="36"/>
    <tableColumn id="19" xr3:uid="{4C42B78B-6AFC-42C3-A5F4-3266E247C458}" name="GamesPlayed" dataDxfId="35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34"/>
    <tableColumn id="14" xr3:uid="{EFA83923-8CCA-4DC9-BC85-5D86949A45D9}" name="Round" dataDxfId="33"/>
    <tableColumn id="2" xr3:uid="{6E102E51-A49B-416B-8CD2-B93B2A4EA389}" name="Team" dataDxfId="32"/>
    <tableColumn id="3" xr3:uid="{19101345-1C34-4AF3-88E6-76A7F19B7FE6}" name="Opponent" dataDxfId="31"/>
    <tableColumn id="16" xr3:uid="{4CBCDF29-B095-48DF-8EF6-06DC7D78C844}" name="HomeAway" dataDxfId="30"/>
    <tableColumn id="32" xr3:uid="{E3FA53E3-DAD6-4BC2-969A-C53F4798E86D}" name="DaysOff" dataDxfId="29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28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27">
      <calculatedColumnFormula>Games[[#This Row],[DaysOff]]-Games[[#This Row],[OppDaysOff]]</calculatedColumnFormula>
    </tableColumn>
    <tableColumn id="35" xr3:uid="{3F2DB366-7372-41BA-8B0C-09F9BA7EA850}" name="OppRestDiff" dataDxfId="26">
      <calculatedColumnFormula>Games[[#This Row],[OppDaysOff]]-Games[[#This Row],[DaysOff]]</calculatedColumnFormula>
    </tableColumn>
    <tableColumn id="36" xr3:uid="{BDD0FD2C-608F-4CCC-867B-4481F0F4B802}" name="RestAdj" dataDxfId="25">
      <calculatedColumnFormula>MAX(-16, MIN(16, Games[[#This Row],[RestDiff]]*8))</calculatedColumnFormula>
    </tableColumn>
    <tableColumn id="37" xr3:uid="{5F89213A-4C28-428C-B766-3B05D4F530A5}" name="OppRestAdj" dataDxfId="24">
      <calculatedColumnFormula>MAX(-16, MIN(16, Games[[#This Row],[OppRestDiff]]*8))</calculatedColumnFormula>
    </tableColumn>
    <tableColumn id="4" xr3:uid="{68053CFA-948B-4F2C-A114-7C46ABD9EA33}" name="PreGmRate" dataDxfId="23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22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21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20"/>
    <tableColumn id="8" xr3:uid="{0CDDF0F9-2F1E-487C-96DD-90F70CE7DAFC}" name="PointsAgainst" dataDxfId="19"/>
    <tableColumn id="22" xr3:uid="{AB7B5B5C-5BAD-4213-990E-8EB9B177497C}" name="OT" dataDxfId="18"/>
    <tableColumn id="9" xr3:uid="{CE171F1D-5E5D-4800-A6DC-8F6DBD74C939}" name="MOV" dataDxfId="17">
      <calculatedColumnFormula>Games[[#This Row],[PointsFor]]-Games[[#This Row],[PointsAgainst]]</calculatedColumnFormula>
    </tableColumn>
    <tableColumn id="10" xr3:uid="{883A3911-25F6-4C39-9637-F1C42D6A1FC2}" name="Result" dataDxfId="16">
      <calculatedColumnFormula>IF(Games[[#This Row],[MOV]]&gt;0,1,IF(Games[[#This Row],[MOV]]=0,0.5,0))</calculatedColumnFormula>
    </tableColumn>
    <tableColumn id="15" xr3:uid="{00048431-5FD6-47EE-807E-5B63FD521193}" name="MOVMult" dataDxfId="15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14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calculatedColumnFormula>
    </tableColumn>
    <tableColumn id="30" xr3:uid="{F56B2662-6D39-4B84-BEBE-39C9D43603BC}" name="K" dataDxfId="13">
      <calculatedColumnFormula>MAX(kmin, kmax - 0.15 * MIN(Games[[#This Row],[GamesPlayed]], 82))</calculatedColumnFormula>
    </tableColumn>
    <tableColumn id="29" xr3:uid="{FBA5D644-15ED-4725-9E52-1D37FD0FAC64}" name="Keff" dataDxfId="12">
      <calculatedColumnFormula>Games[[#This Row],[K]]*Games[[#This Row],[POMult]]</calculatedColumnFormula>
    </tableColumn>
    <tableColumn id="11" xr3:uid="{309DAEBD-E62C-4090-89E9-A58FD32AB89B}" name="RatingChange" dataDxfId="11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10">
      <calculatedColumnFormula>Games[[#This Row],[PreGmRate]]+Games[[#This Row],[RatingChange]]</calculatedColumnFormula>
    </tableColumn>
    <tableColumn id="17" xr3:uid="{90B7BF87-E472-4474-A10D-555BD3BF8F04}" name="W" dataDxfId="9">
      <calculatedColumnFormula>IF(Games[[#This Row],[Type]]="R",IF(Games[[#This Row],[Result]]&gt;0.5,1,0),0)</calculatedColumnFormula>
    </tableColumn>
    <tableColumn id="18" xr3:uid="{29756EA1-783D-4C76-A7B8-F906AF0EC7E7}" name="L" dataDxfId="8">
      <calculatedColumnFormula>IF(Games[[#This Row],[Type]]="R",IF(Games[[#This Row],[Result]]&lt;0.5,1,0),0)</calculatedColumnFormula>
    </tableColumn>
    <tableColumn id="23" xr3:uid="{C253CFA7-28A4-4AE5-B131-DC1E8F2B73F8}" name="R1W" dataDxfId="7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6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5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4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3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2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1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0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25"/>
  <sheetViews>
    <sheetView workbookViewId="0"/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4" x14ac:dyDescent="0.35">
      <c r="A1" t="s">
        <v>29</v>
      </c>
      <c r="B1" t="s">
        <v>27</v>
      </c>
      <c r="C1" t="s">
        <v>28</v>
      </c>
      <c r="D1" t="s">
        <v>58</v>
      </c>
    </row>
    <row r="2" spans="1:4" x14ac:dyDescent="0.35">
      <c r="A2" t="s">
        <v>77</v>
      </c>
      <c r="B2" s="8"/>
      <c r="C2" s="15" t="s">
        <v>78</v>
      </c>
      <c r="D2" s="13">
        <v>1382.6190186837841</v>
      </c>
    </row>
    <row r="3" spans="1:4" x14ac:dyDescent="0.35">
      <c r="A3" t="s">
        <v>75</v>
      </c>
      <c r="B3" s="8"/>
      <c r="C3" s="15" t="s">
        <v>76</v>
      </c>
      <c r="D3" s="13">
        <v>1621.6377092121961</v>
      </c>
    </row>
    <row r="4" spans="1:4" x14ac:dyDescent="0.35">
      <c r="A4" t="s">
        <v>74</v>
      </c>
      <c r="B4" s="8"/>
      <c r="C4" s="15" t="s">
        <v>73</v>
      </c>
      <c r="D4" s="13">
        <v>1670.4697074951573</v>
      </c>
    </row>
    <row r="5" spans="1:4" x14ac:dyDescent="0.35">
      <c r="A5" t="s">
        <v>85</v>
      </c>
      <c r="B5" s="8"/>
      <c r="C5" s="15" t="s">
        <v>84</v>
      </c>
      <c r="D5" s="13">
        <v>1493.2393820832981</v>
      </c>
    </row>
    <row r="6" spans="1:4" x14ac:dyDescent="0.35">
      <c r="A6" t="s">
        <v>69</v>
      </c>
      <c r="B6" s="8"/>
      <c r="C6" s="15" t="s">
        <v>70</v>
      </c>
      <c r="D6" s="13">
        <v>1226.2605684464129</v>
      </c>
    </row>
    <row r="7" spans="1:4" x14ac:dyDescent="0.35">
      <c r="A7" t="s">
        <v>86</v>
      </c>
      <c r="B7" s="8"/>
      <c r="C7" s="15" t="s">
        <v>87</v>
      </c>
      <c r="D7" s="13">
        <v>1716.8063537744381</v>
      </c>
    </row>
    <row r="8" spans="1:4" x14ac:dyDescent="0.35">
      <c r="A8" t="s">
        <v>63</v>
      </c>
      <c r="B8" s="8"/>
      <c r="C8" s="15" t="s">
        <v>64</v>
      </c>
      <c r="D8" s="13">
        <v>1354.2218007822648</v>
      </c>
    </row>
    <row r="9" spans="1:4" x14ac:dyDescent="0.35">
      <c r="A9" t="s">
        <v>67</v>
      </c>
      <c r="B9" s="8"/>
      <c r="C9" s="15" t="s">
        <v>68</v>
      </c>
      <c r="D9" s="13">
        <v>1483.8415641142599</v>
      </c>
    </row>
    <row r="10" spans="1:4" x14ac:dyDescent="0.35">
      <c r="A10" t="s">
        <v>60</v>
      </c>
      <c r="B10" s="8"/>
      <c r="C10" s="15" t="s">
        <v>61</v>
      </c>
      <c r="D10" s="13">
        <v>1468.4534879188257</v>
      </c>
    </row>
    <row r="11" spans="1:4" x14ac:dyDescent="0.35">
      <c r="A11" t="s">
        <v>40</v>
      </c>
      <c r="B11" s="8"/>
      <c r="C11" s="15" t="s">
        <v>62</v>
      </c>
      <c r="D11" s="13">
        <v>1435.6643239401724</v>
      </c>
    </row>
    <row r="12" spans="1:4" x14ac:dyDescent="0.35">
      <c r="A12" t="s">
        <v>71</v>
      </c>
      <c r="B12" s="8"/>
      <c r="C12" s="15" t="s">
        <v>72</v>
      </c>
      <c r="D12" s="13">
        <v>1598.3202957330798</v>
      </c>
    </row>
    <row r="13" spans="1:4" x14ac:dyDescent="0.35">
      <c r="A13" t="s">
        <v>65</v>
      </c>
      <c r="B13" s="8"/>
      <c r="C13" s="15" t="s">
        <v>66</v>
      </c>
      <c r="D13" s="13">
        <v>1549.1360769956655</v>
      </c>
    </row>
    <row r="14" spans="1:4" x14ac:dyDescent="0.35">
      <c r="B14" s="8"/>
      <c r="C14" s="15"/>
      <c r="D14" s="13"/>
    </row>
    <row r="15" spans="1:4" x14ac:dyDescent="0.35">
      <c r="B15" s="8"/>
      <c r="C15" s="15"/>
      <c r="D15" s="13"/>
    </row>
    <row r="16" spans="1:4" x14ac:dyDescent="0.35">
      <c r="B16" s="8"/>
      <c r="C16" s="15"/>
      <c r="D16" s="13"/>
    </row>
    <row r="17" spans="2:4" x14ac:dyDescent="0.35">
      <c r="B17" s="8"/>
      <c r="C17" s="15"/>
      <c r="D17" s="13"/>
    </row>
    <row r="18" spans="2:4" x14ac:dyDescent="0.35">
      <c r="B18" s="8"/>
      <c r="C18" s="15"/>
      <c r="D18" s="13"/>
    </row>
    <row r="19" spans="2:4" x14ac:dyDescent="0.35">
      <c r="B19" s="8"/>
      <c r="C19" s="15"/>
      <c r="D19" s="13"/>
    </row>
    <row r="20" spans="2:4" x14ac:dyDescent="0.35">
      <c r="B20" s="8"/>
      <c r="C20" s="15"/>
      <c r="D20" s="13"/>
    </row>
    <row r="21" spans="2:4" x14ac:dyDescent="0.35">
      <c r="B21" s="8"/>
      <c r="C21" s="15"/>
      <c r="D21" s="13"/>
    </row>
    <row r="22" spans="2:4" x14ac:dyDescent="0.35">
      <c r="B22" s="8"/>
      <c r="C22" s="15"/>
      <c r="D22" s="13"/>
    </row>
    <row r="23" spans="2:4" x14ac:dyDescent="0.35">
      <c r="B23" s="8"/>
      <c r="C23" s="8"/>
      <c r="D23" s="13"/>
    </row>
    <row r="24" spans="2:4" x14ac:dyDescent="0.35">
      <c r="B24" s="8"/>
      <c r="C24" s="8"/>
      <c r="D24" s="13"/>
    </row>
    <row r="25" spans="2:4" x14ac:dyDescent="0.35">
      <c r="B25" s="8"/>
      <c r="C25" s="8"/>
      <c r="D25" s="13"/>
    </row>
  </sheetData>
  <sortState xmlns:xlrd2="http://schemas.microsoft.com/office/spreadsheetml/2017/richdata2" ref="G2:H13">
    <sortCondition ref="G2:G13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36"/>
  <sheetViews>
    <sheetView tabSelected="1" workbookViewId="0">
      <selection activeCell="G2" sqref="G2:G13"/>
    </sheetView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3">_xlfn.SORTBY(A25:H36,G25:G36,-1)</f>
        <v>LVA</v>
      </c>
      <c r="B2">
        <v>0</v>
      </c>
      <c r="C2" t="str">
        <v>Las Vegas Aces</v>
      </c>
      <c r="D2" s="1">
        <v>34</v>
      </c>
      <c r="E2" s="1">
        <v>6</v>
      </c>
      <c r="F2" s="3">
        <v>0.85</v>
      </c>
      <c r="G2" s="9">
        <v>1775.10192294024</v>
      </c>
      <c r="H2" s="1">
        <v>45217</v>
      </c>
      <c r="O2" s="4"/>
      <c r="P2" s="4"/>
      <c r="Q2" s="1"/>
      <c r="AK2" t="s">
        <v>2</v>
      </c>
      <c r="AL2" t="e">
        <f>_xlfn.XLOOKUP(AK2,ConfDiv[TeamID],ConfDiv[Logo])</f>
        <v>#N/A</v>
      </c>
      <c r="AM2" t="e">
        <f>_xlfn.XLOOKUP(AK2,ConfDiv[TeamID],ConfDiv[TeamName])</f>
        <v>#N/A</v>
      </c>
      <c r="AN2" s="1" t="e">
        <f>_xlfn.XLOOKUP($AK2,StandingsPivot!$A$4:$A$33,StandingsPivot!D$4:D$33)</f>
        <v>#N/A</v>
      </c>
      <c r="AO2" s="1" t="e">
        <f>_xlfn.XLOOKUP($AK2,StandingsPivot!$A$4:$A$33,StandingsPivot!E$4:E$33)</f>
        <v>#N/A</v>
      </c>
      <c r="AP2" s="1" t="e">
        <f>_xlfn.XLOOKUP($AK2,StandingsPivot!$A$4:$A$33,StandingsPivot!F$4:F$33)</f>
        <v>#N/A</v>
      </c>
      <c r="AQ2" s="1" t="e">
        <f>_xlfn.XLOOKUP($AK2,StandingsPivot!$A$4:$A$33,StandingsPivot!G$4:G$33)</f>
        <v>#N/A</v>
      </c>
      <c r="AR2" s="1" t="e">
        <f>_xlfn.XLOOKUP($AK2,StandingsPivot!$A$4:$A$33,StandingsPivot!H$4:H$33)</f>
        <v>#N/A</v>
      </c>
      <c r="AS2" s="1" t="e">
        <f>_xlfn.XLOOKUP($AK2,StandingsPivot!$A$4:$A$33,StandingsPivot!I$4:I$33)</f>
        <v>#N/A</v>
      </c>
      <c r="AT2" s="1" t="e">
        <f>_xlfn.XLOOKUP($AK2,StandingsPivot!$A$4:$A$33,StandingsPivot!J$4:J$33)</f>
        <v>#N/A</v>
      </c>
      <c r="AU2" s="1" t="e">
        <f>_xlfn.XLOOKUP($AK2,StandingsPivot!$A$4:$A$33,StandingsPivot!K$4:K$33)</f>
        <v>#N/A</v>
      </c>
      <c r="AV2" s="1" t="e">
        <f t="shared" ref="AV2:AV5" si="0">SUM(AN2,AP2,AR2,AT2)</f>
        <v>#N/A</v>
      </c>
      <c r="AW2" s="1" t="e">
        <f t="shared" ref="AW2:AW5" si="1">SUM(AO2,AQ2,AS2,AU2)</f>
        <v>#N/A</v>
      </c>
      <c r="AX2" s="4" cm="1">
        <f t="array" ref="AX2">_xlfn.IFNA(INDEX(Games[PostGmRate], MATCH(1, (Games[Team]=AK2)*(Games[Date]=AY2), 0)),0)</f>
        <v>0</v>
      </c>
      <c r="AY2" s="1">
        <f>_xlfn.MAXIFS(Games[Date], Games[Team], AK2)</f>
        <v>0</v>
      </c>
      <c r="AZ2" t="e">
        <f t="shared" ref="AZ2:AZ5" si="2">SUM(AV2:AW2)</f>
        <v>#N/A</v>
      </c>
    </row>
    <row r="3" spans="1:68" x14ac:dyDescent="0.35">
      <c r="A3" t="str">
        <v>NYL</v>
      </c>
      <c r="B3">
        <v>0</v>
      </c>
      <c r="C3" t="str">
        <v>New York Liberty</v>
      </c>
      <c r="D3" s="1">
        <v>32</v>
      </c>
      <c r="E3" s="1">
        <v>8</v>
      </c>
      <c r="F3" s="3">
        <v>0.8</v>
      </c>
      <c r="G3" s="9">
        <v>1719.578222944016</v>
      </c>
      <c r="H3" s="1">
        <v>45217</v>
      </c>
      <c r="O3" s="4"/>
      <c r="P3" s="4"/>
      <c r="Q3" s="1"/>
      <c r="AK3" t="s">
        <v>60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2</v>
      </c>
      <c r="AO3" s="1">
        <f>_xlfn.XLOOKUP($AK3,StandingsPivot!$A$4:$A$33,StandingsPivot!E$4:E$33)</f>
        <v>0</v>
      </c>
      <c r="AP3" s="1">
        <f>_xlfn.XLOOKUP($AK3,StandingsPivot!$A$4:$A$33,StandingsPivot!F$4:F$33)</f>
        <v>3</v>
      </c>
      <c r="AQ3" s="1">
        <f>_xlfn.XLOOKUP($AK3,StandingsPivot!$A$4:$A$33,StandingsPivot!G$4:G$33)</f>
        <v>1</v>
      </c>
      <c r="AR3" s="1">
        <f>_xlfn.XLOOKUP($AK3,StandingsPivot!$A$4:$A$33,StandingsPivot!H$4:H$33)</f>
        <v>1</v>
      </c>
      <c r="AS3" s="1">
        <f>_xlfn.XLOOKUP($AK3,StandingsPivot!$A$4:$A$33,StandingsPivot!I$4:I$33)</f>
        <v>3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6</v>
      </c>
      <c r="AW3" s="1">
        <f t="shared" si="1"/>
        <v>4</v>
      </c>
      <c r="AX3" s="4" cm="1">
        <f t="array" ref="AX3">_xlfn.IFNA(INDEX(Games[PostGmRate], MATCH(1, (Games[Team]=AK3)*(Games[Date]=AY3), 0)),0)</f>
        <v>1719.578222944016</v>
      </c>
      <c r="AY3" s="1">
        <f>_xlfn.MAXIFS(Games[Date], Games[Team], AK3)</f>
        <v>45217</v>
      </c>
      <c r="AZ3">
        <f t="shared" si="2"/>
        <v>10</v>
      </c>
    </row>
    <row r="4" spans="1:68" x14ac:dyDescent="0.35">
      <c r="A4" t="str">
        <v>CON</v>
      </c>
      <c r="B4">
        <v>0</v>
      </c>
      <c r="C4" t="str">
        <v>Connecticut Sun</v>
      </c>
      <c r="D4" s="1">
        <v>27</v>
      </c>
      <c r="E4" s="1">
        <v>13</v>
      </c>
      <c r="F4" s="3">
        <v>0.67500000000000004</v>
      </c>
      <c r="G4" s="9">
        <v>1601.5618340231363</v>
      </c>
      <c r="H4" s="1">
        <v>45200</v>
      </c>
      <c r="O4" s="4"/>
      <c r="P4" s="4"/>
      <c r="Q4" s="1"/>
      <c r="AK4" t="s">
        <v>59</v>
      </c>
      <c r="AL4" t="e">
        <f>_xlfn.XLOOKUP(AK4,ConfDiv[TeamID],ConfDiv[Logo])</f>
        <v>#N/A</v>
      </c>
      <c r="AM4" t="e">
        <f>_xlfn.XLOOKUP(AK4,ConfDiv[TeamID],ConfDiv[TeamName])</f>
        <v>#N/A</v>
      </c>
      <c r="AN4" s="1" t="e">
        <f>_xlfn.XLOOKUP($AK4,StandingsPivot!$A$4:$A$33,StandingsPivot!D$4:D$33)</f>
        <v>#N/A</v>
      </c>
      <c r="AO4" s="1" t="e">
        <f>_xlfn.XLOOKUP($AK4,StandingsPivot!$A$4:$A$33,StandingsPivot!E$4:E$33)</f>
        <v>#N/A</v>
      </c>
      <c r="AP4" s="1" t="e">
        <f>_xlfn.XLOOKUP($AK4,StandingsPivot!$A$4:$A$33,StandingsPivot!F$4:F$33)</f>
        <v>#N/A</v>
      </c>
      <c r="AQ4" s="1" t="e">
        <f>_xlfn.XLOOKUP($AK4,StandingsPivot!$A$4:$A$33,StandingsPivot!G$4:G$33)</f>
        <v>#N/A</v>
      </c>
      <c r="AR4" s="1" t="e">
        <f>_xlfn.XLOOKUP($AK4,StandingsPivot!$A$4:$A$33,StandingsPivot!H$4:H$33)</f>
        <v>#N/A</v>
      </c>
      <c r="AS4" s="1" t="e">
        <f>_xlfn.XLOOKUP($AK4,StandingsPivot!$A$4:$A$33,StandingsPivot!I$4:I$33)</f>
        <v>#N/A</v>
      </c>
      <c r="AT4" s="1" t="e">
        <f>_xlfn.XLOOKUP($AK4,StandingsPivot!$A$4:$A$33,StandingsPivot!J$4:J$33)</f>
        <v>#N/A</v>
      </c>
      <c r="AU4" s="1" t="e">
        <f>_xlfn.XLOOKUP($AK4,StandingsPivot!$A$4:$A$33,StandingsPivot!K$4:K$33)</f>
        <v>#N/A</v>
      </c>
      <c r="AV4" s="1" t="e">
        <f t="shared" si="0"/>
        <v>#N/A</v>
      </c>
      <c r="AW4" s="1" t="e">
        <f t="shared" si="1"/>
        <v>#N/A</v>
      </c>
      <c r="AX4" s="4" cm="1">
        <f t="array" ref="AX4">_xlfn.IFNA(INDEX(Games[PostGmRate], MATCH(1, (Games[Team]=AK4)*(Games[Date]=AY4), 0)),0)</f>
        <v>0</v>
      </c>
      <c r="AY4" s="1">
        <f>_xlfn.MAXIFS(Games[Date], Games[Team], AK4)</f>
        <v>0</v>
      </c>
      <c r="AZ4" t="e">
        <f t="shared" si="2"/>
        <v>#N/A</v>
      </c>
    </row>
    <row r="5" spans="1:68" x14ac:dyDescent="0.35">
      <c r="A5" t="str">
        <v>DAL</v>
      </c>
      <c r="B5">
        <v>0</v>
      </c>
      <c r="C5" t="str">
        <v>Dallas Wings</v>
      </c>
      <c r="D5" s="1">
        <v>22</v>
      </c>
      <c r="E5" s="1">
        <v>18</v>
      </c>
      <c r="F5" s="3">
        <v>0.55000000000000004</v>
      </c>
      <c r="G5" s="9">
        <v>1560.7308330190106</v>
      </c>
      <c r="H5" s="1">
        <v>45198</v>
      </c>
      <c r="O5" s="4"/>
      <c r="P5" s="4"/>
      <c r="Q5" s="1"/>
      <c r="AK5" t="s">
        <v>1</v>
      </c>
      <c r="AL5" t="e">
        <f>_xlfn.XLOOKUP(AK5,ConfDiv[TeamID],ConfDiv[Logo])</f>
        <v>#N/A</v>
      </c>
      <c r="AM5" t="e">
        <f>_xlfn.XLOOKUP(AK5,ConfDiv[TeamID],ConfDiv[TeamName])</f>
        <v>#N/A</v>
      </c>
      <c r="AN5" s="1" t="e">
        <f>_xlfn.XLOOKUP($AK5,StandingsPivot!$A$4:$A$33,StandingsPivot!D$4:D$33)</f>
        <v>#N/A</v>
      </c>
      <c r="AO5" s="1" t="e">
        <f>_xlfn.XLOOKUP($AK5,StandingsPivot!$A$4:$A$33,StandingsPivot!E$4:E$33)</f>
        <v>#N/A</v>
      </c>
      <c r="AP5" s="1" t="e">
        <f>_xlfn.XLOOKUP($AK5,StandingsPivot!$A$4:$A$33,StandingsPivot!F$4:F$33)</f>
        <v>#N/A</v>
      </c>
      <c r="AQ5" s="1" t="e">
        <f>_xlfn.XLOOKUP($AK5,StandingsPivot!$A$4:$A$33,StandingsPivot!G$4:G$33)</f>
        <v>#N/A</v>
      </c>
      <c r="AR5" s="1" t="e">
        <f>_xlfn.XLOOKUP($AK5,StandingsPivot!$A$4:$A$33,StandingsPivot!H$4:H$33)</f>
        <v>#N/A</v>
      </c>
      <c r="AS5" s="1" t="e">
        <f>_xlfn.XLOOKUP($AK5,StandingsPivot!$A$4:$A$33,StandingsPivot!I$4:I$33)</f>
        <v>#N/A</v>
      </c>
      <c r="AT5" s="1" t="e">
        <f>_xlfn.XLOOKUP($AK5,StandingsPivot!$A$4:$A$33,StandingsPivot!J$4:J$33)</f>
        <v>#N/A</v>
      </c>
      <c r="AU5" s="1" t="e">
        <f>_xlfn.XLOOKUP($AK5,StandingsPivot!$A$4:$A$33,StandingsPivot!K$4:K$33)</f>
        <v>#N/A</v>
      </c>
      <c r="AV5" s="1" t="e">
        <f t="shared" si="0"/>
        <v>#N/A</v>
      </c>
      <c r="AW5" s="1" t="e">
        <f t="shared" si="1"/>
        <v>#N/A</v>
      </c>
      <c r="AX5" s="4" cm="1">
        <f t="array" ref="AX5">_xlfn.IFNA(INDEX(Games[PostGmRate], MATCH(1, (Games[Team]=AK5)*(Games[Date]=AY5), 0)),0)</f>
        <v>0</v>
      </c>
      <c r="AY5" s="1">
        <f>_xlfn.MAXIFS(Games[Date], Games[Team], AK5)</f>
        <v>0</v>
      </c>
      <c r="AZ5" t="e">
        <f t="shared" si="2"/>
        <v>#N/A</v>
      </c>
    </row>
    <row r="6" spans="1:68" x14ac:dyDescent="0.35">
      <c r="A6" t="str">
        <v>CHI</v>
      </c>
      <c r="B6">
        <v>0</v>
      </c>
      <c r="C6" t="str">
        <v>Chicago Sky</v>
      </c>
      <c r="D6" s="1">
        <v>18</v>
      </c>
      <c r="E6" s="1">
        <v>22</v>
      </c>
      <c r="F6" s="3">
        <v>0.45</v>
      </c>
      <c r="G6" s="9">
        <v>1498.2242710377225</v>
      </c>
      <c r="H6" s="1">
        <v>45186</v>
      </c>
      <c r="O6" s="3"/>
      <c r="P6" s="4"/>
      <c r="Q6" s="1"/>
      <c r="AK6" t="s">
        <v>40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0</v>
      </c>
      <c r="AO6" s="1">
        <f>_xlfn.XLOOKUP($AK6,StandingsPivot!$A$4:$A$33,StandingsPivot!E$4:E$33)</f>
        <v>0</v>
      </c>
      <c r="AP6" s="1">
        <f>_xlfn.XLOOKUP($AK6,StandingsPivot!$A$4:$A$33,StandingsPivot!F$4:F$33)</f>
        <v>0</v>
      </c>
      <c r="AQ6" s="1">
        <f>_xlfn.XLOOKUP($AK6,StandingsPivot!$A$4:$A$33,StandingsPivot!G$4:G$33)</f>
        <v>0</v>
      </c>
      <c r="AR6" s="1">
        <f>_xlfn.XLOOKUP($AK6,StandingsPivot!$A$4:$A$33,StandingsPivot!H$4:H$33)</f>
        <v>0</v>
      </c>
      <c r="AS6" s="1">
        <f>_xlfn.XLOOKUP($AK6,StandingsPivot!$A$4:$A$33,StandingsPivot!I$4:I$33)</f>
        <v>0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0</v>
      </c>
      <c r="AW6" s="1">
        <f t="shared" si="3"/>
        <v>0</v>
      </c>
      <c r="AX6" s="4" cm="1">
        <f t="array" ref="AX6">_xlfn.IFNA(INDEX(Games[PostGmRate], MATCH(1, (Games[Team]=AK6)*(Games[Date]=AY6), 0)),0)</f>
        <v>1302.1710875059471</v>
      </c>
      <c r="AY6" s="1">
        <f>_xlfn.MAXIFS(Games[Date], Games[Team], AK6)</f>
        <v>45179</v>
      </c>
      <c r="AZ6">
        <f>SUM(AV6:AW6)</f>
        <v>0</v>
      </c>
      <c r="BO6" s="4"/>
      <c r="BP6" s="1"/>
    </row>
    <row r="7" spans="1:68" x14ac:dyDescent="0.35">
      <c r="A7" t="str">
        <v>WAS</v>
      </c>
      <c r="B7">
        <v>0</v>
      </c>
      <c r="C7" t="str">
        <v>Washington Mystics</v>
      </c>
      <c r="D7" s="1">
        <v>19</v>
      </c>
      <c r="E7" s="1">
        <v>21</v>
      </c>
      <c r="F7" s="3">
        <v>0.47499999999999998</v>
      </c>
      <c r="G7" s="9">
        <v>1472.3504244730839</v>
      </c>
      <c r="H7" s="1">
        <v>45188</v>
      </c>
      <c r="AK7" t="s">
        <v>63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0</v>
      </c>
      <c r="AO7" s="1">
        <f>_xlfn.XLOOKUP($AK7,StandingsPivot!$A$4:$A$33,StandingsPivot!E$4:E$33)</f>
        <v>0</v>
      </c>
      <c r="AP7" s="1">
        <f>_xlfn.XLOOKUP($AK7,StandingsPivot!$A$4:$A$33,StandingsPivot!F$4:F$33)</f>
        <v>0</v>
      </c>
      <c r="AQ7" s="1">
        <f>_xlfn.XLOOKUP($AK7,StandingsPivot!$A$4:$A$33,StandingsPivot!G$4:G$33)</f>
        <v>0</v>
      </c>
      <c r="AR7" s="1">
        <f>_xlfn.XLOOKUP($AK7,StandingsPivot!$A$4:$A$33,StandingsPivot!H$4:H$33)</f>
        <v>0</v>
      </c>
      <c r="AS7" s="1">
        <f>_xlfn.XLOOKUP($AK7,StandingsPivot!$A$4:$A$33,StandingsPivot!I$4:I$33)</f>
        <v>0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0</v>
      </c>
      <c r="AW7" s="1">
        <f t="shared" si="3"/>
        <v>0</v>
      </c>
      <c r="AX7" s="4" cm="1">
        <f t="array" ref="AX7">_xlfn.IFNA(INDEX(Games[PostGmRate], MATCH(1, (Games[Team]=AK7)*(Games[Date]=AY7), 0)),0)</f>
        <v>1442.4919316423486</v>
      </c>
      <c r="AY7" s="1">
        <f>_xlfn.MAXIFS(Games[Date], Games[Team], AK7)</f>
        <v>45179</v>
      </c>
      <c r="AZ7">
        <f>SUM(AV7:AW7)</f>
        <v>0</v>
      </c>
      <c r="BO7" s="4"/>
      <c r="BP7" s="1"/>
    </row>
    <row r="8" spans="1:68" x14ac:dyDescent="0.35">
      <c r="A8" t="str">
        <v>MIN</v>
      </c>
      <c r="B8">
        <v>0</v>
      </c>
      <c r="C8" t="str">
        <v>Minnesota Lynx</v>
      </c>
      <c r="D8" s="1">
        <v>19</v>
      </c>
      <c r="E8" s="1">
        <v>21</v>
      </c>
      <c r="F8" s="3">
        <v>0.47499999999999998</v>
      </c>
      <c r="G8" s="9">
        <v>1443.0592087742166</v>
      </c>
      <c r="H8" s="1">
        <v>45189</v>
      </c>
      <c r="O8" s="3"/>
      <c r="P8" s="4"/>
      <c r="Q8" s="1"/>
      <c r="AK8" t="s">
        <v>41</v>
      </c>
      <c r="AL8" t="e">
        <f>_xlfn.XLOOKUP(AK8,ConfDiv[TeamID],ConfDiv[Logo])</f>
        <v>#N/A</v>
      </c>
      <c r="AM8" t="e">
        <f>_xlfn.XLOOKUP(AK8,ConfDiv[TeamID],ConfDiv[TeamName])</f>
        <v>#N/A</v>
      </c>
      <c r="AN8" s="1" t="e">
        <f>_xlfn.XLOOKUP($AK8,StandingsPivot!$A$4:$A$33,StandingsPivot!D$4:D$33)</f>
        <v>#N/A</v>
      </c>
      <c r="AO8" s="1" t="e">
        <f>_xlfn.XLOOKUP($AK8,StandingsPivot!$A$4:$A$33,StandingsPivot!E$4:E$33)</f>
        <v>#N/A</v>
      </c>
      <c r="AP8" s="1" t="e">
        <f>_xlfn.XLOOKUP($AK8,StandingsPivot!$A$4:$A$33,StandingsPivot!F$4:F$33)</f>
        <v>#N/A</v>
      </c>
      <c r="AQ8" s="1" t="e">
        <f>_xlfn.XLOOKUP($AK8,StandingsPivot!$A$4:$A$33,StandingsPivot!G$4:G$33)</f>
        <v>#N/A</v>
      </c>
      <c r="AR8" s="1" t="e">
        <f>_xlfn.XLOOKUP($AK8,StandingsPivot!$A$4:$A$33,StandingsPivot!H$4:H$33)</f>
        <v>#N/A</v>
      </c>
      <c r="AS8" s="1" t="e">
        <f>_xlfn.XLOOKUP($AK8,StandingsPivot!$A$4:$A$33,StandingsPivot!I$4:I$33)</f>
        <v>#N/A</v>
      </c>
      <c r="AT8" s="1" t="e">
        <f>_xlfn.XLOOKUP($AK8,StandingsPivot!$A$4:$A$33,StandingsPivot!J$4:J$33)</f>
        <v>#N/A</v>
      </c>
      <c r="AU8" s="1" t="e">
        <f>_xlfn.XLOOKUP($AK8,StandingsPivot!$A$4:$A$33,StandingsPivot!K$4:K$33)</f>
        <v>#N/A</v>
      </c>
      <c r="AV8" s="1" t="e">
        <f t="shared" si="3"/>
        <v>#N/A</v>
      </c>
      <c r="AW8" s="1" t="e">
        <f t="shared" si="3"/>
        <v>#N/A</v>
      </c>
      <c r="AX8" s="4" cm="1">
        <f t="array" ref="AX8">_xlfn.IFNA(INDEX(Games[PostGmRate], MATCH(1, (Games[Team]=AK8)*(Games[Date]=AY8), 0)),0)</f>
        <v>0</v>
      </c>
      <c r="AY8" s="1">
        <f>_xlfn.MAXIFS(Games[Date], Games[Team], AK8)</f>
        <v>0</v>
      </c>
      <c r="AZ8" t="e">
        <f>SUM(AV8:AW8)</f>
        <v>#N/A</v>
      </c>
      <c r="BO8" s="4"/>
      <c r="BP8" s="1"/>
    </row>
    <row r="9" spans="1:68" x14ac:dyDescent="0.35">
      <c r="A9" t="str">
        <v>LAS</v>
      </c>
      <c r="B9">
        <v>0</v>
      </c>
      <c r="C9" t="str">
        <v>Los Angeles Sparks</v>
      </c>
      <c r="D9" s="1">
        <v>17</v>
      </c>
      <c r="E9" s="1">
        <v>23</v>
      </c>
      <c r="F9" s="3">
        <v>0.42499999999999999</v>
      </c>
      <c r="G9" s="9">
        <v>1442.4919316423486</v>
      </c>
      <c r="H9" s="1">
        <v>45179</v>
      </c>
      <c r="O9" s="3"/>
      <c r="P9" s="4"/>
      <c r="Q9" s="1"/>
      <c r="AK9" t="s">
        <v>39</v>
      </c>
      <c r="AL9" t="e">
        <f>_xlfn.XLOOKUP(AK9,ConfDiv[TeamID],ConfDiv[Logo])</f>
        <v>#N/A</v>
      </c>
      <c r="AM9" t="e">
        <f>_xlfn.XLOOKUP(AK9,ConfDiv[TeamID],ConfDiv[TeamName])</f>
        <v>#N/A</v>
      </c>
      <c r="AN9" s="1" t="e">
        <f>_xlfn.XLOOKUP($AK9,StandingsPivot!$A$4:$A$33,StandingsPivot!D$4:D$33)</f>
        <v>#N/A</v>
      </c>
      <c r="AO9" s="1" t="e">
        <f>_xlfn.XLOOKUP($AK9,StandingsPivot!$A$4:$A$33,StandingsPivot!E$4:E$33)</f>
        <v>#N/A</v>
      </c>
      <c r="AP9" s="1" t="e">
        <f>_xlfn.XLOOKUP($AK9,StandingsPivot!$A$4:$A$33,StandingsPivot!F$4:F$33)</f>
        <v>#N/A</v>
      </c>
      <c r="AQ9" s="1" t="e">
        <f>_xlfn.XLOOKUP($AK9,StandingsPivot!$A$4:$A$33,StandingsPivot!G$4:G$33)</f>
        <v>#N/A</v>
      </c>
      <c r="AR9" s="1" t="e">
        <f>_xlfn.XLOOKUP($AK9,StandingsPivot!$A$4:$A$33,StandingsPivot!H$4:H$33)</f>
        <v>#N/A</v>
      </c>
      <c r="AS9" s="1" t="e">
        <f>_xlfn.XLOOKUP($AK9,StandingsPivot!$A$4:$A$33,StandingsPivot!I$4:I$33)</f>
        <v>#N/A</v>
      </c>
      <c r="AT9" s="1" t="e">
        <f>_xlfn.XLOOKUP($AK9,StandingsPivot!$A$4:$A$33,StandingsPivot!J$4:J$33)</f>
        <v>#N/A</v>
      </c>
      <c r="AU9" s="1" t="e">
        <f>_xlfn.XLOOKUP($AK9,StandingsPivot!$A$4:$A$33,StandingsPivot!K$4:K$33)</f>
        <v>#N/A</v>
      </c>
      <c r="AV9" s="1" t="e">
        <f t="shared" si="3"/>
        <v>#N/A</v>
      </c>
      <c r="AW9" s="1" t="e">
        <f t="shared" si="3"/>
        <v>#N/A</v>
      </c>
      <c r="AX9" s="4" cm="1">
        <f t="array" ref="AX9">_xlfn.IFNA(INDEX(Games[PostGmRate], MATCH(1, (Games[Team]=AK9)*(Games[Date]=AY9), 0)),0)</f>
        <v>0</v>
      </c>
      <c r="AY9" s="1">
        <f>_xlfn.MAXIFS(Games[Date], Games[Team], AK9)</f>
        <v>0</v>
      </c>
      <c r="AZ9" t="e">
        <f>SUM(AV9:AW9)</f>
        <v>#N/A</v>
      </c>
      <c r="BO9" s="4"/>
      <c r="BP9" s="1"/>
    </row>
    <row r="10" spans="1:68" x14ac:dyDescent="0.35">
      <c r="A10" t="str">
        <v>ATL</v>
      </c>
      <c r="B10">
        <v>0</v>
      </c>
      <c r="C10" t="str">
        <v>Atlanta Dream</v>
      </c>
      <c r="D10" s="1">
        <v>19</v>
      </c>
      <c r="E10" s="1">
        <v>21</v>
      </c>
      <c r="F10" s="3">
        <v>0.47499999999999998</v>
      </c>
      <c r="G10" s="9">
        <v>1436.0283235752049</v>
      </c>
      <c r="H10" s="1">
        <v>45188</v>
      </c>
      <c r="O10" s="3"/>
      <c r="P10" s="4"/>
      <c r="Q10" s="1"/>
      <c r="AX10" s="4"/>
      <c r="BO10" s="4"/>
      <c r="BP10" s="1"/>
    </row>
    <row r="11" spans="1:68" x14ac:dyDescent="0.35">
      <c r="A11" t="str">
        <v>SEA</v>
      </c>
      <c r="B11">
        <v>0</v>
      </c>
      <c r="C11" t="str">
        <v>Seattle Storm</v>
      </c>
      <c r="D11" s="1">
        <v>11</v>
      </c>
      <c r="E11" s="1">
        <v>29</v>
      </c>
      <c r="F11" s="3">
        <v>0.27500000000000002</v>
      </c>
      <c r="G11" s="9">
        <v>1391.8167505096326</v>
      </c>
      <c r="H11" s="1">
        <v>45179</v>
      </c>
      <c r="O11" s="3"/>
      <c r="P11" s="4"/>
      <c r="Q11" s="1"/>
      <c r="AX11" s="4"/>
      <c r="BO11" s="4"/>
      <c r="BP11" s="1"/>
    </row>
    <row r="12" spans="1:68" x14ac:dyDescent="0.35">
      <c r="A12" t="str">
        <v>IND</v>
      </c>
      <c r="B12">
        <v>0</v>
      </c>
      <c r="C12" t="str">
        <v>Indiana Fever</v>
      </c>
      <c r="D12" s="1">
        <v>13</v>
      </c>
      <c r="E12" s="1">
        <v>27</v>
      </c>
      <c r="F12" s="3">
        <v>0.32500000000000001</v>
      </c>
      <c r="G12" s="9">
        <v>1357.4103953446488</v>
      </c>
      <c r="H12" s="1">
        <v>45179</v>
      </c>
      <c r="O12" s="3"/>
      <c r="P12" s="4"/>
      <c r="Q12" s="1"/>
      <c r="AX12" s="4"/>
      <c r="BO12" s="4"/>
      <c r="BP12" s="1"/>
    </row>
    <row r="13" spans="1:68" x14ac:dyDescent="0.35">
      <c r="A13" t="str">
        <v>PHX</v>
      </c>
      <c r="B13">
        <v>0</v>
      </c>
      <c r="C13" t="str">
        <v>Phoenix Mercury</v>
      </c>
      <c r="D13" s="1">
        <v>9</v>
      </c>
      <c r="E13" s="1">
        <v>31</v>
      </c>
      <c r="F13" s="3">
        <v>0.22500000000000001</v>
      </c>
      <c r="G13" s="9">
        <v>1302.1710875059471</v>
      </c>
      <c r="H13" s="1">
        <v>45179</v>
      </c>
      <c r="AX13" s="4"/>
      <c r="BO13" s="4"/>
      <c r="BP13" s="1"/>
    </row>
    <row r="14" spans="1:68" x14ac:dyDescent="0.35">
      <c r="F14" s="3"/>
      <c r="G14" s="9"/>
      <c r="O14" s="3"/>
      <c r="P14" s="4"/>
      <c r="Q14" s="1"/>
      <c r="AX14" s="4"/>
      <c r="BO14" s="4"/>
      <c r="BP14" s="1"/>
    </row>
    <row r="15" spans="1:68" x14ac:dyDescent="0.35">
      <c r="F15" s="3"/>
      <c r="G15" s="9"/>
      <c r="O15" s="3"/>
      <c r="P15" s="4"/>
      <c r="Q15" s="1"/>
      <c r="AX15" s="4"/>
      <c r="BO15" s="4"/>
      <c r="BP15" s="1"/>
    </row>
    <row r="16" spans="1:68" x14ac:dyDescent="0.35">
      <c r="F16" s="3"/>
      <c r="G16" s="9"/>
      <c r="O16" s="3"/>
      <c r="P16" s="4"/>
      <c r="Q16" s="1"/>
      <c r="AX16" s="4"/>
      <c r="BO16" s="4"/>
      <c r="BP16" s="1"/>
    </row>
    <row r="17" spans="1:60" x14ac:dyDescent="0.35">
      <c r="F17" s="3"/>
      <c r="G17" s="9"/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77</v>
      </c>
      <c r="B25">
        <f>_xlfn.XLOOKUP(A25,ConfDiv[TeamID],ConfDiv[Logo])</f>
        <v>0</v>
      </c>
      <c r="C25" t="str">
        <f>_xlfn.XLOOKUP(A25,ConfDiv[TeamID],ConfDiv[TeamName])</f>
        <v>Atlanta Dream</v>
      </c>
      <c r="D25" s="1">
        <f>_xlfn.XLOOKUP($A25,StandingsPivot!$A$4:$A$35,StandingsPivot!B$4:B$35)</f>
        <v>19</v>
      </c>
      <c r="E25" s="1">
        <f>_xlfn.XLOOKUP($A25,StandingsPivot!$A$4:$A$35,StandingsPivot!C$4:C$35)</f>
        <v>21</v>
      </c>
      <c r="F25" s="3">
        <f t="shared" ref="F25:F36" si="4">(D25)/(D25+E25)</f>
        <v>0.47499999999999998</v>
      </c>
      <c r="G25" s="9" cm="1">
        <f t="array" ref="G25">INDEX(Games[PostGmRate], MATCH(1, (Games[Team]=A25)*(Games[Date]=H25), 0))</f>
        <v>1436.0283235752049</v>
      </c>
      <c r="H25" s="1">
        <f>_xlfn.MAXIFS(Games[Date], Games[Team], A25)</f>
        <v>45188</v>
      </c>
      <c r="AR25" s="3"/>
      <c r="AS25" s="4"/>
      <c r="BD25" s="1"/>
      <c r="BG25" s="3"/>
      <c r="BH25" s="4"/>
    </row>
    <row r="26" spans="1:60" x14ac:dyDescent="0.35">
      <c r="A26" t="s">
        <v>75</v>
      </c>
      <c r="B26">
        <f>_xlfn.XLOOKUP(A26,ConfDiv[TeamID],ConfDiv[Logo])</f>
        <v>0</v>
      </c>
      <c r="C26" t="str">
        <f>_xlfn.XLOOKUP(A26,ConfDiv[TeamID],ConfDiv[TeamName])</f>
        <v>Chicago Sky</v>
      </c>
      <c r="D26" s="1">
        <f>_xlfn.XLOOKUP($A26,StandingsPivot!$A$4:$A$35,StandingsPivot!B$4:B$35)</f>
        <v>18</v>
      </c>
      <c r="E26" s="1">
        <f>_xlfn.XLOOKUP($A26,StandingsPivot!$A$4:$A$35,StandingsPivot!C$4:C$35)</f>
        <v>22</v>
      </c>
      <c r="F26" s="3">
        <f t="shared" si="4"/>
        <v>0.45</v>
      </c>
      <c r="G26" s="9" cm="1">
        <f t="array" ref="G26">INDEX(Games[PostGmRate], MATCH(1, (Games[Team]=A26)*(Games[Date]=H26), 0))</f>
        <v>1498.2242710377225</v>
      </c>
      <c r="H26" s="1">
        <f>_xlfn.MAXIFS(Games[Date], Games[Team], A26)</f>
        <v>45186</v>
      </c>
      <c r="AR26" s="3"/>
      <c r="AS26" s="4"/>
      <c r="BD26" s="1"/>
      <c r="BG26" s="3"/>
      <c r="BH26" s="4"/>
    </row>
    <row r="27" spans="1:60" x14ac:dyDescent="0.35">
      <c r="A27" t="s">
        <v>74</v>
      </c>
      <c r="B27">
        <f>_xlfn.XLOOKUP(A27,ConfDiv[TeamID],ConfDiv[Logo])</f>
        <v>0</v>
      </c>
      <c r="C27" t="str">
        <f>_xlfn.XLOOKUP(A27,ConfDiv[TeamID],ConfDiv[TeamName])</f>
        <v>Connecticut Sun</v>
      </c>
      <c r="D27" s="1">
        <f>_xlfn.XLOOKUP($A27,StandingsPivot!$A$4:$A$35,StandingsPivot!B$4:B$35)</f>
        <v>27</v>
      </c>
      <c r="E27" s="1">
        <f>_xlfn.XLOOKUP($A27,StandingsPivot!$A$4:$A$35,StandingsPivot!C$4:C$35)</f>
        <v>13</v>
      </c>
      <c r="F27" s="3">
        <f t="shared" si="4"/>
        <v>0.67500000000000004</v>
      </c>
      <c r="G27" s="9" cm="1">
        <f t="array" ref="G27">INDEX(Games[PostGmRate], MATCH(1, (Games[Team]=A27)*(Games[Date]=H27), 0))</f>
        <v>1601.5618340231363</v>
      </c>
      <c r="H27" s="1">
        <f>_xlfn.MAXIFS(Games[Date], Games[Team], A27)</f>
        <v>45200</v>
      </c>
      <c r="AR27" s="3"/>
      <c r="AS27" s="4"/>
      <c r="BD27" s="1"/>
      <c r="BG27" s="3"/>
      <c r="BH27" s="4"/>
    </row>
    <row r="28" spans="1:60" x14ac:dyDescent="0.35">
      <c r="A28" t="s">
        <v>85</v>
      </c>
      <c r="B28">
        <f>_xlfn.XLOOKUP(A28,ConfDiv[TeamID],ConfDiv[Logo])</f>
        <v>0</v>
      </c>
      <c r="C28" t="str">
        <f>_xlfn.XLOOKUP(A28,ConfDiv[TeamID],ConfDiv[TeamName])</f>
        <v>Dallas Wings</v>
      </c>
      <c r="D28" s="1">
        <f>_xlfn.XLOOKUP($A28,StandingsPivot!$A$4:$A$35,StandingsPivot!B$4:B$35)</f>
        <v>22</v>
      </c>
      <c r="E28" s="1">
        <f>_xlfn.XLOOKUP($A28,StandingsPivot!$A$4:$A$35,StandingsPivot!C$4:C$35)</f>
        <v>18</v>
      </c>
      <c r="F28" s="3">
        <f t="shared" si="4"/>
        <v>0.55000000000000004</v>
      </c>
      <c r="G28" s="9" cm="1">
        <f t="array" ref="G28">INDEX(Games[PostGmRate], MATCH(1, (Games[Team]=A28)*(Games[Date]=H28), 0))</f>
        <v>1560.7308330190106</v>
      </c>
      <c r="H28" s="1">
        <f>_xlfn.MAXIFS(Games[Date], Games[Team], A28)</f>
        <v>45198</v>
      </c>
      <c r="AR28" s="3"/>
      <c r="AS28" s="4"/>
      <c r="BD28" s="1"/>
      <c r="BG28" s="3"/>
      <c r="BH28" s="4"/>
    </row>
    <row r="29" spans="1:60" x14ac:dyDescent="0.35">
      <c r="A29" t="s">
        <v>69</v>
      </c>
      <c r="B29">
        <f>_xlfn.XLOOKUP(A29,ConfDiv[TeamID],ConfDiv[Logo])</f>
        <v>0</v>
      </c>
      <c r="C29" t="str">
        <f>_xlfn.XLOOKUP(A29,ConfDiv[TeamID],ConfDiv[TeamName])</f>
        <v>Indiana Fever</v>
      </c>
      <c r="D29" s="1">
        <f>_xlfn.XLOOKUP($A29,StandingsPivot!$A$4:$A$35,StandingsPivot!B$4:B$35)</f>
        <v>13</v>
      </c>
      <c r="E29" s="1">
        <f>_xlfn.XLOOKUP($A29,StandingsPivot!$A$4:$A$35,StandingsPivot!C$4:C$35)</f>
        <v>27</v>
      </c>
      <c r="F29" s="3">
        <f t="shared" si="4"/>
        <v>0.32500000000000001</v>
      </c>
      <c r="G29" s="9" cm="1">
        <f t="array" ref="G29">INDEX(Games[PostGmRate], MATCH(1, (Games[Team]=A29)*(Games[Date]=H29), 0))</f>
        <v>1357.4103953446488</v>
      </c>
      <c r="H29" s="1">
        <f>_xlfn.MAXIFS(Games[Date], Games[Team], A29)</f>
        <v>45179</v>
      </c>
      <c r="AR29" s="3"/>
      <c r="AS29" s="4"/>
      <c r="BD29" s="1"/>
      <c r="BG29" s="3"/>
      <c r="BH29" s="4"/>
    </row>
    <row r="30" spans="1:60" x14ac:dyDescent="0.35">
      <c r="A30" t="s">
        <v>63</v>
      </c>
      <c r="B30">
        <f>_xlfn.XLOOKUP(A30,ConfDiv[TeamID],ConfDiv[Logo])</f>
        <v>0</v>
      </c>
      <c r="C30" t="str">
        <f>_xlfn.XLOOKUP(A30,ConfDiv[TeamID],ConfDiv[TeamName])</f>
        <v>Los Angeles Sparks</v>
      </c>
      <c r="D30" s="1">
        <f>_xlfn.XLOOKUP($A30,StandingsPivot!$A$4:$A$35,StandingsPivot!B$4:B$35)</f>
        <v>17</v>
      </c>
      <c r="E30" s="1">
        <f>_xlfn.XLOOKUP($A30,StandingsPivot!$A$4:$A$35,StandingsPivot!C$4:C$35)</f>
        <v>23</v>
      </c>
      <c r="F30" s="3">
        <f t="shared" si="4"/>
        <v>0.42499999999999999</v>
      </c>
      <c r="G30" s="9" cm="1">
        <f t="array" ref="G30">INDEX(Games[PostGmRate], MATCH(1, (Games[Team]=A30)*(Games[Date]=H30), 0))</f>
        <v>1442.4919316423486</v>
      </c>
      <c r="H30" s="1">
        <f>_xlfn.MAXIFS(Games[Date], Games[Team], A30)</f>
        <v>45179</v>
      </c>
      <c r="AR30" s="3"/>
      <c r="AS30" s="4"/>
      <c r="BD30" s="1"/>
      <c r="BG30" s="3"/>
      <c r="BH30" s="4"/>
    </row>
    <row r="31" spans="1:60" x14ac:dyDescent="0.35">
      <c r="A31" t="s">
        <v>86</v>
      </c>
      <c r="B31">
        <f>_xlfn.XLOOKUP(A31,ConfDiv[TeamID],ConfDiv[Logo])</f>
        <v>0</v>
      </c>
      <c r="C31" t="str">
        <f>_xlfn.XLOOKUP(A31,ConfDiv[TeamID],ConfDiv[TeamName])</f>
        <v>Las Vegas Aces</v>
      </c>
      <c r="D31" s="1">
        <f>_xlfn.XLOOKUP($A31,StandingsPivot!$A$4:$A$35,StandingsPivot!B$4:B$35)</f>
        <v>34</v>
      </c>
      <c r="E31" s="1">
        <f>_xlfn.XLOOKUP($A31,StandingsPivot!$A$4:$A$35,StandingsPivot!C$4:C$35)</f>
        <v>6</v>
      </c>
      <c r="F31" s="3">
        <f t="shared" si="4"/>
        <v>0.85</v>
      </c>
      <c r="G31" s="9" cm="1">
        <f t="array" ref="G31">INDEX(Games[PostGmRate], MATCH(1, (Games[Team]=A31)*(Games[Date]=H31), 0))</f>
        <v>1775.10192294024</v>
      </c>
      <c r="H31" s="1">
        <f>_xlfn.MAXIFS(Games[Date], Games[Team], A31)</f>
        <v>45217</v>
      </c>
      <c r="AR31" s="3"/>
      <c r="AS31" s="4"/>
      <c r="BD31" s="1"/>
      <c r="BG31" s="3"/>
      <c r="BH31" s="4"/>
    </row>
    <row r="32" spans="1:60" x14ac:dyDescent="0.35">
      <c r="A32" t="s">
        <v>67</v>
      </c>
      <c r="B32">
        <f>_xlfn.XLOOKUP(A32,ConfDiv[TeamID],ConfDiv[Logo])</f>
        <v>0</v>
      </c>
      <c r="C32" t="str">
        <f>_xlfn.XLOOKUP(A32,ConfDiv[TeamID],ConfDiv[TeamName])</f>
        <v>Minnesota Lynx</v>
      </c>
      <c r="D32" s="1">
        <f>_xlfn.XLOOKUP($A32,StandingsPivot!$A$4:$A$35,StandingsPivot!B$4:B$35)</f>
        <v>19</v>
      </c>
      <c r="E32" s="1">
        <f>_xlfn.XLOOKUP($A32,StandingsPivot!$A$4:$A$35,StandingsPivot!C$4:C$35)</f>
        <v>21</v>
      </c>
      <c r="F32" s="3">
        <f t="shared" si="4"/>
        <v>0.47499999999999998</v>
      </c>
      <c r="G32" s="9" cm="1">
        <f t="array" ref="G32">INDEX(Games[PostGmRate], MATCH(1, (Games[Team]=A32)*(Games[Date]=H32), 0))</f>
        <v>1443.0592087742166</v>
      </c>
      <c r="H32" s="1">
        <f>_xlfn.MAXIFS(Games[Date], Games[Team], A32)</f>
        <v>45189</v>
      </c>
    </row>
    <row r="33" spans="1:8" x14ac:dyDescent="0.35">
      <c r="A33" t="s">
        <v>60</v>
      </c>
      <c r="B33">
        <f>_xlfn.XLOOKUP(A33,ConfDiv[TeamID],ConfDiv[Logo])</f>
        <v>0</v>
      </c>
      <c r="C33" t="str">
        <f>_xlfn.XLOOKUP(A33,ConfDiv[TeamID],ConfDiv[TeamName])</f>
        <v>New York Liberty</v>
      </c>
      <c r="D33" s="1">
        <f>_xlfn.XLOOKUP($A33,StandingsPivot!$A$4:$A$35,StandingsPivot!B$4:B$35)</f>
        <v>32</v>
      </c>
      <c r="E33" s="1">
        <f>_xlfn.XLOOKUP($A33,StandingsPivot!$A$4:$A$35,StandingsPivot!C$4:C$35)</f>
        <v>8</v>
      </c>
      <c r="F33" s="3">
        <f t="shared" si="4"/>
        <v>0.8</v>
      </c>
      <c r="G33" s="9" cm="1">
        <f t="array" ref="G33">INDEX(Games[PostGmRate], MATCH(1, (Games[Team]=A33)*(Games[Date]=H33), 0))</f>
        <v>1719.578222944016</v>
      </c>
      <c r="H33" s="1">
        <f>_xlfn.MAXIFS(Games[Date], Games[Team], A33)</f>
        <v>45217</v>
      </c>
    </row>
    <row r="34" spans="1:8" x14ac:dyDescent="0.35">
      <c r="A34" t="s">
        <v>40</v>
      </c>
      <c r="B34">
        <f>_xlfn.XLOOKUP(A34,ConfDiv[TeamID],ConfDiv[Logo])</f>
        <v>0</v>
      </c>
      <c r="C34" t="str">
        <f>_xlfn.XLOOKUP(A34,ConfDiv[TeamID],ConfDiv[TeamName])</f>
        <v>Phoenix Mercury</v>
      </c>
      <c r="D34" s="1">
        <f>_xlfn.XLOOKUP($A34,StandingsPivot!$A$4:$A$35,StandingsPivot!B$4:B$35)</f>
        <v>9</v>
      </c>
      <c r="E34" s="1">
        <f>_xlfn.XLOOKUP($A34,StandingsPivot!$A$4:$A$35,StandingsPivot!C$4:C$35)</f>
        <v>31</v>
      </c>
      <c r="F34" s="3">
        <f t="shared" si="4"/>
        <v>0.22500000000000001</v>
      </c>
      <c r="G34" s="9" cm="1">
        <f t="array" ref="G34">INDEX(Games[PostGmRate], MATCH(1, (Games[Team]=A34)*(Games[Date]=H34), 0))</f>
        <v>1302.1710875059471</v>
      </c>
      <c r="H34" s="1">
        <f>_xlfn.MAXIFS(Games[Date], Games[Team], A34)</f>
        <v>45179</v>
      </c>
    </row>
    <row r="35" spans="1:8" x14ac:dyDescent="0.35">
      <c r="A35" t="s">
        <v>71</v>
      </c>
      <c r="B35">
        <f>_xlfn.XLOOKUP(A35,ConfDiv[TeamID],ConfDiv[Logo])</f>
        <v>0</v>
      </c>
      <c r="C35" t="str">
        <f>_xlfn.XLOOKUP(A35,ConfDiv[TeamID],ConfDiv[TeamName])</f>
        <v>Seattle Storm</v>
      </c>
      <c r="D35" s="1">
        <f>_xlfn.XLOOKUP($A35,StandingsPivot!$A$4:$A$35,StandingsPivot!B$4:B$35)</f>
        <v>11</v>
      </c>
      <c r="E35" s="1">
        <f>_xlfn.XLOOKUP($A35,StandingsPivot!$A$4:$A$35,StandingsPivot!C$4:C$35)</f>
        <v>29</v>
      </c>
      <c r="F35" s="3">
        <f t="shared" si="4"/>
        <v>0.27500000000000002</v>
      </c>
      <c r="G35" s="9" cm="1">
        <f t="array" ref="G35">INDEX(Games[PostGmRate], MATCH(1, (Games[Team]=A35)*(Games[Date]=H35), 0))</f>
        <v>1391.8167505096326</v>
      </c>
      <c r="H35" s="1">
        <f>_xlfn.MAXIFS(Games[Date], Games[Team], A35)</f>
        <v>45179</v>
      </c>
    </row>
    <row r="36" spans="1:8" x14ac:dyDescent="0.35">
      <c r="A36" t="s">
        <v>65</v>
      </c>
      <c r="B36">
        <f>_xlfn.XLOOKUP(A36,ConfDiv[TeamID],ConfDiv[Logo])</f>
        <v>0</v>
      </c>
      <c r="C36" t="str">
        <f>_xlfn.XLOOKUP(A36,ConfDiv[TeamID],ConfDiv[TeamName])</f>
        <v>Washington Mystics</v>
      </c>
      <c r="D36" s="1">
        <f>_xlfn.XLOOKUP($A36,StandingsPivot!$A$4:$A$35,StandingsPivot!B$4:B$35)</f>
        <v>19</v>
      </c>
      <c r="E36" s="1">
        <f>_xlfn.XLOOKUP($A36,StandingsPivot!$A$4:$A$35,StandingsPivot!C$4:C$35)</f>
        <v>21</v>
      </c>
      <c r="F36" s="3">
        <f t="shared" si="4"/>
        <v>0.47499999999999998</v>
      </c>
      <c r="G36" s="9" cm="1">
        <f t="array" ref="G36">INDEX(Games[PostGmRate], MATCH(1, (Games[Team]=A36)*(Games[Date]=H36), 0))</f>
        <v>1472.3504244730839</v>
      </c>
      <c r="H36" s="1">
        <f>_xlfn.MAXIFS(Games[Date], Games[Team], A36)</f>
        <v>45188</v>
      </c>
    </row>
  </sheetData>
  <sortState xmlns:xlrd2="http://schemas.microsoft.com/office/spreadsheetml/2017/richdata2" ref="A25:G36">
    <sortCondition ref="A25:A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17</v>
      </c>
      <c r="B3" s="1" t="s">
        <v>19</v>
      </c>
      <c r="C3" s="1" t="s">
        <v>20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</row>
    <row r="4" spans="1:11" x14ac:dyDescent="0.35">
      <c r="A4" s="6" t="s">
        <v>77</v>
      </c>
      <c r="B4" s="2">
        <v>19</v>
      </c>
      <c r="C4" s="2">
        <v>21</v>
      </c>
      <c r="D4" s="2">
        <v>0</v>
      </c>
      <c r="E4" s="2">
        <v>2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35">
      <c r="A5" s="6" t="s">
        <v>75</v>
      </c>
      <c r="B5" s="2">
        <v>18</v>
      </c>
      <c r="C5" s="2">
        <v>22</v>
      </c>
      <c r="D5" s="2">
        <v>0</v>
      </c>
      <c r="E5" s="2">
        <v>2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5">
      <c r="A6" s="6" t="s">
        <v>74</v>
      </c>
      <c r="B6" s="2">
        <v>27</v>
      </c>
      <c r="C6" s="2">
        <v>13</v>
      </c>
      <c r="D6" s="2">
        <v>2</v>
      </c>
      <c r="E6" s="2">
        <v>1</v>
      </c>
      <c r="F6" s="2">
        <v>1</v>
      </c>
      <c r="G6" s="2">
        <v>3</v>
      </c>
      <c r="H6" s="2">
        <v>0</v>
      </c>
      <c r="I6" s="2">
        <v>0</v>
      </c>
      <c r="J6" s="2">
        <v>0</v>
      </c>
      <c r="K6" s="2">
        <v>0</v>
      </c>
    </row>
    <row r="7" spans="1:11" x14ac:dyDescent="0.35">
      <c r="A7" s="6" t="s">
        <v>85</v>
      </c>
      <c r="B7" s="2">
        <v>22</v>
      </c>
      <c r="C7" s="2">
        <v>18</v>
      </c>
      <c r="D7" s="2">
        <v>2</v>
      </c>
      <c r="E7" s="2">
        <v>0</v>
      </c>
      <c r="F7" s="2">
        <v>0</v>
      </c>
      <c r="G7" s="2">
        <v>3</v>
      </c>
      <c r="H7" s="2">
        <v>0</v>
      </c>
      <c r="I7" s="2">
        <v>0</v>
      </c>
      <c r="J7" s="2">
        <v>0</v>
      </c>
      <c r="K7" s="2">
        <v>0</v>
      </c>
    </row>
    <row r="8" spans="1:11" x14ac:dyDescent="0.35">
      <c r="A8" s="6" t="s">
        <v>69</v>
      </c>
      <c r="B8" s="2">
        <v>13</v>
      </c>
      <c r="C8" s="2">
        <v>27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63</v>
      </c>
      <c r="B9" s="2">
        <v>17</v>
      </c>
      <c r="C9" s="2">
        <v>23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5">
      <c r="A10" s="6" t="s">
        <v>86</v>
      </c>
      <c r="B10" s="2">
        <v>34</v>
      </c>
      <c r="C10" s="2">
        <v>6</v>
      </c>
      <c r="D10" s="2">
        <v>2</v>
      </c>
      <c r="E10" s="2">
        <v>0</v>
      </c>
      <c r="F10" s="2">
        <v>3</v>
      </c>
      <c r="G10" s="2">
        <v>0</v>
      </c>
      <c r="H10" s="2">
        <v>3</v>
      </c>
      <c r="I10" s="2">
        <v>1</v>
      </c>
      <c r="J10" s="2">
        <v>0</v>
      </c>
      <c r="K10" s="2">
        <v>0</v>
      </c>
    </row>
    <row r="11" spans="1:11" x14ac:dyDescent="0.35">
      <c r="A11" s="6" t="s">
        <v>67</v>
      </c>
      <c r="B11" s="2">
        <v>19</v>
      </c>
      <c r="C11" s="2">
        <v>21</v>
      </c>
      <c r="D11" s="2">
        <v>1</v>
      </c>
      <c r="E11" s="2">
        <v>2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5">
      <c r="A12" s="6" t="s">
        <v>60</v>
      </c>
      <c r="B12" s="2">
        <v>32</v>
      </c>
      <c r="C12" s="2">
        <v>8</v>
      </c>
      <c r="D12" s="2">
        <v>2</v>
      </c>
      <c r="E12" s="2">
        <v>0</v>
      </c>
      <c r="F12" s="2">
        <v>3</v>
      </c>
      <c r="G12" s="2">
        <v>1</v>
      </c>
      <c r="H12" s="2">
        <v>1</v>
      </c>
      <c r="I12" s="2">
        <v>3</v>
      </c>
      <c r="J12" s="2">
        <v>0</v>
      </c>
      <c r="K12" s="2">
        <v>0</v>
      </c>
    </row>
    <row r="13" spans="1:11" x14ac:dyDescent="0.35">
      <c r="A13" s="6" t="s">
        <v>40</v>
      </c>
      <c r="B13" s="2">
        <v>9</v>
      </c>
      <c r="C13" s="2">
        <v>31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5">
      <c r="A14" s="6" t="s">
        <v>71</v>
      </c>
      <c r="B14" s="2">
        <v>11</v>
      </c>
      <c r="C14" s="2">
        <v>29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5">
      <c r="A15" s="6" t="s">
        <v>65</v>
      </c>
      <c r="B15" s="2">
        <v>19</v>
      </c>
      <c r="C15" s="2">
        <v>21</v>
      </c>
      <c r="D15" s="2">
        <v>0</v>
      </c>
      <c r="E15" s="2">
        <v>2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35">
      <c r="A16" s="6" t="s">
        <v>18</v>
      </c>
      <c r="B16" s="2">
        <v>240</v>
      </c>
      <c r="C16" s="2">
        <v>240</v>
      </c>
      <c r="D16" s="2">
        <v>9</v>
      </c>
      <c r="E16" s="2">
        <v>9</v>
      </c>
      <c r="F16" s="2">
        <v>7</v>
      </c>
      <c r="G16" s="2">
        <v>7</v>
      </c>
      <c r="H16" s="2">
        <v>4</v>
      </c>
      <c r="I16" s="2">
        <v>4</v>
      </c>
      <c r="J16" s="2">
        <v>0</v>
      </c>
      <c r="K16" s="2">
        <v>0</v>
      </c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55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17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>
        <v>31</v>
      </c>
    </row>
    <row r="35" spans="1:1" x14ac:dyDescent="0.35">
      <c r="A35" s="11">
        <v>32</v>
      </c>
    </row>
    <row r="36" spans="1:1" x14ac:dyDescent="0.35">
      <c r="A36" s="11">
        <v>33</v>
      </c>
    </row>
    <row r="37" spans="1:1" x14ac:dyDescent="0.35">
      <c r="A37" s="11">
        <v>34</v>
      </c>
    </row>
    <row r="38" spans="1:1" x14ac:dyDescent="0.35">
      <c r="A38" s="11">
        <v>35</v>
      </c>
    </row>
    <row r="39" spans="1:1" x14ac:dyDescent="0.35">
      <c r="A39" s="11">
        <v>36</v>
      </c>
    </row>
    <row r="40" spans="1:1" x14ac:dyDescent="0.35">
      <c r="A40" s="11">
        <v>37</v>
      </c>
    </row>
    <row r="41" spans="1:1" x14ac:dyDescent="0.35">
      <c r="A41" s="11">
        <v>38</v>
      </c>
    </row>
    <row r="42" spans="1:1" x14ac:dyDescent="0.35">
      <c r="A42" s="11">
        <v>39</v>
      </c>
    </row>
    <row r="43" spans="1:1" x14ac:dyDescent="0.35">
      <c r="A43" s="11">
        <v>40</v>
      </c>
    </row>
    <row r="44" spans="1:1" x14ac:dyDescent="0.35">
      <c r="A44" s="11">
        <v>41</v>
      </c>
    </row>
    <row r="45" spans="1:1" x14ac:dyDescent="0.35">
      <c r="A45" s="11">
        <v>42</v>
      </c>
    </row>
    <row r="46" spans="1:1" x14ac:dyDescent="0.35">
      <c r="A46" s="11">
        <v>43</v>
      </c>
    </row>
    <row r="47" spans="1:1" x14ac:dyDescent="0.35">
      <c r="A47" s="11">
        <v>44</v>
      </c>
    </row>
    <row r="48" spans="1:1" x14ac:dyDescent="0.35">
      <c r="A48" s="11">
        <v>45</v>
      </c>
    </row>
    <row r="49" spans="1:1" x14ac:dyDescent="0.35">
      <c r="A49" s="11">
        <v>46</v>
      </c>
    </row>
    <row r="50" spans="1:1" x14ac:dyDescent="0.35">
      <c r="A50" s="11">
        <v>47</v>
      </c>
    </row>
    <row r="51" spans="1:1" x14ac:dyDescent="0.35">
      <c r="A51" s="11">
        <v>48</v>
      </c>
    </row>
    <row r="52" spans="1:1" x14ac:dyDescent="0.35">
      <c r="A52" s="11">
        <v>49</v>
      </c>
    </row>
    <row r="53" spans="1:1" x14ac:dyDescent="0.35">
      <c r="A53" s="11">
        <v>50</v>
      </c>
    </row>
    <row r="54" spans="1:1" x14ac:dyDescent="0.35">
      <c r="A54" s="11">
        <v>51</v>
      </c>
    </row>
    <row r="55" spans="1:1" x14ac:dyDescent="0.35">
      <c r="A55" s="1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523"/>
  <sheetViews>
    <sheetView workbookViewId="0"/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31</v>
      </c>
      <c r="B1" s="1" t="s">
        <v>26</v>
      </c>
      <c r="C1" s="1" t="s">
        <v>30</v>
      </c>
      <c r="D1" s="1" t="s">
        <v>25</v>
      </c>
      <c r="E1" s="1" t="s">
        <v>24</v>
      </c>
      <c r="F1" s="1" t="s">
        <v>0</v>
      </c>
      <c r="G1" s="1" t="s">
        <v>3</v>
      </c>
      <c r="H1" s="1" t="s">
        <v>14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21</v>
      </c>
      <c r="U1" s="1" t="s">
        <v>9</v>
      </c>
      <c r="V1" s="1" t="s">
        <v>10</v>
      </c>
      <c r="W1" s="1" t="s">
        <v>13</v>
      </c>
      <c r="X1" s="1" t="s">
        <v>23</v>
      </c>
      <c r="Y1" s="1" t="s">
        <v>32</v>
      </c>
      <c r="Z1" s="1" t="s">
        <v>22</v>
      </c>
      <c r="AA1" s="1" t="s">
        <v>11</v>
      </c>
      <c r="AB1" s="1" t="s">
        <v>12</v>
      </c>
      <c r="AC1" s="1" t="s">
        <v>15</v>
      </c>
      <c r="AD1" s="1" t="s">
        <v>16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P1" s="1">
        <v>6</v>
      </c>
      <c r="AQ1">
        <v>76</v>
      </c>
    </row>
    <row r="2" spans="1:46" x14ac:dyDescent="0.35">
      <c r="A2" s="10">
        <v>45065</v>
      </c>
      <c r="B2" s="2">
        <v>2023</v>
      </c>
      <c r="C2" s="2">
        <f>COUNTIFS(Games[Team],Games[[#This Row],[Team]],Games[Season],Games[[#This Row],[Season]],Games[Date],"&lt;=" &amp; Games[[#This Row],[Date]])</f>
        <v>1</v>
      </c>
      <c r="D2" s="2" t="s">
        <v>79</v>
      </c>
      <c r="E2" s="2" t="s">
        <v>80</v>
      </c>
      <c r="F2" s="1" t="s">
        <v>74</v>
      </c>
      <c r="G2" s="1" t="s">
        <v>69</v>
      </c>
      <c r="H2" s="1" t="s">
        <v>81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1585.2348537475787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1363.1302842232064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0.68890259086062566</v>
      </c>
      <c r="R2" s="1">
        <v>70</v>
      </c>
      <c r="S2" s="1">
        <v>61</v>
      </c>
      <c r="T2" s="1">
        <v>0</v>
      </c>
      <c r="U2" s="1">
        <f>Games[[#This Row],[PointsFor]]-Games[[#This Row],[PointsAgainst]]</f>
        <v>9</v>
      </c>
      <c r="V2" s="1">
        <f>IF(Games[[#This Row],[MOV]]&gt;0,1,IF(Games[[#This Row],[MOV]]=0,0.5,0))</f>
        <v>1</v>
      </c>
      <c r="W2" s="4">
        <f>((ABS(Games[[#This Row],[MOV]])+5)^0.6)/(12+0.01*(ABS(Games[[#This Row],[PreGmRate]]-Games[[#This Row],[OppPreGmRate]])))*IF(Games[[#This Row],[OT]]=1,0.9,1)</f>
        <v>0.34256681471716643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8.0834595399111855</v>
      </c>
      <c r="AB2" s="4">
        <f>Games[[#This Row],[PreGmRate]]+Games[[#This Row],[RatingChange]]</f>
        <v>1593.3183132874899</v>
      </c>
      <c r="AC2" s="2">
        <f>IF(Games[[#This Row],[Type]]="R",IF(Games[[#This Row],[Result]]&gt;0.5,1,0),0)</f>
        <v>1</v>
      </c>
      <c r="AD2" s="2">
        <f>IF(Games[[#This Row],[Type]]="R",IF(Games[[#This Row],[Result]]&lt;0.5,1,0),0)</f>
        <v>0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45065</v>
      </c>
      <c r="B3" s="2">
        <v>2023</v>
      </c>
      <c r="C3" s="2">
        <f>COUNTIFS(Games[Team],Games[[#This Row],[Team]],Games[Season],Games[[#This Row],[Season]],Games[Date],"&lt;=" &amp; Games[[#This Row],[Date]])</f>
        <v>1</v>
      </c>
      <c r="D3" s="2" t="s">
        <v>79</v>
      </c>
      <c r="E3" s="2" t="s">
        <v>80</v>
      </c>
      <c r="F3" s="1" t="s">
        <v>69</v>
      </c>
      <c r="G3" s="1" t="s">
        <v>74</v>
      </c>
      <c r="H3" s="1" t="s">
        <v>82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1363.1302842232064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1585.2348537475787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0.31109740913937439</v>
      </c>
      <c r="R3" s="1">
        <v>61</v>
      </c>
      <c r="S3" s="1">
        <v>70</v>
      </c>
      <c r="T3" s="1">
        <v>0</v>
      </c>
      <c r="U3" s="1">
        <f>Games[[#This Row],[PointsFor]]-Games[[#This Row],[PointsAgainst]]</f>
        <v>-9</v>
      </c>
      <c r="V3" s="1">
        <f>IF(Games[[#This Row],[MOV]]&gt;0,1,IF(Games[[#This Row],[MOV]]=0,0.5,0))</f>
        <v>0</v>
      </c>
      <c r="W3" s="4">
        <f>((ABS(Games[[#This Row],[MOV]])+5)^0.6)/(12+0.01*(ABS(Games[[#This Row],[PreGmRate]]-Games[[#This Row],[OppPreGmRate]])))*IF(Games[[#This Row],[OT]]=1,0.9,1)</f>
        <v>0.34256681471716643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-8.0834595399111855</v>
      </c>
      <c r="AB3" s="4">
        <f>Games[[#This Row],[PreGmRate]]+Games[[#This Row],[RatingChange]]</f>
        <v>1355.0468246832952</v>
      </c>
      <c r="AC3" s="2">
        <f>IF(Games[[#This Row],[Type]]="R",IF(Games[[#This Row],[Result]]&gt;0.5,1,0),0)</f>
        <v>0</v>
      </c>
      <c r="AD3" s="2">
        <f>IF(Games[[#This Row],[Type]]="R",IF(Games[[#This Row],[Result]]&lt;0.5,1,0),0)</f>
        <v>1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45065</v>
      </c>
      <c r="B4" s="2">
        <v>2023</v>
      </c>
      <c r="C4" s="2">
        <f>COUNTIFS(Games[Team],Games[[#This Row],[Team]],Games[Season],Games[[#This Row],[Season]],Games[Date],"&lt;=" &amp; Games[[#This Row],[Date]])</f>
        <v>1</v>
      </c>
      <c r="D4" s="2" t="s">
        <v>79</v>
      </c>
      <c r="E4" s="2" t="s">
        <v>80</v>
      </c>
      <c r="F4" s="1" t="s">
        <v>40</v>
      </c>
      <c r="G4" s="1" t="s">
        <v>63</v>
      </c>
      <c r="H4" s="1" t="s">
        <v>81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1467.8321619700862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1427.1109003911324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0.43803704551589095</v>
      </c>
      <c r="R4" s="1">
        <v>71</v>
      </c>
      <c r="S4" s="1">
        <v>94</v>
      </c>
      <c r="T4" s="1">
        <v>0</v>
      </c>
      <c r="U4" s="1">
        <f>Games[[#This Row],[PointsFor]]-Games[[#This Row],[PointsAgainst]]</f>
        <v>-23</v>
      </c>
      <c r="V4" s="1">
        <f>IF(Games[[#This Row],[MOV]]&gt;0,1,IF(Games[[#This Row],[MOV]]=0,0.5,0))</f>
        <v>0</v>
      </c>
      <c r="W4" s="4">
        <f>((ABS(Games[[#This Row],[MOV]])+5)^0.6)/(12+0.01*(ABS(Games[[#This Row],[PreGmRate]]-Games[[#This Row],[OppPreGmRate]])))*IF(Games[[#This Row],[OT]]=1,0.9,1)</f>
        <v>0.59514199195282613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-19.773658090154196</v>
      </c>
      <c r="AB4" s="4">
        <f>Games[[#This Row],[PreGmRate]]+Games[[#This Row],[RatingChange]]</f>
        <v>1448.058503879932</v>
      </c>
      <c r="AC4" s="2">
        <f>IF(Games[[#This Row],[Type]]="R",IF(Games[[#This Row],[Result]]&gt;0.5,1,0),0)</f>
        <v>0</v>
      </c>
      <c r="AD4" s="2">
        <f>IF(Games[[#This Row],[Type]]="R",IF(Games[[#This Row],[Result]]&lt;0.5,1,0),0)</f>
        <v>1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45065</v>
      </c>
      <c r="B5" s="2">
        <v>2023</v>
      </c>
      <c r="C5" s="2">
        <f>COUNTIFS(Games[Team],Games[[#This Row],[Team]],Games[Season],Games[[#This Row],[Season]],Games[Date],"&lt;=" &amp; Games[[#This Row],[Date]])</f>
        <v>1</v>
      </c>
      <c r="D5" s="2" t="s">
        <v>79</v>
      </c>
      <c r="E5" s="2" t="s">
        <v>80</v>
      </c>
      <c r="F5" s="1" t="s">
        <v>63</v>
      </c>
      <c r="G5" s="1" t="s">
        <v>40</v>
      </c>
      <c r="H5" s="1" t="s">
        <v>82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0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1427.1109003911324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1467.8321619700862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0.56196295448410905</v>
      </c>
      <c r="R5" s="1">
        <v>94</v>
      </c>
      <c r="S5" s="1">
        <v>71</v>
      </c>
      <c r="T5" s="1">
        <v>0</v>
      </c>
      <c r="U5" s="1">
        <f>Games[[#This Row],[PointsFor]]-Games[[#This Row],[PointsAgainst]]</f>
        <v>23</v>
      </c>
      <c r="V5" s="1">
        <f>IF(Games[[#This Row],[MOV]]&gt;0,1,IF(Games[[#This Row],[MOV]]=0,0.5,0))</f>
        <v>1</v>
      </c>
      <c r="W5" s="4">
        <f>((ABS(Games[[#This Row],[MOV]])+5)^0.6)/(12+0.01*(ABS(Games[[#This Row],[PreGmRate]]-Games[[#This Row],[OppPreGmRate]])))*IF(Games[[#This Row],[OT]]=1,0.9,1)</f>
        <v>0.59514199195282613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19.773658090154196</v>
      </c>
      <c r="AB5" s="4">
        <f>Games[[#This Row],[PreGmRate]]+Games[[#This Row],[RatingChange]]</f>
        <v>1446.8845584812866</v>
      </c>
      <c r="AC5" s="2">
        <f>IF(Games[[#This Row],[Type]]="R",IF(Games[[#This Row],[Result]]&gt;0.5,1,0),0)</f>
        <v>1</v>
      </c>
      <c r="AD5" s="2">
        <f>IF(Games[[#This Row],[Type]]="R",IF(Games[[#This Row],[Result]]&lt;0.5,1,0),0)</f>
        <v>0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45065</v>
      </c>
      <c r="B6" s="2">
        <v>2023</v>
      </c>
      <c r="C6" s="2">
        <f>COUNTIFS(Games[Team],Games[[#This Row],[Team]],Games[Season],Games[[#This Row],[Season]],Games[Date],"&lt;=" &amp; Games[[#This Row],[Date]])</f>
        <v>1</v>
      </c>
      <c r="D6" s="2" t="s">
        <v>79</v>
      </c>
      <c r="E6" s="2" t="s">
        <v>80</v>
      </c>
      <c r="F6" s="1" t="s">
        <v>75</v>
      </c>
      <c r="G6" s="1" t="s">
        <v>67</v>
      </c>
      <c r="H6" s="1" t="s">
        <v>81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0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" s="2">
        <f>Games[[#This Row],[DaysOff]]-Games[[#This Row],[OppDaysOff]]</f>
        <v>0</v>
      </c>
      <c r="L6" s="2">
        <f>Games[[#This Row],[OppDaysOff]]-Games[[#This Row],[DaysOff]]</f>
        <v>0</v>
      </c>
      <c r="M6" s="1">
        <f>MAX(-16, MIN(16, Games[[#This Row],[RestDiff]]*8))</f>
        <v>0</v>
      </c>
      <c r="N6" s="1">
        <f>MAX(-16, MIN(16, Games[[#This Row],[OppRestDiff]]*8))</f>
        <v>0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1560.8188546060981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1491.9207820571301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0.47828025648762579</v>
      </c>
      <c r="R6" s="1">
        <v>77</v>
      </c>
      <c r="S6" s="1">
        <v>66</v>
      </c>
      <c r="T6" s="1">
        <v>0</v>
      </c>
      <c r="U6" s="1">
        <f>Games[[#This Row],[PointsFor]]-Games[[#This Row],[PointsAgainst]]</f>
        <v>11</v>
      </c>
      <c r="V6" s="1">
        <f>IF(Games[[#This Row],[MOV]]&gt;0,1,IF(Games[[#This Row],[MOV]]=0,0.5,0))</f>
        <v>1</v>
      </c>
      <c r="W6" s="4">
        <f>((ABS(Games[[#This Row],[MOV]])+5)^0.6)/(12+0.01*(ABS(Games[[#This Row],[PreGmRate]]-Games[[#This Row],[OppPreGmRate]])))*IF(Games[[#This Row],[OT]]=1,0.9,1)</f>
        <v>0.41595394912130679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16.460313753140795</v>
      </c>
      <c r="AB6" s="4">
        <f>Games[[#This Row],[PreGmRate]]+Games[[#This Row],[RatingChange]]</f>
        <v>1577.2791683592388</v>
      </c>
      <c r="AC6" s="2">
        <f>IF(Games[[#This Row],[Type]]="R",IF(Games[[#This Row],[Result]]&gt;0.5,1,0),0)</f>
        <v>1</v>
      </c>
      <c r="AD6" s="2">
        <f>IF(Games[[#This Row],[Type]]="R",IF(Games[[#This Row],[Result]]&lt;0.5,1,0),0)</f>
        <v>0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45065</v>
      </c>
      <c r="B7" s="2">
        <v>2023</v>
      </c>
      <c r="C7" s="2">
        <f>COUNTIFS(Games[Team],Games[[#This Row],[Team]],Games[Season],Games[[#This Row],[Season]],Games[Date],"&lt;=" &amp; Games[[#This Row],[Date]])</f>
        <v>1</v>
      </c>
      <c r="D7" s="2" t="s">
        <v>79</v>
      </c>
      <c r="E7" s="2" t="s">
        <v>80</v>
      </c>
      <c r="F7" s="1" t="s">
        <v>67</v>
      </c>
      <c r="G7" s="1" t="s">
        <v>75</v>
      </c>
      <c r="H7" s="1" t="s">
        <v>82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0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" s="2">
        <f>Games[[#This Row],[DaysOff]]-Games[[#This Row],[OppDaysOff]]</f>
        <v>0</v>
      </c>
      <c r="L7" s="2">
        <f>Games[[#This Row],[OppDaysOff]]-Games[[#This Row],[DaysOff]]</f>
        <v>0</v>
      </c>
      <c r="M7" s="1">
        <f>MAX(-16, MIN(16, Games[[#This Row],[RestDiff]]*8))</f>
        <v>0</v>
      </c>
      <c r="N7" s="1">
        <f>MAX(-16, MIN(16, Games[[#This Row],[OppRestDiff]]*8))</f>
        <v>0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1491.9207820571301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1560.8188546060981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0.52171974351237427</v>
      </c>
      <c r="R7" s="1">
        <v>66</v>
      </c>
      <c r="S7" s="1">
        <v>77</v>
      </c>
      <c r="T7" s="1">
        <v>0</v>
      </c>
      <c r="U7" s="1">
        <f>Games[[#This Row],[PointsFor]]-Games[[#This Row],[PointsAgainst]]</f>
        <v>-11</v>
      </c>
      <c r="V7" s="1">
        <f>IF(Games[[#This Row],[MOV]]&gt;0,1,IF(Games[[#This Row],[MOV]]=0,0.5,0))</f>
        <v>0</v>
      </c>
      <c r="W7" s="4">
        <f>((ABS(Games[[#This Row],[MOV]])+5)^0.6)/(12+0.01*(ABS(Games[[#This Row],[PreGmRate]]-Games[[#This Row],[OppPreGmRate]])))*IF(Games[[#This Row],[OT]]=1,0.9,1)</f>
        <v>0.41595394912130679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-16.460313753140799</v>
      </c>
      <c r="AB7" s="4">
        <f>Games[[#This Row],[PreGmRate]]+Games[[#This Row],[RatingChange]]</f>
        <v>1475.4604683039893</v>
      </c>
      <c r="AC7" s="2">
        <f>IF(Games[[#This Row],[Type]]="R",IF(Games[[#This Row],[Result]]&gt;0.5,1,0),0)</f>
        <v>0</v>
      </c>
      <c r="AD7" s="2">
        <f>IF(Games[[#This Row],[Type]]="R",IF(Games[[#This Row],[Result]]&lt;0.5,1,0),0)</f>
        <v>1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45065</v>
      </c>
      <c r="B8" s="2">
        <v>2023</v>
      </c>
      <c r="C8" s="2">
        <f>COUNTIFS(Games[Team],Games[[#This Row],[Team]],Games[Season],Games[[#This Row],[Season]],Games[Date],"&lt;=" &amp; Games[[#This Row],[Date]])</f>
        <v>1</v>
      </c>
      <c r="D8" s="2" t="s">
        <v>79</v>
      </c>
      <c r="E8" s="2" t="s">
        <v>80</v>
      </c>
      <c r="F8" s="1" t="s">
        <v>60</v>
      </c>
      <c r="G8" s="1" t="s">
        <v>65</v>
      </c>
      <c r="H8" s="1" t="s">
        <v>81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0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" s="2">
        <f>Games[[#This Row],[DaysOff]]-Games[[#This Row],[OppDaysOff]]</f>
        <v>0</v>
      </c>
      <c r="L8" s="2">
        <f>Games[[#This Row],[OppDaysOff]]-Games[[#This Row],[DaysOff]]</f>
        <v>0</v>
      </c>
      <c r="M8" s="1">
        <f>MAX(-16, MIN(16, Games[[#This Row],[RestDiff]]*8))</f>
        <v>0</v>
      </c>
      <c r="N8" s="1">
        <f>MAX(-16, MIN(16, Games[[#This Row],[OppRestDiff]]*8))</f>
        <v>0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1484.2267439594129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1524.5680384978327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0.32832601288295676</v>
      </c>
      <c r="R8" s="1">
        <v>64</v>
      </c>
      <c r="S8" s="1">
        <v>80</v>
      </c>
      <c r="T8" s="1">
        <v>0</v>
      </c>
      <c r="U8" s="1">
        <f>Games[[#This Row],[PointsFor]]-Games[[#This Row],[PointsAgainst]]</f>
        <v>-16</v>
      </c>
      <c r="V8" s="1">
        <f>IF(Games[[#This Row],[MOV]]&gt;0,1,IF(Games[[#This Row],[MOV]]=0,0.5,0))</f>
        <v>0</v>
      </c>
      <c r="W8" s="4">
        <f>((ABS(Games[[#This Row],[MOV]])+5)^0.6)/(12+0.01*(ABS(Games[[#This Row],[PreGmRate]]-Games[[#This Row],[OppPreGmRate]])))*IF(Games[[#This Row],[OT]]=1,0.9,1)</f>
        <v>0.50094537807620187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" s="9">
        <f>MAX(kmin, kmax - 0.15 * MIN(Games[[#This Row],[GamesPlayed]], 82))</f>
        <v>75.849999999999994</v>
      </c>
      <c r="Z8" s="4">
        <f>Games[[#This Row],[K]]*Games[[#This Row],[POMult]]</f>
        <v>75.849999999999994</v>
      </c>
      <c r="AA8" s="4">
        <f>(Games[[#This Row],[Keff]]*Games[[#This Row],[MOVMult]])*(Games[[#This Row],[Result]]-Games[[#This Row],[ExpectedWin%]])</f>
        <v>-12.47530728805037</v>
      </c>
      <c r="AB8" s="4">
        <f>Games[[#This Row],[PreGmRate]]+Games[[#This Row],[RatingChange]]</f>
        <v>1471.7514366713626</v>
      </c>
      <c r="AC8" s="2">
        <f>IF(Games[[#This Row],[Type]]="R",IF(Games[[#This Row],[Result]]&gt;0.5,1,0),0)</f>
        <v>0</v>
      </c>
      <c r="AD8" s="2">
        <f>IF(Games[[#This Row],[Type]]="R",IF(Games[[#This Row],[Result]]&lt;0.5,1,0),0)</f>
        <v>1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45065</v>
      </c>
      <c r="B9" s="2">
        <v>2023</v>
      </c>
      <c r="C9" s="2">
        <f>COUNTIFS(Games[Team],Games[[#This Row],[Team]],Games[Season],Games[[#This Row],[Season]],Games[Date],"&lt;=" &amp; Games[[#This Row],[Date]])</f>
        <v>1</v>
      </c>
      <c r="D9" s="2" t="s">
        <v>79</v>
      </c>
      <c r="E9" s="2" t="s">
        <v>80</v>
      </c>
      <c r="F9" s="1" t="s">
        <v>65</v>
      </c>
      <c r="G9" s="1" t="s">
        <v>60</v>
      </c>
      <c r="H9" s="1" t="s">
        <v>82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0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" s="2">
        <f>Games[[#This Row],[DaysOff]]-Games[[#This Row],[OppDaysOff]]</f>
        <v>0</v>
      </c>
      <c r="L9" s="2">
        <f>Games[[#This Row],[OppDaysOff]]-Games[[#This Row],[DaysOff]]</f>
        <v>0</v>
      </c>
      <c r="M9" s="1">
        <f>MAX(-16, MIN(16, Games[[#This Row],[RestDiff]]*8))</f>
        <v>0</v>
      </c>
      <c r="N9" s="1">
        <f>MAX(-16, MIN(16, Games[[#This Row],[OppRestDiff]]*8))</f>
        <v>0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1524.5680384978327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1484.2267439594129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0.67167398711704318</v>
      </c>
      <c r="R9" s="1">
        <v>80</v>
      </c>
      <c r="S9" s="1">
        <v>64</v>
      </c>
      <c r="T9" s="1">
        <v>0</v>
      </c>
      <c r="U9" s="1">
        <f>Games[[#This Row],[PointsFor]]-Games[[#This Row],[PointsAgainst]]</f>
        <v>16</v>
      </c>
      <c r="V9" s="1">
        <f>IF(Games[[#This Row],[MOV]]&gt;0,1,IF(Games[[#This Row],[MOV]]=0,0.5,0))</f>
        <v>1</v>
      </c>
      <c r="W9" s="4">
        <f>((ABS(Games[[#This Row],[MOV]])+5)^0.6)/(12+0.01*(ABS(Games[[#This Row],[PreGmRate]]-Games[[#This Row],[OppPreGmRate]])))*IF(Games[[#This Row],[OT]]=1,0.9,1)</f>
        <v>0.50094537807620187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12.475307288050372</v>
      </c>
      <c r="AB9" s="4">
        <f>Games[[#This Row],[PreGmRate]]+Games[[#This Row],[RatingChange]]</f>
        <v>1537.043345785883</v>
      </c>
      <c r="AC9" s="2">
        <f>IF(Games[[#This Row],[Type]]="R",IF(Games[[#This Row],[Result]]&gt;0.5,1,0),0)</f>
        <v>1</v>
      </c>
      <c r="AD9" s="2">
        <f>IF(Games[[#This Row],[Type]]="R",IF(Games[[#This Row],[Result]]&lt;0.5,1,0),0)</f>
        <v>0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45066</v>
      </c>
      <c r="B10" s="2">
        <v>2023</v>
      </c>
      <c r="C10" s="2">
        <f>COUNTIFS(Games[Team],Games[[#This Row],[Team]],Games[Season],Games[[#This Row],[Season]],Games[Date],"&lt;=" &amp; Games[[#This Row],[Date]])</f>
        <v>1</v>
      </c>
      <c r="D10" s="2" t="s">
        <v>79</v>
      </c>
      <c r="E10" s="2" t="s">
        <v>80</v>
      </c>
      <c r="F10" s="1" t="s">
        <v>77</v>
      </c>
      <c r="G10" s="1" t="s">
        <v>85</v>
      </c>
      <c r="H10" s="1" t="s">
        <v>81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" s="2">
        <f>Games[[#This Row],[DaysOff]]-Games[[#This Row],[OppDaysOff]]</f>
        <v>0</v>
      </c>
      <c r="L10" s="2">
        <f>Games[[#This Row],[OppDaysOff]]-Games[[#This Row],[DaysOff]]</f>
        <v>0</v>
      </c>
      <c r="M10" s="1">
        <f>MAX(-16, MIN(16, Games[[#This Row],[RestDiff]]*8))</f>
        <v>0</v>
      </c>
      <c r="N10" s="1">
        <f>MAX(-16, MIN(16, Games[[#This Row],[OppRestDiff]]*8))</f>
        <v>0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1441.309509341892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1496.619691041649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0.30961199754722335</v>
      </c>
      <c r="R10" s="1">
        <v>78</v>
      </c>
      <c r="S10" s="1">
        <v>85</v>
      </c>
      <c r="T10" s="1">
        <v>0</v>
      </c>
      <c r="U10" s="1">
        <f>Games[[#This Row],[PointsFor]]-Games[[#This Row],[PointsAgainst]]</f>
        <v>-7</v>
      </c>
      <c r="V10" s="1">
        <f>IF(Games[[#This Row],[MOV]]&gt;0,1,IF(Games[[#This Row],[MOV]]=0,0.5,0))</f>
        <v>0</v>
      </c>
      <c r="W10" s="4">
        <f>((ABS(Games[[#This Row],[MOV]])+5)^0.6)/(12+0.01*(ABS(Games[[#This Row],[PreGmRate]]-Games[[#This Row],[OppPreGmRate]])))*IF(Games[[#This Row],[OT]]=1,0.9,1)</f>
        <v>0.35379989221724473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" s="9">
        <f>MAX(kmin, kmax - 0.15 * MIN(Games[[#This Row],[GamesPlayed]], 82))</f>
        <v>75.849999999999994</v>
      </c>
      <c r="Z10" s="4">
        <f>Games[[#This Row],[K]]*Games[[#This Row],[POMult]]</f>
        <v>75.849999999999994</v>
      </c>
      <c r="AA10" s="4">
        <f>(Games[[#This Row],[Keff]]*Games[[#This Row],[MOVMult]])*(Games[[#This Row],[Result]]-Games[[#This Row],[ExpectedWin%]])</f>
        <v>-8.3086614397601757</v>
      </c>
      <c r="AB10" s="4">
        <f>Games[[#This Row],[PreGmRate]]+Games[[#This Row],[RatingChange]]</f>
        <v>1433.0008479021317</v>
      </c>
      <c r="AC10" s="2">
        <f>IF(Games[[#This Row],[Type]]="R",IF(Games[[#This Row],[Result]]&gt;0.5,1,0),0)</f>
        <v>0</v>
      </c>
      <c r="AD10" s="2">
        <f>IF(Games[[#This Row],[Type]]="R",IF(Games[[#This Row],[Result]]&lt;0.5,1,0),0)</f>
        <v>1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45066</v>
      </c>
      <c r="B11" s="2">
        <v>2023</v>
      </c>
      <c r="C11" s="2">
        <f>COUNTIFS(Games[Team],Games[[#This Row],[Team]],Games[Season],Games[[#This Row],[Season]],Games[Date],"&lt;=" &amp; Games[[#This Row],[Date]])</f>
        <v>1</v>
      </c>
      <c r="D11" s="2" t="s">
        <v>79</v>
      </c>
      <c r="E11" s="2" t="s">
        <v>80</v>
      </c>
      <c r="F11" s="1" t="s">
        <v>85</v>
      </c>
      <c r="G11" s="1" t="s">
        <v>77</v>
      </c>
      <c r="H11" s="1" t="s">
        <v>82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" s="2">
        <f>Games[[#This Row],[DaysOff]]-Games[[#This Row],[OppDaysOff]]</f>
        <v>0</v>
      </c>
      <c r="L11" s="2">
        <f>Games[[#This Row],[OppDaysOff]]-Games[[#This Row],[DaysOff]]</f>
        <v>0</v>
      </c>
      <c r="M11" s="1">
        <f>MAX(-16, MIN(16, Games[[#This Row],[RestDiff]]*8))</f>
        <v>0</v>
      </c>
      <c r="N11" s="1">
        <f>MAX(-16, MIN(16, Games[[#This Row],[OppRestDiff]]*8))</f>
        <v>0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1496.619691041649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1441.309509341892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0.69038800245277665</v>
      </c>
      <c r="R11" s="1">
        <v>85</v>
      </c>
      <c r="S11" s="1">
        <v>78</v>
      </c>
      <c r="T11" s="1">
        <v>0</v>
      </c>
      <c r="U11" s="1">
        <f>Games[[#This Row],[PointsFor]]-Games[[#This Row],[PointsAgainst]]</f>
        <v>7</v>
      </c>
      <c r="V11" s="1">
        <f>IF(Games[[#This Row],[MOV]]&gt;0,1,IF(Games[[#This Row],[MOV]]=0,0.5,0))</f>
        <v>1</v>
      </c>
      <c r="W11" s="4">
        <f>((ABS(Games[[#This Row],[MOV]])+5)^0.6)/(12+0.01*(ABS(Games[[#This Row],[PreGmRate]]-Games[[#This Row],[OppPreGmRate]])))*IF(Games[[#This Row],[OT]]=1,0.9,1)</f>
        <v>0.35379989221724473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" s="9">
        <f>MAX(kmin, kmax - 0.15 * MIN(Games[[#This Row],[GamesPlayed]], 82))</f>
        <v>75.849999999999994</v>
      </c>
      <c r="Z11" s="4">
        <f>Games[[#This Row],[K]]*Games[[#This Row],[POMult]]</f>
        <v>75.849999999999994</v>
      </c>
      <c r="AA11" s="4">
        <f>(Games[[#This Row],[Keff]]*Games[[#This Row],[MOVMult]])*(Games[[#This Row],[Result]]-Games[[#This Row],[ExpectedWin%]])</f>
        <v>8.3086614397601757</v>
      </c>
      <c r="AB11" s="4">
        <f>Games[[#This Row],[PreGmRate]]+Games[[#This Row],[RatingChange]]</f>
        <v>1504.9283524814093</v>
      </c>
      <c r="AC11" s="2">
        <f>IF(Games[[#This Row],[Type]]="R",IF(Games[[#This Row],[Result]]&gt;0.5,1,0),0)</f>
        <v>1</v>
      </c>
      <c r="AD11" s="2">
        <f>IF(Games[[#This Row],[Type]]="R",IF(Games[[#This Row],[Result]]&lt;0.5,1,0),0)</f>
        <v>0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45066</v>
      </c>
      <c r="B12" s="2">
        <v>2023</v>
      </c>
      <c r="C12" s="2">
        <f>COUNTIFS(Games[Team],Games[[#This Row],[Team]],Games[Season],Games[[#This Row],[Season]],Games[Date],"&lt;=" &amp; Games[[#This Row],[Date]])</f>
        <v>1</v>
      </c>
      <c r="D12" s="2" t="s">
        <v>79</v>
      </c>
      <c r="E12" s="2" t="s">
        <v>80</v>
      </c>
      <c r="F12" s="1" t="s">
        <v>86</v>
      </c>
      <c r="G12" s="1" t="s">
        <v>71</v>
      </c>
      <c r="H12" s="1" t="s">
        <v>81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" s="2">
        <f>Games[[#This Row],[DaysOff]]-Games[[#This Row],[OppDaysOff]]</f>
        <v>0</v>
      </c>
      <c r="L12" s="2">
        <f>Games[[#This Row],[OppDaysOff]]-Games[[#This Row],[DaysOff]]</f>
        <v>0</v>
      </c>
      <c r="M12" s="1">
        <f>MAX(-16, MIN(16, Games[[#This Row],[RestDiff]]*8))</f>
        <v>0</v>
      </c>
      <c r="N12" s="1">
        <f>MAX(-16, MIN(16, Games[[#This Row],[OppRestDiff]]*8))</f>
        <v>0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1608.4031768872192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1549.1601478665398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0.46443203272756411</v>
      </c>
      <c r="R12" s="1">
        <v>105</v>
      </c>
      <c r="S12" s="1">
        <v>64</v>
      </c>
      <c r="T12" s="1">
        <v>0</v>
      </c>
      <c r="U12" s="1">
        <f>Games[[#This Row],[PointsFor]]-Games[[#This Row],[PointsAgainst]]</f>
        <v>41</v>
      </c>
      <c r="V12" s="1">
        <f>IF(Games[[#This Row],[MOV]]&gt;0,1,IF(Games[[#This Row],[MOV]]=0,0.5,0))</f>
        <v>1</v>
      </c>
      <c r="W12" s="4">
        <f>((ABS(Games[[#This Row],[MOV]])+5)^0.6)/(12+0.01*(ABS(Games[[#This Row],[PreGmRate]]-Games[[#This Row],[OppPreGmRate]])))*IF(Games[[#This Row],[OT]]=1,0.9,1)</f>
        <v>0.78985094786522869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" s="9">
        <f>MAX(kmin, kmax - 0.15 * MIN(Games[[#This Row],[GamesPlayed]], 82))</f>
        <v>75.849999999999994</v>
      </c>
      <c r="Z12" s="4">
        <f>Games[[#This Row],[K]]*Games[[#This Row],[POMult]]</f>
        <v>75.849999999999994</v>
      </c>
      <c r="AA12" s="4">
        <f>(Games[[#This Row],[Keff]]*Games[[#This Row],[MOVMult]])*(Games[[#This Row],[Result]]-Games[[#This Row],[ExpectedWin%]])</f>
        <v>32.085981031335969</v>
      </c>
      <c r="AB12" s="4">
        <f>Games[[#This Row],[PreGmRate]]+Games[[#This Row],[RatingChange]]</f>
        <v>1640.4891579185551</v>
      </c>
      <c r="AC12" s="2">
        <f>IF(Games[[#This Row],[Type]]="R",IF(Games[[#This Row],[Result]]&gt;0.5,1,0),0)</f>
        <v>1</v>
      </c>
      <c r="AD12" s="2">
        <f>IF(Games[[#This Row],[Type]]="R",IF(Games[[#This Row],[Result]]&lt;0.5,1,0),0)</f>
        <v>0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45066</v>
      </c>
      <c r="B13" s="2">
        <v>2023</v>
      </c>
      <c r="C13" s="2">
        <f>COUNTIFS(Games[Team],Games[[#This Row],[Team]],Games[Season],Games[[#This Row],[Season]],Games[Date],"&lt;=" &amp; Games[[#This Row],[Date]])</f>
        <v>1</v>
      </c>
      <c r="D13" s="2" t="s">
        <v>79</v>
      </c>
      <c r="E13" s="2" t="s">
        <v>80</v>
      </c>
      <c r="F13" s="1" t="s">
        <v>71</v>
      </c>
      <c r="G13" s="1" t="s">
        <v>86</v>
      </c>
      <c r="H13" s="1" t="s">
        <v>82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" s="2">
        <f>Games[[#This Row],[DaysOff]]-Games[[#This Row],[OppDaysOff]]</f>
        <v>0</v>
      </c>
      <c r="L13" s="2">
        <f>Games[[#This Row],[OppDaysOff]]-Games[[#This Row],[DaysOff]]</f>
        <v>0</v>
      </c>
      <c r="M13" s="1">
        <f>MAX(-16, MIN(16, Games[[#This Row],[RestDiff]]*8))</f>
        <v>0</v>
      </c>
      <c r="N13" s="1">
        <f>MAX(-16, MIN(16, Games[[#This Row],[OppRestDiff]]*8))</f>
        <v>0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1549.1601478665398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1608.4031768872192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0.53556796727243583</v>
      </c>
      <c r="R13" s="1">
        <v>64</v>
      </c>
      <c r="S13" s="1">
        <v>105</v>
      </c>
      <c r="T13" s="1">
        <v>0</v>
      </c>
      <c r="U13" s="1">
        <f>Games[[#This Row],[PointsFor]]-Games[[#This Row],[PointsAgainst]]</f>
        <v>-41</v>
      </c>
      <c r="V13" s="1">
        <f>IF(Games[[#This Row],[MOV]]&gt;0,1,IF(Games[[#This Row],[MOV]]=0,0.5,0))</f>
        <v>0</v>
      </c>
      <c r="W13" s="4">
        <f>((ABS(Games[[#This Row],[MOV]])+5)^0.6)/(12+0.01*(ABS(Games[[#This Row],[PreGmRate]]-Games[[#This Row],[OppPreGmRate]])))*IF(Games[[#This Row],[OT]]=1,0.9,1)</f>
        <v>0.78985094786522869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" s="9">
        <f>MAX(kmin, kmax - 0.15 * MIN(Games[[#This Row],[GamesPlayed]], 82))</f>
        <v>75.849999999999994</v>
      </c>
      <c r="Z13" s="4">
        <f>Games[[#This Row],[K]]*Games[[#This Row],[POMult]]</f>
        <v>75.849999999999994</v>
      </c>
      <c r="AA13" s="4">
        <f>(Games[[#This Row],[Keff]]*Games[[#This Row],[MOVMult]])*(Games[[#This Row],[Result]]-Games[[#This Row],[ExpectedWin%]])</f>
        <v>-32.085981031335969</v>
      </c>
      <c r="AB13" s="4">
        <f>Games[[#This Row],[PreGmRate]]+Games[[#This Row],[RatingChange]]</f>
        <v>1517.0741668352039</v>
      </c>
      <c r="AC13" s="2">
        <f>IF(Games[[#This Row],[Type]]="R",IF(Games[[#This Row],[Result]]&gt;0.5,1,0),0)</f>
        <v>0</v>
      </c>
      <c r="AD13" s="2">
        <f>IF(Games[[#This Row],[Type]]="R",IF(Games[[#This Row],[Result]]&lt;0.5,1,0),0)</f>
        <v>1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45067</v>
      </c>
      <c r="B14" s="2">
        <v>2023</v>
      </c>
      <c r="C14" s="2">
        <f>COUNTIFS(Games[Team],Games[[#This Row],[Team]],Games[Season],Games[[#This Row],[Season]],Games[Date],"&lt;=" &amp; Games[[#This Row],[Date]])</f>
        <v>2</v>
      </c>
      <c r="D14" s="2" t="s">
        <v>79</v>
      </c>
      <c r="E14" s="2" t="s">
        <v>80</v>
      </c>
      <c r="F14" s="1" t="s">
        <v>65</v>
      </c>
      <c r="G14" s="1" t="s">
        <v>74</v>
      </c>
      <c r="H14" s="1" t="s">
        <v>81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" s="2">
        <f>Games[[#This Row],[DaysOff]]-Games[[#This Row],[OppDaysOff]]</f>
        <v>0</v>
      </c>
      <c r="L14" s="2">
        <f>Games[[#This Row],[OppDaysOff]]-Games[[#This Row],[DaysOff]]</f>
        <v>0</v>
      </c>
      <c r="M14" s="1">
        <f>MAX(-16, MIN(16, Games[[#This Row],[RestDiff]]*8))</f>
        <v>0</v>
      </c>
      <c r="N14" s="1">
        <f>MAX(-16, MIN(16, Games[[#This Row],[OppRestDiff]]*8))</f>
        <v>0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1537.043345785883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1593.3183132874899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0.30842612630788901</v>
      </c>
      <c r="R14" s="1">
        <v>74</v>
      </c>
      <c r="S14" s="1">
        <v>80</v>
      </c>
      <c r="T14" s="1">
        <v>0</v>
      </c>
      <c r="U14" s="1">
        <f>Games[[#This Row],[PointsFor]]-Games[[#This Row],[PointsAgainst]]</f>
        <v>-6</v>
      </c>
      <c r="V14" s="1">
        <f>IF(Games[[#This Row],[MOV]]&gt;0,1,IF(Games[[#This Row],[MOV]]=0,0.5,0))</f>
        <v>0</v>
      </c>
      <c r="W14" s="4">
        <f>((ABS(Games[[#This Row],[MOV]])+5)^0.6)/(12+0.01*(ABS(Games[[#This Row],[PreGmRate]]-Games[[#This Row],[OppPreGmRate]])))*IF(Games[[#This Row],[OT]]=1,0.9,1)</f>
        <v>0.33554510295426299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" s="9">
        <f>MAX(kmin, kmax - 0.15 * MIN(Games[[#This Row],[GamesPlayed]], 82))</f>
        <v>75.7</v>
      </c>
      <c r="Z14" s="4">
        <f>Games[[#This Row],[K]]*Games[[#This Row],[POMult]]</f>
        <v>75.7</v>
      </c>
      <c r="AA14" s="4">
        <f>(Games[[#This Row],[Keff]]*Games[[#This Row],[MOVMult]])*(Games[[#This Row],[Result]]-Games[[#This Row],[ExpectedWin%]])</f>
        <v>-7.8342593363464221</v>
      </c>
      <c r="AB14" s="4">
        <f>Games[[#This Row],[PreGmRate]]+Games[[#This Row],[RatingChange]]</f>
        <v>1529.2090864495367</v>
      </c>
      <c r="AC14" s="2">
        <f>IF(Games[[#This Row],[Type]]="R",IF(Games[[#This Row],[Result]]&gt;0.5,1,0),0)</f>
        <v>0</v>
      </c>
      <c r="AD14" s="2">
        <f>IF(Games[[#This Row],[Type]]="R",IF(Games[[#This Row],[Result]]&lt;0.5,1,0),0)</f>
        <v>1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45067</v>
      </c>
      <c r="B15" s="2">
        <v>2023</v>
      </c>
      <c r="C15" s="2">
        <f>COUNTIFS(Games[Team],Games[[#This Row],[Team]],Games[Season],Games[[#This Row],[Season]],Games[Date],"&lt;=" &amp; Games[[#This Row],[Date]])</f>
        <v>2</v>
      </c>
      <c r="D15" s="2" t="s">
        <v>79</v>
      </c>
      <c r="E15" s="2" t="s">
        <v>80</v>
      </c>
      <c r="F15" s="1" t="s">
        <v>74</v>
      </c>
      <c r="G15" s="1" t="s">
        <v>65</v>
      </c>
      <c r="H15" s="1" t="s">
        <v>82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" s="2">
        <f>Games[[#This Row],[DaysOff]]-Games[[#This Row],[OppDaysOff]]</f>
        <v>0</v>
      </c>
      <c r="L15" s="2">
        <f>Games[[#This Row],[OppDaysOff]]-Games[[#This Row],[DaysOff]]</f>
        <v>0</v>
      </c>
      <c r="M15" s="1">
        <f>MAX(-16, MIN(16, Games[[#This Row],[RestDiff]]*8))</f>
        <v>0</v>
      </c>
      <c r="N15" s="1">
        <f>MAX(-16, MIN(16, Games[[#This Row],[OppRestDiff]]*8))</f>
        <v>0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1593.3183132874899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1537.043345785883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0.69157387369211087</v>
      </c>
      <c r="R15" s="1">
        <v>80</v>
      </c>
      <c r="S15" s="1">
        <v>74</v>
      </c>
      <c r="T15" s="1">
        <v>0</v>
      </c>
      <c r="U15" s="1">
        <f>Games[[#This Row],[PointsFor]]-Games[[#This Row],[PointsAgainst]]</f>
        <v>6</v>
      </c>
      <c r="V15" s="1">
        <f>IF(Games[[#This Row],[MOV]]&gt;0,1,IF(Games[[#This Row],[MOV]]=0,0.5,0))</f>
        <v>1</v>
      </c>
      <c r="W15" s="4">
        <f>((ABS(Games[[#This Row],[MOV]])+5)^0.6)/(12+0.01*(ABS(Games[[#This Row],[PreGmRate]]-Games[[#This Row],[OppPreGmRate]])))*IF(Games[[#This Row],[OT]]=1,0.9,1)</f>
        <v>0.33554510295426299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" s="9">
        <f>MAX(kmin, kmax - 0.15 * MIN(Games[[#This Row],[GamesPlayed]], 82))</f>
        <v>75.7</v>
      </c>
      <c r="Z15" s="4">
        <f>Games[[#This Row],[K]]*Games[[#This Row],[POMult]]</f>
        <v>75.7</v>
      </c>
      <c r="AA15" s="4">
        <f>(Games[[#This Row],[Keff]]*Games[[#This Row],[MOVMult]])*(Games[[#This Row],[Result]]-Games[[#This Row],[ExpectedWin%]])</f>
        <v>7.8342593363464248</v>
      </c>
      <c r="AB15" s="4">
        <f>Games[[#This Row],[PreGmRate]]+Games[[#This Row],[RatingChange]]</f>
        <v>1601.1525726238362</v>
      </c>
      <c r="AC15" s="2">
        <f>IF(Games[[#This Row],[Type]]="R",IF(Games[[#This Row],[Result]]&gt;0.5,1,0),0)</f>
        <v>1</v>
      </c>
      <c r="AD15" s="2">
        <f>IF(Games[[#This Row],[Type]]="R",IF(Games[[#This Row],[Result]]&lt;0.5,1,0),0)</f>
        <v>0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45067</v>
      </c>
      <c r="B16" s="2">
        <v>2023</v>
      </c>
      <c r="C16" s="2">
        <f>COUNTIFS(Games[Team],Games[[#This Row],[Team]],Games[Season],Games[[#This Row],[Season]],Games[Date],"&lt;=" &amp; Games[[#This Row],[Date]])</f>
        <v>2</v>
      </c>
      <c r="D16" s="2" t="s">
        <v>79</v>
      </c>
      <c r="E16" s="2" t="s">
        <v>80</v>
      </c>
      <c r="F16" s="1" t="s">
        <v>69</v>
      </c>
      <c r="G16" s="1" t="s">
        <v>60</v>
      </c>
      <c r="H16" s="1" t="s">
        <v>81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" s="2">
        <f>Games[[#This Row],[DaysOff]]-Games[[#This Row],[OppDaysOff]]</f>
        <v>0</v>
      </c>
      <c r="L16" s="2">
        <f>Games[[#This Row],[OppDaysOff]]-Games[[#This Row],[DaysOff]]</f>
        <v>0</v>
      </c>
      <c r="M16" s="1">
        <f>MAX(-16, MIN(16, Games[[#This Row],[RestDiff]]*8))</f>
        <v>0</v>
      </c>
      <c r="N16" s="1">
        <f>MAX(-16, MIN(16, Games[[#This Row],[OppRestDiff]]*8))</f>
        <v>0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1355.0468246832952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1471.7514366713626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0.23951349239004713</v>
      </c>
      <c r="R16" s="1">
        <v>73</v>
      </c>
      <c r="S16" s="1">
        <v>90</v>
      </c>
      <c r="T16" s="1">
        <v>0</v>
      </c>
      <c r="U16" s="1">
        <f>Games[[#This Row],[PointsFor]]-Games[[#This Row],[PointsAgainst]]</f>
        <v>-17</v>
      </c>
      <c r="V16" s="1">
        <f>IF(Games[[#This Row],[MOV]]&gt;0,1,IF(Games[[#This Row],[MOV]]=0,0.5,0))</f>
        <v>0</v>
      </c>
      <c r="W16" s="4">
        <f>((ABS(Games[[#This Row],[MOV]])+5)^0.6)/(12+0.01*(ABS(Games[[#This Row],[PreGmRate]]-Games[[#This Row],[OppPreGmRate]])))*IF(Games[[#This Row],[OT]]=1,0.9,1)</f>
        <v>0.48524967337487163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" s="9">
        <f>MAX(kmin, kmax - 0.15 * MIN(Games[[#This Row],[GamesPlayed]], 82))</f>
        <v>75.7</v>
      </c>
      <c r="Z16" s="4">
        <f>Games[[#This Row],[K]]*Games[[#This Row],[POMult]]</f>
        <v>75.7</v>
      </c>
      <c r="AA16" s="4">
        <f>(Games[[#This Row],[Keff]]*Games[[#This Row],[MOVMult]])*(Games[[#This Row],[Result]]-Games[[#This Row],[ExpectedWin%]])</f>
        <v>-8.7981449871016881</v>
      </c>
      <c r="AB16" s="4">
        <f>Games[[#This Row],[PreGmRate]]+Games[[#This Row],[RatingChange]]</f>
        <v>1346.2486796961934</v>
      </c>
      <c r="AC16" s="2">
        <f>IF(Games[[#This Row],[Type]]="R",IF(Games[[#This Row],[Result]]&gt;0.5,1,0),0)</f>
        <v>0</v>
      </c>
      <c r="AD16" s="2">
        <f>IF(Games[[#This Row],[Type]]="R",IF(Games[[#This Row],[Result]]&lt;0.5,1,0),0)</f>
        <v>1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45067</v>
      </c>
      <c r="B17" s="2">
        <v>2023</v>
      </c>
      <c r="C17" s="2">
        <f>COUNTIFS(Games[Team],Games[[#This Row],[Team]],Games[Season],Games[[#This Row],[Season]],Games[Date],"&lt;=" &amp; Games[[#This Row],[Date]])</f>
        <v>2</v>
      </c>
      <c r="D17" s="2" t="s">
        <v>79</v>
      </c>
      <c r="E17" s="2" t="s">
        <v>80</v>
      </c>
      <c r="F17" s="1" t="s">
        <v>60</v>
      </c>
      <c r="G17" s="1" t="s">
        <v>69</v>
      </c>
      <c r="H17" s="1" t="s">
        <v>82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" s="2">
        <f>Games[[#This Row],[DaysOff]]-Games[[#This Row],[OppDaysOff]]</f>
        <v>0</v>
      </c>
      <c r="L17" s="2">
        <f>Games[[#This Row],[OppDaysOff]]-Games[[#This Row],[DaysOff]]</f>
        <v>0</v>
      </c>
      <c r="M17" s="1">
        <f>MAX(-16, MIN(16, Games[[#This Row],[RestDiff]]*8))</f>
        <v>0</v>
      </c>
      <c r="N17" s="1">
        <f>MAX(-16, MIN(16, Games[[#This Row],[OppRestDiff]]*8))</f>
        <v>0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1471.7514366713626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1355.0468246832952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0.76048650760995284</v>
      </c>
      <c r="R17" s="1">
        <v>90</v>
      </c>
      <c r="S17" s="1">
        <v>73</v>
      </c>
      <c r="T17" s="1">
        <v>0</v>
      </c>
      <c r="U17" s="1">
        <f>Games[[#This Row],[PointsFor]]-Games[[#This Row],[PointsAgainst]]</f>
        <v>17</v>
      </c>
      <c r="V17" s="1">
        <f>IF(Games[[#This Row],[MOV]]&gt;0,1,IF(Games[[#This Row],[MOV]]=0,0.5,0))</f>
        <v>1</v>
      </c>
      <c r="W17" s="4">
        <f>((ABS(Games[[#This Row],[MOV]])+5)^0.6)/(12+0.01*(ABS(Games[[#This Row],[PreGmRate]]-Games[[#This Row],[OppPreGmRate]])))*IF(Games[[#This Row],[OT]]=1,0.9,1)</f>
        <v>0.48524967337487163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" s="9">
        <f>MAX(kmin, kmax - 0.15 * MIN(Games[[#This Row],[GamesPlayed]], 82))</f>
        <v>75.7</v>
      </c>
      <c r="Z17" s="4">
        <f>Games[[#This Row],[K]]*Games[[#This Row],[POMult]]</f>
        <v>75.7</v>
      </c>
      <c r="AA17" s="4">
        <f>(Games[[#This Row],[Keff]]*Games[[#This Row],[MOVMult]])*(Games[[#This Row],[Result]]-Games[[#This Row],[ExpectedWin%]])</f>
        <v>8.7981449871016899</v>
      </c>
      <c r="AB17" s="4">
        <f>Games[[#This Row],[PreGmRate]]+Games[[#This Row],[RatingChange]]</f>
        <v>1480.5495816584644</v>
      </c>
      <c r="AC17" s="2">
        <f>IF(Games[[#This Row],[Type]]="R",IF(Games[[#This Row],[Result]]&gt;0.5,1,0),0)</f>
        <v>1</v>
      </c>
      <c r="AD17" s="2">
        <f>IF(Games[[#This Row],[Type]]="R",IF(Games[[#This Row],[Result]]&lt;0.5,1,0),0)</f>
        <v>0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45067</v>
      </c>
      <c r="B18" s="2">
        <v>2023</v>
      </c>
      <c r="C18" s="2">
        <f>COUNTIFS(Games[Team],Games[[#This Row],[Team]],Games[Season],Games[[#This Row],[Season]],Games[Date],"&lt;=" &amp; Games[[#This Row],[Date]])</f>
        <v>2</v>
      </c>
      <c r="D18" s="2" t="s">
        <v>79</v>
      </c>
      <c r="E18" s="2" t="s">
        <v>80</v>
      </c>
      <c r="F18" s="1" t="s">
        <v>75</v>
      </c>
      <c r="G18" s="1" t="s">
        <v>40</v>
      </c>
      <c r="H18" s="1" t="s">
        <v>81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" s="2">
        <f>Games[[#This Row],[DaysOff]]-Games[[#This Row],[OppDaysOff]]</f>
        <v>0</v>
      </c>
      <c r="L18" s="2">
        <f>Games[[#This Row],[OppDaysOff]]-Games[[#This Row],[DaysOff]]</f>
        <v>0</v>
      </c>
      <c r="M18" s="1">
        <f>MAX(-16, MIN(16, Games[[#This Row],[RestDiff]]*8))</f>
        <v>0</v>
      </c>
      <c r="N18" s="1">
        <f>MAX(-16, MIN(16, Games[[#This Row],[OppRestDiff]]*8))</f>
        <v>0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1577.2791683592388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1448.058503879932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0.56471275811519872</v>
      </c>
      <c r="R18" s="1">
        <v>75</v>
      </c>
      <c r="S18" s="1">
        <v>69</v>
      </c>
      <c r="T18" s="1">
        <v>0</v>
      </c>
      <c r="U18" s="1">
        <f>Games[[#This Row],[PointsFor]]-Games[[#This Row],[PointsAgainst]]</f>
        <v>6</v>
      </c>
      <c r="V18" s="1">
        <f>IF(Games[[#This Row],[MOV]]&gt;0,1,IF(Games[[#This Row],[MOV]]=0,0.5,0))</f>
        <v>1</v>
      </c>
      <c r="W18" s="4">
        <f>((ABS(Games[[#This Row],[MOV]])+5)^0.6)/(12+0.01*(ABS(Games[[#This Row],[PreGmRate]]-Games[[#This Row],[OppPreGmRate]])))*IF(Games[[#This Row],[OT]]=1,0.9,1)</f>
        <v>0.3171308756882123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" s="9">
        <f>MAX(kmin, kmax - 0.15 * MIN(Games[[#This Row],[GamesPlayed]], 82))</f>
        <v>75.7</v>
      </c>
      <c r="Z18" s="4">
        <f>Games[[#This Row],[K]]*Games[[#This Row],[POMult]]</f>
        <v>75.7</v>
      </c>
      <c r="AA18" s="4">
        <f>(Games[[#This Row],[Keff]]*Games[[#This Row],[MOVMult]])*(Games[[#This Row],[Result]]-Games[[#This Row],[ExpectedWin%]])</f>
        <v>10.449856931548911</v>
      </c>
      <c r="AB18" s="4">
        <f>Games[[#This Row],[PreGmRate]]+Games[[#This Row],[RatingChange]]</f>
        <v>1587.7290252907878</v>
      </c>
      <c r="AC18" s="2">
        <f>IF(Games[[#This Row],[Type]]="R",IF(Games[[#This Row],[Result]]&gt;0.5,1,0),0)</f>
        <v>1</v>
      </c>
      <c r="AD18" s="2">
        <f>IF(Games[[#This Row],[Type]]="R",IF(Games[[#This Row],[Result]]&lt;0.5,1,0),0)</f>
        <v>0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45067</v>
      </c>
      <c r="B19" s="2">
        <v>2023</v>
      </c>
      <c r="C19" s="2">
        <f>COUNTIFS(Games[Team],Games[[#This Row],[Team]],Games[Season],Games[[#This Row],[Season]],Games[Date],"&lt;=" &amp; Games[[#This Row],[Date]])</f>
        <v>2</v>
      </c>
      <c r="D19" s="2" t="s">
        <v>79</v>
      </c>
      <c r="E19" s="2" t="s">
        <v>80</v>
      </c>
      <c r="F19" s="1" t="s">
        <v>40</v>
      </c>
      <c r="G19" s="1" t="s">
        <v>75</v>
      </c>
      <c r="H19" s="1" t="s">
        <v>82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" s="2">
        <f>Games[[#This Row],[DaysOff]]-Games[[#This Row],[OppDaysOff]]</f>
        <v>0</v>
      </c>
      <c r="L19" s="2">
        <f>Games[[#This Row],[OppDaysOff]]-Games[[#This Row],[DaysOff]]</f>
        <v>0</v>
      </c>
      <c r="M19" s="1">
        <f>MAX(-16, MIN(16, Games[[#This Row],[RestDiff]]*8))</f>
        <v>0</v>
      </c>
      <c r="N19" s="1">
        <f>MAX(-16, MIN(16, Games[[#This Row],[OppRestDiff]]*8))</f>
        <v>0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1448.058503879932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1577.2791683592388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0.43528724188480139</v>
      </c>
      <c r="R19" s="1">
        <v>69</v>
      </c>
      <c r="S19" s="1">
        <v>75</v>
      </c>
      <c r="T19" s="1">
        <v>0</v>
      </c>
      <c r="U19" s="1">
        <f>Games[[#This Row],[PointsFor]]-Games[[#This Row],[PointsAgainst]]</f>
        <v>-6</v>
      </c>
      <c r="V19" s="1">
        <f>IF(Games[[#This Row],[MOV]]&gt;0,1,IF(Games[[#This Row],[MOV]]=0,0.5,0))</f>
        <v>0</v>
      </c>
      <c r="W19" s="4">
        <f>((ABS(Games[[#This Row],[MOV]])+5)^0.6)/(12+0.01*(ABS(Games[[#This Row],[PreGmRate]]-Games[[#This Row],[OppPreGmRate]])))*IF(Games[[#This Row],[OT]]=1,0.9,1)</f>
        <v>0.3171308756882123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" s="9">
        <f>MAX(kmin, kmax - 0.15 * MIN(Games[[#This Row],[GamesPlayed]], 82))</f>
        <v>75.7</v>
      </c>
      <c r="Z19" s="4">
        <f>Games[[#This Row],[K]]*Games[[#This Row],[POMult]]</f>
        <v>75.7</v>
      </c>
      <c r="AA19" s="4">
        <f>(Games[[#This Row],[Keff]]*Games[[#This Row],[MOVMult]])*(Games[[#This Row],[Result]]-Games[[#This Row],[ExpectedWin%]])</f>
        <v>-10.449856931548915</v>
      </c>
      <c r="AB19" s="4">
        <f>Games[[#This Row],[PreGmRate]]+Games[[#This Row],[RatingChange]]</f>
        <v>1437.608646948383</v>
      </c>
      <c r="AC19" s="2">
        <f>IF(Games[[#This Row],[Type]]="R",IF(Games[[#This Row],[Result]]&gt;0.5,1,0),0)</f>
        <v>0</v>
      </c>
      <c r="AD19" s="2">
        <f>IF(Games[[#This Row],[Type]]="R",IF(Games[[#This Row],[Result]]&lt;0.5,1,0),0)</f>
        <v>1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45069</v>
      </c>
      <c r="B20" s="2">
        <v>2023</v>
      </c>
      <c r="C20" s="2">
        <f>COUNTIFS(Games[Team],Games[[#This Row],[Team]],Games[Season],Games[[#This Row],[Season]],Games[Date],"&lt;=" &amp; Games[[#This Row],[Date]])</f>
        <v>2</v>
      </c>
      <c r="D20" s="2" t="s">
        <v>79</v>
      </c>
      <c r="E20" s="2" t="s">
        <v>80</v>
      </c>
      <c r="F20" s="1" t="s">
        <v>77</v>
      </c>
      <c r="G20" s="1" t="s">
        <v>67</v>
      </c>
      <c r="H20" s="1" t="s">
        <v>81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" s="2">
        <f>Games[[#This Row],[DaysOff]]-Games[[#This Row],[OppDaysOff]]</f>
        <v>-1</v>
      </c>
      <c r="L20" s="2">
        <f>Games[[#This Row],[OppDaysOff]]-Games[[#This Row],[DaysOff]]</f>
        <v>1</v>
      </c>
      <c r="M20" s="1">
        <f>MAX(-16, MIN(16, Games[[#This Row],[RestDiff]]*8))</f>
        <v>-8</v>
      </c>
      <c r="N20" s="1">
        <f>MAX(-16, MIN(16, Games[[#This Row],[OppRestDiff]]*8))</f>
        <v>8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1433.0008479021317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1475.4604683039893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0.30575018167767981</v>
      </c>
      <c r="R20" s="1">
        <v>83</v>
      </c>
      <c r="S20" s="1">
        <v>77</v>
      </c>
      <c r="T20" s="1">
        <v>0</v>
      </c>
      <c r="U20" s="1">
        <f>Games[[#This Row],[PointsFor]]-Games[[#This Row],[PointsAgainst]]</f>
        <v>6</v>
      </c>
      <c r="V20" s="1">
        <f>IF(Games[[#This Row],[MOV]]&gt;0,1,IF(Games[[#This Row],[MOV]]=0,0.5,0))</f>
        <v>1</v>
      </c>
      <c r="W20" s="4">
        <f>((ABS(Games[[#This Row],[MOV]])+5)^0.6)/(12+0.01*(ABS(Games[[#This Row],[PreGmRate]]-Games[[#This Row],[OppPreGmRate]])))*IF(Games[[#This Row],[OT]]=1,0.9,1)</f>
        <v>0.33927614739934109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" s="9">
        <f>MAX(kmin, kmax - 0.15 * MIN(Games[[#This Row],[GamesPlayed]], 82))</f>
        <v>75.7</v>
      </c>
      <c r="Z20" s="4">
        <f>Games[[#This Row],[K]]*Games[[#This Row],[POMult]]</f>
        <v>75.7</v>
      </c>
      <c r="AA20" s="4">
        <f>(Games[[#This Row],[Keff]]*Games[[#This Row],[MOVMult]])*(Games[[#This Row],[Result]]-Games[[#This Row],[ExpectedWin%]])</f>
        <v>17.830559959566862</v>
      </c>
      <c r="AB20" s="4">
        <f>Games[[#This Row],[PreGmRate]]+Games[[#This Row],[RatingChange]]</f>
        <v>1450.8314078616986</v>
      </c>
      <c r="AC20" s="2">
        <f>IF(Games[[#This Row],[Type]]="R",IF(Games[[#This Row],[Result]]&gt;0.5,1,0),0)</f>
        <v>1</v>
      </c>
      <c r="AD20" s="2">
        <f>IF(Games[[#This Row],[Type]]="R",IF(Games[[#This Row],[Result]]&lt;0.5,1,0),0)</f>
        <v>0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45069</v>
      </c>
      <c r="B21" s="2">
        <v>2023</v>
      </c>
      <c r="C21" s="2">
        <f>COUNTIFS(Games[Team],Games[[#This Row],[Team]],Games[Season],Games[[#This Row],[Season]],Games[Date],"&lt;=" &amp; Games[[#This Row],[Date]])</f>
        <v>2</v>
      </c>
      <c r="D21" s="2" t="s">
        <v>79</v>
      </c>
      <c r="E21" s="2" t="s">
        <v>80</v>
      </c>
      <c r="F21" s="1" t="s">
        <v>67</v>
      </c>
      <c r="G21" s="1" t="s">
        <v>77</v>
      </c>
      <c r="H21" s="1" t="s">
        <v>82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" s="2">
        <f>Games[[#This Row],[DaysOff]]-Games[[#This Row],[OppDaysOff]]</f>
        <v>1</v>
      </c>
      <c r="L21" s="2">
        <f>Games[[#This Row],[OppDaysOff]]-Games[[#This Row],[DaysOff]]</f>
        <v>-1</v>
      </c>
      <c r="M21" s="1">
        <f>MAX(-16, MIN(16, Games[[#This Row],[RestDiff]]*8))</f>
        <v>8</v>
      </c>
      <c r="N21" s="1">
        <f>MAX(-16, MIN(16, Games[[#This Row],[OppRestDiff]]*8))</f>
        <v>-8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1475.4604683039893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1433.0008479021317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0.69424981832232024</v>
      </c>
      <c r="R21" s="1">
        <v>77</v>
      </c>
      <c r="S21" s="1">
        <v>83</v>
      </c>
      <c r="T21" s="1">
        <v>0</v>
      </c>
      <c r="U21" s="1">
        <f>Games[[#This Row],[PointsFor]]-Games[[#This Row],[PointsAgainst]]</f>
        <v>-6</v>
      </c>
      <c r="V21" s="1">
        <f>IF(Games[[#This Row],[MOV]]&gt;0,1,IF(Games[[#This Row],[MOV]]=0,0.5,0))</f>
        <v>0</v>
      </c>
      <c r="W21" s="4">
        <f>((ABS(Games[[#This Row],[MOV]])+5)^0.6)/(12+0.01*(ABS(Games[[#This Row],[PreGmRate]]-Games[[#This Row],[OppPreGmRate]])))*IF(Games[[#This Row],[OT]]=1,0.9,1)</f>
        <v>0.33927614739934109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" s="9">
        <f>MAX(kmin, kmax - 0.15 * MIN(Games[[#This Row],[GamesPlayed]], 82))</f>
        <v>75.7</v>
      </c>
      <c r="Z21" s="4">
        <f>Games[[#This Row],[K]]*Games[[#This Row],[POMult]]</f>
        <v>75.7</v>
      </c>
      <c r="AA21" s="4">
        <f>(Games[[#This Row],[Keff]]*Games[[#This Row],[MOVMult]])*(Games[[#This Row],[Result]]-Games[[#This Row],[ExpectedWin%]])</f>
        <v>-17.830559959566862</v>
      </c>
      <c r="AB21" s="4">
        <f>Games[[#This Row],[PreGmRate]]+Games[[#This Row],[RatingChange]]</f>
        <v>1457.6299083444223</v>
      </c>
      <c r="AC21" s="2">
        <f>IF(Games[[#This Row],[Type]]="R",IF(Games[[#This Row],[Result]]&gt;0.5,1,0),0)</f>
        <v>0</v>
      </c>
      <c r="AD21" s="2">
        <f>IF(Games[[#This Row],[Type]]="R",IF(Games[[#This Row],[Result]]&lt;0.5,1,0),0)</f>
        <v>1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45069</v>
      </c>
      <c r="B22" s="2">
        <v>2023</v>
      </c>
      <c r="C22" s="2">
        <f>COUNTIFS(Games[Team],Games[[#This Row],[Team]],Games[Season],Games[[#This Row],[Season]],Games[Date],"&lt;=" &amp; Games[[#This Row],[Date]])</f>
        <v>3</v>
      </c>
      <c r="D22" s="2" t="s">
        <v>79</v>
      </c>
      <c r="E22" s="2" t="s">
        <v>80</v>
      </c>
      <c r="F22" s="1" t="s">
        <v>74</v>
      </c>
      <c r="G22" s="1" t="s">
        <v>65</v>
      </c>
      <c r="H22" s="1" t="s">
        <v>81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" s="2">
        <f>Games[[#This Row],[DaysOff]]-Games[[#This Row],[OppDaysOff]]</f>
        <v>0</v>
      </c>
      <c r="L22" s="2">
        <f>Games[[#This Row],[OppDaysOff]]-Games[[#This Row],[DaysOff]]</f>
        <v>0</v>
      </c>
      <c r="M22" s="1">
        <f>MAX(-16, MIN(16, Games[[#This Row],[RestDiff]]*8))</f>
        <v>0</v>
      </c>
      <c r="N22" s="1">
        <f>MAX(-16, MIN(16, Games[[#This Row],[OppRestDiff]]*8))</f>
        <v>0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1601.1525726238362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1529.2090864495367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0.48265624303522237</v>
      </c>
      <c r="R22" s="1">
        <v>88</v>
      </c>
      <c r="S22" s="1">
        <v>81</v>
      </c>
      <c r="T22" s="1">
        <v>0</v>
      </c>
      <c r="U22" s="1">
        <f>Games[[#This Row],[PointsFor]]-Games[[#This Row],[PointsAgainst]]</f>
        <v>7</v>
      </c>
      <c r="V22" s="1">
        <f>IF(Games[[#This Row],[MOV]]&gt;0,1,IF(Games[[#This Row],[MOV]]=0,0.5,0))</f>
        <v>1</v>
      </c>
      <c r="W22" s="4">
        <f>((ABS(Games[[#This Row],[MOV]])+5)^0.6)/(12+0.01*(ABS(Games[[#This Row],[PreGmRate]]-Games[[#This Row],[OppPreGmRate]])))*IF(Games[[#This Row],[OT]]=1,0.9,1)</f>
        <v>0.34917322334848083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" s="9">
        <f>MAX(kmin, kmax - 0.15 * MIN(Games[[#This Row],[GamesPlayed]], 82))</f>
        <v>75.55</v>
      </c>
      <c r="Z22" s="4">
        <f>Games[[#This Row],[K]]*Games[[#This Row],[POMult]]</f>
        <v>75.55</v>
      </c>
      <c r="AA22" s="4">
        <f>(Games[[#This Row],[Keff]]*Games[[#This Row],[MOVMult]])*(Games[[#This Row],[Result]]-Games[[#This Row],[ExpectedWin%]])</f>
        <v>13.647547462854568</v>
      </c>
      <c r="AB22" s="4">
        <f>Games[[#This Row],[PreGmRate]]+Games[[#This Row],[RatingChange]]</f>
        <v>1614.8001200866909</v>
      </c>
      <c r="AC22" s="2">
        <f>IF(Games[[#This Row],[Type]]="R",IF(Games[[#This Row],[Result]]&gt;0.5,1,0),0)</f>
        <v>1</v>
      </c>
      <c r="AD22" s="2">
        <f>IF(Games[[#This Row],[Type]]="R",IF(Games[[#This Row],[Result]]&lt;0.5,1,0),0)</f>
        <v>0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45069</v>
      </c>
      <c r="B23" s="2">
        <v>2023</v>
      </c>
      <c r="C23" s="2">
        <f>COUNTIFS(Games[Team],Games[[#This Row],[Team]],Games[Season],Games[[#This Row],[Season]],Games[Date],"&lt;=" &amp; Games[[#This Row],[Date]])</f>
        <v>3</v>
      </c>
      <c r="D23" s="2" t="s">
        <v>79</v>
      </c>
      <c r="E23" s="2" t="s">
        <v>80</v>
      </c>
      <c r="F23" s="1" t="s">
        <v>65</v>
      </c>
      <c r="G23" s="1" t="s">
        <v>74</v>
      </c>
      <c r="H23" s="1" t="s">
        <v>82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" s="2">
        <f>Games[[#This Row],[DaysOff]]-Games[[#This Row],[OppDaysOff]]</f>
        <v>0</v>
      </c>
      <c r="L23" s="2">
        <f>Games[[#This Row],[OppDaysOff]]-Games[[#This Row],[DaysOff]]</f>
        <v>0</v>
      </c>
      <c r="M23" s="1">
        <f>MAX(-16, MIN(16, Games[[#This Row],[RestDiff]]*8))</f>
        <v>0</v>
      </c>
      <c r="N23" s="1">
        <f>MAX(-16, MIN(16, Games[[#This Row],[OppRestDiff]]*8))</f>
        <v>0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1529.2090864495367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1601.1525726238362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0.51734375696477763</v>
      </c>
      <c r="R23" s="1">
        <v>81</v>
      </c>
      <c r="S23" s="1">
        <v>88</v>
      </c>
      <c r="T23" s="1">
        <v>0</v>
      </c>
      <c r="U23" s="1">
        <f>Games[[#This Row],[PointsFor]]-Games[[#This Row],[PointsAgainst]]</f>
        <v>-7</v>
      </c>
      <c r="V23" s="1">
        <f>IF(Games[[#This Row],[MOV]]&gt;0,1,IF(Games[[#This Row],[MOV]]=0,0.5,0))</f>
        <v>0</v>
      </c>
      <c r="W23" s="4">
        <f>((ABS(Games[[#This Row],[MOV]])+5)^0.6)/(12+0.01*(ABS(Games[[#This Row],[PreGmRate]]-Games[[#This Row],[OppPreGmRate]])))*IF(Games[[#This Row],[OT]]=1,0.9,1)</f>
        <v>0.34917322334848083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" s="9">
        <f>MAX(kmin, kmax - 0.15 * MIN(Games[[#This Row],[GamesPlayed]], 82))</f>
        <v>75.55</v>
      </c>
      <c r="Z23" s="4">
        <f>Games[[#This Row],[K]]*Games[[#This Row],[POMult]]</f>
        <v>75.55</v>
      </c>
      <c r="AA23" s="4">
        <f>(Games[[#This Row],[Keff]]*Games[[#This Row],[MOVMult]])*(Games[[#This Row],[Result]]-Games[[#This Row],[ExpectedWin%]])</f>
        <v>-13.647547462854568</v>
      </c>
      <c r="AB23" s="4">
        <f>Games[[#This Row],[PreGmRate]]+Games[[#This Row],[RatingChange]]</f>
        <v>1515.5615389866821</v>
      </c>
      <c r="AC23" s="2">
        <f>IF(Games[[#This Row],[Type]]="R",IF(Games[[#This Row],[Result]]&gt;0.5,1,0),0)</f>
        <v>0</v>
      </c>
      <c r="AD23" s="2">
        <f>IF(Games[[#This Row],[Type]]="R",IF(Games[[#This Row],[Result]]&lt;0.5,1,0),0)</f>
        <v>1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45071</v>
      </c>
      <c r="B24" s="2">
        <v>2023</v>
      </c>
      <c r="C24" s="2">
        <f>COUNTIFS(Games[Team],Games[[#This Row],[Team]],Games[Season],Games[[#This Row],[Season]],Games[Date],"&lt;=" &amp; Games[[#This Row],[Date]])</f>
        <v>2</v>
      </c>
      <c r="D24" s="2" t="s">
        <v>79</v>
      </c>
      <c r="E24" s="2" t="s">
        <v>80</v>
      </c>
      <c r="F24" s="1" t="s">
        <v>86</v>
      </c>
      <c r="G24" s="1" t="s">
        <v>63</v>
      </c>
      <c r="H24" s="1" t="s">
        <v>81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4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4" s="2">
        <f>Games[[#This Row],[DaysOff]]-Games[[#This Row],[OppDaysOff]]</f>
        <v>-1</v>
      </c>
      <c r="L24" s="2">
        <f>Games[[#This Row],[OppDaysOff]]-Games[[#This Row],[DaysOff]]</f>
        <v>1</v>
      </c>
      <c r="M24" s="1">
        <f>MAX(-16, MIN(16, Games[[#This Row],[RestDiff]]*8))</f>
        <v>-8</v>
      </c>
      <c r="N24" s="1">
        <f>MAX(-16, MIN(16, Games[[#This Row],[OppRestDiff]]*8))</f>
        <v>8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1640.4891579185551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1446.8845584812866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0.63154052700871732</v>
      </c>
      <c r="R24" s="1">
        <v>94</v>
      </c>
      <c r="S24" s="1">
        <v>85</v>
      </c>
      <c r="T24" s="1">
        <v>0</v>
      </c>
      <c r="U24" s="1">
        <f>Games[[#This Row],[PointsFor]]-Games[[#This Row],[PointsAgainst]]</f>
        <v>9</v>
      </c>
      <c r="V24" s="1">
        <f>IF(Games[[#This Row],[MOV]]&gt;0,1,IF(Games[[#This Row],[MOV]]=0,0.5,0))</f>
        <v>1</v>
      </c>
      <c r="W24" s="4">
        <f>((ABS(Games[[#This Row],[MOV]])+5)^0.6)/(12+0.01*(ABS(Games[[#This Row],[PreGmRate]]-Games[[#This Row],[OppPreGmRate]])))*IF(Games[[#This Row],[OT]]=1,0.9,1)</f>
        <v>0.34957249192016654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" s="9">
        <f>MAX(kmin, kmax - 0.15 * MIN(Games[[#This Row],[GamesPlayed]], 82))</f>
        <v>75.7</v>
      </c>
      <c r="Z24" s="4">
        <f>Games[[#This Row],[K]]*Games[[#This Row],[POMult]]</f>
        <v>75.7</v>
      </c>
      <c r="AA24" s="4">
        <f>(Games[[#This Row],[Keff]]*Games[[#This Row],[MOVMult]])*(Games[[#This Row],[Result]]-Games[[#This Row],[ExpectedWin%]])</f>
        <v>9.7504095181881567</v>
      </c>
      <c r="AB24" s="4">
        <f>Games[[#This Row],[PreGmRate]]+Games[[#This Row],[RatingChange]]</f>
        <v>1650.2395674367433</v>
      </c>
      <c r="AC24" s="2">
        <f>IF(Games[[#This Row],[Type]]="R",IF(Games[[#This Row],[Result]]&gt;0.5,1,0),0)</f>
        <v>1</v>
      </c>
      <c r="AD24" s="2">
        <f>IF(Games[[#This Row],[Type]]="R",IF(Games[[#This Row],[Result]]&lt;0.5,1,0),0)</f>
        <v>0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45071</v>
      </c>
      <c r="B25" s="2">
        <v>2023</v>
      </c>
      <c r="C25" s="2">
        <f>COUNTIFS(Games[Team],Games[[#This Row],[Team]],Games[Season],Games[[#This Row],[Season]],Games[Date],"&lt;=" &amp; Games[[#This Row],[Date]])</f>
        <v>2</v>
      </c>
      <c r="D25" s="2" t="s">
        <v>79</v>
      </c>
      <c r="E25" s="2" t="s">
        <v>80</v>
      </c>
      <c r="F25" s="1" t="s">
        <v>63</v>
      </c>
      <c r="G25" s="1" t="s">
        <v>86</v>
      </c>
      <c r="H25" s="1" t="s">
        <v>82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5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5" s="2">
        <f>Games[[#This Row],[DaysOff]]-Games[[#This Row],[OppDaysOff]]</f>
        <v>1</v>
      </c>
      <c r="L25" s="2">
        <f>Games[[#This Row],[OppDaysOff]]-Games[[#This Row],[DaysOff]]</f>
        <v>-1</v>
      </c>
      <c r="M25" s="1">
        <f>MAX(-16, MIN(16, Games[[#This Row],[RestDiff]]*8))</f>
        <v>8</v>
      </c>
      <c r="N25" s="1">
        <f>MAX(-16, MIN(16, Games[[#This Row],[OppRestDiff]]*8))</f>
        <v>-8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1446.8845584812866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1640.4891579185551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0.36845947299128273</v>
      </c>
      <c r="R25" s="1">
        <v>85</v>
      </c>
      <c r="S25" s="1">
        <v>94</v>
      </c>
      <c r="T25" s="1">
        <v>0</v>
      </c>
      <c r="U25" s="1">
        <f>Games[[#This Row],[PointsFor]]-Games[[#This Row],[PointsAgainst]]</f>
        <v>-9</v>
      </c>
      <c r="V25" s="1">
        <f>IF(Games[[#This Row],[MOV]]&gt;0,1,IF(Games[[#This Row],[MOV]]=0,0.5,0))</f>
        <v>0</v>
      </c>
      <c r="W25" s="4">
        <f>((ABS(Games[[#This Row],[MOV]])+5)^0.6)/(12+0.01*(ABS(Games[[#This Row],[PreGmRate]]-Games[[#This Row],[OppPreGmRate]])))*IF(Games[[#This Row],[OT]]=1,0.9,1)</f>
        <v>0.34957249192016654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" s="9">
        <f>MAX(kmin, kmax - 0.15 * MIN(Games[[#This Row],[GamesPlayed]], 82))</f>
        <v>75.7</v>
      </c>
      <c r="Z25" s="4">
        <f>Games[[#This Row],[K]]*Games[[#This Row],[POMult]]</f>
        <v>75.7</v>
      </c>
      <c r="AA25" s="4">
        <f>(Games[[#This Row],[Keff]]*Games[[#This Row],[MOVMult]])*(Games[[#This Row],[Result]]-Games[[#This Row],[ExpectedWin%]])</f>
        <v>-9.7504095181881585</v>
      </c>
      <c r="AB25" s="4">
        <f>Games[[#This Row],[PreGmRate]]+Games[[#This Row],[RatingChange]]</f>
        <v>1437.1341489630984</v>
      </c>
      <c r="AC25" s="2">
        <f>IF(Games[[#This Row],[Type]]="R",IF(Games[[#This Row],[Result]]&gt;0.5,1,0),0)</f>
        <v>0</v>
      </c>
      <c r="AD25" s="2">
        <f>IF(Games[[#This Row],[Type]]="R",IF(Games[[#This Row],[Result]]&lt;0.5,1,0),0)</f>
        <v>1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45071</v>
      </c>
      <c r="B26" s="2">
        <v>2023</v>
      </c>
      <c r="C26" s="2">
        <f>COUNTIFS(Games[Team],Games[[#This Row],[Team]],Games[Season],Games[[#This Row],[Season]],Games[Date],"&lt;=" &amp; Games[[#This Row],[Date]])</f>
        <v>3</v>
      </c>
      <c r="D26" s="2" t="s">
        <v>79</v>
      </c>
      <c r="E26" s="2" t="s">
        <v>80</v>
      </c>
      <c r="F26" s="1" t="s">
        <v>67</v>
      </c>
      <c r="G26" s="1" t="s">
        <v>40</v>
      </c>
      <c r="H26" s="1" t="s">
        <v>81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" s="2">
        <f>Games[[#This Row],[DaysOff]]-Games[[#This Row],[OppDaysOff]]</f>
        <v>-2</v>
      </c>
      <c r="L26" s="2">
        <f>Games[[#This Row],[OppDaysOff]]-Games[[#This Row],[DaysOff]]</f>
        <v>2</v>
      </c>
      <c r="M26" s="1">
        <f>MAX(-16, MIN(16, Games[[#This Row],[RestDiff]]*8))</f>
        <v>-16</v>
      </c>
      <c r="N26" s="1">
        <f>MAX(-16, MIN(16, Games[[#This Row],[OppRestDiff]]*8))</f>
        <v>16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1457.6299083444223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1437.608646948383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0.36528504093196873</v>
      </c>
      <c r="R26" s="1">
        <v>81</v>
      </c>
      <c r="S26" s="1">
        <v>90</v>
      </c>
      <c r="T26" s="1">
        <v>0</v>
      </c>
      <c r="U26" s="1">
        <f>Games[[#This Row],[PointsFor]]-Games[[#This Row],[PointsAgainst]]</f>
        <v>-9</v>
      </c>
      <c r="V26" s="1">
        <f>IF(Games[[#This Row],[MOV]]&gt;0,1,IF(Games[[#This Row],[MOV]]=0,0.5,0))</f>
        <v>0</v>
      </c>
      <c r="W26" s="4">
        <f>((ABS(Games[[#This Row],[MOV]])+5)^0.6)/(12+0.01*(ABS(Games[[#This Row],[PreGmRate]]-Games[[#This Row],[OppPreGmRate]])))*IF(Games[[#This Row],[OT]]=1,0.9,1)</f>
        <v>0.39930929729801584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" s="9">
        <f>MAX(kmin, kmax - 0.15 * MIN(Games[[#This Row],[GamesPlayed]], 82))</f>
        <v>75.55</v>
      </c>
      <c r="Z26" s="4">
        <f>Games[[#This Row],[K]]*Games[[#This Row],[POMult]]</f>
        <v>75.55</v>
      </c>
      <c r="AA26" s="4">
        <f>(Games[[#This Row],[Keff]]*Games[[#This Row],[MOVMult]])*(Games[[#This Row],[Result]]-Games[[#This Row],[ExpectedWin%]])</f>
        <v>-11.019852417756015</v>
      </c>
      <c r="AB26" s="4">
        <f>Games[[#This Row],[PreGmRate]]+Games[[#This Row],[RatingChange]]</f>
        <v>1446.6100559266663</v>
      </c>
      <c r="AC26" s="2">
        <f>IF(Games[[#This Row],[Type]]="R",IF(Games[[#This Row],[Result]]&gt;0.5,1,0),0)</f>
        <v>0</v>
      </c>
      <c r="AD26" s="2">
        <f>IF(Games[[#This Row],[Type]]="R",IF(Games[[#This Row],[Result]]&lt;0.5,1,0),0)</f>
        <v>1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45071</v>
      </c>
      <c r="B27" s="2">
        <v>2023</v>
      </c>
      <c r="C27" s="2">
        <f>COUNTIFS(Games[Team],Games[[#This Row],[Team]],Games[Season],Games[[#This Row],[Season]],Games[Date],"&lt;=" &amp; Games[[#This Row],[Date]])</f>
        <v>3</v>
      </c>
      <c r="D27" s="2" t="s">
        <v>79</v>
      </c>
      <c r="E27" s="2" t="s">
        <v>80</v>
      </c>
      <c r="F27" s="1" t="s">
        <v>40</v>
      </c>
      <c r="G27" s="1" t="s">
        <v>67</v>
      </c>
      <c r="H27" s="1" t="s">
        <v>82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" s="2">
        <f>Games[[#This Row],[DaysOff]]-Games[[#This Row],[OppDaysOff]]</f>
        <v>2</v>
      </c>
      <c r="L27" s="2">
        <f>Games[[#This Row],[OppDaysOff]]-Games[[#This Row],[DaysOff]]</f>
        <v>-2</v>
      </c>
      <c r="M27" s="1">
        <f>MAX(-16, MIN(16, Games[[#This Row],[RestDiff]]*8))</f>
        <v>16</v>
      </c>
      <c r="N27" s="1">
        <f>MAX(-16, MIN(16, Games[[#This Row],[OppRestDiff]]*8))</f>
        <v>-16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1437.608646948383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1457.6299083444223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0.63471495906803133</v>
      </c>
      <c r="R27" s="1">
        <v>90</v>
      </c>
      <c r="S27" s="1">
        <v>81</v>
      </c>
      <c r="T27" s="1">
        <v>0</v>
      </c>
      <c r="U27" s="1">
        <f>Games[[#This Row],[PointsFor]]-Games[[#This Row],[PointsAgainst]]</f>
        <v>9</v>
      </c>
      <c r="V27" s="1">
        <f>IF(Games[[#This Row],[MOV]]&gt;0,1,IF(Games[[#This Row],[MOV]]=0,0.5,0))</f>
        <v>1</v>
      </c>
      <c r="W27" s="4">
        <f>((ABS(Games[[#This Row],[MOV]])+5)^0.6)/(12+0.01*(ABS(Games[[#This Row],[PreGmRate]]-Games[[#This Row],[OppPreGmRate]])))*IF(Games[[#This Row],[OT]]=1,0.9,1)</f>
        <v>0.39930929729801584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" s="9">
        <f>MAX(kmin, kmax - 0.15 * MIN(Games[[#This Row],[GamesPlayed]], 82))</f>
        <v>75.55</v>
      </c>
      <c r="Z27" s="4">
        <f>Games[[#This Row],[K]]*Games[[#This Row],[POMult]]</f>
        <v>75.55</v>
      </c>
      <c r="AA27" s="4">
        <f>(Games[[#This Row],[Keff]]*Games[[#This Row],[MOVMult]])*(Games[[#This Row],[Result]]-Games[[#This Row],[ExpectedWin%]])</f>
        <v>11.019852417756013</v>
      </c>
      <c r="AB27" s="4">
        <f>Games[[#This Row],[PreGmRate]]+Games[[#This Row],[RatingChange]]</f>
        <v>1448.6284993661391</v>
      </c>
      <c r="AC27" s="2">
        <f>IF(Games[[#This Row],[Type]]="R",IF(Games[[#This Row],[Result]]&gt;0.5,1,0),0)</f>
        <v>1</v>
      </c>
      <c r="AD27" s="2">
        <f>IF(Games[[#This Row],[Type]]="R",IF(Games[[#This Row],[Result]]&lt;0.5,1,0),0)</f>
        <v>0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45072</v>
      </c>
      <c r="B28" s="2">
        <v>2023</v>
      </c>
      <c r="C28" s="2">
        <f>COUNTIFS(Games[Team],Games[[#This Row],[Team]],Games[Season],Games[[#This Row],[Season]],Games[Date],"&lt;=" &amp; Games[[#This Row],[Date]])</f>
        <v>4</v>
      </c>
      <c r="D28" s="2" t="s">
        <v>79</v>
      </c>
      <c r="E28" s="2" t="s">
        <v>80</v>
      </c>
      <c r="F28" s="1" t="s">
        <v>65</v>
      </c>
      <c r="G28" s="1" t="s">
        <v>75</v>
      </c>
      <c r="H28" s="1" t="s">
        <v>81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8" s="2">
        <f>Games[[#This Row],[DaysOff]]-Games[[#This Row],[OppDaysOff]]</f>
        <v>-2</v>
      </c>
      <c r="L28" s="2">
        <f>Games[[#This Row],[OppDaysOff]]-Games[[#This Row],[DaysOff]]</f>
        <v>2</v>
      </c>
      <c r="M28" s="1">
        <f>MAX(-16, MIN(16, Games[[#This Row],[RestDiff]]*8))</f>
        <v>-16</v>
      </c>
      <c r="N28" s="1">
        <f>MAX(-16, MIN(16, Games[[#This Row],[OppRestDiff]]*8))</f>
        <v>16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1515.5615389866821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1587.7290252907878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0.25290486885376917</v>
      </c>
      <c r="R28" s="1">
        <v>71</v>
      </c>
      <c r="S28" s="1">
        <v>69</v>
      </c>
      <c r="T28" s="1">
        <v>0</v>
      </c>
      <c r="U28" s="1">
        <f>Games[[#This Row],[PointsFor]]-Games[[#This Row],[PointsAgainst]]</f>
        <v>2</v>
      </c>
      <c r="V28" s="1">
        <f>IF(Games[[#This Row],[MOV]]&gt;0,1,IF(Games[[#This Row],[MOV]]=0,0.5,0))</f>
        <v>1</v>
      </c>
      <c r="W28" s="4">
        <f>((ABS(Games[[#This Row],[MOV]])+5)^0.6)/(12+0.01*(ABS(Games[[#This Row],[PreGmRate]]-Games[[#This Row],[OppPreGmRate]])))*IF(Games[[#This Row],[OT]]=1,0.9,1)</f>
        <v>0.25264722485980307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" s="9">
        <f>MAX(kmin, kmax - 0.15 * MIN(Games[[#This Row],[GamesPlayed]], 82))</f>
        <v>75.400000000000006</v>
      </c>
      <c r="Z28" s="4">
        <f>Games[[#This Row],[K]]*Games[[#This Row],[POMult]]</f>
        <v>75.400000000000006</v>
      </c>
      <c r="AA28" s="4">
        <f>(Games[[#This Row],[Keff]]*Games[[#This Row],[MOVMult]])*(Games[[#This Row],[Result]]-Games[[#This Row],[ExpectedWin%]])</f>
        <v>14.231863973913587</v>
      </c>
      <c r="AB28" s="4">
        <f>Games[[#This Row],[PreGmRate]]+Games[[#This Row],[RatingChange]]</f>
        <v>1529.7934029605956</v>
      </c>
      <c r="AC28" s="2">
        <f>IF(Games[[#This Row],[Type]]="R",IF(Games[[#This Row],[Result]]&gt;0.5,1,0),0)</f>
        <v>1</v>
      </c>
      <c r="AD28" s="2">
        <f>IF(Games[[#This Row],[Type]]="R",IF(Games[[#This Row],[Result]]&lt;0.5,1,0),0)</f>
        <v>0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45072</v>
      </c>
      <c r="B29" s="2">
        <v>2023</v>
      </c>
      <c r="C29" s="2">
        <f>COUNTIFS(Games[Team],Games[[#This Row],[Team]],Games[Season],Games[[#This Row],[Season]],Games[Date],"&lt;=" &amp; Games[[#This Row],[Date]])</f>
        <v>3</v>
      </c>
      <c r="D29" s="2" t="s">
        <v>79</v>
      </c>
      <c r="E29" s="2" t="s">
        <v>80</v>
      </c>
      <c r="F29" s="1" t="s">
        <v>75</v>
      </c>
      <c r="G29" s="1" t="s">
        <v>65</v>
      </c>
      <c r="H29" s="1" t="s">
        <v>82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4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" s="2">
        <f>Games[[#This Row],[DaysOff]]-Games[[#This Row],[OppDaysOff]]</f>
        <v>2</v>
      </c>
      <c r="L29" s="2">
        <f>Games[[#This Row],[OppDaysOff]]-Games[[#This Row],[DaysOff]]</f>
        <v>-2</v>
      </c>
      <c r="M29" s="1">
        <f>MAX(-16, MIN(16, Games[[#This Row],[RestDiff]]*8))</f>
        <v>16</v>
      </c>
      <c r="N29" s="1">
        <f>MAX(-16, MIN(16, Games[[#This Row],[OppRestDiff]]*8))</f>
        <v>-16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1587.7290252907878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1515.5615389866821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0.74709513114623083</v>
      </c>
      <c r="R29" s="1">
        <v>69</v>
      </c>
      <c r="S29" s="1">
        <v>71</v>
      </c>
      <c r="T29" s="1">
        <v>0</v>
      </c>
      <c r="U29" s="1">
        <f>Games[[#This Row],[PointsFor]]-Games[[#This Row],[PointsAgainst]]</f>
        <v>-2</v>
      </c>
      <c r="V29" s="1">
        <f>IF(Games[[#This Row],[MOV]]&gt;0,1,IF(Games[[#This Row],[MOV]]=0,0.5,0))</f>
        <v>0</v>
      </c>
      <c r="W29" s="4">
        <f>((ABS(Games[[#This Row],[MOV]])+5)^0.6)/(12+0.01*(ABS(Games[[#This Row],[PreGmRate]]-Games[[#This Row],[OppPreGmRate]])))*IF(Games[[#This Row],[OT]]=1,0.9,1)</f>
        <v>0.25264722485980307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" s="9">
        <f>MAX(kmin, kmax - 0.15 * MIN(Games[[#This Row],[GamesPlayed]], 82))</f>
        <v>75.55</v>
      </c>
      <c r="Z29" s="4">
        <f>Games[[#This Row],[K]]*Games[[#This Row],[POMult]]</f>
        <v>75.55</v>
      </c>
      <c r="AA29" s="4">
        <f>(Games[[#This Row],[Keff]]*Games[[#This Row],[MOVMult]])*(Games[[#This Row],[Result]]-Games[[#This Row],[ExpectedWin%]])</f>
        <v>-14.260176700652138</v>
      </c>
      <c r="AB29" s="4">
        <f>Games[[#This Row],[PreGmRate]]+Games[[#This Row],[RatingChange]]</f>
        <v>1573.4688485901356</v>
      </c>
      <c r="AC29" s="2">
        <f>IF(Games[[#This Row],[Type]]="R",IF(Games[[#This Row],[Result]]&gt;0.5,1,0),0)</f>
        <v>0</v>
      </c>
      <c r="AD29" s="2">
        <f>IF(Games[[#This Row],[Type]]="R",IF(Games[[#This Row],[Result]]&lt;0.5,1,0),0)</f>
        <v>1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45072</v>
      </c>
      <c r="B30" s="2">
        <v>2023</v>
      </c>
      <c r="C30" s="2">
        <f>COUNTIFS(Games[Team],Games[[#This Row],[Team]],Games[Season],Games[[#This Row],[Season]],Games[Date],"&lt;=" &amp; Games[[#This Row],[Date]])</f>
        <v>2</v>
      </c>
      <c r="D30" s="2" t="s">
        <v>79</v>
      </c>
      <c r="E30" s="2" t="s">
        <v>80</v>
      </c>
      <c r="F30" s="1" t="s">
        <v>85</v>
      </c>
      <c r="G30" s="1" t="s">
        <v>71</v>
      </c>
      <c r="H30" s="1" t="s">
        <v>81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5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0" s="2">
        <f>Games[[#This Row],[DaysOff]]-Games[[#This Row],[OppDaysOff]]</f>
        <v>0</v>
      </c>
      <c r="L30" s="2">
        <f>Games[[#This Row],[OppDaysOff]]-Games[[#This Row],[DaysOff]]</f>
        <v>0</v>
      </c>
      <c r="M30" s="1">
        <f>MAX(-16, MIN(16, Games[[#This Row],[RestDiff]]*8))</f>
        <v>0</v>
      </c>
      <c r="N30" s="1">
        <f>MAX(-16, MIN(16, Games[[#This Row],[OppRestDiff]]*8))</f>
        <v>0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1504.9283524814093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1517.0741668352039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0.36506208273745772</v>
      </c>
      <c r="R30" s="1">
        <v>95</v>
      </c>
      <c r="S30" s="1">
        <v>91</v>
      </c>
      <c r="T30" s="1">
        <v>0</v>
      </c>
      <c r="U30" s="1">
        <f>Games[[#This Row],[PointsFor]]-Games[[#This Row],[PointsAgainst]]</f>
        <v>4</v>
      </c>
      <c r="V30" s="1">
        <f>IF(Games[[#This Row],[MOV]]&gt;0,1,IF(Games[[#This Row],[MOV]]=0,0.5,0))</f>
        <v>1</v>
      </c>
      <c r="W30" s="4">
        <f>((ABS(Games[[#This Row],[MOV]])+5)^0.6)/(12+0.01*(ABS(Games[[#This Row],[PreGmRate]]-Games[[#This Row],[OppPreGmRate]])))*IF(Games[[#This Row],[OT]]=1,0.9,1)</f>
        <v>0.30831214979188643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" s="9">
        <f>MAX(kmin, kmax - 0.15 * MIN(Games[[#This Row],[GamesPlayed]], 82))</f>
        <v>75.7</v>
      </c>
      <c r="Z30" s="4">
        <f>Games[[#This Row],[K]]*Games[[#This Row],[POMult]]</f>
        <v>75.7</v>
      </c>
      <c r="AA30" s="4">
        <f>(Games[[#This Row],[Keff]]*Games[[#This Row],[MOVMult]])*(Games[[#This Row],[Result]]-Games[[#This Row],[ExpectedWin%]])</f>
        <v>14.818961921148716</v>
      </c>
      <c r="AB30" s="4">
        <f>Games[[#This Row],[PreGmRate]]+Games[[#This Row],[RatingChange]]</f>
        <v>1519.747314402558</v>
      </c>
      <c r="AC30" s="2">
        <f>IF(Games[[#This Row],[Type]]="R",IF(Games[[#This Row],[Result]]&gt;0.5,1,0),0)</f>
        <v>1</v>
      </c>
      <c r="AD30" s="2">
        <f>IF(Games[[#This Row],[Type]]="R",IF(Games[[#This Row],[Result]]&lt;0.5,1,0),0)</f>
        <v>0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45072</v>
      </c>
      <c r="B31" s="2">
        <v>2023</v>
      </c>
      <c r="C31" s="2">
        <f>COUNTIFS(Games[Team],Games[[#This Row],[Team]],Games[Season],Games[[#This Row],[Season]],Games[Date],"&lt;=" &amp; Games[[#This Row],[Date]])</f>
        <v>2</v>
      </c>
      <c r="D31" s="2" t="s">
        <v>79</v>
      </c>
      <c r="E31" s="2" t="s">
        <v>80</v>
      </c>
      <c r="F31" s="1" t="s">
        <v>71</v>
      </c>
      <c r="G31" s="1" t="s">
        <v>85</v>
      </c>
      <c r="H31" s="1" t="s">
        <v>82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5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1" s="2">
        <f>Games[[#This Row],[DaysOff]]-Games[[#This Row],[OppDaysOff]]</f>
        <v>0</v>
      </c>
      <c r="L31" s="2">
        <f>Games[[#This Row],[OppDaysOff]]-Games[[#This Row],[DaysOff]]</f>
        <v>0</v>
      </c>
      <c r="M31" s="1">
        <f>MAX(-16, MIN(16, Games[[#This Row],[RestDiff]]*8))</f>
        <v>0</v>
      </c>
      <c r="N31" s="1">
        <f>MAX(-16, MIN(16, Games[[#This Row],[OppRestDiff]]*8))</f>
        <v>0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1517.0741668352039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1504.9283524814093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0.63493791726254223</v>
      </c>
      <c r="R31" s="1">
        <v>91</v>
      </c>
      <c r="S31" s="1">
        <v>95</v>
      </c>
      <c r="T31" s="1">
        <v>0</v>
      </c>
      <c r="U31" s="1">
        <f>Games[[#This Row],[PointsFor]]-Games[[#This Row],[PointsAgainst]]</f>
        <v>-4</v>
      </c>
      <c r="V31" s="1">
        <f>IF(Games[[#This Row],[MOV]]&gt;0,1,IF(Games[[#This Row],[MOV]]=0,0.5,0))</f>
        <v>0</v>
      </c>
      <c r="W31" s="4">
        <f>((ABS(Games[[#This Row],[MOV]])+5)^0.6)/(12+0.01*(ABS(Games[[#This Row],[PreGmRate]]-Games[[#This Row],[OppPreGmRate]])))*IF(Games[[#This Row],[OT]]=1,0.9,1)</f>
        <v>0.30831214979188643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" s="9">
        <f>MAX(kmin, kmax - 0.15 * MIN(Games[[#This Row],[GamesPlayed]], 82))</f>
        <v>75.7</v>
      </c>
      <c r="Z31" s="4">
        <f>Games[[#This Row],[K]]*Games[[#This Row],[POMult]]</f>
        <v>75.7</v>
      </c>
      <c r="AA31" s="4">
        <f>(Games[[#This Row],[Keff]]*Games[[#This Row],[MOVMult]])*(Games[[#This Row],[Result]]-Games[[#This Row],[ExpectedWin%]])</f>
        <v>-14.818961921148716</v>
      </c>
      <c r="AB31" s="4">
        <f>Games[[#This Row],[PreGmRate]]+Games[[#This Row],[RatingChange]]</f>
        <v>1502.2552049140552</v>
      </c>
      <c r="AC31" s="2">
        <f>IF(Games[[#This Row],[Type]]="R",IF(Games[[#This Row],[Result]]&gt;0.5,1,0),0)</f>
        <v>0</v>
      </c>
      <c r="AD31" s="2">
        <f>IF(Games[[#This Row],[Type]]="R",IF(Games[[#This Row],[Result]]&lt;0.5,1,0),0)</f>
        <v>1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45073</v>
      </c>
      <c r="B32" s="2">
        <v>2023</v>
      </c>
      <c r="C32" s="2">
        <f>COUNTIFS(Games[Team],Games[[#This Row],[Team]],Games[Season],Games[[#This Row],[Season]],Games[Date],"&lt;=" &amp; Games[[#This Row],[Date]])</f>
        <v>3</v>
      </c>
      <c r="D32" s="2" t="s">
        <v>79</v>
      </c>
      <c r="E32" s="2" t="s">
        <v>80</v>
      </c>
      <c r="F32" s="1" t="s">
        <v>63</v>
      </c>
      <c r="G32" s="1" t="s">
        <v>86</v>
      </c>
      <c r="H32" s="1" t="s">
        <v>81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" s="2">
        <f>Games[[#This Row],[DaysOff]]-Games[[#This Row],[OppDaysOff]]</f>
        <v>0</v>
      </c>
      <c r="L32" s="2">
        <f>Games[[#This Row],[OppDaysOff]]-Games[[#This Row],[DaysOff]]</f>
        <v>0</v>
      </c>
      <c r="M32" s="1">
        <f>MAX(-16, MIN(16, Games[[#This Row],[RestDiff]]*8))</f>
        <v>0</v>
      </c>
      <c r="N32" s="1">
        <f>MAX(-16, MIN(16, Games[[#This Row],[OppRestDiff]]*8))</f>
        <v>0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1437.1341489630984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1650.2395674367433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0.15312788583247039</v>
      </c>
      <c r="R32" s="1">
        <v>65</v>
      </c>
      <c r="S32" s="1">
        <v>93</v>
      </c>
      <c r="T32" s="1">
        <v>0</v>
      </c>
      <c r="U32" s="1">
        <f>Games[[#This Row],[PointsFor]]-Games[[#This Row],[PointsAgainst]]</f>
        <v>-28</v>
      </c>
      <c r="V32" s="1">
        <f>IF(Games[[#This Row],[MOV]]&gt;0,1,IF(Games[[#This Row],[MOV]]=0,0.5,0))</f>
        <v>0</v>
      </c>
      <c r="W32" s="4">
        <f>((ABS(Games[[#This Row],[MOV]])+5)^0.6)/(12+0.01*(ABS(Games[[#This Row],[PreGmRate]]-Games[[#This Row],[OppPreGmRate]])))*IF(Games[[#This Row],[OT]]=1,0.9,1)</f>
        <v>0.57667855591800021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" s="9">
        <f>MAX(kmin, kmax - 0.15 * MIN(Games[[#This Row],[GamesPlayed]], 82))</f>
        <v>75.55</v>
      </c>
      <c r="Z32" s="4">
        <f>Games[[#This Row],[K]]*Games[[#This Row],[POMult]]</f>
        <v>75.55</v>
      </c>
      <c r="AA32" s="4">
        <f>(Games[[#This Row],[Keff]]*Games[[#This Row],[MOVMult]])*(Games[[#This Row],[Result]]-Games[[#This Row],[ExpectedWin%]])</f>
        <v>-6.6714856678883612</v>
      </c>
      <c r="AB32" s="4">
        <f>Games[[#This Row],[PreGmRate]]+Games[[#This Row],[RatingChange]]</f>
        <v>1430.4626632952099</v>
      </c>
      <c r="AC32" s="2">
        <f>IF(Games[[#This Row],[Type]]="R",IF(Games[[#This Row],[Result]]&gt;0.5,1,0),0)</f>
        <v>0</v>
      </c>
      <c r="AD32" s="2">
        <f>IF(Games[[#This Row],[Type]]="R",IF(Games[[#This Row],[Result]]&lt;0.5,1,0),0)</f>
        <v>1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45073</v>
      </c>
      <c r="B33" s="2">
        <v>2023</v>
      </c>
      <c r="C33" s="2">
        <f>COUNTIFS(Games[Team],Games[[#This Row],[Team]],Games[Season],Games[[#This Row],[Season]],Games[Date],"&lt;=" &amp; Games[[#This Row],[Date]])</f>
        <v>3</v>
      </c>
      <c r="D33" s="2" t="s">
        <v>79</v>
      </c>
      <c r="E33" s="2" t="s">
        <v>80</v>
      </c>
      <c r="F33" s="1" t="s">
        <v>86</v>
      </c>
      <c r="G33" s="1" t="s">
        <v>63</v>
      </c>
      <c r="H33" s="1" t="s">
        <v>82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" s="2">
        <f>Games[[#This Row],[DaysOff]]-Games[[#This Row],[OppDaysOff]]</f>
        <v>0</v>
      </c>
      <c r="L33" s="2">
        <f>Games[[#This Row],[OppDaysOff]]-Games[[#This Row],[DaysOff]]</f>
        <v>0</v>
      </c>
      <c r="M33" s="1">
        <f>MAX(-16, MIN(16, Games[[#This Row],[RestDiff]]*8))</f>
        <v>0</v>
      </c>
      <c r="N33" s="1">
        <f>MAX(-16, MIN(16, Games[[#This Row],[OppRestDiff]]*8))</f>
        <v>0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1650.2395674367433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1437.1341489630984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0.84687211416752961</v>
      </c>
      <c r="R33" s="1">
        <v>93</v>
      </c>
      <c r="S33" s="1">
        <v>65</v>
      </c>
      <c r="T33" s="1">
        <v>0</v>
      </c>
      <c r="U33" s="1">
        <f>Games[[#This Row],[PointsFor]]-Games[[#This Row],[PointsAgainst]]</f>
        <v>28</v>
      </c>
      <c r="V33" s="1">
        <f>IF(Games[[#This Row],[MOV]]&gt;0,1,IF(Games[[#This Row],[MOV]]=0,0.5,0))</f>
        <v>1</v>
      </c>
      <c r="W33" s="4">
        <f>((ABS(Games[[#This Row],[MOV]])+5)^0.6)/(12+0.01*(ABS(Games[[#This Row],[PreGmRate]]-Games[[#This Row],[OppPreGmRate]])))*IF(Games[[#This Row],[OT]]=1,0.9,1)</f>
        <v>0.57667855591800021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" s="9">
        <f>MAX(kmin, kmax - 0.15 * MIN(Games[[#This Row],[GamesPlayed]], 82))</f>
        <v>75.55</v>
      </c>
      <c r="Z33" s="4">
        <f>Games[[#This Row],[K]]*Games[[#This Row],[POMult]]</f>
        <v>75.55</v>
      </c>
      <c r="AA33" s="4">
        <f>(Games[[#This Row],[Keff]]*Games[[#This Row],[MOVMult]])*(Games[[#This Row],[Result]]-Games[[#This Row],[ExpectedWin%]])</f>
        <v>6.6714856678883612</v>
      </c>
      <c r="AB33" s="4">
        <f>Games[[#This Row],[PreGmRate]]+Games[[#This Row],[RatingChange]]</f>
        <v>1656.9110531046317</v>
      </c>
      <c r="AC33" s="2">
        <f>IF(Games[[#This Row],[Type]]="R",IF(Games[[#This Row],[Result]]&gt;0.5,1,0),0)</f>
        <v>1</v>
      </c>
      <c r="AD33" s="2">
        <f>IF(Games[[#This Row],[Type]]="R",IF(Games[[#This Row],[Result]]&lt;0.5,1,0),0)</f>
        <v>0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45073</v>
      </c>
      <c r="B34" s="2">
        <v>2023</v>
      </c>
      <c r="C34" s="2">
        <f>COUNTIFS(Games[Team],Games[[#This Row],[Team]],Games[Season],Games[[#This Row],[Season]],Games[Date],"&lt;=" &amp; Games[[#This Row],[Date]])</f>
        <v>4</v>
      </c>
      <c r="D34" s="2" t="s">
        <v>79</v>
      </c>
      <c r="E34" s="2" t="s">
        <v>80</v>
      </c>
      <c r="F34" s="1" t="s">
        <v>74</v>
      </c>
      <c r="G34" s="1" t="s">
        <v>60</v>
      </c>
      <c r="H34" s="1" t="s">
        <v>81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4" s="2">
        <f>Games[[#This Row],[DaysOff]]-Games[[#This Row],[OppDaysOff]]</f>
        <v>-2</v>
      </c>
      <c r="L34" s="2">
        <f>Games[[#This Row],[OppDaysOff]]-Games[[#This Row],[DaysOff]]</f>
        <v>2</v>
      </c>
      <c r="M34" s="1">
        <f>MAX(-16, MIN(16, Games[[#This Row],[RestDiff]]*8))</f>
        <v>-16</v>
      </c>
      <c r="N34" s="1">
        <f>MAX(-16, MIN(16, Games[[#This Row],[OppRestDiff]]*8))</f>
        <v>16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1614.8001200866909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1480.5495816584644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0.52624050516044474</v>
      </c>
      <c r="R34" s="1">
        <v>65</v>
      </c>
      <c r="S34" s="1">
        <v>81</v>
      </c>
      <c r="T34" s="1">
        <v>0</v>
      </c>
      <c r="U34" s="1">
        <f>Games[[#This Row],[PointsFor]]-Games[[#This Row],[PointsAgainst]]</f>
        <v>-16</v>
      </c>
      <c r="V34" s="1">
        <f>IF(Games[[#This Row],[MOV]]&gt;0,1,IF(Games[[#This Row],[MOV]]=0,0.5,0))</f>
        <v>0</v>
      </c>
      <c r="W34" s="4">
        <f>((ABS(Games[[#This Row],[MOV]])+5)^0.6)/(12+0.01*(ABS(Games[[#This Row],[PreGmRate]]-Games[[#This Row],[OppPreGmRate]])))*IF(Games[[#This Row],[OT]]=1,0.9,1)</f>
        <v>0.46568708112947726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" s="9">
        <f>MAX(kmin, kmax - 0.15 * MIN(Games[[#This Row],[GamesPlayed]], 82))</f>
        <v>75.400000000000006</v>
      </c>
      <c r="Z34" s="4">
        <f>Games[[#This Row],[K]]*Games[[#This Row],[POMult]]</f>
        <v>75.400000000000006</v>
      </c>
      <c r="AA34" s="4">
        <f>(Games[[#This Row],[Keff]]*Games[[#This Row],[MOVMult]])*(Games[[#This Row],[Result]]-Games[[#This Row],[ExpectedWin%]])</f>
        <v>-18.477780723448294</v>
      </c>
      <c r="AB34" s="4">
        <f>Games[[#This Row],[PreGmRate]]+Games[[#This Row],[RatingChange]]</f>
        <v>1596.3223393632425</v>
      </c>
      <c r="AC34" s="2">
        <f>IF(Games[[#This Row],[Type]]="R",IF(Games[[#This Row],[Result]]&gt;0.5,1,0),0)</f>
        <v>0</v>
      </c>
      <c r="AD34" s="2">
        <f>IF(Games[[#This Row],[Type]]="R",IF(Games[[#This Row],[Result]]&lt;0.5,1,0),0)</f>
        <v>1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45073</v>
      </c>
      <c r="B35" s="2">
        <v>2023</v>
      </c>
      <c r="C35" s="2">
        <f>COUNTIFS(Games[Team],Games[[#This Row],[Team]],Games[Season],Games[[#This Row],[Season]],Games[Date],"&lt;=" &amp; Games[[#This Row],[Date]])</f>
        <v>3</v>
      </c>
      <c r="D35" s="2" t="s">
        <v>79</v>
      </c>
      <c r="E35" s="2" t="s">
        <v>80</v>
      </c>
      <c r="F35" s="1" t="s">
        <v>60</v>
      </c>
      <c r="G35" s="1" t="s">
        <v>74</v>
      </c>
      <c r="H35" s="1" t="s">
        <v>82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5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5" s="2">
        <f>Games[[#This Row],[DaysOff]]-Games[[#This Row],[OppDaysOff]]</f>
        <v>2</v>
      </c>
      <c r="L35" s="2">
        <f>Games[[#This Row],[OppDaysOff]]-Games[[#This Row],[DaysOff]]</f>
        <v>-2</v>
      </c>
      <c r="M35" s="1">
        <f>MAX(-16, MIN(16, Games[[#This Row],[RestDiff]]*8))</f>
        <v>16</v>
      </c>
      <c r="N35" s="1">
        <f>MAX(-16, MIN(16, Games[[#This Row],[OppRestDiff]]*8))</f>
        <v>-16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1480.5495816584644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1614.8001200866909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0.47375949483955526</v>
      </c>
      <c r="R35" s="1">
        <v>81</v>
      </c>
      <c r="S35" s="1">
        <v>65</v>
      </c>
      <c r="T35" s="1">
        <v>0</v>
      </c>
      <c r="U35" s="1">
        <f>Games[[#This Row],[PointsFor]]-Games[[#This Row],[PointsAgainst]]</f>
        <v>16</v>
      </c>
      <c r="V35" s="1">
        <f>IF(Games[[#This Row],[MOV]]&gt;0,1,IF(Games[[#This Row],[MOV]]=0,0.5,0))</f>
        <v>1</v>
      </c>
      <c r="W35" s="4">
        <f>((ABS(Games[[#This Row],[MOV]])+5)^0.6)/(12+0.01*(ABS(Games[[#This Row],[PreGmRate]]-Games[[#This Row],[OppPreGmRate]])))*IF(Games[[#This Row],[OT]]=1,0.9,1)</f>
        <v>0.46568708112947726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" s="9">
        <f>MAX(kmin, kmax - 0.15 * MIN(Games[[#This Row],[GamesPlayed]], 82))</f>
        <v>75.55</v>
      </c>
      <c r="Z35" s="4">
        <f>Games[[#This Row],[K]]*Games[[#This Row],[POMult]]</f>
        <v>75.55</v>
      </c>
      <c r="AA35" s="4">
        <f>(Games[[#This Row],[Keff]]*Games[[#This Row],[MOVMult]])*(Games[[#This Row],[Result]]-Games[[#This Row],[ExpectedWin%]])</f>
        <v>18.514540234171331</v>
      </c>
      <c r="AB35" s="4">
        <f>Games[[#This Row],[PreGmRate]]+Games[[#This Row],[RatingChange]]</f>
        <v>1499.0641218926357</v>
      </c>
      <c r="AC35" s="2">
        <f>IF(Games[[#This Row],[Type]]="R",IF(Games[[#This Row],[Result]]&gt;0.5,1,0),0)</f>
        <v>1</v>
      </c>
      <c r="AD35" s="2">
        <f>IF(Games[[#This Row],[Type]]="R",IF(Games[[#This Row],[Result]]&lt;0.5,1,0),0)</f>
        <v>0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45074</v>
      </c>
      <c r="B36" s="2">
        <v>2023</v>
      </c>
      <c r="C36" s="2">
        <f>COUNTIFS(Games[Team],Games[[#This Row],[Team]],Games[Season],Games[[#This Row],[Season]],Games[Date],"&lt;=" &amp; Games[[#This Row],[Date]])</f>
        <v>3</v>
      </c>
      <c r="D36" s="2" t="s">
        <v>79</v>
      </c>
      <c r="E36" s="2" t="s">
        <v>80</v>
      </c>
      <c r="F36" s="1" t="s">
        <v>69</v>
      </c>
      <c r="G36" s="1" t="s">
        <v>77</v>
      </c>
      <c r="H36" s="1" t="s">
        <v>81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6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6" s="2">
        <f>Games[[#This Row],[DaysOff]]-Games[[#This Row],[OppDaysOff]]</f>
        <v>2</v>
      </c>
      <c r="L36" s="2">
        <f>Games[[#This Row],[OppDaysOff]]-Games[[#This Row],[DaysOff]]</f>
        <v>-2</v>
      </c>
      <c r="M36" s="1">
        <f>MAX(-16, MIN(16, Games[[#This Row],[RestDiff]]*8))</f>
        <v>16</v>
      </c>
      <c r="N36" s="1">
        <f>MAX(-16, MIN(16, Games[[#This Row],[OppRestDiff]]*8))</f>
        <v>-16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1346.2486796961934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1450.8314078616986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0.28877055510546906</v>
      </c>
      <c r="R36" s="1">
        <v>90</v>
      </c>
      <c r="S36" s="1">
        <v>87</v>
      </c>
      <c r="T36" s="1">
        <v>0</v>
      </c>
      <c r="U36" s="1">
        <f>Games[[#This Row],[PointsFor]]-Games[[#This Row],[PointsAgainst]]</f>
        <v>3</v>
      </c>
      <c r="V36" s="1">
        <f>IF(Games[[#This Row],[MOV]]&gt;0,1,IF(Games[[#This Row],[MOV]]=0,0.5,0))</f>
        <v>1</v>
      </c>
      <c r="W36" s="4">
        <f>((ABS(Games[[#This Row],[MOV]])+5)^0.6)/(12+0.01*(ABS(Games[[#This Row],[PreGmRate]]-Games[[#This Row],[OppPreGmRate]])))*IF(Games[[#This Row],[OT]]=1,0.9,1)</f>
        <v>0.26692076922412916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" s="9">
        <f>MAX(kmin, kmax - 0.15 * MIN(Games[[#This Row],[GamesPlayed]], 82))</f>
        <v>75.55</v>
      </c>
      <c r="Z36" s="4">
        <f>Games[[#This Row],[K]]*Games[[#This Row],[POMult]]</f>
        <v>75.55</v>
      </c>
      <c r="AA36" s="4">
        <f>(Games[[#This Row],[Keff]]*Games[[#This Row],[MOVMult]])*(Games[[#This Row],[Result]]-Games[[#This Row],[ExpectedWin%]])</f>
        <v>14.342556340246746</v>
      </c>
      <c r="AB36" s="4">
        <f>Games[[#This Row],[PreGmRate]]+Games[[#This Row],[RatingChange]]</f>
        <v>1360.5912360364403</v>
      </c>
      <c r="AC36" s="2">
        <f>IF(Games[[#This Row],[Type]]="R",IF(Games[[#This Row],[Result]]&gt;0.5,1,0),0)</f>
        <v>1</v>
      </c>
      <c r="AD36" s="2">
        <f>IF(Games[[#This Row],[Type]]="R",IF(Games[[#This Row],[Result]]&lt;0.5,1,0),0)</f>
        <v>0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45074</v>
      </c>
      <c r="B37" s="2">
        <v>2023</v>
      </c>
      <c r="C37" s="2">
        <f>COUNTIFS(Games[Team],Games[[#This Row],[Team]],Games[Season],Games[[#This Row],[Season]],Games[Date],"&lt;=" &amp; Games[[#This Row],[Date]])</f>
        <v>3</v>
      </c>
      <c r="D37" s="2" t="s">
        <v>79</v>
      </c>
      <c r="E37" s="2" t="s">
        <v>80</v>
      </c>
      <c r="F37" s="1" t="s">
        <v>77</v>
      </c>
      <c r="G37" s="1" t="s">
        <v>69</v>
      </c>
      <c r="H37" s="1" t="s">
        <v>82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4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7" s="2">
        <f>Games[[#This Row],[DaysOff]]-Games[[#This Row],[OppDaysOff]]</f>
        <v>-2</v>
      </c>
      <c r="L37" s="2">
        <f>Games[[#This Row],[OppDaysOff]]-Games[[#This Row],[DaysOff]]</f>
        <v>2</v>
      </c>
      <c r="M37" s="1">
        <f>MAX(-16, MIN(16, Games[[#This Row],[RestDiff]]*8))</f>
        <v>-16</v>
      </c>
      <c r="N37" s="1">
        <f>MAX(-16, MIN(16, Games[[#This Row],[OppRestDiff]]*8))</f>
        <v>16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1450.8314078616986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1346.2486796961934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0.71122944489453099</v>
      </c>
      <c r="R37" s="1">
        <v>87</v>
      </c>
      <c r="S37" s="1">
        <v>90</v>
      </c>
      <c r="T37" s="1">
        <v>0</v>
      </c>
      <c r="U37" s="1">
        <f>Games[[#This Row],[PointsFor]]-Games[[#This Row],[PointsAgainst]]</f>
        <v>-3</v>
      </c>
      <c r="V37" s="1">
        <f>IF(Games[[#This Row],[MOV]]&gt;0,1,IF(Games[[#This Row],[MOV]]=0,0.5,0))</f>
        <v>0</v>
      </c>
      <c r="W37" s="4">
        <f>((ABS(Games[[#This Row],[MOV]])+5)^0.6)/(12+0.01*(ABS(Games[[#This Row],[PreGmRate]]-Games[[#This Row],[OppPreGmRate]])))*IF(Games[[#This Row],[OT]]=1,0.9,1)</f>
        <v>0.26692076922412916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" s="9">
        <f>MAX(kmin, kmax - 0.15 * MIN(Games[[#This Row],[GamesPlayed]], 82))</f>
        <v>75.55</v>
      </c>
      <c r="Z37" s="4">
        <f>Games[[#This Row],[K]]*Games[[#This Row],[POMult]]</f>
        <v>75.55</v>
      </c>
      <c r="AA37" s="4">
        <f>(Games[[#This Row],[Keff]]*Games[[#This Row],[MOVMult]])*(Games[[#This Row],[Result]]-Games[[#This Row],[ExpectedWin%]])</f>
        <v>-14.342556340246748</v>
      </c>
      <c r="AB37" s="4">
        <f>Games[[#This Row],[PreGmRate]]+Games[[#This Row],[RatingChange]]</f>
        <v>1436.4888515214518</v>
      </c>
      <c r="AC37" s="2">
        <f>IF(Games[[#This Row],[Type]]="R",IF(Games[[#This Row],[Result]]&gt;0.5,1,0),0)</f>
        <v>0</v>
      </c>
      <c r="AD37" s="2">
        <f>IF(Games[[#This Row],[Type]]="R",IF(Games[[#This Row],[Result]]&lt;0.5,1,0),0)</f>
        <v>1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45074</v>
      </c>
      <c r="B38" s="2">
        <v>2023</v>
      </c>
      <c r="C38" s="2">
        <f>COUNTIFS(Games[Team],Games[[#This Row],[Team]],Games[Season],Games[[#This Row],[Season]],Games[Date],"&lt;=" &amp; Games[[#This Row],[Date]])</f>
        <v>3</v>
      </c>
      <c r="D38" s="2" t="s">
        <v>79</v>
      </c>
      <c r="E38" s="2" t="s">
        <v>80</v>
      </c>
      <c r="F38" s="1" t="s">
        <v>85</v>
      </c>
      <c r="G38" s="1" t="s">
        <v>75</v>
      </c>
      <c r="H38" s="1" t="s">
        <v>81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" s="2">
        <f>Games[[#This Row],[DaysOff]]-Games[[#This Row],[OppDaysOff]]</f>
        <v>0</v>
      </c>
      <c r="L38" s="2">
        <f>Games[[#This Row],[OppDaysOff]]-Games[[#This Row],[DaysOff]]</f>
        <v>0</v>
      </c>
      <c r="M38" s="1">
        <f>MAX(-16, MIN(16, Games[[#This Row],[RestDiff]]*8))</f>
        <v>0</v>
      </c>
      <c r="N38" s="1">
        <f>MAX(-16, MIN(16, Games[[#This Row],[OppRestDiff]]*8))</f>
        <v>0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1519.747314402558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1573.4688485901356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0.31157015692557055</v>
      </c>
      <c r="R38" s="1">
        <v>88</v>
      </c>
      <c r="S38" s="1">
        <v>94</v>
      </c>
      <c r="T38" s="1">
        <v>0</v>
      </c>
      <c r="U38" s="1">
        <f>Games[[#This Row],[PointsFor]]-Games[[#This Row],[PointsAgainst]]</f>
        <v>-6</v>
      </c>
      <c r="V38" s="1">
        <f>IF(Games[[#This Row],[MOV]]&gt;0,1,IF(Games[[#This Row],[MOV]]=0,0.5,0))</f>
        <v>0</v>
      </c>
      <c r="W38" s="4">
        <f>((ABS(Games[[#This Row],[MOV]])+5)^0.6)/(12+0.01*(ABS(Games[[#This Row],[PreGmRate]]-Games[[#This Row],[OppPreGmRate]])))*IF(Games[[#This Row],[OT]]=1,0.9,1)</f>
        <v>0.33622850195545984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" s="9">
        <f>MAX(kmin, kmax - 0.15 * MIN(Games[[#This Row],[GamesPlayed]], 82))</f>
        <v>75.55</v>
      </c>
      <c r="Z38" s="4">
        <f>Games[[#This Row],[K]]*Games[[#This Row],[POMult]]</f>
        <v>75.55</v>
      </c>
      <c r="AA38" s="4">
        <f>(Games[[#This Row],[Keff]]*Games[[#This Row],[MOVMult]])*(Games[[#This Row],[Result]]-Games[[#This Row],[ExpectedWin%]])</f>
        <v>-7.9145248556978203</v>
      </c>
      <c r="AB38" s="4">
        <f>Games[[#This Row],[PreGmRate]]+Games[[#This Row],[RatingChange]]</f>
        <v>1511.8327895468601</v>
      </c>
      <c r="AC38" s="2">
        <f>IF(Games[[#This Row],[Type]]="R",IF(Games[[#This Row],[Result]]&gt;0.5,1,0),0)</f>
        <v>0</v>
      </c>
      <c r="AD38" s="2">
        <f>IF(Games[[#This Row],[Type]]="R",IF(Games[[#This Row],[Result]]&lt;0.5,1,0),0)</f>
        <v>1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45074</v>
      </c>
      <c r="B39" s="2">
        <v>2023</v>
      </c>
      <c r="C39" s="2">
        <f>COUNTIFS(Games[Team],Games[[#This Row],[Team]],Games[Season],Games[[#This Row],[Season]],Games[Date],"&lt;=" &amp; Games[[#This Row],[Date]])</f>
        <v>4</v>
      </c>
      <c r="D39" s="2" t="s">
        <v>79</v>
      </c>
      <c r="E39" s="2" t="s">
        <v>80</v>
      </c>
      <c r="F39" s="1" t="s">
        <v>75</v>
      </c>
      <c r="G39" s="1" t="s">
        <v>85</v>
      </c>
      <c r="H39" s="1" t="s">
        <v>82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" s="2">
        <f>Games[[#This Row],[DaysOff]]-Games[[#This Row],[OppDaysOff]]</f>
        <v>0</v>
      </c>
      <c r="L39" s="2">
        <f>Games[[#This Row],[OppDaysOff]]-Games[[#This Row],[DaysOff]]</f>
        <v>0</v>
      </c>
      <c r="M39" s="1">
        <f>MAX(-16, MIN(16, Games[[#This Row],[RestDiff]]*8))</f>
        <v>0</v>
      </c>
      <c r="N39" s="1">
        <f>MAX(-16, MIN(16, Games[[#This Row],[OppRestDiff]]*8))</f>
        <v>0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1573.4688485901356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1519.747314402558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0.68842984307442945</v>
      </c>
      <c r="R39" s="1">
        <v>94</v>
      </c>
      <c r="S39" s="1">
        <v>88</v>
      </c>
      <c r="T39" s="1">
        <v>0</v>
      </c>
      <c r="U39" s="1">
        <f>Games[[#This Row],[PointsFor]]-Games[[#This Row],[PointsAgainst]]</f>
        <v>6</v>
      </c>
      <c r="V39" s="1">
        <f>IF(Games[[#This Row],[MOV]]&gt;0,1,IF(Games[[#This Row],[MOV]]=0,0.5,0))</f>
        <v>1</v>
      </c>
      <c r="W39" s="4">
        <f>((ABS(Games[[#This Row],[MOV]])+5)^0.6)/(12+0.01*(ABS(Games[[#This Row],[PreGmRate]]-Games[[#This Row],[OppPreGmRate]])))*IF(Games[[#This Row],[OT]]=1,0.9,1)</f>
        <v>0.33622850195545984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" s="9">
        <f>MAX(kmin, kmax - 0.15 * MIN(Games[[#This Row],[GamesPlayed]], 82))</f>
        <v>75.400000000000006</v>
      </c>
      <c r="Z39" s="4">
        <f>Games[[#This Row],[K]]*Games[[#This Row],[POMult]]</f>
        <v>75.400000000000006</v>
      </c>
      <c r="AA39" s="4">
        <f>(Games[[#This Row],[Keff]]*Games[[#This Row],[MOVMult]])*(Games[[#This Row],[Result]]-Games[[#This Row],[ExpectedWin%]])</f>
        <v>7.898811040630255</v>
      </c>
      <c r="AB39" s="4">
        <f>Games[[#This Row],[PreGmRate]]+Games[[#This Row],[RatingChange]]</f>
        <v>1581.367659630766</v>
      </c>
      <c r="AC39" s="2">
        <f>IF(Games[[#This Row],[Type]]="R",IF(Games[[#This Row],[Result]]&gt;0.5,1,0),0)</f>
        <v>1</v>
      </c>
      <c r="AD39" s="2">
        <f>IF(Games[[#This Row],[Type]]="R",IF(Games[[#This Row],[Result]]&lt;0.5,1,0),0)</f>
        <v>0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45074</v>
      </c>
      <c r="B40" s="2">
        <v>2023</v>
      </c>
      <c r="C40" s="2">
        <f>COUNTIFS(Games[Team],Games[[#This Row],[Team]],Games[Season],Games[[#This Row],[Season]],Games[Date],"&lt;=" &amp; Games[[#This Row],[Date]])</f>
        <v>4</v>
      </c>
      <c r="D40" s="2" t="s">
        <v>79</v>
      </c>
      <c r="E40" s="2" t="s">
        <v>80</v>
      </c>
      <c r="F40" s="1" t="s">
        <v>67</v>
      </c>
      <c r="G40" s="1" t="s">
        <v>86</v>
      </c>
      <c r="H40" s="1" t="s">
        <v>81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0" s="2">
        <f>Games[[#This Row],[DaysOff]]-Games[[#This Row],[OppDaysOff]]</f>
        <v>2</v>
      </c>
      <c r="L40" s="2">
        <f>Games[[#This Row],[OppDaysOff]]-Games[[#This Row],[DaysOff]]</f>
        <v>-2</v>
      </c>
      <c r="M40" s="1">
        <f>MAX(-16, MIN(16, Games[[#This Row],[RestDiff]]*8))</f>
        <v>16</v>
      </c>
      <c r="N40" s="1">
        <f>MAX(-16, MIN(16, Games[[#This Row],[OppRestDiff]]*8))</f>
        <v>-16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1446.6100559266663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1656.9110531046317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0.1809497728123024</v>
      </c>
      <c r="R40" s="1">
        <v>73</v>
      </c>
      <c r="S40" s="1">
        <v>94</v>
      </c>
      <c r="T40" s="1">
        <v>0</v>
      </c>
      <c r="U40" s="1">
        <f>Games[[#This Row],[PointsFor]]-Games[[#This Row],[PointsAgainst]]</f>
        <v>-21</v>
      </c>
      <c r="V40" s="1">
        <f>IF(Games[[#This Row],[MOV]]&gt;0,1,IF(Games[[#This Row],[MOV]]=0,0.5,0))</f>
        <v>0</v>
      </c>
      <c r="W40" s="4">
        <f>((ABS(Games[[#This Row],[MOV]])+5)^0.6)/(12+0.01*(ABS(Games[[#This Row],[PreGmRate]]-Games[[#This Row],[OppPreGmRate]])))*IF(Games[[#This Row],[OT]]=1,0.9,1)</f>
        <v>0.5008090817053843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" s="9">
        <f>MAX(kmin, kmax - 0.15 * MIN(Games[[#This Row],[GamesPlayed]], 82))</f>
        <v>75.400000000000006</v>
      </c>
      <c r="Z40" s="4">
        <f>Games[[#This Row],[K]]*Games[[#This Row],[POMult]]</f>
        <v>75.400000000000006</v>
      </c>
      <c r="AA40" s="4">
        <f>(Games[[#This Row],[Keff]]*Games[[#This Row],[MOVMult]])*(Games[[#This Row],[Result]]-Games[[#This Row],[ExpectedWin%]])</f>
        <v>-6.8328452325923017</v>
      </c>
      <c r="AB40" s="4">
        <f>Games[[#This Row],[PreGmRate]]+Games[[#This Row],[RatingChange]]</f>
        <v>1439.777210694074</v>
      </c>
      <c r="AC40" s="2">
        <f>IF(Games[[#This Row],[Type]]="R",IF(Games[[#This Row],[Result]]&gt;0.5,1,0),0)</f>
        <v>0</v>
      </c>
      <c r="AD40" s="2">
        <f>IF(Games[[#This Row],[Type]]="R",IF(Games[[#This Row],[Result]]&lt;0.5,1,0),0)</f>
        <v>1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45074</v>
      </c>
      <c r="B41" s="2">
        <v>2023</v>
      </c>
      <c r="C41" s="2">
        <f>COUNTIFS(Games[Team],Games[[#This Row],[Team]],Games[Season],Games[[#This Row],[Season]],Games[Date],"&lt;=" &amp; Games[[#This Row],[Date]])</f>
        <v>4</v>
      </c>
      <c r="D41" s="2" t="s">
        <v>79</v>
      </c>
      <c r="E41" s="2" t="s">
        <v>80</v>
      </c>
      <c r="F41" s="1" t="s">
        <v>86</v>
      </c>
      <c r="G41" s="1" t="s">
        <v>67</v>
      </c>
      <c r="H41" s="1" t="s">
        <v>82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0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" s="2">
        <f>Games[[#This Row],[DaysOff]]-Games[[#This Row],[OppDaysOff]]</f>
        <v>-2</v>
      </c>
      <c r="L41" s="2">
        <f>Games[[#This Row],[OppDaysOff]]-Games[[#This Row],[DaysOff]]</f>
        <v>2</v>
      </c>
      <c r="M41" s="1">
        <f>MAX(-16, MIN(16, Games[[#This Row],[RestDiff]]*8))</f>
        <v>-16</v>
      </c>
      <c r="N41" s="1">
        <f>MAX(-16, MIN(16, Games[[#This Row],[OppRestDiff]]*8))</f>
        <v>16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1656.9110531046317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1446.6100559266663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0.8190502271876976</v>
      </c>
      <c r="R41" s="1">
        <v>94</v>
      </c>
      <c r="S41" s="1">
        <v>73</v>
      </c>
      <c r="T41" s="1">
        <v>0</v>
      </c>
      <c r="U41" s="1">
        <f>Games[[#This Row],[PointsFor]]-Games[[#This Row],[PointsAgainst]]</f>
        <v>21</v>
      </c>
      <c r="V41" s="1">
        <f>IF(Games[[#This Row],[MOV]]&gt;0,1,IF(Games[[#This Row],[MOV]]=0,0.5,0))</f>
        <v>1</v>
      </c>
      <c r="W41" s="4">
        <f>((ABS(Games[[#This Row],[MOV]])+5)^0.6)/(12+0.01*(ABS(Games[[#This Row],[PreGmRate]]-Games[[#This Row],[OppPreGmRate]])))*IF(Games[[#This Row],[OT]]=1,0.9,1)</f>
        <v>0.5008090817053843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" s="9">
        <f>MAX(kmin, kmax - 0.15 * MIN(Games[[#This Row],[GamesPlayed]], 82))</f>
        <v>75.400000000000006</v>
      </c>
      <c r="Z41" s="4">
        <f>Games[[#This Row],[K]]*Games[[#This Row],[POMult]]</f>
        <v>75.400000000000006</v>
      </c>
      <c r="AA41" s="4">
        <f>(Games[[#This Row],[Keff]]*Games[[#This Row],[MOVMult]])*(Games[[#This Row],[Result]]-Games[[#This Row],[ExpectedWin%]])</f>
        <v>6.8328452325923017</v>
      </c>
      <c r="AB41" s="4">
        <f>Games[[#This Row],[PreGmRate]]+Games[[#This Row],[RatingChange]]</f>
        <v>1663.743898337224</v>
      </c>
      <c r="AC41" s="2">
        <f>IF(Games[[#This Row],[Type]]="R",IF(Games[[#This Row],[Result]]&gt;0.5,1,0),0)</f>
        <v>1</v>
      </c>
      <c r="AD41" s="2">
        <f>IF(Games[[#This Row],[Type]]="R",IF(Games[[#This Row],[Result]]&lt;0.5,1,0),0)</f>
        <v>0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45076</v>
      </c>
      <c r="B42" s="2">
        <v>2023</v>
      </c>
      <c r="C42" s="2">
        <f>COUNTIFS(Games[Team],Games[[#This Row],[Team]],Games[Season],Games[[#This Row],[Season]],Games[Date],"&lt;=" &amp; Games[[#This Row],[Date]])</f>
        <v>5</v>
      </c>
      <c r="D42" s="2" t="s">
        <v>79</v>
      </c>
      <c r="E42" s="2" t="s">
        <v>80</v>
      </c>
      <c r="F42" s="1" t="s">
        <v>75</v>
      </c>
      <c r="G42" s="1" t="s">
        <v>77</v>
      </c>
      <c r="H42" s="1" t="s">
        <v>81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" s="2">
        <f>Games[[#This Row],[DaysOff]]-Games[[#This Row],[OppDaysOff]]</f>
        <v>0</v>
      </c>
      <c r="L42" s="2">
        <f>Games[[#This Row],[OppDaysOff]]-Games[[#This Row],[DaysOff]]</f>
        <v>0</v>
      </c>
      <c r="M42" s="1">
        <f>MAX(-16, MIN(16, Games[[#This Row],[RestDiff]]*8))</f>
        <v>0</v>
      </c>
      <c r="N42" s="1">
        <f>MAX(-16, MIN(16, Games[[#This Row],[OppRestDiff]]*8))</f>
        <v>0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1581.367659630766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1436.4888515214518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0.58672587165738321</v>
      </c>
      <c r="R42" s="1">
        <v>65</v>
      </c>
      <c r="S42" s="1">
        <v>83</v>
      </c>
      <c r="T42" s="1">
        <v>0</v>
      </c>
      <c r="U42" s="1">
        <f>Games[[#This Row],[PointsFor]]-Games[[#This Row],[PointsAgainst]]</f>
        <v>-18</v>
      </c>
      <c r="V42" s="1">
        <f>IF(Games[[#This Row],[MOV]]&gt;0,1,IF(Games[[#This Row],[MOV]]=0,0.5,0))</f>
        <v>0</v>
      </c>
      <c r="W42" s="4">
        <f>((ABS(Games[[#This Row],[MOV]])+5)^0.6)/(12+0.01*(ABS(Games[[#This Row],[PreGmRate]]-Games[[#This Row],[OppPreGmRate]])))*IF(Games[[#This Row],[OT]]=1,0.9,1)</f>
        <v>0.48792553990355414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" s="9">
        <f>MAX(kmin, kmax - 0.15 * MIN(Games[[#This Row],[GamesPlayed]], 82))</f>
        <v>75.25</v>
      </c>
      <c r="Z42" s="4">
        <f>Games[[#This Row],[K]]*Games[[#This Row],[POMult]]</f>
        <v>75.25</v>
      </c>
      <c r="AA42" s="4">
        <f>(Games[[#This Row],[Keff]]*Games[[#This Row],[MOVMult]])*(Games[[#This Row],[Result]]-Games[[#This Row],[ExpectedWin%]])</f>
        <v>-21.542459962211861</v>
      </c>
      <c r="AB42" s="4">
        <f>Games[[#This Row],[PreGmRate]]+Games[[#This Row],[RatingChange]]</f>
        <v>1559.8251996685542</v>
      </c>
      <c r="AC42" s="2">
        <f>IF(Games[[#This Row],[Type]]="R",IF(Games[[#This Row],[Result]]&gt;0.5,1,0),0)</f>
        <v>0</v>
      </c>
      <c r="AD42" s="2">
        <f>IF(Games[[#This Row],[Type]]="R",IF(Games[[#This Row],[Result]]&lt;0.5,1,0),0)</f>
        <v>1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45076</v>
      </c>
      <c r="B43" s="2">
        <v>2023</v>
      </c>
      <c r="C43" s="2">
        <f>COUNTIFS(Games[Team],Games[[#This Row],[Team]],Games[Season],Games[[#This Row],[Season]],Games[Date],"&lt;=" &amp; Games[[#This Row],[Date]])</f>
        <v>4</v>
      </c>
      <c r="D43" s="2" t="s">
        <v>79</v>
      </c>
      <c r="E43" s="2" t="s">
        <v>80</v>
      </c>
      <c r="F43" s="1" t="s">
        <v>77</v>
      </c>
      <c r="G43" s="1" t="s">
        <v>75</v>
      </c>
      <c r="H43" s="1" t="s">
        <v>82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" s="2">
        <f>Games[[#This Row],[DaysOff]]-Games[[#This Row],[OppDaysOff]]</f>
        <v>0</v>
      </c>
      <c r="L43" s="2">
        <f>Games[[#This Row],[OppDaysOff]]-Games[[#This Row],[DaysOff]]</f>
        <v>0</v>
      </c>
      <c r="M43" s="1">
        <f>MAX(-16, MIN(16, Games[[#This Row],[RestDiff]]*8))</f>
        <v>0</v>
      </c>
      <c r="N43" s="1">
        <f>MAX(-16, MIN(16, Games[[#This Row],[OppRestDiff]]*8))</f>
        <v>0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1436.4888515214518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1581.367659630766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0.4132741283426169</v>
      </c>
      <c r="R43" s="1">
        <v>83</v>
      </c>
      <c r="S43" s="1">
        <v>65</v>
      </c>
      <c r="T43" s="1">
        <v>0</v>
      </c>
      <c r="U43" s="1">
        <f>Games[[#This Row],[PointsFor]]-Games[[#This Row],[PointsAgainst]]</f>
        <v>18</v>
      </c>
      <c r="V43" s="1">
        <f>IF(Games[[#This Row],[MOV]]&gt;0,1,IF(Games[[#This Row],[MOV]]=0,0.5,0))</f>
        <v>1</v>
      </c>
      <c r="W43" s="4">
        <f>((ABS(Games[[#This Row],[MOV]])+5)^0.6)/(12+0.01*(ABS(Games[[#This Row],[PreGmRate]]-Games[[#This Row],[OppPreGmRate]])))*IF(Games[[#This Row],[OT]]=1,0.9,1)</f>
        <v>0.48792553990355414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" s="9">
        <f>MAX(kmin, kmax - 0.15 * MIN(Games[[#This Row],[GamesPlayed]], 82))</f>
        <v>75.400000000000006</v>
      </c>
      <c r="Z43" s="4">
        <f>Games[[#This Row],[K]]*Games[[#This Row],[POMult]]</f>
        <v>75.400000000000006</v>
      </c>
      <c r="AA43" s="4">
        <f>(Games[[#This Row],[Keff]]*Games[[#This Row],[MOVMult]])*(Games[[#This Row],[Result]]-Games[[#This Row],[ExpectedWin%]])</f>
        <v>21.585401742867429</v>
      </c>
      <c r="AB43" s="4">
        <f>Games[[#This Row],[PreGmRate]]+Games[[#This Row],[RatingChange]]</f>
        <v>1458.0742532643192</v>
      </c>
      <c r="AC43" s="2">
        <f>IF(Games[[#This Row],[Type]]="R",IF(Games[[#This Row],[Result]]&gt;0.5,1,0),0)</f>
        <v>1</v>
      </c>
      <c r="AD43" s="2">
        <f>IF(Games[[#This Row],[Type]]="R",IF(Games[[#This Row],[Result]]&lt;0.5,1,0),0)</f>
        <v>0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45076</v>
      </c>
      <c r="B44" s="2">
        <v>2023</v>
      </c>
      <c r="C44" s="2">
        <f>COUNTIFS(Games[Team],Games[[#This Row],[Team]],Games[Season],Games[[#This Row],[Season]],Games[Date],"&lt;=" &amp; Games[[#This Row],[Date]])</f>
        <v>4</v>
      </c>
      <c r="D44" s="2" t="s">
        <v>79</v>
      </c>
      <c r="E44" s="2" t="s">
        <v>80</v>
      </c>
      <c r="F44" s="1" t="s">
        <v>69</v>
      </c>
      <c r="G44" s="1" t="s">
        <v>74</v>
      </c>
      <c r="H44" s="1" t="s">
        <v>81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" s="2">
        <f>Games[[#This Row],[DaysOff]]-Games[[#This Row],[OppDaysOff]]</f>
        <v>-1</v>
      </c>
      <c r="L44" s="2">
        <f>Games[[#This Row],[OppDaysOff]]-Games[[#This Row],[DaysOff]]</f>
        <v>1</v>
      </c>
      <c r="M44" s="1">
        <f>MAX(-16, MIN(16, Games[[#This Row],[RestDiff]]*8))</f>
        <v>-8</v>
      </c>
      <c r="N44" s="1">
        <f>MAX(-16, MIN(16, Games[[#This Row],[OppRestDiff]]*8))</f>
        <v>8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1360.5912360364403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1596.3223393632425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0.12646047327227805</v>
      </c>
      <c r="R44" s="1">
        <v>78</v>
      </c>
      <c r="S44" s="1">
        <v>81</v>
      </c>
      <c r="T44" s="1">
        <v>0</v>
      </c>
      <c r="U44" s="1">
        <f>Games[[#This Row],[PointsFor]]-Games[[#This Row],[PointsAgainst]]</f>
        <v>-3</v>
      </c>
      <c r="V44" s="1">
        <f>IF(Games[[#This Row],[MOV]]&gt;0,1,IF(Games[[#This Row],[MOV]]=0,0.5,0))</f>
        <v>0</v>
      </c>
      <c r="W44" s="4">
        <f>((ABS(Games[[#This Row],[MOV]])+5)^0.6)/(12+0.01*(ABS(Games[[#This Row],[PreGmRate]]-Games[[#This Row],[OppPreGmRate]])))*IF(Games[[#This Row],[OT]]=1,0.9,1)</f>
        <v>0.24253860943150959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" s="9">
        <f>MAX(kmin, kmax - 0.15 * MIN(Games[[#This Row],[GamesPlayed]], 82))</f>
        <v>75.400000000000006</v>
      </c>
      <c r="Z44" s="4">
        <f>Games[[#This Row],[K]]*Games[[#This Row],[POMult]]</f>
        <v>75.400000000000006</v>
      </c>
      <c r="AA44" s="4">
        <f>(Games[[#This Row],[Keff]]*Games[[#This Row],[MOVMult]])*(Games[[#This Row],[Result]]-Games[[#This Row],[ExpectedWin%]])</f>
        <v>-2.3126346690973714</v>
      </c>
      <c r="AB44" s="4">
        <f>Games[[#This Row],[PreGmRate]]+Games[[#This Row],[RatingChange]]</f>
        <v>1358.2786013673428</v>
      </c>
      <c r="AC44" s="2">
        <f>IF(Games[[#This Row],[Type]]="R",IF(Games[[#This Row],[Result]]&gt;0.5,1,0),0)</f>
        <v>0</v>
      </c>
      <c r="AD44" s="2">
        <f>IF(Games[[#This Row],[Type]]="R",IF(Games[[#This Row],[Result]]&lt;0.5,1,0),0)</f>
        <v>1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45076</v>
      </c>
      <c r="B45" s="2">
        <v>2023</v>
      </c>
      <c r="C45" s="2">
        <f>COUNTIFS(Games[Team],Games[[#This Row],[Team]],Games[Season],Games[[#This Row],[Season]],Games[Date],"&lt;=" &amp; Games[[#This Row],[Date]])</f>
        <v>5</v>
      </c>
      <c r="D45" s="2" t="s">
        <v>79</v>
      </c>
      <c r="E45" s="2" t="s">
        <v>80</v>
      </c>
      <c r="F45" s="1" t="s">
        <v>74</v>
      </c>
      <c r="G45" s="1" t="s">
        <v>69</v>
      </c>
      <c r="H45" s="1" t="s">
        <v>82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" s="2">
        <f>Games[[#This Row],[DaysOff]]-Games[[#This Row],[OppDaysOff]]</f>
        <v>1</v>
      </c>
      <c r="L45" s="2">
        <f>Games[[#This Row],[OppDaysOff]]-Games[[#This Row],[DaysOff]]</f>
        <v>-1</v>
      </c>
      <c r="M45" s="1">
        <f>MAX(-16, MIN(16, Games[[#This Row],[RestDiff]]*8))</f>
        <v>8</v>
      </c>
      <c r="N45" s="1">
        <f>MAX(-16, MIN(16, Games[[#This Row],[OppRestDiff]]*8))</f>
        <v>-8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1596.3223393632425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1360.5912360364403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0.87353952672772195</v>
      </c>
      <c r="R45" s="1">
        <v>81</v>
      </c>
      <c r="S45" s="1">
        <v>78</v>
      </c>
      <c r="T45" s="1">
        <v>0</v>
      </c>
      <c r="U45" s="1">
        <f>Games[[#This Row],[PointsFor]]-Games[[#This Row],[PointsAgainst]]</f>
        <v>3</v>
      </c>
      <c r="V45" s="1">
        <f>IF(Games[[#This Row],[MOV]]&gt;0,1,IF(Games[[#This Row],[MOV]]=0,0.5,0))</f>
        <v>1</v>
      </c>
      <c r="W45" s="4">
        <f>((ABS(Games[[#This Row],[MOV]])+5)^0.6)/(12+0.01*(ABS(Games[[#This Row],[PreGmRate]]-Games[[#This Row],[OppPreGmRate]])))*IF(Games[[#This Row],[OT]]=1,0.9,1)</f>
        <v>0.24253860943150959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" s="9">
        <f>MAX(kmin, kmax - 0.15 * MIN(Games[[#This Row],[GamesPlayed]], 82))</f>
        <v>75.25</v>
      </c>
      <c r="Z45" s="4">
        <f>Games[[#This Row],[K]]*Games[[#This Row],[POMult]]</f>
        <v>75.25</v>
      </c>
      <c r="AA45" s="4">
        <f>(Games[[#This Row],[Keff]]*Games[[#This Row],[MOVMult]])*(Games[[#This Row],[Result]]-Games[[#This Row],[ExpectedWin%]])</f>
        <v>2.3080339369970448</v>
      </c>
      <c r="AB45" s="4">
        <f>Games[[#This Row],[PreGmRate]]+Games[[#This Row],[RatingChange]]</f>
        <v>1598.6303733002394</v>
      </c>
      <c r="AC45" s="2">
        <f>IF(Games[[#This Row],[Type]]="R",IF(Games[[#This Row],[Result]]&gt;0.5,1,0),0)</f>
        <v>1</v>
      </c>
      <c r="AD45" s="2">
        <f>IF(Games[[#This Row],[Type]]="R",IF(Games[[#This Row],[Result]]&lt;0.5,1,0),0)</f>
        <v>0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45076</v>
      </c>
      <c r="B46" s="2">
        <v>2023</v>
      </c>
      <c r="C46" s="2">
        <f>COUNTIFS(Games[Team],Games[[#This Row],[Team]],Games[Season],Games[[#This Row],[Season]],Games[Date],"&lt;=" &amp; Games[[#This Row],[Date]])</f>
        <v>5</v>
      </c>
      <c r="D46" s="2" t="s">
        <v>79</v>
      </c>
      <c r="E46" s="2" t="s">
        <v>80</v>
      </c>
      <c r="F46" s="1" t="s">
        <v>67</v>
      </c>
      <c r="G46" s="1" t="s">
        <v>85</v>
      </c>
      <c r="H46" s="1" t="s">
        <v>81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" s="2">
        <f>Games[[#This Row],[DaysOff]]-Games[[#This Row],[OppDaysOff]]</f>
        <v>0</v>
      </c>
      <c r="L46" s="2">
        <f>Games[[#This Row],[OppDaysOff]]-Games[[#This Row],[DaysOff]]</f>
        <v>0</v>
      </c>
      <c r="M46" s="1">
        <f>MAX(-16, MIN(16, Games[[#This Row],[RestDiff]]*8))</f>
        <v>0</v>
      </c>
      <c r="N46" s="1">
        <f>MAX(-16, MIN(16, Games[[#This Row],[OppRestDiff]]*8))</f>
        <v>0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1439.777210694074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1511.8327895468601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0.28939418956890089</v>
      </c>
      <c r="R46" s="1">
        <v>89</v>
      </c>
      <c r="S46" s="1">
        <v>94</v>
      </c>
      <c r="T46" s="1">
        <v>0</v>
      </c>
      <c r="U46" s="1">
        <f>Games[[#This Row],[PointsFor]]-Games[[#This Row],[PointsAgainst]]</f>
        <v>-5</v>
      </c>
      <c r="V46" s="1">
        <f>IF(Games[[#This Row],[MOV]]&gt;0,1,IF(Games[[#This Row],[MOV]]=0,0.5,0))</f>
        <v>0</v>
      </c>
      <c r="W46" s="4">
        <f>((ABS(Games[[#This Row],[MOV]])+5)^0.6)/(12+0.01*(ABS(Games[[#This Row],[PreGmRate]]-Games[[#This Row],[OppPreGmRate]])))*IF(Games[[#This Row],[OT]]=1,0.9,1)</f>
        <v>0.31296366068574893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" s="9">
        <f>MAX(kmin, kmax - 0.15 * MIN(Games[[#This Row],[GamesPlayed]], 82))</f>
        <v>75.25</v>
      </c>
      <c r="Z46" s="4">
        <f>Games[[#This Row],[K]]*Games[[#This Row],[POMult]]</f>
        <v>75.25</v>
      </c>
      <c r="AA46" s="4">
        <f>(Games[[#This Row],[Keff]]*Games[[#This Row],[MOVMult]])*(Games[[#This Row],[Result]]-Games[[#This Row],[ExpectedWin%]])</f>
        <v>-6.8153823373873275</v>
      </c>
      <c r="AB46" s="4">
        <f>Games[[#This Row],[PreGmRate]]+Games[[#This Row],[RatingChange]]</f>
        <v>1432.9618283566867</v>
      </c>
      <c r="AC46" s="2">
        <f>IF(Games[[#This Row],[Type]]="R",IF(Games[[#This Row],[Result]]&gt;0.5,1,0),0)</f>
        <v>0</v>
      </c>
      <c r="AD46" s="2">
        <f>IF(Games[[#This Row],[Type]]="R",IF(Games[[#This Row],[Result]]&lt;0.5,1,0),0)</f>
        <v>1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45076</v>
      </c>
      <c r="B47" s="2">
        <v>2023</v>
      </c>
      <c r="C47" s="2">
        <f>COUNTIFS(Games[Team],Games[[#This Row],[Team]],Games[Season],Games[[#This Row],[Season]],Games[Date],"&lt;=" &amp; Games[[#This Row],[Date]])</f>
        <v>4</v>
      </c>
      <c r="D47" s="2" t="s">
        <v>79</v>
      </c>
      <c r="E47" s="2" t="s">
        <v>80</v>
      </c>
      <c r="F47" s="1" t="s">
        <v>85</v>
      </c>
      <c r="G47" s="1" t="s">
        <v>67</v>
      </c>
      <c r="H47" s="1" t="s">
        <v>82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" s="2">
        <f>Games[[#This Row],[DaysOff]]-Games[[#This Row],[OppDaysOff]]</f>
        <v>0</v>
      </c>
      <c r="L47" s="2">
        <f>Games[[#This Row],[OppDaysOff]]-Games[[#This Row],[DaysOff]]</f>
        <v>0</v>
      </c>
      <c r="M47" s="1">
        <f>MAX(-16, MIN(16, Games[[#This Row],[RestDiff]]*8))</f>
        <v>0</v>
      </c>
      <c r="N47" s="1">
        <f>MAX(-16, MIN(16, Games[[#This Row],[OppRestDiff]]*8))</f>
        <v>0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1511.8327895468601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1439.777210694074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0.71060581043109905</v>
      </c>
      <c r="R47" s="1">
        <v>94</v>
      </c>
      <c r="S47" s="1">
        <v>89</v>
      </c>
      <c r="T47" s="1">
        <v>0</v>
      </c>
      <c r="U47" s="1">
        <f>Games[[#This Row],[PointsFor]]-Games[[#This Row],[PointsAgainst]]</f>
        <v>5</v>
      </c>
      <c r="V47" s="1">
        <f>IF(Games[[#This Row],[MOV]]&gt;0,1,IF(Games[[#This Row],[MOV]]=0,0.5,0))</f>
        <v>1</v>
      </c>
      <c r="W47" s="4">
        <f>((ABS(Games[[#This Row],[MOV]])+5)^0.6)/(12+0.01*(ABS(Games[[#This Row],[PreGmRate]]-Games[[#This Row],[OppPreGmRate]])))*IF(Games[[#This Row],[OT]]=1,0.9,1)</f>
        <v>0.31296366068574893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" s="9">
        <f>MAX(kmin, kmax - 0.15 * MIN(Games[[#This Row],[GamesPlayed]], 82))</f>
        <v>75.400000000000006</v>
      </c>
      <c r="Z47" s="4">
        <f>Games[[#This Row],[K]]*Games[[#This Row],[POMult]]</f>
        <v>75.400000000000006</v>
      </c>
      <c r="AA47" s="4">
        <f>(Games[[#This Row],[Keff]]*Games[[#This Row],[MOVMult]])*(Games[[#This Row],[Result]]-Games[[#This Row],[ExpectedWin%]])</f>
        <v>6.8289678171296302</v>
      </c>
      <c r="AB47" s="4">
        <f>Games[[#This Row],[PreGmRate]]+Games[[#This Row],[RatingChange]]</f>
        <v>1518.6617573639896</v>
      </c>
      <c r="AC47" s="2">
        <f>IF(Games[[#This Row],[Type]]="R",IF(Games[[#This Row],[Result]]&gt;0.5,1,0),0)</f>
        <v>1</v>
      </c>
      <c r="AD47" s="2">
        <f>IF(Games[[#This Row],[Type]]="R",IF(Games[[#This Row],[Result]]&lt;0.5,1,0),0)</f>
        <v>0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45076</v>
      </c>
      <c r="B48" s="2">
        <v>2023</v>
      </c>
      <c r="C48" s="2">
        <f>COUNTIFS(Games[Team],Games[[#This Row],[Team]],Games[Season],Games[[#This Row],[Season]],Games[Date],"&lt;=" &amp; Games[[#This Row],[Date]])</f>
        <v>4</v>
      </c>
      <c r="D48" s="2" t="s">
        <v>79</v>
      </c>
      <c r="E48" s="2" t="s">
        <v>80</v>
      </c>
      <c r="F48" s="1" t="s">
        <v>60</v>
      </c>
      <c r="G48" s="1" t="s">
        <v>71</v>
      </c>
      <c r="H48" s="1" t="s">
        <v>81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8" s="2">
        <f>Games[[#This Row],[DaysOff]]-Games[[#This Row],[OppDaysOff]]</f>
        <v>-1</v>
      </c>
      <c r="L48" s="2">
        <f>Games[[#This Row],[OppDaysOff]]-Games[[#This Row],[DaysOff]]</f>
        <v>1</v>
      </c>
      <c r="M48" s="1">
        <f>MAX(-16, MIN(16, Games[[#This Row],[RestDiff]]*8))</f>
        <v>-8</v>
      </c>
      <c r="N48" s="1">
        <f>MAX(-16, MIN(16, Games[[#This Row],[OppRestDiff]]*8))</f>
        <v>8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1499.0641218926357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1502.2552049140552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0.3557140151196681</v>
      </c>
      <c r="R48" s="1">
        <v>86</v>
      </c>
      <c r="S48" s="1">
        <v>78</v>
      </c>
      <c r="T48" s="1">
        <v>0</v>
      </c>
      <c r="U48" s="1">
        <f>Games[[#This Row],[PointsFor]]-Games[[#This Row],[PointsAgainst]]</f>
        <v>8</v>
      </c>
      <c r="V48" s="1">
        <f>IF(Games[[#This Row],[MOV]]&gt;0,1,IF(Games[[#This Row],[MOV]]=0,0.5,0))</f>
        <v>1</v>
      </c>
      <c r="W48" s="4">
        <f>((ABS(Games[[#This Row],[MOV]])+5)^0.6)/(12+0.01*(ABS(Games[[#This Row],[PreGmRate]]-Games[[#This Row],[OppPreGmRate]])))*IF(Games[[#This Row],[OT]]=1,0.9,1)</f>
        <v>0.38728565111491203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8" s="9">
        <f>MAX(kmin, kmax - 0.15 * MIN(Games[[#This Row],[GamesPlayed]], 82))</f>
        <v>75.400000000000006</v>
      </c>
      <c r="Z48" s="4">
        <f>Games[[#This Row],[K]]*Games[[#This Row],[POMult]]</f>
        <v>75.400000000000006</v>
      </c>
      <c r="AA48" s="4">
        <f>(Games[[#This Row],[Keff]]*Games[[#This Row],[MOVMult]])*(Games[[#This Row],[Result]]-Games[[#This Row],[ExpectedWin%]])</f>
        <v>18.814012873757818</v>
      </c>
      <c r="AB48" s="4">
        <f>Games[[#This Row],[PreGmRate]]+Games[[#This Row],[RatingChange]]</f>
        <v>1517.8781347663935</v>
      </c>
      <c r="AC48" s="2">
        <f>IF(Games[[#This Row],[Type]]="R",IF(Games[[#This Row],[Result]]&gt;0.5,1,0),0)</f>
        <v>1</v>
      </c>
      <c r="AD48" s="2">
        <f>IF(Games[[#This Row],[Type]]="R",IF(Games[[#This Row],[Result]]&lt;0.5,1,0),0)</f>
        <v>0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45076</v>
      </c>
      <c r="B49" s="2">
        <v>2023</v>
      </c>
      <c r="C49" s="2">
        <f>COUNTIFS(Games[Team],Games[[#This Row],[Team]],Games[Season],Games[[#This Row],[Season]],Games[Date],"&lt;=" &amp; Games[[#This Row],[Date]])</f>
        <v>3</v>
      </c>
      <c r="D49" s="2" t="s">
        <v>79</v>
      </c>
      <c r="E49" s="2" t="s">
        <v>80</v>
      </c>
      <c r="F49" s="1" t="s">
        <v>71</v>
      </c>
      <c r="G49" s="1" t="s">
        <v>60</v>
      </c>
      <c r="H49" s="1" t="s">
        <v>82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3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9" s="2">
        <f>Games[[#This Row],[DaysOff]]-Games[[#This Row],[OppDaysOff]]</f>
        <v>1</v>
      </c>
      <c r="L49" s="2">
        <f>Games[[#This Row],[OppDaysOff]]-Games[[#This Row],[DaysOff]]</f>
        <v>-1</v>
      </c>
      <c r="M49" s="1">
        <f>MAX(-16, MIN(16, Games[[#This Row],[RestDiff]]*8))</f>
        <v>8</v>
      </c>
      <c r="N49" s="1">
        <f>MAX(-16, MIN(16, Games[[#This Row],[OppRestDiff]]*8))</f>
        <v>-8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1502.2552049140552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1499.0641218926357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0.64428598488033195</v>
      </c>
      <c r="R49" s="1">
        <v>78</v>
      </c>
      <c r="S49" s="1">
        <v>86</v>
      </c>
      <c r="T49" s="1">
        <v>0</v>
      </c>
      <c r="U49" s="1">
        <f>Games[[#This Row],[PointsFor]]-Games[[#This Row],[PointsAgainst]]</f>
        <v>-8</v>
      </c>
      <c r="V49" s="1">
        <f>IF(Games[[#This Row],[MOV]]&gt;0,1,IF(Games[[#This Row],[MOV]]=0,0.5,0))</f>
        <v>0</v>
      </c>
      <c r="W49" s="4">
        <f>((ABS(Games[[#This Row],[MOV]])+5)^0.6)/(12+0.01*(ABS(Games[[#This Row],[PreGmRate]]-Games[[#This Row],[OppPreGmRate]])))*IF(Games[[#This Row],[OT]]=1,0.9,1)</f>
        <v>0.38728565111491203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9" s="9">
        <f>MAX(kmin, kmax - 0.15 * MIN(Games[[#This Row],[GamesPlayed]], 82))</f>
        <v>75.55</v>
      </c>
      <c r="Z49" s="4">
        <f>Games[[#This Row],[K]]*Games[[#This Row],[POMult]]</f>
        <v>75.55</v>
      </c>
      <c r="AA49" s="4">
        <f>(Games[[#This Row],[Keff]]*Games[[#This Row],[MOVMult]])*(Games[[#This Row],[Result]]-Games[[#This Row],[ExpectedWin%]])</f>
        <v>-18.851441281331606</v>
      </c>
      <c r="AB49" s="4">
        <f>Games[[#This Row],[PreGmRate]]+Games[[#This Row],[RatingChange]]</f>
        <v>1483.4037636327237</v>
      </c>
      <c r="AC49" s="2">
        <f>IF(Games[[#This Row],[Type]]="R",IF(Games[[#This Row],[Result]]&gt;0.5,1,0),0)</f>
        <v>0</v>
      </c>
      <c r="AD49" s="2">
        <f>IF(Games[[#This Row],[Type]]="R",IF(Games[[#This Row],[Result]]&lt;0.5,1,0),0)</f>
        <v>1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45078</v>
      </c>
      <c r="B50" s="2">
        <v>2023</v>
      </c>
      <c r="C50" s="2">
        <f>COUNTIFS(Games[Team],Games[[#This Row],[Team]],Games[Season],Games[[#This Row],[Season]],Games[Date],"&lt;=" &amp; Games[[#This Row],[Date]])</f>
        <v>6</v>
      </c>
      <c r="D50" s="2" t="s">
        <v>79</v>
      </c>
      <c r="E50" s="2" t="s">
        <v>80</v>
      </c>
      <c r="F50" s="1" t="s">
        <v>74</v>
      </c>
      <c r="G50" s="1" t="s">
        <v>67</v>
      </c>
      <c r="H50" s="1" t="s">
        <v>81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" s="2">
        <f>Games[[#This Row],[DaysOff]]-Games[[#This Row],[OppDaysOff]]</f>
        <v>0</v>
      </c>
      <c r="L50" s="2">
        <f>Games[[#This Row],[OppDaysOff]]-Games[[#This Row],[DaysOff]]</f>
        <v>0</v>
      </c>
      <c r="M50" s="1">
        <f>MAX(-16, MIN(16, Games[[#This Row],[RestDiff]]*8))</f>
        <v>0</v>
      </c>
      <c r="N50" s="1">
        <f>MAX(-16, MIN(16, Games[[#This Row],[OppRestDiff]]*8))</f>
        <v>0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1598.6303733002394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1432.9618283566867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0.61541261645515555</v>
      </c>
      <c r="R50" s="1">
        <v>89</v>
      </c>
      <c r="S50" s="1">
        <v>84</v>
      </c>
      <c r="T50" s="1">
        <v>0</v>
      </c>
      <c r="U50" s="1">
        <f>Games[[#This Row],[PointsFor]]-Games[[#This Row],[PointsAgainst]]</f>
        <v>5</v>
      </c>
      <c r="V50" s="1">
        <f>IF(Games[[#This Row],[MOV]]&gt;0,1,IF(Games[[#This Row],[MOV]]=0,0.5,0))</f>
        <v>1</v>
      </c>
      <c r="W50" s="4">
        <f>((ABS(Games[[#This Row],[MOV]])+5)^0.6)/(12+0.01*(ABS(Games[[#This Row],[PreGmRate]]-Games[[#This Row],[OppPreGmRate]])))*IF(Games[[#This Row],[OT]]=1,0.9,1)</f>
        <v>0.29151082964274633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0" s="9">
        <f>MAX(kmin, kmax - 0.15 * MIN(Games[[#This Row],[GamesPlayed]], 82))</f>
        <v>75.099999999999994</v>
      </c>
      <c r="Z50" s="4">
        <f>Games[[#This Row],[K]]*Games[[#This Row],[POMult]]</f>
        <v>75.099999999999994</v>
      </c>
      <c r="AA50" s="4">
        <f>(Games[[#This Row],[Keff]]*Games[[#This Row],[MOVMult]])*(Games[[#This Row],[Result]]-Games[[#This Row],[ExpectedWin%]])</f>
        <v>8.4195651822715298</v>
      </c>
      <c r="AB50" s="4">
        <f>Games[[#This Row],[PreGmRate]]+Games[[#This Row],[RatingChange]]</f>
        <v>1607.0499384825109</v>
      </c>
      <c r="AC50" s="2">
        <f>IF(Games[[#This Row],[Type]]="R",IF(Games[[#This Row],[Result]]&gt;0.5,1,0),0)</f>
        <v>1</v>
      </c>
      <c r="AD50" s="2">
        <f>IF(Games[[#This Row],[Type]]="R",IF(Games[[#This Row],[Result]]&lt;0.5,1,0),0)</f>
        <v>0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45078</v>
      </c>
      <c r="B51" s="2">
        <v>2023</v>
      </c>
      <c r="C51" s="2">
        <f>COUNTIFS(Games[Team],Games[[#This Row],[Team]],Games[Season],Games[[#This Row],[Season]],Games[Date],"&lt;=" &amp; Games[[#This Row],[Date]])</f>
        <v>6</v>
      </c>
      <c r="D51" s="2" t="s">
        <v>79</v>
      </c>
      <c r="E51" s="2" t="s">
        <v>80</v>
      </c>
      <c r="F51" s="1" t="s">
        <v>67</v>
      </c>
      <c r="G51" s="1" t="s">
        <v>74</v>
      </c>
      <c r="H51" s="1" t="s">
        <v>82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" s="2">
        <f>Games[[#This Row],[DaysOff]]-Games[[#This Row],[OppDaysOff]]</f>
        <v>0</v>
      </c>
      <c r="L51" s="2">
        <f>Games[[#This Row],[OppDaysOff]]-Games[[#This Row],[DaysOff]]</f>
        <v>0</v>
      </c>
      <c r="M51" s="1">
        <f>MAX(-16, MIN(16, Games[[#This Row],[RestDiff]]*8))</f>
        <v>0</v>
      </c>
      <c r="N51" s="1">
        <f>MAX(-16, MIN(16, Games[[#This Row],[OppRestDiff]]*8))</f>
        <v>0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1432.9618283566867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1598.6303733002394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0.3845873835448444</v>
      </c>
      <c r="R51" s="1">
        <v>84</v>
      </c>
      <c r="S51" s="1">
        <v>89</v>
      </c>
      <c r="T51" s="1">
        <v>0</v>
      </c>
      <c r="U51" s="1">
        <f>Games[[#This Row],[PointsFor]]-Games[[#This Row],[PointsAgainst]]</f>
        <v>-5</v>
      </c>
      <c r="V51" s="1">
        <f>IF(Games[[#This Row],[MOV]]&gt;0,1,IF(Games[[#This Row],[MOV]]=0,0.5,0))</f>
        <v>0</v>
      </c>
      <c r="W51" s="4">
        <f>((ABS(Games[[#This Row],[MOV]])+5)^0.6)/(12+0.01*(ABS(Games[[#This Row],[PreGmRate]]-Games[[#This Row],[OppPreGmRate]])))*IF(Games[[#This Row],[OT]]=1,0.9,1)</f>
        <v>0.29151082964274633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1" s="9">
        <f>MAX(kmin, kmax - 0.15 * MIN(Games[[#This Row],[GamesPlayed]], 82))</f>
        <v>75.099999999999994</v>
      </c>
      <c r="Z51" s="4">
        <f>Games[[#This Row],[K]]*Games[[#This Row],[POMult]]</f>
        <v>75.099999999999994</v>
      </c>
      <c r="AA51" s="4">
        <f>(Games[[#This Row],[Keff]]*Games[[#This Row],[MOVMult]])*(Games[[#This Row],[Result]]-Games[[#This Row],[ExpectedWin%]])</f>
        <v>-8.4195651822715281</v>
      </c>
      <c r="AB51" s="4">
        <f>Games[[#This Row],[PreGmRate]]+Games[[#This Row],[RatingChange]]</f>
        <v>1424.5422631744152</v>
      </c>
      <c r="AC51" s="2">
        <f>IF(Games[[#This Row],[Type]]="R",IF(Games[[#This Row],[Result]]&gt;0.5,1,0),0)</f>
        <v>0</v>
      </c>
      <c r="AD51" s="2">
        <f>IF(Games[[#This Row],[Type]]="R",IF(Games[[#This Row],[Result]]&lt;0.5,1,0),0)</f>
        <v>1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45079</v>
      </c>
      <c r="B52" s="2">
        <v>2023</v>
      </c>
      <c r="C52" s="2">
        <f>COUNTIFS(Games[Team],Games[[#This Row],[Team]],Games[Season],Games[[#This Row],[Season]],Games[Date],"&lt;=" &amp; Games[[#This Row],[Date]])</f>
        <v>5</v>
      </c>
      <c r="D52" s="2" t="s">
        <v>79</v>
      </c>
      <c r="E52" s="2" t="s">
        <v>80</v>
      </c>
      <c r="F52" s="1" t="s">
        <v>86</v>
      </c>
      <c r="G52" s="1" t="s">
        <v>77</v>
      </c>
      <c r="H52" s="1" t="s">
        <v>81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4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2" s="2">
        <f>Games[[#This Row],[DaysOff]]-Games[[#This Row],[OppDaysOff]]</f>
        <v>2</v>
      </c>
      <c r="L52" s="2">
        <f>Games[[#This Row],[OppDaysOff]]-Games[[#This Row],[DaysOff]]</f>
        <v>-2</v>
      </c>
      <c r="M52" s="1">
        <f>MAX(-16, MIN(16, Games[[#This Row],[RestDiff]]*8))</f>
        <v>16</v>
      </c>
      <c r="N52" s="1">
        <f>MAX(-16, MIN(16, Games[[#This Row],[OppRestDiff]]*8))</f>
        <v>-16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1663.743898337224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1458.0742532643192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0.70777321958627937</v>
      </c>
      <c r="R52" s="1">
        <v>92</v>
      </c>
      <c r="S52" s="1">
        <v>87</v>
      </c>
      <c r="T52" s="1">
        <v>0</v>
      </c>
      <c r="U52" s="1">
        <f>Games[[#This Row],[PointsFor]]-Games[[#This Row],[PointsAgainst]]</f>
        <v>5</v>
      </c>
      <c r="V52" s="1">
        <f>IF(Games[[#This Row],[MOV]]&gt;0,1,IF(Games[[#This Row],[MOV]]=0,0.5,0))</f>
        <v>1</v>
      </c>
      <c r="W52" s="4">
        <f>((ABS(Games[[#This Row],[MOV]])+5)^0.6)/(12+0.01*(ABS(Games[[#This Row],[PreGmRate]]-Games[[#This Row],[OppPreGmRate]])))*IF(Games[[#This Row],[OT]]=1,0.9,1)</f>
        <v>0.28321531445807774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2" s="9">
        <f>MAX(kmin, kmax - 0.15 * MIN(Games[[#This Row],[GamesPlayed]], 82))</f>
        <v>75.25</v>
      </c>
      <c r="Z52" s="4">
        <f>Games[[#This Row],[K]]*Games[[#This Row],[POMult]]</f>
        <v>75.25</v>
      </c>
      <c r="AA52" s="4">
        <f>(Games[[#This Row],[Keff]]*Games[[#This Row],[MOVMult]])*(Games[[#This Row],[Result]]-Games[[#This Row],[ExpectedWin%]])</f>
        <v>6.2279232379727496</v>
      </c>
      <c r="AB52" s="4">
        <f>Games[[#This Row],[PreGmRate]]+Games[[#This Row],[RatingChange]]</f>
        <v>1669.9718215751968</v>
      </c>
      <c r="AC52" s="2">
        <f>IF(Games[[#This Row],[Type]]="R",IF(Games[[#This Row],[Result]]&gt;0.5,1,0),0)</f>
        <v>1</v>
      </c>
      <c r="AD52" s="2">
        <f>IF(Games[[#This Row],[Type]]="R",IF(Games[[#This Row],[Result]]&lt;0.5,1,0),0)</f>
        <v>0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45079</v>
      </c>
      <c r="B53" s="2">
        <v>2023</v>
      </c>
      <c r="C53" s="2">
        <f>COUNTIFS(Games[Team],Games[[#This Row],[Team]],Games[Season],Games[[#This Row],[Season]],Games[Date],"&lt;=" &amp; Games[[#This Row],[Date]])</f>
        <v>5</v>
      </c>
      <c r="D53" s="2" t="s">
        <v>79</v>
      </c>
      <c r="E53" s="2" t="s">
        <v>80</v>
      </c>
      <c r="F53" s="1" t="s">
        <v>77</v>
      </c>
      <c r="G53" s="1" t="s">
        <v>86</v>
      </c>
      <c r="H53" s="1" t="s">
        <v>82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3" s="2">
        <f>Games[[#This Row],[DaysOff]]-Games[[#This Row],[OppDaysOff]]</f>
        <v>-2</v>
      </c>
      <c r="L53" s="2">
        <f>Games[[#This Row],[OppDaysOff]]-Games[[#This Row],[DaysOff]]</f>
        <v>2</v>
      </c>
      <c r="M53" s="1">
        <f>MAX(-16, MIN(16, Games[[#This Row],[RestDiff]]*8))</f>
        <v>-16</v>
      </c>
      <c r="N53" s="1">
        <f>MAX(-16, MIN(16, Games[[#This Row],[OppRestDiff]]*8))</f>
        <v>16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1458.0742532643192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1663.743898337224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0.29222678041372058</v>
      </c>
      <c r="R53" s="1">
        <v>87</v>
      </c>
      <c r="S53" s="1">
        <v>92</v>
      </c>
      <c r="T53" s="1">
        <v>0</v>
      </c>
      <c r="U53" s="1">
        <f>Games[[#This Row],[PointsFor]]-Games[[#This Row],[PointsAgainst]]</f>
        <v>-5</v>
      </c>
      <c r="V53" s="1">
        <f>IF(Games[[#This Row],[MOV]]&gt;0,1,IF(Games[[#This Row],[MOV]]=0,0.5,0))</f>
        <v>0</v>
      </c>
      <c r="W53" s="4">
        <f>((ABS(Games[[#This Row],[MOV]])+5)^0.6)/(12+0.01*(ABS(Games[[#This Row],[PreGmRate]]-Games[[#This Row],[OppPreGmRate]])))*IF(Games[[#This Row],[OT]]=1,0.9,1)</f>
        <v>0.28321531445807774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3" s="9">
        <f>MAX(kmin, kmax - 0.15 * MIN(Games[[#This Row],[GamesPlayed]], 82))</f>
        <v>75.25</v>
      </c>
      <c r="Z53" s="4">
        <f>Games[[#This Row],[K]]*Games[[#This Row],[POMult]]</f>
        <v>75.25</v>
      </c>
      <c r="AA53" s="4">
        <f>(Games[[#This Row],[Keff]]*Games[[#This Row],[MOVMult]])*(Games[[#This Row],[Result]]-Games[[#This Row],[ExpectedWin%]])</f>
        <v>-6.2279232379727487</v>
      </c>
      <c r="AB53" s="4">
        <f>Games[[#This Row],[PreGmRate]]+Games[[#This Row],[RatingChange]]</f>
        <v>1451.8463300263463</v>
      </c>
      <c r="AC53" s="2">
        <f>IF(Games[[#This Row],[Type]]="R",IF(Games[[#This Row],[Result]]&gt;0.5,1,0),0)</f>
        <v>0</v>
      </c>
      <c r="AD53" s="2">
        <f>IF(Games[[#This Row],[Type]]="R",IF(Games[[#This Row],[Result]]&lt;0.5,1,0),0)</f>
        <v>1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45079</v>
      </c>
      <c r="B54" s="2">
        <v>2023</v>
      </c>
      <c r="C54" s="2">
        <f>COUNTIFS(Games[Team],Games[[#This Row],[Team]],Games[Season],Games[[#This Row],[Season]],Games[Date],"&lt;=" &amp; Games[[#This Row],[Date]])</f>
        <v>5</v>
      </c>
      <c r="D54" s="2" t="s">
        <v>79</v>
      </c>
      <c r="E54" s="2" t="s">
        <v>80</v>
      </c>
      <c r="F54" s="1" t="s">
        <v>60</v>
      </c>
      <c r="G54" s="1" t="s">
        <v>75</v>
      </c>
      <c r="H54" s="1" t="s">
        <v>81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2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4" s="2">
        <f>Games[[#This Row],[DaysOff]]-Games[[#This Row],[OppDaysOff]]</f>
        <v>0</v>
      </c>
      <c r="L54" s="2">
        <f>Games[[#This Row],[OppDaysOff]]-Games[[#This Row],[DaysOff]]</f>
        <v>0</v>
      </c>
      <c r="M54" s="1">
        <f>MAX(-16, MIN(16, Games[[#This Row],[RestDiff]]*8))</f>
        <v>0</v>
      </c>
      <c r="N54" s="1">
        <f>MAX(-16, MIN(16, Games[[#This Row],[OppRestDiff]]*8))</f>
        <v>0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1517.8781347663935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1559.8251996685542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0.32629079343580358</v>
      </c>
      <c r="R54" s="1">
        <v>77</v>
      </c>
      <c r="S54" s="1">
        <v>76</v>
      </c>
      <c r="T54" s="1">
        <v>0</v>
      </c>
      <c r="U54" s="1">
        <f>Games[[#This Row],[PointsFor]]-Games[[#This Row],[PointsAgainst]]</f>
        <v>1</v>
      </c>
      <c r="V54" s="1">
        <f>IF(Games[[#This Row],[MOV]]&gt;0,1,IF(Games[[#This Row],[MOV]]=0,0.5,0))</f>
        <v>1</v>
      </c>
      <c r="W54" s="4">
        <f>((ABS(Games[[#This Row],[MOV]])+5)^0.6)/(12+0.01*(ABS(Games[[#This Row],[PreGmRate]]-Games[[#This Row],[OppPreGmRate]])))*IF(Games[[#This Row],[OT]]=1,0.9,1)</f>
        <v>0.23593244304775227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4" s="9">
        <f>MAX(kmin, kmax - 0.15 * MIN(Games[[#This Row],[GamesPlayed]], 82))</f>
        <v>75.25</v>
      </c>
      <c r="Z54" s="4">
        <f>Games[[#This Row],[K]]*Games[[#This Row],[POMult]]</f>
        <v>75.25</v>
      </c>
      <c r="AA54" s="4">
        <f>(Games[[#This Row],[Keff]]*Games[[#This Row],[MOVMult]])*(Games[[#This Row],[Result]]-Games[[#This Row],[ExpectedWin%]])</f>
        <v>11.960976890386137</v>
      </c>
      <c r="AB54" s="4">
        <f>Games[[#This Row],[PreGmRate]]+Games[[#This Row],[RatingChange]]</f>
        <v>1529.8391116567796</v>
      </c>
      <c r="AC54" s="2">
        <f>IF(Games[[#This Row],[Type]]="R",IF(Games[[#This Row],[Result]]&gt;0.5,1,0),0)</f>
        <v>1</v>
      </c>
      <c r="AD54" s="2">
        <f>IF(Games[[#This Row],[Type]]="R",IF(Games[[#This Row],[Result]]&lt;0.5,1,0),0)</f>
        <v>0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45079</v>
      </c>
      <c r="B55" s="2">
        <v>2023</v>
      </c>
      <c r="C55" s="2">
        <f>COUNTIFS(Games[Team],Games[[#This Row],[Team]],Games[Season],Games[[#This Row],[Season]],Games[Date],"&lt;=" &amp; Games[[#This Row],[Date]])</f>
        <v>6</v>
      </c>
      <c r="D55" s="2" t="s">
        <v>79</v>
      </c>
      <c r="E55" s="2" t="s">
        <v>80</v>
      </c>
      <c r="F55" s="1" t="s">
        <v>75</v>
      </c>
      <c r="G55" s="1" t="s">
        <v>60</v>
      </c>
      <c r="H55" s="1" t="s">
        <v>82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2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5" s="2">
        <f>Games[[#This Row],[DaysOff]]-Games[[#This Row],[OppDaysOff]]</f>
        <v>0</v>
      </c>
      <c r="L55" s="2">
        <f>Games[[#This Row],[OppDaysOff]]-Games[[#This Row],[DaysOff]]</f>
        <v>0</v>
      </c>
      <c r="M55" s="1">
        <f>MAX(-16, MIN(16, Games[[#This Row],[RestDiff]]*8))</f>
        <v>0</v>
      </c>
      <c r="N55" s="1">
        <f>MAX(-16, MIN(16, Games[[#This Row],[OppRestDiff]]*8))</f>
        <v>0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1559.8251996685542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1517.8781347663935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0.67370920656419653</v>
      </c>
      <c r="R55" s="1">
        <v>76</v>
      </c>
      <c r="S55" s="1">
        <v>77</v>
      </c>
      <c r="T55" s="1">
        <v>0</v>
      </c>
      <c r="U55" s="1">
        <f>Games[[#This Row],[PointsFor]]-Games[[#This Row],[PointsAgainst]]</f>
        <v>-1</v>
      </c>
      <c r="V55" s="1">
        <f>IF(Games[[#This Row],[MOV]]&gt;0,1,IF(Games[[#This Row],[MOV]]=0,0.5,0))</f>
        <v>0</v>
      </c>
      <c r="W55" s="4">
        <f>((ABS(Games[[#This Row],[MOV]])+5)^0.6)/(12+0.01*(ABS(Games[[#This Row],[PreGmRate]]-Games[[#This Row],[OppPreGmRate]])))*IF(Games[[#This Row],[OT]]=1,0.9,1)</f>
        <v>0.23593244304775227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5" s="9">
        <f>MAX(kmin, kmax - 0.15 * MIN(Games[[#This Row],[GamesPlayed]], 82))</f>
        <v>75.099999999999994</v>
      </c>
      <c r="Z55" s="4">
        <f>Games[[#This Row],[K]]*Games[[#This Row],[POMult]]</f>
        <v>75.099999999999994</v>
      </c>
      <c r="AA55" s="4">
        <f>(Games[[#This Row],[Keff]]*Games[[#This Row],[MOVMult]])*(Games[[#This Row],[Result]]-Games[[#This Row],[ExpectedWin%]])</f>
        <v>-11.937134411534869</v>
      </c>
      <c r="AB55" s="4">
        <f>Games[[#This Row],[PreGmRate]]+Games[[#This Row],[RatingChange]]</f>
        <v>1547.8880652570194</v>
      </c>
      <c r="AC55" s="2">
        <f>IF(Games[[#This Row],[Type]]="R",IF(Games[[#This Row],[Result]]&gt;0.5,1,0),0)</f>
        <v>0</v>
      </c>
      <c r="AD55" s="2">
        <f>IF(Games[[#This Row],[Type]]="R",IF(Games[[#This Row],[Result]]&lt;0.5,1,0),0)</f>
        <v>1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45079</v>
      </c>
      <c r="B56" s="2">
        <v>2023</v>
      </c>
      <c r="C56" s="2">
        <f>COUNTIFS(Games[Team],Games[[#This Row],[Team]],Games[Season],Games[[#This Row],[Season]],Games[Date],"&lt;=" &amp; Games[[#This Row],[Date]])</f>
        <v>4</v>
      </c>
      <c r="D56" s="2" t="s">
        <v>79</v>
      </c>
      <c r="E56" s="2" t="s">
        <v>80</v>
      </c>
      <c r="F56" s="1" t="s">
        <v>63</v>
      </c>
      <c r="G56" s="1" t="s">
        <v>40</v>
      </c>
      <c r="H56" s="1" t="s">
        <v>81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5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56" s="2">
        <f>Games[[#This Row],[DaysOff]]-Games[[#This Row],[OppDaysOff]]</f>
        <v>-2</v>
      </c>
      <c r="L56" s="2">
        <f>Games[[#This Row],[OppDaysOff]]-Games[[#This Row],[DaysOff]]</f>
        <v>2</v>
      </c>
      <c r="M56" s="1">
        <f>MAX(-16, MIN(16, Games[[#This Row],[RestDiff]]*8))</f>
        <v>-16</v>
      </c>
      <c r="N56" s="1">
        <f>MAX(-16, MIN(16, Games[[#This Row],[OppRestDiff]]*8))</f>
        <v>16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1430.4626632952099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1448.6284993661391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0.31597732017145969</v>
      </c>
      <c r="R56" s="1">
        <v>99</v>
      </c>
      <c r="S56" s="1">
        <v>93</v>
      </c>
      <c r="T56" s="1">
        <v>1</v>
      </c>
      <c r="U56" s="1">
        <f>Games[[#This Row],[PointsFor]]-Games[[#This Row],[PointsAgainst]]</f>
        <v>6</v>
      </c>
      <c r="V56" s="1">
        <f>IF(Games[[#This Row],[MOV]]&gt;0,1,IF(Games[[#This Row],[MOV]]=0,0.5,0))</f>
        <v>1</v>
      </c>
      <c r="W56" s="4">
        <f>((ABS(Games[[#This Row],[MOV]])+5)^0.6)/(12+0.01*(ABS(Games[[#This Row],[PreGmRate]]-Games[[#This Row],[OppPreGmRate]])))*IF(Games[[#This Row],[OT]]=1,0.9,1)</f>
        <v>0.31143807414755065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6" s="9">
        <f>MAX(kmin, kmax - 0.15 * MIN(Games[[#This Row],[GamesPlayed]], 82))</f>
        <v>75.400000000000006</v>
      </c>
      <c r="Z56" s="4">
        <f>Games[[#This Row],[K]]*Games[[#This Row],[POMult]]</f>
        <v>75.400000000000006</v>
      </c>
      <c r="AA56" s="4">
        <f>(Games[[#This Row],[Keff]]*Games[[#This Row],[MOVMult]])*(Games[[#This Row],[Result]]-Games[[#This Row],[ExpectedWin%]])</f>
        <v>16.062515238360163</v>
      </c>
      <c r="AB56" s="4">
        <f>Games[[#This Row],[PreGmRate]]+Games[[#This Row],[RatingChange]]</f>
        <v>1446.5251785335702</v>
      </c>
      <c r="AC56" s="2">
        <f>IF(Games[[#This Row],[Type]]="R",IF(Games[[#This Row],[Result]]&gt;0.5,1,0),0)</f>
        <v>1</v>
      </c>
      <c r="AD56" s="2">
        <f>IF(Games[[#This Row],[Type]]="R",IF(Games[[#This Row],[Result]]&lt;0.5,1,0),0)</f>
        <v>0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45079</v>
      </c>
      <c r="B57" s="2">
        <v>2023</v>
      </c>
      <c r="C57" s="2">
        <f>COUNTIFS(Games[Team],Games[[#This Row],[Team]],Games[Season],Games[[#This Row],[Season]],Games[Date],"&lt;=" &amp; Games[[#This Row],[Date]])</f>
        <v>4</v>
      </c>
      <c r="D57" s="2" t="s">
        <v>79</v>
      </c>
      <c r="E57" s="2" t="s">
        <v>80</v>
      </c>
      <c r="F57" s="1" t="s">
        <v>40</v>
      </c>
      <c r="G57" s="1" t="s">
        <v>63</v>
      </c>
      <c r="H57" s="1" t="s">
        <v>82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7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57" s="2">
        <f>Games[[#This Row],[DaysOff]]-Games[[#This Row],[OppDaysOff]]</f>
        <v>2</v>
      </c>
      <c r="L57" s="2">
        <f>Games[[#This Row],[OppDaysOff]]-Games[[#This Row],[DaysOff]]</f>
        <v>-2</v>
      </c>
      <c r="M57" s="1">
        <f>MAX(-16, MIN(16, Games[[#This Row],[RestDiff]]*8))</f>
        <v>16</v>
      </c>
      <c r="N57" s="1">
        <f>MAX(-16, MIN(16, Games[[#This Row],[OppRestDiff]]*8))</f>
        <v>-16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1448.6284993661391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1430.4626632952099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0.68402267982854037</v>
      </c>
      <c r="R57" s="1">
        <v>93</v>
      </c>
      <c r="S57" s="1">
        <v>99</v>
      </c>
      <c r="T57" s="1">
        <v>1</v>
      </c>
      <c r="U57" s="1">
        <f>Games[[#This Row],[PointsFor]]-Games[[#This Row],[PointsAgainst]]</f>
        <v>-6</v>
      </c>
      <c r="V57" s="1">
        <f>IF(Games[[#This Row],[MOV]]&gt;0,1,IF(Games[[#This Row],[MOV]]=0,0.5,0))</f>
        <v>0</v>
      </c>
      <c r="W57" s="4">
        <f>((ABS(Games[[#This Row],[MOV]])+5)^0.6)/(12+0.01*(ABS(Games[[#This Row],[PreGmRate]]-Games[[#This Row],[OppPreGmRate]])))*IF(Games[[#This Row],[OT]]=1,0.9,1)</f>
        <v>0.31143807414755065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7" s="9">
        <f>MAX(kmin, kmax - 0.15 * MIN(Games[[#This Row],[GamesPlayed]], 82))</f>
        <v>75.400000000000006</v>
      </c>
      <c r="Z57" s="4">
        <f>Games[[#This Row],[K]]*Games[[#This Row],[POMult]]</f>
        <v>75.400000000000006</v>
      </c>
      <c r="AA57" s="4">
        <f>(Games[[#This Row],[Keff]]*Games[[#This Row],[MOVMult]])*(Games[[#This Row],[Result]]-Games[[#This Row],[ExpectedWin%]])</f>
        <v>-16.062515238360163</v>
      </c>
      <c r="AB57" s="4">
        <f>Games[[#This Row],[PreGmRate]]+Games[[#This Row],[RatingChange]]</f>
        <v>1432.5659841277788</v>
      </c>
      <c r="AC57" s="2">
        <f>IF(Games[[#This Row],[Type]]="R",IF(Games[[#This Row],[Result]]&gt;0.5,1,0),0)</f>
        <v>0</v>
      </c>
      <c r="AD57" s="2">
        <f>IF(Games[[#This Row],[Type]]="R",IF(Games[[#This Row],[Result]]&lt;0.5,1,0),0)</f>
        <v>1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45079</v>
      </c>
      <c r="B58" s="2">
        <v>2023</v>
      </c>
      <c r="C58" s="2">
        <f>COUNTIFS(Games[Team],Games[[#This Row],[Team]],Games[Season],Games[[#This Row],[Season]],Games[Date],"&lt;=" &amp; Games[[#This Row],[Date]])</f>
        <v>5</v>
      </c>
      <c r="D58" s="2" t="s">
        <v>79</v>
      </c>
      <c r="E58" s="2" t="s">
        <v>80</v>
      </c>
      <c r="F58" s="1" t="s">
        <v>85</v>
      </c>
      <c r="G58" s="1" t="s">
        <v>65</v>
      </c>
      <c r="H58" s="1" t="s">
        <v>81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58" s="2">
        <f>Games[[#This Row],[DaysOff]]-Games[[#This Row],[OppDaysOff]]</f>
        <v>-4</v>
      </c>
      <c r="L58" s="2">
        <f>Games[[#This Row],[OppDaysOff]]-Games[[#This Row],[DaysOff]]</f>
        <v>4</v>
      </c>
      <c r="M58" s="1">
        <f>MAX(-16, MIN(16, Games[[#This Row],[RestDiff]]*8))</f>
        <v>-16</v>
      </c>
      <c r="N58" s="1">
        <f>MAX(-16, MIN(16, Games[[#This Row],[OppRestDiff]]*8))</f>
        <v>16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1518.6617573639896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1529.7934029605956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0.32479358645883649</v>
      </c>
      <c r="R58" s="1">
        <v>74</v>
      </c>
      <c r="S58" s="1">
        <v>75</v>
      </c>
      <c r="T58" s="1">
        <v>0</v>
      </c>
      <c r="U58" s="1">
        <f>Games[[#This Row],[PointsFor]]-Games[[#This Row],[PointsAgainst]]</f>
        <v>-1</v>
      </c>
      <c r="V58" s="1">
        <f>IF(Games[[#This Row],[MOV]]&gt;0,1,IF(Games[[#This Row],[MOV]]=0,0.5,0))</f>
        <v>0</v>
      </c>
      <c r="W58" s="4">
        <f>((ABS(Games[[#This Row],[MOV]])+5)^0.6)/(12+0.01*(ABS(Games[[#This Row],[PreGmRate]]-Games[[#This Row],[OppPreGmRate]])))*IF(Games[[#This Row],[OT]]=1,0.9,1)</f>
        <v>0.24193538846391222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8" s="9">
        <f>MAX(kmin, kmax - 0.15 * MIN(Games[[#This Row],[GamesPlayed]], 82))</f>
        <v>75.25</v>
      </c>
      <c r="Z58" s="4">
        <f>Games[[#This Row],[K]]*Games[[#This Row],[POMult]]</f>
        <v>75.25</v>
      </c>
      <c r="AA58" s="4">
        <f>(Games[[#This Row],[Keff]]*Games[[#This Row],[MOVMult]])*(Games[[#This Row],[Result]]-Games[[#This Row],[ExpectedWin%]])</f>
        <v>-5.9130744539155664</v>
      </c>
      <c r="AB58" s="4">
        <f>Games[[#This Row],[PreGmRate]]+Games[[#This Row],[RatingChange]]</f>
        <v>1512.748682910074</v>
      </c>
      <c r="AC58" s="2">
        <f>IF(Games[[#This Row],[Type]]="R",IF(Games[[#This Row],[Result]]&gt;0.5,1,0),0)</f>
        <v>0</v>
      </c>
      <c r="AD58" s="2">
        <f>IF(Games[[#This Row],[Type]]="R",IF(Games[[#This Row],[Result]]&lt;0.5,1,0),0)</f>
        <v>1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45079</v>
      </c>
      <c r="B59" s="2">
        <v>2023</v>
      </c>
      <c r="C59" s="2">
        <f>COUNTIFS(Games[Team],Games[[#This Row],[Team]],Games[Season],Games[[#This Row],[Season]],Games[Date],"&lt;=" &amp; Games[[#This Row],[Date]])</f>
        <v>5</v>
      </c>
      <c r="D59" s="2" t="s">
        <v>79</v>
      </c>
      <c r="E59" s="2" t="s">
        <v>80</v>
      </c>
      <c r="F59" s="1" t="s">
        <v>65</v>
      </c>
      <c r="G59" s="1" t="s">
        <v>85</v>
      </c>
      <c r="H59" s="1" t="s">
        <v>82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6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9" s="2">
        <f>Games[[#This Row],[DaysOff]]-Games[[#This Row],[OppDaysOff]]</f>
        <v>4</v>
      </c>
      <c r="L59" s="2">
        <f>Games[[#This Row],[OppDaysOff]]-Games[[#This Row],[DaysOff]]</f>
        <v>-4</v>
      </c>
      <c r="M59" s="1">
        <f>MAX(-16, MIN(16, Games[[#This Row],[RestDiff]]*8))</f>
        <v>16</v>
      </c>
      <c r="N59" s="1">
        <f>MAX(-16, MIN(16, Games[[#This Row],[OppRestDiff]]*8))</f>
        <v>-16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1529.7934029605956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1518.6617573639896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0.67520641354116351</v>
      </c>
      <c r="R59" s="1">
        <v>75</v>
      </c>
      <c r="S59" s="1">
        <v>74</v>
      </c>
      <c r="T59" s="1">
        <v>0</v>
      </c>
      <c r="U59" s="1">
        <f>Games[[#This Row],[PointsFor]]-Games[[#This Row],[PointsAgainst]]</f>
        <v>1</v>
      </c>
      <c r="V59" s="1">
        <f>IF(Games[[#This Row],[MOV]]&gt;0,1,IF(Games[[#This Row],[MOV]]=0,0.5,0))</f>
        <v>1</v>
      </c>
      <c r="W59" s="4">
        <f>((ABS(Games[[#This Row],[MOV]])+5)^0.6)/(12+0.01*(ABS(Games[[#This Row],[PreGmRate]]-Games[[#This Row],[OppPreGmRate]])))*IF(Games[[#This Row],[OT]]=1,0.9,1)</f>
        <v>0.24193538846391222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9" s="9">
        <f>MAX(kmin, kmax - 0.15 * MIN(Games[[#This Row],[GamesPlayed]], 82))</f>
        <v>75.25</v>
      </c>
      <c r="Z59" s="4">
        <f>Games[[#This Row],[K]]*Games[[#This Row],[POMult]]</f>
        <v>75.25</v>
      </c>
      <c r="AA59" s="4">
        <f>(Games[[#This Row],[Keff]]*Games[[#This Row],[MOVMult]])*(Games[[#This Row],[Result]]-Games[[#This Row],[ExpectedWin%]])</f>
        <v>5.9130744539155664</v>
      </c>
      <c r="AB59" s="4">
        <f>Games[[#This Row],[PreGmRate]]+Games[[#This Row],[RatingChange]]</f>
        <v>1535.7064774145113</v>
      </c>
      <c r="AC59" s="2">
        <f>IF(Games[[#This Row],[Type]]="R",IF(Games[[#This Row],[Result]]&gt;0.5,1,0),0)</f>
        <v>1</v>
      </c>
      <c r="AD59" s="2">
        <f>IF(Games[[#This Row],[Type]]="R",IF(Games[[#This Row],[Result]]&lt;0.5,1,0),0)</f>
        <v>0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45080</v>
      </c>
      <c r="B60" s="2">
        <v>2023</v>
      </c>
      <c r="C60" s="2">
        <f>COUNTIFS(Games[Team],Games[[#This Row],[Team]],Games[Season],Games[[#This Row],[Season]],Games[Date],"&lt;=" &amp; Games[[#This Row],[Date]])</f>
        <v>4</v>
      </c>
      <c r="D60" s="2" t="s">
        <v>79</v>
      </c>
      <c r="E60" s="2" t="s">
        <v>80</v>
      </c>
      <c r="F60" s="1" t="s">
        <v>71</v>
      </c>
      <c r="G60" s="1" t="s">
        <v>63</v>
      </c>
      <c r="H60" s="1" t="s">
        <v>81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3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0" s="2">
        <f>Games[[#This Row],[DaysOff]]-Games[[#This Row],[OppDaysOff]]</f>
        <v>3</v>
      </c>
      <c r="L60" s="2">
        <f>Games[[#This Row],[OppDaysOff]]-Games[[#This Row],[DaysOff]]</f>
        <v>-3</v>
      </c>
      <c r="M60" s="1">
        <f>MAX(-16, MIN(16, Games[[#This Row],[RestDiff]]*8))</f>
        <v>16</v>
      </c>
      <c r="N60" s="1">
        <f>MAX(-16, MIN(16, Games[[#This Row],[OppRestDiff]]*8))</f>
        <v>-16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1483.4037636327237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1446.5251785335702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0.47825226478123595</v>
      </c>
      <c r="R60" s="1">
        <v>85</v>
      </c>
      <c r="S60" s="1">
        <v>92</v>
      </c>
      <c r="T60" s="1">
        <v>0</v>
      </c>
      <c r="U60" s="1">
        <f>Games[[#This Row],[PointsFor]]-Games[[#This Row],[PointsAgainst]]</f>
        <v>-7</v>
      </c>
      <c r="V60" s="1">
        <f>IF(Games[[#This Row],[MOV]]&gt;0,1,IF(Games[[#This Row],[MOV]]=0,0.5,0))</f>
        <v>0</v>
      </c>
      <c r="W60" s="4">
        <f>((ABS(Games[[#This Row],[MOV]])+5)^0.6)/(12+0.01*(ABS(Games[[#This Row],[PreGmRate]]-Games[[#This Row],[OppPreGmRate]])))*IF(Games[[#This Row],[OT]]=1,0.9,1)</f>
        <v>0.35907211292608865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0" s="9">
        <f>MAX(kmin, kmax - 0.15 * MIN(Games[[#This Row],[GamesPlayed]], 82))</f>
        <v>75.400000000000006</v>
      </c>
      <c r="Z60" s="4">
        <f>Games[[#This Row],[K]]*Games[[#This Row],[POMult]]</f>
        <v>75.400000000000006</v>
      </c>
      <c r="AA60" s="4">
        <f>(Games[[#This Row],[Keff]]*Games[[#This Row],[MOVMult]])*(Games[[#This Row],[Result]]-Games[[#This Row],[ExpectedWin%]])</f>
        <v>-12.948219662492097</v>
      </c>
      <c r="AB60" s="4">
        <f>Games[[#This Row],[PreGmRate]]+Games[[#This Row],[RatingChange]]</f>
        <v>1470.4555439702315</v>
      </c>
      <c r="AC60" s="2">
        <f>IF(Games[[#This Row],[Type]]="R",IF(Games[[#This Row],[Result]]&gt;0.5,1,0),0)</f>
        <v>0</v>
      </c>
      <c r="AD60" s="2">
        <f>IF(Games[[#This Row],[Type]]="R",IF(Games[[#This Row],[Result]]&lt;0.5,1,0),0)</f>
        <v>1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45080</v>
      </c>
      <c r="B61" s="2">
        <v>2023</v>
      </c>
      <c r="C61" s="2">
        <f>COUNTIFS(Games[Team],Games[[#This Row],[Team]],Games[Season],Games[[#This Row],[Season]],Games[Date],"&lt;=" &amp; Games[[#This Row],[Date]])</f>
        <v>5</v>
      </c>
      <c r="D61" s="2" t="s">
        <v>79</v>
      </c>
      <c r="E61" s="2" t="s">
        <v>80</v>
      </c>
      <c r="F61" s="1" t="s">
        <v>63</v>
      </c>
      <c r="G61" s="1" t="s">
        <v>71</v>
      </c>
      <c r="H61" s="1" t="s">
        <v>82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0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1" s="2">
        <f>Games[[#This Row],[DaysOff]]-Games[[#This Row],[OppDaysOff]]</f>
        <v>-3</v>
      </c>
      <c r="L61" s="2">
        <f>Games[[#This Row],[OppDaysOff]]-Games[[#This Row],[DaysOff]]</f>
        <v>3</v>
      </c>
      <c r="M61" s="1">
        <f>MAX(-16, MIN(16, Games[[#This Row],[RestDiff]]*8))</f>
        <v>-16</v>
      </c>
      <c r="N61" s="1">
        <f>MAX(-16, MIN(16, Games[[#This Row],[OppRestDiff]]*8))</f>
        <v>16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1446.5251785335702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1483.4037636327237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0.52174773521876416</v>
      </c>
      <c r="R61" s="1">
        <v>92</v>
      </c>
      <c r="S61" s="1">
        <v>85</v>
      </c>
      <c r="T61" s="1">
        <v>0</v>
      </c>
      <c r="U61" s="1">
        <f>Games[[#This Row],[PointsFor]]-Games[[#This Row],[PointsAgainst]]</f>
        <v>7</v>
      </c>
      <c r="V61" s="1">
        <f>IF(Games[[#This Row],[MOV]]&gt;0,1,IF(Games[[#This Row],[MOV]]=0,0.5,0))</f>
        <v>1</v>
      </c>
      <c r="W61" s="4">
        <f>((ABS(Games[[#This Row],[MOV]])+5)^0.6)/(12+0.01*(ABS(Games[[#This Row],[PreGmRate]]-Games[[#This Row],[OppPreGmRate]])))*IF(Games[[#This Row],[OT]]=1,0.9,1)</f>
        <v>0.35907211292608865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1" s="9">
        <f>MAX(kmin, kmax - 0.15 * MIN(Games[[#This Row],[GamesPlayed]], 82))</f>
        <v>75.25</v>
      </c>
      <c r="Z61" s="4">
        <f>Games[[#This Row],[K]]*Games[[#This Row],[POMult]]</f>
        <v>75.25</v>
      </c>
      <c r="AA61" s="4">
        <f>(Games[[#This Row],[Keff]]*Games[[#This Row],[MOVMult]])*(Games[[#This Row],[Result]]-Games[[#This Row],[ExpectedWin%]])</f>
        <v>12.922460604808087</v>
      </c>
      <c r="AB61" s="4">
        <f>Games[[#This Row],[PreGmRate]]+Games[[#This Row],[RatingChange]]</f>
        <v>1459.4476391383782</v>
      </c>
      <c r="AC61" s="2">
        <f>IF(Games[[#This Row],[Type]]="R",IF(Games[[#This Row],[Result]]&gt;0.5,1,0),0)</f>
        <v>1</v>
      </c>
      <c r="AD61" s="2">
        <f>IF(Games[[#This Row],[Type]]="R",IF(Games[[#This Row],[Result]]&lt;0.5,1,0),0)</f>
        <v>0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45080</v>
      </c>
      <c r="B62" s="2">
        <v>2023</v>
      </c>
      <c r="C62" s="2">
        <f>COUNTIFS(Games[Team],Games[[#This Row],[Team]],Games[Season],Games[[#This Row],[Season]],Games[Date],"&lt;=" &amp; Games[[#This Row],[Date]])</f>
        <v>7</v>
      </c>
      <c r="D62" s="2" t="s">
        <v>79</v>
      </c>
      <c r="E62" s="2" t="s">
        <v>80</v>
      </c>
      <c r="F62" s="1" t="s">
        <v>67</v>
      </c>
      <c r="G62" s="1" t="s">
        <v>65</v>
      </c>
      <c r="H62" s="1" t="s">
        <v>81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2" s="2">
        <f>Games[[#This Row],[DaysOff]]-Games[[#This Row],[OppDaysOff]]</f>
        <v>1</v>
      </c>
      <c r="L62" s="2">
        <f>Games[[#This Row],[OppDaysOff]]-Games[[#This Row],[DaysOff]]</f>
        <v>-1</v>
      </c>
      <c r="M62" s="1">
        <f>MAX(-16, MIN(16, Games[[#This Row],[RestDiff]]*8))</f>
        <v>8</v>
      </c>
      <c r="N62" s="1">
        <f>MAX(-16, MIN(16, Games[[#This Row],[OppRestDiff]]*8))</f>
        <v>-8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1424.5422631744152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1535.7064774145113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0.26282205104776257</v>
      </c>
      <c r="R62" s="1">
        <v>80</v>
      </c>
      <c r="S62" s="1">
        <v>78</v>
      </c>
      <c r="T62" s="1">
        <v>0</v>
      </c>
      <c r="U62" s="1">
        <f>Games[[#This Row],[PointsFor]]-Games[[#This Row],[PointsAgainst]]</f>
        <v>2</v>
      </c>
      <c r="V62" s="1">
        <f>IF(Games[[#This Row],[MOV]]&gt;0,1,IF(Games[[#This Row],[MOV]]=0,0.5,0))</f>
        <v>1</v>
      </c>
      <c r="W62" s="4">
        <f>((ABS(Games[[#This Row],[MOV]])+5)^0.6)/(12+0.01*(ABS(Games[[#This Row],[PreGmRate]]-Games[[#This Row],[OppPreGmRate]])))*IF(Games[[#This Row],[OT]]=1,0.9,1)</f>
        <v>0.24513297532138745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2" s="9">
        <f>MAX(kmin, kmax - 0.15 * MIN(Games[[#This Row],[GamesPlayed]], 82))</f>
        <v>74.95</v>
      </c>
      <c r="Z62" s="4">
        <f>Games[[#This Row],[K]]*Games[[#This Row],[POMult]]</f>
        <v>74.95</v>
      </c>
      <c r="AA62" s="4">
        <f>(Games[[#This Row],[Keff]]*Games[[#This Row],[MOVMult]])*(Games[[#This Row],[Result]]-Games[[#This Row],[ExpectedWin%]])</f>
        <v>13.54396146640009</v>
      </c>
      <c r="AB62" s="4">
        <f>Games[[#This Row],[PreGmRate]]+Games[[#This Row],[RatingChange]]</f>
        <v>1438.0862246408153</v>
      </c>
      <c r="AC62" s="2">
        <f>IF(Games[[#This Row],[Type]]="R",IF(Games[[#This Row],[Result]]&gt;0.5,1,0),0)</f>
        <v>1</v>
      </c>
      <c r="AD62" s="2">
        <f>IF(Games[[#This Row],[Type]]="R",IF(Games[[#This Row],[Result]]&lt;0.5,1,0),0)</f>
        <v>0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45080</v>
      </c>
      <c r="B63" s="2">
        <v>2023</v>
      </c>
      <c r="C63" s="2">
        <f>COUNTIFS(Games[Team],Games[[#This Row],[Team]],Games[Season],Games[[#This Row],[Season]],Games[Date],"&lt;=" &amp; Games[[#This Row],[Date]])</f>
        <v>6</v>
      </c>
      <c r="D63" s="2" t="s">
        <v>79</v>
      </c>
      <c r="E63" s="2" t="s">
        <v>80</v>
      </c>
      <c r="F63" s="1" t="s">
        <v>65</v>
      </c>
      <c r="G63" s="1" t="s">
        <v>67</v>
      </c>
      <c r="H63" s="1" t="s">
        <v>82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0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3" s="2">
        <f>Games[[#This Row],[DaysOff]]-Games[[#This Row],[OppDaysOff]]</f>
        <v>-1</v>
      </c>
      <c r="L63" s="2">
        <f>Games[[#This Row],[OppDaysOff]]-Games[[#This Row],[DaysOff]]</f>
        <v>1</v>
      </c>
      <c r="M63" s="1">
        <f>MAX(-16, MIN(16, Games[[#This Row],[RestDiff]]*8))</f>
        <v>-8</v>
      </c>
      <c r="N63" s="1">
        <f>MAX(-16, MIN(16, Games[[#This Row],[OppRestDiff]]*8))</f>
        <v>8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1535.7064774145113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1424.5422631744152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0.73717794895223743</v>
      </c>
      <c r="R63" s="1">
        <v>78</v>
      </c>
      <c r="S63" s="1">
        <v>80</v>
      </c>
      <c r="T63" s="1">
        <v>0</v>
      </c>
      <c r="U63" s="1">
        <f>Games[[#This Row],[PointsFor]]-Games[[#This Row],[PointsAgainst]]</f>
        <v>-2</v>
      </c>
      <c r="V63" s="1">
        <f>IF(Games[[#This Row],[MOV]]&gt;0,1,IF(Games[[#This Row],[MOV]]=0,0.5,0))</f>
        <v>0</v>
      </c>
      <c r="W63" s="4">
        <f>((ABS(Games[[#This Row],[MOV]])+5)^0.6)/(12+0.01*(ABS(Games[[#This Row],[PreGmRate]]-Games[[#This Row],[OppPreGmRate]])))*IF(Games[[#This Row],[OT]]=1,0.9,1)</f>
        <v>0.24513297532138745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3" s="9">
        <f>MAX(kmin, kmax - 0.15 * MIN(Games[[#This Row],[GamesPlayed]], 82))</f>
        <v>75.099999999999994</v>
      </c>
      <c r="Z63" s="4">
        <f>Games[[#This Row],[K]]*Games[[#This Row],[POMult]]</f>
        <v>75.099999999999994</v>
      </c>
      <c r="AA63" s="4">
        <f>(Games[[#This Row],[Keff]]*Games[[#This Row],[MOVMult]])*(Games[[#This Row],[Result]]-Games[[#This Row],[ExpectedWin%]])</f>
        <v>-13.571067459995286</v>
      </c>
      <c r="AB63" s="4">
        <f>Games[[#This Row],[PreGmRate]]+Games[[#This Row],[RatingChange]]</f>
        <v>1522.135409954516</v>
      </c>
      <c r="AC63" s="2">
        <f>IF(Games[[#This Row],[Type]]="R",IF(Games[[#This Row],[Result]]&gt;0.5,1,0),0)</f>
        <v>0</v>
      </c>
      <c r="AD63" s="2">
        <f>IF(Games[[#This Row],[Type]]="R",IF(Games[[#This Row],[Result]]&lt;0.5,1,0),0)</f>
        <v>1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45081</v>
      </c>
      <c r="B64" s="2">
        <v>2023</v>
      </c>
      <c r="C64" s="2">
        <f>COUNTIFS(Games[Team],Games[[#This Row],[Team]],Games[Season],Games[[#This Row],[Season]],Games[Date],"&lt;=" &amp; Games[[#This Row],[Date]])</f>
        <v>6</v>
      </c>
      <c r="D64" s="2" t="s">
        <v>79</v>
      </c>
      <c r="E64" s="2" t="s">
        <v>80</v>
      </c>
      <c r="F64" s="1" t="s">
        <v>85</v>
      </c>
      <c r="G64" s="1" t="s">
        <v>74</v>
      </c>
      <c r="H64" s="1" t="s">
        <v>81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4" s="2">
        <f>Games[[#This Row],[DaysOff]]-Games[[#This Row],[OppDaysOff]]</f>
        <v>-1</v>
      </c>
      <c r="L64" s="2">
        <f>Games[[#This Row],[OppDaysOff]]-Games[[#This Row],[DaysOff]]</f>
        <v>1</v>
      </c>
      <c r="M64" s="1">
        <f>MAX(-16, MIN(16, Games[[#This Row],[RestDiff]]*8))</f>
        <v>-8</v>
      </c>
      <c r="N64" s="1">
        <f>MAX(-16, MIN(16, Games[[#This Row],[OppRestDiff]]*8))</f>
        <v>8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1512.748682910074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1607.0499384825109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0.24629186349231669</v>
      </c>
      <c r="R64" s="1">
        <v>74</v>
      </c>
      <c r="S64" s="1">
        <v>80</v>
      </c>
      <c r="T64" s="1">
        <v>0</v>
      </c>
      <c r="U64" s="1">
        <f>Games[[#This Row],[PointsFor]]-Games[[#This Row],[PointsAgainst]]</f>
        <v>-6</v>
      </c>
      <c r="V64" s="1">
        <f>IF(Games[[#This Row],[MOV]]&gt;0,1,IF(Games[[#This Row],[MOV]]=0,0.5,0))</f>
        <v>0</v>
      </c>
      <c r="W64" s="4">
        <f>((ABS(Games[[#This Row],[MOV]])+5)^0.6)/(12+0.01*(ABS(Games[[#This Row],[PreGmRate]]-Games[[#This Row],[OppPreGmRate]])))*IF(Games[[#This Row],[OT]]=1,0.9,1)</f>
        <v>0.32568686114945844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4" s="9">
        <f>MAX(kmin, kmax - 0.15 * MIN(Games[[#This Row],[GamesPlayed]], 82))</f>
        <v>75.099999999999994</v>
      </c>
      <c r="Z64" s="4">
        <f>Games[[#This Row],[K]]*Games[[#This Row],[POMult]]</f>
        <v>75.099999999999994</v>
      </c>
      <c r="AA64" s="4">
        <f>(Games[[#This Row],[Keff]]*Games[[#This Row],[MOVMult]])*(Games[[#This Row],[Result]]-Games[[#This Row],[ExpectedWin%]])</f>
        <v>-6.0240731984545102</v>
      </c>
      <c r="AB64" s="4">
        <f>Games[[#This Row],[PreGmRate]]+Games[[#This Row],[RatingChange]]</f>
        <v>1506.7246097116195</v>
      </c>
      <c r="AC64" s="2">
        <f>IF(Games[[#This Row],[Type]]="R",IF(Games[[#This Row],[Result]]&gt;0.5,1,0),0)</f>
        <v>0</v>
      </c>
      <c r="AD64" s="2">
        <f>IF(Games[[#This Row],[Type]]="R",IF(Games[[#This Row],[Result]]&lt;0.5,1,0),0)</f>
        <v>1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45081</v>
      </c>
      <c r="B65" s="2">
        <v>2023</v>
      </c>
      <c r="C65" s="2">
        <f>COUNTIFS(Games[Team],Games[[#This Row],[Team]],Games[Season],Games[[#This Row],[Season]],Games[Date],"&lt;=" &amp; Games[[#This Row],[Date]])</f>
        <v>7</v>
      </c>
      <c r="D65" s="2" t="s">
        <v>79</v>
      </c>
      <c r="E65" s="2" t="s">
        <v>80</v>
      </c>
      <c r="F65" s="1" t="s">
        <v>74</v>
      </c>
      <c r="G65" s="1" t="s">
        <v>85</v>
      </c>
      <c r="H65" s="1" t="s">
        <v>82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5" s="2">
        <f>Games[[#This Row],[DaysOff]]-Games[[#This Row],[OppDaysOff]]</f>
        <v>1</v>
      </c>
      <c r="L65" s="2">
        <f>Games[[#This Row],[OppDaysOff]]-Games[[#This Row],[DaysOff]]</f>
        <v>-1</v>
      </c>
      <c r="M65" s="1">
        <f>MAX(-16, MIN(16, Games[[#This Row],[RestDiff]]*8))</f>
        <v>8</v>
      </c>
      <c r="N65" s="1">
        <f>MAX(-16, MIN(16, Games[[#This Row],[OppRestDiff]]*8))</f>
        <v>-8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1607.0499384825109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1512.748682910074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0.75370813650768331</v>
      </c>
      <c r="R65" s="1">
        <v>80</v>
      </c>
      <c r="S65" s="1">
        <v>74</v>
      </c>
      <c r="T65" s="1">
        <v>0</v>
      </c>
      <c r="U65" s="1">
        <f>Games[[#This Row],[PointsFor]]-Games[[#This Row],[PointsAgainst]]</f>
        <v>6</v>
      </c>
      <c r="V65" s="1">
        <f>IF(Games[[#This Row],[MOV]]&gt;0,1,IF(Games[[#This Row],[MOV]]=0,0.5,0))</f>
        <v>1</v>
      </c>
      <c r="W65" s="4">
        <f>((ABS(Games[[#This Row],[MOV]])+5)^0.6)/(12+0.01*(ABS(Games[[#This Row],[PreGmRate]]-Games[[#This Row],[OppPreGmRate]])))*IF(Games[[#This Row],[OT]]=1,0.9,1)</f>
        <v>0.32568686114945844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5" s="9">
        <f>MAX(kmin, kmax - 0.15 * MIN(Games[[#This Row],[GamesPlayed]], 82))</f>
        <v>74.95</v>
      </c>
      <c r="Z65" s="4">
        <f>Games[[#This Row],[K]]*Games[[#This Row],[POMult]]</f>
        <v>74.95</v>
      </c>
      <c r="AA65" s="4">
        <f>(Games[[#This Row],[Keff]]*Games[[#This Row],[MOVMult]])*(Games[[#This Row],[Result]]-Games[[#This Row],[ExpectedWin%]])</f>
        <v>6.0120410948623908</v>
      </c>
      <c r="AB65" s="4">
        <f>Games[[#This Row],[PreGmRate]]+Games[[#This Row],[RatingChange]]</f>
        <v>1613.0619795773732</v>
      </c>
      <c r="AC65" s="2">
        <f>IF(Games[[#This Row],[Type]]="R",IF(Games[[#This Row],[Result]]&gt;0.5,1,0),0)</f>
        <v>1</v>
      </c>
      <c r="AD65" s="2">
        <f>IF(Games[[#This Row],[Type]]="R",IF(Games[[#This Row],[Result]]&lt;0.5,1,0),0)</f>
        <v>0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45081</v>
      </c>
      <c r="B66" s="2">
        <v>2023</v>
      </c>
      <c r="C66" s="2">
        <f>COUNTIFS(Games[Team],Games[[#This Row],[Team]],Games[Season],Games[[#This Row],[Season]],Games[Date],"&lt;=" &amp; Games[[#This Row],[Date]])</f>
        <v>6</v>
      </c>
      <c r="D66" s="2" t="s">
        <v>79</v>
      </c>
      <c r="E66" s="2" t="s">
        <v>80</v>
      </c>
      <c r="F66" s="1" t="s">
        <v>86</v>
      </c>
      <c r="G66" s="1" t="s">
        <v>69</v>
      </c>
      <c r="H66" s="1" t="s">
        <v>81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66" s="2">
        <f>Games[[#This Row],[DaysOff]]-Games[[#This Row],[OppDaysOff]]</f>
        <v>-3</v>
      </c>
      <c r="L66" s="2">
        <f>Games[[#This Row],[OppDaysOff]]-Games[[#This Row],[DaysOff]]</f>
        <v>3</v>
      </c>
      <c r="M66" s="1">
        <f>MAX(-16, MIN(16, Games[[#This Row],[RestDiff]]*8))</f>
        <v>-16</v>
      </c>
      <c r="N66" s="1">
        <f>MAX(-16, MIN(16, Games[[#This Row],[OppRestDiff]]*8))</f>
        <v>16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1669.9718215751968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1358.2786013673428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0.75519254306008776</v>
      </c>
      <c r="R66" s="1">
        <v>84</v>
      </c>
      <c r="S66" s="1">
        <v>80</v>
      </c>
      <c r="T66" s="1">
        <v>0</v>
      </c>
      <c r="U66" s="1">
        <f>Games[[#This Row],[PointsFor]]-Games[[#This Row],[PointsAgainst]]</f>
        <v>4</v>
      </c>
      <c r="V66" s="1">
        <f>IF(Games[[#This Row],[MOV]]&gt;0,1,IF(Games[[#This Row],[MOV]]=0,0.5,0))</f>
        <v>1</v>
      </c>
      <c r="W66" s="4">
        <f>((ABS(Games[[#This Row],[MOV]])+5)^0.6)/(12+0.01*(ABS(Games[[#This Row],[PreGmRate]]-Games[[#This Row],[OppPreGmRate]])))*IF(Games[[#This Row],[OT]]=1,0.9,1)</f>
        <v>0.24721899714101367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6" s="9">
        <f>MAX(kmin, kmax - 0.15 * MIN(Games[[#This Row],[GamesPlayed]], 82))</f>
        <v>75.099999999999994</v>
      </c>
      <c r="Z66" s="4">
        <f>Games[[#This Row],[K]]*Games[[#This Row],[POMult]]</f>
        <v>75.099999999999994</v>
      </c>
      <c r="AA66" s="4">
        <f>(Games[[#This Row],[Keff]]*Games[[#This Row],[MOVMult]])*(Games[[#This Row],[Result]]-Games[[#This Row],[ExpectedWin%]])</f>
        <v>4.5451311551992566</v>
      </c>
      <c r="AB66" s="4">
        <f>Games[[#This Row],[PreGmRate]]+Games[[#This Row],[RatingChange]]</f>
        <v>1674.516952730396</v>
      </c>
      <c r="AC66" s="2">
        <f>IF(Games[[#This Row],[Type]]="R",IF(Games[[#This Row],[Result]]&gt;0.5,1,0),0)</f>
        <v>1</v>
      </c>
      <c r="AD66" s="2">
        <f>IF(Games[[#This Row],[Type]]="R",IF(Games[[#This Row],[Result]]&lt;0.5,1,0),0)</f>
        <v>0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45081</v>
      </c>
      <c r="B67" s="2">
        <v>2023</v>
      </c>
      <c r="C67" s="2">
        <f>COUNTIFS(Games[Team],Games[[#This Row],[Team]],Games[Season],Games[[#This Row],[Season]],Games[Date],"&lt;=" &amp; Games[[#This Row],[Date]])</f>
        <v>5</v>
      </c>
      <c r="D67" s="2" t="s">
        <v>79</v>
      </c>
      <c r="E67" s="2" t="s">
        <v>80</v>
      </c>
      <c r="F67" s="1" t="s">
        <v>69</v>
      </c>
      <c r="G67" s="1" t="s">
        <v>86</v>
      </c>
      <c r="H67" s="1" t="s">
        <v>82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4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7" s="2">
        <f>Games[[#This Row],[DaysOff]]-Games[[#This Row],[OppDaysOff]]</f>
        <v>3</v>
      </c>
      <c r="L67" s="2">
        <f>Games[[#This Row],[OppDaysOff]]-Games[[#This Row],[DaysOff]]</f>
        <v>-3</v>
      </c>
      <c r="M67" s="1">
        <f>MAX(-16, MIN(16, Games[[#This Row],[RestDiff]]*8))</f>
        <v>16</v>
      </c>
      <c r="N67" s="1">
        <f>MAX(-16, MIN(16, Games[[#This Row],[OppRestDiff]]*8))</f>
        <v>-16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1358.2786013673428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1669.9718215751968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0.24480745693991224</v>
      </c>
      <c r="R67" s="1">
        <v>80</v>
      </c>
      <c r="S67" s="1">
        <v>84</v>
      </c>
      <c r="T67" s="1">
        <v>0</v>
      </c>
      <c r="U67" s="1">
        <f>Games[[#This Row],[PointsFor]]-Games[[#This Row],[PointsAgainst]]</f>
        <v>-4</v>
      </c>
      <c r="V67" s="1">
        <f>IF(Games[[#This Row],[MOV]]&gt;0,1,IF(Games[[#This Row],[MOV]]=0,0.5,0))</f>
        <v>0</v>
      </c>
      <c r="W67" s="4">
        <f>((ABS(Games[[#This Row],[MOV]])+5)^0.6)/(12+0.01*(ABS(Games[[#This Row],[PreGmRate]]-Games[[#This Row],[OppPreGmRate]])))*IF(Games[[#This Row],[OT]]=1,0.9,1)</f>
        <v>0.24721899714101367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7" s="9">
        <f>MAX(kmin, kmax - 0.15 * MIN(Games[[#This Row],[GamesPlayed]], 82))</f>
        <v>75.25</v>
      </c>
      <c r="Z67" s="4">
        <f>Games[[#This Row],[K]]*Games[[#This Row],[POMult]]</f>
        <v>75.25</v>
      </c>
      <c r="AA67" s="4">
        <f>(Games[[#This Row],[Keff]]*Games[[#This Row],[MOVMult]])*(Games[[#This Row],[Result]]-Games[[#This Row],[ExpectedWin%]])</f>
        <v>-4.5542093132988555</v>
      </c>
      <c r="AB67" s="4">
        <f>Games[[#This Row],[PreGmRate]]+Games[[#This Row],[RatingChange]]</f>
        <v>1353.7243920540441</v>
      </c>
      <c r="AC67" s="2">
        <f>IF(Games[[#This Row],[Type]]="R",IF(Games[[#This Row],[Result]]&gt;0.5,1,0),0)</f>
        <v>0</v>
      </c>
      <c r="AD67" s="2">
        <f>IF(Games[[#This Row],[Type]]="R",IF(Games[[#This Row],[Result]]&lt;0.5,1,0),0)</f>
        <v>1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45081</v>
      </c>
      <c r="B68" s="2">
        <v>2023</v>
      </c>
      <c r="C68" s="2">
        <f>COUNTIFS(Games[Team],Games[[#This Row],[Team]],Games[Season],Games[[#This Row],[Season]],Games[Date],"&lt;=" &amp; Games[[#This Row],[Date]])</f>
        <v>7</v>
      </c>
      <c r="D68" s="2" t="s">
        <v>79</v>
      </c>
      <c r="E68" s="2" t="s">
        <v>80</v>
      </c>
      <c r="F68" s="1" t="s">
        <v>75</v>
      </c>
      <c r="G68" s="1" t="s">
        <v>60</v>
      </c>
      <c r="H68" s="1" t="s">
        <v>81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8" s="2">
        <f>Games[[#This Row],[DaysOff]]-Games[[#This Row],[OppDaysOff]]</f>
        <v>0</v>
      </c>
      <c r="L68" s="2">
        <f>Games[[#This Row],[OppDaysOff]]-Games[[#This Row],[DaysOff]]</f>
        <v>0</v>
      </c>
      <c r="M68" s="1">
        <f>MAX(-16, MIN(16, Games[[#This Row],[RestDiff]]*8))</f>
        <v>0</v>
      </c>
      <c r="N68" s="1">
        <f>MAX(-16, MIN(16, Games[[#This Row],[OppRestDiff]]*8))</f>
        <v>0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1547.8880652570194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1529.8391116567796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0.40621258412940997</v>
      </c>
      <c r="R68" s="1">
        <v>86</v>
      </c>
      <c r="S68" s="1">
        <v>82</v>
      </c>
      <c r="T68" s="1">
        <v>0</v>
      </c>
      <c r="U68" s="1">
        <f>Games[[#This Row],[PointsFor]]-Games[[#This Row],[PointsAgainst]]</f>
        <v>4</v>
      </c>
      <c r="V68" s="1">
        <f>IF(Games[[#This Row],[MOV]]&gt;0,1,IF(Games[[#This Row],[MOV]]=0,0.5,0))</f>
        <v>1</v>
      </c>
      <c r="W68" s="4">
        <f>((ABS(Games[[#This Row],[MOV]])+5)^0.6)/(12+0.01*(ABS(Games[[#This Row],[PreGmRate]]-Games[[#This Row],[OppPreGmRate]])))*IF(Games[[#This Row],[OT]]=1,0.9,1)</f>
        <v>0.30681794913089244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8" s="9">
        <f>MAX(kmin, kmax - 0.15 * MIN(Games[[#This Row],[GamesPlayed]], 82))</f>
        <v>74.95</v>
      </c>
      <c r="Z68" s="4">
        <f>Games[[#This Row],[K]]*Games[[#This Row],[POMult]]</f>
        <v>74.95</v>
      </c>
      <c r="AA68" s="4">
        <f>(Games[[#This Row],[Keff]]*Games[[#This Row],[MOVMult]])*(Games[[#This Row],[Result]]-Games[[#This Row],[ExpectedWin%]])</f>
        <v>13.654738554928151</v>
      </c>
      <c r="AB68" s="4">
        <f>Games[[#This Row],[PreGmRate]]+Games[[#This Row],[RatingChange]]</f>
        <v>1561.5428038119476</v>
      </c>
      <c r="AC68" s="2">
        <f>IF(Games[[#This Row],[Type]]="R",IF(Games[[#This Row],[Result]]&gt;0.5,1,0),0)</f>
        <v>1</v>
      </c>
      <c r="AD68" s="2">
        <f>IF(Games[[#This Row],[Type]]="R",IF(Games[[#This Row],[Result]]&lt;0.5,1,0),0)</f>
        <v>0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45081</v>
      </c>
      <c r="B69" s="2">
        <v>2023</v>
      </c>
      <c r="C69" s="2">
        <f>COUNTIFS(Games[Team],Games[[#This Row],[Team]],Games[Season],Games[[#This Row],[Season]],Games[Date],"&lt;=" &amp; Games[[#This Row],[Date]])</f>
        <v>6</v>
      </c>
      <c r="D69" s="2" t="s">
        <v>79</v>
      </c>
      <c r="E69" s="2" t="s">
        <v>80</v>
      </c>
      <c r="F69" s="1" t="s">
        <v>60</v>
      </c>
      <c r="G69" s="1" t="s">
        <v>75</v>
      </c>
      <c r="H69" s="1" t="s">
        <v>82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9" s="2">
        <f>Games[[#This Row],[DaysOff]]-Games[[#This Row],[OppDaysOff]]</f>
        <v>0</v>
      </c>
      <c r="L69" s="2">
        <f>Games[[#This Row],[OppDaysOff]]-Games[[#This Row],[DaysOff]]</f>
        <v>0</v>
      </c>
      <c r="M69" s="1">
        <f>MAX(-16, MIN(16, Games[[#This Row],[RestDiff]]*8))</f>
        <v>0</v>
      </c>
      <c r="N69" s="1">
        <f>MAX(-16, MIN(16, Games[[#This Row],[OppRestDiff]]*8))</f>
        <v>0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1529.8391116567796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1547.8880652570194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0.59378741587059003</v>
      </c>
      <c r="R69" s="1">
        <v>82</v>
      </c>
      <c r="S69" s="1">
        <v>86</v>
      </c>
      <c r="T69" s="1">
        <v>0</v>
      </c>
      <c r="U69" s="1">
        <f>Games[[#This Row],[PointsFor]]-Games[[#This Row],[PointsAgainst]]</f>
        <v>-4</v>
      </c>
      <c r="V69" s="1">
        <f>IF(Games[[#This Row],[MOV]]&gt;0,1,IF(Games[[#This Row],[MOV]]=0,0.5,0))</f>
        <v>0</v>
      </c>
      <c r="W69" s="4">
        <f>((ABS(Games[[#This Row],[MOV]])+5)^0.6)/(12+0.01*(ABS(Games[[#This Row],[PreGmRate]]-Games[[#This Row],[OppPreGmRate]])))*IF(Games[[#This Row],[OT]]=1,0.9,1)</f>
        <v>0.30681794913089244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9" s="9">
        <f>MAX(kmin, kmax - 0.15 * MIN(Games[[#This Row],[GamesPlayed]], 82))</f>
        <v>75.099999999999994</v>
      </c>
      <c r="Z69" s="4">
        <f>Games[[#This Row],[K]]*Games[[#This Row],[POMult]]</f>
        <v>75.099999999999994</v>
      </c>
      <c r="AA69" s="4">
        <f>(Games[[#This Row],[Keff]]*Games[[#This Row],[MOVMult]])*(Games[[#This Row],[Result]]-Games[[#This Row],[ExpectedWin%]])</f>
        <v>-13.68206625050172</v>
      </c>
      <c r="AB69" s="4">
        <f>Games[[#This Row],[PreGmRate]]+Games[[#This Row],[RatingChange]]</f>
        <v>1516.1570454062778</v>
      </c>
      <c r="AC69" s="2">
        <f>IF(Games[[#This Row],[Type]]="R",IF(Games[[#This Row],[Result]]&gt;0.5,1,0),0)</f>
        <v>0</v>
      </c>
      <c r="AD69" s="2">
        <f>IF(Games[[#This Row],[Type]]="R",IF(Games[[#This Row],[Result]]&lt;0.5,1,0),0)</f>
        <v>1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45083</v>
      </c>
      <c r="B70" s="2">
        <v>2023</v>
      </c>
      <c r="C70" s="2">
        <f>COUNTIFS(Games[Team],Games[[#This Row],[Team]],Games[Season],Games[[#This Row],[Season]],Games[Date],"&lt;=" &amp; Games[[#This Row],[Date]])</f>
        <v>6</v>
      </c>
      <c r="D70" s="2" t="s">
        <v>79</v>
      </c>
      <c r="E70" s="2" t="s">
        <v>80</v>
      </c>
      <c r="F70" s="1" t="s">
        <v>69</v>
      </c>
      <c r="G70" s="1" t="s">
        <v>75</v>
      </c>
      <c r="H70" s="1" t="s">
        <v>81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0" s="2">
        <f>Games[[#This Row],[DaysOff]]-Games[[#This Row],[OppDaysOff]]</f>
        <v>0</v>
      </c>
      <c r="L70" s="2">
        <f>Games[[#This Row],[OppDaysOff]]-Games[[#This Row],[DaysOff]]</f>
        <v>0</v>
      </c>
      <c r="M70" s="1">
        <f>MAX(-16, MIN(16, Games[[#This Row],[RestDiff]]*8))</f>
        <v>0</v>
      </c>
      <c r="N70" s="1">
        <f>MAX(-16, MIN(16, Games[[#This Row],[OppRestDiff]]*8))</f>
        <v>0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1353.7243920540441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1561.5428038119476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0.15711641672852514</v>
      </c>
      <c r="R70" s="1">
        <v>103</v>
      </c>
      <c r="S70" s="1">
        <v>108</v>
      </c>
      <c r="T70" s="1">
        <v>1</v>
      </c>
      <c r="U70" s="1">
        <f>Games[[#This Row],[PointsFor]]-Games[[#This Row],[PointsAgainst]]</f>
        <v>-5</v>
      </c>
      <c r="V70" s="1">
        <f>IF(Games[[#This Row],[MOV]]&gt;0,1,IF(Games[[#This Row],[MOV]]=0,0.5,0))</f>
        <v>0</v>
      </c>
      <c r="W70" s="4">
        <f>((ABS(Games[[#This Row],[MOV]])+5)^0.6)/(12+0.01*(ABS(Games[[#This Row],[PreGmRate]]-Games[[#This Row],[OppPreGmRate]])))*IF(Games[[#This Row],[OT]]=1,0.9,1)</f>
        <v>0.2545047361973003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0" s="9">
        <f>MAX(kmin, kmax - 0.15 * MIN(Games[[#This Row],[GamesPlayed]], 82))</f>
        <v>75.099999999999994</v>
      </c>
      <c r="Z70" s="4">
        <f>Games[[#This Row],[K]]*Games[[#This Row],[POMult]]</f>
        <v>75.099999999999994</v>
      </c>
      <c r="AA70" s="4">
        <f>(Games[[#This Row],[Keff]]*Games[[#This Row],[MOVMult]])*(Games[[#This Row],[Result]]-Games[[#This Row],[ExpectedWin%]])</f>
        <v>-3.003014101601055</v>
      </c>
      <c r="AB70" s="4">
        <f>Games[[#This Row],[PreGmRate]]+Games[[#This Row],[RatingChange]]</f>
        <v>1350.7213779524429</v>
      </c>
      <c r="AC70" s="2">
        <f>IF(Games[[#This Row],[Type]]="R",IF(Games[[#This Row],[Result]]&gt;0.5,1,0),0)</f>
        <v>0</v>
      </c>
      <c r="AD70" s="2">
        <f>IF(Games[[#This Row],[Type]]="R",IF(Games[[#This Row],[Result]]&lt;0.5,1,0),0)</f>
        <v>1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45083</v>
      </c>
      <c r="B71" s="2">
        <v>2023</v>
      </c>
      <c r="C71" s="2">
        <f>COUNTIFS(Games[Team],Games[[#This Row],[Team]],Games[Season],Games[[#This Row],[Season]],Games[Date],"&lt;=" &amp; Games[[#This Row],[Date]])</f>
        <v>8</v>
      </c>
      <c r="D71" s="2" t="s">
        <v>79</v>
      </c>
      <c r="E71" s="2" t="s">
        <v>80</v>
      </c>
      <c r="F71" s="1" t="s">
        <v>75</v>
      </c>
      <c r="G71" s="1" t="s">
        <v>69</v>
      </c>
      <c r="H71" s="1" t="s">
        <v>82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1" s="2">
        <f>Games[[#This Row],[DaysOff]]-Games[[#This Row],[OppDaysOff]]</f>
        <v>0</v>
      </c>
      <c r="L71" s="2">
        <f>Games[[#This Row],[OppDaysOff]]-Games[[#This Row],[DaysOff]]</f>
        <v>0</v>
      </c>
      <c r="M71" s="1">
        <f>MAX(-16, MIN(16, Games[[#This Row],[RestDiff]]*8))</f>
        <v>0</v>
      </c>
      <c r="N71" s="1">
        <f>MAX(-16, MIN(16, Games[[#This Row],[OppRestDiff]]*8))</f>
        <v>0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1561.5428038119476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1353.7243920540441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0.84288358327147472</v>
      </c>
      <c r="R71" s="1">
        <v>108</v>
      </c>
      <c r="S71" s="1">
        <v>103</v>
      </c>
      <c r="T71" s="1">
        <v>1</v>
      </c>
      <c r="U71" s="1">
        <f>Games[[#This Row],[PointsFor]]-Games[[#This Row],[PointsAgainst]]</f>
        <v>5</v>
      </c>
      <c r="V71" s="1">
        <f>IF(Games[[#This Row],[MOV]]&gt;0,1,IF(Games[[#This Row],[MOV]]=0,0.5,0))</f>
        <v>1</v>
      </c>
      <c r="W71" s="4">
        <f>((ABS(Games[[#This Row],[MOV]])+5)^0.6)/(12+0.01*(ABS(Games[[#This Row],[PreGmRate]]-Games[[#This Row],[OppPreGmRate]])))*IF(Games[[#This Row],[OT]]=1,0.9,1)</f>
        <v>0.2545047361973003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1" s="9">
        <f>MAX(kmin, kmax - 0.15 * MIN(Games[[#This Row],[GamesPlayed]], 82))</f>
        <v>74.8</v>
      </c>
      <c r="Z71" s="4">
        <f>Games[[#This Row],[K]]*Games[[#This Row],[POMult]]</f>
        <v>74.8</v>
      </c>
      <c r="AA71" s="4">
        <f>(Games[[#This Row],[Keff]]*Games[[#This Row],[MOVMult]])*(Games[[#This Row],[Result]]-Games[[#This Row],[ExpectedWin%]])</f>
        <v>2.9910180399435302</v>
      </c>
      <c r="AB71" s="4">
        <f>Games[[#This Row],[PreGmRate]]+Games[[#This Row],[RatingChange]]</f>
        <v>1564.5338218518912</v>
      </c>
      <c r="AC71" s="2">
        <f>IF(Games[[#This Row],[Type]]="R",IF(Games[[#This Row],[Result]]&gt;0.5,1,0),0)</f>
        <v>1</v>
      </c>
      <c r="AD71" s="2">
        <f>IF(Games[[#This Row],[Type]]="R",IF(Games[[#This Row],[Result]]&lt;0.5,1,0),0)</f>
        <v>0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45083</v>
      </c>
      <c r="B72" s="2">
        <v>2023</v>
      </c>
      <c r="C72" s="2">
        <f>COUNTIFS(Games[Team],Games[[#This Row],[Team]],Games[Season],Games[[#This Row],[Season]],Games[Date],"&lt;=" &amp; Games[[#This Row],[Date]])</f>
        <v>7</v>
      </c>
      <c r="D72" s="2" t="s">
        <v>79</v>
      </c>
      <c r="E72" s="2" t="s">
        <v>80</v>
      </c>
      <c r="F72" s="1" t="s">
        <v>86</v>
      </c>
      <c r="G72" s="1" t="s">
        <v>74</v>
      </c>
      <c r="H72" s="1" t="s">
        <v>81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2" s="2">
        <f>Games[[#This Row],[DaysOff]]-Games[[#This Row],[OppDaysOff]]</f>
        <v>0</v>
      </c>
      <c r="L72" s="2">
        <f>Games[[#This Row],[OppDaysOff]]-Games[[#This Row],[DaysOff]]</f>
        <v>0</v>
      </c>
      <c r="M72" s="1">
        <f>MAX(-16, MIN(16, Games[[#This Row],[RestDiff]]*8))</f>
        <v>0</v>
      </c>
      <c r="N72" s="1">
        <f>MAX(-16, MIN(16, Games[[#This Row],[OppRestDiff]]*8))</f>
        <v>0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1674.516952730396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1613.0619795773732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0.46760056015688722</v>
      </c>
      <c r="R72" s="1">
        <v>90</v>
      </c>
      <c r="S72" s="1">
        <v>84</v>
      </c>
      <c r="T72" s="1">
        <v>0</v>
      </c>
      <c r="U72" s="1">
        <f>Games[[#This Row],[PointsFor]]-Games[[#This Row],[PointsAgainst]]</f>
        <v>6</v>
      </c>
      <c r="V72" s="1">
        <f>IF(Games[[#This Row],[MOV]]&gt;0,1,IF(Games[[#This Row],[MOV]]=0,0.5,0))</f>
        <v>1</v>
      </c>
      <c r="W72" s="4">
        <f>((ABS(Games[[#This Row],[MOV]])+5)^0.6)/(12+0.01*(ABS(Games[[#This Row],[PreGmRate]]-Games[[#This Row],[OppPreGmRate]])))*IF(Games[[#This Row],[OT]]=1,0.9,1)</f>
        <v>0.33416722933483156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2" s="9">
        <f>MAX(kmin, kmax - 0.15 * MIN(Games[[#This Row],[GamesPlayed]], 82))</f>
        <v>74.95</v>
      </c>
      <c r="Z72" s="4">
        <f>Games[[#This Row],[K]]*Games[[#This Row],[POMult]]</f>
        <v>74.95</v>
      </c>
      <c r="AA72" s="4">
        <f>(Games[[#This Row],[Keff]]*Games[[#This Row],[MOVMult]])*(Games[[#This Row],[Result]]-Games[[#This Row],[ExpectedWin%]])</f>
        <v>13.334387906098611</v>
      </c>
      <c r="AB72" s="4">
        <f>Games[[#This Row],[PreGmRate]]+Games[[#This Row],[RatingChange]]</f>
        <v>1687.8513406364946</v>
      </c>
      <c r="AC72" s="2">
        <f>IF(Games[[#This Row],[Type]]="R",IF(Games[[#This Row],[Result]]&gt;0.5,1,0),0)</f>
        <v>1</v>
      </c>
      <c r="AD72" s="2">
        <f>IF(Games[[#This Row],[Type]]="R",IF(Games[[#This Row],[Result]]&lt;0.5,1,0),0)</f>
        <v>0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45083</v>
      </c>
      <c r="B73" s="2">
        <v>2023</v>
      </c>
      <c r="C73" s="2">
        <f>COUNTIFS(Games[Team],Games[[#This Row],[Team]],Games[Season],Games[[#This Row],[Season]],Games[Date],"&lt;=" &amp; Games[[#This Row],[Date]])</f>
        <v>8</v>
      </c>
      <c r="D73" s="2" t="s">
        <v>79</v>
      </c>
      <c r="E73" s="2" t="s">
        <v>80</v>
      </c>
      <c r="F73" s="1" t="s">
        <v>74</v>
      </c>
      <c r="G73" s="1" t="s">
        <v>86</v>
      </c>
      <c r="H73" s="1" t="s">
        <v>82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3" s="2">
        <f>Games[[#This Row],[DaysOff]]-Games[[#This Row],[OppDaysOff]]</f>
        <v>0</v>
      </c>
      <c r="L73" s="2">
        <f>Games[[#This Row],[OppDaysOff]]-Games[[#This Row],[DaysOff]]</f>
        <v>0</v>
      </c>
      <c r="M73" s="1">
        <f>MAX(-16, MIN(16, Games[[#This Row],[RestDiff]]*8))</f>
        <v>0</v>
      </c>
      <c r="N73" s="1">
        <f>MAX(-16, MIN(16, Games[[#This Row],[OppRestDiff]]*8))</f>
        <v>0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1613.0619795773732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1674.516952730396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0.53239943984311289</v>
      </c>
      <c r="R73" s="1">
        <v>84</v>
      </c>
      <c r="S73" s="1">
        <v>90</v>
      </c>
      <c r="T73" s="1">
        <v>0</v>
      </c>
      <c r="U73" s="1">
        <f>Games[[#This Row],[PointsFor]]-Games[[#This Row],[PointsAgainst]]</f>
        <v>-6</v>
      </c>
      <c r="V73" s="1">
        <f>IF(Games[[#This Row],[MOV]]&gt;0,1,IF(Games[[#This Row],[MOV]]=0,0.5,0))</f>
        <v>0</v>
      </c>
      <c r="W73" s="4">
        <f>((ABS(Games[[#This Row],[MOV]])+5)^0.6)/(12+0.01*(ABS(Games[[#This Row],[PreGmRate]]-Games[[#This Row],[OppPreGmRate]])))*IF(Games[[#This Row],[OT]]=1,0.9,1)</f>
        <v>0.33416722933483156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3" s="9">
        <f>MAX(kmin, kmax - 0.15 * MIN(Games[[#This Row],[GamesPlayed]], 82))</f>
        <v>74.8</v>
      </c>
      <c r="Z73" s="4">
        <f>Games[[#This Row],[K]]*Games[[#This Row],[POMult]]</f>
        <v>74.8</v>
      </c>
      <c r="AA73" s="4">
        <f>(Games[[#This Row],[Keff]]*Games[[#This Row],[MOVMult]])*(Games[[#This Row],[Result]]-Games[[#This Row],[ExpectedWin%]])</f>
        <v>-13.307701339241843</v>
      </c>
      <c r="AB73" s="4">
        <f>Games[[#This Row],[PreGmRate]]+Games[[#This Row],[RatingChange]]</f>
        <v>1599.7542782381313</v>
      </c>
      <c r="AC73" s="2">
        <f>IF(Games[[#This Row],[Type]]="R",IF(Games[[#This Row],[Result]]&gt;0.5,1,0),0)</f>
        <v>0</v>
      </c>
      <c r="AD73" s="2">
        <f>IF(Games[[#This Row],[Type]]="R",IF(Games[[#This Row],[Result]]&lt;0.5,1,0),0)</f>
        <v>1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45083</v>
      </c>
      <c r="B74" s="2">
        <v>2023</v>
      </c>
      <c r="C74" s="2">
        <f>COUNTIFS(Games[Team],Games[[#This Row],[Team]],Games[Season],Games[[#This Row],[Season]],Games[Date],"&lt;=" &amp; Games[[#This Row],[Date]])</f>
        <v>6</v>
      </c>
      <c r="D74" s="2" t="s">
        <v>79</v>
      </c>
      <c r="E74" s="2" t="s">
        <v>80</v>
      </c>
      <c r="F74" s="1" t="s">
        <v>63</v>
      </c>
      <c r="G74" s="1" t="s">
        <v>71</v>
      </c>
      <c r="H74" s="1" t="s">
        <v>81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4" s="2">
        <f>Games[[#This Row],[DaysOff]]-Games[[#This Row],[OppDaysOff]]</f>
        <v>0</v>
      </c>
      <c r="L74" s="2">
        <f>Games[[#This Row],[OppDaysOff]]-Games[[#This Row],[DaysOff]]</f>
        <v>0</v>
      </c>
      <c r="M74" s="1">
        <f>MAX(-16, MIN(16, Games[[#This Row],[RestDiff]]*8))</f>
        <v>0</v>
      </c>
      <c r="N74" s="1">
        <f>MAX(-16, MIN(16, Games[[#This Row],[OppRestDiff]]*8))</f>
        <v>0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1459.4476391383782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1470.4555439702315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0.36658173388581689</v>
      </c>
      <c r="R74" s="1">
        <v>63</v>
      </c>
      <c r="S74" s="1">
        <v>66</v>
      </c>
      <c r="T74" s="1">
        <v>0</v>
      </c>
      <c r="U74" s="1">
        <f>Games[[#This Row],[PointsFor]]-Games[[#This Row],[PointsAgainst]]</f>
        <v>-3</v>
      </c>
      <c r="V74" s="1">
        <f>IF(Games[[#This Row],[MOV]]&gt;0,1,IF(Games[[#This Row],[MOV]]=0,0.5,0))</f>
        <v>0</v>
      </c>
      <c r="W74" s="4">
        <f>((ABS(Games[[#This Row],[MOV]])+5)^0.6)/(12+0.01*(ABS(Games[[#This Row],[PreGmRate]]-Games[[#This Row],[OppPreGmRate]])))*IF(Games[[#This Row],[OT]]=1,0.9,1)</f>
        <v>0.2875457905180227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4" s="9">
        <f>MAX(kmin, kmax - 0.15 * MIN(Games[[#This Row],[GamesPlayed]], 82))</f>
        <v>75.099999999999994</v>
      </c>
      <c r="Z74" s="4">
        <f>Games[[#This Row],[K]]*Games[[#This Row],[POMult]]</f>
        <v>75.099999999999994</v>
      </c>
      <c r="AA74" s="4">
        <f>(Games[[#This Row],[Keff]]*Games[[#This Row],[MOVMult]])*(Games[[#This Row],[Result]]-Games[[#This Row],[ExpectedWin%]])</f>
        <v>-7.9162184879208146</v>
      </c>
      <c r="AB74" s="4">
        <f>Games[[#This Row],[PreGmRate]]+Games[[#This Row],[RatingChange]]</f>
        <v>1451.5314206504574</v>
      </c>
      <c r="AC74" s="2">
        <f>IF(Games[[#This Row],[Type]]="R",IF(Games[[#This Row],[Result]]&gt;0.5,1,0),0)</f>
        <v>0</v>
      </c>
      <c r="AD74" s="2">
        <f>IF(Games[[#This Row],[Type]]="R",IF(Games[[#This Row],[Result]]&lt;0.5,1,0),0)</f>
        <v>1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45083</v>
      </c>
      <c r="B75" s="2">
        <v>2023</v>
      </c>
      <c r="C75" s="2">
        <f>COUNTIFS(Games[Team],Games[[#This Row],[Team]],Games[Season],Games[[#This Row],[Season]],Games[Date],"&lt;=" &amp; Games[[#This Row],[Date]])</f>
        <v>5</v>
      </c>
      <c r="D75" s="2" t="s">
        <v>79</v>
      </c>
      <c r="E75" s="2" t="s">
        <v>80</v>
      </c>
      <c r="F75" s="1" t="s">
        <v>71</v>
      </c>
      <c r="G75" s="1" t="s">
        <v>63</v>
      </c>
      <c r="H75" s="1" t="s">
        <v>82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5" s="2">
        <f>Games[[#This Row],[DaysOff]]-Games[[#This Row],[OppDaysOff]]</f>
        <v>0</v>
      </c>
      <c r="L75" s="2">
        <f>Games[[#This Row],[OppDaysOff]]-Games[[#This Row],[DaysOff]]</f>
        <v>0</v>
      </c>
      <c r="M75" s="1">
        <f>MAX(-16, MIN(16, Games[[#This Row],[RestDiff]]*8))</f>
        <v>0</v>
      </c>
      <c r="N75" s="1">
        <f>MAX(-16, MIN(16, Games[[#This Row],[OppRestDiff]]*8))</f>
        <v>0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1470.4555439702315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1459.4476391383782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0.63341826611418317</v>
      </c>
      <c r="R75" s="1">
        <v>66</v>
      </c>
      <c r="S75" s="1">
        <v>63</v>
      </c>
      <c r="T75" s="1">
        <v>0</v>
      </c>
      <c r="U75" s="1">
        <f>Games[[#This Row],[PointsFor]]-Games[[#This Row],[PointsAgainst]]</f>
        <v>3</v>
      </c>
      <c r="V75" s="1">
        <f>IF(Games[[#This Row],[MOV]]&gt;0,1,IF(Games[[#This Row],[MOV]]=0,0.5,0))</f>
        <v>1</v>
      </c>
      <c r="W75" s="4">
        <f>((ABS(Games[[#This Row],[MOV]])+5)^0.6)/(12+0.01*(ABS(Games[[#This Row],[PreGmRate]]-Games[[#This Row],[OppPreGmRate]])))*IF(Games[[#This Row],[OT]]=1,0.9,1)</f>
        <v>0.2875457905180227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5" s="9">
        <f>MAX(kmin, kmax - 0.15 * MIN(Games[[#This Row],[GamesPlayed]], 82))</f>
        <v>75.25</v>
      </c>
      <c r="Z75" s="4">
        <f>Games[[#This Row],[K]]*Games[[#This Row],[POMult]]</f>
        <v>75.25</v>
      </c>
      <c r="AA75" s="4">
        <f>(Games[[#This Row],[Keff]]*Games[[#This Row],[MOVMult]])*(Games[[#This Row],[Result]]-Games[[#This Row],[ExpectedWin%]])</f>
        <v>7.9320298430897642</v>
      </c>
      <c r="AB75" s="4">
        <f>Games[[#This Row],[PreGmRate]]+Games[[#This Row],[RatingChange]]</f>
        <v>1478.3875738133213</v>
      </c>
      <c r="AC75" s="2">
        <f>IF(Games[[#This Row],[Type]]="R",IF(Games[[#This Row],[Result]]&gt;0.5,1,0),0)</f>
        <v>1</v>
      </c>
      <c r="AD75" s="2">
        <f>IF(Games[[#This Row],[Type]]="R",IF(Games[[#This Row],[Result]]&lt;0.5,1,0),0)</f>
        <v>0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45084</v>
      </c>
      <c r="B76" s="2">
        <v>2023</v>
      </c>
      <c r="C76" s="2">
        <f>COUNTIFS(Games[Team],Games[[#This Row],[Team]],Games[Season],Games[[#This Row],[Season]],Games[Date],"&lt;=" &amp; Games[[#This Row],[Date]])</f>
        <v>5</v>
      </c>
      <c r="D76" s="2" t="s">
        <v>79</v>
      </c>
      <c r="E76" s="2" t="s">
        <v>80</v>
      </c>
      <c r="F76" s="1" t="s">
        <v>40</v>
      </c>
      <c r="G76" s="1" t="s">
        <v>85</v>
      </c>
      <c r="H76" s="1" t="s">
        <v>81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4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6" s="2">
        <f>Games[[#This Row],[DaysOff]]-Games[[#This Row],[OppDaysOff]]</f>
        <v>2</v>
      </c>
      <c r="L76" s="2">
        <f>Games[[#This Row],[OppDaysOff]]-Games[[#This Row],[DaysOff]]</f>
        <v>-2</v>
      </c>
      <c r="M76" s="1">
        <f>MAX(-16, MIN(16, Games[[#This Row],[RestDiff]]*8))</f>
        <v>16</v>
      </c>
      <c r="N76" s="1">
        <f>MAX(-16, MIN(16, Games[[#This Row],[OppRestDiff]]*8))</f>
        <v>-16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1432.5659841277788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1506.7246097116195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0.32602313801825372</v>
      </c>
      <c r="R76" s="1">
        <v>79</v>
      </c>
      <c r="S76" s="1">
        <v>84</v>
      </c>
      <c r="T76" s="1">
        <v>0</v>
      </c>
      <c r="U76" s="1">
        <f>Games[[#This Row],[PointsFor]]-Games[[#This Row],[PointsAgainst]]</f>
        <v>-5</v>
      </c>
      <c r="V76" s="1">
        <f>IF(Games[[#This Row],[MOV]]&gt;0,1,IF(Games[[#This Row],[MOV]]=0,0.5,0))</f>
        <v>0</v>
      </c>
      <c r="W76" s="4">
        <f>((ABS(Games[[#This Row],[MOV]])+5)^0.6)/(12+0.01*(ABS(Games[[#This Row],[PreGmRate]]-Games[[#This Row],[OppPreGmRate]])))*IF(Games[[#This Row],[OT]]=1,0.9,1)</f>
        <v>0.31244710239361129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6" s="9">
        <f>MAX(kmin, kmax - 0.15 * MIN(Games[[#This Row],[GamesPlayed]], 82))</f>
        <v>75.25</v>
      </c>
      <c r="Z76" s="4">
        <f>Games[[#This Row],[K]]*Games[[#This Row],[POMult]]</f>
        <v>75.25</v>
      </c>
      <c r="AA76" s="4">
        <f>(Games[[#This Row],[Keff]]*Games[[#This Row],[MOVMult]])*(Games[[#This Row],[Result]]-Games[[#This Row],[ExpectedWin%]])</f>
        <v>-7.665340105227453</v>
      </c>
      <c r="AB76" s="4">
        <f>Games[[#This Row],[PreGmRate]]+Games[[#This Row],[RatingChange]]</f>
        <v>1424.9006440225514</v>
      </c>
      <c r="AC76" s="2">
        <f>IF(Games[[#This Row],[Type]]="R",IF(Games[[#This Row],[Result]]&gt;0.5,1,0),0)</f>
        <v>0</v>
      </c>
      <c r="AD76" s="2">
        <f>IF(Games[[#This Row],[Type]]="R",IF(Games[[#This Row],[Result]]&lt;0.5,1,0),0)</f>
        <v>1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45084</v>
      </c>
      <c r="B77" s="2">
        <v>2023</v>
      </c>
      <c r="C77" s="2">
        <f>COUNTIFS(Games[Team],Games[[#This Row],[Team]],Games[Season],Games[[#This Row],[Season]],Games[Date],"&lt;=" &amp; Games[[#This Row],[Date]])</f>
        <v>7</v>
      </c>
      <c r="D77" s="2" t="s">
        <v>79</v>
      </c>
      <c r="E77" s="2" t="s">
        <v>80</v>
      </c>
      <c r="F77" s="1" t="s">
        <v>85</v>
      </c>
      <c r="G77" s="1" t="s">
        <v>40</v>
      </c>
      <c r="H77" s="1" t="s">
        <v>82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77" s="2">
        <f>Games[[#This Row],[DaysOff]]-Games[[#This Row],[OppDaysOff]]</f>
        <v>-2</v>
      </c>
      <c r="L77" s="2">
        <f>Games[[#This Row],[OppDaysOff]]-Games[[#This Row],[DaysOff]]</f>
        <v>2</v>
      </c>
      <c r="M77" s="1">
        <f>MAX(-16, MIN(16, Games[[#This Row],[RestDiff]]*8))</f>
        <v>-16</v>
      </c>
      <c r="N77" s="1">
        <f>MAX(-16, MIN(16, Games[[#This Row],[OppRestDiff]]*8))</f>
        <v>16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1506.7246097116195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1432.5659841277788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0.67397686198174633</v>
      </c>
      <c r="R77" s="1">
        <v>84</v>
      </c>
      <c r="S77" s="1">
        <v>79</v>
      </c>
      <c r="T77" s="1">
        <v>0</v>
      </c>
      <c r="U77" s="1">
        <f>Games[[#This Row],[PointsFor]]-Games[[#This Row],[PointsAgainst]]</f>
        <v>5</v>
      </c>
      <c r="V77" s="1">
        <f>IF(Games[[#This Row],[MOV]]&gt;0,1,IF(Games[[#This Row],[MOV]]=0,0.5,0))</f>
        <v>1</v>
      </c>
      <c r="W77" s="4">
        <f>((ABS(Games[[#This Row],[MOV]])+5)^0.6)/(12+0.01*(ABS(Games[[#This Row],[PreGmRate]]-Games[[#This Row],[OppPreGmRate]])))*IF(Games[[#This Row],[OT]]=1,0.9,1)</f>
        <v>0.31244710239361129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7" s="9">
        <f>MAX(kmin, kmax - 0.15 * MIN(Games[[#This Row],[GamesPlayed]], 82))</f>
        <v>74.95</v>
      </c>
      <c r="Z77" s="4">
        <f>Games[[#This Row],[K]]*Games[[#This Row],[POMult]]</f>
        <v>74.95</v>
      </c>
      <c r="AA77" s="4">
        <f>(Games[[#This Row],[Keff]]*Games[[#This Row],[MOVMult]])*(Games[[#This Row],[Result]]-Games[[#This Row],[ExpectedWin%]])</f>
        <v>7.6347806097913287</v>
      </c>
      <c r="AB77" s="4">
        <f>Games[[#This Row],[PreGmRate]]+Games[[#This Row],[RatingChange]]</f>
        <v>1514.3593903214107</v>
      </c>
      <c r="AC77" s="2">
        <f>IF(Games[[#This Row],[Type]]="R",IF(Games[[#This Row],[Result]]&gt;0.5,1,0),0)</f>
        <v>1</v>
      </c>
      <c r="AD77" s="2">
        <f>IF(Games[[#This Row],[Type]]="R",IF(Games[[#This Row],[Result]]&lt;0.5,1,0),0)</f>
        <v>0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45085</v>
      </c>
      <c r="B78" s="2">
        <v>2023</v>
      </c>
      <c r="C78" s="2">
        <f>COUNTIFS(Games[Team],Games[[#This Row],[Team]],Games[Season],Games[[#This Row],[Season]],Games[Date],"&lt;=" &amp; Games[[#This Row],[Date]])</f>
        <v>8</v>
      </c>
      <c r="D78" s="2" t="s">
        <v>79</v>
      </c>
      <c r="E78" s="2" t="s">
        <v>80</v>
      </c>
      <c r="F78" s="1" t="s">
        <v>86</v>
      </c>
      <c r="G78" s="1" t="s">
        <v>74</v>
      </c>
      <c r="H78" s="1" t="s">
        <v>81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8" s="2">
        <f>Games[[#This Row],[DaysOff]]-Games[[#This Row],[OppDaysOff]]</f>
        <v>0</v>
      </c>
      <c r="L78" s="2">
        <f>Games[[#This Row],[OppDaysOff]]-Games[[#This Row],[DaysOff]]</f>
        <v>0</v>
      </c>
      <c r="M78" s="1">
        <f>MAX(-16, MIN(16, Games[[#This Row],[RestDiff]]*8))</f>
        <v>0</v>
      </c>
      <c r="N78" s="1">
        <f>MAX(-16, MIN(16, Games[[#This Row],[OppRestDiff]]*8))</f>
        <v>0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1687.8513406364946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1599.7542782381313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0.50589587346492149</v>
      </c>
      <c r="R78" s="1">
        <v>77</v>
      </c>
      <c r="S78" s="1">
        <v>94</v>
      </c>
      <c r="T78" s="1">
        <v>0</v>
      </c>
      <c r="U78" s="1">
        <f>Games[[#This Row],[PointsFor]]-Games[[#This Row],[PointsAgainst]]</f>
        <v>-17</v>
      </c>
      <c r="V78" s="1">
        <f>IF(Games[[#This Row],[MOV]]&gt;0,1,IF(Games[[#This Row],[MOV]]=0,0.5,0))</f>
        <v>0</v>
      </c>
      <c r="W78" s="4">
        <f>((ABS(Games[[#This Row],[MOV]])+5)^0.6)/(12+0.01*(ABS(Games[[#This Row],[PreGmRate]]-Games[[#This Row],[OppPreGmRate]])))*IF(Games[[#This Row],[OT]]=1,0.9,1)</f>
        <v>0.49602665944190932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8" s="9">
        <f>MAX(kmin, kmax - 0.15 * MIN(Games[[#This Row],[GamesPlayed]], 82))</f>
        <v>74.8</v>
      </c>
      <c r="Z78" s="4">
        <f>Games[[#This Row],[K]]*Games[[#This Row],[POMult]]</f>
        <v>74.8</v>
      </c>
      <c r="AA78" s="4">
        <f>(Games[[#This Row],[Keff]]*Games[[#This Row],[MOVMult]])*(Games[[#This Row],[Result]]-Games[[#This Row],[ExpectedWin%]])</f>
        <v>-18.770150442490838</v>
      </c>
      <c r="AB78" s="4">
        <f>Games[[#This Row],[PreGmRate]]+Games[[#This Row],[RatingChange]]</f>
        <v>1669.0811901940037</v>
      </c>
      <c r="AC78" s="2">
        <f>IF(Games[[#This Row],[Type]]="R",IF(Games[[#This Row],[Result]]&gt;0.5,1,0),0)</f>
        <v>0</v>
      </c>
      <c r="AD78" s="2">
        <f>IF(Games[[#This Row],[Type]]="R",IF(Games[[#This Row],[Result]]&lt;0.5,1,0),0)</f>
        <v>1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45085</v>
      </c>
      <c r="B79" s="2">
        <v>2023</v>
      </c>
      <c r="C79" s="2">
        <f>COUNTIFS(Games[Team],Games[[#This Row],[Team]],Games[Season],Games[[#This Row],[Season]],Games[Date],"&lt;=" &amp; Games[[#This Row],[Date]])</f>
        <v>9</v>
      </c>
      <c r="D79" s="2" t="s">
        <v>79</v>
      </c>
      <c r="E79" s="2" t="s">
        <v>80</v>
      </c>
      <c r="F79" s="1" t="s">
        <v>74</v>
      </c>
      <c r="G79" s="1" t="s">
        <v>86</v>
      </c>
      <c r="H79" s="1" t="s">
        <v>82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9" s="2">
        <f>Games[[#This Row],[DaysOff]]-Games[[#This Row],[OppDaysOff]]</f>
        <v>0</v>
      </c>
      <c r="L79" s="2">
        <f>Games[[#This Row],[OppDaysOff]]-Games[[#This Row],[DaysOff]]</f>
        <v>0</v>
      </c>
      <c r="M79" s="1">
        <f>MAX(-16, MIN(16, Games[[#This Row],[RestDiff]]*8))</f>
        <v>0</v>
      </c>
      <c r="N79" s="1">
        <f>MAX(-16, MIN(16, Games[[#This Row],[OppRestDiff]]*8))</f>
        <v>0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1599.7542782381313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1687.8513406364946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0.49410412653507851</v>
      </c>
      <c r="R79" s="1">
        <v>94</v>
      </c>
      <c r="S79" s="1">
        <v>77</v>
      </c>
      <c r="T79" s="1">
        <v>0</v>
      </c>
      <c r="U79" s="1">
        <f>Games[[#This Row],[PointsFor]]-Games[[#This Row],[PointsAgainst]]</f>
        <v>17</v>
      </c>
      <c r="V79" s="1">
        <f>IF(Games[[#This Row],[MOV]]&gt;0,1,IF(Games[[#This Row],[MOV]]=0,0.5,0))</f>
        <v>1</v>
      </c>
      <c r="W79" s="4">
        <f>((ABS(Games[[#This Row],[MOV]])+5)^0.6)/(12+0.01*(ABS(Games[[#This Row],[PreGmRate]]-Games[[#This Row],[OppPreGmRate]])))*IF(Games[[#This Row],[OT]]=1,0.9,1)</f>
        <v>0.49602665944190932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9" s="9">
        <f>MAX(kmin, kmax - 0.15 * MIN(Games[[#This Row],[GamesPlayed]], 82))</f>
        <v>74.650000000000006</v>
      </c>
      <c r="Z79" s="4">
        <f>Games[[#This Row],[K]]*Games[[#This Row],[POMult]]</f>
        <v>74.650000000000006</v>
      </c>
      <c r="AA79" s="4">
        <f>(Games[[#This Row],[Keff]]*Games[[#This Row],[MOVMult]])*(Games[[#This Row],[Result]]-Games[[#This Row],[ExpectedWin%]])</f>
        <v>18.732509766469803</v>
      </c>
      <c r="AB79" s="4">
        <f>Games[[#This Row],[PreGmRate]]+Games[[#This Row],[RatingChange]]</f>
        <v>1618.4867880046011</v>
      </c>
      <c r="AC79" s="2">
        <f>IF(Games[[#This Row],[Type]]="R",IF(Games[[#This Row],[Result]]&gt;0.5,1,0),0)</f>
        <v>1</v>
      </c>
      <c r="AD79" s="2">
        <f>IF(Games[[#This Row],[Type]]="R",IF(Games[[#This Row],[Result]]&lt;0.5,1,0),0)</f>
        <v>0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45086</v>
      </c>
      <c r="B80" s="2">
        <v>2023</v>
      </c>
      <c r="C80" s="2">
        <f>COUNTIFS(Games[Team],Games[[#This Row],[Team]],Games[Season],Games[[#This Row],[Season]],Games[Date],"&lt;=" &amp; Games[[#This Row],[Date]])</f>
        <v>7</v>
      </c>
      <c r="D80" s="2" t="s">
        <v>79</v>
      </c>
      <c r="E80" s="2" t="s">
        <v>80</v>
      </c>
      <c r="F80" s="1" t="s">
        <v>60</v>
      </c>
      <c r="G80" s="1" t="s">
        <v>77</v>
      </c>
      <c r="H80" s="1" t="s">
        <v>81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4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80" s="2">
        <f>Games[[#This Row],[DaysOff]]-Games[[#This Row],[OppDaysOff]]</f>
        <v>-2</v>
      </c>
      <c r="L80" s="2">
        <f>Games[[#This Row],[OppDaysOff]]-Games[[#This Row],[DaysOff]]</f>
        <v>2</v>
      </c>
      <c r="M80" s="1">
        <f>MAX(-16, MIN(16, Games[[#This Row],[RestDiff]]*8))</f>
        <v>-16</v>
      </c>
      <c r="N80" s="1">
        <f>MAX(-16, MIN(16, Games[[#This Row],[OppRestDiff]]*8))</f>
        <v>16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1516.1570454062778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1451.8463300263463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0.42615714090418289</v>
      </c>
      <c r="R80" s="1">
        <v>106</v>
      </c>
      <c r="S80" s="1">
        <v>83</v>
      </c>
      <c r="T80" s="1">
        <v>0</v>
      </c>
      <c r="U80" s="1">
        <f>Games[[#This Row],[PointsFor]]-Games[[#This Row],[PointsAgainst]]</f>
        <v>23</v>
      </c>
      <c r="V80" s="1">
        <f>IF(Games[[#This Row],[MOV]]&gt;0,1,IF(Games[[#This Row],[MOV]]=0,0.5,0))</f>
        <v>1</v>
      </c>
      <c r="W80" s="4">
        <f>((ABS(Games[[#This Row],[MOV]])+5)^0.6)/(12+0.01*(ABS(Games[[#This Row],[PreGmRate]]-Games[[#This Row],[OppPreGmRate]])))*IF(Games[[#This Row],[OT]]=1,0.9,1)</f>
        <v>0.58403785880469083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0" s="9">
        <f>MAX(kmin, kmax - 0.15 * MIN(Games[[#This Row],[GamesPlayed]], 82))</f>
        <v>74.95</v>
      </c>
      <c r="Z80" s="4">
        <f>Games[[#This Row],[K]]*Games[[#This Row],[POMult]]</f>
        <v>74.95</v>
      </c>
      <c r="AA80" s="4">
        <f>(Games[[#This Row],[Keff]]*Games[[#This Row],[MOVMult]])*(Games[[#This Row],[Result]]-Games[[#This Row],[ExpectedWin%]])</f>
        <v>25.119189306015386</v>
      </c>
      <c r="AB80" s="4">
        <f>Games[[#This Row],[PreGmRate]]+Games[[#This Row],[RatingChange]]</f>
        <v>1541.2762347122932</v>
      </c>
      <c r="AC80" s="2">
        <f>IF(Games[[#This Row],[Type]]="R",IF(Games[[#This Row],[Result]]&gt;0.5,1,0),0)</f>
        <v>1</v>
      </c>
      <c r="AD80" s="2">
        <f>IF(Games[[#This Row],[Type]]="R",IF(Games[[#This Row],[Result]]&lt;0.5,1,0),0)</f>
        <v>0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45086</v>
      </c>
      <c r="B81" s="2">
        <v>2023</v>
      </c>
      <c r="C81" s="2">
        <f>COUNTIFS(Games[Team],Games[[#This Row],[Team]],Games[Season],Games[[#This Row],[Season]],Games[Date],"&lt;=" &amp; Games[[#This Row],[Date]])</f>
        <v>6</v>
      </c>
      <c r="D81" s="2" t="s">
        <v>79</v>
      </c>
      <c r="E81" s="2" t="s">
        <v>80</v>
      </c>
      <c r="F81" s="1" t="s">
        <v>77</v>
      </c>
      <c r="G81" s="1" t="s">
        <v>60</v>
      </c>
      <c r="H81" s="1" t="s">
        <v>82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6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81" s="2">
        <f>Games[[#This Row],[DaysOff]]-Games[[#This Row],[OppDaysOff]]</f>
        <v>2</v>
      </c>
      <c r="L81" s="2">
        <f>Games[[#This Row],[OppDaysOff]]-Games[[#This Row],[DaysOff]]</f>
        <v>-2</v>
      </c>
      <c r="M81" s="1">
        <f>MAX(-16, MIN(16, Games[[#This Row],[RestDiff]]*8))</f>
        <v>16</v>
      </c>
      <c r="N81" s="1">
        <f>MAX(-16, MIN(16, Games[[#This Row],[OppRestDiff]]*8))</f>
        <v>-16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1451.8463300263463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1516.1570454062778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0.57384285909581711</v>
      </c>
      <c r="R81" s="1">
        <v>83</v>
      </c>
      <c r="S81" s="1">
        <v>106</v>
      </c>
      <c r="T81" s="1">
        <v>0</v>
      </c>
      <c r="U81" s="1">
        <f>Games[[#This Row],[PointsFor]]-Games[[#This Row],[PointsAgainst]]</f>
        <v>-23</v>
      </c>
      <c r="V81" s="1">
        <f>IF(Games[[#This Row],[MOV]]&gt;0,1,IF(Games[[#This Row],[MOV]]=0,0.5,0))</f>
        <v>0</v>
      </c>
      <c r="W81" s="4">
        <f>((ABS(Games[[#This Row],[MOV]])+5)^0.6)/(12+0.01*(ABS(Games[[#This Row],[PreGmRate]]-Games[[#This Row],[OppPreGmRate]])))*IF(Games[[#This Row],[OT]]=1,0.9,1)</f>
        <v>0.58403785880469083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1" s="9">
        <f>MAX(kmin, kmax - 0.15 * MIN(Games[[#This Row],[GamesPlayed]], 82))</f>
        <v>75.099999999999994</v>
      </c>
      <c r="Z81" s="4">
        <f>Games[[#This Row],[K]]*Games[[#This Row],[POMult]]</f>
        <v>75.099999999999994</v>
      </c>
      <c r="AA81" s="4">
        <f>(Games[[#This Row],[Keff]]*Games[[#This Row],[MOVMult]])*(Games[[#This Row],[Result]]-Games[[#This Row],[ExpectedWin%]])</f>
        <v>-25.169461199222887</v>
      </c>
      <c r="AB81" s="4">
        <f>Games[[#This Row],[PreGmRate]]+Games[[#This Row],[RatingChange]]</f>
        <v>1426.6768688271234</v>
      </c>
      <c r="AC81" s="2">
        <f>IF(Games[[#This Row],[Type]]="R",IF(Games[[#This Row],[Result]]&gt;0.5,1,0),0)</f>
        <v>0</v>
      </c>
      <c r="AD81" s="2">
        <f>IF(Games[[#This Row],[Type]]="R",IF(Games[[#This Row],[Result]]&lt;0.5,1,0),0)</f>
        <v>1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45086</v>
      </c>
      <c r="B82" s="2">
        <v>2023</v>
      </c>
      <c r="C82" s="2">
        <f>COUNTIFS(Games[Team],Games[[#This Row],[Team]],Games[Season],Games[[#This Row],[Season]],Games[Date],"&lt;=" &amp; Games[[#This Row],[Date]])</f>
        <v>6</v>
      </c>
      <c r="D82" s="2" t="s">
        <v>79</v>
      </c>
      <c r="E82" s="2" t="s">
        <v>80</v>
      </c>
      <c r="F82" s="1" t="s">
        <v>40</v>
      </c>
      <c r="G82" s="1" t="s">
        <v>85</v>
      </c>
      <c r="H82" s="1" t="s">
        <v>81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2" s="2">
        <f>Games[[#This Row],[DaysOff]]-Games[[#This Row],[OppDaysOff]]</f>
        <v>0</v>
      </c>
      <c r="L82" s="2">
        <f>Games[[#This Row],[OppDaysOff]]-Games[[#This Row],[DaysOff]]</f>
        <v>0</v>
      </c>
      <c r="M82" s="1">
        <f>MAX(-16, MIN(16, Games[[#This Row],[RestDiff]]*8))</f>
        <v>0</v>
      </c>
      <c r="N82" s="1">
        <f>MAX(-16, MIN(16, Games[[#This Row],[OppRestDiff]]*8))</f>
        <v>0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1424.9006440225514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1514.3593903214107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0.26923470837413843</v>
      </c>
      <c r="R82" s="1">
        <v>77</v>
      </c>
      <c r="S82" s="1">
        <v>90</v>
      </c>
      <c r="T82" s="1">
        <v>0</v>
      </c>
      <c r="U82" s="1">
        <f>Games[[#This Row],[PointsFor]]-Games[[#This Row],[PointsAgainst]]</f>
        <v>-13</v>
      </c>
      <c r="V82" s="1">
        <f>IF(Games[[#This Row],[MOV]]&gt;0,1,IF(Games[[#This Row],[MOV]]=0,0.5,0))</f>
        <v>0</v>
      </c>
      <c r="W82" s="4">
        <f>((ABS(Games[[#This Row],[MOV]])+5)^0.6)/(12+0.01*(ABS(Games[[#This Row],[PreGmRate]]-Games[[#This Row],[OppPreGmRate]])))*IF(Games[[#This Row],[OT]]=1,0.9,1)</f>
        <v>0.43929478814489636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2" s="9">
        <f>MAX(kmin, kmax - 0.15 * MIN(Games[[#This Row],[GamesPlayed]], 82))</f>
        <v>75.099999999999994</v>
      </c>
      <c r="Z82" s="4">
        <f>Games[[#This Row],[K]]*Games[[#This Row],[POMult]]</f>
        <v>75.099999999999994</v>
      </c>
      <c r="AA82" s="4">
        <f>(Games[[#This Row],[Keff]]*Games[[#This Row],[MOVMult]])*(Games[[#This Row],[Result]]-Games[[#This Row],[ExpectedWin%]])</f>
        <v>-8.8823326536529041</v>
      </c>
      <c r="AB82" s="4">
        <f>Games[[#This Row],[PreGmRate]]+Games[[#This Row],[RatingChange]]</f>
        <v>1416.0183113688986</v>
      </c>
      <c r="AC82" s="2">
        <f>IF(Games[[#This Row],[Type]]="R",IF(Games[[#This Row],[Result]]&gt;0.5,1,0),0)</f>
        <v>0</v>
      </c>
      <c r="AD82" s="2">
        <f>IF(Games[[#This Row],[Type]]="R",IF(Games[[#This Row],[Result]]&lt;0.5,1,0),0)</f>
        <v>1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45086</v>
      </c>
      <c r="B83" s="2">
        <v>2023</v>
      </c>
      <c r="C83" s="2">
        <f>COUNTIFS(Games[Team],Games[[#This Row],[Team]],Games[Season],Games[[#This Row],[Season]],Games[Date],"&lt;=" &amp; Games[[#This Row],[Date]])</f>
        <v>8</v>
      </c>
      <c r="D83" s="2" t="s">
        <v>79</v>
      </c>
      <c r="E83" s="2" t="s">
        <v>80</v>
      </c>
      <c r="F83" s="1" t="s">
        <v>85</v>
      </c>
      <c r="G83" s="1" t="s">
        <v>40</v>
      </c>
      <c r="H83" s="1" t="s">
        <v>82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3" s="2">
        <f>Games[[#This Row],[DaysOff]]-Games[[#This Row],[OppDaysOff]]</f>
        <v>0</v>
      </c>
      <c r="L83" s="2">
        <f>Games[[#This Row],[OppDaysOff]]-Games[[#This Row],[DaysOff]]</f>
        <v>0</v>
      </c>
      <c r="M83" s="1">
        <f>MAX(-16, MIN(16, Games[[#This Row],[RestDiff]]*8))</f>
        <v>0</v>
      </c>
      <c r="N83" s="1">
        <f>MAX(-16, MIN(16, Games[[#This Row],[OppRestDiff]]*8))</f>
        <v>0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1514.3593903214107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1424.9006440225514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0.73076529162586157</v>
      </c>
      <c r="R83" s="1">
        <v>90</v>
      </c>
      <c r="S83" s="1">
        <v>77</v>
      </c>
      <c r="T83" s="1">
        <v>0</v>
      </c>
      <c r="U83" s="1">
        <f>Games[[#This Row],[PointsFor]]-Games[[#This Row],[PointsAgainst]]</f>
        <v>13</v>
      </c>
      <c r="V83" s="1">
        <f>IF(Games[[#This Row],[MOV]]&gt;0,1,IF(Games[[#This Row],[MOV]]=0,0.5,0))</f>
        <v>1</v>
      </c>
      <c r="W83" s="4">
        <f>((ABS(Games[[#This Row],[MOV]])+5)^0.6)/(12+0.01*(ABS(Games[[#This Row],[PreGmRate]]-Games[[#This Row],[OppPreGmRate]])))*IF(Games[[#This Row],[OT]]=1,0.9,1)</f>
        <v>0.43929478814489636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3" s="9">
        <f>MAX(kmin, kmax - 0.15 * MIN(Games[[#This Row],[GamesPlayed]], 82))</f>
        <v>74.8</v>
      </c>
      <c r="Z83" s="4">
        <f>Games[[#This Row],[K]]*Games[[#This Row],[POMult]]</f>
        <v>74.8</v>
      </c>
      <c r="AA83" s="4">
        <f>(Games[[#This Row],[Keff]]*Games[[#This Row],[MOVMult]])*(Games[[#This Row],[Result]]-Games[[#This Row],[ExpectedWin%]])</f>
        <v>8.8468506323999634</v>
      </c>
      <c r="AB83" s="4">
        <f>Games[[#This Row],[PreGmRate]]+Games[[#This Row],[RatingChange]]</f>
        <v>1523.2062409538107</v>
      </c>
      <c r="AC83" s="2">
        <f>IF(Games[[#This Row],[Type]]="R",IF(Games[[#This Row],[Result]]&gt;0.5,1,0),0)</f>
        <v>1</v>
      </c>
      <c r="AD83" s="2">
        <f>IF(Games[[#This Row],[Type]]="R",IF(Games[[#This Row],[Result]]&lt;0.5,1,0),0)</f>
        <v>0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45086</v>
      </c>
      <c r="B84" s="2">
        <v>2023</v>
      </c>
      <c r="C84" s="2">
        <f>COUNTIFS(Games[Team],Games[[#This Row],[Team]],Games[Season],Games[[#This Row],[Season]],Games[Date],"&lt;=" &amp; Games[[#This Row],[Date]])</f>
        <v>9</v>
      </c>
      <c r="D84" s="2" t="s">
        <v>79</v>
      </c>
      <c r="E84" s="2" t="s">
        <v>80</v>
      </c>
      <c r="F84" s="1" t="s">
        <v>75</v>
      </c>
      <c r="G84" s="1" t="s">
        <v>63</v>
      </c>
      <c r="H84" s="1" t="s">
        <v>81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2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4" s="2">
        <f>Games[[#This Row],[DaysOff]]-Games[[#This Row],[OppDaysOff]]</f>
        <v>0</v>
      </c>
      <c r="L84" s="2">
        <f>Games[[#This Row],[OppDaysOff]]-Games[[#This Row],[DaysOff]]</f>
        <v>0</v>
      </c>
      <c r="M84" s="1">
        <f>MAX(-16, MIN(16, Games[[#This Row],[RestDiff]]*8))</f>
        <v>0</v>
      </c>
      <c r="N84" s="1">
        <f>MAX(-16, MIN(16, Games[[#This Row],[OppRestDiff]]*8))</f>
        <v>0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1564.5338218518912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1451.5314206504574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0.54164113435551275</v>
      </c>
      <c r="R84" s="1">
        <v>62</v>
      </c>
      <c r="S84" s="1">
        <v>77</v>
      </c>
      <c r="T84" s="1">
        <v>0</v>
      </c>
      <c r="U84" s="1">
        <f>Games[[#This Row],[PointsFor]]-Games[[#This Row],[PointsAgainst]]</f>
        <v>-15</v>
      </c>
      <c r="V84" s="1">
        <f>IF(Games[[#This Row],[MOV]]&gt;0,1,IF(Games[[#This Row],[MOV]]=0,0.5,0))</f>
        <v>0</v>
      </c>
      <c r="W84" s="4">
        <f>((ABS(Games[[#This Row],[MOV]])+5)^0.6)/(12+0.01*(ABS(Games[[#This Row],[PreGmRate]]-Games[[#This Row],[OppPreGmRate]])))*IF(Games[[#This Row],[OT]]=1,0.9,1)</f>
        <v>0.45957085310915829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4" s="9">
        <f>MAX(kmin, kmax - 0.15 * MIN(Games[[#This Row],[GamesPlayed]], 82))</f>
        <v>74.650000000000006</v>
      </c>
      <c r="Z84" s="4">
        <f>Games[[#This Row],[K]]*Games[[#This Row],[POMult]]</f>
        <v>74.650000000000006</v>
      </c>
      <c r="AA84" s="4">
        <f>(Games[[#This Row],[Keff]]*Games[[#This Row],[MOVMult]])*(Games[[#This Row],[Result]]-Games[[#This Row],[ExpectedWin%]])</f>
        <v>-18.582062997239973</v>
      </c>
      <c r="AB84" s="4">
        <f>Games[[#This Row],[PreGmRate]]+Games[[#This Row],[RatingChange]]</f>
        <v>1545.9517588546512</v>
      </c>
      <c r="AC84" s="2">
        <f>IF(Games[[#This Row],[Type]]="R",IF(Games[[#This Row],[Result]]&gt;0.5,1,0),0)</f>
        <v>0</v>
      </c>
      <c r="AD84" s="2">
        <f>IF(Games[[#This Row],[Type]]="R",IF(Games[[#This Row],[Result]]&lt;0.5,1,0),0)</f>
        <v>1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45086</v>
      </c>
      <c r="B85" s="2">
        <v>2023</v>
      </c>
      <c r="C85" s="2">
        <f>COUNTIFS(Games[Team],Games[[#This Row],[Team]],Games[Season],Games[[#This Row],[Season]],Games[Date],"&lt;=" &amp; Games[[#This Row],[Date]])</f>
        <v>7</v>
      </c>
      <c r="D85" s="2" t="s">
        <v>79</v>
      </c>
      <c r="E85" s="2" t="s">
        <v>80</v>
      </c>
      <c r="F85" s="1" t="s">
        <v>63</v>
      </c>
      <c r="G85" s="1" t="s">
        <v>75</v>
      </c>
      <c r="H85" s="1" t="s">
        <v>82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2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5" s="2">
        <f>Games[[#This Row],[DaysOff]]-Games[[#This Row],[OppDaysOff]]</f>
        <v>0</v>
      </c>
      <c r="L85" s="2">
        <f>Games[[#This Row],[OppDaysOff]]-Games[[#This Row],[DaysOff]]</f>
        <v>0</v>
      </c>
      <c r="M85" s="1">
        <f>MAX(-16, MIN(16, Games[[#This Row],[RestDiff]]*8))</f>
        <v>0</v>
      </c>
      <c r="N85" s="1">
        <f>MAX(-16, MIN(16, Games[[#This Row],[OppRestDiff]]*8))</f>
        <v>0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1451.5314206504574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1564.5338218518912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0.45835886564448741</v>
      </c>
      <c r="R85" s="1">
        <v>77</v>
      </c>
      <c r="S85" s="1">
        <v>62</v>
      </c>
      <c r="T85" s="1">
        <v>0</v>
      </c>
      <c r="U85" s="1">
        <f>Games[[#This Row],[PointsFor]]-Games[[#This Row],[PointsAgainst]]</f>
        <v>15</v>
      </c>
      <c r="V85" s="1">
        <f>IF(Games[[#This Row],[MOV]]&gt;0,1,IF(Games[[#This Row],[MOV]]=0,0.5,0))</f>
        <v>1</v>
      </c>
      <c r="W85" s="4">
        <f>((ABS(Games[[#This Row],[MOV]])+5)^0.6)/(12+0.01*(ABS(Games[[#This Row],[PreGmRate]]-Games[[#This Row],[OppPreGmRate]])))*IF(Games[[#This Row],[OT]]=1,0.9,1)</f>
        <v>0.45957085310915829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5" s="9">
        <f>MAX(kmin, kmax - 0.15 * MIN(Games[[#This Row],[GamesPlayed]], 82))</f>
        <v>74.95</v>
      </c>
      <c r="Z85" s="4">
        <f>Games[[#This Row],[K]]*Games[[#This Row],[POMult]]</f>
        <v>74.95</v>
      </c>
      <c r="AA85" s="4">
        <f>(Games[[#This Row],[Keff]]*Games[[#This Row],[MOVMult]])*(Games[[#This Row],[Result]]-Games[[#This Row],[ExpectedWin%]])</f>
        <v>18.656739740698395</v>
      </c>
      <c r="AB85" s="4">
        <f>Games[[#This Row],[PreGmRate]]+Games[[#This Row],[RatingChange]]</f>
        <v>1470.1881603911559</v>
      </c>
      <c r="AC85" s="2">
        <f>IF(Games[[#This Row],[Type]]="R",IF(Games[[#This Row],[Result]]&gt;0.5,1,0),0)</f>
        <v>1</v>
      </c>
      <c r="AD85" s="2">
        <f>IF(Games[[#This Row],[Type]]="R",IF(Games[[#This Row],[Result]]&lt;0.5,1,0),0)</f>
        <v>0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45086</v>
      </c>
      <c r="B86" s="2">
        <v>2023</v>
      </c>
      <c r="C86" s="2">
        <f>COUNTIFS(Games[Team],Games[[#This Row],[Team]],Games[Season],Games[[#This Row],[Season]],Games[Date],"&lt;=" &amp; Games[[#This Row],[Date]])</f>
        <v>7</v>
      </c>
      <c r="D86" s="2" t="s">
        <v>79</v>
      </c>
      <c r="E86" s="2" t="s">
        <v>80</v>
      </c>
      <c r="F86" s="1" t="s">
        <v>69</v>
      </c>
      <c r="G86" s="1" t="s">
        <v>67</v>
      </c>
      <c r="H86" s="1" t="s">
        <v>81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86" s="2">
        <f>Games[[#This Row],[DaysOff]]-Games[[#This Row],[OppDaysOff]]</f>
        <v>-3</v>
      </c>
      <c r="L86" s="2">
        <f>Games[[#This Row],[OppDaysOff]]-Games[[#This Row],[DaysOff]]</f>
        <v>3</v>
      </c>
      <c r="M86" s="1">
        <f>MAX(-16, MIN(16, Games[[#This Row],[RestDiff]]*8))</f>
        <v>-16</v>
      </c>
      <c r="N86" s="1">
        <f>MAX(-16, MIN(16, Games[[#This Row],[OppRestDiff]]*8))</f>
        <v>16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1350.7213779524429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1438.0862246408153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0.23673531640490758</v>
      </c>
      <c r="R86" s="1">
        <v>71</v>
      </c>
      <c r="S86" s="1">
        <v>69</v>
      </c>
      <c r="T86" s="1">
        <v>0</v>
      </c>
      <c r="U86" s="1">
        <f>Games[[#This Row],[PointsFor]]-Games[[#This Row],[PointsAgainst]]</f>
        <v>2</v>
      </c>
      <c r="V86" s="1">
        <f>IF(Games[[#This Row],[MOV]]&gt;0,1,IF(Games[[#This Row],[MOV]]=0,0.5,0))</f>
        <v>1</v>
      </c>
      <c r="W86" s="4">
        <f>((ABS(Games[[#This Row],[MOV]])+5)^0.6)/(12+0.01*(ABS(Games[[#This Row],[PreGmRate]]-Games[[#This Row],[OppPreGmRate]])))*IF(Games[[#This Row],[OT]]=1,0.9,1)</f>
        <v>0.24966472076536844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6" s="9">
        <f>MAX(kmin, kmax - 0.15 * MIN(Games[[#This Row],[GamesPlayed]], 82))</f>
        <v>74.95</v>
      </c>
      <c r="Z86" s="4">
        <f>Games[[#This Row],[K]]*Games[[#This Row],[POMult]]</f>
        <v>74.95</v>
      </c>
      <c r="AA86" s="4">
        <f>(Games[[#This Row],[Keff]]*Games[[#This Row],[MOVMult]])*(Games[[#This Row],[Result]]-Games[[#This Row],[ExpectedWin%]])</f>
        <v>14.282491794282715</v>
      </c>
      <c r="AB86" s="4">
        <f>Games[[#This Row],[PreGmRate]]+Games[[#This Row],[RatingChange]]</f>
        <v>1365.0038697467257</v>
      </c>
      <c r="AC86" s="2">
        <f>IF(Games[[#This Row],[Type]]="R",IF(Games[[#This Row],[Result]]&gt;0.5,1,0),0)</f>
        <v>1</v>
      </c>
      <c r="AD86" s="2">
        <f>IF(Games[[#This Row],[Type]]="R",IF(Games[[#This Row],[Result]]&lt;0.5,1,0),0)</f>
        <v>0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45086</v>
      </c>
      <c r="B87" s="2">
        <v>2023</v>
      </c>
      <c r="C87" s="2">
        <f>COUNTIFS(Games[Team],Games[[#This Row],[Team]],Games[Season],Games[[#This Row],[Season]],Games[Date],"&lt;=" &amp; Games[[#This Row],[Date]])</f>
        <v>8</v>
      </c>
      <c r="D87" s="2" t="s">
        <v>79</v>
      </c>
      <c r="E87" s="2" t="s">
        <v>80</v>
      </c>
      <c r="F87" s="1" t="s">
        <v>67</v>
      </c>
      <c r="G87" s="1" t="s">
        <v>69</v>
      </c>
      <c r="H87" s="1" t="s">
        <v>82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5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7" s="2">
        <f>Games[[#This Row],[DaysOff]]-Games[[#This Row],[OppDaysOff]]</f>
        <v>3</v>
      </c>
      <c r="L87" s="2">
        <f>Games[[#This Row],[OppDaysOff]]-Games[[#This Row],[DaysOff]]</f>
        <v>-3</v>
      </c>
      <c r="M87" s="1">
        <f>MAX(-16, MIN(16, Games[[#This Row],[RestDiff]]*8))</f>
        <v>16</v>
      </c>
      <c r="N87" s="1">
        <f>MAX(-16, MIN(16, Games[[#This Row],[OppRestDiff]]*8))</f>
        <v>-16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1438.0862246408153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1350.7213779524429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0.76326468359509236</v>
      </c>
      <c r="R87" s="1">
        <v>69</v>
      </c>
      <c r="S87" s="1">
        <v>71</v>
      </c>
      <c r="T87" s="1">
        <v>0</v>
      </c>
      <c r="U87" s="1">
        <f>Games[[#This Row],[PointsFor]]-Games[[#This Row],[PointsAgainst]]</f>
        <v>-2</v>
      </c>
      <c r="V87" s="1">
        <f>IF(Games[[#This Row],[MOV]]&gt;0,1,IF(Games[[#This Row],[MOV]]=0,0.5,0))</f>
        <v>0</v>
      </c>
      <c r="W87" s="4">
        <f>((ABS(Games[[#This Row],[MOV]])+5)^0.6)/(12+0.01*(ABS(Games[[#This Row],[PreGmRate]]-Games[[#This Row],[OppPreGmRate]])))*IF(Games[[#This Row],[OT]]=1,0.9,1)</f>
        <v>0.24966472076536844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7" s="9">
        <f>MAX(kmin, kmax - 0.15 * MIN(Games[[#This Row],[GamesPlayed]], 82))</f>
        <v>74.8</v>
      </c>
      <c r="Z87" s="4">
        <f>Games[[#This Row],[K]]*Games[[#This Row],[POMult]]</f>
        <v>74.8</v>
      </c>
      <c r="AA87" s="4">
        <f>(Games[[#This Row],[Keff]]*Games[[#This Row],[MOVMult]])*(Games[[#This Row],[Result]]-Games[[#This Row],[ExpectedWin%]])</f>
        <v>-14.253907754667736</v>
      </c>
      <c r="AB87" s="4">
        <f>Games[[#This Row],[PreGmRate]]+Games[[#This Row],[RatingChange]]</f>
        <v>1423.8323168861475</v>
      </c>
      <c r="AC87" s="2">
        <f>IF(Games[[#This Row],[Type]]="R",IF(Games[[#This Row],[Result]]&gt;0.5,1,0),0)</f>
        <v>0</v>
      </c>
      <c r="AD87" s="2">
        <f>IF(Games[[#This Row],[Type]]="R",IF(Games[[#This Row],[Result]]&lt;0.5,1,0),0)</f>
        <v>1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45086</v>
      </c>
      <c r="B88" s="2">
        <v>2023</v>
      </c>
      <c r="C88" s="2">
        <f>COUNTIFS(Games[Team],Games[[#This Row],[Team]],Games[Season],Games[[#This Row],[Season]],Games[Date],"&lt;=" &amp; Games[[#This Row],[Date]])</f>
        <v>7</v>
      </c>
      <c r="D88" s="2" t="s">
        <v>79</v>
      </c>
      <c r="E88" s="2" t="s">
        <v>80</v>
      </c>
      <c r="F88" s="1" t="s">
        <v>65</v>
      </c>
      <c r="G88" s="1" t="s">
        <v>71</v>
      </c>
      <c r="H88" s="1" t="s">
        <v>81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5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8" s="2">
        <f>Games[[#This Row],[DaysOff]]-Games[[#This Row],[OppDaysOff]]</f>
        <v>3</v>
      </c>
      <c r="L88" s="2">
        <f>Games[[#This Row],[OppDaysOff]]-Games[[#This Row],[DaysOff]]</f>
        <v>-3</v>
      </c>
      <c r="M88" s="1">
        <f>MAX(-16, MIN(16, Games[[#This Row],[RestDiff]]*8))</f>
        <v>16</v>
      </c>
      <c r="N88" s="1">
        <f>MAX(-16, MIN(16, Games[[#This Row],[OppRestDiff]]*8))</f>
        <v>-16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1522.135409954516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1478.3875738133213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0.48812641427635722</v>
      </c>
      <c r="R88" s="1">
        <v>73</v>
      </c>
      <c r="S88" s="1">
        <v>66</v>
      </c>
      <c r="T88" s="1">
        <v>0</v>
      </c>
      <c r="U88" s="1">
        <f>Games[[#This Row],[PointsFor]]-Games[[#This Row],[PointsAgainst]]</f>
        <v>7</v>
      </c>
      <c r="V88" s="1">
        <f>IF(Games[[#This Row],[MOV]]&gt;0,1,IF(Games[[#This Row],[MOV]]=0,0.5,0))</f>
        <v>1</v>
      </c>
      <c r="W88" s="4">
        <f>((ABS(Games[[#This Row],[MOV]])+5)^0.6)/(12+0.01*(ABS(Games[[#This Row],[PreGmRate]]-Games[[#This Row],[OppPreGmRate]])))*IF(Games[[#This Row],[OT]]=1,0.9,1)</f>
        <v>0.35708894848213019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8" s="9">
        <f>MAX(kmin, kmax - 0.15 * MIN(Games[[#This Row],[GamesPlayed]], 82))</f>
        <v>74.95</v>
      </c>
      <c r="Z88" s="4">
        <f>Games[[#This Row],[K]]*Games[[#This Row],[POMult]]</f>
        <v>74.95</v>
      </c>
      <c r="AA88" s="4">
        <f>(Games[[#This Row],[Keff]]*Games[[#This Row],[MOVMult]])*(Games[[#This Row],[Result]]-Games[[#This Row],[ExpectedWin%]])</f>
        <v>13.699690816113392</v>
      </c>
      <c r="AB88" s="4">
        <f>Games[[#This Row],[PreGmRate]]+Games[[#This Row],[RatingChange]]</f>
        <v>1535.8351007706294</v>
      </c>
      <c r="AC88" s="2">
        <f>IF(Games[[#This Row],[Type]]="R",IF(Games[[#This Row],[Result]]&gt;0.5,1,0),0)</f>
        <v>1</v>
      </c>
      <c r="AD88" s="2">
        <f>IF(Games[[#This Row],[Type]]="R",IF(Games[[#This Row],[Result]]&lt;0.5,1,0),0)</f>
        <v>0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45086</v>
      </c>
      <c r="B89" s="2">
        <v>2023</v>
      </c>
      <c r="C89" s="2">
        <f>COUNTIFS(Games[Team],Games[[#This Row],[Team]],Games[Season],Games[[#This Row],[Season]],Games[Date],"&lt;=" &amp; Games[[#This Row],[Date]])</f>
        <v>6</v>
      </c>
      <c r="D89" s="2" t="s">
        <v>79</v>
      </c>
      <c r="E89" s="2" t="s">
        <v>80</v>
      </c>
      <c r="F89" s="1" t="s">
        <v>71</v>
      </c>
      <c r="G89" s="1" t="s">
        <v>65</v>
      </c>
      <c r="H89" s="1" t="s">
        <v>82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89" s="2">
        <f>Games[[#This Row],[DaysOff]]-Games[[#This Row],[OppDaysOff]]</f>
        <v>-3</v>
      </c>
      <c r="L89" s="2">
        <f>Games[[#This Row],[OppDaysOff]]-Games[[#This Row],[DaysOff]]</f>
        <v>3</v>
      </c>
      <c r="M89" s="1">
        <f>MAX(-16, MIN(16, Games[[#This Row],[RestDiff]]*8))</f>
        <v>-16</v>
      </c>
      <c r="N89" s="1">
        <f>MAX(-16, MIN(16, Games[[#This Row],[OppRestDiff]]*8))</f>
        <v>16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1478.3875738133213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1522.135409954516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0.51187358572364272</v>
      </c>
      <c r="R89" s="1">
        <v>66</v>
      </c>
      <c r="S89" s="1">
        <v>73</v>
      </c>
      <c r="T89" s="1">
        <v>0</v>
      </c>
      <c r="U89" s="1">
        <f>Games[[#This Row],[PointsFor]]-Games[[#This Row],[PointsAgainst]]</f>
        <v>-7</v>
      </c>
      <c r="V89" s="1">
        <f>IF(Games[[#This Row],[MOV]]&gt;0,1,IF(Games[[#This Row],[MOV]]=0,0.5,0))</f>
        <v>0</v>
      </c>
      <c r="W89" s="4">
        <f>((ABS(Games[[#This Row],[MOV]])+5)^0.6)/(12+0.01*(ABS(Games[[#This Row],[PreGmRate]]-Games[[#This Row],[OppPreGmRate]])))*IF(Games[[#This Row],[OT]]=1,0.9,1)</f>
        <v>0.35708894848213019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9" s="9">
        <f>MAX(kmin, kmax - 0.15 * MIN(Games[[#This Row],[GamesPlayed]], 82))</f>
        <v>75.099999999999994</v>
      </c>
      <c r="Z89" s="4">
        <f>Games[[#This Row],[K]]*Games[[#This Row],[POMult]]</f>
        <v>75.099999999999994</v>
      </c>
      <c r="AA89" s="4">
        <f>(Games[[#This Row],[Keff]]*Games[[#This Row],[MOVMult]])*(Games[[#This Row],[Result]]-Games[[#This Row],[ExpectedWin%]])</f>
        <v>-13.727108476185665</v>
      </c>
      <c r="AB89" s="4">
        <f>Games[[#This Row],[PreGmRate]]+Games[[#This Row],[RatingChange]]</f>
        <v>1464.6604653371355</v>
      </c>
      <c r="AC89" s="2">
        <f>IF(Games[[#This Row],[Type]]="R",IF(Games[[#This Row],[Result]]&gt;0.5,1,0),0)</f>
        <v>0</v>
      </c>
      <c r="AD89" s="2">
        <f>IF(Games[[#This Row],[Type]]="R",IF(Games[[#This Row],[Result]]&lt;0.5,1,0),0)</f>
        <v>1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45088</v>
      </c>
      <c r="B90" s="2">
        <v>2023</v>
      </c>
      <c r="C90" s="2">
        <f>COUNTIFS(Games[Team],Games[[#This Row],[Team]],Games[Season],Games[[#This Row],[Season]],Games[Date],"&lt;=" &amp; Games[[#This Row],[Date]])</f>
        <v>10</v>
      </c>
      <c r="D90" s="2" t="s">
        <v>79</v>
      </c>
      <c r="E90" s="2" t="s">
        <v>80</v>
      </c>
      <c r="F90" s="1" t="s">
        <v>74</v>
      </c>
      <c r="G90" s="1" t="s">
        <v>77</v>
      </c>
      <c r="H90" s="1" t="s">
        <v>81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0" s="2">
        <f>Games[[#This Row],[DaysOff]]-Games[[#This Row],[OppDaysOff]]</f>
        <v>1</v>
      </c>
      <c r="L90" s="2">
        <f>Games[[#This Row],[OppDaysOff]]-Games[[#This Row],[DaysOff]]</f>
        <v>-1</v>
      </c>
      <c r="M90" s="1">
        <f>MAX(-16, MIN(16, Games[[#This Row],[RestDiff]]*8))</f>
        <v>8</v>
      </c>
      <c r="N90" s="1">
        <f>MAX(-16, MIN(16, Games[[#This Row],[OppRestDiff]]*8))</f>
        <v>-8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1618.4867880046011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1426.6768688271234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0.67099907269030079</v>
      </c>
      <c r="R90" s="1">
        <v>89</v>
      </c>
      <c r="S90" s="1">
        <v>77</v>
      </c>
      <c r="T90" s="1">
        <v>0</v>
      </c>
      <c r="U90" s="1">
        <f>Games[[#This Row],[PointsFor]]-Games[[#This Row],[PointsAgainst]]</f>
        <v>12</v>
      </c>
      <c r="V90" s="1">
        <f>IF(Games[[#This Row],[MOV]]&gt;0,1,IF(Games[[#This Row],[MOV]]=0,0.5,0))</f>
        <v>1</v>
      </c>
      <c r="W90" s="4">
        <f>((ABS(Games[[#This Row],[MOV]])+5)^0.6)/(12+0.01*(ABS(Games[[#This Row],[PreGmRate]]-Games[[#This Row],[OppPreGmRate]])))*IF(Games[[#This Row],[OT]]=1,0.9,1)</f>
        <v>0.39326873889167363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0" s="9">
        <f>MAX(kmin, kmax - 0.15 * MIN(Games[[#This Row],[GamesPlayed]], 82))</f>
        <v>74.5</v>
      </c>
      <c r="Z90" s="4">
        <f>Games[[#This Row],[K]]*Games[[#This Row],[POMult]]</f>
        <v>74.5</v>
      </c>
      <c r="AA90" s="4">
        <f>(Games[[#This Row],[Keff]]*Games[[#This Row],[MOVMult]])*(Games[[#This Row],[Result]]-Games[[#This Row],[ExpectedWin%]])</f>
        <v>9.6392405934071057</v>
      </c>
      <c r="AB90" s="4">
        <f>Games[[#This Row],[PreGmRate]]+Games[[#This Row],[RatingChange]]</f>
        <v>1628.1260285980081</v>
      </c>
      <c r="AC90" s="2">
        <f>IF(Games[[#This Row],[Type]]="R",IF(Games[[#This Row],[Result]]&gt;0.5,1,0),0)</f>
        <v>1</v>
      </c>
      <c r="AD90" s="2">
        <f>IF(Games[[#This Row],[Type]]="R",IF(Games[[#This Row],[Result]]&lt;0.5,1,0),0)</f>
        <v>0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45088</v>
      </c>
      <c r="B91" s="2">
        <v>2023</v>
      </c>
      <c r="C91" s="2">
        <f>COUNTIFS(Games[Team],Games[[#This Row],[Team]],Games[Season],Games[[#This Row],[Season]],Games[Date],"&lt;=" &amp; Games[[#This Row],[Date]])</f>
        <v>7</v>
      </c>
      <c r="D91" s="2" t="s">
        <v>79</v>
      </c>
      <c r="E91" s="2" t="s">
        <v>80</v>
      </c>
      <c r="F91" s="1" t="s">
        <v>77</v>
      </c>
      <c r="G91" s="1" t="s">
        <v>74</v>
      </c>
      <c r="H91" s="1" t="s">
        <v>82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1" s="2">
        <f>Games[[#This Row],[DaysOff]]-Games[[#This Row],[OppDaysOff]]</f>
        <v>-1</v>
      </c>
      <c r="L91" s="2">
        <f>Games[[#This Row],[OppDaysOff]]-Games[[#This Row],[DaysOff]]</f>
        <v>1</v>
      </c>
      <c r="M91" s="1">
        <f>MAX(-16, MIN(16, Games[[#This Row],[RestDiff]]*8))</f>
        <v>-8</v>
      </c>
      <c r="N91" s="1">
        <f>MAX(-16, MIN(16, Games[[#This Row],[OppRestDiff]]*8))</f>
        <v>8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1426.6768688271234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1618.4867880046011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0.32900092730969926</v>
      </c>
      <c r="R91" s="1">
        <v>77</v>
      </c>
      <c r="S91" s="1">
        <v>89</v>
      </c>
      <c r="T91" s="1">
        <v>0</v>
      </c>
      <c r="U91" s="1">
        <f>Games[[#This Row],[PointsFor]]-Games[[#This Row],[PointsAgainst]]</f>
        <v>-12</v>
      </c>
      <c r="V91" s="1">
        <f>IF(Games[[#This Row],[MOV]]&gt;0,1,IF(Games[[#This Row],[MOV]]=0,0.5,0))</f>
        <v>0</v>
      </c>
      <c r="W91" s="4">
        <f>((ABS(Games[[#This Row],[MOV]])+5)^0.6)/(12+0.01*(ABS(Games[[#This Row],[PreGmRate]]-Games[[#This Row],[OppPreGmRate]])))*IF(Games[[#This Row],[OT]]=1,0.9,1)</f>
        <v>0.39326873889167363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1" s="9">
        <f>MAX(kmin, kmax - 0.15 * MIN(Games[[#This Row],[GamesPlayed]], 82))</f>
        <v>74.95</v>
      </c>
      <c r="Z91" s="4">
        <f>Games[[#This Row],[K]]*Games[[#This Row],[POMult]]</f>
        <v>74.95</v>
      </c>
      <c r="AA91" s="4">
        <f>(Games[[#This Row],[Keff]]*Games[[#This Row],[MOVMult]])*(Games[[#This Row],[Result]]-Games[[#This Row],[ExpectedWin%]])</f>
        <v>-9.6974641943068836</v>
      </c>
      <c r="AB91" s="4">
        <f>Games[[#This Row],[PreGmRate]]+Games[[#This Row],[RatingChange]]</f>
        <v>1416.9794046328166</v>
      </c>
      <c r="AC91" s="2">
        <f>IF(Games[[#This Row],[Type]]="R",IF(Games[[#This Row],[Result]]&gt;0.5,1,0),0)</f>
        <v>0</v>
      </c>
      <c r="AD91" s="2">
        <f>IF(Games[[#This Row],[Type]]="R",IF(Games[[#This Row],[Result]]&lt;0.5,1,0),0)</f>
        <v>1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45088</v>
      </c>
      <c r="B92" s="2">
        <v>2023</v>
      </c>
      <c r="C92" s="2">
        <f>COUNTIFS(Games[Team],Games[[#This Row],[Team]],Games[Season],Games[[#This Row],[Season]],Games[Date],"&lt;=" &amp; Games[[#This Row],[Date]])</f>
        <v>7</v>
      </c>
      <c r="D92" s="2" t="s">
        <v>79</v>
      </c>
      <c r="E92" s="2" t="s">
        <v>80</v>
      </c>
      <c r="F92" s="1" t="s">
        <v>40</v>
      </c>
      <c r="G92" s="1" t="s">
        <v>69</v>
      </c>
      <c r="H92" s="1" t="s">
        <v>81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2" s="2">
        <f>Games[[#This Row],[DaysOff]]-Games[[#This Row],[OppDaysOff]]</f>
        <v>0</v>
      </c>
      <c r="L92" s="2">
        <f>Games[[#This Row],[OppDaysOff]]-Games[[#This Row],[DaysOff]]</f>
        <v>0</v>
      </c>
      <c r="M92" s="1">
        <f>MAX(-16, MIN(16, Games[[#This Row],[RestDiff]]*8))</f>
        <v>0</v>
      </c>
      <c r="N92" s="1">
        <f>MAX(-16, MIN(16, Games[[#This Row],[OppRestDiff]]*8))</f>
        <v>0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1416.0183113688986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1365.0038697467257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0.45267207882652871</v>
      </c>
      <c r="R92" s="1">
        <v>85</v>
      </c>
      <c r="S92" s="1">
        <v>82</v>
      </c>
      <c r="T92" s="1">
        <v>0</v>
      </c>
      <c r="U92" s="1">
        <f>Games[[#This Row],[PointsFor]]-Games[[#This Row],[PointsAgainst]]</f>
        <v>3</v>
      </c>
      <c r="V92" s="1">
        <f>IF(Games[[#This Row],[MOV]]&gt;0,1,IF(Games[[#This Row],[MOV]]=0,0.5,0))</f>
        <v>1</v>
      </c>
      <c r="W92" s="4">
        <f>((ABS(Games[[#This Row],[MOV]])+5)^0.6)/(12+0.01*(ABS(Games[[#This Row],[PreGmRate]]-Games[[#This Row],[OppPreGmRate]])))*IF(Games[[#This Row],[OT]]=1,0.9,1)</f>
        <v>0.27835028416372026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2" s="9">
        <f>MAX(kmin, kmax - 0.15 * MIN(Games[[#This Row],[GamesPlayed]], 82))</f>
        <v>74.95</v>
      </c>
      <c r="Z92" s="4">
        <f>Games[[#This Row],[K]]*Games[[#This Row],[POMult]]</f>
        <v>74.95</v>
      </c>
      <c r="AA92" s="4">
        <f>(Games[[#This Row],[Keff]]*Games[[#This Row],[MOVMult]])*(Games[[#This Row],[Result]]-Games[[#This Row],[ExpectedWin%]])</f>
        <v>11.418548735083583</v>
      </c>
      <c r="AB92" s="4">
        <f>Games[[#This Row],[PreGmRate]]+Games[[#This Row],[RatingChange]]</f>
        <v>1427.4368601039821</v>
      </c>
      <c r="AC92" s="2">
        <f>IF(Games[[#This Row],[Type]]="R",IF(Games[[#This Row],[Result]]&gt;0.5,1,0),0)</f>
        <v>1</v>
      </c>
      <c r="AD92" s="2">
        <f>IF(Games[[#This Row],[Type]]="R",IF(Games[[#This Row],[Result]]&lt;0.5,1,0),0)</f>
        <v>0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45088</v>
      </c>
      <c r="B93" s="2">
        <v>2023</v>
      </c>
      <c r="C93" s="2">
        <f>COUNTIFS(Games[Team],Games[[#This Row],[Team]],Games[Season],Games[[#This Row],[Season]],Games[Date],"&lt;=" &amp; Games[[#This Row],[Date]])</f>
        <v>8</v>
      </c>
      <c r="D93" s="2" t="s">
        <v>79</v>
      </c>
      <c r="E93" s="2" t="s">
        <v>80</v>
      </c>
      <c r="F93" s="1" t="s">
        <v>69</v>
      </c>
      <c r="G93" s="1" t="s">
        <v>40</v>
      </c>
      <c r="H93" s="1" t="s">
        <v>82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3" s="2">
        <f>Games[[#This Row],[DaysOff]]-Games[[#This Row],[OppDaysOff]]</f>
        <v>0</v>
      </c>
      <c r="L93" s="2">
        <f>Games[[#This Row],[OppDaysOff]]-Games[[#This Row],[DaysOff]]</f>
        <v>0</v>
      </c>
      <c r="M93" s="1">
        <f>MAX(-16, MIN(16, Games[[#This Row],[RestDiff]]*8))</f>
        <v>0</v>
      </c>
      <c r="N93" s="1">
        <f>MAX(-16, MIN(16, Games[[#This Row],[OppRestDiff]]*8))</f>
        <v>0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1365.0038697467257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1416.0183113688986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0.5473279211734714</v>
      </c>
      <c r="R93" s="1">
        <v>82</v>
      </c>
      <c r="S93" s="1">
        <v>85</v>
      </c>
      <c r="T93" s="1">
        <v>0</v>
      </c>
      <c r="U93" s="1">
        <f>Games[[#This Row],[PointsFor]]-Games[[#This Row],[PointsAgainst]]</f>
        <v>-3</v>
      </c>
      <c r="V93" s="1">
        <f>IF(Games[[#This Row],[MOV]]&gt;0,1,IF(Games[[#This Row],[MOV]]=0,0.5,0))</f>
        <v>0</v>
      </c>
      <c r="W93" s="4">
        <f>((ABS(Games[[#This Row],[MOV]])+5)^0.6)/(12+0.01*(ABS(Games[[#This Row],[PreGmRate]]-Games[[#This Row],[OppPreGmRate]])))*IF(Games[[#This Row],[OT]]=1,0.9,1)</f>
        <v>0.27835028416372026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3" s="9">
        <f>MAX(kmin, kmax - 0.15 * MIN(Games[[#This Row],[GamesPlayed]], 82))</f>
        <v>74.8</v>
      </c>
      <c r="Z93" s="4">
        <f>Games[[#This Row],[K]]*Games[[#This Row],[POMult]]</f>
        <v>74.8</v>
      </c>
      <c r="AA93" s="4">
        <f>(Games[[#This Row],[Keff]]*Games[[#This Row],[MOVMult]])*(Games[[#This Row],[Result]]-Games[[#This Row],[ExpectedWin%]])</f>
        <v>-11.395696402725179</v>
      </c>
      <c r="AB93" s="4">
        <f>Games[[#This Row],[PreGmRate]]+Games[[#This Row],[RatingChange]]</f>
        <v>1353.6081733440005</v>
      </c>
      <c r="AC93" s="2">
        <f>IF(Games[[#This Row],[Type]]="R",IF(Games[[#This Row],[Result]]&gt;0.5,1,0),0)</f>
        <v>0</v>
      </c>
      <c r="AD93" s="2">
        <f>IF(Games[[#This Row],[Type]]="R",IF(Games[[#This Row],[Result]]&lt;0.5,1,0),0)</f>
        <v>1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45088</v>
      </c>
      <c r="B94" s="2">
        <v>2023</v>
      </c>
      <c r="C94" s="2">
        <f>COUNTIFS(Games[Team],Games[[#This Row],[Team]],Games[Season],Games[[#This Row],[Season]],Games[Date],"&lt;=" &amp; Games[[#This Row],[Date]])</f>
        <v>10</v>
      </c>
      <c r="D94" s="2" t="s">
        <v>79</v>
      </c>
      <c r="E94" s="2" t="s">
        <v>80</v>
      </c>
      <c r="F94" s="1" t="s">
        <v>75</v>
      </c>
      <c r="G94" s="1" t="s">
        <v>86</v>
      </c>
      <c r="H94" s="1" t="s">
        <v>81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4" s="2">
        <f>Games[[#This Row],[DaysOff]]-Games[[#This Row],[OppDaysOff]]</f>
        <v>-1</v>
      </c>
      <c r="L94" s="2">
        <f>Games[[#This Row],[OppDaysOff]]-Games[[#This Row],[DaysOff]]</f>
        <v>1</v>
      </c>
      <c r="M94" s="1">
        <f>MAX(-16, MIN(16, Games[[#This Row],[RestDiff]]*8))</f>
        <v>-8</v>
      </c>
      <c r="N94" s="1">
        <f>MAX(-16, MIN(16, Games[[#This Row],[OppRestDiff]]*8))</f>
        <v>8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1545.9517588546512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1669.0811901940037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0.2167960209220649</v>
      </c>
      <c r="R94" s="1">
        <v>80</v>
      </c>
      <c r="S94" s="1">
        <v>93</v>
      </c>
      <c r="T94" s="1">
        <v>0</v>
      </c>
      <c r="U94" s="1">
        <f>Games[[#This Row],[PointsFor]]-Games[[#This Row],[PointsAgainst]]</f>
        <v>-13</v>
      </c>
      <c r="V94" s="1">
        <f>IF(Games[[#This Row],[MOV]]&gt;0,1,IF(Games[[#This Row],[MOV]]=0,0.5,0))</f>
        <v>0</v>
      </c>
      <c r="W94" s="4">
        <f>((ABS(Games[[#This Row],[MOV]])+5)^0.6)/(12+0.01*(ABS(Games[[#This Row],[PreGmRate]]-Games[[#This Row],[OppPreGmRate]])))*IF(Games[[#This Row],[OT]]=1,0.9,1)</f>
        <v>0.42811571820569599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4" s="9">
        <f>MAX(kmin, kmax - 0.15 * MIN(Games[[#This Row],[GamesPlayed]], 82))</f>
        <v>74.5</v>
      </c>
      <c r="Z94" s="4">
        <f>Games[[#This Row],[K]]*Games[[#This Row],[POMult]]</f>
        <v>74.5</v>
      </c>
      <c r="AA94" s="4">
        <f>(Games[[#This Row],[Keff]]*Games[[#This Row],[MOVMult]])*(Games[[#This Row],[Result]]-Games[[#This Row],[ExpectedWin%]])</f>
        <v>-6.9146269229884245</v>
      </c>
      <c r="AB94" s="4">
        <f>Games[[#This Row],[PreGmRate]]+Games[[#This Row],[RatingChange]]</f>
        <v>1539.0371319316628</v>
      </c>
      <c r="AC94" s="2">
        <f>IF(Games[[#This Row],[Type]]="R",IF(Games[[#This Row],[Result]]&gt;0.5,1,0),0)</f>
        <v>0</v>
      </c>
      <c r="AD94" s="2">
        <f>IF(Games[[#This Row],[Type]]="R",IF(Games[[#This Row],[Result]]&lt;0.5,1,0),0)</f>
        <v>1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45088</v>
      </c>
      <c r="B95" s="2">
        <v>2023</v>
      </c>
      <c r="C95" s="2">
        <f>COUNTIFS(Games[Team],Games[[#This Row],[Team]],Games[Season],Games[[#This Row],[Season]],Games[Date],"&lt;=" &amp; Games[[#This Row],[Date]])</f>
        <v>9</v>
      </c>
      <c r="D95" s="2" t="s">
        <v>79</v>
      </c>
      <c r="E95" s="2" t="s">
        <v>80</v>
      </c>
      <c r="F95" s="1" t="s">
        <v>86</v>
      </c>
      <c r="G95" s="1" t="s">
        <v>75</v>
      </c>
      <c r="H95" s="1" t="s">
        <v>82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5" s="2">
        <f>Games[[#This Row],[DaysOff]]-Games[[#This Row],[OppDaysOff]]</f>
        <v>1</v>
      </c>
      <c r="L95" s="2">
        <f>Games[[#This Row],[OppDaysOff]]-Games[[#This Row],[DaysOff]]</f>
        <v>-1</v>
      </c>
      <c r="M95" s="1">
        <f>MAX(-16, MIN(16, Games[[#This Row],[RestDiff]]*8))</f>
        <v>8</v>
      </c>
      <c r="N95" s="1">
        <f>MAX(-16, MIN(16, Games[[#This Row],[OppRestDiff]]*8))</f>
        <v>-8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1669.0811901940037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1545.9517588546512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0.78320397907793504</v>
      </c>
      <c r="R95" s="1">
        <v>93</v>
      </c>
      <c r="S95" s="1">
        <v>80</v>
      </c>
      <c r="T95" s="1">
        <v>0</v>
      </c>
      <c r="U95" s="1">
        <f>Games[[#This Row],[PointsFor]]-Games[[#This Row],[PointsAgainst]]</f>
        <v>13</v>
      </c>
      <c r="V95" s="1">
        <f>IF(Games[[#This Row],[MOV]]&gt;0,1,IF(Games[[#This Row],[MOV]]=0,0.5,0))</f>
        <v>1</v>
      </c>
      <c r="W95" s="4">
        <f>((ABS(Games[[#This Row],[MOV]])+5)^0.6)/(12+0.01*(ABS(Games[[#This Row],[PreGmRate]]-Games[[#This Row],[OppPreGmRate]])))*IF(Games[[#This Row],[OT]]=1,0.9,1)</f>
        <v>0.42811571820569599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5" s="9">
        <f>MAX(kmin, kmax - 0.15 * MIN(Games[[#This Row],[GamesPlayed]], 82))</f>
        <v>74.650000000000006</v>
      </c>
      <c r="Z95" s="4">
        <f>Games[[#This Row],[K]]*Games[[#This Row],[POMult]]</f>
        <v>74.650000000000006</v>
      </c>
      <c r="AA95" s="4">
        <f>(Games[[#This Row],[Keff]]*Games[[#This Row],[MOVMult]])*(Games[[#This Row],[Result]]-Games[[#This Row],[ExpectedWin%]])</f>
        <v>6.9285489906186051</v>
      </c>
      <c r="AB95" s="4">
        <f>Games[[#This Row],[PreGmRate]]+Games[[#This Row],[RatingChange]]</f>
        <v>1676.0097391846223</v>
      </c>
      <c r="AC95" s="2">
        <f>IF(Games[[#This Row],[Type]]="R",IF(Games[[#This Row],[Result]]&gt;0.5,1,0),0)</f>
        <v>1</v>
      </c>
      <c r="AD95" s="2">
        <f>IF(Games[[#This Row],[Type]]="R",IF(Games[[#This Row],[Result]]&lt;0.5,1,0),0)</f>
        <v>0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45088</v>
      </c>
      <c r="B96" s="2">
        <v>2023</v>
      </c>
      <c r="C96" s="2">
        <f>COUNTIFS(Games[Team],Games[[#This Row],[Team]],Games[Season],Games[[#This Row],[Season]],Games[Date],"&lt;=" &amp; Games[[#This Row],[Date]])</f>
        <v>8</v>
      </c>
      <c r="D96" s="2" t="s">
        <v>79</v>
      </c>
      <c r="E96" s="2" t="s">
        <v>80</v>
      </c>
      <c r="F96" s="1" t="s">
        <v>63</v>
      </c>
      <c r="G96" s="1" t="s">
        <v>67</v>
      </c>
      <c r="H96" s="1" t="s">
        <v>81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6" s="2">
        <f>Games[[#This Row],[DaysOff]]-Games[[#This Row],[OppDaysOff]]</f>
        <v>0</v>
      </c>
      <c r="L96" s="2">
        <f>Games[[#This Row],[OppDaysOff]]-Games[[#This Row],[DaysOff]]</f>
        <v>0</v>
      </c>
      <c r="M96" s="1">
        <f>MAX(-16, MIN(16, Games[[#This Row],[RestDiff]]*8))</f>
        <v>0</v>
      </c>
      <c r="N96" s="1">
        <f>MAX(-16, MIN(16, Games[[#This Row],[OppRestDiff]]*8))</f>
        <v>0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1470.1881603911559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1423.8323168861475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0.44603670481232038</v>
      </c>
      <c r="R96" s="1">
        <v>86</v>
      </c>
      <c r="S96" s="1">
        <v>91</v>
      </c>
      <c r="T96" s="1">
        <v>0</v>
      </c>
      <c r="U96" s="1">
        <f>Games[[#This Row],[PointsFor]]-Games[[#This Row],[PointsAgainst]]</f>
        <v>-5</v>
      </c>
      <c r="V96" s="1">
        <f>IF(Games[[#This Row],[MOV]]&gt;0,1,IF(Games[[#This Row],[MOV]]=0,0.5,0))</f>
        <v>0</v>
      </c>
      <c r="W96" s="4">
        <f>((ABS(Games[[#This Row],[MOV]])+5)^0.6)/(12+0.01*(ABS(Games[[#This Row],[PreGmRate]]-Games[[#This Row],[OppPreGmRate]])))*IF(Games[[#This Row],[OT]]=1,0.9,1)</f>
        <v>0.31941694069804188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6" s="9">
        <f>MAX(kmin, kmax - 0.15 * MIN(Games[[#This Row],[GamesPlayed]], 82))</f>
        <v>74.8</v>
      </c>
      <c r="Z96" s="4">
        <f>Games[[#This Row],[K]]*Games[[#This Row],[POMult]]</f>
        <v>74.8</v>
      </c>
      <c r="AA96" s="4">
        <f>(Games[[#This Row],[Keff]]*Games[[#This Row],[MOVMult]])*(Games[[#This Row],[Result]]-Games[[#This Row],[ExpectedWin%]])</f>
        <v>-10.656881640825983</v>
      </c>
      <c r="AB96" s="4">
        <f>Games[[#This Row],[PreGmRate]]+Games[[#This Row],[RatingChange]]</f>
        <v>1459.5312787503299</v>
      </c>
      <c r="AC96" s="2">
        <f>IF(Games[[#This Row],[Type]]="R",IF(Games[[#This Row],[Result]]&gt;0.5,1,0),0)</f>
        <v>0</v>
      </c>
      <c r="AD96" s="2">
        <f>IF(Games[[#This Row],[Type]]="R",IF(Games[[#This Row],[Result]]&lt;0.5,1,0),0)</f>
        <v>1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45088</v>
      </c>
      <c r="B97" s="2">
        <v>2023</v>
      </c>
      <c r="C97" s="2">
        <f>COUNTIFS(Games[Team],Games[[#This Row],[Team]],Games[Season],Games[[#This Row],[Season]],Games[Date],"&lt;=" &amp; Games[[#This Row],[Date]])</f>
        <v>9</v>
      </c>
      <c r="D97" s="2" t="s">
        <v>79</v>
      </c>
      <c r="E97" s="2" t="s">
        <v>80</v>
      </c>
      <c r="F97" s="1" t="s">
        <v>67</v>
      </c>
      <c r="G97" s="1" t="s">
        <v>63</v>
      </c>
      <c r="H97" s="1" t="s">
        <v>82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7" s="2">
        <f>Games[[#This Row],[DaysOff]]-Games[[#This Row],[OppDaysOff]]</f>
        <v>0</v>
      </c>
      <c r="L97" s="2">
        <f>Games[[#This Row],[OppDaysOff]]-Games[[#This Row],[DaysOff]]</f>
        <v>0</v>
      </c>
      <c r="M97" s="1">
        <f>MAX(-16, MIN(16, Games[[#This Row],[RestDiff]]*8))</f>
        <v>0</v>
      </c>
      <c r="N97" s="1">
        <f>MAX(-16, MIN(16, Games[[#This Row],[OppRestDiff]]*8))</f>
        <v>0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1423.8323168861475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1470.1881603911559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0.55396329518767973</v>
      </c>
      <c r="R97" s="1">
        <v>91</v>
      </c>
      <c r="S97" s="1">
        <v>86</v>
      </c>
      <c r="T97" s="1">
        <v>0</v>
      </c>
      <c r="U97" s="1">
        <f>Games[[#This Row],[PointsFor]]-Games[[#This Row],[PointsAgainst]]</f>
        <v>5</v>
      </c>
      <c r="V97" s="1">
        <f>IF(Games[[#This Row],[MOV]]&gt;0,1,IF(Games[[#This Row],[MOV]]=0,0.5,0))</f>
        <v>1</v>
      </c>
      <c r="W97" s="4">
        <f>((ABS(Games[[#This Row],[MOV]])+5)^0.6)/(12+0.01*(ABS(Games[[#This Row],[PreGmRate]]-Games[[#This Row],[OppPreGmRate]])))*IF(Games[[#This Row],[OT]]=1,0.9,1)</f>
        <v>0.31941694069804188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7" s="9">
        <f>MAX(kmin, kmax - 0.15 * MIN(Games[[#This Row],[GamesPlayed]], 82))</f>
        <v>74.650000000000006</v>
      </c>
      <c r="Z97" s="4">
        <f>Games[[#This Row],[K]]*Games[[#This Row],[POMult]]</f>
        <v>74.650000000000006</v>
      </c>
      <c r="AA97" s="4">
        <f>(Games[[#This Row],[Keff]]*Games[[#This Row],[MOVMult]])*(Games[[#This Row],[Result]]-Games[[#This Row],[ExpectedWin%]])</f>
        <v>10.635510888872455</v>
      </c>
      <c r="AB97" s="4">
        <f>Games[[#This Row],[PreGmRate]]+Games[[#This Row],[RatingChange]]</f>
        <v>1434.4678277750199</v>
      </c>
      <c r="AC97" s="2">
        <f>IF(Games[[#This Row],[Type]]="R",IF(Games[[#This Row],[Result]]&gt;0.5,1,0),0)</f>
        <v>1</v>
      </c>
      <c r="AD97" s="2">
        <f>IF(Games[[#This Row],[Type]]="R",IF(Games[[#This Row],[Result]]&lt;0.5,1,0),0)</f>
        <v>0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45088</v>
      </c>
      <c r="B98" s="2">
        <v>2023</v>
      </c>
      <c r="C98" s="2">
        <f>COUNTIFS(Games[Team],Games[[#This Row],[Team]],Games[Season],Games[[#This Row],[Season]],Games[Date],"&lt;=" &amp; Games[[#This Row],[Date]])</f>
        <v>9</v>
      </c>
      <c r="D98" s="2" t="s">
        <v>79</v>
      </c>
      <c r="E98" s="2" t="s">
        <v>80</v>
      </c>
      <c r="F98" s="1" t="s">
        <v>85</v>
      </c>
      <c r="G98" s="1" t="s">
        <v>60</v>
      </c>
      <c r="H98" s="1" t="s">
        <v>81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8" s="2">
        <f>Games[[#This Row],[DaysOff]]-Games[[#This Row],[OppDaysOff]]</f>
        <v>0</v>
      </c>
      <c r="L98" s="2">
        <f>Games[[#This Row],[OppDaysOff]]-Games[[#This Row],[DaysOff]]</f>
        <v>0</v>
      </c>
      <c r="M98" s="1">
        <f>MAX(-16, MIN(16, Games[[#This Row],[RestDiff]]*8))</f>
        <v>0</v>
      </c>
      <c r="N98" s="1">
        <f>MAX(-16, MIN(16, Games[[#This Row],[OppRestDiff]]*8))</f>
        <v>0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1523.2062409538107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1541.2762347122932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0.35719441358062387</v>
      </c>
      <c r="R98" s="1">
        <v>93</v>
      </c>
      <c r="S98" s="1">
        <v>102</v>
      </c>
      <c r="T98" s="1">
        <v>0</v>
      </c>
      <c r="U98" s="1">
        <f>Games[[#This Row],[PointsFor]]-Games[[#This Row],[PointsAgainst]]</f>
        <v>-9</v>
      </c>
      <c r="V98" s="1">
        <f>IF(Games[[#This Row],[MOV]]&gt;0,1,IF(Games[[#This Row],[MOV]]=0,0.5,0))</f>
        <v>0</v>
      </c>
      <c r="W98" s="4">
        <f>((ABS(Games[[#This Row],[MOV]])+5)^0.6)/(12+0.01*(ABS(Games[[#This Row],[PreGmRate]]-Games[[#This Row],[OppPreGmRate]])))*IF(Games[[#This Row],[OT]]=1,0.9,1)</f>
        <v>0.39994896440514904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8" s="9">
        <f>MAX(kmin, kmax - 0.15 * MIN(Games[[#This Row],[GamesPlayed]], 82))</f>
        <v>74.650000000000006</v>
      </c>
      <c r="Z98" s="4">
        <f>Games[[#This Row],[K]]*Games[[#This Row],[POMult]]</f>
        <v>74.650000000000006</v>
      </c>
      <c r="AA98" s="4">
        <f>(Games[[#This Row],[Keff]]*Games[[#This Row],[MOVMult]])*(Games[[#This Row],[Result]]-Games[[#This Row],[ExpectedWin%]])</f>
        <v>-10.664464347684621</v>
      </c>
      <c r="AB98" s="4">
        <f>Games[[#This Row],[PreGmRate]]+Games[[#This Row],[RatingChange]]</f>
        <v>1512.5417766061262</v>
      </c>
      <c r="AC98" s="2">
        <f>IF(Games[[#This Row],[Type]]="R",IF(Games[[#This Row],[Result]]&gt;0.5,1,0),0)</f>
        <v>0</v>
      </c>
      <c r="AD98" s="2">
        <f>IF(Games[[#This Row],[Type]]="R",IF(Games[[#This Row],[Result]]&lt;0.5,1,0),0)</f>
        <v>1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45088</v>
      </c>
      <c r="B99" s="2">
        <v>2023</v>
      </c>
      <c r="C99" s="2">
        <f>COUNTIFS(Games[Team],Games[[#This Row],[Team]],Games[Season],Games[[#This Row],[Season]],Games[Date],"&lt;=" &amp; Games[[#This Row],[Date]])</f>
        <v>8</v>
      </c>
      <c r="D99" s="2" t="s">
        <v>79</v>
      </c>
      <c r="E99" s="2" t="s">
        <v>80</v>
      </c>
      <c r="F99" s="1" t="s">
        <v>60</v>
      </c>
      <c r="G99" s="1" t="s">
        <v>85</v>
      </c>
      <c r="H99" s="1" t="s">
        <v>82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9" s="2">
        <f>Games[[#This Row],[DaysOff]]-Games[[#This Row],[OppDaysOff]]</f>
        <v>0</v>
      </c>
      <c r="L99" s="2">
        <f>Games[[#This Row],[OppDaysOff]]-Games[[#This Row],[DaysOff]]</f>
        <v>0</v>
      </c>
      <c r="M99" s="1">
        <f>MAX(-16, MIN(16, Games[[#This Row],[RestDiff]]*8))</f>
        <v>0</v>
      </c>
      <c r="N99" s="1">
        <f>MAX(-16, MIN(16, Games[[#This Row],[OppRestDiff]]*8))</f>
        <v>0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1541.2762347122932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1523.2062409538107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0.64280558641937613</v>
      </c>
      <c r="R99" s="1">
        <v>102</v>
      </c>
      <c r="S99" s="1">
        <v>93</v>
      </c>
      <c r="T99" s="1">
        <v>0</v>
      </c>
      <c r="U99" s="1">
        <f>Games[[#This Row],[PointsFor]]-Games[[#This Row],[PointsAgainst]]</f>
        <v>9</v>
      </c>
      <c r="V99" s="1">
        <f>IF(Games[[#This Row],[MOV]]&gt;0,1,IF(Games[[#This Row],[MOV]]=0,0.5,0))</f>
        <v>1</v>
      </c>
      <c r="W99" s="4">
        <f>((ABS(Games[[#This Row],[MOV]])+5)^0.6)/(12+0.01*(ABS(Games[[#This Row],[PreGmRate]]-Games[[#This Row],[OppPreGmRate]])))*IF(Games[[#This Row],[OT]]=1,0.9,1)</f>
        <v>0.39994896440514904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9" s="9">
        <f>MAX(kmin, kmax - 0.15 * MIN(Games[[#This Row],[GamesPlayed]], 82))</f>
        <v>74.8</v>
      </c>
      <c r="Z99" s="4">
        <f>Games[[#This Row],[K]]*Games[[#This Row],[POMult]]</f>
        <v>74.8</v>
      </c>
      <c r="AA99" s="4">
        <f>(Games[[#This Row],[Keff]]*Games[[#This Row],[MOVMult]])*(Games[[#This Row],[Result]]-Games[[#This Row],[ExpectedWin%]])</f>
        <v>10.685893278055051</v>
      </c>
      <c r="AB99" s="4">
        <f>Games[[#This Row],[PreGmRate]]+Games[[#This Row],[RatingChange]]</f>
        <v>1551.9621279903483</v>
      </c>
      <c r="AC99" s="2">
        <f>IF(Games[[#This Row],[Type]]="R",IF(Games[[#This Row],[Result]]&gt;0.5,1,0),0)</f>
        <v>1</v>
      </c>
      <c r="AD99" s="2">
        <f>IF(Games[[#This Row],[Type]]="R",IF(Games[[#This Row],[Result]]&lt;0.5,1,0),0)</f>
        <v>0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45088</v>
      </c>
      <c r="B100" s="2">
        <v>2023</v>
      </c>
      <c r="C100" s="2">
        <f>COUNTIFS(Games[Team],Games[[#This Row],[Team]],Games[Season],Games[[#This Row],[Season]],Games[Date],"&lt;=" &amp; Games[[#This Row],[Date]])</f>
        <v>8</v>
      </c>
      <c r="D100" s="2" t="s">
        <v>79</v>
      </c>
      <c r="E100" s="2" t="s">
        <v>80</v>
      </c>
      <c r="F100" s="1" t="s">
        <v>65</v>
      </c>
      <c r="G100" s="1" t="s">
        <v>71</v>
      </c>
      <c r="H100" s="1" t="s">
        <v>81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0" s="2">
        <f>Games[[#This Row],[DaysOff]]-Games[[#This Row],[OppDaysOff]]</f>
        <v>0</v>
      </c>
      <c r="L100" s="2">
        <f>Games[[#This Row],[OppDaysOff]]-Games[[#This Row],[DaysOff]]</f>
        <v>0</v>
      </c>
      <c r="M100" s="1">
        <f>MAX(-16, MIN(16, Games[[#This Row],[RestDiff]]*8))</f>
        <v>0</v>
      </c>
      <c r="N100" s="1">
        <f>MAX(-16, MIN(16, Games[[#This Row],[OppRestDiff]]*8))</f>
        <v>0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1535.8351007706294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1464.6604653371355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0.48155119582957889</v>
      </c>
      <c r="R100" s="1">
        <v>71</v>
      </c>
      <c r="S100" s="1">
        <v>65</v>
      </c>
      <c r="T100" s="1">
        <v>0</v>
      </c>
      <c r="U100" s="1">
        <f>Games[[#This Row],[PointsFor]]-Games[[#This Row],[PointsAgainst]]</f>
        <v>6</v>
      </c>
      <c r="V100" s="1">
        <f>IF(Games[[#This Row],[MOV]]&gt;0,1,IF(Games[[#This Row],[MOV]]=0,0.5,0))</f>
        <v>1</v>
      </c>
      <c r="W100" s="4">
        <f>((ABS(Games[[#This Row],[MOV]])+5)^0.6)/(12+0.01*(ABS(Games[[#This Row],[PreGmRate]]-Games[[#This Row],[OppPreGmRate]])))*IF(Games[[#This Row],[OT]]=1,0.9,1)</f>
        <v>0.33161211808276692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0" s="9">
        <f>MAX(kmin, kmax - 0.15 * MIN(Games[[#This Row],[GamesPlayed]], 82))</f>
        <v>74.8</v>
      </c>
      <c r="Z100" s="4">
        <f>Games[[#This Row],[K]]*Games[[#This Row],[POMult]]</f>
        <v>74.8</v>
      </c>
      <c r="AA100" s="4">
        <f>(Games[[#This Row],[Keff]]*Games[[#This Row],[MOVMult]])*(Games[[#This Row],[Result]]-Games[[#This Row],[ExpectedWin%]])</f>
        <v>12.859908173918638</v>
      </c>
      <c r="AB100" s="4">
        <f>Games[[#This Row],[PreGmRate]]+Games[[#This Row],[RatingChange]]</f>
        <v>1548.6950089445481</v>
      </c>
      <c r="AC100" s="2">
        <f>IF(Games[[#This Row],[Type]]="R",IF(Games[[#This Row],[Result]]&gt;0.5,1,0),0)</f>
        <v>1</v>
      </c>
      <c r="AD100" s="2">
        <f>IF(Games[[#This Row],[Type]]="R",IF(Games[[#This Row],[Result]]&lt;0.5,1,0),0)</f>
        <v>0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45088</v>
      </c>
      <c r="B101" s="2">
        <v>2023</v>
      </c>
      <c r="C101" s="2">
        <f>COUNTIFS(Games[Team],Games[[#This Row],[Team]],Games[Season],Games[[#This Row],[Season]],Games[Date],"&lt;=" &amp; Games[[#This Row],[Date]])</f>
        <v>7</v>
      </c>
      <c r="D101" s="2" t="s">
        <v>79</v>
      </c>
      <c r="E101" s="2" t="s">
        <v>80</v>
      </c>
      <c r="F101" s="1" t="s">
        <v>71</v>
      </c>
      <c r="G101" s="1" t="s">
        <v>65</v>
      </c>
      <c r="H101" s="1" t="s">
        <v>82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1" s="2">
        <f>Games[[#This Row],[DaysOff]]-Games[[#This Row],[OppDaysOff]]</f>
        <v>0</v>
      </c>
      <c r="L101" s="2">
        <f>Games[[#This Row],[OppDaysOff]]-Games[[#This Row],[DaysOff]]</f>
        <v>0</v>
      </c>
      <c r="M101" s="1">
        <f>MAX(-16, MIN(16, Games[[#This Row],[RestDiff]]*8))</f>
        <v>0</v>
      </c>
      <c r="N101" s="1">
        <f>MAX(-16, MIN(16, Games[[#This Row],[OppRestDiff]]*8))</f>
        <v>0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1464.6604653371355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1535.8351007706294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0.51844880417042116</v>
      </c>
      <c r="R101" s="1">
        <v>65</v>
      </c>
      <c r="S101" s="1">
        <v>71</v>
      </c>
      <c r="T101" s="1">
        <v>0</v>
      </c>
      <c r="U101" s="1">
        <f>Games[[#This Row],[PointsFor]]-Games[[#This Row],[PointsAgainst]]</f>
        <v>-6</v>
      </c>
      <c r="V101" s="1">
        <f>IF(Games[[#This Row],[MOV]]&gt;0,1,IF(Games[[#This Row],[MOV]]=0,0.5,0))</f>
        <v>0</v>
      </c>
      <c r="W101" s="4">
        <f>((ABS(Games[[#This Row],[MOV]])+5)^0.6)/(12+0.01*(ABS(Games[[#This Row],[PreGmRate]]-Games[[#This Row],[OppPreGmRate]])))*IF(Games[[#This Row],[OT]]=1,0.9,1)</f>
        <v>0.33161211808276692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1" s="9">
        <f>MAX(kmin, kmax - 0.15 * MIN(Games[[#This Row],[GamesPlayed]], 82))</f>
        <v>74.95</v>
      </c>
      <c r="Z101" s="4">
        <f>Games[[#This Row],[K]]*Games[[#This Row],[POMult]]</f>
        <v>74.95</v>
      </c>
      <c r="AA101" s="4">
        <f>(Games[[#This Row],[Keff]]*Games[[#This Row],[MOVMult]])*(Games[[#This Row],[Result]]-Games[[#This Row],[ExpectedWin%]])</f>
        <v>-12.885696759828905</v>
      </c>
      <c r="AB101" s="4">
        <f>Games[[#This Row],[PreGmRate]]+Games[[#This Row],[RatingChange]]</f>
        <v>1451.7747685773065</v>
      </c>
      <c r="AC101" s="2">
        <f>IF(Games[[#This Row],[Type]]="R",IF(Games[[#This Row],[Result]]&gt;0.5,1,0),0)</f>
        <v>0</v>
      </c>
      <c r="AD101" s="2">
        <f>IF(Games[[#This Row],[Type]]="R",IF(Games[[#This Row],[Result]]&lt;0.5,1,0),0)</f>
        <v>1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45090</v>
      </c>
      <c r="B102" s="2">
        <v>2023</v>
      </c>
      <c r="C102" s="2">
        <f>COUNTIFS(Games[Team],Games[[#This Row],[Team]],Games[Season],Games[[#This Row],[Season]],Games[Date],"&lt;=" &amp; Games[[#This Row],[Date]])</f>
        <v>9</v>
      </c>
      <c r="D102" s="2" t="s">
        <v>79</v>
      </c>
      <c r="E102" s="2" t="s">
        <v>80</v>
      </c>
      <c r="F102" s="1" t="s">
        <v>65</v>
      </c>
      <c r="G102" s="1" t="s">
        <v>69</v>
      </c>
      <c r="H102" s="1" t="s">
        <v>81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2" s="2">
        <f>Games[[#This Row],[DaysOff]]-Games[[#This Row],[OppDaysOff]]</f>
        <v>0</v>
      </c>
      <c r="L102" s="2">
        <f>Games[[#This Row],[OppDaysOff]]-Games[[#This Row],[DaysOff]]</f>
        <v>0</v>
      </c>
      <c r="M102" s="1">
        <f>MAX(-16, MIN(16, Games[[#This Row],[RestDiff]]*8))</f>
        <v>0</v>
      </c>
      <c r="N102" s="1">
        <f>MAX(-16, MIN(16, Games[[#This Row],[OppRestDiff]]*8))</f>
        <v>0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1548.6950089445481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1353.6081733440005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0.65463301711245525</v>
      </c>
      <c r="R102" s="1">
        <v>66</v>
      </c>
      <c r="S102" s="1">
        <v>87</v>
      </c>
      <c r="T102" s="1">
        <v>0</v>
      </c>
      <c r="U102" s="1">
        <f>Games[[#This Row],[PointsFor]]-Games[[#This Row],[PointsAgainst]]</f>
        <v>-21</v>
      </c>
      <c r="V102" s="1">
        <f>IF(Games[[#This Row],[MOV]]&gt;0,1,IF(Games[[#This Row],[MOV]]=0,0.5,0))</f>
        <v>0</v>
      </c>
      <c r="W102" s="4">
        <f>((ABS(Games[[#This Row],[MOV]])+5)^0.6)/(12+0.01*(ABS(Games[[#This Row],[PreGmRate]]-Games[[#This Row],[OppPreGmRate]])))*IF(Games[[#This Row],[OT]]=1,0.9,1)</f>
        <v>0.50627067025605255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2" s="9">
        <f>MAX(kmin, kmax - 0.15 * MIN(Games[[#This Row],[GamesPlayed]], 82))</f>
        <v>74.650000000000006</v>
      </c>
      <c r="Z102" s="4">
        <f>Games[[#This Row],[K]]*Games[[#This Row],[POMult]]</f>
        <v>74.650000000000006</v>
      </c>
      <c r="AA102" s="4">
        <f>(Games[[#This Row],[Keff]]*Games[[#This Row],[MOVMult]])*(Games[[#This Row],[Result]]-Games[[#This Row],[ExpectedWin%]])</f>
        <v>-24.740614702174007</v>
      </c>
      <c r="AB102" s="4">
        <f>Games[[#This Row],[PreGmRate]]+Games[[#This Row],[RatingChange]]</f>
        <v>1523.9543942423741</v>
      </c>
      <c r="AC102" s="2">
        <f>IF(Games[[#This Row],[Type]]="R",IF(Games[[#This Row],[Result]]&gt;0.5,1,0),0)</f>
        <v>0</v>
      </c>
      <c r="AD102" s="2">
        <f>IF(Games[[#This Row],[Type]]="R",IF(Games[[#This Row],[Result]]&lt;0.5,1,0),0)</f>
        <v>1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45090</v>
      </c>
      <c r="B103" s="2">
        <v>2023</v>
      </c>
      <c r="C103" s="2">
        <f>COUNTIFS(Games[Team],Games[[#This Row],[Team]],Games[Season],Games[[#This Row],[Season]],Games[Date],"&lt;=" &amp; Games[[#This Row],[Date]])</f>
        <v>9</v>
      </c>
      <c r="D103" s="2" t="s">
        <v>79</v>
      </c>
      <c r="E103" s="2" t="s">
        <v>80</v>
      </c>
      <c r="F103" s="1" t="s">
        <v>69</v>
      </c>
      <c r="G103" s="1" t="s">
        <v>65</v>
      </c>
      <c r="H103" s="1" t="s">
        <v>82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3" s="2">
        <f>Games[[#This Row],[DaysOff]]-Games[[#This Row],[OppDaysOff]]</f>
        <v>0</v>
      </c>
      <c r="L103" s="2">
        <f>Games[[#This Row],[OppDaysOff]]-Games[[#This Row],[DaysOff]]</f>
        <v>0</v>
      </c>
      <c r="M103" s="1">
        <f>MAX(-16, MIN(16, Games[[#This Row],[RestDiff]]*8))</f>
        <v>0</v>
      </c>
      <c r="N103" s="1">
        <f>MAX(-16, MIN(16, Games[[#This Row],[OppRestDiff]]*8))</f>
        <v>0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1353.6081733440005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1548.6950089445481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0.3453669828875448</v>
      </c>
      <c r="R103" s="1">
        <v>87</v>
      </c>
      <c r="S103" s="1">
        <v>66</v>
      </c>
      <c r="T103" s="1">
        <v>0</v>
      </c>
      <c r="U103" s="1">
        <f>Games[[#This Row],[PointsFor]]-Games[[#This Row],[PointsAgainst]]</f>
        <v>21</v>
      </c>
      <c r="V103" s="1">
        <f>IF(Games[[#This Row],[MOV]]&gt;0,1,IF(Games[[#This Row],[MOV]]=0,0.5,0))</f>
        <v>1</v>
      </c>
      <c r="W103" s="4">
        <f>((ABS(Games[[#This Row],[MOV]])+5)^0.6)/(12+0.01*(ABS(Games[[#This Row],[PreGmRate]]-Games[[#This Row],[OppPreGmRate]])))*IF(Games[[#This Row],[OT]]=1,0.9,1)</f>
        <v>0.50627067025605255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3" s="9">
        <f>MAX(kmin, kmax - 0.15 * MIN(Games[[#This Row],[GamesPlayed]], 82))</f>
        <v>74.650000000000006</v>
      </c>
      <c r="Z103" s="4">
        <f>Games[[#This Row],[K]]*Games[[#This Row],[POMult]]</f>
        <v>74.650000000000006</v>
      </c>
      <c r="AA103" s="4">
        <f>(Games[[#This Row],[Keff]]*Games[[#This Row],[MOVMult]])*(Games[[#This Row],[Result]]-Games[[#This Row],[ExpectedWin%]])</f>
        <v>24.740614702174007</v>
      </c>
      <c r="AB103" s="4">
        <f>Games[[#This Row],[PreGmRate]]+Games[[#This Row],[RatingChange]]</f>
        <v>1378.3487880461746</v>
      </c>
      <c r="AC103" s="2">
        <f>IF(Games[[#This Row],[Type]]="R",IF(Games[[#This Row],[Result]]&gt;0.5,1,0),0)</f>
        <v>1</v>
      </c>
      <c r="AD103" s="2">
        <f>IF(Games[[#This Row],[Type]]="R",IF(Games[[#This Row],[Result]]&lt;0.5,1,0),0)</f>
        <v>0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45090</v>
      </c>
      <c r="B104" s="2">
        <v>2023</v>
      </c>
      <c r="C104" s="2">
        <f>COUNTIFS(Games[Team],Games[[#This Row],[Team]],Games[Season],Games[[#This Row],[Season]],Games[Date],"&lt;=" &amp; Games[[#This Row],[Date]])</f>
        <v>8</v>
      </c>
      <c r="D104" s="2" t="s">
        <v>79</v>
      </c>
      <c r="E104" s="2" t="s">
        <v>80</v>
      </c>
      <c r="F104" s="1" t="s">
        <v>77</v>
      </c>
      <c r="G104" s="1" t="s">
        <v>60</v>
      </c>
      <c r="H104" s="1" t="s">
        <v>81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4" s="2">
        <f>Games[[#This Row],[DaysOff]]-Games[[#This Row],[OppDaysOff]]</f>
        <v>0</v>
      </c>
      <c r="L104" s="2">
        <f>Games[[#This Row],[OppDaysOff]]-Games[[#This Row],[DaysOff]]</f>
        <v>0</v>
      </c>
      <c r="M104" s="1">
        <f>MAX(-16, MIN(16, Games[[#This Row],[RestDiff]]*8))</f>
        <v>0</v>
      </c>
      <c r="N104" s="1">
        <f>MAX(-16, MIN(16, Games[[#This Row],[OppRestDiff]]*8))</f>
        <v>0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1416.9794046328166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1551.9621279903483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0.2208764934668605</v>
      </c>
      <c r="R104" s="1">
        <v>86</v>
      </c>
      <c r="S104" s="1">
        <v>79</v>
      </c>
      <c r="T104" s="1">
        <v>0</v>
      </c>
      <c r="U104" s="1">
        <f>Games[[#This Row],[PointsFor]]-Games[[#This Row],[PointsAgainst]]</f>
        <v>7</v>
      </c>
      <c r="V104" s="1">
        <f>IF(Games[[#This Row],[MOV]]&gt;0,1,IF(Games[[#This Row],[MOV]]=0,0.5,0))</f>
        <v>1</v>
      </c>
      <c r="W104" s="4">
        <f>((ABS(Games[[#This Row],[MOV]])+5)^0.6)/(12+0.01*(ABS(Games[[#This Row],[PreGmRate]]-Games[[#This Row],[OppPreGmRate]])))*IF(Games[[#This Row],[OT]]=1,0.9,1)</f>
        <v>0.33268490985979493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4" s="9">
        <f>MAX(kmin, kmax - 0.15 * MIN(Games[[#This Row],[GamesPlayed]], 82))</f>
        <v>74.8</v>
      </c>
      <c r="Z104" s="4">
        <f>Games[[#This Row],[K]]*Games[[#This Row],[POMult]]</f>
        <v>74.8</v>
      </c>
      <c r="AA104" s="4">
        <f>(Games[[#This Row],[Keff]]*Games[[#This Row],[MOVMult]])*(Games[[#This Row],[Result]]-Games[[#This Row],[ExpectedWin%]])</f>
        <v>19.388356988838737</v>
      </c>
      <c r="AB104" s="4">
        <f>Games[[#This Row],[PreGmRate]]+Games[[#This Row],[RatingChange]]</f>
        <v>1436.3677616216553</v>
      </c>
      <c r="AC104" s="2">
        <f>IF(Games[[#This Row],[Type]]="R",IF(Games[[#This Row],[Result]]&gt;0.5,1,0),0)</f>
        <v>1</v>
      </c>
      <c r="AD104" s="2">
        <f>IF(Games[[#This Row],[Type]]="R",IF(Games[[#This Row],[Result]]&lt;0.5,1,0),0)</f>
        <v>0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45090</v>
      </c>
      <c r="B105" s="2">
        <v>2023</v>
      </c>
      <c r="C105" s="2">
        <f>COUNTIFS(Games[Team],Games[[#This Row],[Team]],Games[Season],Games[[#This Row],[Season]],Games[Date],"&lt;=" &amp; Games[[#This Row],[Date]])</f>
        <v>9</v>
      </c>
      <c r="D105" s="2" t="s">
        <v>79</v>
      </c>
      <c r="E105" s="2" t="s">
        <v>80</v>
      </c>
      <c r="F105" s="1" t="s">
        <v>60</v>
      </c>
      <c r="G105" s="1" t="s">
        <v>77</v>
      </c>
      <c r="H105" s="1" t="s">
        <v>82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5" s="2">
        <f>Games[[#This Row],[DaysOff]]-Games[[#This Row],[OppDaysOff]]</f>
        <v>0</v>
      </c>
      <c r="L105" s="2">
        <f>Games[[#This Row],[OppDaysOff]]-Games[[#This Row],[DaysOff]]</f>
        <v>0</v>
      </c>
      <c r="M105" s="1">
        <f>MAX(-16, MIN(16, Games[[#This Row],[RestDiff]]*8))</f>
        <v>0</v>
      </c>
      <c r="N105" s="1">
        <f>MAX(-16, MIN(16, Games[[#This Row],[OppRestDiff]]*8))</f>
        <v>0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1551.9621279903483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1416.9794046328166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0.77912350653313955</v>
      </c>
      <c r="R105" s="1">
        <v>79</v>
      </c>
      <c r="S105" s="1">
        <v>86</v>
      </c>
      <c r="T105" s="1">
        <v>0</v>
      </c>
      <c r="U105" s="1">
        <f>Games[[#This Row],[PointsFor]]-Games[[#This Row],[PointsAgainst]]</f>
        <v>-7</v>
      </c>
      <c r="V105" s="1">
        <f>IF(Games[[#This Row],[MOV]]&gt;0,1,IF(Games[[#This Row],[MOV]]=0,0.5,0))</f>
        <v>0</v>
      </c>
      <c r="W105" s="4">
        <f>((ABS(Games[[#This Row],[MOV]])+5)^0.6)/(12+0.01*(ABS(Games[[#This Row],[PreGmRate]]-Games[[#This Row],[OppPreGmRate]])))*IF(Games[[#This Row],[OT]]=1,0.9,1)</f>
        <v>0.33268490985979493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5" s="9">
        <f>MAX(kmin, kmax - 0.15 * MIN(Games[[#This Row],[GamesPlayed]], 82))</f>
        <v>74.650000000000006</v>
      </c>
      <c r="Z105" s="4">
        <f>Games[[#This Row],[K]]*Games[[#This Row],[POMult]]</f>
        <v>74.650000000000006</v>
      </c>
      <c r="AA105" s="4">
        <f>(Games[[#This Row],[Keff]]*Games[[#This Row],[MOVMult]])*(Games[[#This Row],[Result]]-Games[[#This Row],[ExpectedWin%]])</f>
        <v>-19.349476593807648</v>
      </c>
      <c r="AB105" s="4">
        <f>Games[[#This Row],[PreGmRate]]+Games[[#This Row],[RatingChange]]</f>
        <v>1532.6126513965407</v>
      </c>
      <c r="AC105" s="2">
        <f>IF(Games[[#This Row],[Type]]="R",IF(Games[[#This Row],[Result]]&gt;0.5,1,0),0)</f>
        <v>0</v>
      </c>
      <c r="AD105" s="2">
        <f>IF(Games[[#This Row],[Type]]="R",IF(Games[[#This Row],[Result]]&lt;0.5,1,0),0)</f>
        <v>1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45090</v>
      </c>
      <c r="B106" s="2">
        <v>2023</v>
      </c>
      <c r="C106" s="2">
        <f>COUNTIFS(Games[Team],Games[[#This Row],[Team]],Games[Season],Games[[#This Row],[Season]],Games[Date],"&lt;=" &amp; Games[[#This Row],[Date]])</f>
        <v>8</v>
      </c>
      <c r="D106" s="2" t="s">
        <v>79</v>
      </c>
      <c r="E106" s="2" t="s">
        <v>80</v>
      </c>
      <c r="F106" s="1" t="s">
        <v>71</v>
      </c>
      <c r="G106" s="1" t="s">
        <v>40</v>
      </c>
      <c r="H106" s="1" t="s">
        <v>81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6" s="2">
        <f>Games[[#This Row],[DaysOff]]-Games[[#This Row],[OppDaysOff]]</f>
        <v>0</v>
      </c>
      <c r="L106" s="2">
        <f>Games[[#This Row],[OppDaysOff]]-Games[[#This Row],[DaysOff]]</f>
        <v>0</v>
      </c>
      <c r="M106" s="1">
        <f>MAX(-16, MIN(16, Games[[#This Row],[RestDiff]]*8))</f>
        <v>0</v>
      </c>
      <c r="N106" s="1">
        <f>MAX(-16, MIN(16, Games[[#This Row],[OppRestDiff]]*8))</f>
        <v>0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1451.7747685773065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1427.4368601039821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0.41497346993665923</v>
      </c>
      <c r="R106" s="1">
        <v>83</v>
      </c>
      <c r="S106" s="1">
        <v>69</v>
      </c>
      <c r="T106" s="1">
        <v>0</v>
      </c>
      <c r="U106" s="1">
        <f>Games[[#This Row],[PointsFor]]-Games[[#This Row],[PointsAgainst]]</f>
        <v>14</v>
      </c>
      <c r="V106" s="1">
        <f>IF(Games[[#This Row],[MOV]]&gt;0,1,IF(Games[[#This Row],[MOV]]=0,0.5,0))</f>
        <v>1</v>
      </c>
      <c r="W106" s="4">
        <f>((ABS(Games[[#This Row],[MOV]])+5)^0.6)/(12+0.01*(ABS(Games[[#This Row],[PreGmRate]]-Games[[#This Row],[OppPreGmRate]])))*IF(Games[[#This Row],[OT]]=1,0.9,1)</f>
        <v>0.4779152227431584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6" s="9">
        <f>MAX(kmin, kmax - 0.15 * MIN(Games[[#This Row],[GamesPlayed]], 82))</f>
        <v>74.8</v>
      </c>
      <c r="Z106" s="4">
        <f>Games[[#This Row],[K]]*Games[[#This Row],[POMult]]</f>
        <v>74.8</v>
      </c>
      <c r="AA106" s="4">
        <f>(Games[[#This Row],[Keff]]*Games[[#This Row],[MOVMult]])*(Games[[#This Row],[Result]]-Games[[#This Row],[ExpectedWin%]])</f>
        <v>20.913562715055715</v>
      </c>
      <c r="AB106" s="4">
        <f>Games[[#This Row],[PreGmRate]]+Games[[#This Row],[RatingChange]]</f>
        <v>1472.6883312923621</v>
      </c>
      <c r="AC106" s="2">
        <f>IF(Games[[#This Row],[Type]]="R",IF(Games[[#This Row],[Result]]&gt;0.5,1,0),0)</f>
        <v>1</v>
      </c>
      <c r="AD106" s="2">
        <f>IF(Games[[#This Row],[Type]]="R",IF(Games[[#This Row],[Result]]&lt;0.5,1,0),0)</f>
        <v>0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45090</v>
      </c>
      <c r="B107" s="2">
        <v>2023</v>
      </c>
      <c r="C107" s="2">
        <f>COUNTIFS(Games[Team],Games[[#This Row],[Team]],Games[Season],Games[[#This Row],[Season]],Games[Date],"&lt;=" &amp; Games[[#This Row],[Date]])</f>
        <v>8</v>
      </c>
      <c r="D107" s="2" t="s">
        <v>79</v>
      </c>
      <c r="E107" s="2" t="s">
        <v>80</v>
      </c>
      <c r="F107" s="1" t="s">
        <v>40</v>
      </c>
      <c r="G107" s="1" t="s">
        <v>71</v>
      </c>
      <c r="H107" s="1" t="s">
        <v>82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7" s="2">
        <f>Games[[#This Row],[DaysOff]]-Games[[#This Row],[OppDaysOff]]</f>
        <v>0</v>
      </c>
      <c r="L107" s="2">
        <f>Games[[#This Row],[OppDaysOff]]-Games[[#This Row],[DaysOff]]</f>
        <v>0</v>
      </c>
      <c r="M107" s="1">
        <f>MAX(-16, MIN(16, Games[[#This Row],[RestDiff]]*8))</f>
        <v>0</v>
      </c>
      <c r="N107" s="1">
        <f>MAX(-16, MIN(16, Games[[#This Row],[OppRestDiff]]*8))</f>
        <v>0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1427.4368601039821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1451.7747685773065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0.58502653006334082</v>
      </c>
      <c r="R107" s="1">
        <v>69</v>
      </c>
      <c r="S107" s="1">
        <v>83</v>
      </c>
      <c r="T107" s="1">
        <v>0</v>
      </c>
      <c r="U107" s="1">
        <f>Games[[#This Row],[PointsFor]]-Games[[#This Row],[PointsAgainst]]</f>
        <v>-14</v>
      </c>
      <c r="V107" s="1">
        <f>IF(Games[[#This Row],[MOV]]&gt;0,1,IF(Games[[#This Row],[MOV]]=0,0.5,0))</f>
        <v>0</v>
      </c>
      <c r="W107" s="4">
        <f>((ABS(Games[[#This Row],[MOV]])+5)^0.6)/(12+0.01*(ABS(Games[[#This Row],[PreGmRate]]-Games[[#This Row],[OppPreGmRate]])))*IF(Games[[#This Row],[OT]]=1,0.9,1)</f>
        <v>0.4779152227431584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7" s="9">
        <f>MAX(kmin, kmax - 0.15 * MIN(Games[[#This Row],[GamesPlayed]], 82))</f>
        <v>74.8</v>
      </c>
      <c r="Z107" s="4">
        <f>Games[[#This Row],[K]]*Games[[#This Row],[POMult]]</f>
        <v>74.8</v>
      </c>
      <c r="AA107" s="4">
        <f>(Games[[#This Row],[Keff]]*Games[[#This Row],[MOVMult]])*(Games[[#This Row],[Result]]-Games[[#This Row],[ExpectedWin%]])</f>
        <v>-20.913562715055715</v>
      </c>
      <c r="AB107" s="4">
        <f>Games[[#This Row],[PreGmRate]]+Games[[#This Row],[RatingChange]]</f>
        <v>1406.5232973889265</v>
      </c>
      <c r="AC107" s="2">
        <f>IF(Games[[#This Row],[Type]]="R",IF(Games[[#This Row],[Result]]&gt;0.5,1,0),0)</f>
        <v>0</v>
      </c>
      <c r="AD107" s="2">
        <f>IF(Games[[#This Row],[Type]]="R",IF(Games[[#This Row],[Result]]&lt;0.5,1,0),0)</f>
        <v>1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45091</v>
      </c>
      <c r="B108" s="2">
        <v>2023</v>
      </c>
      <c r="C108" s="2">
        <f>COUNTIFS(Games[Team],Games[[#This Row],[Team]],Games[Season],Games[[#This Row],[Season]],Games[Date],"&lt;=" &amp; Games[[#This Row],[Date]])</f>
        <v>9</v>
      </c>
      <c r="D108" s="2" t="s">
        <v>79</v>
      </c>
      <c r="E108" s="2" t="s">
        <v>80</v>
      </c>
      <c r="F108" s="1" t="s">
        <v>63</v>
      </c>
      <c r="G108" s="1" t="s">
        <v>85</v>
      </c>
      <c r="H108" s="1" t="s">
        <v>81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8" s="2">
        <f>Games[[#This Row],[DaysOff]]-Games[[#This Row],[OppDaysOff]]</f>
        <v>0</v>
      </c>
      <c r="L108" s="2">
        <f>Games[[#This Row],[OppDaysOff]]-Games[[#This Row],[DaysOff]]</f>
        <v>0</v>
      </c>
      <c r="M108" s="1">
        <f>MAX(-16, MIN(16, Games[[#This Row],[RestDiff]]*8))</f>
        <v>0</v>
      </c>
      <c r="N108" s="1">
        <f>MAX(-16, MIN(16, Games[[#This Row],[OppRestDiff]]*8))</f>
        <v>0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1459.5312787503299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1512.5417766061262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0.31244876968303753</v>
      </c>
      <c r="R108" s="1">
        <v>79</v>
      </c>
      <c r="S108" s="1">
        <v>61</v>
      </c>
      <c r="T108" s="1">
        <v>0</v>
      </c>
      <c r="U108" s="1">
        <f>Games[[#This Row],[PointsFor]]-Games[[#This Row],[PointsAgainst]]</f>
        <v>18</v>
      </c>
      <c r="V108" s="1">
        <f>IF(Games[[#This Row],[MOV]]&gt;0,1,IF(Games[[#This Row],[MOV]]=0,0.5,0))</f>
        <v>1</v>
      </c>
      <c r="W108" s="4">
        <f>((ABS(Games[[#This Row],[MOV]])+5)^0.6)/(12+0.01*(ABS(Games[[#This Row],[PreGmRate]]-Games[[#This Row],[OppPreGmRate]])))*IF(Games[[#This Row],[OT]]=1,0.9,1)</f>
        <v>0.52369929834945794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8" s="9">
        <f>MAX(kmin, kmax - 0.15 * MIN(Games[[#This Row],[GamesPlayed]], 82))</f>
        <v>74.650000000000006</v>
      </c>
      <c r="Z108" s="4">
        <f>Games[[#This Row],[K]]*Games[[#This Row],[POMult]]</f>
        <v>74.650000000000006</v>
      </c>
      <c r="AA108" s="4">
        <f>(Games[[#This Row],[Keff]]*Games[[#This Row],[MOVMult]])*(Games[[#This Row],[Result]]-Games[[#This Row],[ExpectedWin%]])</f>
        <v>26.879232733308779</v>
      </c>
      <c r="AB108" s="4">
        <f>Games[[#This Row],[PreGmRate]]+Games[[#This Row],[RatingChange]]</f>
        <v>1486.4105114836386</v>
      </c>
      <c r="AC108" s="2">
        <f>IF(Games[[#This Row],[Type]]="R",IF(Games[[#This Row],[Result]]&gt;0.5,1,0),0)</f>
        <v>1</v>
      </c>
      <c r="AD108" s="2">
        <f>IF(Games[[#This Row],[Type]]="R",IF(Games[[#This Row],[Result]]&lt;0.5,1,0),0)</f>
        <v>0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45091</v>
      </c>
      <c r="B109" s="2">
        <v>2023</v>
      </c>
      <c r="C109" s="2">
        <f>COUNTIFS(Games[Team],Games[[#This Row],[Team]],Games[Season],Games[[#This Row],[Season]],Games[Date],"&lt;=" &amp; Games[[#This Row],[Date]])</f>
        <v>10</v>
      </c>
      <c r="D109" s="2" t="s">
        <v>79</v>
      </c>
      <c r="E109" s="2" t="s">
        <v>80</v>
      </c>
      <c r="F109" s="1" t="s">
        <v>85</v>
      </c>
      <c r="G109" s="1" t="s">
        <v>63</v>
      </c>
      <c r="H109" s="1" t="s">
        <v>82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9" s="2">
        <f>Games[[#This Row],[DaysOff]]-Games[[#This Row],[OppDaysOff]]</f>
        <v>0</v>
      </c>
      <c r="L109" s="2">
        <f>Games[[#This Row],[OppDaysOff]]-Games[[#This Row],[DaysOff]]</f>
        <v>0</v>
      </c>
      <c r="M109" s="1">
        <f>MAX(-16, MIN(16, Games[[#This Row],[RestDiff]]*8))</f>
        <v>0</v>
      </c>
      <c r="N109" s="1">
        <f>MAX(-16, MIN(16, Games[[#This Row],[OppRestDiff]]*8))</f>
        <v>0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1512.5417766061262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1459.5312787503299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0.68755123031696253</v>
      </c>
      <c r="R109" s="1">
        <v>61</v>
      </c>
      <c r="S109" s="1">
        <v>79</v>
      </c>
      <c r="T109" s="1">
        <v>0</v>
      </c>
      <c r="U109" s="1">
        <f>Games[[#This Row],[PointsFor]]-Games[[#This Row],[PointsAgainst]]</f>
        <v>-18</v>
      </c>
      <c r="V109" s="1">
        <f>IF(Games[[#This Row],[MOV]]&gt;0,1,IF(Games[[#This Row],[MOV]]=0,0.5,0))</f>
        <v>0</v>
      </c>
      <c r="W109" s="4">
        <f>((ABS(Games[[#This Row],[MOV]])+5)^0.6)/(12+0.01*(ABS(Games[[#This Row],[PreGmRate]]-Games[[#This Row],[OppPreGmRate]])))*IF(Games[[#This Row],[OT]]=1,0.9,1)</f>
        <v>0.52369929834945794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9" s="9">
        <f>MAX(kmin, kmax - 0.15 * MIN(Games[[#This Row],[GamesPlayed]], 82))</f>
        <v>74.5</v>
      </c>
      <c r="Z109" s="4">
        <f>Games[[#This Row],[K]]*Games[[#This Row],[POMult]]</f>
        <v>74.5</v>
      </c>
      <c r="AA109" s="4">
        <f>(Games[[#This Row],[Keff]]*Games[[#This Row],[MOVMult]])*(Games[[#This Row],[Result]]-Games[[#This Row],[ExpectedWin%]])</f>
        <v>-26.825222218774339</v>
      </c>
      <c r="AB109" s="4">
        <f>Games[[#This Row],[PreGmRate]]+Games[[#This Row],[RatingChange]]</f>
        <v>1485.7165543873518</v>
      </c>
      <c r="AC109" s="2">
        <f>IF(Games[[#This Row],[Type]]="R",IF(Games[[#This Row],[Result]]&gt;0.5,1,0),0)</f>
        <v>0</v>
      </c>
      <c r="AD109" s="2">
        <f>IF(Games[[#This Row],[Type]]="R",IF(Games[[#This Row],[Result]]&lt;0.5,1,0),0)</f>
        <v>1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45092</v>
      </c>
      <c r="B110" s="2">
        <v>2023</v>
      </c>
      <c r="C110" s="2">
        <f>COUNTIFS(Games[Team],Games[[#This Row],[Team]],Games[Season],Games[[#This Row],[Season]],Games[Date],"&lt;=" &amp; Games[[#This Row],[Date]])</f>
        <v>10</v>
      </c>
      <c r="D110" s="2" t="s">
        <v>79</v>
      </c>
      <c r="E110" s="2" t="s">
        <v>80</v>
      </c>
      <c r="F110" s="1" t="s">
        <v>69</v>
      </c>
      <c r="G110" s="1" t="s">
        <v>75</v>
      </c>
      <c r="H110" s="1" t="s">
        <v>81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0" s="2">
        <f>Games[[#This Row],[DaysOff]]-Games[[#This Row],[OppDaysOff]]</f>
        <v>-2</v>
      </c>
      <c r="L110" s="2">
        <f>Games[[#This Row],[OppDaysOff]]-Games[[#This Row],[DaysOff]]</f>
        <v>2</v>
      </c>
      <c r="M110" s="1">
        <f>MAX(-16, MIN(16, Games[[#This Row],[RestDiff]]*8))</f>
        <v>-16</v>
      </c>
      <c r="N110" s="1">
        <f>MAX(-16, MIN(16, Games[[#This Row],[OppRestDiff]]*8))</f>
        <v>16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1378.3487880461746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1539.0371319316628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0.1689978849770892</v>
      </c>
      <c r="R110" s="1">
        <v>92</v>
      </c>
      <c r="S110" s="1">
        <v>90</v>
      </c>
      <c r="T110" s="1">
        <v>0</v>
      </c>
      <c r="U110" s="1">
        <f>Games[[#This Row],[PointsFor]]-Games[[#This Row],[PointsAgainst]]</f>
        <v>2</v>
      </c>
      <c r="V110" s="1">
        <f>IF(Games[[#This Row],[MOV]]&gt;0,1,IF(Games[[#This Row],[MOV]]=0,0.5,0))</f>
        <v>1</v>
      </c>
      <c r="W110" s="4">
        <f>((ABS(Games[[#This Row],[MOV]])+5)^0.6)/(12+0.01*(ABS(Games[[#This Row],[PreGmRate]]-Games[[#This Row],[OppPreGmRate]])))*IF(Games[[#This Row],[OT]]=1,0.9,1)</f>
        <v>0.2362110224695603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0" s="9">
        <f>MAX(kmin, kmax - 0.15 * MIN(Games[[#This Row],[GamesPlayed]], 82))</f>
        <v>74.5</v>
      </c>
      <c r="Z110" s="4">
        <f>Games[[#This Row],[K]]*Games[[#This Row],[POMult]]</f>
        <v>74.5</v>
      </c>
      <c r="AA110" s="4">
        <f>(Games[[#This Row],[Keff]]*Games[[#This Row],[MOVMult]])*(Games[[#This Row],[Result]]-Games[[#This Row],[ExpectedWin%]])</f>
        <v>14.623743515162705</v>
      </c>
      <c r="AB110" s="4">
        <f>Games[[#This Row],[PreGmRate]]+Games[[#This Row],[RatingChange]]</f>
        <v>1392.9725315613373</v>
      </c>
      <c r="AC110" s="2">
        <f>IF(Games[[#This Row],[Type]]="R",IF(Games[[#This Row],[Result]]&gt;0.5,1,0),0)</f>
        <v>1</v>
      </c>
      <c r="AD110" s="2">
        <f>IF(Games[[#This Row],[Type]]="R",IF(Games[[#This Row],[Result]]&lt;0.5,1,0),0)</f>
        <v>0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45092</v>
      </c>
      <c r="B111" s="2">
        <v>2023</v>
      </c>
      <c r="C111" s="2">
        <f>COUNTIFS(Games[Team],Games[[#This Row],[Team]],Games[Season],Games[[#This Row],[Season]],Games[Date],"&lt;=" &amp; Games[[#This Row],[Date]])</f>
        <v>11</v>
      </c>
      <c r="D111" s="2" t="s">
        <v>79</v>
      </c>
      <c r="E111" s="2" t="s">
        <v>80</v>
      </c>
      <c r="F111" s="1" t="s">
        <v>75</v>
      </c>
      <c r="G111" s="1" t="s">
        <v>69</v>
      </c>
      <c r="H111" s="1" t="s">
        <v>82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1" s="2">
        <f>Games[[#This Row],[DaysOff]]-Games[[#This Row],[OppDaysOff]]</f>
        <v>2</v>
      </c>
      <c r="L111" s="2">
        <f>Games[[#This Row],[OppDaysOff]]-Games[[#This Row],[DaysOff]]</f>
        <v>-2</v>
      </c>
      <c r="M111" s="1">
        <f>MAX(-16, MIN(16, Games[[#This Row],[RestDiff]]*8))</f>
        <v>16</v>
      </c>
      <c r="N111" s="1">
        <f>MAX(-16, MIN(16, Games[[#This Row],[OppRestDiff]]*8))</f>
        <v>-16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1539.0371319316628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1378.3487880461746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0.83100211502291077</v>
      </c>
      <c r="R111" s="1">
        <v>90</v>
      </c>
      <c r="S111" s="1">
        <v>92</v>
      </c>
      <c r="T111" s="1">
        <v>0</v>
      </c>
      <c r="U111" s="1">
        <f>Games[[#This Row],[PointsFor]]-Games[[#This Row],[PointsAgainst]]</f>
        <v>-2</v>
      </c>
      <c r="V111" s="1">
        <f>IF(Games[[#This Row],[MOV]]&gt;0,1,IF(Games[[#This Row],[MOV]]=0,0.5,0))</f>
        <v>0</v>
      </c>
      <c r="W111" s="4">
        <f>((ABS(Games[[#This Row],[MOV]])+5)^0.6)/(12+0.01*(ABS(Games[[#This Row],[PreGmRate]]-Games[[#This Row],[OppPreGmRate]])))*IF(Games[[#This Row],[OT]]=1,0.9,1)</f>
        <v>0.2362110224695603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1" s="9">
        <f>MAX(kmin, kmax - 0.15 * MIN(Games[[#This Row],[GamesPlayed]], 82))</f>
        <v>74.349999999999994</v>
      </c>
      <c r="Z111" s="4">
        <f>Games[[#This Row],[K]]*Games[[#This Row],[POMult]]</f>
        <v>74.349999999999994</v>
      </c>
      <c r="AA111" s="4">
        <f>(Games[[#This Row],[Keff]]*Games[[#This Row],[MOVMult]])*(Games[[#This Row],[Result]]-Games[[#This Row],[ExpectedWin%]])</f>
        <v>-14.594299736273113</v>
      </c>
      <c r="AB111" s="4">
        <f>Games[[#This Row],[PreGmRate]]+Games[[#This Row],[RatingChange]]</f>
        <v>1524.4428321953897</v>
      </c>
      <c r="AC111" s="2">
        <f>IF(Games[[#This Row],[Type]]="R",IF(Games[[#This Row],[Result]]&gt;0.5,1,0),0)</f>
        <v>0</v>
      </c>
      <c r="AD111" s="2">
        <f>IF(Games[[#This Row],[Type]]="R",IF(Games[[#This Row],[Result]]&lt;0.5,1,0),0)</f>
        <v>1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45092</v>
      </c>
      <c r="B112" s="2">
        <v>2023</v>
      </c>
      <c r="C112" s="2">
        <f>COUNTIFS(Games[Team],Games[[#This Row],[Team]],Games[Season],Games[[#This Row],[Season]],Games[Date],"&lt;=" &amp; Games[[#This Row],[Date]])</f>
        <v>9</v>
      </c>
      <c r="D112" s="2" t="s">
        <v>79</v>
      </c>
      <c r="E112" s="2" t="s">
        <v>80</v>
      </c>
      <c r="F112" s="1" t="s">
        <v>77</v>
      </c>
      <c r="G112" s="1" t="s">
        <v>74</v>
      </c>
      <c r="H112" s="1" t="s">
        <v>81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2" s="2">
        <f>Games[[#This Row],[DaysOff]]-Games[[#This Row],[OppDaysOff]]</f>
        <v>-2</v>
      </c>
      <c r="L112" s="2">
        <f>Games[[#This Row],[OppDaysOff]]-Games[[#This Row],[DaysOff]]</f>
        <v>2</v>
      </c>
      <c r="M112" s="1">
        <f>MAX(-16, MIN(16, Games[[#This Row],[RestDiff]]*8))</f>
        <v>-16</v>
      </c>
      <c r="N112" s="1">
        <f>MAX(-16, MIN(16, Games[[#This Row],[OppRestDiff]]*8))</f>
        <v>16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1436.3677616216553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1628.1260285980081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0.14534359105233166</v>
      </c>
      <c r="R112" s="1">
        <v>92</v>
      </c>
      <c r="S112" s="1">
        <v>88</v>
      </c>
      <c r="T112" s="1">
        <v>1</v>
      </c>
      <c r="U112" s="1">
        <f>Games[[#This Row],[PointsFor]]-Games[[#This Row],[PointsAgainst]]</f>
        <v>4</v>
      </c>
      <c r="V112" s="1">
        <f>IF(Games[[#This Row],[MOV]]&gt;0,1,IF(Games[[#This Row],[MOV]]=0,0.5,0))</f>
        <v>1</v>
      </c>
      <c r="W112" s="4">
        <f>((ABS(Games[[#This Row],[MOV]])+5)^0.6)/(12+0.01*(ABS(Games[[#This Row],[PreGmRate]]-Games[[#This Row],[OppPreGmRate]])))*IF(Games[[#This Row],[OT]]=1,0.9,1)</f>
        <v>0.24167081430521475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2" s="9">
        <f>MAX(kmin, kmax - 0.15 * MIN(Games[[#This Row],[GamesPlayed]], 82))</f>
        <v>74.650000000000006</v>
      </c>
      <c r="Z112" s="4">
        <f>Games[[#This Row],[K]]*Games[[#This Row],[POMult]]</f>
        <v>74.650000000000006</v>
      </c>
      <c r="AA112" s="4">
        <f>(Games[[#This Row],[Keff]]*Games[[#This Row],[MOVMult]])*(Games[[#This Row],[Result]]-Games[[#This Row],[ExpectedWin%]])</f>
        <v>15.418622344010981</v>
      </c>
      <c r="AB112" s="4">
        <f>Games[[#This Row],[PreGmRate]]+Games[[#This Row],[RatingChange]]</f>
        <v>1451.7863839656663</v>
      </c>
      <c r="AC112" s="2">
        <f>IF(Games[[#This Row],[Type]]="R",IF(Games[[#This Row],[Result]]&gt;0.5,1,0),0)</f>
        <v>1</v>
      </c>
      <c r="AD112" s="2">
        <f>IF(Games[[#This Row],[Type]]="R",IF(Games[[#This Row],[Result]]&lt;0.5,1,0),0)</f>
        <v>0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45092</v>
      </c>
      <c r="B113" s="2">
        <v>2023</v>
      </c>
      <c r="C113" s="2">
        <f>COUNTIFS(Games[Team],Games[[#This Row],[Team]],Games[Season],Games[[#This Row],[Season]],Games[Date],"&lt;=" &amp; Games[[#This Row],[Date]])</f>
        <v>11</v>
      </c>
      <c r="D113" s="2" t="s">
        <v>79</v>
      </c>
      <c r="E113" s="2" t="s">
        <v>80</v>
      </c>
      <c r="F113" s="1" t="s">
        <v>74</v>
      </c>
      <c r="G113" s="1" t="s">
        <v>77</v>
      </c>
      <c r="H113" s="1" t="s">
        <v>82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3" s="2">
        <f>Games[[#This Row],[DaysOff]]-Games[[#This Row],[OppDaysOff]]</f>
        <v>2</v>
      </c>
      <c r="L113" s="2">
        <f>Games[[#This Row],[OppDaysOff]]-Games[[#This Row],[DaysOff]]</f>
        <v>-2</v>
      </c>
      <c r="M113" s="1">
        <f>MAX(-16, MIN(16, Games[[#This Row],[RestDiff]]*8))</f>
        <v>16</v>
      </c>
      <c r="N113" s="1">
        <f>MAX(-16, MIN(16, Games[[#This Row],[OppRestDiff]]*8))</f>
        <v>-16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1628.1260285980081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1436.3677616216553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0.85465640894766837</v>
      </c>
      <c r="R113" s="1">
        <v>88</v>
      </c>
      <c r="S113" s="1">
        <v>92</v>
      </c>
      <c r="T113" s="1">
        <v>1</v>
      </c>
      <c r="U113" s="1">
        <f>Games[[#This Row],[PointsFor]]-Games[[#This Row],[PointsAgainst]]</f>
        <v>-4</v>
      </c>
      <c r="V113" s="1">
        <f>IF(Games[[#This Row],[MOV]]&gt;0,1,IF(Games[[#This Row],[MOV]]=0,0.5,0))</f>
        <v>0</v>
      </c>
      <c r="W113" s="4">
        <f>((ABS(Games[[#This Row],[MOV]])+5)^0.6)/(12+0.01*(ABS(Games[[#This Row],[PreGmRate]]-Games[[#This Row],[OppPreGmRate]])))*IF(Games[[#This Row],[OT]]=1,0.9,1)</f>
        <v>0.24167081430521475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3" s="9">
        <f>MAX(kmin, kmax - 0.15 * MIN(Games[[#This Row],[GamesPlayed]], 82))</f>
        <v>74.349999999999994</v>
      </c>
      <c r="Z113" s="4">
        <f>Games[[#This Row],[K]]*Games[[#This Row],[POMult]]</f>
        <v>74.349999999999994</v>
      </c>
      <c r="AA113" s="4">
        <f>(Games[[#This Row],[Keff]]*Games[[#This Row],[MOVMult]])*(Games[[#This Row],[Result]]-Games[[#This Row],[ExpectedWin%]])</f>
        <v>-15.356658690920513</v>
      </c>
      <c r="AB113" s="4">
        <f>Games[[#This Row],[PreGmRate]]+Games[[#This Row],[RatingChange]]</f>
        <v>1612.7693699070876</v>
      </c>
      <c r="AC113" s="2">
        <f>IF(Games[[#This Row],[Type]]="R",IF(Games[[#This Row],[Result]]&gt;0.5,1,0),0)</f>
        <v>0</v>
      </c>
      <c r="AD113" s="2">
        <f>IF(Games[[#This Row],[Type]]="R",IF(Games[[#This Row],[Result]]&lt;0.5,1,0),0)</f>
        <v>1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45092</v>
      </c>
      <c r="B114" s="2">
        <v>2023</v>
      </c>
      <c r="C114" s="2">
        <f>COUNTIFS(Games[Team],Games[[#This Row],[Team]],Games[Season],Games[[#This Row],[Season]],Games[Date],"&lt;=" &amp; Games[[#This Row],[Date]])</f>
        <v>9</v>
      </c>
      <c r="D114" s="2" t="s">
        <v>79</v>
      </c>
      <c r="E114" s="2" t="s">
        <v>80</v>
      </c>
      <c r="F114" s="1" t="s">
        <v>71</v>
      </c>
      <c r="G114" s="1" t="s">
        <v>86</v>
      </c>
      <c r="H114" s="1" t="s">
        <v>81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4" s="2">
        <f>Games[[#This Row],[DaysOff]]-Games[[#This Row],[OppDaysOff]]</f>
        <v>-2</v>
      </c>
      <c r="L114" s="2">
        <f>Games[[#This Row],[OppDaysOff]]-Games[[#This Row],[DaysOff]]</f>
        <v>2</v>
      </c>
      <c r="M114" s="1">
        <f>MAX(-16, MIN(16, Games[[#This Row],[RestDiff]]*8))</f>
        <v>-16</v>
      </c>
      <c r="N114" s="1">
        <f>MAX(-16, MIN(16, Games[[#This Row],[OppRestDiff]]*8))</f>
        <v>16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1472.6883312923621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1676.0097391846223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0.1372688401948946</v>
      </c>
      <c r="R114" s="1">
        <v>63</v>
      </c>
      <c r="S114" s="1">
        <v>96</v>
      </c>
      <c r="T114" s="1">
        <v>0</v>
      </c>
      <c r="U114" s="1">
        <f>Games[[#This Row],[PointsFor]]-Games[[#This Row],[PointsAgainst]]</f>
        <v>-33</v>
      </c>
      <c r="V114" s="1">
        <f>IF(Games[[#This Row],[MOV]]&gt;0,1,IF(Games[[#This Row],[MOV]]=0,0.5,0))</f>
        <v>0</v>
      </c>
      <c r="W114" s="4">
        <f>((ABS(Games[[#This Row],[MOV]])+5)^0.6)/(12+0.01*(ABS(Games[[#This Row],[PreGmRate]]-Games[[#This Row],[OppPreGmRate]])))*IF(Games[[#This Row],[OT]]=1,0.9,1)</f>
        <v>0.63199407605539559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4" s="9">
        <f>MAX(kmin, kmax - 0.15 * MIN(Games[[#This Row],[GamesPlayed]], 82))</f>
        <v>74.650000000000006</v>
      </c>
      <c r="Z114" s="4">
        <f>Games[[#This Row],[K]]*Games[[#This Row],[POMult]]</f>
        <v>74.650000000000006</v>
      </c>
      <c r="AA114" s="4">
        <f>(Games[[#This Row],[Keff]]*Games[[#This Row],[MOVMult]])*(Games[[#This Row],[Result]]-Games[[#This Row],[ExpectedWin%]])</f>
        <v>-6.4761184544220534</v>
      </c>
      <c r="AB114" s="4">
        <f>Games[[#This Row],[PreGmRate]]+Games[[#This Row],[RatingChange]]</f>
        <v>1466.2122128379401</v>
      </c>
      <c r="AC114" s="2">
        <f>IF(Games[[#This Row],[Type]]="R",IF(Games[[#This Row],[Result]]&gt;0.5,1,0),0)</f>
        <v>0</v>
      </c>
      <c r="AD114" s="2">
        <f>IF(Games[[#This Row],[Type]]="R",IF(Games[[#This Row],[Result]]&lt;0.5,1,0),0)</f>
        <v>1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45092</v>
      </c>
      <c r="B115" s="2">
        <v>2023</v>
      </c>
      <c r="C115" s="2">
        <f>COUNTIFS(Games[Team],Games[[#This Row],[Team]],Games[Season],Games[[#This Row],[Season]],Games[Date],"&lt;=" &amp; Games[[#This Row],[Date]])</f>
        <v>10</v>
      </c>
      <c r="D115" s="2" t="s">
        <v>79</v>
      </c>
      <c r="E115" s="2" t="s">
        <v>80</v>
      </c>
      <c r="F115" s="1" t="s">
        <v>86</v>
      </c>
      <c r="G115" s="1" t="s">
        <v>71</v>
      </c>
      <c r="H115" s="1" t="s">
        <v>82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5" s="2">
        <f>Games[[#This Row],[DaysOff]]-Games[[#This Row],[OppDaysOff]]</f>
        <v>2</v>
      </c>
      <c r="L115" s="2">
        <f>Games[[#This Row],[OppDaysOff]]-Games[[#This Row],[DaysOff]]</f>
        <v>-2</v>
      </c>
      <c r="M115" s="1">
        <f>MAX(-16, MIN(16, Games[[#This Row],[RestDiff]]*8))</f>
        <v>16</v>
      </c>
      <c r="N115" s="1">
        <f>MAX(-16, MIN(16, Games[[#This Row],[OppRestDiff]]*8))</f>
        <v>-16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1676.0097391846223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1472.6883312923621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0.8627311598051054</v>
      </c>
      <c r="R115" s="1">
        <v>96</v>
      </c>
      <c r="S115" s="1">
        <v>63</v>
      </c>
      <c r="T115" s="1">
        <v>0</v>
      </c>
      <c r="U115" s="1">
        <f>Games[[#This Row],[PointsFor]]-Games[[#This Row],[PointsAgainst]]</f>
        <v>33</v>
      </c>
      <c r="V115" s="1">
        <f>IF(Games[[#This Row],[MOV]]&gt;0,1,IF(Games[[#This Row],[MOV]]=0,0.5,0))</f>
        <v>1</v>
      </c>
      <c r="W115" s="4">
        <f>((ABS(Games[[#This Row],[MOV]])+5)^0.6)/(12+0.01*(ABS(Games[[#This Row],[PreGmRate]]-Games[[#This Row],[OppPreGmRate]])))*IF(Games[[#This Row],[OT]]=1,0.9,1)</f>
        <v>0.63199407605539559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5" s="9">
        <f>MAX(kmin, kmax - 0.15 * MIN(Games[[#This Row],[GamesPlayed]], 82))</f>
        <v>74.5</v>
      </c>
      <c r="Z115" s="4">
        <f>Games[[#This Row],[K]]*Games[[#This Row],[POMult]]</f>
        <v>74.5</v>
      </c>
      <c r="AA115" s="4">
        <f>(Games[[#This Row],[Keff]]*Games[[#This Row],[MOVMult]])*(Games[[#This Row],[Result]]-Games[[#This Row],[ExpectedWin%]])</f>
        <v>6.4631054903475276</v>
      </c>
      <c r="AB115" s="4">
        <f>Games[[#This Row],[PreGmRate]]+Games[[#This Row],[RatingChange]]</f>
        <v>1682.4728446749698</v>
      </c>
      <c r="AC115" s="2">
        <f>IF(Games[[#This Row],[Type]]="R",IF(Games[[#This Row],[Result]]&gt;0.5,1,0),0)</f>
        <v>1</v>
      </c>
      <c r="AD115" s="2">
        <f>IF(Games[[#This Row],[Type]]="R",IF(Games[[#This Row],[Result]]&lt;0.5,1,0),0)</f>
        <v>0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45093</v>
      </c>
      <c r="B116" s="2">
        <v>2023</v>
      </c>
      <c r="C116" s="2">
        <f>COUNTIFS(Games[Team],Games[[#This Row],[Team]],Games[Season],Games[[#This Row],[Season]],Games[Date],"&lt;=" &amp; Games[[#This Row],[Date]])</f>
        <v>10</v>
      </c>
      <c r="D116" s="2" t="s">
        <v>79</v>
      </c>
      <c r="E116" s="2" t="s">
        <v>80</v>
      </c>
      <c r="F116" s="1" t="s">
        <v>67</v>
      </c>
      <c r="G116" s="1" t="s">
        <v>63</v>
      </c>
      <c r="H116" s="1" t="s">
        <v>81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4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6" s="2">
        <f>Games[[#This Row],[DaysOff]]-Games[[#This Row],[OppDaysOff]]</f>
        <v>3</v>
      </c>
      <c r="L116" s="2">
        <f>Games[[#This Row],[OppDaysOff]]-Games[[#This Row],[DaysOff]]</f>
        <v>-3</v>
      </c>
      <c r="M116" s="1">
        <f>MAX(-16, MIN(16, Games[[#This Row],[RestDiff]]*8))</f>
        <v>16</v>
      </c>
      <c r="N116" s="1">
        <f>MAX(-16, MIN(16, Games[[#This Row],[OppRestDiff]]*8))</f>
        <v>-16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1434.4678277750199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1486.4105114836386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0.35472306722164648</v>
      </c>
      <c r="R116" s="1">
        <v>77</v>
      </c>
      <c r="S116" s="1">
        <v>72</v>
      </c>
      <c r="T116" s="1">
        <v>0</v>
      </c>
      <c r="U116" s="1">
        <f>Games[[#This Row],[PointsFor]]-Games[[#This Row],[PointsAgainst]]</f>
        <v>5</v>
      </c>
      <c r="V116" s="1">
        <f>IF(Games[[#This Row],[MOV]]&gt;0,1,IF(Games[[#This Row],[MOV]]=0,0.5,0))</f>
        <v>1</v>
      </c>
      <c r="W116" s="4">
        <f>((ABS(Games[[#This Row],[MOV]])+5)^0.6)/(12+0.01*(ABS(Games[[#This Row],[PreGmRate]]-Games[[#This Row],[OppPreGmRate]])))*IF(Games[[#This Row],[OT]]=1,0.9,1)</f>
        <v>0.31799153086959858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6" s="9">
        <f>MAX(kmin, kmax - 0.15 * MIN(Games[[#This Row],[GamesPlayed]], 82))</f>
        <v>74.5</v>
      </c>
      <c r="Z116" s="4">
        <f>Games[[#This Row],[K]]*Games[[#This Row],[POMult]]</f>
        <v>74.5</v>
      </c>
      <c r="AA116" s="4">
        <f>(Games[[#This Row],[Keff]]*Games[[#This Row],[MOVMult]])*(Games[[#This Row],[Result]]-Games[[#This Row],[ExpectedWin%]])</f>
        <v>15.286848676832562</v>
      </c>
      <c r="AB116" s="4">
        <f>Games[[#This Row],[PreGmRate]]+Games[[#This Row],[RatingChange]]</f>
        <v>1449.7546764518524</v>
      </c>
      <c r="AC116" s="2">
        <f>IF(Games[[#This Row],[Type]]="R",IF(Games[[#This Row],[Result]]&gt;0.5,1,0),0)</f>
        <v>1</v>
      </c>
      <c r="AD116" s="2">
        <f>IF(Games[[#This Row],[Type]]="R",IF(Games[[#This Row],[Result]]&lt;0.5,1,0),0)</f>
        <v>0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45093</v>
      </c>
      <c r="B117" s="2">
        <v>2023</v>
      </c>
      <c r="C117" s="2">
        <f>COUNTIFS(Games[Team],Games[[#This Row],[Team]],Games[Season],Games[[#This Row],[Season]],Games[Date],"&lt;=" &amp; Games[[#This Row],[Date]])</f>
        <v>10</v>
      </c>
      <c r="D117" s="2" t="s">
        <v>79</v>
      </c>
      <c r="E117" s="2" t="s">
        <v>80</v>
      </c>
      <c r="F117" s="1" t="s">
        <v>63</v>
      </c>
      <c r="G117" s="1" t="s">
        <v>67</v>
      </c>
      <c r="H117" s="1" t="s">
        <v>82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17" s="2">
        <f>Games[[#This Row],[DaysOff]]-Games[[#This Row],[OppDaysOff]]</f>
        <v>-3</v>
      </c>
      <c r="L117" s="2">
        <f>Games[[#This Row],[OppDaysOff]]-Games[[#This Row],[DaysOff]]</f>
        <v>3</v>
      </c>
      <c r="M117" s="1">
        <f>MAX(-16, MIN(16, Games[[#This Row],[RestDiff]]*8))</f>
        <v>-16</v>
      </c>
      <c r="N117" s="1">
        <f>MAX(-16, MIN(16, Games[[#This Row],[OppRestDiff]]*8))</f>
        <v>16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1486.4105114836386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1434.4678277750199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0.64527693277835352</v>
      </c>
      <c r="R117" s="1">
        <v>72</v>
      </c>
      <c r="S117" s="1">
        <v>77</v>
      </c>
      <c r="T117" s="1">
        <v>0</v>
      </c>
      <c r="U117" s="1">
        <f>Games[[#This Row],[PointsFor]]-Games[[#This Row],[PointsAgainst]]</f>
        <v>-5</v>
      </c>
      <c r="V117" s="1">
        <f>IF(Games[[#This Row],[MOV]]&gt;0,1,IF(Games[[#This Row],[MOV]]=0,0.5,0))</f>
        <v>0</v>
      </c>
      <c r="W117" s="4">
        <f>((ABS(Games[[#This Row],[MOV]])+5)^0.6)/(12+0.01*(ABS(Games[[#This Row],[PreGmRate]]-Games[[#This Row],[OppPreGmRate]])))*IF(Games[[#This Row],[OT]]=1,0.9,1)</f>
        <v>0.31799153086959858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7" s="9">
        <f>MAX(kmin, kmax - 0.15 * MIN(Games[[#This Row],[GamesPlayed]], 82))</f>
        <v>74.5</v>
      </c>
      <c r="Z117" s="4">
        <f>Games[[#This Row],[K]]*Games[[#This Row],[POMult]]</f>
        <v>74.5</v>
      </c>
      <c r="AA117" s="4">
        <f>(Games[[#This Row],[Keff]]*Games[[#This Row],[MOVMult]])*(Games[[#This Row],[Result]]-Games[[#This Row],[ExpectedWin%]])</f>
        <v>-15.286848676832562</v>
      </c>
      <c r="AB117" s="4">
        <f>Games[[#This Row],[PreGmRate]]+Games[[#This Row],[RatingChange]]</f>
        <v>1471.1236628068061</v>
      </c>
      <c r="AC117" s="2">
        <f>IF(Games[[#This Row],[Type]]="R",IF(Games[[#This Row],[Result]]&gt;0.5,1,0),0)</f>
        <v>0</v>
      </c>
      <c r="AD117" s="2">
        <f>IF(Games[[#This Row],[Type]]="R",IF(Games[[#This Row],[Result]]&lt;0.5,1,0),0)</f>
        <v>1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45093</v>
      </c>
      <c r="B118" s="2">
        <v>2023</v>
      </c>
      <c r="C118" s="2">
        <f>COUNTIFS(Games[Team],Games[[#This Row],[Team]],Games[Season],Games[[#This Row],[Season]],Games[Date],"&lt;=" &amp; Games[[#This Row],[Date]])</f>
        <v>9</v>
      </c>
      <c r="D118" s="2" t="s">
        <v>79</v>
      </c>
      <c r="E118" s="2" t="s">
        <v>80</v>
      </c>
      <c r="F118" s="1" t="s">
        <v>40</v>
      </c>
      <c r="G118" s="1" t="s">
        <v>65</v>
      </c>
      <c r="H118" s="1" t="s">
        <v>81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8" s="2">
        <f>Games[[#This Row],[DaysOff]]-Games[[#This Row],[OppDaysOff]]</f>
        <v>0</v>
      </c>
      <c r="L118" s="2">
        <f>Games[[#This Row],[OppDaysOff]]-Games[[#This Row],[DaysOff]]</f>
        <v>0</v>
      </c>
      <c r="M118" s="1">
        <f>MAX(-16, MIN(16, Games[[#This Row],[RestDiff]]*8))</f>
        <v>0</v>
      </c>
      <c r="N118" s="1">
        <f>MAX(-16, MIN(16, Games[[#This Row],[OppRestDiff]]*8))</f>
        <v>0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1406.5232973889265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1523.9543942423741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0.23875258764624205</v>
      </c>
      <c r="R118" s="1">
        <v>69</v>
      </c>
      <c r="S118" s="1">
        <v>88</v>
      </c>
      <c r="T118" s="1">
        <v>0</v>
      </c>
      <c r="U118" s="1">
        <f>Games[[#This Row],[PointsFor]]-Games[[#This Row],[PointsAgainst]]</f>
        <v>-19</v>
      </c>
      <c r="V118" s="1">
        <f>IF(Games[[#This Row],[MOV]]&gt;0,1,IF(Games[[#This Row],[MOV]]=0,0.5,0))</f>
        <v>0</v>
      </c>
      <c r="W118" s="4">
        <f>((ABS(Games[[#This Row],[MOV]])+5)^0.6)/(12+0.01*(ABS(Games[[#This Row],[PreGmRate]]-Games[[#This Row],[OppPreGmRate]])))*IF(Games[[#This Row],[OT]]=1,0.9,1)</f>
        <v>0.51097403794059992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8" s="9">
        <f>MAX(kmin, kmax - 0.15 * MIN(Games[[#This Row],[GamesPlayed]], 82))</f>
        <v>74.650000000000006</v>
      </c>
      <c r="Z118" s="4">
        <f>Games[[#This Row],[K]]*Games[[#This Row],[POMult]]</f>
        <v>74.650000000000006</v>
      </c>
      <c r="AA118" s="4">
        <f>(Games[[#This Row],[Keff]]*Games[[#This Row],[MOVMult]])*(Games[[#This Row],[Result]]-Games[[#This Row],[ExpectedWin%]])</f>
        <v>-9.1070293025551194</v>
      </c>
      <c r="AB118" s="4">
        <f>Games[[#This Row],[PreGmRate]]+Games[[#This Row],[RatingChange]]</f>
        <v>1397.4162680863715</v>
      </c>
      <c r="AC118" s="2">
        <f>IF(Games[[#This Row],[Type]]="R",IF(Games[[#This Row],[Result]]&gt;0.5,1,0),0)</f>
        <v>0</v>
      </c>
      <c r="AD118" s="2">
        <f>IF(Games[[#This Row],[Type]]="R",IF(Games[[#This Row],[Result]]&lt;0.5,1,0),0)</f>
        <v>1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45093</v>
      </c>
      <c r="B119" s="2">
        <v>2023</v>
      </c>
      <c r="C119" s="2">
        <f>COUNTIFS(Games[Team],Games[[#This Row],[Team]],Games[Season],Games[[#This Row],[Season]],Games[Date],"&lt;=" &amp; Games[[#This Row],[Date]])</f>
        <v>10</v>
      </c>
      <c r="D119" s="2" t="s">
        <v>79</v>
      </c>
      <c r="E119" s="2" t="s">
        <v>80</v>
      </c>
      <c r="F119" s="1" t="s">
        <v>65</v>
      </c>
      <c r="G119" s="1" t="s">
        <v>40</v>
      </c>
      <c r="H119" s="1" t="s">
        <v>82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9" s="2">
        <f>Games[[#This Row],[DaysOff]]-Games[[#This Row],[OppDaysOff]]</f>
        <v>0</v>
      </c>
      <c r="L119" s="2">
        <f>Games[[#This Row],[OppDaysOff]]-Games[[#This Row],[DaysOff]]</f>
        <v>0</v>
      </c>
      <c r="M119" s="1">
        <f>MAX(-16, MIN(16, Games[[#This Row],[RestDiff]]*8))</f>
        <v>0</v>
      </c>
      <c r="N119" s="1">
        <f>MAX(-16, MIN(16, Games[[#This Row],[OppRestDiff]]*8))</f>
        <v>0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1523.9543942423741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1406.5232973889265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0.76124741235375792</v>
      </c>
      <c r="R119" s="1">
        <v>88</v>
      </c>
      <c r="S119" s="1">
        <v>69</v>
      </c>
      <c r="T119" s="1">
        <v>0</v>
      </c>
      <c r="U119" s="1">
        <f>Games[[#This Row],[PointsFor]]-Games[[#This Row],[PointsAgainst]]</f>
        <v>19</v>
      </c>
      <c r="V119" s="1">
        <f>IF(Games[[#This Row],[MOV]]&gt;0,1,IF(Games[[#This Row],[MOV]]=0,0.5,0))</f>
        <v>1</v>
      </c>
      <c r="W119" s="4">
        <f>((ABS(Games[[#This Row],[MOV]])+5)^0.6)/(12+0.01*(ABS(Games[[#This Row],[PreGmRate]]-Games[[#This Row],[OppPreGmRate]])))*IF(Games[[#This Row],[OT]]=1,0.9,1)</f>
        <v>0.51097403794059992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9" s="9">
        <f>MAX(kmin, kmax - 0.15 * MIN(Games[[#This Row],[GamesPlayed]], 82))</f>
        <v>74.5</v>
      </c>
      <c r="Z119" s="4">
        <f>Games[[#This Row],[K]]*Games[[#This Row],[POMult]]</f>
        <v>74.5</v>
      </c>
      <c r="AA119" s="4">
        <f>(Games[[#This Row],[Keff]]*Games[[#This Row],[MOVMult]])*(Games[[#This Row],[Result]]-Games[[#This Row],[ExpectedWin%]])</f>
        <v>9.0887298464883646</v>
      </c>
      <c r="AB119" s="4">
        <f>Games[[#This Row],[PreGmRate]]+Games[[#This Row],[RatingChange]]</f>
        <v>1533.0431240888624</v>
      </c>
      <c r="AC119" s="2">
        <f>IF(Games[[#This Row],[Type]]="R",IF(Games[[#This Row],[Result]]&gt;0.5,1,0),0)</f>
        <v>1</v>
      </c>
      <c r="AD119" s="2">
        <f>IF(Games[[#This Row],[Type]]="R",IF(Games[[#This Row],[Result]]&lt;0.5,1,0),0)</f>
        <v>0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45094</v>
      </c>
      <c r="B120" s="2">
        <v>2023</v>
      </c>
      <c r="C120" s="2">
        <f>COUNTIFS(Games[Team],Games[[#This Row],[Team]],Games[Season],Games[[#This Row],[Season]],Games[Date],"&lt;=" &amp; Games[[#This Row],[Date]])</f>
        <v>10</v>
      </c>
      <c r="D120" s="2" t="s">
        <v>79</v>
      </c>
      <c r="E120" s="2" t="s">
        <v>80</v>
      </c>
      <c r="F120" s="1" t="s">
        <v>71</v>
      </c>
      <c r="G120" s="1" t="s">
        <v>85</v>
      </c>
      <c r="H120" s="1" t="s">
        <v>81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0" s="2">
        <f>Games[[#This Row],[DaysOff]]-Games[[#This Row],[OppDaysOff]]</f>
        <v>-1</v>
      </c>
      <c r="L120" s="2">
        <f>Games[[#This Row],[OppDaysOff]]-Games[[#This Row],[DaysOff]]</f>
        <v>1</v>
      </c>
      <c r="M120" s="1">
        <f>MAX(-16, MIN(16, Games[[#This Row],[RestDiff]]*8))</f>
        <v>-8</v>
      </c>
      <c r="N120" s="1">
        <f>MAX(-16, MIN(16, Games[[#This Row],[OppRestDiff]]*8))</f>
        <v>8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1466.2122128379401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1485.7165543873518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0.33449542978560926</v>
      </c>
      <c r="R120" s="1">
        <v>109</v>
      </c>
      <c r="S120" s="1">
        <v>103</v>
      </c>
      <c r="T120" s="1">
        <v>0</v>
      </c>
      <c r="U120" s="1">
        <f>Games[[#This Row],[PointsFor]]-Games[[#This Row],[PointsAgainst]]</f>
        <v>6</v>
      </c>
      <c r="V120" s="1">
        <f>IF(Games[[#This Row],[MOV]]&gt;0,1,IF(Games[[#This Row],[MOV]]=0,0.5,0))</f>
        <v>1</v>
      </c>
      <c r="W120" s="4">
        <f>((ABS(Games[[#This Row],[MOV]])+5)^0.6)/(12+0.01*(ABS(Games[[#This Row],[PreGmRate]]-Games[[#This Row],[OppPreGmRate]])))*IF(Games[[#This Row],[OT]]=1,0.9,1)</f>
        <v>0.34566249495562801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0" s="9">
        <f>MAX(kmin, kmax - 0.15 * MIN(Games[[#This Row],[GamesPlayed]], 82))</f>
        <v>74.5</v>
      </c>
      <c r="Z120" s="4">
        <f>Games[[#This Row],[K]]*Games[[#This Row],[POMult]]</f>
        <v>74.5</v>
      </c>
      <c r="AA120" s="4">
        <f>(Games[[#This Row],[Keff]]*Games[[#This Row],[MOVMult]])*(Games[[#This Row],[Result]]-Games[[#This Row],[ExpectedWin%]])</f>
        <v>17.137977775778602</v>
      </c>
      <c r="AB120" s="4">
        <f>Games[[#This Row],[PreGmRate]]+Games[[#This Row],[RatingChange]]</f>
        <v>1483.3501906137187</v>
      </c>
      <c r="AC120" s="2">
        <f>IF(Games[[#This Row],[Type]]="R",IF(Games[[#This Row],[Result]]&gt;0.5,1,0),0)</f>
        <v>1</v>
      </c>
      <c r="AD120" s="2">
        <f>IF(Games[[#This Row],[Type]]="R",IF(Games[[#This Row],[Result]]&lt;0.5,1,0),0)</f>
        <v>0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45094</v>
      </c>
      <c r="B121" s="2">
        <v>2023</v>
      </c>
      <c r="C121" s="2">
        <f>COUNTIFS(Games[Team],Games[[#This Row],[Team]],Games[Season],Games[[#This Row],[Season]],Games[Date],"&lt;=" &amp; Games[[#This Row],[Date]])</f>
        <v>11</v>
      </c>
      <c r="D121" s="2" t="s">
        <v>79</v>
      </c>
      <c r="E121" s="2" t="s">
        <v>80</v>
      </c>
      <c r="F121" s="1" t="s">
        <v>85</v>
      </c>
      <c r="G121" s="1" t="s">
        <v>71</v>
      </c>
      <c r="H121" s="1" t="s">
        <v>82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1" s="2">
        <f>Games[[#This Row],[DaysOff]]-Games[[#This Row],[OppDaysOff]]</f>
        <v>1</v>
      </c>
      <c r="L121" s="2">
        <f>Games[[#This Row],[OppDaysOff]]-Games[[#This Row],[DaysOff]]</f>
        <v>-1</v>
      </c>
      <c r="M121" s="1">
        <f>MAX(-16, MIN(16, Games[[#This Row],[RestDiff]]*8))</f>
        <v>8</v>
      </c>
      <c r="N121" s="1">
        <f>MAX(-16, MIN(16, Games[[#This Row],[OppRestDiff]]*8))</f>
        <v>-8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1485.7165543873518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1466.2122128379401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0.66550457021439069</v>
      </c>
      <c r="R121" s="1">
        <v>103</v>
      </c>
      <c r="S121" s="1">
        <v>109</v>
      </c>
      <c r="T121" s="1">
        <v>0</v>
      </c>
      <c r="U121" s="1">
        <f>Games[[#This Row],[PointsFor]]-Games[[#This Row],[PointsAgainst]]</f>
        <v>-6</v>
      </c>
      <c r="V121" s="1">
        <f>IF(Games[[#This Row],[MOV]]&gt;0,1,IF(Games[[#This Row],[MOV]]=0,0.5,0))</f>
        <v>0</v>
      </c>
      <c r="W121" s="4">
        <f>((ABS(Games[[#This Row],[MOV]])+5)^0.6)/(12+0.01*(ABS(Games[[#This Row],[PreGmRate]]-Games[[#This Row],[OppPreGmRate]])))*IF(Games[[#This Row],[OT]]=1,0.9,1)</f>
        <v>0.34566249495562801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1" s="9">
        <f>MAX(kmin, kmax - 0.15 * MIN(Games[[#This Row],[GamesPlayed]], 82))</f>
        <v>74.349999999999994</v>
      </c>
      <c r="Z121" s="4">
        <f>Games[[#This Row],[K]]*Games[[#This Row],[POMult]]</f>
        <v>74.349999999999994</v>
      </c>
      <c r="AA121" s="4">
        <f>(Games[[#This Row],[Keff]]*Games[[#This Row],[MOVMult]])*(Games[[#This Row],[Result]]-Games[[#This Row],[ExpectedWin%]])</f>
        <v>-17.1034717802569</v>
      </c>
      <c r="AB121" s="4">
        <f>Games[[#This Row],[PreGmRate]]+Games[[#This Row],[RatingChange]]</f>
        <v>1468.6130826070948</v>
      </c>
      <c r="AC121" s="2">
        <f>IF(Games[[#This Row],[Type]]="R",IF(Games[[#This Row],[Result]]&gt;0.5,1,0),0)</f>
        <v>0</v>
      </c>
      <c r="AD121" s="2">
        <f>IF(Games[[#This Row],[Type]]="R",IF(Games[[#This Row],[Result]]&lt;0.5,1,0),0)</f>
        <v>1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45095</v>
      </c>
      <c r="B122" s="2">
        <v>2023</v>
      </c>
      <c r="C122" s="2">
        <f>COUNTIFS(Games[Team],Games[[#This Row],[Team]],Games[Season],Games[[#This Row],[Season]],Games[Date],"&lt;=" &amp; Games[[#This Row],[Date]])</f>
        <v>10</v>
      </c>
      <c r="D122" s="2" t="s">
        <v>79</v>
      </c>
      <c r="E122" s="2" t="s">
        <v>80</v>
      </c>
      <c r="F122" s="1" t="s">
        <v>77</v>
      </c>
      <c r="G122" s="1" t="s">
        <v>69</v>
      </c>
      <c r="H122" s="1" t="s">
        <v>81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2" s="2">
        <f>Games[[#This Row],[DaysOff]]-Games[[#This Row],[OppDaysOff]]</f>
        <v>0</v>
      </c>
      <c r="L122" s="2">
        <f>Games[[#This Row],[OppDaysOff]]-Games[[#This Row],[DaysOff]]</f>
        <v>0</v>
      </c>
      <c r="M122" s="1">
        <f>MAX(-16, MIN(16, Games[[#This Row],[RestDiff]]*8))</f>
        <v>0</v>
      </c>
      <c r="N122" s="1">
        <f>MAX(-16, MIN(16, Games[[#This Row],[OppRestDiff]]*8))</f>
        <v>0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1451.7863839656663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1392.9725315613373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0.46381757766456561</v>
      </c>
      <c r="R122" s="1">
        <v>100</v>
      </c>
      <c r="S122" s="1">
        <v>94</v>
      </c>
      <c r="T122" s="1">
        <v>0</v>
      </c>
      <c r="U122" s="1">
        <f>Games[[#This Row],[PointsFor]]-Games[[#This Row],[PointsAgainst]]</f>
        <v>6</v>
      </c>
      <c r="V122" s="1">
        <f>IF(Games[[#This Row],[MOV]]&gt;0,1,IF(Games[[#This Row],[MOV]]=0,0.5,0))</f>
        <v>1</v>
      </c>
      <c r="W122" s="4">
        <f>((ABS(Games[[#This Row],[MOV]])+5)^0.6)/(12+0.01*(ABS(Games[[#This Row],[PreGmRate]]-Games[[#This Row],[OppPreGmRate]])))*IF(Games[[#This Row],[OT]]=1,0.9,1)</f>
        <v>0.33486834650258757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2" s="9">
        <f>MAX(kmin, kmax - 0.15 * MIN(Games[[#This Row],[GamesPlayed]], 82))</f>
        <v>74.5</v>
      </c>
      <c r="Z122" s="4">
        <f>Games[[#This Row],[K]]*Games[[#This Row],[POMult]]</f>
        <v>74.5</v>
      </c>
      <c r="AA122" s="4">
        <f>(Games[[#This Row],[Keff]]*Games[[#This Row],[MOVMult]])*(Games[[#This Row],[Result]]-Games[[#This Row],[ExpectedWin%]])</f>
        <v>13.376513828745813</v>
      </c>
      <c r="AB122" s="4">
        <f>Games[[#This Row],[PreGmRate]]+Games[[#This Row],[RatingChange]]</f>
        <v>1465.1628977944122</v>
      </c>
      <c r="AC122" s="2">
        <f>IF(Games[[#This Row],[Type]]="R",IF(Games[[#This Row],[Result]]&gt;0.5,1,0),0)</f>
        <v>1</v>
      </c>
      <c r="AD122" s="2">
        <f>IF(Games[[#This Row],[Type]]="R",IF(Games[[#This Row],[Result]]&lt;0.5,1,0),0)</f>
        <v>0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45095</v>
      </c>
      <c r="B123" s="2">
        <v>2023</v>
      </c>
      <c r="C123" s="2">
        <f>COUNTIFS(Games[Team],Games[[#This Row],[Team]],Games[Season],Games[[#This Row],[Season]],Games[Date],"&lt;=" &amp; Games[[#This Row],[Date]])</f>
        <v>11</v>
      </c>
      <c r="D123" s="2" t="s">
        <v>79</v>
      </c>
      <c r="E123" s="2" t="s">
        <v>80</v>
      </c>
      <c r="F123" s="1" t="s">
        <v>69</v>
      </c>
      <c r="G123" s="1" t="s">
        <v>77</v>
      </c>
      <c r="H123" s="1" t="s">
        <v>82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3" s="2">
        <f>Games[[#This Row],[DaysOff]]-Games[[#This Row],[OppDaysOff]]</f>
        <v>0</v>
      </c>
      <c r="L123" s="2">
        <f>Games[[#This Row],[OppDaysOff]]-Games[[#This Row],[DaysOff]]</f>
        <v>0</v>
      </c>
      <c r="M123" s="1">
        <f>MAX(-16, MIN(16, Games[[#This Row],[RestDiff]]*8))</f>
        <v>0</v>
      </c>
      <c r="N123" s="1">
        <f>MAX(-16, MIN(16, Games[[#This Row],[OppRestDiff]]*8))</f>
        <v>0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1392.9725315613373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1451.7863839656663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0.53618242233543445</v>
      </c>
      <c r="R123" s="1">
        <v>94</v>
      </c>
      <c r="S123" s="1">
        <v>100</v>
      </c>
      <c r="T123" s="1">
        <v>0</v>
      </c>
      <c r="U123" s="1">
        <f>Games[[#This Row],[PointsFor]]-Games[[#This Row],[PointsAgainst]]</f>
        <v>-6</v>
      </c>
      <c r="V123" s="1">
        <f>IF(Games[[#This Row],[MOV]]&gt;0,1,IF(Games[[#This Row],[MOV]]=0,0.5,0))</f>
        <v>0</v>
      </c>
      <c r="W123" s="4">
        <f>((ABS(Games[[#This Row],[MOV]])+5)^0.6)/(12+0.01*(ABS(Games[[#This Row],[PreGmRate]]-Games[[#This Row],[OppPreGmRate]])))*IF(Games[[#This Row],[OT]]=1,0.9,1)</f>
        <v>0.33486834650258757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3" s="9">
        <f>MAX(kmin, kmax - 0.15 * MIN(Games[[#This Row],[GamesPlayed]], 82))</f>
        <v>74.349999999999994</v>
      </c>
      <c r="Z123" s="4">
        <f>Games[[#This Row],[K]]*Games[[#This Row],[POMult]]</f>
        <v>74.349999999999994</v>
      </c>
      <c r="AA123" s="4">
        <f>(Games[[#This Row],[Keff]]*Games[[#This Row],[MOVMult]])*(Games[[#This Row],[Result]]-Games[[#This Row],[ExpectedWin%]])</f>
        <v>-13.349581250567132</v>
      </c>
      <c r="AB123" s="4">
        <f>Games[[#This Row],[PreGmRate]]+Games[[#This Row],[RatingChange]]</f>
        <v>1379.6229503107702</v>
      </c>
      <c r="AC123" s="2">
        <f>IF(Games[[#This Row],[Type]]="R",IF(Games[[#This Row],[Result]]&gt;0.5,1,0),0)</f>
        <v>0</v>
      </c>
      <c r="AD123" s="2">
        <f>IF(Games[[#This Row],[Type]]="R",IF(Games[[#This Row],[Result]]&lt;0.5,1,0),0)</f>
        <v>1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45095</v>
      </c>
      <c r="B124" s="2">
        <v>2023</v>
      </c>
      <c r="C124" s="2">
        <f>COUNTIFS(Games[Team],Games[[#This Row],[Team]],Games[Season],Games[[#This Row],[Season]],Games[Date],"&lt;=" &amp; Games[[#This Row],[Date]])</f>
        <v>12</v>
      </c>
      <c r="D124" s="2" t="s">
        <v>79</v>
      </c>
      <c r="E124" s="2" t="s">
        <v>80</v>
      </c>
      <c r="F124" s="1" t="s">
        <v>74</v>
      </c>
      <c r="G124" s="1" t="s">
        <v>63</v>
      </c>
      <c r="H124" s="1" t="s">
        <v>81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4" s="2">
        <f>Games[[#This Row],[DaysOff]]-Games[[#This Row],[OppDaysOff]]</f>
        <v>1</v>
      </c>
      <c r="L124" s="2">
        <f>Games[[#This Row],[OppDaysOff]]-Games[[#This Row],[DaysOff]]</f>
        <v>-1</v>
      </c>
      <c r="M124" s="1">
        <f>MAX(-16, MIN(16, Games[[#This Row],[RestDiff]]*8))</f>
        <v>8</v>
      </c>
      <c r="N124" s="1">
        <f>MAX(-16, MIN(16, Games[[#This Row],[OppRestDiff]]*8))</f>
        <v>-8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1612.7693699070876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1471.1236628068061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0.60442537730605361</v>
      </c>
      <c r="R124" s="1">
        <v>83</v>
      </c>
      <c r="S124" s="1">
        <v>74</v>
      </c>
      <c r="T124" s="1">
        <v>0</v>
      </c>
      <c r="U124" s="1">
        <f>Games[[#This Row],[PointsFor]]-Games[[#This Row],[PointsAgainst]]</f>
        <v>9</v>
      </c>
      <c r="V124" s="1">
        <f>IF(Games[[#This Row],[MOV]]&gt;0,1,IF(Games[[#This Row],[MOV]]=0,0.5,0))</f>
        <v>1</v>
      </c>
      <c r="W124" s="4">
        <f>((ABS(Games[[#This Row],[MOV]])+5)^0.6)/(12+0.01*(ABS(Games[[#This Row],[PreGmRate]]-Games[[#This Row],[OppPreGmRate]])))*IF(Games[[#This Row],[OT]]=1,0.9,1)</f>
        <v>0.3631106409080308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4" s="9">
        <f>MAX(kmin, kmax - 0.15 * MIN(Games[[#This Row],[GamesPlayed]], 82))</f>
        <v>74.2</v>
      </c>
      <c r="Z124" s="4">
        <f>Games[[#This Row],[K]]*Games[[#This Row],[POMult]]</f>
        <v>74.2</v>
      </c>
      <c r="AA124" s="4">
        <f>(Games[[#This Row],[Keff]]*Games[[#This Row],[MOVMult]])*(Games[[#This Row],[Result]]-Games[[#This Row],[ExpectedWin%]])</f>
        <v>10.657891724182671</v>
      </c>
      <c r="AB124" s="4">
        <f>Games[[#This Row],[PreGmRate]]+Games[[#This Row],[RatingChange]]</f>
        <v>1623.4272616312703</v>
      </c>
      <c r="AC124" s="2">
        <f>IF(Games[[#This Row],[Type]]="R",IF(Games[[#This Row],[Result]]&gt;0.5,1,0),0)</f>
        <v>1</v>
      </c>
      <c r="AD124" s="2">
        <f>IF(Games[[#This Row],[Type]]="R",IF(Games[[#This Row],[Result]]&lt;0.5,1,0),0)</f>
        <v>0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45095</v>
      </c>
      <c r="B125" s="2">
        <v>2023</v>
      </c>
      <c r="C125" s="2">
        <f>COUNTIFS(Games[Team],Games[[#This Row],[Team]],Games[Season],Games[[#This Row],[Season]],Games[Date],"&lt;=" &amp; Games[[#This Row],[Date]])</f>
        <v>11</v>
      </c>
      <c r="D125" s="2" t="s">
        <v>79</v>
      </c>
      <c r="E125" s="2" t="s">
        <v>80</v>
      </c>
      <c r="F125" s="1" t="s">
        <v>63</v>
      </c>
      <c r="G125" s="1" t="s">
        <v>74</v>
      </c>
      <c r="H125" s="1" t="s">
        <v>82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5" s="2">
        <f>Games[[#This Row],[DaysOff]]-Games[[#This Row],[OppDaysOff]]</f>
        <v>-1</v>
      </c>
      <c r="L125" s="2">
        <f>Games[[#This Row],[OppDaysOff]]-Games[[#This Row],[DaysOff]]</f>
        <v>1</v>
      </c>
      <c r="M125" s="1">
        <f>MAX(-16, MIN(16, Games[[#This Row],[RestDiff]]*8))</f>
        <v>-8</v>
      </c>
      <c r="N125" s="1">
        <f>MAX(-16, MIN(16, Games[[#This Row],[OppRestDiff]]*8))</f>
        <v>8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1471.1236628068061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1612.7693699070876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0.39557462269394644</v>
      </c>
      <c r="R125" s="1">
        <v>74</v>
      </c>
      <c r="S125" s="1">
        <v>83</v>
      </c>
      <c r="T125" s="1">
        <v>0</v>
      </c>
      <c r="U125" s="1">
        <f>Games[[#This Row],[PointsFor]]-Games[[#This Row],[PointsAgainst]]</f>
        <v>-9</v>
      </c>
      <c r="V125" s="1">
        <f>IF(Games[[#This Row],[MOV]]&gt;0,1,IF(Games[[#This Row],[MOV]]=0,0.5,0))</f>
        <v>0</v>
      </c>
      <c r="W125" s="4">
        <f>((ABS(Games[[#This Row],[MOV]])+5)^0.6)/(12+0.01*(ABS(Games[[#This Row],[PreGmRate]]-Games[[#This Row],[OppPreGmRate]])))*IF(Games[[#This Row],[OT]]=1,0.9,1)</f>
        <v>0.3631106409080308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5" s="9">
        <f>MAX(kmin, kmax - 0.15 * MIN(Games[[#This Row],[GamesPlayed]], 82))</f>
        <v>74.349999999999994</v>
      </c>
      <c r="Z125" s="4">
        <f>Games[[#This Row],[K]]*Games[[#This Row],[POMult]]</f>
        <v>74.349999999999994</v>
      </c>
      <c r="AA125" s="4">
        <f>(Games[[#This Row],[Keff]]*Games[[#This Row],[MOVMult]])*(Games[[#This Row],[Result]]-Games[[#This Row],[ExpectedWin%]])</f>
        <v>-10.679437327398674</v>
      </c>
      <c r="AB125" s="4">
        <f>Games[[#This Row],[PreGmRate]]+Games[[#This Row],[RatingChange]]</f>
        <v>1460.4442254794074</v>
      </c>
      <c r="AC125" s="2">
        <f>IF(Games[[#This Row],[Type]]="R",IF(Games[[#This Row],[Result]]&gt;0.5,1,0),0)</f>
        <v>0</v>
      </c>
      <c r="AD125" s="2">
        <f>IF(Games[[#This Row],[Type]]="R",IF(Games[[#This Row],[Result]]&lt;0.5,1,0),0)</f>
        <v>1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45095</v>
      </c>
      <c r="B126" s="2">
        <v>2023</v>
      </c>
      <c r="C126" s="2">
        <f>COUNTIFS(Games[Team],Games[[#This Row],[Team]],Games[Season],Games[[#This Row],[Season]],Games[Date],"&lt;=" &amp; Games[[#This Row],[Date]])</f>
        <v>11</v>
      </c>
      <c r="D126" s="2" t="s">
        <v>79</v>
      </c>
      <c r="E126" s="2" t="s">
        <v>80</v>
      </c>
      <c r="F126" s="1" t="s">
        <v>67</v>
      </c>
      <c r="G126" s="1" t="s">
        <v>86</v>
      </c>
      <c r="H126" s="1" t="s">
        <v>81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6" s="2">
        <f>Games[[#This Row],[DaysOff]]-Games[[#This Row],[OppDaysOff]]</f>
        <v>-1</v>
      </c>
      <c r="L126" s="2">
        <f>Games[[#This Row],[OppDaysOff]]-Games[[#This Row],[DaysOff]]</f>
        <v>1</v>
      </c>
      <c r="M126" s="1">
        <f>MAX(-16, MIN(16, Games[[#This Row],[RestDiff]]*8))</f>
        <v>-8</v>
      </c>
      <c r="N126" s="1">
        <f>MAX(-16, MIN(16, Games[[#This Row],[OppRestDiff]]*8))</f>
        <v>8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1449.7546764518524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1682.4728446749698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0.12838886234067221</v>
      </c>
      <c r="R126" s="1">
        <v>62</v>
      </c>
      <c r="S126" s="1">
        <v>93</v>
      </c>
      <c r="T126" s="1">
        <v>0</v>
      </c>
      <c r="U126" s="1">
        <f>Games[[#This Row],[PointsFor]]-Games[[#This Row],[PointsAgainst]]</f>
        <v>-31</v>
      </c>
      <c r="V126" s="1">
        <f>IF(Games[[#This Row],[MOV]]&gt;0,1,IF(Games[[#This Row],[MOV]]=0,0.5,0))</f>
        <v>0</v>
      </c>
      <c r="W126" s="4">
        <f>((ABS(Games[[#This Row],[MOV]])+5)^0.6)/(12+0.01*(ABS(Games[[#This Row],[PreGmRate]]-Games[[#This Row],[OppPreGmRate]])))*IF(Games[[#This Row],[OT]]=1,0.9,1)</f>
        <v>0.59926750962332043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6" s="9">
        <f>MAX(kmin, kmax - 0.15 * MIN(Games[[#This Row],[GamesPlayed]], 82))</f>
        <v>74.349999999999994</v>
      </c>
      <c r="Z126" s="4">
        <f>Games[[#This Row],[K]]*Games[[#This Row],[POMult]]</f>
        <v>74.349999999999994</v>
      </c>
      <c r="AA126" s="4">
        <f>(Games[[#This Row],[Keff]]*Games[[#This Row],[MOVMult]])*(Games[[#This Row],[Result]]-Games[[#This Row],[ExpectedWin%]])</f>
        <v>-5.7204350069010728</v>
      </c>
      <c r="AB126" s="4">
        <f>Games[[#This Row],[PreGmRate]]+Games[[#This Row],[RatingChange]]</f>
        <v>1444.0342414449515</v>
      </c>
      <c r="AC126" s="2">
        <f>IF(Games[[#This Row],[Type]]="R",IF(Games[[#This Row],[Result]]&gt;0.5,1,0),0)</f>
        <v>0</v>
      </c>
      <c r="AD126" s="2">
        <f>IF(Games[[#This Row],[Type]]="R",IF(Games[[#This Row],[Result]]&lt;0.5,1,0),0)</f>
        <v>1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45095</v>
      </c>
      <c r="B127" s="2">
        <v>2023</v>
      </c>
      <c r="C127" s="2">
        <f>COUNTIFS(Games[Team],Games[[#This Row],[Team]],Games[Season],Games[[#This Row],[Season]],Games[Date],"&lt;=" &amp; Games[[#This Row],[Date]])</f>
        <v>11</v>
      </c>
      <c r="D127" s="2" t="s">
        <v>79</v>
      </c>
      <c r="E127" s="2" t="s">
        <v>80</v>
      </c>
      <c r="F127" s="1" t="s">
        <v>86</v>
      </c>
      <c r="G127" s="1" t="s">
        <v>67</v>
      </c>
      <c r="H127" s="1" t="s">
        <v>82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7" s="2">
        <f>Games[[#This Row],[DaysOff]]-Games[[#This Row],[OppDaysOff]]</f>
        <v>1</v>
      </c>
      <c r="L127" s="2">
        <f>Games[[#This Row],[OppDaysOff]]-Games[[#This Row],[DaysOff]]</f>
        <v>-1</v>
      </c>
      <c r="M127" s="1">
        <f>MAX(-16, MIN(16, Games[[#This Row],[RestDiff]]*8))</f>
        <v>8</v>
      </c>
      <c r="N127" s="1">
        <f>MAX(-16, MIN(16, Games[[#This Row],[OppRestDiff]]*8))</f>
        <v>-8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1682.4728446749698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1449.7546764518524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0.87161113765932785</v>
      </c>
      <c r="R127" s="1">
        <v>93</v>
      </c>
      <c r="S127" s="1">
        <v>62</v>
      </c>
      <c r="T127" s="1">
        <v>0</v>
      </c>
      <c r="U127" s="1">
        <f>Games[[#This Row],[PointsFor]]-Games[[#This Row],[PointsAgainst]]</f>
        <v>31</v>
      </c>
      <c r="V127" s="1">
        <f>IF(Games[[#This Row],[MOV]]&gt;0,1,IF(Games[[#This Row],[MOV]]=0,0.5,0))</f>
        <v>1</v>
      </c>
      <c r="W127" s="4">
        <f>((ABS(Games[[#This Row],[MOV]])+5)^0.6)/(12+0.01*(ABS(Games[[#This Row],[PreGmRate]]-Games[[#This Row],[OppPreGmRate]])))*IF(Games[[#This Row],[OT]]=1,0.9,1)</f>
        <v>0.59926750962332043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7" s="9">
        <f>MAX(kmin, kmax - 0.15 * MIN(Games[[#This Row],[GamesPlayed]], 82))</f>
        <v>74.349999999999994</v>
      </c>
      <c r="Z127" s="4">
        <f>Games[[#This Row],[K]]*Games[[#This Row],[POMult]]</f>
        <v>74.349999999999994</v>
      </c>
      <c r="AA127" s="4">
        <f>(Games[[#This Row],[Keff]]*Games[[#This Row],[MOVMult]])*(Games[[#This Row],[Result]]-Games[[#This Row],[ExpectedWin%]])</f>
        <v>5.7204350069010701</v>
      </c>
      <c r="AB127" s="4">
        <f>Games[[#This Row],[PreGmRate]]+Games[[#This Row],[RatingChange]]</f>
        <v>1688.1932796818708</v>
      </c>
      <c r="AC127" s="2">
        <f>IF(Games[[#This Row],[Type]]="R",IF(Games[[#This Row],[Result]]&gt;0.5,1,0),0)</f>
        <v>1</v>
      </c>
      <c r="AD127" s="2">
        <f>IF(Games[[#This Row],[Type]]="R",IF(Games[[#This Row],[Result]]&lt;0.5,1,0),0)</f>
        <v>0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45095</v>
      </c>
      <c r="B128" s="2">
        <v>2023</v>
      </c>
      <c r="C128" s="2">
        <f>COUNTIFS(Games[Team],Games[[#This Row],[Team]],Games[Season],Games[[#This Row],[Season]],Games[Date],"&lt;=" &amp; Games[[#This Row],[Date]])</f>
        <v>10</v>
      </c>
      <c r="D128" s="2" t="s">
        <v>79</v>
      </c>
      <c r="E128" s="2" t="s">
        <v>80</v>
      </c>
      <c r="F128" s="1" t="s">
        <v>40</v>
      </c>
      <c r="G128" s="1" t="s">
        <v>60</v>
      </c>
      <c r="H128" s="1" t="s">
        <v>81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28" s="2">
        <f>Games[[#This Row],[DaysOff]]-Games[[#This Row],[OppDaysOff]]</f>
        <v>-3</v>
      </c>
      <c r="L128" s="2">
        <f>Games[[#This Row],[OppDaysOff]]-Games[[#This Row],[DaysOff]]</f>
        <v>3</v>
      </c>
      <c r="M128" s="1">
        <f>MAX(-16, MIN(16, Games[[#This Row],[RestDiff]]*8))</f>
        <v>-16</v>
      </c>
      <c r="N128" s="1">
        <f>MAX(-16, MIN(16, Games[[#This Row],[OppRestDiff]]*8))</f>
        <v>16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1397.4162680863715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1532.6126513965407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0.19061752929343284</v>
      </c>
      <c r="R128" s="1">
        <v>71</v>
      </c>
      <c r="S128" s="1">
        <v>89</v>
      </c>
      <c r="T128" s="1">
        <v>0</v>
      </c>
      <c r="U128" s="1">
        <f>Games[[#This Row],[PointsFor]]-Games[[#This Row],[PointsAgainst]]</f>
        <v>-18</v>
      </c>
      <c r="V128" s="1">
        <f>IF(Games[[#This Row],[MOV]]&gt;0,1,IF(Games[[#This Row],[MOV]]=0,0.5,0))</f>
        <v>0</v>
      </c>
      <c r="W128" s="4">
        <f>((ABS(Games[[#This Row],[MOV]])+5)^0.6)/(12+0.01*(ABS(Games[[#This Row],[PreGmRate]]-Games[[#This Row],[OppPreGmRate]])))*IF(Games[[#This Row],[OT]]=1,0.9,1)</f>
        <v>0.49146382266611377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8" s="9">
        <f>MAX(kmin, kmax - 0.15 * MIN(Games[[#This Row],[GamesPlayed]], 82))</f>
        <v>74.5</v>
      </c>
      <c r="Z128" s="4">
        <f>Games[[#This Row],[K]]*Games[[#This Row],[POMult]]</f>
        <v>74.5</v>
      </c>
      <c r="AA128" s="4">
        <f>(Games[[#This Row],[Keff]]*Games[[#This Row],[MOVMult]])*(Games[[#This Row],[Result]]-Games[[#This Row],[ExpectedWin%]])</f>
        <v>-6.9792806612221714</v>
      </c>
      <c r="AB128" s="4">
        <f>Games[[#This Row],[PreGmRate]]+Games[[#This Row],[RatingChange]]</f>
        <v>1390.4369874251493</v>
      </c>
      <c r="AC128" s="2">
        <f>IF(Games[[#This Row],[Type]]="R",IF(Games[[#This Row],[Result]]&gt;0.5,1,0),0)</f>
        <v>0</v>
      </c>
      <c r="AD128" s="2">
        <f>IF(Games[[#This Row],[Type]]="R",IF(Games[[#This Row],[Result]]&lt;0.5,1,0),0)</f>
        <v>1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45095</v>
      </c>
      <c r="B129" s="2">
        <v>2023</v>
      </c>
      <c r="C129" s="2">
        <f>COUNTIFS(Games[Team],Games[[#This Row],[Team]],Games[Season],Games[[#This Row],[Season]],Games[Date],"&lt;=" &amp; Games[[#This Row],[Date]])</f>
        <v>10</v>
      </c>
      <c r="D129" s="2" t="s">
        <v>79</v>
      </c>
      <c r="E129" s="2" t="s">
        <v>80</v>
      </c>
      <c r="F129" s="1" t="s">
        <v>60</v>
      </c>
      <c r="G129" s="1" t="s">
        <v>40</v>
      </c>
      <c r="H129" s="1" t="s">
        <v>82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4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9" s="2">
        <f>Games[[#This Row],[DaysOff]]-Games[[#This Row],[OppDaysOff]]</f>
        <v>3</v>
      </c>
      <c r="L129" s="2">
        <f>Games[[#This Row],[OppDaysOff]]-Games[[#This Row],[DaysOff]]</f>
        <v>-3</v>
      </c>
      <c r="M129" s="1">
        <f>MAX(-16, MIN(16, Games[[#This Row],[RestDiff]]*8))</f>
        <v>16</v>
      </c>
      <c r="N129" s="1">
        <f>MAX(-16, MIN(16, Games[[#This Row],[OppRestDiff]]*8))</f>
        <v>-16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1532.6126513965407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1397.4162680863715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0.8093824707065671</v>
      </c>
      <c r="R129" s="1">
        <v>89</v>
      </c>
      <c r="S129" s="1">
        <v>71</v>
      </c>
      <c r="T129" s="1">
        <v>0</v>
      </c>
      <c r="U129" s="1">
        <f>Games[[#This Row],[PointsFor]]-Games[[#This Row],[PointsAgainst]]</f>
        <v>18</v>
      </c>
      <c r="V129" s="1">
        <f>IF(Games[[#This Row],[MOV]]&gt;0,1,IF(Games[[#This Row],[MOV]]=0,0.5,0))</f>
        <v>1</v>
      </c>
      <c r="W129" s="4">
        <f>((ABS(Games[[#This Row],[MOV]])+5)^0.6)/(12+0.01*(ABS(Games[[#This Row],[PreGmRate]]-Games[[#This Row],[OppPreGmRate]])))*IF(Games[[#This Row],[OT]]=1,0.9,1)</f>
        <v>0.49146382266611377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9" s="9">
        <f>MAX(kmin, kmax - 0.15 * MIN(Games[[#This Row],[GamesPlayed]], 82))</f>
        <v>74.5</v>
      </c>
      <c r="Z129" s="4">
        <f>Games[[#This Row],[K]]*Games[[#This Row],[POMult]]</f>
        <v>74.5</v>
      </c>
      <c r="AA129" s="4">
        <f>(Games[[#This Row],[Keff]]*Games[[#This Row],[MOVMult]])*(Games[[#This Row],[Result]]-Games[[#This Row],[ExpectedWin%]])</f>
        <v>6.9792806612221732</v>
      </c>
      <c r="AB129" s="4">
        <f>Games[[#This Row],[PreGmRate]]+Games[[#This Row],[RatingChange]]</f>
        <v>1539.591932057763</v>
      </c>
      <c r="AC129" s="2">
        <f>IF(Games[[#This Row],[Type]]="R",IF(Games[[#This Row],[Result]]&gt;0.5,1,0),0)</f>
        <v>1</v>
      </c>
      <c r="AD129" s="2">
        <f>IF(Games[[#This Row],[Type]]="R",IF(Games[[#This Row],[Result]]&lt;0.5,1,0),0)</f>
        <v>0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45095</v>
      </c>
      <c r="B130" s="2">
        <v>2023</v>
      </c>
      <c r="C130" s="2">
        <f>COUNTIFS(Games[Team],Games[[#This Row],[Team]],Games[Season],Games[[#This Row],[Season]],Games[Date],"&lt;=" &amp; Games[[#This Row],[Date]])</f>
        <v>12</v>
      </c>
      <c r="D130" s="2" t="s">
        <v>79</v>
      </c>
      <c r="E130" s="2" t="s">
        <v>80</v>
      </c>
      <c r="F130" s="1" t="s">
        <v>75</v>
      </c>
      <c r="G130" s="1" t="s">
        <v>65</v>
      </c>
      <c r="H130" s="1" t="s">
        <v>81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0" s="2">
        <f>Games[[#This Row],[DaysOff]]-Games[[#This Row],[OppDaysOff]]</f>
        <v>1</v>
      </c>
      <c r="L130" s="2">
        <f>Games[[#This Row],[OppDaysOff]]-Games[[#This Row],[DaysOff]]</f>
        <v>-1</v>
      </c>
      <c r="M130" s="1">
        <f>MAX(-16, MIN(16, Games[[#This Row],[RestDiff]]*8))</f>
        <v>8</v>
      </c>
      <c r="N130" s="1">
        <f>MAX(-16, MIN(16, Games[[#This Row],[OppRestDiff]]*8))</f>
        <v>-8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1524.4428321953897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1533.0431240888624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0.3915154066336583</v>
      </c>
      <c r="R130" s="1">
        <v>69</v>
      </c>
      <c r="S130" s="1">
        <v>77</v>
      </c>
      <c r="T130" s="1">
        <v>0</v>
      </c>
      <c r="U130" s="1">
        <f>Games[[#This Row],[PointsFor]]-Games[[#This Row],[PointsAgainst]]</f>
        <v>-8</v>
      </c>
      <c r="V130" s="1">
        <f>IF(Games[[#This Row],[MOV]]&gt;0,1,IF(Games[[#This Row],[MOV]]=0,0.5,0))</f>
        <v>0</v>
      </c>
      <c r="W130" s="4">
        <f>((ABS(Games[[#This Row],[MOV]])+5)^0.6)/(12+0.01*(ABS(Games[[#This Row],[PreGmRate]]-Games[[#This Row],[OppPreGmRate]])))*IF(Games[[#This Row],[OT]]=1,0.9,1)</f>
        <v>0.38555231628611786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0" s="9">
        <f>MAX(kmin, kmax - 0.15 * MIN(Games[[#This Row],[GamesPlayed]], 82))</f>
        <v>74.2</v>
      </c>
      <c r="Z130" s="4">
        <f>Games[[#This Row],[K]]*Games[[#This Row],[POMult]]</f>
        <v>74.2</v>
      </c>
      <c r="AA130" s="4">
        <f>(Games[[#This Row],[Keff]]*Games[[#This Row],[MOVMult]])*(Games[[#This Row],[Result]]-Games[[#This Row],[ExpectedWin%]])</f>
        <v>-11.200465654186674</v>
      </c>
      <c r="AB130" s="4">
        <f>Games[[#This Row],[PreGmRate]]+Games[[#This Row],[RatingChange]]</f>
        <v>1513.242366541203</v>
      </c>
      <c r="AC130" s="2">
        <f>IF(Games[[#This Row],[Type]]="R",IF(Games[[#This Row],[Result]]&gt;0.5,1,0),0)</f>
        <v>0</v>
      </c>
      <c r="AD130" s="2">
        <f>IF(Games[[#This Row],[Type]]="R",IF(Games[[#This Row],[Result]]&lt;0.5,1,0),0)</f>
        <v>1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45095</v>
      </c>
      <c r="B131" s="2">
        <v>2023</v>
      </c>
      <c r="C131" s="2">
        <f>COUNTIFS(Games[Team],Games[[#This Row],[Team]],Games[Season],Games[[#This Row],[Season]],Games[Date],"&lt;=" &amp; Games[[#This Row],[Date]])</f>
        <v>11</v>
      </c>
      <c r="D131" s="2" t="s">
        <v>79</v>
      </c>
      <c r="E131" s="2" t="s">
        <v>80</v>
      </c>
      <c r="F131" s="1" t="s">
        <v>65</v>
      </c>
      <c r="G131" s="1" t="s">
        <v>75</v>
      </c>
      <c r="H131" s="1" t="s">
        <v>82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1" s="2">
        <f>Games[[#This Row],[DaysOff]]-Games[[#This Row],[OppDaysOff]]</f>
        <v>-1</v>
      </c>
      <c r="L131" s="2">
        <f>Games[[#This Row],[OppDaysOff]]-Games[[#This Row],[DaysOff]]</f>
        <v>1</v>
      </c>
      <c r="M131" s="1">
        <f>MAX(-16, MIN(16, Games[[#This Row],[RestDiff]]*8))</f>
        <v>-8</v>
      </c>
      <c r="N131" s="1">
        <f>MAX(-16, MIN(16, Games[[#This Row],[OppRestDiff]]*8))</f>
        <v>8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1533.0431240888624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1524.4428321953897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0.60848459336634164</v>
      </c>
      <c r="R131" s="1">
        <v>77</v>
      </c>
      <c r="S131" s="1">
        <v>69</v>
      </c>
      <c r="T131" s="1">
        <v>0</v>
      </c>
      <c r="U131" s="1">
        <f>Games[[#This Row],[PointsFor]]-Games[[#This Row],[PointsAgainst]]</f>
        <v>8</v>
      </c>
      <c r="V131" s="1">
        <f>IF(Games[[#This Row],[MOV]]&gt;0,1,IF(Games[[#This Row],[MOV]]=0,0.5,0))</f>
        <v>1</v>
      </c>
      <c r="W131" s="4">
        <f>((ABS(Games[[#This Row],[MOV]])+5)^0.6)/(12+0.01*(ABS(Games[[#This Row],[PreGmRate]]-Games[[#This Row],[OppPreGmRate]])))*IF(Games[[#This Row],[OT]]=1,0.9,1)</f>
        <v>0.38555231628611786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1" s="9">
        <f>MAX(kmin, kmax - 0.15 * MIN(Games[[#This Row],[GamesPlayed]], 82))</f>
        <v>74.349999999999994</v>
      </c>
      <c r="Z131" s="4">
        <f>Games[[#This Row],[K]]*Games[[#This Row],[POMult]]</f>
        <v>74.349999999999994</v>
      </c>
      <c r="AA131" s="4">
        <f>(Games[[#This Row],[Keff]]*Games[[#This Row],[MOVMult]])*(Games[[#This Row],[Result]]-Games[[#This Row],[ExpectedWin%]])</f>
        <v>11.22310810497007</v>
      </c>
      <c r="AB131" s="4">
        <f>Games[[#This Row],[PreGmRate]]+Games[[#This Row],[RatingChange]]</f>
        <v>1544.2662321938326</v>
      </c>
      <c r="AC131" s="2">
        <f>IF(Games[[#This Row],[Type]]="R",IF(Games[[#This Row],[Result]]&gt;0.5,1,0),0)</f>
        <v>1</v>
      </c>
      <c r="AD131" s="2">
        <f>IF(Games[[#This Row],[Type]]="R",IF(Games[[#This Row],[Result]]&lt;0.5,1,0),0)</f>
        <v>0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45097</v>
      </c>
      <c r="B132" s="2">
        <v>2023</v>
      </c>
      <c r="C132" s="2">
        <f>COUNTIFS(Games[Team],Games[[#This Row],[Team]],Games[Season],Games[[#This Row],[Season]],Games[Date],"&lt;=" &amp; Games[[#This Row],[Date]])</f>
        <v>11</v>
      </c>
      <c r="D132" s="2" t="s">
        <v>79</v>
      </c>
      <c r="E132" s="2" t="s">
        <v>80</v>
      </c>
      <c r="F132" s="1" t="s">
        <v>77</v>
      </c>
      <c r="G132" s="1" t="s">
        <v>85</v>
      </c>
      <c r="H132" s="1" t="s">
        <v>81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2" s="2">
        <f>Games[[#This Row],[DaysOff]]-Games[[#This Row],[OppDaysOff]]</f>
        <v>-1</v>
      </c>
      <c r="L132" s="2">
        <f>Games[[#This Row],[OppDaysOff]]-Games[[#This Row],[DaysOff]]</f>
        <v>1</v>
      </c>
      <c r="M132" s="1">
        <f>MAX(-16, MIN(16, Games[[#This Row],[RestDiff]]*8))</f>
        <v>-8</v>
      </c>
      <c r="N132" s="1">
        <f>MAX(-16, MIN(16, Games[[#This Row],[OppRestDiff]]*8))</f>
        <v>8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1465.1628977944122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1468.6130826070948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0.35537226219376988</v>
      </c>
      <c r="R132" s="1">
        <v>73</v>
      </c>
      <c r="S132" s="1">
        <v>85</v>
      </c>
      <c r="T132" s="1">
        <v>0</v>
      </c>
      <c r="U132" s="1">
        <f>Games[[#This Row],[PointsFor]]-Games[[#This Row],[PointsAgainst]]</f>
        <v>-12</v>
      </c>
      <c r="V132" s="1">
        <f>IF(Games[[#This Row],[MOV]]&gt;0,1,IF(Games[[#This Row],[MOV]]=0,0.5,0))</f>
        <v>0</v>
      </c>
      <c r="W132" s="4">
        <f>((ABS(Games[[#This Row],[MOV]])+5)^0.6)/(12+0.01*(ABS(Games[[#This Row],[PreGmRate]]-Games[[#This Row],[OppPreGmRate]])))*IF(Games[[#This Row],[OT]]=1,0.9,1)</f>
        <v>0.45482176046783762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2" s="9">
        <f>MAX(kmin, kmax - 0.15 * MIN(Games[[#This Row],[GamesPlayed]], 82))</f>
        <v>74.349999999999994</v>
      </c>
      <c r="Z132" s="4">
        <f>Games[[#This Row],[K]]*Games[[#This Row],[POMult]]</f>
        <v>74.349999999999994</v>
      </c>
      <c r="AA132" s="4">
        <f>(Games[[#This Row],[Keff]]*Games[[#This Row],[MOVMult]])*(Games[[#This Row],[Result]]-Games[[#This Row],[ExpectedWin%]])</f>
        <v>-12.017267668787564</v>
      </c>
      <c r="AB132" s="4">
        <f>Games[[#This Row],[PreGmRate]]+Games[[#This Row],[RatingChange]]</f>
        <v>1453.1456301256246</v>
      </c>
      <c r="AC132" s="2">
        <f>IF(Games[[#This Row],[Type]]="R",IF(Games[[#This Row],[Result]]&gt;0.5,1,0),0)</f>
        <v>0</v>
      </c>
      <c r="AD132" s="2">
        <f>IF(Games[[#This Row],[Type]]="R",IF(Games[[#This Row],[Result]]&lt;0.5,1,0),0)</f>
        <v>1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45097</v>
      </c>
      <c r="B133" s="2">
        <v>2023</v>
      </c>
      <c r="C133" s="2">
        <f>COUNTIFS(Games[Team],Games[[#This Row],[Team]],Games[Season],Games[[#This Row],[Season]],Games[Date],"&lt;=" &amp; Games[[#This Row],[Date]])</f>
        <v>12</v>
      </c>
      <c r="D133" s="2" t="s">
        <v>79</v>
      </c>
      <c r="E133" s="2" t="s">
        <v>80</v>
      </c>
      <c r="F133" s="1" t="s">
        <v>85</v>
      </c>
      <c r="G133" s="1" t="s">
        <v>77</v>
      </c>
      <c r="H133" s="1" t="s">
        <v>82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3" s="2">
        <f>Games[[#This Row],[DaysOff]]-Games[[#This Row],[OppDaysOff]]</f>
        <v>1</v>
      </c>
      <c r="L133" s="2">
        <f>Games[[#This Row],[OppDaysOff]]-Games[[#This Row],[DaysOff]]</f>
        <v>-1</v>
      </c>
      <c r="M133" s="1">
        <f>MAX(-16, MIN(16, Games[[#This Row],[RestDiff]]*8))</f>
        <v>8</v>
      </c>
      <c r="N133" s="1">
        <f>MAX(-16, MIN(16, Games[[#This Row],[OppRestDiff]]*8))</f>
        <v>-8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1468.6130826070948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1465.1628977944122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0.64462773780623017</v>
      </c>
      <c r="R133" s="1">
        <v>85</v>
      </c>
      <c r="S133" s="1">
        <v>73</v>
      </c>
      <c r="T133" s="1">
        <v>0</v>
      </c>
      <c r="U133" s="1">
        <f>Games[[#This Row],[PointsFor]]-Games[[#This Row],[PointsAgainst]]</f>
        <v>12</v>
      </c>
      <c r="V133" s="1">
        <f>IF(Games[[#This Row],[MOV]]&gt;0,1,IF(Games[[#This Row],[MOV]]=0,0.5,0))</f>
        <v>1</v>
      </c>
      <c r="W133" s="4">
        <f>((ABS(Games[[#This Row],[MOV]])+5)^0.6)/(12+0.01*(ABS(Games[[#This Row],[PreGmRate]]-Games[[#This Row],[OppPreGmRate]])))*IF(Games[[#This Row],[OT]]=1,0.9,1)</f>
        <v>0.45482176046783762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3" s="9">
        <f>MAX(kmin, kmax - 0.15 * MIN(Games[[#This Row],[GamesPlayed]], 82))</f>
        <v>74.2</v>
      </c>
      <c r="Z133" s="4">
        <f>Games[[#This Row],[K]]*Games[[#This Row],[POMult]]</f>
        <v>74.2</v>
      </c>
      <c r="AA133" s="4">
        <f>(Games[[#This Row],[Keff]]*Games[[#This Row],[MOVMult]])*(Games[[#This Row],[Result]]-Games[[#This Row],[ExpectedWin%]])</f>
        <v>11.9930230131007</v>
      </c>
      <c r="AB133" s="4">
        <f>Games[[#This Row],[PreGmRate]]+Games[[#This Row],[RatingChange]]</f>
        <v>1480.6061056201956</v>
      </c>
      <c r="AC133" s="2">
        <f>IF(Games[[#This Row],[Type]]="R",IF(Games[[#This Row],[Result]]&gt;0.5,1,0),0)</f>
        <v>1</v>
      </c>
      <c r="AD133" s="2">
        <f>IF(Games[[#This Row],[Type]]="R",IF(Games[[#This Row],[Result]]&lt;0.5,1,0),0)</f>
        <v>0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45097</v>
      </c>
      <c r="B134" s="2">
        <v>2023</v>
      </c>
      <c r="C134" s="2">
        <f>COUNTIFS(Games[Team],Games[[#This Row],[Team]],Games[Season],Games[[#This Row],[Season]],Games[Date],"&lt;=" &amp; Games[[#This Row],[Date]])</f>
        <v>12</v>
      </c>
      <c r="D134" s="2" t="s">
        <v>79</v>
      </c>
      <c r="E134" s="2" t="s">
        <v>80</v>
      </c>
      <c r="F134" s="1" t="s">
        <v>67</v>
      </c>
      <c r="G134" s="1" t="s">
        <v>63</v>
      </c>
      <c r="H134" s="1" t="s">
        <v>81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4" s="2">
        <f>Games[[#This Row],[DaysOff]]-Games[[#This Row],[OppDaysOff]]</f>
        <v>0</v>
      </c>
      <c r="L134" s="2">
        <f>Games[[#This Row],[OppDaysOff]]-Games[[#This Row],[DaysOff]]</f>
        <v>0</v>
      </c>
      <c r="M134" s="1">
        <f>MAX(-16, MIN(16, Games[[#This Row],[RestDiff]]*8))</f>
        <v>0</v>
      </c>
      <c r="N134" s="1">
        <f>MAX(-16, MIN(16, Games[[#This Row],[OppRestDiff]]*8))</f>
        <v>0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1444.0342414449515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1460.4442254794074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0.35939146576321351</v>
      </c>
      <c r="R134" s="1">
        <v>67</v>
      </c>
      <c r="S134" s="1">
        <v>61</v>
      </c>
      <c r="T134" s="1">
        <v>0</v>
      </c>
      <c r="U134" s="1">
        <f>Games[[#This Row],[PointsFor]]-Games[[#This Row],[PointsAgainst]]</f>
        <v>6</v>
      </c>
      <c r="V134" s="1">
        <f>IF(Games[[#This Row],[MOV]]&gt;0,1,IF(Games[[#This Row],[MOV]]=0,0.5,0))</f>
        <v>1</v>
      </c>
      <c r="W134" s="4">
        <f>((ABS(Games[[#This Row],[MOV]])+5)^0.6)/(12+0.01*(ABS(Games[[#This Row],[PreGmRate]]-Games[[#This Row],[OppPreGmRate]])))*IF(Games[[#This Row],[OT]]=1,0.9,1)</f>
        <v>0.34654180649774213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4" s="9">
        <f>MAX(kmin, kmax - 0.15 * MIN(Games[[#This Row],[GamesPlayed]], 82))</f>
        <v>74.2</v>
      </c>
      <c r="Z134" s="4">
        <f>Games[[#This Row],[K]]*Games[[#This Row],[POMult]]</f>
        <v>74.2</v>
      </c>
      <c r="AA134" s="4">
        <f>(Games[[#This Row],[Keff]]*Games[[#This Row],[MOVMult]])*(Games[[#This Row],[Result]]-Games[[#This Row],[ExpectedWin%]])</f>
        <v>16.472224792451673</v>
      </c>
      <c r="AB134" s="4">
        <f>Games[[#This Row],[PreGmRate]]+Games[[#This Row],[RatingChange]]</f>
        <v>1460.5064662374032</v>
      </c>
      <c r="AC134" s="2">
        <f>IF(Games[[#This Row],[Type]]="R",IF(Games[[#This Row],[Result]]&gt;0.5,1,0),0)</f>
        <v>1</v>
      </c>
      <c r="AD134" s="2">
        <f>IF(Games[[#This Row],[Type]]="R",IF(Games[[#This Row],[Result]]&lt;0.5,1,0),0)</f>
        <v>0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45097</v>
      </c>
      <c r="B135" s="2">
        <v>2023</v>
      </c>
      <c r="C135" s="2">
        <f>COUNTIFS(Games[Team],Games[[#This Row],[Team]],Games[Season],Games[[#This Row],[Season]],Games[Date],"&lt;=" &amp; Games[[#This Row],[Date]])</f>
        <v>12</v>
      </c>
      <c r="D135" s="2" t="s">
        <v>79</v>
      </c>
      <c r="E135" s="2" t="s">
        <v>80</v>
      </c>
      <c r="F135" s="1" t="s">
        <v>63</v>
      </c>
      <c r="G135" s="1" t="s">
        <v>67</v>
      </c>
      <c r="H135" s="1" t="s">
        <v>82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5" s="2">
        <f>Games[[#This Row],[DaysOff]]-Games[[#This Row],[OppDaysOff]]</f>
        <v>0</v>
      </c>
      <c r="L135" s="2">
        <f>Games[[#This Row],[OppDaysOff]]-Games[[#This Row],[DaysOff]]</f>
        <v>0</v>
      </c>
      <c r="M135" s="1">
        <f>MAX(-16, MIN(16, Games[[#This Row],[RestDiff]]*8))</f>
        <v>0</v>
      </c>
      <c r="N135" s="1">
        <f>MAX(-16, MIN(16, Games[[#This Row],[OppRestDiff]]*8))</f>
        <v>0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1460.4442254794074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1444.0342414449515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0.64060853423678643</v>
      </c>
      <c r="R135" s="1">
        <v>61</v>
      </c>
      <c r="S135" s="1">
        <v>67</v>
      </c>
      <c r="T135" s="1">
        <v>0</v>
      </c>
      <c r="U135" s="1">
        <f>Games[[#This Row],[PointsFor]]-Games[[#This Row],[PointsAgainst]]</f>
        <v>-6</v>
      </c>
      <c r="V135" s="1">
        <f>IF(Games[[#This Row],[MOV]]&gt;0,1,IF(Games[[#This Row],[MOV]]=0,0.5,0))</f>
        <v>0</v>
      </c>
      <c r="W135" s="4">
        <f>((ABS(Games[[#This Row],[MOV]])+5)^0.6)/(12+0.01*(ABS(Games[[#This Row],[PreGmRate]]-Games[[#This Row],[OppPreGmRate]])))*IF(Games[[#This Row],[OT]]=1,0.9,1)</f>
        <v>0.34654180649774213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5" s="9">
        <f>MAX(kmin, kmax - 0.15 * MIN(Games[[#This Row],[GamesPlayed]], 82))</f>
        <v>74.2</v>
      </c>
      <c r="Z135" s="4">
        <f>Games[[#This Row],[K]]*Games[[#This Row],[POMult]]</f>
        <v>74.2</v>
      </c>
      <c r="AA135" s="4">
        <f>(Games[[#This Row],[Keff]]*Games[[#This Row],[MOVMult]])*(Games[[#This Row],[Result]]-Games[[#This Row],[ExpectedWin%]])</f>
        <v>-16.472224792451673</v>
      </c>
      <c r="AB135" s="4">
        <f>Games[[#This Row],[PreGmRate]]+Games[[#This Row],[RatingChange]]</f>
        <v>1443.9720006869557</v>
      </c>
      <c r="AC135" s="2">
        <f>IF(Games[[#This Row],[Type]]="R",IF(Games[[#This Row],[Result]]&gt;0.5,1,0),0)</f>
        <v>0</v>
      </c>
      <c r="AD135" s="2">
        <f>IF(Games[[#This Row],[Type]]="R",IF(Games[[#This Row],[Result]]&lt;0.5,1,0),0)</f>
        <v>1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45097</v>
      </c>
      <c r="B136" s="2">
        <v>2023</v>
      </c>
      <c r="C136" s="2">
        <f>COUNTIFS(Games[Team],Games[[#This Row],[Team]],Games[Season],Games[[#This Row],[Season]],Games[Date],"&lt;=" &amp; Games[[#This Row],[Date]])</f>
        <v>13</v>
      </c>
      <c r="D136" s="2" t="s">
        <v>79</v>
      </c>
      <c r="E136" s="2" t="s">
        <v>80</v>
      </c>
      <c r="F136" s="1" t="s">
        <v>74</v>
      </c>
      <c r="G136" s="1" t="s">
        <v>71</v>
      </c>
      <c r="H136" s="1" t="s">
        <v>81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6" s="2">
        <f>Games[[#This Row],[DaysOff]]-Games[[#This Row],[OppDaysOff]]</f>
        <v>-1</v>
      </c>
      <c r="L136" s="2">
        <f>Games[[#This Row],[OppDaysOff]]-Games[[#This Row],[DaysOff]]</f>
        <v>1</v>
      </c>
      <c r="M136" s="1">
        <f>MAX(-16, MIN(16, Games[[#This Row],[RestDiff]]*8))</f>
        <v>-8</v>
      </c>
      <c r="N136" s="1">
        <f>MAX(-16, MIN(16, Games[[#This Row],[OppRestDiff]]*8))</f>
        <v>8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1623.4272616312703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1483.3501906137187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0.5574210878432071</v>
      </c>
      <c r="R136" s="1">
        <v>85</v>
      </c>
      <c r="S136" s="1">
        <v>79</v>
      </c>
      <c r="T136" s="1">
        <v>0</v>
      </c>
      <c r="U136" s="1">
        <f>Games[[#This Row],[PointsFor]]-Games[[#This Row],[PointsAgainst]]</f>
        <v>6</v>
      </c>
      <c r="V136" s="1">
        <f>IF(Games[[#This Row],[MOV]]&gt;0,1,IF(Games[[#This Row],[MOV]]=0,0.5,0))</f>
        <v>1</v>
      </c>
      <c r="W136" s="4">
        <f>((ABS(Games[[#This Row],[MOV]])+5)^0.6)/(12+0.01*(ABS(Games[[#This Row],[PreGmRate]]-Games[[#This Row],[OppPreGmRate]])))*IF(Games[[#This Row],[OT]]=1,0.9,1)</f>
        <v>0.31456169382042126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6" s="9">
        <f>MAX(kmin, kmax - 0.15 * MIN(Games[[#This Row],[GamesPlayed]], 82))</f>
        <v>74.05</v>
      </c>
      <c r="Z136" s="4">
        <f>Games[[#This Row],[K]]*Games[[#This Row],[POMult]]</f>
        <v>74.05</v>
      </c>
      <c r="AA136" s="4">
        <f>(Games[[#This Row],[Keff]]*Games[[#This Row],[MOVMult]])*(Games[[#This Row],[Result]]-Games[[#This Row],[ExpectedWin%]])</f>
        <v>10.309120465648638</v>
      </c>
      <c r="AB136" s="4">
        <f>Games[[#This Row],[PreGmRate]]+Games[[#This Row],[RatingChange]]</f>
        <v>1633.736382096919</v>
      </c>
      <c r="AC136" s="2">
        <f>IF(Games[[#This Row],[Type]]="R",IF(Games[[#This Row],[Result]]&gt;0.5,1,0),0)</f>
        <v>1</v>
      </c>
      <c r="AD136" s="2">
        <f>IF(Games[[#This Row],[Type]]="R",IF(Games[[#This Row],[Result]]&lt;0.5,1,0),0)</f>
        <v>0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45097</v>
      </c>
      <c r="B137" s="2">
        <v>2023</v>
      </c>
      <c r="C137" s="2">
        <f>COUNTIFS(Games[Team],Games[[#This Row],[Team]],Games[Season],Games[[#This Row],[Season]],Games[Date],"&lt;=" &amp; Games[[#This Row],[Date]])</f>
        <v>11</v>
      </c>
      <c r="D137" s="2" t="s">
        <v>79</v>
      </c>
      <c r="E137" s="2" t="s">
        <v>80</v>
      </c>
      <c r="F137" s="1" t="s">
        <v>71</v>
      </c>
      <c r="G137" s="1" t="s">
        <v>74</v>
      </c>
      <c r="H137" s="1" t="s">
        <v>82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7" s="2">
        <f>Games[[#This Row],[DaysOff]]-Games[[#This Row],[OppDaysOff]]</f>
        <v>1</v>
      </c>
      <c r="L137" s="2">
        <f>Games[[#This Row],[OppDaysOff]]-Games[[#This Row],[DaysOff]]</f>
        <v>-1</v>
      </c>
      <c r="M137" s="1">
        <f>MAX(-16, MIN(16, Games[[#This Row],[RestDiff]]*8))</f>
        <v>8</v>
      </c>
      <c r="N137" s="1">
        <f>MAX(-16, MIN(16, Games[[#This Row],[OppRestDiff]]*8))</f>
        <v>-8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1483.3501906137187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1623.4272616312703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0.44257891215679301</v>
      </c>
      <c r="R137" s="1">
        <v>79</v>
      </c>
      <c r="S137" s="1">
        <v>85</v>
      </c>
      <c r="T137" s="1">
        <v>0</v>
      </c>
      <c r="U137" s="1">
        <f>Games[[#This Row],[PointsFor]]-Games[[#This Row],[PointsAgainst]]</f>
        <v>-6</v>
      </c>
      <c r="V137" s="1">
        <f>IF(Games[[#This Row],[MOV]]&gt;0,1,IF(Games[[#This Row],[MOV]]=0,0.5,0))</f>
        <v>0</v>
      </c>
      <c r="W137" s="4">
        <f>((ABS(Games[[#This Row],[MOV]])+5)^0.6)/(12+0.01*(ABS(Games[[#This Row],[PreGmRate]]-Games[[#This Row],[OppPreGmRate]])))*IF(Games[[#This Row],[OT]]=1,0.9,1)</f>
        <v>0.31456169382042126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7" s="9">
        <f>MAX(kmin, kmax - 0.15 * MIN(Games[[#This Row],[GamesPlayed]], 82))</f>
        <v>74.349999999999994</v>
      </c>
      <c r="Z137" s="4">
        <f>Games[[#This Row],[K]]*Games[[#This Row],[POMult]]</f>
        <v>74.349999999999994</v>
      </c>
      <c r="AA137" s="4">
        <f>(Games[[#This Row],[Keff]]*Games[[#This Row],[MOVMult]])*(Games[[#This Row],[Result]]-Games[[#This Row],[ExpectedWin%]])</f>
        <v>-10.350885977325811</v>
      </c>
      <c r="AB137" s="4">
        <f>Games[[#This Row],[PreGmRate]]+Games[[#This Row],[RatingChange]]</f>
        <v>1472.9993046363929</v>
      </c>
      <c r="AC137" s="2">
        <f>IF(Games[[#This Row],[Type]]="R",IF(Games[[#This Row],[Result]]&gt;0.5,1,0),0)</f>
        <v>0</v>
      </c>
      <c r="AD137" s="2">
        <f>IF(Games[[#This Row],[Type]]="R",IF(Games[[#This Row],[Result]]&lt;0.5,1,0),0)</f>
        <v>1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45098</v>
      </c>
      <c r="B138" s="2">
        <v>2023</v>
      </c>
      <c r="C138" s="2">
        <f>COUNTIFS(Games[Team],Games[[#This Row],[Team]],Games[Season],Games[[#This Row],[Season]],Games[Date],"&lt;=" &amp; Games[[#This Row],[Date]])</f>
        <v>12</v>
      </c>
      <c r="D138" s="2" t="s">
        <v>79</v>
      </c>
      <c r="E138" s="2" t="s">
        <v>80</v>
      </c>
      <c r="F138" s="1" t="s">
        <v>86</v>
      </c>
      <c r="G138" s="1" t="s">
        <v>40</v>
      </c>
      <c r="H138" s="1" t="s">
        <v>81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8" s="2">
        <f>Games[[#This Row],[DaysOff]]-Games[[#This Row],[OppDaysOff]]</f>
        <v>0</v>
      </c>
      <c r="L138" s="2">
        <f>Games[[#This Row],[OppDaysOff]]-Games[[#This Row],[DaysOff]]</f>
        <v>0</v>
      </c>
      <c r="M138" s="1">
        <f>MAX(-16, MIN(16, Games[[#This Row],[RestDiff]]*8))</f>
        <v>0</v>
      </c>
      <c r="N138" s="1">
        <f>MAX(-16, MIN(16, Games[[#This Row],[OppRestDiff]]*8))</f>
        <v>0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1688.1932796818708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1390.4369874251493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0.77390259723768284</v>
      </c>
      <c r="R138" s="1">
        <v>99</v>
      </c>
      <c r="S138" s="1">
        <v>79</v>
      </c>
      <c r="T138" s="1">
        <v>0</v>
      </c>
      <c r="U138" s="1">
        <f>Games[[#This Row],[PointsFor]]-Games[[#This Row],[PointsAgainst]]</f>
        <v>20</v>
      </c>
      <c r="V138" s="1">
        <f>IF(Games[[#This Row],[MOV]]&gt;0,1,IF(Games[[#This Row],[MOV]]=0,0.5,0))</f>
        <v>1</v>
      </c>
      <c r="W138" s="4">
        <f>((ABS(Games[[#This Row],[MOV]])+5)^0.6)/(12+0.01*(ABS(Games[[#This Row],[PreGmRate]]-Games[[#This Row],[OppPreGmRate]])))*IF(Games[[#This Row],[OT]]=1,0.9,1)</f>
        <v>0.46059885329619538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8" s="9">
        <f>MAX(kmin, kmax - 0.15 * MIN(Games[[#This Row],[GamesPlayed]], 82))</f>
        <v>74.2</v>
      </c>
      <c r="Z138" s="4">
        <f>Games[[#This Row],[K]]*Games[[#This Row],[POMult]]</f>
        <v>74.2</v>
      </c>
      <c r="AA138" s="4">
        <f>(Games[[#This Row],[Keff]]*Games[[#This Row],[MOVMult]])*(Games[[#This Row],[Result]]-Games[[#This Row],[ExpectedWin%]])</f>
        <v>7.7272031698613919</v>
      </c>
      <c r="AB138" s="4">
        <f>Games[[#This Row],[PreGmRate]]+Games[[#This Row],[RatingChange]]</f>
        <v>1695.9204828517322</v>
      </c>
      <c r="AC138" s="2">
        <f>IF(Games[[#This Row],[Type]]="R",IF(Games[[#This Row],[Result]]&gt;0.5,1,0),0)</f>
        <v>1</v>
      </c>
      <c r="AD138" s="2">
        <f>IF(Games[[#This Row],[Type]]="R",IF(Games[[#This Row],[Result]]&lt;0.5,1,0),0)</f>
        <v>0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45098</v>
      </c>
      <c r="B139" s="2">
        <v>2023</v>
      </c>
      <c r="C139" s="2">
        <f>COUNTIFS(Games[Team],Games[[#This Row],[Team]],Games[Season],Games[[#This Row],[Season]],Games[Date],"&lt;=" &amp; Games[[#This Row],[Date]])</f>
        <v>11</v>
      </c>
      <c r="D139" s="2" t="s">
        <v>79</v>
      </c>
      <c r="E139" s="2" t="s">
        <v>80</v>
      </c>
      <c r="F139" s="1" t="s">
        <v>40</v>
      </c>
      <c r="G139" s="1" t="s">
        <v>86</v>
      </c>
      <c r="H139" s="1" t="s">
        <v>82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9" s="2">
        <f>Games[[#This Row],[DaysOff]]-Games[[#This Row],[OppDaysOff]]</f>
        <v>0</v>
      </c>
      <c r="L139" s="2">
        <f>Games[[#This Row],[OppDaysOff]]-Games[[#This Row],[DaysOff]]</f>
        <v>0</v>
      </c>
      <c r="M139" s="1">
        <f>MAX(-16, MIN(16, Games[[#This Row],[RestDiff]]*8))</f>
        <v>0</v>
      </c>
      <c r="N139" s="1">
        <f>MAX(-16, MIN(16, Games[[#This Row],[OppRestDiff]]*8))</f>
        <v>0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1390.4369874251493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1688.1932796818708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0.2260974027623171</v>
      </c>
      <c r="R139" s="1">
        <v>79</v>
      </c>
      <c r="S139" s="1">
        <v>99</v>
      </c>
      <c r="T139" s="1">
        <v>0</v>
      </c>
      <c r="U139" s="1">
        <f>Games[[#This Row],[PointsFor]]-Games[[#This Row],[PointsAgainst]]</f>
        <v>-20</v>
      </c>
      <c r="V139" s="1">
        <f>IF(Games[[#This Row],[MOV]]&gt;0,1,IF(Games[[#This Row],[MOV]]=0,0.5,0))</f>
        <v>0</v>
      </c>
      <c r="W139" s="4">
        <f>((ABS(Games[[#This Row],[MOV]])+5)^0.6)/(12+0.01*(ABS(Games[[#This Row],[PreGmRate]]-Games[[#This Row],[OppPreGmRate]])))*IF(Games[[#This Row],[OT]]=1,0.9,1)</f>
        <v>0.46059885329619538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9" s="9">
        <f>MAX(kmin, kmax - 0.15 * MIN(Games[[#This Row],[GamesPlayed]], 82))</f>
        <v>74.349999999999994</v>
      </c>
      <c r="Z139" s="4">
        <f>Games[[#This Row],[K]]*Games[[#This Row],[POMult]]</f>
        <v>74.349999999999994</v>
      </c>
      <c r="AA139" s="4">
        <f>(Games[[#This Row],[Keff]]*Games[[#This Row],[MOVMult]])*(Games[[#This Row],[Result]]-Games[[#This Row],[ExpectedWin%]])</f>
        <v>-7.7428242005282248</v>
      </c>
      <c r="AB139" s="4">
        <f>Games[[#This Row],[PreGmRate]]+Games[[#This Row],[RatingChange]]</f>
        <v>1382.694163224621</v>
      </c>
      <c r="AC139" s="2">
        <f>IF(Games[[#This Row],[Type]]="R",IF(Games[[#This Row],[Result]]&gt;0.5,1,0),0)</f>
        <v>0</v>
      </c>
      <c r="AD139" s="2">
        <f>IF(Games[[#This Row],[Type]]="R",IF(Games[[#This Row],[Result]]&lt;0.5,1,0),0)</f>
        <v>1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45099</v>
      </c>
      <c r="B140" s="2">
        <v>2023</v>
      </c>
      <c r="C140" s="2">
        <f>COUNTIFS(Games[Team],Games[[#This Row],[Team]],Games[Season],Games[[#This Row],[Season]],Games[Date],"&lt;=" &amp; Games[[#This Row],[Date]])</f>
        <v>12</v>
      </c>
      <c r="D140" s="2" t="s">
        <v>79</v>
      </c>
      <c r="E140" s="2" t="s">
        <v>80</v>
      </c>
      <c r="F140" s="1" t="s">
        <v>65</v>
      </c>
      <c r="G140" s="1" t="s">
        <v>75</v>
      </c>
      <c r="H140" s="1" t="s">
        <v>81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0" s="2">
        <f>Games[[#This Row],[DaysOff]]-Games[[#This Row],[OppDaysOff]]</f>
        <v>0</v>
      </c>
      <c r="L140" s="2">
        <f>Games[[#This Row],[OppDaysOff]]-Games[[#This Row],[DaysOff]]</f>
        <v>0</v>
      </c>
      <c r="M140" s="1">
        <f>MAX(-16, MIN(16, Games[[#This Row],[RestDiff]]*8))</f>
        <v>0</v>
      </c>
      <c r="N140" s="1">
        <f>MAX(-16, MIN(16, Games[[#This Row],[OppRestDiff]]*8))</f>
        <v>0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1544.2662321938326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1513.242366541203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0.42434660641412419</v>
      </c>
      <c r="R140" s="1">
        <v>80</v>
      </c>
      <c r="S140" s="1">
        <v>59</v>
      </c>
      <c r="T140" s="1">
        <v>0</v>
      </c>
      <c r="U140" s="1">
        <f>Games[[#This Row],[PointsFor]]-Games[[#This Row],[PointsAgainst]]</f>
        <v>21</v>
      </c>
      <c r="V140" s="1">
        <f>IF(Games[[#This Row],[MOV]]&gt;0,1,IF(Games[[#This Row],[MOV]]=0,0.5,0))</f>
        <v>1</v>
      </c>
      <c r="W140" s="4">
        <f>((ABS(Games[[#This Row],[MOV]])+5)^0.6)/(12+0.01*(ABS(Games[[#This Row],[PreGmRate]]-Games[[#This Row],[OppPreGmRate]])))*IF(Games[[#This Row],[OT]]=1,0.9,1)</f>
        <v>0.57374317999143154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0" s="9">
        <f>MAX(kmin, kmax - 0.15 * MIN(Games[[#This Row],[GamesPlayed]], 82))</f>
        <v>74.2</v>
      </c>
      <c r="Z140" s="4">
        <f>Games[[#This Row],[K]]*Games[[#This Row],[POMult]]</f>
        <v>74.2</v>
      </c>
      <c r="AA140" s="4">
        <f>(Games[[#This Row],[Keff]]*Games[[#This Row],[MOVMult]])*(Games[[#This Row],[Result]]-Games[[#This Row],[ExpectedWin%]])</f>
        <v>24.506568878774409</v>
      </c>
      <c r="AB140" s="4">
        <f>Games[[#This Row],[PreGmRate]]+Games[[#This Row],[RatingChange]]</f>
        <v>1568.7728010726071</v>
      </c>
      <c r="AC140" s="2">
        <f>IF(Games[[#This Row],[Type]]="R",IF(Games[[#This Row],[Result]]&gt;0.5,1,0),0)</f>
        <v>1</v>
      </c>
      <c r="AD140" s="2">
        <f>IF(Games[[#This Row],[Type]]="R",IF(Games[[#This Row],[Result]]&lt;0.5,1,0),0)</f>
        <v>0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45099</v>
      </c>
      <c r="B141" s="2">
        <v>2023</v>
      </c>
      <c r="C141" s="2">
        <f>COUNTIFS(Games[Team],Games[[#This Row],[Team]],Games[Season],Games[[#This Row],[Season]],Games[Date],"&lt;=" &amp; Games[[#This Row],[Date]])</f>
        <v>13</v>
      </c>
      <c r="D141" s="2" t="s">
        <v>79</v>
      </c>
      <c r="E141" s="2" t="s">
        <v>80</v>
      </c>
      <c r="F141" s="1" t="s">
        <v>75</v>
      </c>
      <c r="G141" s="1" t="s">
        <v>65</v>
      </c>
      <c r="H141" s="1" t="s">
        <v>82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1" s="2">
        <f>Games[[#This Row],[DaysOff]]-Games[[#This Row],[OppDaysOff]]</f>
        <v>0</v>
      </c>
      <c r="L141" s="2">
        <f>Games[[#This Row],[OppDaysOff]]-Games[[#This Row],[DaysOff]]</f>
        <v>0</v>
      </c>
      <c r="M141" s="1">
        <f>MAX(-16, MIN(16, Games[[#This Row],[RestDiff]]*8))</f>
        <v>0</v>
      </c>
      <c r="N141" s="1">
        <f>MAX(-16, MIN(16, Games[[#This Row],[OppRestDiff]]*8))</f>
        <v>0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1513.242366541203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1544.2662321938326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0.57565339358587575</v>
      </c>
      <c r="R141" s="1">
        <v>59</v>
      </c>
      <c r="S141" s="1">
        <v>80</v>
      </c>
      <c r="T141" s="1">
        <v>0</v>
      </c>
      <c r="U141" s="1">
        <f>Games[[#This Row],[PointsFor]]-Games[[#This Row],[PointsAgainst]]</f>
        <v>-21</v>
      </c>
      <c r="V141" s="1">
        <f>IF(Games[[#This Row],[MOV]]&gt;0,1,IF(Games[[#This Row],[MOV]]=0,0.5,0))</f>
        <v>0</v>
      </c>
      <c r="W141" s="4">
        <f>((ABS(Games[[#This Row],[MOV]])+5)^0.6)/(12+0.01*(ABS(Games[[#This Row],[PreGmRate]]-Games[[#This Row],[OppPreGmRate]])))*IF(Games[[#This Row],[OT]]=1,0.9,1)</f>
        <v>0.57374317999143154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1" s="9">
        <f>MAX(kmin, kmax - 0.15 * MIN(Games[[#This Row],[GamesPlayed]], 82))</f>
        <v>74.05</v>
      </c>
      <c r="Z141" s="4">
        <f>Games[[#This Row],[K]]*Games[[#This Row],[POMult]]</f>
        <v>74.05</v>
      </c>
      <c r="AA141" s="4">
        <f>(Games[[#This Row],[Keff]]*Games[[#This Row],[MOVMult]])*(Games[[#This Row],[Result]]-Games[[#This Row],[ExpectedWin%]])</f>
        <v>-24.457027297483084</v>
      </c>
      <c r="AB141" s="4">
        <f>Games[[#This Row],[PreGmRate]]+Games[[#This Row],[RatingChange]]</f>
        <v>1488.7853392437198</v>
      </c>
      <c r="AC141" s="2">
        <f>IF(Games[[#This Row],[Type]]="R",IF(Games[[#This Row],[Result]]&gt;0.5,1,0),0)</f>
        <v>0</v>
      </c>
      <c r="AD141" s="2">
        <f>IF(Games[[#This Row],[Type]]="R",IF(Games[[#This Row],[Result]]&lt;0.5,1,0),0)</f>
        <v>1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45099</v>
      </c>
      <c r="B142" s="2">
        <v>2023</v>
      </c>
      <c r="C142" s="2">
        <f>COUNTIFS(Games[Team],Games[[#This Row],[Team]],Games[Season],Games[[#This Row],[Season]],Games[Date],"&lt;=" &amp; Games[[#This Row],[Date]])</f>
        <v>14</v>
      </c>
      <c r="D142" s="2" t="s">
        <v>79</v>
      </c>
      <c r="E142" s="2" t="s">
        <v>80</v>
      </c>
      <c r="F142" s="1" t="s">
        <v>74</v>
      </c>
      <c r="G142" s="1" t="s">
        <v>67</v>
      </c>
      <c r="H142" s="1" t="s">
        <v>81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2" s="2">
        <f>Games[[#This Row],[DaysOff]]-Games[[#This Row],[OppDaysOff]]</f>
        <v>0</v>
      </c>
      <c r="L142" s="2">
        <f>Games[[#This Row],[OppDaysOff]]-Games[[#This Row],[DaysOff]]</f>
        <v>0</v>
      </c>
      <c r="M142" s="1">
        <f>MAX(-16, MIN(16, Games[[#This Row],[RestDiff]]*8))</f>
        <v>0</v>
      </c>
      <c r="N142" s="1">
        <f>MAX(-16, MIN(16, Games[[#This Row],[OppRestDiff]]*8))</f>
        <v>0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1633.736382096919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1460.5064662374032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0.62566142119618806</v>
      </c>
      <c r="R142" s="1">
        <v>89</v>
      </c>
      <c r="S142" s="1">
        <v>68</v>
      </c>
      <c r="T142" s="1">
        <v>0</v>
      </c>
      <c r="U142" s="1">
        <f>Games[[#This Row],[PointsFor]]-Games[[#This Row],[PointsAgainst]]</f>
        <v>21</v>
      </c>
      <c r="V142" s="1">
        <f>IF(Games[[#This Row],[MOV]]&gt;0,1,IF(Games[[#This Row],[MOV]]=0,0.5,0))</f>
        <v>1</v>
      </c>
      <c r="W142" s="4">
        <f>((ABS(Games[[#This Row],[MOV]])+5)^0.6)/(12+0.01*(ABS(Games[[#This Row],[PreGmRate]]-Games[[#This Row],[OppPreGmRate]])))*IF(Games[[#This Row],[OT]]=1,0.9,1)</f>
        <v>0.51432869264489545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2" s="9">
        <f>MAX(kmin, kmax - 0.15 * MIN(Games[[#This Row],[GamesPlayed]], 82))</f>
        <v>73.900000000000006</v>
      </c>
      <c r="Z142" s="4">
        <f>Games[[#This Row],[K]]*Games[[#This Row],[POMult]]</f>
        <v>73.900000000000006</v>
      </c>
      <c r="AA142" s="4">
        <f>(Games[[#This Row],[Keff]]*Games[[#This Row],[MOVMult]])*(Games[[#This Row],[Result]]-Games[[#This Row],[ExpectedWin%]])</f>
        <v>14.228194009176475</v>
      </c>
      <c r="AB142" s="4">
        <f>Games[[#This Row],[PreGmRate]]+Games[[#This Row],[RatingChange]]</f>
        <v>1647.9645761060954</v>
      </c>
      <c r="AC142" s="2">
        <f>IF(Games[[#This Row],[Type]]="R",IF(Games[[#This Row],[Result]]&gt;0.5,1,0),0)</f>
        <v>1</v>
      </c>
      <c r="AD142" s="2">
        <f>IF(Games[[#This Row],[Type]]="R",IF(Games[[#This Row],[Result]]&lt;0.5,1,0),0)</f>
        <v>0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45099</v>
      </c>
      <c r="B143" s="2">
        <v>2023</v>
      </c>
      <c r="C143" s="2">
        <f>COUNTIFS(Games[Team],Games[[#This Row],[Team]],Games[Season],Games[[#This Row],[Season]],Games[Date],"&lt;=" &amp; Games[[#This Row],[Date]])</f>
        <v>13</v>
      </c>
      <c r="D143" s="2" t="s">
        <v>79</v>
      </c>
      <c r="E143" s="2" t="s">
        <v>80</v>
      </c>
      <c r="F143" s="1" t="s">
        <v>67</v>
      </c>
      <c r="G143" s="1" t="s">
        <v>74</v>
      </c>
      <c r="H143" s="1" t="s">
        <v>82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3" s="2">
        <f>Games[[#This Row],[DaysOff]]-Games[[#This Row],[OppDaysOff]]</f>
        <v>0</v>
      </c>
      <c r="L143" s="2">
        <f>Games[[#This Row],[OppDaysOff]]-Games[[#This Row],[DaysOff]]</f>
        <v>0</v>
      </c>
      <c r="M143" s="1">
        <f>MAX(-16, MIN(16, Games[[#This Row],[RestDiff]]*8))</f>
        <v>0</v>
      </c>
      <c r="N143" s="1">
        <f>MAX(-16, MIN(16, Games[[#This Row],[OppRestDiff]]*8))</f>
        <v>0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1460.5064662374032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1633.736382096919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0.37433857880381205</v>
      </c>
      <c r="R143" s="1">
        <v>68</v>
      </c>
      <c r="S143" s="1">
        <v>89</v>
      </c>
      <c r="T143" s="1">
        <v>0</v>
      </c>
      <c r="U143" s="1">
        <f>Games[[#This Row],[PointsFor]]-Games[[#This Row],[PointsAgainst]]</f>
        <v>-21</v>
      </c>
      <c r="V143" s="1">
        <f>IF(Games[[#This Row],[MOV]]&gt;0,1,IF(Games[[#This Row],[MOV]]=0,0.5,0))</f>
        <v>0</v>
      </c>
      <c r="W143" s="4">
        <f>((ABS(Games[[#This Row],[MOV]])+5)^0.6)/(12+0.01*(ABS(Games[[#This Row],[PreGmRate]]-Games[[#This Row],[OppPreGmRate]])))*IF(Games[[#This Row],[OT]]=1,0.9,1)</f>
        <v>0.51432869264489545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3" s="9">
        <f>MAX(kmin, kmax - 0.15 * MIN(Games[[#This Row],[GamesPlayed]], 82))</f>
        <v>74.05</v>
      </c>
      <c r="Z143" s="4">
        <f>Games[[#This Row],[K]]*Games[[#This Row],[POMult]]</f>
        <v>74.05</v>
      </c>
      <c r="AA143" s="4">
        <f>(Games[[#This Row],[Keff]]*Games[[#This Row],[MOVMult]])*(Games[[#This Row],[Result]]-Games[[#This Row],[ExpectedWin%]])</f>
        <v>-14.257073969952883</v>
      </c>
      <c r="AB143" s="4">
        <f>Games[[#This Row],[PreGmRate]]+Games[[#This Row],[RatingChange]]</f>
        <v>1446.2493922674503</v>
      </c>
      <c r="AC143" s="2">
        <f>IF(Games[[#This Row],[Type]]="R",IF(Games[[#This Row],[Result]]&gt;0.5,1,0),0)</f>
        <v>0</v>
      </c>
      <c r="AD143" s="2">
        <f>IF(Games[[#This Row],[Type]]="R",IF(Games[[#This Row],[Result]]&lt;0.5,1,0),0)</f>
        <v>1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45099</v>
      </c>
      <c r="B144" s="2">
        <v>2023</v>
      </c>
      <c r="C144" s="2">
        <f>COUNTIFS(Games[Team],Games[[#This Row],[Team]],Games[Season],Games[[#This Row],[Season]],Games[Date],"&lt;=" &amp; Games[[#This Row],[Date]])</f>
        <v>12</v>
      </c>
      <c r="D144" s="2" t="s">
        <v>79</v>
      </c>
      <c r="E144" s="2" t="s">
        <v>80</v>
      </c>
      <c r="F144" s="1" t="s">
        <v>69</v>
      </c>
      <c r="G144" s="1" t="s">
        <v>71</v>
      </c>
      <c r="H144" s="1" t="s">
        <v>81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4" s="2">
        <f>Games[[#This Row],[DaysOff]]-Games[[#This Row],[OppDaysOff]]</f>
        <v>2</v>
      </c>
      <c r="L144" s="2">
        <f>Games[[#This Row],[OppDaysOff]]-Games[[#This Row],[DaysOff]]</f>
        <v>-2</v>
      </c>
      <c r="M144" s="1">
        <f>MAX(-16, MIN(16, Games[[#This Row],[RestDiff]]*8))</f>
        <v>16</v>
      </c>
      <c r="N144" s="1">
        <f>MAX(-16, MIN(16, Games[[#This Row],[OppRestDiff]]*8))</f>
        <v>-16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1379.6229503107702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1472.9993046363929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0.3021978729178999</v>
      </c>
      <c r="R144" s="1">
        <v>80</v>
      </c>
      <c r="S144" s="1">
        <v>68</v>
      </c>
      <c r="T144" s="1">
        <v>0</v>
      </c>
      <c r="U144" s="1">
        <f>Games[[#This Row],[PointsFor]]-Games[[#This Row],[PointsAgainst]]</f>
        <v>12</v>
      </c>
      <c r="V144" s="1">
        <f>IF(Games[[#This Row],[MOV]]&gt;0,1,IF(Games[[#This Row],[MOV]]=0,0.5,0))</f>
        <v>1</v>
      </c>
      <c r="W144" s="4">
        <f>((ABS(Games[[#This Row],[MOV]])+5)^0.6)/(12+0.01*(ABS(Games[[#This Row],[PreGmRate]]-Games[[#This Row],[OppPreGmRate]])))*IF(Games[[#This Row],[OT]]=1,0.9,1)</f>
        <v>0.42319880819009137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4" s="9">
        <f>MAX(kmin, kmax - 0.15 * MIN(Games[[#This Row],[GamesPlayed]], 82))</f>
        <v>74.2</v>
      </c>
      <c r="Z144" s="4">
        <f>Games[[#This Row],[K]]*Games[[#This Row],[POMult]]</f>
        <v>74.2</v>
      </c>
      <c r="AA144" s="4">
        <f>(Games[[#This Row],[Keff]]*Games[[#This Row],[MOVMult]])*(Games[[#This Row],[Result]]-Games[[#This Row],[ExpectedWin%]])</f>
        <v>21.911929917197234</v>
      </c>
      <c r="AB144" s="4">
        <f>Games[[#This Row],[PreGmRate]]+Games[[#This Row],[RatingChange]]</f>
        <v>1401.5348802279675</v>
      </c>
      <c r="AC144" s="2">
        <f>IF(Games[[#This Row],[Type]]="R",IF(Games[[#This Row],[Result]]&gt;0.5,1,0),0)</f>
        <v>1</v>
      </c>
      <c r="AD144" s="2">
        <f>IF(Games[[#This Row],[Type]]="R",IF(Games[[#This Row],[Result]]&lt;0.5,1,0),0)</f>
        <v>0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45099</v>
      </c>
      <c r="B145" s="2">
        <v>2023</v>
      </c>
      <c r="C145" s="2">
        <f>COUNTIFS(Games[Team],Games[[#This Row],[Team]],Games[Season],Games[[#This Row],[Season]],Games[Date],"&lt;=" &amp; Games[[#This Row],[Date]])</f>
        <v>12</v>
      </c>
      <c r="D145" s="2" t="s">
        <v>79</v>
      </c>
      <c r="E145" s="2" t="s">
        <v>80</v>
      </c>
      <c r="F145" s="1" t="s">
        <v>71</v>
      </c>
      <c r="G145" s="1" t="s">
        <v>69</v>
      </c>
      <c r="H145" s="1" t="s">
        <v>82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5" s="2">
        <f>Games[[#This Row],[DaysOff]]-Games[[#This Row],[OppDaysOff]]</f>
        <v>-2</v>
      </c>
      <c r="L145" s="2">
        <f>Games[[#This Row],[OppDaysOff]]-Games[[#This Row],[DaysOff]]</f>
        <v>2</v>
      </c>
      <c r="M145" s="1">
        <f>MAX(-16, MIN(16, Games[[#This Row],[RestDiff]]*8))</f>
        <v>-16</v>
      </c>
      <c r="N145" s="1">
        <f>MAX(-16, MIN(16, Games[[#This Row],[OppRestDiff]]*8))</f>
        <v>16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1472.9993046363929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1379.6229503107702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0.6978021270821001</v>
      </c>
      <c r="R145" s="1">
        <v>68</v>
      </c>
      <c r="S145" s="1">
        <v>80</v>
      </c>
      <c r="T145" s="1">
        <v>0</v>
      </c>
      <c r="U145" s="1">
        <f>Games[[#This Row],[PointsFor]]-Games[[#This Row],[PointsAgainst]]</f>
        <v>-12</v>
      </c>
      <c r="V145" s="1">
        <f>IF(Games[[#This Row],[MOV]]&gt;0,1,IF(Games[[#This Row],[MOV]]=0,0.5,0))</f>
        <v>0</v>
      </c>
      <c r="W145" s="4">
        <f>((ABS(Games[[#This Row],[MOV]])+5)^0.6)/(12+0.01*(ABS(Games[[#This Row],[PreGmRate]]-Games[[#This Row],[OppPreGmRate]])))*IF(Games[[#This Row],[OT]]=1,0.9,1)</f>
        <v>0.42319880819009137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5" s="9">
        <f>MAX(kmin, kmax - 0.15 * MIN(Games[[#This Row],[GamesPlayed]], 82))</f>
        <v>74.2</v>
      </c>
      <c r="Z145" s="4">
        <f>Games[[#This Row],[K]]*Games[[#This Row],[POMult]]</f>
        <v>74.2</v>
      </c>
      <c r="AA145" s="4">
        <f>(Games[[#This Row],[Keff]]*Games[[#This Row],[MOVMult]])*(Games[[#This Row],[Result]]-Games[[#This Row],[ExpectedWin%]])</f>
        <v>-21.911929917197234</v>
      </c>
      <c r="AB145" s="4">
        <f>Games[[#This Row],[PreGmRate]]+Games[[#This Row],[RatingChange]]</f>
        <v>1451.0873747191956</v>
      </c>
      <c r="AC145" s="2">
        <f>IF(Games[[#This Row],[Type]]="R",IF(Games[[#This Row],[Result]]&gt;0.5,1,0),0)</f>
        <v>0</v>
      </c>
      <c r="AD145" s="2">
        <f>IF(Games[[#This Row],[Type]]="R",IF(Games[[#This Row],[Result]]&lt;0.5,1,0),0)</f>
        <v>1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45100</v>
      </c>
      <c r="B146" s="2">
        <v>2023</v>
      </c>
      <c r="C146" s="2">
        <f>COUNTIFS(Games[Team],Games[[#This Row],[Team]],Games[Season],Games[[#This Row],[Season]],Games[Date],"&lt;=" &amp; Games[[#This Row],[Date]])</f>
        <v>11</v>
      </c>
      <c r="D146" s="2" t="s">
        <v>79</v>
      </c>
      <c r="E146" s="2" t="s">
        <v>80</v>
      </c>
      <c r="F146" s="1" t="s">
        <v>60</v>
      </c>
      <c r="G146" s="1" t="s">
        <v>77</v>
      </c>
      <c r="H146" s="1" t="s">
        <v>81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4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6" s="2">
        <f>Games[[#This Row],[DaysOff]]-Games[[#This Row],[OppDaysOff]]</f>
        <v>2</v>
      </c>
      <c r="L146" s="2">
        <f>Games[[#This Row],[OppDaysOff]]-Games[[#This Row],[DaysOff]]</f>
        <v>-2</v>
      </c>
      <c r="M146" s="1">
        <f>MAX(-16, MIN(16, Games[[#This Row],[RestDiff]]*8))</f>
        <v>16</v>
      </c>
      <c r="N146" s="1">
        <f>MAX(-16, MIN(16, Games[[#This Row],[OppRestDiff]]*8))</f>
        <v>-16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1539.591932057763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1453.1456301256246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0.54941042414072772</v>
      </c>
      <c r="R146" s="1">
        <v>110</v>
      </c>
      <c r="S146" s="1">
        <v>80</v>
      </c>
      <c r="T146" s="1">
        <v>0</v>
      </c>
      <c r="U146" s="1">
        <f>Games[[#This Row],[PointsFor]]-Games[[#This Row],[PointsAgainst]]</f>
        <v>30</v>
      </c>
      <c r="V146" s="1">
        <f>IF(Games[[#This Row],[MOV]]&gt;0,1,IF(Games[[#This Row],[MOV]]=0,0.5,0))</f>
        <v>1</v>
      </c>
      <c r="W146" s="4">
        <f>((ABS(Games[[#This Row],[MOV]])+5)^0.6)/(12+0.01*(ABS(Games[[#This Row],[PreGmRate]]-Games[[#This Row],[OppPreGmRate]])))*IF(Games[[#This Row],[OT]]=1,0.9,1)</f>
        <v>0.6562195485827006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6" s="9">
        <f>MAX(kmin, kmax - 0.15 * MIN(Games[[#This Row],[GamesPlayed]], 82))</f>
        <v>74.349999999999994</v>
      </c>
      <c r="Z146" s="4">
        <f>Games[[#This Row],[K]]*Games[[#This Row],[POMult]]</f>
        <v>74.349999999999994</v>
      </c>
      <c r="AA146" s="4">
        <f>(Games[[#This Row],[Keff]]*Games[[#This Row],[MOVMult]])*(Games[[#This Row],[Result]]-Games[[#This Row],[ExpectedWin%]])</f>
        <v>21.984230907739974</v>
      </c>
      <c r="AB146" s="4">
        <f>Games[[#This Row],[PreGmRate]]+Games[[#This Row],[RatingChange]]</f>
        <v>1561.576162965503</v>
      </c>
      <c r="AC146" s="2">
        <f>IF(Games[[#This Row],[Type]]="R",IF(Games[[#This Row],[Result]]&gt;0.5,1,0),0)</f>
        <v>1</v>
      </c>
      <c r="AD146" s="2">
        <f>IF(Games[[#This Row],[Type]]="R",IF(Games[[#This Row],[Result]]&lt;0.5,1,0),0)</f>
        <v>0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45100</v>
      </c>
      <c r="B147" s="2">
        <v>2023</v>
      </c>
      <c r="C147" s="2">
        <f>COUNTIFS(Games[Team],Games[[#This Row],[Team]],Games[Season],Games[[#This Row],[Season]],Games[Date],"&lt;=" &amp; Games[[#This Row],[Date]])</f>
        <v>12</v>
      </c>
      <c r="D147" s="2" t="s">
        <v>79</v>
      </c>
      <c r="E147" s="2" t="s">
        <v>80</v>
      </c>
      <c r="F147" s="1" t="s">
        <v>77</v>
      </c>
      <c r="G147" s="1" t="s">
        <v>60</v>
      </c>
      <c r="H147" s="1" t="s">
        <v>82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47" s="2">
        <f>Games[[#This Row],[DaysOff]]-Games[[#This Row],[OppDaysOff]]</f>
        <v>-2</v>
      </c>
      <c r="L147" s="2">
        <f>Games[[#This Row],[OppDaysOff]]-Games[[#This Row],[DaysOff]]</f>
        <v>2</v>
      </c>
      <c r="M147" s="1">
        <f>MAX(-16, MIN(16, Games[[#This Row],[RestDiff]]*8))</f>
        <v>-16</v>
      </c>
      <c r="N147" s="1">
        <f>MAX(-16, MIN(16, Games[[#This Row],[OppRestDiff]]*8))</f>
        <v>16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1453.1456301256246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1539.591932057763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0.45058957585927228</v>
      </c>
      <c r="R147" s="1">
        <v>80</v>
      </c>
      <c r="S147" s="1">
        <v>110</v>
      </c>
      <c r="T147" s="1">
        <v>0</v>
      </c>
      <c r="U147" s="1">
        <f>Games[[#This Row],[PointsFor]]-Games[[#This Row],[PointsAgainst]]</f>
        <v>-30</v>
      </c>
      <c r="V147" s="1">
        <f>IF(Games[[#This Row],[MOV]]&gt;0,1,IF(Games[[#This Row],[MOV]]=0,0.5,0))</f>
        <v>0</v>
      </c>
      <c r="W147" s="4">
        <f>((ABS(Games[[#This Row],[MOV]])+5)^0.6)/(12+0.01*(ABS(Games[[#This Row],[PreGmRate]]-Games[[#This Row],[OppPreGmRate]])))*IF(Games[[#This Row],[OT]]=1,0.9,1)</f>
        <v>0.6562195485827006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7" s="9">
        <f>MAX(kmin, kmax - 0.15 * MIN(Games[[#This Row],[GamesPlayed]], 82))</f>
        <v>74.2</v>
      </c>
      <c r="Z147" s="4">
        <f>Games[[#This Row],[K]]*Games[[#This Row],[POMult]]</f>
        <v>74.2</v>
      </c>
      <c r="AA147" s="4">
        <f>(Games[[#This Row],[Keff]]*Games[[#This Row],[MOVMult]])*(Games[[#This Row],[Result]]-Games[[#This Row],[ExpectedWin%]])</f>
        <v>-21.939878054530013</v>
      </c>
      <c r="AB147" s="4">
        <f>Games[[#This Row],[PreGmRate]]+Games[[#This Row],[RatingChange]]</f>
        <v>1431.2057520710946</v>
      </c>
      <c r="AC147" s="2">
        <f>IF(Games[[#This Row],[Type]]="R",IF(Games[[#This Row],[Result]]&gt;0.5,1,0),0)</f>
        <v>0</v>
      </c>
      <c r="AD147" s="2">
        <f>IF(Games[[#This Row],[Type]]="R",IF(Games[[#This Row],[Result]]&lt;0.5,1,0),0)</f>
        <v>1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45100</v>
      </c>
      <c r="B148" s="2">
        <v>2023</v>
      </c>
      <c r="C148" s="2">
        <f>COUNTIFS(Games[Team],Games[[#This Row],[Team]],Games[Season],Games[[#This Row],[Season]],Games[Date],"&lt;=" &amp; Games[[#This Row],[Date]])</f>
        <v>13</v>
      </c>
      <c r="D148" s="2" t="s">
        <v>79</v>
      </c>
      <c r="E148" s="2" t="s">
        <v>80</v>
      </c>
      <c r="F148" s="1" t="s">
        <v>85</v>
      </c>
      <c r="G148" s="1" t="s">
        <v>63</v>
      </c>
      <c r="H148" s="1" t="s">
        <v>81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8" s="2">
        <f>Games[[#This Row],[DaysOff]]-Games[[#This Row],[OppDaysOff]]</f>
        <v>0</v>
      </c>
      <c r="L148" s="2">
        <f>Games[[#This Row],[OppDaysOff]]-Games[[#This Row],[DaysOff]]</f>
        <v>0</v>
      </c>
      <c r="M148" s="1">
        <f>MAX(-16, MIN(16, Games[[#This Row],[RestDiff]]*8))</f>
        <v>0</v>
      </c>
      <c r="N148" s="1">
        <f>MAX(-16, MIN(16, Games[[#This Row],[OppRestDiff]]*8))</f>
        <v>0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1480.6061056201956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1443.9720006869557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0.43225418342942218</v>
      </c>
      <c r="R148" s="1">
        <v>74</v>
      </c>
      <c r="S148" s="1">
        <v>76</v>
      </c>
      <c r="T148" s="1">
        <v>0</v>
      </c>
      <c r="U148" s="1">
        <f>Games[[#This Row],[PointsFor]]-Games[[#This Row],[PointsAgainst]]</f>
        <v>-2</v>
      </c>
      <c r="V148" s="1">
        <f>IF(Games[[#This Row],[MOV]]&gt;0,1,IF(Games[[#This Row],[MOV]]=0,0.5,0))</f>
        <v>0</v>
      </c>
      <c r="W148" s="4">
        <f>((ABS(Games[[#This Row],[MOV]])+5)^0.6)/(12+0.01*(ABS(Games[[#This Row],[PreGmRate]]-Games[[#This Row],[OppPreGmRate]])))*IF(Games[[#This Row],[OT]]=1,0.9,1)</f>
        <v>0.25990677734781964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8" s="9">
        <f>MAX(kmin, kmax - 0.15 * MIN(Games[[#This Row],[GamesPlayed]], 82))</f>
        <v>74.05</v>
      </c>
      <c r="Z148" s="4">
        <f>Games[[#This Row],[K]]*Games[[#This Row],[POMult]]</f>
        <v>74.05</v>
      </c>
      <c r="AA148" s="4">
        <f>(Games[[#This Row],[Keff]]*Games[[#This Row],[MOVMult]])*(Games[[#This Row],[Result]]-Games[[#This Row],[ExpectedWin%]])</f>
        <v>-8.3192058835493405</v>
      </c>
      <c r="AB148" s="4">
        <f>Games[[#This Row],[PreGmRate]]+Games[[#This Row],[RatingChange]]</f>
        <v>1472.2868997366463</v>
      </c>
      <c r="AC148" s="2">
        <f>IF(Games[[#This Row],[Type]]="R",IF(Games[[#This Row],[Result]]&gt;0.5,1,0),0)</f>
        <v>0</v>
      </c>
      <c r="AD148" s="2">
        <f>IF(Games[[#This Row],[Type]]="R",IF(Games[[#This Row],[Result]]&lt;0.5,1,0),0)</f>
        <v>1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45100</v>
      </c>
      <c r="B149" s="2">
        <v>2023</v>
      </c>
      <c r="C149" s="2">
        <f>COUNTIFS(Games[Team],Games[[#This Row],[Team]],Games[Season],Games[[#This Row],[Season]],Games[Date],"&lt;=" &amp; Games[[#This Row],[Date]])</f>
        <v>13</v>
      </c>
      <c r="D149" s="2" t="s">
        <v>79</v>
      </c>
      <c r="E149" s="2" t="s">
        <v>80</v>
      </c>
      <c r="F149" s="1" t="s">
        <v>63</v>
      </c>
      <c r="G149" s="1" t="s">
        <v>85</v>
      </c>
      <c r="H149" s="1" t="s">
        <v>82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9" s="2">
        <f>Games[[#This Row],[DaysOff]]-Games[[#This Row],[OppDaysOff]]</f>
        <v>0</v>
      </c>
      <c r="L149" s="2">
        <f>Games[[#This Row],[OppDaysOff]]-Games[[#This Row],[DaysOff]]</f>
        <v>0</v>
      </c>
      <c r="M149" s="1">
        <f>MAX(-16, MIN(16, Games[[#This Row],[RestDiff]]*8))</f>
        <v>0</v>
      </c>
      <c r="N149" s="1">
        <f>MAX(-16, MIN(16, Games[[#This Row],[OppRestDiff]]*8))</f>
        <v>0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1443.9720006869557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1480.6061056201956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0.56774581657057777</v>
      </c>
      <c r="R149" s="1">
        <v>76</v>
      </c>
      <c r="S149" s="1">
        <v>74</v>
      </c>
      <c r="T149" s="1">
        <v>0</v>
      </c>
      <c r="U149" s="1">
        <f>Games[[#This Row],[PointsFor]]-Games[[#This Row],[PointsAgainst]]</f>
        <v>2</v>
      </c>
      <c r="V149" s="1">
        <f>IF(Games[[#This Row],[MOV]]&gt;0,1,IF(Games[[#This Row],[MOV]]=0,0.5,0))</f>
        <v>1</v>
      </c>
      <c r="W149" s="4">
        <f>((ABS(Games[[#This Row],[MOV]])+5)^0.6)/(12+0.01*(ABS(Games[[#This Row],[PreGmRate]]-Games[[#This Row],[OppPreGmRate]])))*IF(Games[[#This Row],[OT]]=1,0.9,1)</f>
        <v>0.25990677734781964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9" s="9">
        <f>MAX(kmin, kmax - 0.15 * MIN(Games[[#This Row],[GamesPlayed]], 82))</f>
        <v>74.05</v>
      </c>
      <c r="Z149" s="4">
        <f>Games[[#This Row],[K]]*Games[[#This Row],[POMult]]</f>
        <v>74.05</v>
      </c>
      <c r="AA149" s="4">
        <f>(Games[[#This Row],[Keff]]*Games[[#This Row],[MOVMult]])*(Games[[#This Row],[Result]]-Games[[#This Row],[ExpectedWin%]])</f>
        <v>8.3192058835493405</v>
      </c>
      <c r="AB149" s="4">
        <f>Games[[#This Row],[PreGmRate]]+Games[[#This Row],[RatingChange]]</f>
        <v>1452.291206570505</v>
      </c>
      <c r="AC149" s="2">
        <f>IF(Games[[#This Row],[Type]]="R",IF(Games[[#This Row],[Result]]&gt;0.5,1,0),0)</f>
        <v>1</v>
      </c>
      <c r="AD149" s="2">
        <f>IF(Games[[#This Row],[Type]]="R",IF(Games[[#This Row],[Result]]&lt;0.5,1,0),0)</f>
        <v>0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45101</v>
      </c>
      <c r="B150" s="2">
        <v>2023</v>
      </c>
      <c r="C150" s="2">
        <f>COUNTIFS(Games[Team],Games[[#This Row],[Team]],Games[Season],Games[[#This Row],[Season]],Games[Date],"&lt;=" &amp; Games[[#This Row],[Date]])</f>
        <v>13</v>
      </c>
      <c r="D150" s="2" t="s">
        <v>79</v>
      </c>
      <c r="E150" s="2" t="s">
        <v>80</v>
      </c>
      <c r="F150" s="1" t="s">
        <v>69</v>
      </c>
      <c r="G150" s="1" t="s">
        <v>86</v>
      </c>
      <c r="H150" s="1" t="s">
        <v>81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0" s="2">
        <f>Games[[#This Row],[DaysOff]]-Games[[#This Row],[OppDaysOff]]</f>
        <v>-1</v>
      </c>
      <c r="L150" s="2">
        <f>Games[[#This Row],[OppDaysOff]]-Games[[#This Row],[DaysOff]]</f>
        <v>1</v>
      </c>
      <c r="M150" s="1">
        <f>MAX(-16, MIN(16, Games[[#This Row],[RestDiff]]*8))</f>
        <v>-8</v>
      </c>
      <c r="N150" s="1">
        <f>MAX(-16, MIN(16, Games[[#This Row],[OppRestDiff]]*8))</f>
        <v>8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1401.5348802279675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1695.9204828517322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9.3615637218180212E-2</v>
      </c>
      <c r="R150" s="1">
        <v>88</v>
      </c>
      <c r="S150" s="1">
        <v>101</v>
      </c>
      <c r="T150" s="1">
        <v>0</v>
      </c>
      <c r="U150" s="1">
        <f>Games[[#This Row],[PointsFor]]-Games[[#This Row],[PointsAgainst]]</f>
        <v>-13</v>
      </c>
      <c r="V150" s="1">
        <f>IF(Games[[#This Row],[MOV]]&gt;0,1,IF(Games[[#This Row],[MOV]]=0,0.5,0))</f>
        <v>0</v>
      </c>
      <c r="W150" s="4">
        <f>((ABS(Games[[#This Row],[MOV]])+5)^0.6)/(12+0.01*(ABS(Games[[#This Row],[PreGmRate]]-Games[[#This Row],[OppPreGmRate]])))*IF(Games[[#This Row],[OT]]=1,0.9,1)</f>
        <v>0.37905377687150704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0" s="9">
        <f>MAX(kmin, kmax - 0.15 * MIN(Games[[#This Row],[GamesPlayed]], 82))</f>
        <v>74.05</v>
      </c>
      <c r="Z150" s="4">
        <f>Games[[#This Row],[K]]*Games[[#This Row],[POMult]]</f>
        <v>74.05</v>
      </c>
      <c r="AA150" s="4">
        <f>(Games[[#This Row],[Keff]]*Games[[#This Row],[MOVMult]])*(Games[[#This Row],[Result]]-Games[[#This Row],[ExpectedWin%]])</f>
        <v>-2.6276909718151074</v>
      </c>
      <c r="AB150" s="4">
        <f>Games[[#This Row],[PreGmRate]]+Games[[#This Row],[RatingChange]]</f>
        <v>1398.9071892561524</v>
      </c>
      <c r="AC150" s="2">
        <f>IF(Games[[#This Row],[Type]]="R",IF(Games[[#This Row],[Result]]&gt;0.5,1,0),0)</f>
        <v>0</v>
      </c>
      <c r="AD150" s="2">
        <f>IF(Games[[#This Row],[Type]]="R",IF(Games[[#This Row],[Result]]&lt;0.5,1,0),0)</f>
        <v>1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45101</v>
      </c>
      <c r="B151" s="2">
        <v>2023</v>
      </c>
      <c r="C151" s="2">
        <f>COUNTIFS(Games[Team],Games[[#This Row],[Team]],Games[Season],Games[[#This Row],[Season]],Games[Date],"&lt;=" &amp; Games[[#This Row],[Date]])</f>
        <v>13</v>
      </c>
      <c r="D151" s="2" t="s">
        <v>79</v>
      </c>
      <c r="E151" s="2" t="s">
        <v>80</v>
      </c>
      <c r="F151" s="1" t="s">
        <v>86</v>
      </c>
      <c r="G151" s="1" t="s">
        <v>69</v>
      </c>
      <c r="H151" s="1" t="s">
        <v>82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1" s="2">
        <f>Games[[#This Row],[DaysOff]]-Games[[#This Row],[OppDaysOff]]</f>
        <v>1</v>
      </c>
      <c r="L151" s="2">
        <f>Games[[#This Row],[OppDaysOff]]-Games[[#This Row],[DaysOff]]</f>
        <v>-1</v>
      </c>
      <c r="M151" s="1">
        <f>MAX(-16, MIN(16, Games[[#This Row],[RestDiff]]*8))</f>
        <v>8</v>
      </c>
      <c r="N151" s="1">
        <f>MAX(-16, MIN(16, Games[[#This Row],[OppRestDiff]]*8))</f>
        <v>-8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1695.9204828517322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1401.5348802279675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0.90638436278181989</v>
      </c>
      <c r="R151" s="1">
        <v>101</v>
      </c>
      <c r="S151" s="1">
        <v>88</v>
      </c>
      <c r="T151" s="1">
        <v>0</v>
      </c>
      <c r="U151" s="1">
        <f>Games[[#This Row],[PointsFor]]-Games[[#This Row],[PointsAgainst]]</f>
        <v>13</v>
      </c>
      <c r="V151" s="1">
        <f>IF(Games[[#This Row],[MOV]]&gt;0,1,IF(Games[[#This Row],[MOV]]=0,0.5,0))</f>
        <v>1</v>
      </c>
      <c r="W151" s="4">
        <f>((ABS(Games[[#This Row],[MOV]])+5)^0.6)/(12+0.01*(ABS(Games[[#This Row],[PreGmRate]]-Games[[#This Row],[OppPreGmRate]])))*IF(Games[[#This Row],[OT]]=1,0.9,1)</f>
        <v>0.37905377687150704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1" s="9">
        <f>MAX(kmin, kmax - 0.15 * MIN(Games[[#This Row],[GamesPlayed]], 82))</f>
        <v>74.05</v>
      </c>
      <c r="Z151" s="4">
        <f>Games[[#This Row],[K]]*Games[[#This Row],[POMult]]</f>
        <v>74.05</v>
      </c>
      <c r="AA151" s="4">
        <f>(Games[[#This Row],[Keff]]*Games[[#This Row],[MOVMult]])*(Games[[#This Row],[Result]]-Games[[#This Row],[ExpectedWin%]])</f>
        <v>2.6276909718151047</v>
      </c>
      <c r="AB151" s="4">
        <f>Games[[#This Row],[PreGmRate]]+Games[[#This Row],[RatingChange]]</f>
        <v>1698.5481738235474</v>
      </c>
      <c r="AC151" s="2">
        <f>IF(Games[[#This Row],[Type]]="R",IF(Games[[#This Row],[Result]]&gt;0.5,1,0),0)</f>
        <v>1</v>
      </c>
      <c r="AD151" s="2">
        <f>IF(Games[[#This Row],[Type]]="R",IF(Games[[#This Row],[Result]]&lt;0.5,1,0),0)</f>
        <v>0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45101</v>
      </c>
      <c r="B152" s="2">
        <v>2023</v>
      </c>
      <c r="C152" s="2">
        <f>COUNTIFS(Games[Team],Games[[#This Row],[Team]],Games[Season],Games[[#This Row],[Season]],Games[Date],"&lt;=" &amp; Games[[#This Row],[Date]])</f>
        <v>12</v>
      </c>
      <c r="D152" s="2" t="s">
        <v>79</v>
      </c>
      <c r="E152" s="2" t="s">
        <v>80</v>
      </c>
      <c r="F152" s="1" t="s">
        <v>40</v>
      </c>
      <c r="G152" s="1" t="s">
        <v>71</v>
      </c>
      <c r="H152" s="1" t="s">
        <v>81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2" s="2">
        <f>Games[[#This Row],[DaysOff]]-Games[[#This Row],[OppDaysOff]]</f>
        <v>1</v>
      </c>
      <c r="L152" s="2">
        <f>Games[[#This Row],[OppDaysOff]]-Games[[#This Row],[DaysOff]]</f>
        <v>-1</v>
      </c>
      <c r="M152" s="1">
        <f>MAX(-16, MIN(16, Games[[#This Row],[RestDiff]]*8))</f>
        <v>8</v>
      </c>
      <c r="N152" s="1">
        <f>MAX(-16, MIN(16, Games[[#This Row],[OppRestDiff]]*8))</f>
        <v>-8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1382.694163224621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1451.0873747191956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0.31321263243388492</v>
      </c>
      <c r="R152" s="1">
        <v>74</v>
      </c>
      <c r="S152" s="1">
        <v>97</v>
      </c>
      <c r="T152" s="1">
        <v>0</v>
      </c>
      <c r="U152" s="1">
        <f>Games[[#This Row],[PointsFor]]-Games[[#This Row],[PointsAgainst]]</f>
        <v>-23</v>
      </c>
      <c r="V152" s="1">
        <f>IF(Games[[#This Row],[MOV]]&gt;0,1,IF(Games[[#This Row],[MOV]]=0,0.5,0))</f>
        <v>0</v>
      </c>
      <c r="W152" s="4">
        <f>((ABS(Games[[#This Row],[MOV]])+5)^0.6)/(12+0.01*(ABS(Games[[#This Row],[PreGmRate]]-Games[[#This Row],[OppPreGmRate]])))*IF(Games[[#This Row],[OT]]=1,0.9,1)</f>
        <v>0.58215805349844429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2" s="9">
        <f>MAX(kmin, kmax - 0.15 * MIN(Games[[#This Row],[GamesPlayed]], 82))</f>
        <v>74.2</v>
      </c>
      <c r="Z152" s="4">
        <f>Games[[#This Row],[K]]*Games[[#This Row],[POMult]]</f>
        <v>74.2</v>
      </c>
      <c r="AA152" s="4">
        <f>(Games[[#This Row],[Keff]]*Games[[#This Row],[MOVMult]])*(Games[[#This Row],[Result]]-Games[[#This Row],[ExpectedWin%]])</f>
        <v>-13.529572827019495</v>
      </c>
      <c r="AB152" s="4">
        <f>Games[[#This Row],[PreGmRate]]+Games[[#This Row],[RatingChange]]</f>
        <v>1369.1645903976014</v>
      </c>
      <c r="AC152" s="2">
        <f>IF(Games[[#This Row],[Type]]="R",IF(Games[[#This Row],[Result]]&gt;0.5,1,0),0)</f>
        <v>0</v>
      </c>
      <c r="AD152" s="2">
        <f>IF(Games[[#This Row],[Type]]="R",IF(Games[[#This Row],[Result]]&lt;0.5,1,0),0)</f>
        <v>1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45101</v>
      </c>
      <c r="B153" s="2">
        <v>2023</v>
      </c>
      <c r="C153" s="2">
        <f>COUNTIFS(Games[Team],Games[[#This Row],[Team]],Games[Season],Games[[#This Row],[Season]],Games[Date],"&lt;=" &amp; Games[[#This Row],[Date]])</f>
        <v>13</v>
      </c>
      <c r="D153" s="2" t="s">
        <v>79</v>
      </c>
      <c r="E153" s="2" t="s">
        <v>80</v>
      </c>
      <c r="F153" s="1" t="s">
        <v>71</v>
      </c>
      <c r="G153" s="1" t="s">
        <v>40</v>
      </c>
      <c r="H153" s="1" t="s">
        <v>82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3" s="2">
        <f>Games[[#This Row],[DaysOff]]-Games[[#This Row],[OppDaysOff]]</f>
        <v>-1</v>
      </c>
      <c r="L153" s="2">
        <f>Games[[#This Row],[OppDaysOff]]-Games[[#This Row],[DaysOff]]</f>
        <v>1</v>
      </c>
      <c r="M153" s="1">
        <f>MAX(-16, MIN(16, Games[[#This Row],[RestDiff]]*8))</f>
        <v>-8</v>
      </c>
      <c r="N153" s="1">
        <f>MAX(-16, MIN(16, Games[[#This Row],[OppRestDiff]]*8))</f>
        <v>8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1451.0873747191956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1382.694163224621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0.68678736756611514</v>
      </c>
      <c r="R153" s="1">
        <v>97</v>
      </c>
      <c r="S153" s="1">
        <v>74</v>
      </c>
      <c r="T153" s="1">
        <v>0</v>
      </c>
      <c r="U153" s="1">
        <f>Games[[#This Row],[PointsFor]]-Games[[#This Row],[PointsAgainst]]</f>
        <v>23</v>
      </c>
      <c r="V153" s="1">
        <f>IF(Games[[#This Row],[MOV]]&gt;0,1,IF(Games[[#This Row],[MOV]]=0,0.5,0))</f>
        <v>1</v>
      </c>
      <c r="W153" s="4">
        <f>((ABS(Games[[#This Row],[MOV]])+5)^0.6)/(12+0.01*(ABS(Games[[#This Row],[PreGmRate]]-Games[[#This Row],[OppPreGmRate]])))*IF(Games[[#This Row],[OT]]=1,0.9,1)</f>
        <v>0.58215805349844429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3" s="9">
        <f>MAX(kmin, kmax - 0.15 * MIN(Games[[#This Row],[GamesPlayed]], 82))</f>
        <v>74.05</v>
      </c>
      <c r="Z153" s="4">
        <f>Games[[#This Row],[K]]*Games[[#This Row],[POMult]]</f>
        <v>74.05</v>
      </c>
      <c r="AA153" s="4">
        <f>(Games[[#This Row],[Keff]]*Games[[#This Row],[MOVMult]])*(Games[[#This Row],[Result]]-Games[[#This Row],[ExpectedWin%]])</f>
        <v>13.502221938555167</v>
      </c>
      <c r="AB153" s="4">
        <f>Games[[#This Row],[PreGmRate]]+Games[[#This Row],[RatingChange]]</f>
        <v>1464.5895966577507</v>
      </c>
      <c r="AC153" s="2">
        <f>IF(Games[[#This Row],[Type]]="R",IF(Games[[#This Row],[Result]]&gt;0.5,1,0),0)</f>
        <v>1</v>
      </c>
      <c r="AD153" s="2">
        <f>IF(Games[[#This Row],[Type]]="R",IF(Games[[#This Row],[Result]]&lt;0.5,1,0),0)</f>
        <v>0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45102</v>
      </c>
      <c r="B154" s="2">
        <v>2023</v>
      </c>
      <c r="C154" s="2">
        <f>COUNTIFS(Games[Team],Games[[#This Row],[Team]],Games[Season],Games[[#This Row],[Season]],Games[Date],"&lt;=" &amp; Games[[#This Row],[Date]])</f>
        <v>14</v>
      </c>
      <c r="D154" s="2" t="s">
        <v>79</v>
      </c>
      <c r="E154" s="2" t="s">
        <v>80</v>
      </c>
      <c r="F154" s="1" t="s">
        <v>75</v>
      </c>
      <c r="G154" s="1" t="s">
        <v>74</v>
      </c>
      <c r="H154" s="1" t="s">
        <v>81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4" s="2">
        <f>Games[[#This Row],[DaysOff]]-Games[[#This Row],[OppDaysOff]]</f>
        <v>0</v>
      </c>
      <c r="L154" s="2">
        <f>Games[[#This Row],[OppDaysOff]]-Games[[#This Row],[DaysOff]]</f>
        <v>0</v>
      </c>
      <c r="M154" s="1">
        <f>MAX(-16, MIN(16, Games[[#This Row],[RestDiff]]*8))</f>
        <v>0</v>
      </c>
      <c r="N154" s="1">
        <f>MAX(-16, MIN(16, Games[[#This Row],[OppRestDiff]]*8))</f>
        <v>0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1488.7853392437198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1647.9645761060954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0.19783956384540619</v>
      </c>
      <c r="R154" s="1">
        <v>72</v>
      </c>
      <c r="S154" s="1">
        <v>96</v>
      </c>
      <c r="T154" s="1">
        <v>0</v>
      </c>
      <c r="U154" s="1">
        <f>Games[[#This Row],[PointsFor]]-Games[[#This Row],[PointsAgainst]]</f>
        <v>-24</v>
      </c>
      <c r="V154" s="1">
        <f>IF(Games[[#This Row],[MOV]]&gt;0,1,IF(Games[[#This Row],[MOV]]=0,0.5,0))</f>
        <v>0</v>
      </c>
      <c r="W154" s="4">
        <f>((ABS(Games[[#This Row],[MOV]])+5)^0.6)/(12+0.01*(ABS(Games[[#This Row],[PreGmRate]]-Games[[#This Row],[OppPreGmRate]])))*IF(Games[[#This Row],[OT]]=1,0.9,1)</f>
        <v>0.55483272322392208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4" s="9">
        <f>MAX(kmin, kmax - 0.15 * MIN(Games[[#This Row],[GamesPlayed]], 82))</f>
        <v>73.900000000000006</v>
      </c>
      <c r="Z154" s="4">
        <f>Games[[#This Row],[K]]*Games[[#This Row],[POMult]]</f>
        <v>73.900000000000006</v>
      </c>
      <c r="AA154" s="4">
        <f>(Games[[#This Row],[Keff]]*Games[[#This Row],[MOVMult]])*(Games[[#This Row],[Result]]-Games[[#This Row],[ExpectedWin%]])</f>
        <v>-8.1118451473667221</v>
      </c>
      <c r="AB154" s="4">
        <f>Games[[#This Row],[PreGmRate]]+Games[[#This Row],[RatingChange]]</f>
        <v>1480.6734940963531</v>
      </c>
      <c r="AC154" s="2">
        <f>IF(Games[[#This Row],[Type]]="R",IF(Games[[#This Row],[Result]]&gt;0.5,1,0),0)</f>
        <v>0</v>
      </c>
      <c r="AD154" s="2">
        <f>IF(Games[[#This Row],[Type]]="R",IF(Games[[#This Row],[Result]]&lt;0.5,1,0),0)</f>
        <v>1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45102</v>
      </c>
      <c r="B155" s="2">
        <v>2023</v>
      </c>
      <c r="C155" s="2">
        <f>COUNTIFS(Games[Team],Games[[#This Row],[Team]],Games[Season],Games[[#This Row],[Season]],Games[Date],"&lt;=" &amp; Games[[#This Row],[Date]])</f>
        <v>15</v>
      </c>
      <c r="D155" s="2" t="s">
        <v>79</v>
      </c>
      <c r="E155" s="2" t="s">
        <v>80</v>
      </c>
      <c r="F155" s="1" t="s">
        <v>74</v>
      </c>
      <c r="G155" s="1" t="s">
        <v>75</v>
      </c>
      <c r="H155" s="1" t="s">
        <v>82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5" s="2">
        <f>Games[[#This Row],[DaysOff]]-Games[[#This Row],[OppDaysOff]]</f>
        <v>0</v>
      </c>
      <c r="L155" s="2">
        <f>Games[[#This Row],[OppDaysOff]]-Games[[#This Row],[DaysOff]]</f>
        <v>0</v>
      </c>
      <c r="M155" s="1">
        <f>MAX(-16, MIN(16, Games[[#This Row],[RestDiff]]*8))</f>
        <v>0</v>
      </c>
      <c r="N155" s="1">
        <f>MAX(-16, MIN(16, Games[[#This Row],[OppRestDiff]]*8))</f>
        <v>0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1647.9645761060954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1488.7853392437198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0.80216043615459376</v>
      </c>
      <c r="R155" s="1">
        <v>96</v>
      </c>
      <c r="S155" s="1">
        <v>72</v>
      </c>
      <c r="T155" s="1">
        <v>0</v>
      </c>
      <c r="U155" s="1">
        <f>Games[[#This Row],[PointsFor]]-Games[[#This Row],[PointsAgainst]]</f>
        <v>24</v>
      </c>
      <c r="V155" s="1">
        <f>IF(Games[[#This Row],[MOV]]&gt;0,1,IF(Games[[#This Row],[MOV]]=0,0.5,0))</f>
        <v>1</v>
      </c>
      <c r="W155" s="4">
        <f>((ABS(Games[[#This Row],[MOV]])+5)^0.6)/(12+0.01*(ABS(Games[[#This Row],[PreGmRate]]-Games[[#This Row],[OppPreGmRate]])))*IF(Games[[#This Row],[OT]]=1,0.9,1)</f>
        <v>0.55483272322392208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5" s="9">
        <f>MAX(kmin, kmax - 0.15 * MIN(Games[[#This Row],[GamesPlayed]], 82))</f>
        <v>73.75</v>
      </c>
      <c r="Z155" s="4">
        <f>Games[[#This Row],[K]]*Games[[#This Row],[POMult]]</f>
        <v>73.75</v>
      </c>
      <c r="AA155" s="4">
        <f>(Games[[#This Row],[Keff]]*Games[[#This Row],[MOVMult]])*(Games[[#This Row],[Result]]-Games[[#This Row],[ExpectedWin%]])</f>
        <v>8.0953799677712563</v>
      </c>
      <c r="AB155" s="4">
        <f>Games[[#This Row],[PreGmRate]]+Games[[#This Row],[RatingChange]]</f>
        <v>1656.0599560738667</v>
      </c>
      <c r="AC155" s="2">
        <f>IF(Games[[#This Row],[Type]]="R",IF(Games[[#This Row],[Result]]&gt;0.5,1,0),0)</f>
        <v>1</v>
      </c>
      <c r="AD155" s="2">
        <f>IF(Games[[#This Row],[Type]]="R",IF(Games[[#This Row],[Result]]&lt;0.5,1,0),0)</f>
        <v>0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45102</v>
      </c>
      <c r="B156" s="2">
        <v>2023</v>
      </c>
      <c r="C156" s="2">
        <f>COUNTIFS(Games[Team],Games[[#This Row],[Team]],Games[Season],Games[[#This Row],[Season]],Games[Date],"&lt;=" &amp; Games[[#This Row],[Date]])</f>
        <v>14</v>
      </c>
      <c r="D156" s="2" t="s">
        <v>79</v>
      </c>
      <c r="E156" s="2" t="s">
        <v>80</v>
      </c>
      <c r="F156" s="1" t="s">
        <v>85</v>
      </c>
      <c r="G156" s="1" t="s">
        <v>63</v>
      </c>
      <c r="H156" s="1" t="s">
        <v>81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6" s="2">
        <f>Games[[#This Row],[DaysOff]]-Games[[#This Row],[OppDaysOff]]</f>
        <v>0</v>
      </c>
      <c r="L156" s="2">
        <f>Games[[#This Row],[OppDaysOff]]-Games[[#This Row],[DaysOff]]</f>
        <v>0</v>
      </c>
      <c r="M156" s="1">
        <f>MAX(-16, MIN(16, Games[[#This Row],[RestDiff]]*8))</f>
        <v>0</v>
      </c>
      <c r="N156" s="1">
        <f>MAX(-16, MIN(16, Games[[#This Row],[OppRestDiff]]*8))</f>
        <v>0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1472.2868997366463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1452.291206570505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0.40891841131129869</v>
      </c>
      <c r="R156" s="1">
        <v>83</v>
      </c>
      <c r="S156" s="1">
        <v>93</v>
      </c>
      <c r="T156" s="1">
        <v>0</v>
      </c>
      <c r="U156" s="1">
        <f>Games[[#This Row],[PointsFor]]-Games[[#This Row],[PointsAgainst]]</f>
        <v>-10</v>
      </c>
      <c r="V156" s="1">
        <f>IF(Games[[#This Row],[MOV]]&gt;0,1,IF(Games[[#This Row],[MOV]]=0,0.5,0))</f>
        <v>0</v>
      </c>
      <c r="W156" s="4">
        <f>((ABS(Games[[#This Row],[MOV]])+5)^0.6)/(12+0.01*(ABS(Games[[#This Row],[PreGmRate]]-Games[[#This Row],[OppPreGmRate]])))*IF(Games[[#This Row],[OT]]=1,0.9,1)</f>
        <v>0.41619461613098796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6" s="9">
        <f>MAX(kmin, kmax - 0.15 * MIN(Games[[#This Row],[GamesPlayed]], 82))</f>
        <v>73.900000000000006</v>
      </c>
      <c r="Z156" s="4">
        <f>Games[[#This Row],[K]]*Games[[#This Row],[POMult]]</f>
        <v>73.900000000000006</v>
      </c>
      <c r="AA156" s="4">
        <f>(Games[[#This Row],[Keff]]*Games[[#This Row],[MOVMult]])*(Games[[#This Row],[Result]]-Games[[#This Row],[ExpectedWin%]])</f>
        <v>-12.577014486497896</v>
      </c>
      <c r="AB156" s="4">
        <f>Games[[#This Row],[PreGmRate]]+Games[[#This Row],[RatingChange]]</f>
        <v>1459.7098852501483</v>
      </c>
      <c r="AC156" s="2">
        <f>IF(Games[[#This Row],[Type]]="R",IF(Games[[#This Row],[Result]]&gt;0.5,1,0),0)</f>
        <v>0</v>
      </c>
      <c r="AD156" s="2">
        <f>IF(Games[[#This Row],[Type]]="R",IF(Games[[#This Row],[Result]]&lt;0.5,1,0),0)</f>
        <v>1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45102</v>
      </c>
      <c r="B157" s="2">
        <v>2023</v>
      </c>
      <c r="C157" s="2">
        <f>COUNTIFS(Games[Team],Games[[#This Row],[Team]],Games[Season],Games[[#This Row],[Season]],Games[Date],"&lt;=" &amp; Games[[#This Row],[Date]])</f>
        <v>14</v>
      </c>
      <c r="D157" s="2" t="s">
        <v>79</v>
      </c>
      <c r="E157" s="2" t="s">
        <v>80</v>
      </c>
      <c r="F157" s="1" t="s">
        <v>63</v>
      </c>
      <c r="G157" s="1" t="s">
        <v>85</v>
      </c>
      <c r="H157" s="1" t="s">
        <v>82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7" s="2">
        <f>Games[[#This Row],[DaysOff]]-Games[[#This Row],[OppDaysOff]]</f>
        <v>0</v>
      </c>
      <c r="L157" s="2">
        <f>Games[[#This Row],[OppDaysOff]]-Games[[#This Row],[DaysOff]]</f>
        <v>0</v>
      </c>
      <c r="M157" s="1">
        <f>MAX(-16, MIN(16, Games[[#This Row],[RestDiff]]*8))</f>
        <v>0</v>
      </c>
      <c r="N157" s="1">
        <f>MAX(-16, MIN(16, Games[[#This Row],[OppRestDiff]]*8))</f>
        <v>0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1452.291206570505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1472.2868997366463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0.59108158868870131</v>
      </c>
      <c r="R157" s="1">
        <v>93</v>
      </c>
      <c r="S157" s="1">
        <v>83</v>
      </c>
      <c r="T157" s="1">
        <v>0</v>
      </c>
      <c r="U157" s="1">
        <f>Games[[#This Row],[PointsFor]]-Games[[#This Row],[PointsAgainst]]</f>
        <v>10</v>
      </c>
      <c r="V157" s="1">
        <f>IF(Games[[#This Row],[MOV]]&gt;0,1,IF(Games[[#This Row],[MOV]]=0,0.5,0))</f>
        <v>1</v>
      </c>
      <c r="W157" s="4">
        <f>((ABS(Games[[#This Row],[MOV]])+5)^0.6)/(12+0.01*(ABS(Games[[#This Row],[PreGmRate]]-Games[[#This Row],[OppPreGmRate]])))*IF(Games[[#This Row],[OT]]=1,0.9,1)</f>
        <v>0.41619461613098796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7" s="9">
        <f>MAX(kmin, kmax - 0.15 * MIN(Games[[#This Row],[GamesPlayed]], 82))</f>
        <v>73.900000000000006</v>
      </c>
      <c r="Z157" s="4">
        <f>Games[[#This Row],[K]]*Games[[#This Row],[POMult]]</f>
        <v>73.900000000000006</v>
      </c>
      <c r="AA157" s="4">
        <f>(Games[[#This Row],[Keff]]*Games[[#This Row],[MOVMult]])*(Games[[#This Row],[Result]]-Games[[#This Row],[ExpectedWin%]])</f>
        <v>12.577014486497896</v>
      </c>
      <c r="AB157" s="4">
        <f>Games[[#This Row],[PreGmRate]]+Games[[#This Row],[RatingChange]]</f>
        <v>1464.868221057003</v>
      </c>
      <c r="AC157" s="2">
        <f>IF(Games[[#This Row],[Type]]="R",IF(Games[[#This Row],[Result]]&gt;0.5,1,0),0)</f>
        <v>1</v>
      </c>
      <c r="AD157" s="2">
        <f>IF(Games[[#This Row],[Type]]="R",IF(Games[[#This Row],[Result]]&lt;0.5,1,0),0)</f>
        <v>0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45102</v>
      </c>
      <c r="B158" s="2">
        <v>2023</v>
      </c>
      <c r="C158" s="2">
        <f>COUNTIFS(Games[Team],Games[[#This Row],[Team]],Games[Season],Games[[#This Row],[Season]],Games[Date],"&lt;=" &amp; Games[[#This Row],[Date]])</f>
        <v>13</v>
      </c>
      <c r="D158" s="2" t="s">
        <v>79</v>
      </c>
      <c r="E158" s="2" t="s">
        <v>80</v>
      </c>
      <c r="F158" s="1" t="s">
        <v>65</v>
      </c>
      <c r="G158" s="1" t="s">
        <v>60</v>
      </c>
      <c r="H158" s="1" t="s">
        <v>81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8" s="2">
        <f>Games[[#This Row],[DaysOff]]-Games[[#This Row],[OppDaysOff]]</f>
        <v>1</v>
      </c>
      <c r="L158" s="2">
        <f>Games[[#This Row],[OppDaysOff]]-Games[[#This Row],[DaysOff]]</f>
        <v>-1</v>
      </c>
      <c r="M158" s="1">
        <f>MAX(-16, MIN(16, Games[[#This Row],[RestDiff]]*8))</f>
        <v>8</v>
      </c>
      <c r="N158" s="1">
        <f>MAX(-16, MIN(16, Games[[#This Row],[OppRestDiff]]*8))</f>
        <v>-8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1568.7728010726071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1561.576162965503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0.41337944158187928</v>
      </c>
      <c r="R158" s="1">
        <v>88</v>
      </c>
      <c r="S158" s="1">
        <v>89</v>
      </c>
      <c r="T158" s="1">
        <v>1</v>
      </c>
      <c r="U158" s="1">
        <f>Games[[#This Row],[PointsFor]]-Games[[#This Row],[PointsAgainst]]</f>
        <v>-1</v>
      </c>
      <c r="V158" s="1">
        <f>IF(Games[[#This Row],[MOV]]&gt;0,1,IF(Games[[#This Row],[MOV]]=0,0.5,0))</f>
        <v>0</v>
      </c>
      <c r="W158" s="4">
        <f>((ABS(Games[[#This Row],[MOV]])+5)^0.6)/(12+0.01*(ABS(Games[[#This Row],[PreGmRate]]-Games[[#This Row],[OppPreGmRate]])))*IF(Games[[#This Row],[OT]]=1,0.9,1)</f>
        <v>0.2184516062404076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8" s="9">
        <f>MAX(kmin, kmax - 0.15 * MIN(Games[[#This Row],[GamesPlayed]], 82))</f>
        <v>74.05</v>
      </c>
      <c r="Z158" s="4">
        <f>Games[[#This Row],[K]]*Games[[#This Row],[POMult]]</f>
        <v>74.05</v>
      </c>
      <c r="AA158" s="4">
        <f>(Games[[#This Row],[Keff]]*Games[[#This Row],[MOVMult]])*(Games[[#This Row],[Result]]-Games[[#This Row],[ExpectedWin%]])</f>
        <v>-6.6869669921740114</v>
      </c>
      <c r="AB158" s="4">
        <f>Games[[#This Row],[PreGmRate]]+Games[[#This Row],[RatingChange]]</f>
        <v>1562.085834080433</v>
      </c>
      <c r="AC158" s="2">
        <f>IF(Games[[#This Row],[Type]]="R",IF(Games[[#This Row],[Result]]&gt;0.5,1,0),0)</f>
        <v>0</v>
      </c>
      <c r="AD158" s="2">
        <f>IF(Games[[#This Row],[Type]]="R",IF(Games[[#This Row],[Result]]&lt;0.5,1,0),0)</f>
        <v>1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45102</v>
      </c>
      <c r="B159" s="2">
        <v>2023</v>
      </c>
      <c r="C159" s="2">
        <f>COUNTIFS(Games[Team],Games[[#This Row],[Team]],Games[Season],Games[[#This Row],[Season]],Games[Date],"&lt;=" &amp; Games[[#This Row],[Date]])</f>
        <v>12</v>
      </c>
      <c r="D159" s="2" t="s">
        <v>79</v>
      </c>
      <c r="E159" s="2" t="s">
        <v>80</v>
      </c>
      <c r="F159" s="1" t="s">
        <v>60</v>
      </c>
      <c r="G159" s="1" t="s">
        <v>65</v>
      </c>
      <c r="H159" s="1" t="s">
        <v>82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9" s="2">
        <f>Games[[#This Row],[DaysOff]]-Games[[#This Row],[OppDaysOff]]</f>
        <v>-1</v>
      </c>
      <c r="L159" s="2">
        <f>Games[[#This Row],[OppDaysOff]]-Games[[#This Row],[DaysOff]]</f>
        <v>1</v>
      </c>
      <c r="M159" s="1">
        <f>MAX(-16, MIN(16, Games[[#This Row],[RestDiff]]*8))</f>
        <v>-8</v>
      </c>
      <c r="N159" s="1">
        <f>MAX(-16, MIN(16, Games[[#This Row],[OppRestDiff]]*8))</f>
        <v>8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1561.576162965503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1568.7728010726071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0.58662055841812077</v>
      </c>
      <c r="R159" s="1">
        <v>89</v>
      </c>
      <c r="S159" s="1">
        <v>88</v>
      </c>
      <c r="T159" s="1">
        <v>1</v>
      </c>
      <c r="U159" s="1">
        <f>Games[[#This Row],[PointsFor]]-Games[[#This Row],[PointsAgainst]]</f>
        <v>1</v>
      </c>
      <c r="V159" s="1">
        <f>IF(Games[[#This Row],[MOV]]&gt;0,1,IF(Games[[#This Row],[MOV]]=0,0.5,0))</f>
        <v>1</v>
      </c>
      <c r="W159" s="4">
        <f>((ABS(Games[[#This Row],[MOV]])+5)^0.6)/(12+0.01*(ABS(Games[[#This Row],[PreGmRate]]-Games[[#This Row],[OppPreGmRate]])))*IF(Games[[#This Row],[OT]]=1,0.9,1)</f>
        <v>0.2184516062404076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9" s="9">
        <f>MAX(kmin, kmax - 0.15 * MIN(Games[[#This Row],[GamesPlayed]], 82))</f>
        <v>74.2</v>
      </c>
      <c r="Z159" s="4">
        <f>Games[[#This Row],[K]]*Games[[#This Row],[POMult]]</f>
        <v>74.2</v>
      </c>
      <c r="AA159" s="4">
        <f>(Games[[#This Row],[Keff]]*Games[[#This Row],[MOVMult]])*(Games[[#This Row],[Result]]-Games[[#This Row],[ExpectedWin%]])</f>
        <v>6.7005125026240595</v>
      </c>
      <c r="AB159" s="4">
        <f>Games[[#This Row],[PreGmRate]]+Games[[#This Row],[RatingChange]]</f>
        <v>1568.276675468127</v>
      </c>
      <c r="AC159" s="2">
        <f>IF(Games[[#This Row],[Type]]="R",IF(Games[[#This Row],[Result]]&gt;0.5,1,0),0)</f>
        <v>1</v>
      </c>
      <c r="AD159" s="2">
        <f>IF(Games[[#This Row],[Type]]="R",IF(Games[[#This Row],[Result]]&lt;0.5,1,0),0)</f>
        <v>0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45103</v>
      </c>
      <c r="B160" s="2">
        <v>2023</v>
      </c>
      <c r="C160" s="2">
        <f>COUNTIFS(Games[Team],Games[[#This Row],[Team]],Games[Season],Games[[#This Row],[Season]],Games[Date],"&lt;=" &amp; Games[[#This Row],[Date]])</f>
        <v>14</v>
      </c>
      <c r="D160" s="2" t="s">
        <v>79</v>
      </c>
      <c r="E160" s="2" t="s">
        <v>80</v>
      </c>
      <c r="F160" s="1" t="s">
        <v>69</v>
      </c>
      <c r="G160" s="1" t="s">
        <v>86</v>
      </c>
      <c r="H160" s="1" t="s">
        <v>81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0" s="2">
        <f>Games[[#This Row],[DaysOff]]-Games[[#This Row],[OppDaysOff]]</f>
        <v>0</v>
      </c>
      <c r="L160" s="2">
        <f>Games[[#This Row],[OppDaysOff]]-Games[[#This Row],[DaysOff]]</f>
        <v>0</v>
      </c>
      <c r="M160" s="1">
        <f>MAX(-16, MIN(16, Games[[#This Row],[RestDiff]]*8))</f>
        <v>0</v>
      </c>
      <c r="N160" s="1">
        <f>MAX(-16, MIN(16, Games[[#This Row],[OppRestDiff]]*8))</f>
        <v>0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1398.9071892561524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1698.5481738235474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9.89973577034719E-2</v>
      </c>
      <c r="R160" s="1">
        <v>80</v>
      </c>
      <c r="S160" s="1">
        <v>88</v>
      </c>
      <c r="T160" s="1">
        <v>0</v>
      </c>
      <c r="U160" s="1">
        <f>Games[[#This Row],[PointsFor]]-Games[[#This Row],[PointsAgainst]]</f>
        <v>-8</v>
      </c>
      <c r="V160" s="1">
        <f>IF(Games[[#This Row],[MOV]]&gt;0,1,IF(Games[[#This Row],[MOV]]=0,0.5,0))</f>
        <v>0</v>
      </c>
      <c r="W160" s="4">
        <f>((ABS(Games[[#This Row],[MOV]])+5)^0.6)/(12+0.01*(ABS(Games[[#This Row],[PreGmRate]]-Games[[#This Row],[OppPreGmRate]])))*IF(Games[[#This Row],[OT]]=1,0.9,1)</f>
        <v>0.31072679847972318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0" s="9">
        <f>MAX(kmin, kmax - 0.15 * MIN(Games[[#This Row],[GamesPlayed]], 82))</f>
        <v>73.900000000000006</v>
      </c>
      <c r="Z160" s="4">
        <f>Games[[#This Row],[K]]*Games[[#This Row],[POMult]]</f>
        <v>73.900000000000006</v>
      </c>
      <c r="AA160" s="4">
        <f>(Games[[#This Row],[Keff]]*Games[[#This Row],[MOVMult]])*(Games[[#This Row],[Result]]-Games[[#This Row],[ExpectedWin%]])</f>
        <v>-2.2732476560675172</v>
      </c>
      <c r="AB160" s="4">
        <f>Games[[#This Row],[PreGmRate]]+Games[[#This Row],[RatingChange]]</f>
        <v>1396.6339416000849</v>
      </c>
      <c r="AC160" s="2">
        <f>IF(Games[[#This Row],[Type]]="R",IF(Games[[#This Row],[Result]]&gt;0.5,1,0),0)</f>
        <v>0</v>
      </c>
      <c r="AD160" s="2">
        <f>IF(Games[[#This Row],[Type]]="R",IF(Games[[#This Row],[Result]]&lt;0.5,1,0),0)</f>
        <v>1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45103</v>
      </c>
      <c r="B161" s="2">
        <v>2023</v>
      </c>
      <c r="C161" s="2">
        <f>COUNTIFS(Games[Team],Games[[#This Row],[Team]],Games[Season],Games[[#This Row],[Season]],Games[Date],"&lt;=" &amp; Games[[#This Row],[Date]])</f>
        <v>14</v>
      </c>
      <c r="D161" s="2" t="s">
        <v>79</v>
      </c>
      <c r="E161" s="2" t="s">
        <v>80</v>
      </c>
      <c r="F161" s="1" t="s">
        <v>86</v>
      </c>
      <c r="G161" s="1" t="s">
        <v>69</v>
      </c>
      <c r="H161" s="1" t="s">
        <v>82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1" s="2">
        <f>Games[[#This Row],[DaysOff]]-Games[[#This Row],[OppDaysOff]]</f>
        <v>0</v>
      </c>
      <c r="L161" s="2">
        <f>Games[[#This Row],[OppDaysOff]]-Games[[#This Row],[DaysOff]]</f>
        <v>0</v>
      </c>
      <c r="M161" s="1">
        <f>MAX(-16, MIN(16, Games[[#This Row],[RestDiff]]*8))</f>
        <v>0</v>
      </c>
      <c r="N161" s="1">
        <f>MAX(-16, MIN(16, Games[[#This Row],[OppRestDiff]]*8))</f>
        <v>0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1698.5481738235474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1398.9071892561524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0.90100264229652816</v>
      </c>
      <c r="R161" s="1">
        <v>88</v>
      </c>
      <c r="S161" s="1">
        <v>80</v>
      </c>
      <c r="T161" s="1">
        <v>0</v>
      </c>
      <c r="U161" s="1">
        <f>Games[[#This Row],[PointsFor]]-Games[[#This Row],[PointsAgainst]]</f>
        <v>8</v>
      </c>
      <c r="V161" s="1">
        <f>IF(Games[[#This Row],[MOV]]&gt;0,1,IF(Games[[#This Row],[MOV]]=0,0.5,0))</f>
        <v>1</v>
      </c>
      <c r="W161" s="4">
        <f>((ABS(Games[[#This Row],[MOV]])+5)^0.6)/(12+0.01*(ABS(Games[[#This Row],[PreGmRate]]-Games[[#This Row],[OppPreGmRate]])))*IF(Games[[#This Row],[OT]]=1,0.9,1)</f>
        <v>0.31072679847972318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1" s="9">
        <f>MAX(kmin, kmax - 0.15 * MIN(Games[[#This Row],[GamesPlayed]], 82))</f>
        <v>73.900000000000006</v>
      </c>
      <c r="Z161" s="4">
        <f>Games[[#This Row],[K]]*Games[[#This Row],[POMult]]</f>
        <v>73.900000000000006</v>
      </c>
      <c r="AA161" s="4">
        <f>(Games[[#This Row],[Keff]]*Games[[#This Row],[MOVMult]])*(Games[[#This Row],[Result]]-Games[[#This Row],[ExpectedWin%]])</f>
        <v>2.2732476560675159</v>
      </c>
      <c r="AB161" s="4">
        <f>Games[[#This Row],[PreGmRate]]+Games[[#This Row],[RatingChange]]</f>
        <v>1700.8214214796149</v>
      </c>
      <c r="AC161" s="2">
        <f>IF(Games[[#This Row],[Type]]="R",IF(Games[[#This Row],[Result]]&gt;0.5,1,0),0)</f>
        <v>1</v>
      </c>
      <c r="AD161" s="2">
        <f>IF(Games[[#This Row],[Type]]="R",IF(Games[[#This Row],[Result]]&lt;0.5,1,0),0)</f>
        <v>0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45104</v>
      </c>
      <c r="B162" s="2">
        <v>2023</v>
      </c>
      <c r="C162" s="2">
        <f>COUNTIFS(Games[Team],Games[[#This Row],[Team]],Games[Season],Games[[#This Row],[Season]],Games[Date],"&lt;=" &amp; Games[[#This Row],[Date]])</f>
        <v>13</v>
      </c>
      <c r="D162" s="2" t="s">
        <v>79</v>
      </c>
      <c r="E162" s="2" t="s">
        <v>80</v>
      </c>
      <c r="F162" s="1" t="s">
        <v>60</v>
      </c>
      <c r="G162" s="1" t="s">
        <v>74</v>
      </c>
      <c r="H162" s="1" t="s">
        <v>81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2" s="2">
        <f>Games[[#This Row],[DaysOff]]-Games[[#This Row],[OppDaysOff]]</f>
        <v>0</v>
      </c>
      <c r="L162" s="2">
        <f>Games[[#This Row],[OppDaysOff]]-Games[[#This Row],[DaysOff]]</f>
        <v>0</v>
      </c>
      <c r="M162" s="1">
        <f>MAX(-16, MIN(16, Games[[#This Row],[RestDiff]]*8))</f>
        <v>0</v>
      </c>
      <c r="N162" s="1">
        <f>MAX(-16, MIN(16, Games[[#This Row],[OppRestDiff]]*8))</f>
        <v>0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1568.276675468127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1656.0599560738667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0.27113650685743734</v>
      </c>
      <c r="R162" s="1">
        <v>89</v>
      </c>
      <c r="S162" s="1">
        <v>81</v>
      </c>
      <c r="T162" s="1">
        <v>0</v>
      </c>
      <c r="U162" s="1">
        <f>Games[[#This Row],[PointsFor]]-Games[[#This Row],[PointsAgainst]]</f>
        <v>8</v>
      </c>
      <c r="V162" s="1">
        <f>IF(Games[[#This Row],[MOV]]&gt;0,1,IF(Games[[#This Row],[MOV]]=0,0.5,0))</f>
        <v>1</v>
      </c>
      <c r="W162" s="4">
        <f>((ABS(Games[[#This Row],[MOV]])+5)^0.6)/(12+0.01*(ABS(Games[[#This Row],[PreGmRate]]-Games[[#This Row],[OppPreGmRate]])))*IF(Games[[#This Row],[OT]]=1,0.9,1)</f>
        <v>0.36184554421643245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2" s="9">
        <f>MAX(kmin, kmax - 0.15 * MIN(Games[[#This Row],[GamesPlayed]], 82))</f>
        <v>74.05</v>
      </c>
      <c r="Z162" s="4">
        <f>Games[[#This Row],[K]]*Games[[#This Row],[POMult]]</f>
        <v>74.05</v>
      </c>
      <c r="AA162" s="4">
        <f>(Games[[#This Row],[Keff]]*Games[[#This Row],[MOVMult]])*(Games[[#This Row],[Result]]-Games[[#This Row],[ExpectedWin%]])</f>
        <v>19.529651343205661</v>
      </c>
      <c r="AB162" s="4">
        <f>Games[[#This Row],[PreGmRate]]+Games[[#This Row],[RatingChange]]</f>
        <v>1587.8063268113326</v>
      </c>
      <c r="AC162" s="2">
        <f>IF(Games[[#This Row],[Type]]="R",IF(Games[[#This Row],[Result]]&gt;0.5,1,0),0)</f>
        <v>1</v>
      </c>
      <c r="AD162" s="2">
        <f>IF(Games[[#This Row],[Type]]="R",IF(Games[[#This Row],[Result]]&lt;0.5,1,0),0)</f>
        <v>0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45104</v>
      </c>
      <c r="B163" s="2">
        <v>2023</v>
      </c>
      <c r="C163" s="2">
        <f>COUNTIFS(Games[Team],Games[[#This Row],[Team]],Games[Season],Games[[#This Row],[Season]],Games[Date],"&lt;=" &amp; Games[[#This Row],[Date]])</f>
        <v>16</v>
      </c>
      <c r="D163" s="2" t="s">
        <v>79</v>
      </c>
      <c r="E163" s="2" t="s">
        <v>80</v>
      </c>
      <c r="F163" s="1" t="s">
        <v>74</v>
      </c>
      <c r="G163" s="1" t="s">
        <v>60</v>
      </c>
      <c r="H163" s="1" t="s">
        <v>82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3" s="2">
        <f>Games[[#This Row],[DaysOff]]-Games[[#This Row],[OppDaysOff]]</f>
        <v>0</v>
      </c>
      <c r="L163" s="2">
        <f>Games[[#This Row],[OppDaysOff]]-Games[[#This Row],[DaysOff]]</f>
        <v>0</v>
      </c>
      <c r="M163" s="1">
        <f>MAX(-16, MIN(16, Games[[#This Row],[RestDiff]]*8))</f>
        <v>0</v>
      </c>
      <c r="N163" s="1">
        <f>MAX(-16, MIN(16, Games[[#This Row],[OppRestDiff]]*8))</f>
        <v>0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1656.0599560738667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1568.276675468127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0.72886349314256271</v>
      </c>
      <c r="R163" s="1">
        <v>81</v>
      </c>
      <c r="S163" s="1">
        <v>89</v>
      </c>
      <c r="T163" s="1">
        <v>0</v>
      </c>
      <c r="U163" s="1">
        <f>Games[[#This Row],[PointsFor]]-Games[[#This Row],[PointsAgainst]]</f>
        <v>-8</v>
      </c>
      <c r="V163" s="1">
        <f>IF(Games[[#This Row],[MOV]]&gt;0,1,IF(Games[[#This Row],[MOV]]=0,0.5,0))</f>
        <v>0</v>
      </c>
      <c r="W163" s="4">
        <f>((ABS(Games[[#This Row],[MOV]])+5)^0.6)/(12+0.01*(ABS(Games[[#This Row],[PreGmRate]]-Games[[#This Row],[OppPreGmRate]])))*IF(Games[[#This Row],[OT]]=1,0.9,1)</f>
        <v>0.36184554421643245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3" s="9">
        <f>MAX(kmin, kmax - 0.15 * MIN(Games[[#This Row],[GamesPlayed]], 82))</f>
        <v>73.599999999999994</v>
      </c>
      <c r="Z163" s="4">
        <f>Games[[#This Row],[K]]*Games[[#This Row],[POMult]]</f>
        <v>73.599999999999994</v>
      </c>
      <c r="AA163" s="4">
        <f>(Games[[#This Row],[Keff]]*Games[[#This Row],[MOVMult]])*(Games[[#This Row],[Result]]-Games[[#This Row],[ExpectedWin%]])</f>
        <v>-19.410970139904617</v>
      </c>
      <c r="AB163" s="4">
        <f>Games[[#This Row],[PreGmRate]]+Games[[#This Row],[RatingChange]]</f>
        <v>1636.6489859339622</v>
      </c>
      <c r="AC163" s="2">
        <f>IF(Games[[#This Row],[Type]]="R",IF(Games[[#This Row],[Result]]&gt;0.5,1,0),0)</f>
        <v>0</v>
      </c>
      <c r="AD163" s="2">
        <f>IF(Games[[#This Row],[Type]]="R",IF(Games[[#This Row],[Result]]&lt;0.5,1,0),0)</f>
        <v>1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45104</v>
      </c>
      <c r="B164" s="2">
        <v>2023</v>
      </c>
      <c r="C164" s="2">
        <f>COUNTIFS(Games[Team],Games[[#This Row],[Team]],Games[Season],Games[[#This Row],[Season]],Games[Date],"&lt;=" &amp; Games[[#This Row],[Date]])</f>
        <v>14</v>
      </c>
      <c r="D164" s="2" t="s">
        <v>79</v>
      </c>
      <c r="E164" s="2" t="s">
        <v>80</v>
      </c>
      <c r="F164" s="1" t="s">
        <v>71</v>
      </c>
      <c r="G164" s="1" t="s">
        <v>67</v>
      </c>
      <c r="H164" s="1" t="s">
        <v>81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64" s="2">
        <f>Games[[#This Row],[DaysOff]]-Games[[#This Row],[OppDaysOff]]</f>
        <v>-2</v>
      </c>
      <c r="L164" s="2">
        <f>Games[[#This Row],[OppDaysOff]]-Games[[#This Row],[DaysOff]]</f>
        <v>2</v>
      </c>
      <c r="M164" s="1">
        <f>MAX(-16, MIN(16, Games[[#This Row],[RestDiff]]*8))</f>
        <v>-16</v>
      </c>
      <c r="N164" s="1">
        <f>MAX(-16, MIN(16, Games[[#This Row],[OppRestDiff]]*8))</f>
        <v>16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1464.5895966577507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1446.2493922674503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0.363044362236144</v>
      </c>
      <c r="R164" s="1">
        <v>93</v>
      </c>
      <c r="S164" s="1">
        <v>104</v>
      </c>
      <c r="T164" s="1">
        <v>0</v>
      </c>
      <c r="U164" s="1">
        <f>Games[[#This Row],[PointsFor]]-Games[[#This Row],[PointsAgainst]]</f>
        <v>-11</v>
      </c>
      <c r="V164" s="1">
        <f>IF(Games[[#This Row],[MOV]]&gt;0,1,IF(Games[[#This Row],[MOV]]=0,0.5,0))</f>
        <v>0</v>
      </c>
      <c r="W164" s="4">
        <f>((ABS(Games[[#This Row],[MOV]])+5)^0.6)/(12+0.01*(ABS(Games[[#This Row],[PreGmRate]]-Games[[#This Row],[OppPreGmRate]])))*IF(Games[[#This Row],[OT]]=1,0.9,1)</f>
        <v>0.4332149283157643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4" s="9">
        <f>MAX(kmin, kmax - 0.15 * MIN(Games[[#This Row],[GamesPlayed]], 82))</f>
        <v>73.900000000000006</v>
      </c>
      <c r="Z164" s="4">
        <f>Games[[#This Row],[K]]*Games[[#This Row],[POMult]]</f>
        <v>73.900000000000006</v>
      </c>
      <c r="AA164" s="4">
        <f>(Games[[#This Row],[Keff]]*Games[[#This Row],[MOVMult]])*(Games[[#This Row],[Result]]-Games[[#This Row],[ExpectedWin%]])</f>
        <v>-11.622713941020283</v>
      </c>
      <c r="AB164" s="4">
        <f>Games[[#This Row],[PreGmRate]]+Games[[#This Row],[RatingChange]]</f>
        <v>1452.9668827167304</v>
      </c>
      <c r="AC164" s="2">
        <f>IF(Games[[#This Row],[Type]]="R",IF(Games[[#This Row],[Result]]&gt;0.5,1,0),0)</f>
        <v>0</v>
      </c>
      <c r="AD164" s="2">
        <f>IF(Games[[#This Row],[Type]]="R",IF(Games[[#This Row],[Result]]&lt;0.5,1,0),0)</f>
        <v>1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45104</v>
      </c>
      <c r="B165" s="2">
        <v>2023</v>
      </c>
      <c r="C165" s="2">
        <f>COUNTIFS(Games[Team],Games[[#This Row],[Team]],Games[Season],Games[[#This Row],[Season]],Games[Date],"&lt;=" &amp; Games[[#This Row],[Date]])</f>
        <v>14</v>
      </c>
      <c r="D165" s="2" t="s">
        <v>79</v>
      </c>
      <c r="E165" s="2" t="s">
        <v>80</v>
      </c>
      <c r="F165" s="1" t="s">
        <v>67</v>
      </c>
      <c r="G165" s="1" t="s">
        <v>71</v>
      </c>
      <c r="H165" s="1" t="s">
        <v>82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4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5" s="2">
        <f>Games[[#This Row],[DaysOff]]-Games[[#This Row],[OppDaysOff]]</f>
        <v>2</v>
      </c>
      <c r="L165" s="2">
        <f>Games[[#This Row],[OppDaysOff]]-Games[[#This Row],[DaysOff]]</f>
        <v>-2</v>
      </c>
      <c r="M165" s="1">
        <f>MAX(-16, MIN(16, Games[[#This Row],[RestDiff]]*8))</f>
        <v>16</v>
      </c>
      <c r="N165" s="1">
        <f>MAX(-16, MIN(16, Games[[#This Row],[OppRestDiff]]*8))</f>
        <v>-16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1446.2493922674503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1464.5895966577507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0.636955637763856</v>
      </c>
      <c r="R165" s="1">
        <v>104</v>
      </c>
      <c r="S165" s="1">
        <v>93</v>
      </c>
      <c r="T165" s="1">
        <v>0</v>
      </c>
      <c r="U165" s="1">
        <f>Games[[#This Row],[PointsFor]]-Games[[#This Row],[PointsAgainst]]</f>
        <v>11</v>
      </c>
      <c r="V165" s="1">
        <f>IF(Games[[#This Row],[MOV]]&gt;0,1,IF(Games[[#This Row],[MOV]]=0,0.5,0))</f>
        <v>1</v>
      </c>
      <c r="W165" s="4">
        <f>((ABS(Games[[#This Row],[MOV]])+5)^0.6)/(12+0.01*(ABS(Games[[#This Row],[PreGmRate]]-Games[[#This Row],[OppPreGmRate]])))*IF(Games[[#This Row],[OT]]=1,0.9,1)</f>
        <v>0.4332149283157643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5" s="9">
        <f>MAX(kmin, kmax - 0.15 * MIN(Games[[#This Row],[GamesPlayed]], 82))</f>
        <v>73.900000000000006</v>
      </c>
      <c r="Z165" s="4">
        <f>Games[[#This Row],[K]]*Games[[#This Row],[POMult]]</f>
        <v>73.900000000000006</v>
      </c>
      <c r="AA165" s="4">
        <f>(Games[[#This Row],[Keff]]*Games[[#This Row],[MOVMult]])*(Games[[#This Row],[Result]]-Games[[#This Row],[ExpectedWin%]])</f>
        <v>11.622713941020283</v>
      </c>
      <c r="AB165" s="4">
        <f>Games[[#This Row],[PreGmRate]]+Games[[#This Row],[RatingChange]]</f>
        <v>1457.8721062084705</v>
      </c>
      <c r="AC165" s="2">
        <f>IF(Games[[#This Row],[Type]]="R",IF(Games[[#This Row],[Result]]&gt;0.5,1,0),0)</f>
        <v>1</v>
      </c>
      <c r="AD165" s="2">
        <f>IF(Games[[#This Row],[Type]]="R",IF(Games[[#This Row],[Result]]&lt;0.5,1,0),0)</f>
        <v>0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45104</v>
      </c>
      <c r="B166" s="2">
        <v>2023</v>
      </c>
      <c r="C166" s="2">
        <f>COUNTIFS(Games[Team],Games[[#This Row],[Team]],Games[Season],Games[[#This Row],[Season]],Games[Date],"&lt;=" &amp; Games[[#This Row],[Date]])</f>
        <v>15</v>
      </c>
      <c r="D166" s="2" t="s">
        <v>79</v>
      </c>
      <c r="E166" s="2" t="s">
        <v>80</v>
      </c>
      <c r="F166" s="1" t="s">
        <v>85</v>
      </c>
      <c r="G166" s="1" t="s">
        <v>40</v>
      </c>
      <c r="H166" s="1" t="s">
        <v>81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6" s="2">
        <f>Games[[#This Row],[DaysOff]]-Games[[#This Row],[OppDaysOff]]</f>
        <v>-1</v>
      </c>
      <c r="L166" s="2">
        <f>Games[[#This Row],[OppDaysOff]]-Games[[#This Row],[DaysOff]]</f>
        <v>1</v>
      </c>
      <c r="M166" s="1">
        <f>MAX(-16, MIN(16, Games[[#This Row],[RestDiff]]*8))</f>
        <v>-8</v>
      </c>
      <c r="N166" s="1">
        <f>MAX(-16, MIN(16, Games[[#This Row],[OppRestDiff]]*8))</f>
        <v>8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1459.7098852501483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1369.1645903976014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0.48639694323765986</v>
      </c>
      <c r="R166" s="1">
        <v>77</v>
      </c>
      <c r="S166" s="1">
        <v>62</v>
      </c>
      <c r="T166" s="1">
        <v>0</v>
      </c>
      <c r="U166" s="1">
        <f>Games[[#This Row],[PointsFor]]-Games[[#This Row],[PointsAgainst]]</f>
        <v>15</v>
      </c>
      <c r="V166" s="1">
        <f>IF(Games[[#This Row],[MOV]]&gt;0,1,IF(Games[[#This Row],[MOV]]=0,0.5,0))</f>
        <v>1</v>
      </c>
      <c r="W166" s="4">
        <f>((ABS(Games[[#This Row],[MOV]])+5)^0.6)/(12+0.01*(ABS(Games[[#This Row],[PreGmRate]]-Games[[#This Row],[OppPreGmRate]])))*IF(Games[[#This Row],[OT]]=1,0.9,1)</f>
        <v>0.46756796221047048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6" s="9">
        <f>MAX(kmin, kmax - 0.15 * MIN(Games[[#This Row],[GamesPlayed]], 82))</f>
        <v>73.75</v>
      </c>
      <c r="Z166" s="4">
        <f>Games[[#This Row],[K]]*Games[[#This Row],[POMult]]</f>
        <v>73.75</v>
      </c>
      <c r="AA166" s="4">
        <f>(Games[[#This Row],[Keff]]*Games[[#This Row],[MOVMult]])*(Games[[#This Row],[Result]]-Games[[#This Row],[ExpectedWin%]])</f>
        <v>17.710644679363405</v>
      </c>
      <c r="AB166" s="4">
        <f>Games[[#This Row],[PreGmRate]]+Games[[#This Row],[RatingChange]]</f>
        <v>1477.4205299295118</v>
      </c>
      <c r="AC166" s="2">
        <f>IF(Games[[#This Row],[Type]]="R",IF(Games[[#This Row],[Result]]&gt;0.5,1,0),0)</f>
        <v>1</v>
      </c>
      <c r="AD166" s="2">
        <f>IF(Games[[#This Row],[Type]]="R",IF(Games[[#This Row],[Result]]&lt;0.5,1,0),0)</f>
        <v>0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45104</v>
      </c>
      <c r="B167" s="2">
        <v>2023</v>
      </c>
      <c r="C167" s="2">
        <f>COUNTIFS(Games[Team],Games[[#This Row],[Team]],Games[Season],Games[[#This Row],[Season]],Games[Date],"&lt;=" &amp; Games[[#This Row],[Date]])</f>
        <v>13</v>
      </c>
      <c r="D167" s="2" t="s">
        <v>79</v>
      </c>
      <c r="E167" s="2" t="s">
        <v>80</v>
      </c>
      <c r="F167" s="1" t="s">
        <v>40</v>
      </c>
      <c r="G167" s="1" t="s">
        <v>85</v>
      </c>
      <c r="H167" s="1" t="s">
        <v>82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7" s="2">
        <f>Games[[#This Row],[DaysOff]]-Games[[#This Row],[OppDaysOff]]</f>
        <v>1</v>
      </c>
      <c r="L167" s="2">
        <f>Games[[#This Row],[OppDaysOff]]-Games[[#This Row],[DaysOff]]</f>
        <v>-1</v>
      </c>
      <c r="M167" s="1">
        <f>MAX(-16, MIN(16, Games[[#This Row],[RestDiff]]*8))</f>
        <v>8</v>
      </c>
      <c r="N167" s="1">
        <f>MAX(-16, MIN(16, Games[[#This Row],[OppRestDiff]]*8))</f>
        <v>-8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1369.1645903976014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1459.7098852501483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0.51360305676234008</v>
      </c>
      <c r="R167" s="1">
        <v>62</v>
      </c>
      <c r="S167" s="1">
        <v>77</v>
      </c>
      <c r="T167" s="1">
        <v>0</v>
      </c>
      <c r="U167" s="1">
        <f>Games[[#This Row],[PointsFor]]-Games[[#This Row],[PointsAgainst]]</f>
        <v>-15</v>
      </c>
      <c r="V167" s="1">
        <f>IF(Games[[#This Row],[MOV]]&gt;0,1,IF(Games[[#This Row],[MOV]]=0,0.5,0))</f>
        <v>0</v>
      </c>
      <c r="W167" s="4">
        <f>((ABS(Games[[#This Row],[MOV]])+5)^0.6)/(12+0.01*(ABS(Games[[#This Row],[PreGmRate]]-Games[[#This Row],[OppPreGmRate]])))*IF(Games[[#This Row],[OT]]=1,0.9,1)</f>
        <v>0.46756796221047048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7" s="9">
        <f>MAX(kmin, kmax - 0.15 * MIN(Games[[#This Row],[GamesPlayed]], 82))</f>
        <v>74.05</v>
      </c>
      <c r="Z167" s="4">
        <f>Games[[#This Row],[K]]*Games[[#This Row],[POMult]]</f>
        <v>74.05</v>
      </c>
      <c r="AA167" s="4">
        <f>(Games[[#This Row],[Keff]]*Games[[#This Row],[MOVMult]])*(Games[[#This Row],[Result]]-Games[[#This Row],[ExpectedWin%]])</f>
        <v>-17.78268797975403</v>
      </c>
      <c r="AB167" s="4">
        <f>Games[[#This Row],[PreGmRate]]+Games[[#This Row],[RatingChange]]</f>
        <v>1351.3819024178474</v>
      </c>
      <c r="AC167" s="2">
        <f>IF(Games[[#This Row],[Type]]="R",IF(Games[[#This Row],[Result]]&gt;0.5,1,0),0)</f>
        <v>0</v>
      </c>
      <c r="AD167" s="2">
        <f>IF(Games[[#This Row],[Type]]="R",IF(Games[[#This Row],[Result]]&lt;0.5,1,0),0)</f>
        <v>1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45105</v>
      </c>
      <c r="B168" s="2">
        <v>2023</v>
      </c>
      <c r="C168" s="2">
        <f>COUNTIFS(Games[Team],Games[[#This Row],[Team]],Games[Season],Games[[#This Row],[Season]],Games[Date],"&lt;=" &amp; Games[[#This Row],[Date]])</f>
        <v>15</v>
      </c>
      <c r="D168" s="2" t="s">
        <v>79</v>
      </c>
      <c r="E168" s="2" t="s">
        <v>80</v>
      </c>
      <c r="F168" s="1" t="s">
        <v>63</v>
      </c>
      <c r="G168" s="1" t="s">
        <v>75</v>
      </c>
      <c r="H168" s="1" t="s">
        <v>81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8" s="2">
        <f>Games[[#This Row],[DaysOff]]-Games[[#This Row],[OppDaysOff]]</f>
        <v>0</v>
      </c>
      <c r="L168" s="2">
        <f>Games[[#This Row],[OppDaysOff]]-Games[[#This Row],[DaysOff]]</f>
        <v>0</v>
      </c>
      <c r="M168" s="1">
        <f>MAX(-16, MIN(16, Games[[#This Row],[RestDiff]]*8))</f>
        <v>0</v>
      </c>
      <c r="N168" s="1">
        <f>MAX(-16, MIN(16, Games[[#This Row],[OppRestDiff]]*8))</f>
        <v>0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1464.868221057003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1480.6734940963531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0.36019328454461058</v>
      </c>
      <c r="R168" s="1">
        <v>63</v>
      </c>
      <c r="S168" s="1">
        <v>80</v>
      </c>
      <c r="T168" s="1">
        <v>0</v>
      </c>
      <c r="U168" s="1">
        <f>Games[[#This Row],[PointsFor]]-Games[[#This Row],[PointsAgainst]]</f>
        <v>-17</v>
      </c>
      <c r="V168" s="1">
        <f>IF(Games[[#This Row],[MOV]]&gt;0,1,IF(Games[[#This Row],[MOV]]=0,0.5,0))</f>
        <v>0</v>
      </c>
      <c r="W168" s="4">
        <f>((ABS(Games[[#This Row],[MOV]])+5)^0.6)/(12+0.01*(ABS(Games[[#This Row],[PreGmRate]]-Games[[#This Row],[OppPreGmRate]])))*IF(Games[[#This Row],[OT]]=1,0.9,1)</f>
        <v>0.52552040780441445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8" s="9">
        <f>MAX(kmin, kmax - 0.15 * MIN(Games[[#This Row],[GamesPlayed]], 82))</f>
        <v>73.75</v>
      </c>
      <c r="Z168" s="4">
        <f>Games[[#This Row],[K]]*Games[[#This Row],[POMult]]</f>
        <v>73.75</v>
      </c>
      <c r="AA168" s="4">
        <f>(Games[[#This Row],[Keff]]*Games[[#This Row],[MOVMult]])*(Games[[#This Row],[Result]]-Games[[#This Row],[ExpectedWin%]])</f>
        <v>-13.960057981444274</v>
      </c>
      <c r="AB168" s="4">
        <f>Games[[#This Row],[PreGmRate]]+Games[[#This Row],[RatingChange]]</f>
        <v>1450.9081630755586</v>
      </c>
      <c r="AC168" s="2">
        <f>IF(Games[[#This Row],[Type]]="R",IF(Games[[#This Row],[Result]]&gt;0.5,1,0),0)</f>
        <v>0</v>
      </c>
      <c r="AD168" s="2">
        <f>IF(Games[[#This Row],[Type]]="R",IF(Games[[#This Row],[Result]]&lt;0.5,1,0),0)</f>
        <v>1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45105</v>
      </c>
      <c r="B169" s="2">
        <v>2023</v>
      </c>
      <c r="C169" s="2">
        <f>COUNTIFS(Games[Team],Games[[#This Row],[Team]],Games[Season],Games[[#This Row],[Season]],Games[Date],"&lt;=" &amp; Games[[#This Row],[Date]])</f>
        <v>15</v>
      </c>
      <c r="D169" s="2" t="s">
        <v>79</v>
      </c>
      <c r="E169" s="2" t="s">
        <v>80</v>
      </c>
      <c r="F169" s="1" t="s">
        <v>75</v>
      </c>
      <c r="G169" s="1" t="s">
        <v>63</v>
      </c>
      <c r="H169" s="1" t="s">
        <v>82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9" s="2">
        <f>Games[[#This Row],[DaysOff]]-Games[[#This Row],[OppDaysOff]]</f>
        <v>0</v>
      </c>
      <c r="L169" s="2">
        <f>Games[[#This Row],[OppDaysOff]]-Games[[#This Row],[DaysOff]]</f>
        <v>0</v>
      </c>
      <c r="M169" s="1">
        <f>MAX(-16, MIN(16, Games[[#This Row],[RestDiff]]*8))</f>
        <v>0</v>
      </c>
      <c r="N169" s="1">
        <f>MAX(-16, MIN(16, Games[[#This Row],[OppRestDiff]]*8))</f>
        <v>0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1480.6734940963531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1464.868221057003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0.63980671545538947</v>
      </c>
      <c r="R169" s="1">
        <v>80</v>
      </c>
      <c r="S169" s="1">
        <v>63</v>
      </c>
      <c r="T169" s="1">
        <v>0</v>
      </c>
      <c r="U169" s="1">
        <f>Games[[#This Row],[PointsFor]]-Games[[#This Row],[PointsAgainst]]</f>
        <v>17</v>
      </c>
      <c r="V169" s="1">
        <f>IF(Games[[#This Row],[MOV]]&gt;0,1,IF(Games[[#This Row],[MOV]]=0,0.5,0))</f>
        <v>1</v>
      </c>
      <c r="W169" s="4">
        <f>((ABS(Games[[#This Row],[MOV]])+5)^0.6)/(12+0.01*(ABS(Games[[#This Row],[PreGmRate]]-Games[[#This Row],[OppPreGmRate]])))*IF(Games[[#This Row],[OT]]=1,0.9,1)</f>
        <v>0.52552040780441445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9" s="9">
        <f>MAX(kmin, kmax - 0.15 * MIN(Games[[#This Row],[GamesPlayed]], 82))</f>
        <v>73.75</v>
      </c>
      <c r="Z169" s="4">
        <f>Games[[#This Row],[K]]*Games[[#This Row],[POMult]]</f>
        <v>73.75</v>
      </c>
      <c r="AA169" s="4">
        <f>(Games[[#This Row],[Keff]]*Games[[#This Row],[MOVMult]])*(Games[[#This Row],[Result]]-Games[[#This Row],[ExpectedWin%]])</f>
        <v>13.960057981444272</v>
      </c>
      <c r="AB169" s="4">
        <f>Games[[#This Row],[PreGmRate]]+Games[[#This Row],[RatingChange]]</f>
        <v>1494.6335520777975</v>
      </c>
      <c r="AC169" s="2">
        <f>IF(Games[[#This Row],[Type]]="R",IF(Games[[#This Row],[Result]]&gt;0.5,1,0),0)</f>
        <v>1</v>
      </c>
      <c r="AD169" s="2">
        <f>IF(Games[[#This Row],[Type]]="R",IF(Games[[#This Row],[Result]]&lt;0.5,1,0),0)</f>
        <v>0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45105</v>
      </c>
      <c r="B170" s="2">
        <v>2023</v>
      </c>
      <c r="C170" s="2">
        <f>COUNTIFS(Games[Team],Games[[#This Row],[Team]],Games[Season],Games[[#This Row],[Season]],Games[Date],"&lt;=" &amp; Games[[#This Row],[Date]])</f>
        <v>13</v>
      </c>
      <c r="D170" s="2" t="s">
        <v>79</v>
      </c>
      <c r="E170" s="2" t="s">
        <v>80</v>
      </c>
      <c r="F170" s="1" t="s">
        <v>77</v>
      </c>
      <c r="G170" s="1" t="s">
        <v>65</v>
      </c>
      <c r="H170" s="1" t="s">
        <v>81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4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0" s="2">
        <f>Games[[#This Row],[DaysOff]]-Games[[#This Row],[OppDaysOff]]</f>
        <v>2</v>
      </c>
      <c r="L170" s="2">
        <f>Games[[#This Row],[OppDaysOff]]-Games[[#This Row],[DaysOff]]</f>
        <v>-2</v>
      </c>
      <c r="M170" s="1">
        <f>MAX(-16, MIN(16, Games[[#This Row],[RestDiff]]*8))</f>
        <v>16</v>
      </c>
      <c r="N170" s="1">
        <f>MAX(-16, MIN(16, Games[[#This Row],[OppRestDiff]]*8))</f>
        <v>-16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1431.2057520710946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1562.085834080433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0.2586988370573769</v>
      </c>
      <c r="R170" s="1">
        <v>86</v>
      </c>
      <c r="S170" s="1">
        <v>109</v>
      </c>
      <c r="T170" s="1">
        <v>0</v>
      </c>
      <c r="U170" s="1">
        <f>Games[[#This Row],[PointsFor]]-Games[[#This Row],[PointsAgainst]]</f>
        <v>-23</v>
      </c>
      <c r="V170" s="1">
        <f>IF(Games[[#This Row],[MOV]]&gt;0,1,IF(Games[[#This Row],[MOV]]=0,0.5,0))</f>
        <v>0</v>
      </c>
      <c r="W170" s="4">
        <f>((ABS(Games[[#This Row],[MOV]])+5)^0.6)/(12+0.01*(ABS(Games[[#This Row],[PreGmRate]]-Games[[#This Row],[OppPreGmRate]])))*IF(Games[[#This Row],[OT]]=1,0.9,1)</f>
        <v>0.55482483587814413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0" s="9">
        <f>MAX(kmin, kmax - 0.15 * MIN(Games[[#This Row],[GamesPlayed]], 82))</f>
        <v>74.05</v>
      </c>
      <c r="Z170" s="4">
        <f>Games[[#This Row],[K]]*Games[[#This Row],[POMult]]</f>
        <v>74.05</v>
      </c>
      <c r="AA170" s="4">
        <f>(Games[[#This Row],[Keff]]*Games[[#This Row],[MOVMult]])*(Games[[#This Row],[Result]]-Games[[#This Row],[ExpectedWin%]])</f>
        <v>-10.628584573095326</v>
      </c>
      <c r="AB170" s="4">
        <f>Games[[#This Row],[PreGmRate]]+Games[[#This Row],[RatingChange]]</f>
        <v>1420.5771674979992</v>
      </c>
      <c r="AC170" s="2">
        <f>IF(Games[[#This Row],[Type]]="R",IF(Games[[#This Row],[Result]]&gt;0.5,1,0),0)</f>
        <v>0</v>
      </c>
      <c r="AD170" s="2">
        <f>IF(Games[[#This Row],[Type]]="R",IF(Games[[#This Row],[Result]]&lt;0.5,1,0),0)</f>
        <v>1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45105</v>
      </c>
      <c r="B171" s="2">
        <v>2023</v>
      </c>
      <c r="C171" s="2">
        <f>COUNTIFS(Games[Team],Games[[#This Row],[Team]],Games[Season],Games[[#This Row],[Season]],Games[Date],"&lt;=" &amp; Games[[#This Row],[Date]])</f>
        <v>14</v>
      </c>
      <c r="D171" s="2" t="s">
        <v>79</v>
      </c>
      <c r="E171" s="2" t="s">
        <v>80</v>
      </c>
      <c r="F171" s="1" t="s">
        <v>65</v>
      </c>
      <c r="G171" s="1" t="s">
        <v>77</v>
      </c>
      <c r="H171" s="1" t="s">
        <v>82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71" s="2">
        <f>Games[[#This Row],[DaysOff]]-Games[[#This Row],[OppDaysOff]]</f>
        <v>-2</v>
      </c>
      <c r="L171" s="2">
        <f>Games[[#This Row],[OppDaysOff]]-Games[[#This Row],[DaysOff]]</f>
        <v>2</v>
      </c>
      <c r="M171" s="1">
        <f>MAX(-16, MIN(16, Games[[#This Row],[RestDiff]]*8))</f>
        <v>-16</v>
      </c>
      <c r="N171" s="1">
        <f>MAX(-16, MIN(16, Games[[#This Row],[OppRestDiff]]*8))</f>
        <v>16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1562.085834080433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1431.2057520710946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0.74130116294262316</v>
      </c>
      <c r="R171" s="1">
        <v>109</v>
      </c>
      <c r="S171" s="1">
        <v>86</v>
      </c>
      <c r="T171" s="1">
        <v>0</v>
      </c>
      <c r="U171" s="1">
        <f>Games[[#This Row],[PointsFor]]-Games[[#This Row],[PointsAgainst]]</f>
        <v>23</v>
      </c>
      <c r="V171" s="1">
        <f>IF(Games[[#This Row],[MOV]]&gt;0,1,IF(Games[[#This Row],[MOV]]=0,0.5,0))</f>
        <v>1</v>
      </c>
      <c r="W171" s="4">
        <f>((ABS(Games[[#This Row],[MOV]])+5)^0.6)/(12+0.01*(ABS(Games[[#This Row],[PreGmRate]]-Games[[#This Row],[OppPreGmRate]])))*IF(Games[[#This Row],[OT]]=1,0.9,1)</f>
        <v>0.55482483587814413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1" s="9">
        <f>MAX(kmin, kmax - 0.15 * MIN(Games[[#This Row],[GamesPlayed]], 82))</f>
        <v>73.900000000000006</v>
      </c>
      <c r="Z171" s="4">
        <f>Games[[#This Row],[K]]*Games[[#This Row],[POMult]]</f>
        <v>73.900000000000006</v>
      </c>
      <c r="AA171" s="4">
        <f>(Games[[#This Row],[Keff]]*Games[[#This Row],[MOVMult]])*(Games[[#This Row],[Result]]-Games[[#This Row],[ExpectedWin%]])</f>
        <v>10.607054692123493</v>
      </c>
      <c r="AB171" s="4">
        <f>Games[[#This Row],[PreGmRate]]+Games[[#This Row],[RatingChange]]</f>
        <v>1572.6928887725564</v>
      </c>
      <c r="AC171" s="2">
        <f>IF(Games[[#This Row],[Type]]="R",IF(Games[[#This Row],[Result]]&gt;0.5,1,0),0)</f>
        <v>1</v>
      </c>
      <c r="AD171" s="2">
        <f>IF(Games[[#This Row],[Type]]="R",IF(Games[[#This Row],[Result]]&lt;0.5,1,0),0)</f>
        <v>0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45106</v>
      </c>
      <c r="B172" s="2">
        <v>2023</v>
      </c>
      <c r="C172" s="2">
        <f>COUNTIFS(Games[Team],Games[[#This Row],[Team]],Games[Season],Games[[#This Row],[Season]],Games[Date],"&lt;=" &amp; Games[[#This Row],[Date]])</f>
        <v>14</v>
      </c>
      <c r="D172" s="2" t="s">
        <v>79</v>
      </c>
      <c r="E172" s="2" t="s">
        <v>80</v>
      </c>
      <c r="F172" s="1" t="s">
        <v>60</v>
      </c>
      <c r="G172" s="1" t="s">
        <v>86</v>
      </c>
      <c r="H172" s="1" t="s">
        <v>81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2" s="2">
        <f>Games[[#This Row],[DaysOff]]-Games[[#This Row],[OppDaysOff]]</f>
        <v>-1</v>
      </c>
      <c r="L172" s="2">
        <f>Games[[#This Row],[OppDaysOff]]-Games[[#This Row],[DaysOff]]</f>
        <v>1</v>
      </c>
      <c r="M172" s="1">
        <f>MAX(-16, MIN(16, Games[[#This Row],[RestDiff]]*8))</f>
        <v>-8</v>
      </c>
      <c r="N172" s="1">
        <f>MAX(-16, MIN(16, Games[[#This Row],[OppRestDiff]]*8))</f>
        <v>8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1587.8063268113326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1700.8214214796149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0.22684484691675447</v>
      </c>
      <c r="R172" s="1">
        <v>81</v>
      </c>
      <c r="S172" s="1">
        <v>98</v>
      </c>
      <c r="T172" s="1">
        <v>0</v>
      </c>
      <c r="U172" s="1">
        <f>Games[[#This Row],[PointsFor]]-Games[[#This Row],[PointsAgainst]]</f>
        <v>-17</v>
      </c>
      <c r="V172" s="1">
        <f>IF(Games[[#This Row],[MOV]]&gt;0,1,IF(Games[[#This Row],[MOV]]=0,0.5,0))</f>
        <v>0</v>
      </c>
      <c r="W172" s="4">
        <f>((ABS(Games[[#This Row],[MOV]])+5)^0.6)/(12+0.01*(ABS(Games[[#This Row],[PreGmRate]]-Games[[#This Row],[OppPreGmRate]])))*IF(Games[[#This Row],[OT]]=1,0.9,1)</f>
        <v>0.48661320459519547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2" s="9">
        <f>MAX(kmin, kmax - 0.15 * MIN(Games[[#This Row],[GamesPlayed]], 82))</f>
        <v>73.900000000000006</v>
      </c>
      <c r="Z172" s="4">
        <f>Games[[#This Row],[K]]*Games[[#This Row],[POMult]]</f>
        <v>73.900000000000006</v>
      </c>
      <c r="AA172" s="4">
        <f>(Games[[#This Row],[Keff]]*Games[[#This Row],[MOVMult]])*(Games[[#This Row],[Result]]-Games[[#This Row],[ExpectedWin%]])</f>
        <v>-8.1575030751106574</v>
      </c>
      <c r="AB172" s="4">
        <f>Games[[#This Row],[PreGmRate]]+Games[[#This Row],[RatingChange]]</f>
        <v>1579.6488237362219</v>
      </c>
      <c r="AC172" s="2">
        <f>IF(Games[[#This Row],[Type]]="R",IF(Games[[#This Row],[Result]]&gt;0.5,1,0),0)</f>
        <v>0</v>
      </c>
      <c r="AD172" s="2">
        <f>IF(Games[[#This Row],[Type]]="R",IF(Games[[#This Row],[Result]]&lt;0.5,1,0),0)</f>
        <v>1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45106</v>
      </c>
      <c r="B173" s="2">
        <v>2023</v>
      </c>
      <c r="C173" s="2">
        <f>COUNTIFS(Games[Team],Games[[#This Row],[Team]],Games[Season],Games[[#This Row],[Season]],Games[Date],"&lt;=" &amp; Games[[#This Row],[Date]])</f>
        <v>15</v>
      </c>
      <c r="D173" s="2" t="s">
        <v>79</v>
      </c>
      <c r="E173" s="2" t="s">
        <v>80</v>
      </c>
      <c r="F173" s="1" t="s">
        <v>86</v>
      </c>
      <c r="G173" s="1" t="s">
        <v>60</v>
      </c>
      <c r="H173" s="1" t="s">
        <v>82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3" s="2">
        <f>Games[[#This Row],[DaysOff]]-Games[[#This Row],[OppDaysOff]]</f>
        <v>1</v>
      </c>
      <c r="L173" s="2">
        <f>Games[[#This Row],[OppDaysOff]]-Games[[#This Row],[DaysOff]]</f>
        <v>-1</v>
      </c>
      <c r="M173" s="1">
        <f>MAX(-16, MIN(16, Games[[#This Row],[RestDiff]]*8))</f>
        <v>8</v>
      </c>
      <c r="N173" s="1">
        <f>MAX(-16, MIN(16, Games[[#This Row],[OppRestDiff]]*8))</f>
        <v>-8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1700.8214214796149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1587.8063268113326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0.77315515308324556</v>
      </c>
      <c r="R173" s="1">
        <v>98</v>
      </c>
      <c r="S173" s="1">
        <v>81</v>
      </c>
      <c r="T173" s="1">
        <v>0</v>
      </c>
      <c r="U173" s="1">
        <f>Games[[#This Row],[PointsFor]]-Games[[#This Row],[PointsAgainst]]</f>
        <v>17</v>
      </c>
      <c r="V173" s="1">
        <f>IF(Games[[#This Row],[MOV]]&gt;0,1,IF(Games[[#This Row],[MOV]]=0,0.5,0))</f>
        <v>1</v>
      </c>
      <c r="W173" s="4">
        <f>((ABS(Games[[#This Row],[MOV]])+5)^0.6)/(12+0.01*(ABS(Games[[#This Row],[PreGmRate]]-Games[[#This Row],[OppPreGmRate]])))*IF(Games[[#This Row],[OT]]=1,0.9,1)</f>
        <v>0.48661320459519547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3" s="9">
        <f>MAX(kmin, kmax - 0.15 * MIN(Games[[#This Row],[GamesPlayed]], 82))</f>
        <v>73.75</v>
      </c>
      <c r="Z173" s="4">
        <f>Games[[#This Row],[K]]*Games[[#This Row],[POMult]]</f>
        <v>73.75</v>
      </c>
      <c r="AA173" s="4">
        <f>(Games[[#This Row],[Keff]]*Games[[#This Row],[MOVMult]])*(Games[[#This Row],[Result]]-Games[[#This Row],[ExpectedWin%]])</f>
        <v>8.1409452204250456</v>
      </c>
      <c r="AB173" s="4">
        <f>Games[[#This Row],[PreGmRate]]+Games[[#This Row],[RatingChange]]</f>
        <v>1708.9623667000399</v>
      </c>
      <c r="AC173" s="2">
        <f>IF(Games[[#This Row],[Type]]="R",IF(Games[[#This Row],[Result]]&gt;0.5,1,0),0)</f>
        <v>1</v>
      </c>
      <c r="AD173" s="2">
        <f>IF(Games[[#This Row],[Type]]="R",IF(Games[[#This Row],[Result]]&lt;0.5,1,0),0)</f>
        <v>0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45106</v>
      </c>
      <c r="B174" s="2">
        <v>2023</v>
      </c>
      <c r="C174" s="2">
        <f>COUNTIFS(Games[Team],Games[[#This Row],[Team]],Games[Season],Games[[#This Row],[Season]],Games[Date],"&lt;=" &amp; Games[[#This Row],[Date]])</f>
        <v>15</v>
      </c>
      <c r="D174" s="2" t="s">
        <v>79</v>
      </c>
      <c r="E174" s="2" t="s">
        <v>80</v>
      </c>
      <c r="F174" s="1" t="s">
        <v>69</v>
      </c>
      <c r="G174" s="1" t="s">
        <v>40</v>
      </c>
      <c r="H174" s="1" t="s">
        <v>81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4" s="2">
        <f>Games[[#This Row],[DaysOff]]-Games[[#This Row],[OppDaysOff]]</f>
        <v>1</v>
      </c>
      <c r="L174" s="2">
        <f>Games[[#This Row],[OppDaysOff]]-Games[[#This Row],[DaysOff]]</f>
        <v>-1</v>
      </c>
      <c r="M174" s="1">
        <f>MAX(-16, MIN(16, Games[[#This Row],[RestDiff]]*8))</f>
        <v>8</v>
      </c>
      <c r="N174" s="1">
        <f>MAX(-16, MIN(16, Games[[#This Row],[OppRestDiff]]*8))</f>
        <v>-8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1396.6339416000849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1351.3819024178474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0.46730975200476277</v>
      </c>
      <c r="R174" s="1">
        <v>63</v>
      </c>
      <c r="S174" s="1">
        <v>85</v>
      </c>
      <c r="T174" s="1">
        <v>0</v>
      </c>
      <c r="U174" s="1">
        <f>Games[[#This Row],[PointsFor]]-Games[[#This Row],[PointsAgainst]]</f>
        <v>-22</v>
      </c>
      <c r="V174" s="1">
        <f>IF(Games[[#This Row],[MOV]]&gt;0,1,IF(Games[[#This Row],[MOV]]=0,0.5,0))</f>
        <v>0</v>
      </c>
      <c r="W174" s="4">
        <f>((ABS(Games[[#This Row],[MOV]])+5)^0.6)/(12+0.01*(ABS(Games[[#This Row],[PreGmRate]]-Games[[#This Row],[OppPreGmRate]])))*IF(Games[[#This Row],[OT]]=1,0.9,1)</f>
        <v>0.58017765307869329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4" s="9">
        <f>MAX(kmin, kmax - 0.15 * MIN(Games[[#This Row],[GamesPlayed]], 82))</f>
        <v>73.75</v>
      </c>
      <c r="Z174" s="4">
        <f>Games[[#This Row],[K]]*Games[[#This Row],[POMult]]</f>
        <v>73.75</v>
      </c>
      <c r="AA174" s="4">
        <f>(Games[[#This Row],[Keff]]*Games[[#This Row],[MOVMult]])*(Games[[#This Row],[Result]]-Games[[#This Row],[ExpectedWin%]])</f>
        <v>-19.995297294444573</v>
      </c>
      <c r="AB174" s="4">
        <f>Games[[#This Row],[PreGmRate]]+Games[[#This Row],[RatingChange]]</f>
        <v>1376.6386443056404</v>
      </c>
      <c r="AC174" s="2">
        <f>IF(Games[[#This Row],[Type]]="R",IF(Games[[#This Row],[Result]]&gt;0.5,1,0),0)</f>
        <v>0</v>
      </c>
      <c r="AD174" s="2">
        <f>IF(Games[[#This Row],[Type]]="R",IF(Games[[#This Row],[Result]]&lt;0.5,1,0),0)</f>
        <v>1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45106</v>
      </c>
      <c r="B175" s="2">
        <v>2023</v>
      </c>
      <c r="C175" s="2">
        <f>COUNTIFS(Games[Team],Games[[#This Row],[Team]],Games[Season],Games[[#This Row],[Season]],Games[Date],"&lt;=" &amp; Games[[#This Row],[Date]])</f>
        <v>14</v>
      </c>
      <c r="D175" s="2" t="s">
        <v>79</v>
      </c>
      <c r="E175" s="2" t="s">
        <v>80</v>
      </c>
      <c r="F175" s="1" t="s">
        <v>40</v>
      </c>
      <c r="G175" s="1" t="s">
        <v>69</v>
      </c>
      <c r="H175" s="1" t="s">
        <v>82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5" s="2">
        <f>Games[[#This Row],[DaysOff]]-Games[[#This Row],[OppDaysOff]]</f>
        <v>-1</v>
      </c>
      <c r="L175" s="2">
        <f>Games[[#This Row],[OppDaysOff]]-Games[[#This Row],[DaysOff]]</f>
        <v>1</v>
      </c>
      <c r="M175" s="1">
        <f>MAX(-16, MIN(16, Games[[#This Row],[RestDiff]]*8))</f>
        <v>-8</v>
      </c>
      <c r="N175" s="1">
        <f>MAX(-16, MIN(16, Games[[#This Row],[OppRestDiff]]*8))</f>
        <v>8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1351.3819024178474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1396.6339416000849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0.53269024799523723</v>
      </c>
      <c r="R175" s="1">
        <v>85</v>
      </c>
      <c r="S175" s="1">
        <v>63</v>
      </c>
      <c r="T175" s="1">
        <v>0</v>
      </c>
      <c r="U175" s="1">
        <f>Games[[#This Row],[PointsFor]]-Games[[#This Row],[PointsAgainst]]</f>
        <v>22</v>
      </c>
      <c r="V175" s="1">
        <f>IF(Games[[#This Row],[MOV]]&gt;0,1,IF(Games[[#This Row],[MOV]]=0,0.5,0))</f>
        <v>1</v>
      </c>
      <c r="W175" s="4">
        <f>((ABS(Games[[#This Row],[MOV]])+5)^0.6)/(12+0.01*(ABS(Games[[#This Row],[PreGmRate]]-Games[[#This Row],[OppPreGmRate]])))*IF(Games[[#This Row],[OT]]=1,0.9,1)</f>
        <v>0.58017765307869329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5" s="9">
        <f>MAX(kmin, kmax - 0.15 * MIN(Games[[#This Row],[GamesPlayed]], 82))</f>
        <v>73.900000000000006</v>
      </c>
      <c r="Z175" s="4">
        <f>Games[[#This Row],[K]]*Games[[#This Row],[POMult]]</f>
        <v>73.900000000000006</v>
      </c>
      <c r="AA175" s="4">
        <f>(Games[[#This Row],[Keff]]*Games[[#This Row],[MOVMult]])*(Games[[#This Row],[Result]]-Games[[#This Row],[ExpectedWin%]])</f>
        <v>20.035965695721409</v>
      </c>
      <c r="AB175" s="4">
        <f>Games[[#This Row],[PreGmRate]]+Games[[#This Row],[RatingChange]]</f>
        <v>1371.4178681135688</v>
      </c>
      <c r="AC175" s="2">
        <f>IF(Games[[#This Row],[Type]]="R",IF(Games[[#This Row],[Result]]&gt;0.5,1,0),0)</f>
        <v>1</v>
      </c>
      <c r="AD175" s="2">
        <f>IF(Games[[#This Row],[Type]]="R",IF(Games[[#This Row],[Result]]&lt;0.5,1,0),0)</f>
        <v>0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45106</v>
      </c>
      <c r="B176" s="2">
        <v>2023</v>
      </c>
      <c r="C176" s="2">
        <f>COUNTIFS(Games[Team],Games[[#This Row],[Team]],Games[Season],Games[[#This Row],[Season]],Games[Date],"&lt;=" &amp; Games[[#This Row],[Date]])</f>
        <v>15</v>
      </c>
      <c r="D176" s="2" t="s">
        <v>79</v>
      </c>
      <c r="E176" s="2" t="s">
        <v>80</v>
      </c>
      <c r="F176" s="1" t="s">
        <v>67</v>
      </c>
      <c r="G176" s="1" t="s">
        <v>71</v>
      </c>
      <c r="H176" s="1" t="s">
        <v>81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6" s="2">
        <f>Games[[#This Row],[DaysOff]]-Games[[#This Row],[OppDaysOff]]</f>
        <v>0</v>
      </c>
      <c r="L176" s="2">
        <f>Games[[#This Row],[OppDaysOff]]-Games[[#This Row],[DaysOff]]</f>
        <v>0</v>
      </c>
      <c r="M176" s="1">
        <f>MAX(-16, MIN(16, Games[[#This Row],[RestDiff]]*8))</f>
        <v>0</v>
      </c>
      <c r="N176" s="1">
        <f>MAX(-16, MIN(16, Games[[#This Row],[OppRestDiff]]*8))</f>
        <v>0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1457.8721062084705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1452.9668827167304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0.3880999284690409</v>
      </c>
      <c r="R176" s="1">
        <v>99</v>
      </c>
      <c r="S176" s="1">
        <v>97</v>
      </c>
      <c r="T176" s="1">
        <v>1</v>
      </c>
      <c r="U176" s="1">
        <f>Games[[#This Row],[PointsFor]]-Games[[#This Row],[PointsAgainst]]</f>
        <v>2</v>
      </c>
      <c r="V176" s="1">
        <f>IF(Games[[#This Row],[MOV]]&gt;0,1,IF(Games[[#This Row],[MOV]]=0,0.5,0))</f>
        <v>1</v>
      </c>
      <c r="W176" s="4">
        <f>((ABS(Games[[#This Row],[MOV]])+5)^0.6)/(12+0.01*(ABS(Games[[#This Row],[PreGmRate]]-Games[[#This Row],[OppPreGmRate]])))*IF(Games[[#This Row],[OT]]=1,0.9,1)</f>
        <v>0.24007583404457411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6" s="9">
        <f>MAX(kmin, kmax - 0.15 * MIN(Games[[#This Row],[GamesPlayed]], 82))</f>
        <v>73.75</v>
      </c>
      <c r="Z176" s="4">
        <f>Games[[#This Row],[K]]*Games[[#This Row],[POMult]]</f>
        <v>73.75</v>
      </c>
      <c r="AA176" s="4">
        <f>(Games[[#This Row],[Keff]]*Games[[#This Row],[MOVMult]])*(Games[[#This Row],[Result]]-Games[[#This Row],[ExpectedWin%]])</f>
        <v>10.834053476823804</v>
      </c>
      <c r="AB176" s="4">
        <f>Games[[#This Row],[PreGmRate]]+Games[[#This Row],[RatingChange]]</f>
        <v>1468.7061596852943</v>
      </c>
      <c r="AC176" s="2">
        <f>IF(Games[[#This Row],[Type]]="R",IF(Games[[#This Row],[Result]]&gt;0.5,1,0),0)</f>
        <v>1</v>
      </c>
      <c r="AD176" s="2">
        <f>IF(Games[[#This Row],[Type]]="R",IF(Games[[#This Row],[Result]]&lt;0.5,1,0),0)</f>
        <v>0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45106</v>
      </c>
      <c r="B177" s="2">
        <v>2023</v>
      </c>
      <c r="C177" s="2">
        <f>COUNTIFS(Games[Team],Games[[#This Row],[Team]],Games[Season],Games[[#This Row],[Season]],Games[Date],"&lt;=" &amp; Games[[#This Row],[Date]])</f>
        <v>15</v>
      </c>
      <c r="D177" s="2" t="s">
        <v>79</v>
      </c>
      <c r="E177" s="2" t="s">
        <v>80</v>
      </c>
      <c r="F177" s="1" t="s">
        <v>71</v>
      </c>
      <c r="G177" s="1" t="s">
        <v>67</v>
      </c>
      <c r="H177" s="1" t="s">
        <v>82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7" s="2">
        <f>Games[[#This Row],[DaysOff]]-Games[[#This Row],[OppDaysOff]]</f>
        <v>0</v>
      </c>
      <c r="L177" s="2">
        <f>Games[[#This Row],[OppDaysOff]]-Games[[#This Row],[DaysOff]]</f>
        <v>0</v>
      </c>
      <c r="M177" s="1">
        <f>MAX(-16, MIN(16, Games[[#This Row],[RestDiff]]*8))</f>
        <v>0</v>
      </c>
      <c r="N177" s="1">
        <f>MAX(-16, MIN(16, Games[[#This Row],[OppRestDiff]]*8))</f>
        <v>0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1452.9668827167304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1457.8721062084705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0.61190007153095916</v>
      </c>
      <c r="R177" s="1">
        <v>97</v>
      </c>
      <c r="S177" s="1">
        <v>99</v>
      </c>
      <c r="T177" s="1">
        <v>1</v>
      </c>
      <c r="U177" s="1">
        <f>Games[[#This Row],[PointsFor]]-Games[[#This Row],[PointsAgainst]]</f>
        <v>-2</v>
      </c>
      <c r="V177" s="1">
        <f>IF(Games[[#This Row],[MOV]]&gt;0,1,IF(Games[[#This Row],[MOV]]=0,0.5,0))</f>
        <v>0</v>
      </c>
      <c r="W177" s="4">
        <f>((ABS(Games[[#This Row],[MOV]])+5)^0.6)/(12+0.01*(ABS(Games[[#This Row],[PreGmRate]]-Games[[#This Row],[OppPreGmRate]])))*IF(Games[[#This Row],[OT]]=1,0.9,1)</f>
        <v>0.24007583404457411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7" s="9">
        <f>MAX(kmin, kmax - 0.15 * MIN(Games[[#This Row],[GamesPlayed]], 82))</f>
        <v>73.75</v>
      </c>
      <c r="Z177" s="4">
        <f>Games[[#This Row],[K]]*Games[[#This Row],[POMult]]</f>
        <v>73.75</v>
      </c>
      <c r="AA177" s="4">
        <f>(Games[[#This Row],[Keff]]*Games[[#This Row],[MOVMult]])*(Games[[#This Row],[Result]]-Games[[#This Row],[ExpectedWin%]])</f>
        <v>-10.834053476823806</v>
      </c>
      <c r="AB177" s="4">
        <f>Games[[#This Row],[PreGmRate]]+Games[[#This Row],[RatingChange]]</f>
        <v>1442.1328292399066</v>
      </c>
      <c r="AC177" s="2">
        <f>IF(Games[[#This Row],[Type]]="R",IF(Games[[#This Row],[Result]]&gt;0.5,1,0),0)</f>
        <v>0</v>
      </c>
      <c r="AD177" s="2">
        <f>IF(Games[[#This Row],[Type]]="R",IF(Games[[#This Row],[Result]]&lt;0.5,1,0),0)</f>
        <v>1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45107</v>
      </c>
      <c r="B178" s="2">
        <v>2023</v>
      </c>
      <c r="C178" s="2">
        <f>COUNTIFS(Games[Team],Games[[#This Row],[Team]],Games[Season],Games[[#This Row],[Season]],Games[Date],"&lt;=" &amp; Games[[#This Row],[Date]])</f>
        <v>15</v>
      </c>
      <c r="D178" s="2" t="s">
        <v>79</v>
      </c>
      <c r="E178" s="2" t="s">
        <v>80</v>
      </c>
      <c r="F178" s="1" t="s">
        <v>65</v>
      </c>
      <c r="G178" s="1" t="s">
        <v>77</v>
      </c>
      <c r="H178" s="1" t="s">
        <v>81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8" s="2">
        <f>Games[[#This Row],[DaysOff]]-Games[[#This Row],[OppDaysOff]]</f>
        <v>0</v>
      </c>
      <c r="L178" s="2">
        <f>Games[[#This Row],[OppDaysOff]]-Games[[#This Row],[DaysOff]]</f>
        <v>0</v>
      </c>
      <c r="M178" s="1">
        <f>MAX(-16, MIN(16, Games[[#This Row],[RestDiff]]*8))</f>
        <v>0</v>
      </c>
      <c r="N178" s="1">
        <f>MAX(-16, MIN(16, Games[[#This Row],[OppRestDiff]]*8))</f>
        <v>0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1572.6928887725564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1420.5771674979992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0.59678947935308979</v>
      </c>
      <c r="R178" s="1">
        <v>89</v>
      </c>
      <c r="S178" s="1">
        <v>94</v>
      </c>
      <c r="T178" s="1">
        <v>0</v>
      </c>
      <c r="U178" s="1">
        <f>Games[[#This Row],[PointsFor]]-Games[[#This Row],[PointsAgainst]]</f>
        <v>-5</v>
      </c>
      <c r="V178" s="1">
        <f>IF(Games[[#This Row],[MOV]]&gt;0,1,IF(Games[[#This Row],[MOV]]=0,0.5,0))</f>
        <v>0</v>
      </c>
      <c r="W178" s="4">
        <f>((ABS(Games[[#This Row],[MOV]])+5)^0.6)/(12+0.01*(ABS(Games[[#This Row],[PreGmRate]]-Games[[#This Row],[OppPreGmRate]])))*IF(Games[[#This Row],[OT]]=1,0.9,1)</f>
        <v>0.29443276510255045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8" s="9">
        <f>MAX(kmin, kmax - 0.15 * MIN(Games[[#This Row],[GamesPlayed]], 82))</f>
        <v>73.75</v>
      </c>
      <c r="Z178" s="4">
        <f>Games[[#This Row],[K]]*Games[[#This Row],[POMult]]</f>
        <v>73.75</v>
      </c>
      <c r="AA178" s="4">
        <f>(Games[[#This Row],[Keff]]*Games[[#This Row],[MOVMult]])*(Games[[#This Row],[Result]]-Games[[#This Row],[ExpectedWin%]])</f>
        <v>-12.958935273515573</v>
      </c>
      <c r="AB178" s="4">
        <f>Games[[#This Row],[PreGmRate]]+Games[[#This Row],[RatingChange]]</f>
        <v>1559.7339534990408</v>
      </c>
      <c r="AC178" s="2">
        <f>IF(Games[[#This Row],[Type]]="R",IF(Games[[#This Row],[Result]]&gt;0.5,1,0),0)</f>
        <v>0</v>
      </c>
      <c r="AD178" s="2">
        <f>IF(Games[[#This Row],[Type]]="R",IF(Games[[#This Row],[Result]]&lt;0.5,1,0),0)</f>
        <v>1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45107</v>
      </c>
      <c r="B179" s="2">
        <v>2023</v>
      </c>
      <c r="C179" s="2">
        <f>COUNTIFS(Games[Team],Games[[#This Row],[Team]],Games[Season],Games[[#This Row],[Season]],Games[Date],"&lt;=" &amp; Games[[#This Row],[Date]])</f>
        <v>14</v>
      </c>
      <c r="D179" s="2" t="s">
        <v>79</v>
      </c>
      <c r="E179" s="2" t="s">
        <v>80</v>
      </c>
      <c r="F179" s="1" t="s">
        <v>77</v>
      </c>
      <c r="G179" s="1" t="s">
        <v>65</v>
      </c>
      <c r="H179" s="1" t="s">
        <v>82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9" s="2">
        <f>Games[[#This Row],[DaysOff]]-Games[[#This Row],[OppDaysOff]]</f>
        <v>0</v>
      </c>
      <c r="L179" s="2">
        <f>Games[[#This Row],[OppDaysOff]]-Games[[#This Row],[DaysOff]]</f>
        <v>0</v>
      </c>
      <c r="M179" s="1">
        <f>MAX(-16, MIN(16, Games[[#This Row],[RestDiff]]*8))</f>
        <v>0</v>
      </c>
      <c r="N179" s="1">
        <f>MAX(-16, MIN(16, Games[[#This Row],[OppRestDiff]]*8))</f>
        <v>0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1420.5771674979992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1572.6928887725564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0.40321052064691021</v>
      </c>
      <c r="R179" s="1">
        <v>94</v>
      </c>
      <c r="S179" s="1">
        <v>89</v>
      </c>
      <c r="T179" s="1">
        <v>0</v>
      </c>
      <c r="U179" s="1">
        <f>Games[[#This Row],[PointsFor]]-Games[[#This Row],[PointsAgainst]]</f>
        <v>5</v>
      </c>
      <c r="V179" s="1">
        <f>IF(Games[[#This Row],[MOV]]&gt;0,1,IF(Games[[#This Row],[MOV]]=0,0.5,0))</f>
        <v>1</v>
      </c>
      <c r="W179" s="4">
        <f>((ABS(Games[[#This Row],[MOV]])+5)^0.6)/(12+0.01*(ABS(Games[[#This Row],[PreGmRate]]-Games[[#This Row],[OppPreGmRate]])))*IF(Games[[#This Row],[OT]]=1,0.9,1)</f>
        <v>0.29443276510255045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9" s="9">
        <f>MAX(kmin, kmax - 0.15 * MIN(Games[[#This Row],[GamesPlayed]], 82))</f>
        <v>73.900000000000006</v>
      </c>
      <c r="Z179" s="4">
        <f>Games[[#This Row],[K]]*Games[[#This Row],[POMult]]</f>
        <v>73.900000000000006</v>
      </c>
      <c r="AA179" s="4">
        <f>(Games[[#This Row],[Keff]]*Games[[#This Row],[MOVMult]])*(Games[[#This Row],[Result]]-Games[[#This Row],[ExpectedWin%]])</f>
        <v>12.98529243000408</v>
      </c>
      <c r="AB179" s="4">
        <f>Games[[#This Row],[PreGmRate]]+Games[[#This Row],[RatingChange]]</f>
        <v>1433.5624599280034</v>
      </c>
      <c r="AC179" s="2">
        <f>IF(Games[[#This Row],[Type]]="R",IF(Games[[#This Row],[Result]]&gt;0.5,1,0),0)</f>
        <v>1</v>
      </c>
      <c r="AD179" s="2">
        <f>IF(Games[[#This Row],[Type]]="R",IF(Games[[#This Row],[Result]]&lt;0.5,1,0),0)</f>
        <v>0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45107</v>
      </c>
      <c r="B180" s="2">
        <v>2023</v>
      </c>
      <c r="C180" s="2">
        <f>COUNTIFS(Games[Team],Games[[#This Row],[Team]],Games[Season],Games[[#This Row],[Season]],Games[Date],"&lt;=" &amp; Games[[#This Row],[Date]])</f>
        <v>16</v>
      </c>
      <c r="D180" s="2" t="s">
        <v>79</v>
      </c>
      <c r="E180" s="2" t="s">
        <v>80</v>
      </c>
      <c r="F180" s="1" t="s">
        <v>63</v>
      </c>
      <c r="G180" s="1" t="s">
        <v>75</v>
      </c>
      <c r="H180" s="1" t="s">
        <v>81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0" s="2">
        <f>Games[[#This Row],[DaysOff]]-Games[[#This Row],[OppDaysOff]]</f>
        <v>0</v>
      </c>
      <c r="L180" s="2">
        <f>Games[[#This Row],[OppDaysOff]]-Games[[#This Row],[DaysOff]]</f>
        <v>0</v>
      </c>
      <c r="M180" s="1">
        <f>MAX(-16, MIN(16, Games[[#This Row],[RestDiff]]*8))</f>
        <v>0</v>
      </c>
      <c r="N180" s="1">
        <f>MAX(-16, MIN(16, Games[[#This Row],[OppRestDiff]]*8))</f>
        <v>0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1450.9081630755586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1494.6335520777975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0.32404448940942648</v>
      </c>
      <c r="R180" s="1">
        <v>78</v>
      </c>
      <c r="S180" s="1">
        <v>86</v>
      </c>
      <c r="T180" s="1">
        <v>0</v>
      </c>
      <c r="U180" s="1">
        <f>Games[[#This Row],[PointsFor]]-Games[[#This Row],[PointsAgainst]]</f>
        <v>-8</v>
      </c>
      <c r="V180" s="1">
        <f>IF(Games[[#This Row],[MOV]]&gt;0,1,IF(Games[[#This Row],[MOV]]=0,0.5,0))</f>
        <v>0</v>
      </c>
      <c r="W180" s="4">
        <f>((ABS(Games[[#This Row],[MOV]])+5)^0.6)/(12+0.01*(ABS(Games[[#This Row],[PreGmRate]]-Games[[#This Row],[OppPreGmRate]])))*IF(Games[[#This Row],[OT]]=1,0.9,1)</f>
        <v>0.37466360832066908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0" s="9">
        <f>MAX(kmin, kmax - 0.15 * MIN(Games[[#This Row],[GamesPlayed]], 82))</f>
        <v>73.599999999999994</v>
      </c>
      <c r="Z180" s="4">
        <f>Games[[#This Row],[K]]*Games[[#This Row],[POMult]]</f>
        <v>73.599999999999994</v>
      </c>
      <c r="AA180" s="4">
        <f>(Games[[#This Row],[Keff]]*Games[[#This Row],[MOVMult]])*(Games[[#This Row],[Result]]-Games[[#This Row],[ExpectedWin%]])</f>
        <v>-8.9356050756703507</v>
      </c>
      <c r="AB180" s="4">
        <f>Games[[#This Row],[PreGmRate]]+Games[[#This Row],[RatingChange]]</f>
        <v>1441.9725579998883</v>
      </c>
      <c r="AC180" s="2">
        <f>IF(Games[[#This Row],[Type]]="R",IF(Games[[#This Row],[Result]]&gt;0.5,1,0),0)</f>
        <v>0</v>
      </c>
      <c r="AD180" s="2">
        <f>IF(Games[[#This Row],[Type]]="R",IF(Games[[#This Row],[Result]]&lt;0.5,1,0),0)</f>
        <v>1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45107</v>
      </c>
      <c r="B181" s="2">
        <v>2023</v>
      </c>
      <c r="C181" s="2">
        <f>COUNTIFS(Games[Team],Games[[#This Row],[Team]],Games[Season],Games[[#This Row],[Season]],Games[Date],"&lt;=" &amp; Games[[#This Row],[Date]])</f>
        <v>16</v>
      </c>
      <c r="D181" s="2" t="s">
        <v>79</v>
      </c>
      <c r="E181" s="2" t="s">
        <v>80</v>
      </c>
      <c r="F181" s="1" t="s">
        <v>75</v>
      </c>
      <c r="G181" s="1" t="s">
        <v>63</v>
      </c>
      <c r="H181" s="1" t="s">
        <v>82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1" s="2">
        <f>Games[[#This Row],[DaysOff]]-Games[[#This Row],[OppDaysOff]]</f>
        <v>0</v>
      </c>
      <c r="L181" s="2">
        <f>Games[[#This Row],[OppDaysOff]]-Games[[#This Row],[DaysOff]]</f>
        <v>0</v>
      </c>
      <c r="M181" s="1">
        <f>MAX(-16, MIN(16, Games[[#This Row],[RestDiff]]*8))</f>
        <v>0</v>
      </c>
      <c r="N181" s="1">
        <f>MAX(-16, MIN(16, Games[[#This Row],[OppRestDiff]]*8))</f>
        <v>0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1494.6335520777975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1450.9081630755586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0.67595551059057346</v>
      </c>
      <c r="R181" s="1">
        <v>86</v>
      </c>
      <c r="S181" s="1">
        <v>78</v>
      </c>
      <c r="T181" s="1">
        <v>0</v>
      </c>
      <c r="U181" s="1">
        <f>Games[[#This Row],[PointsFor]]-Games[[#This Row],[PointsAgainst]]</f>
        <v>8</v>
      </c>
      <c r="V181" s="1">
        <f>IF(Games[[#This Row],[MOV]]&gt;0,1,IF(Games[[#This Row],[MOV]]=0,0.5,0))</f>
        <v>1</v>
      </c>
      <c r="W181" s="4">
        <f>((ABS(Games[[#This Row],[MOV]])+5)^0.6)/(12+0.01*(ABS(Games[[#This Row],[PreGmRate]]-Games[[#This Row],[OppPreGmRate]])))*IF(Games[[#This Row],[OT]]=1,0.9,1)</f>
        <v>0.37466360832066908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1" s="9">
        <f>MAX(kmin, kmax - 0.15 * MIN(Games[[#This Row],[GamesPlayed]], 82))</f>
        <v>73.599999999999994</v>
      </c>
      <c r="Z181" s="4">
        <f>Games[[#This Row],[K]]*Games[[#This Row],[POMult]]</f>
        <v>73.599999999999994</v>
      </c>
      <c r="AA181" s="4">
        <f>(Games[[#This Row],[Keff]]*Games[[#This Row],[MOVMult]])*(Games[[#This Row],[Result]]-Games[[#This Row],[ExpectedWin%]])</f>
        <v>8.9356050756703524</v>
      </c>
      <c r="AB181" s="4">
        <f>Games[[#This Row],[PreGmRate]]+Games[[#This Row],[RatingChange]]</f>
        <v>1503.5691571534678</v>
      </c>
      <c r="AC181" s="2">
        <f>IF(Games[[#This Row],[Type]]="R",IF(Games[[#This Row],[Result]]&gt;0.5,1,0),0)</f>
        <v>1</v>
      </c>
      <c r="AD181" s="2">
        <f>IF(Games[[#This Row],[Type]]="R",IF(Games[[#This Row],[Result]]&lt;0.5,1,0),0)</f>
        <v>0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45108</v>
      </c>
      <c r="B182" s="2">
        <v>2023</v>
      </c>
      <c r="C182" s="2">
        <f>COUNTIFS(Games[Team],Games[[#This Row],[Team]],Games[Season],Games[[#This Row],[Season]],Games[Date],"&lt;=" &amp; Games[[#This Row],[Date]])</f>
        <v>17</v>
      </c>
      <c r="D182" s="2" t="s">
        <v>79</v>
      </c>
      <c r="E182" s="2" t="s">
        <v>80</v>
      </c>
      <c r="F182" s="1" t="s">
        <v>74</v>
      </c>
      <c r="G182" s="1" t="s">
        <v>86</v>
      </c>
      <c r="H182" s="1" t="s">
        <v>81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2" s="2">
        <f>Games[[#This Row],[DaysOff]]-Games[[#This Row],[OppDaysOff]]</f>
        <v>2</v>
      </c>
      <c r="L182" s="2">
        <f>Games[[#This Row],[OppDaysOff]]-Games[[#This Row],[DaysOff]]</f>
        <v>-2</v>
      </c>
      <c r="M182" s="1">
        <f>MAX(-16, MIN(16, Games[[#This Row],[RestDiff]]*8))</f>
        <v>16</v>
      </c>
      <c r="N182" s="1">
        <f>MAX(-16, MIN(16, Games[[#This Row],[OppRestDiff]]*8))</f>
        <v>-16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1636.6489859339622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1708.9623667000399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0.32836144931848987</v>
      </c>
      <c r="R182" s="1">
        <v>84</v>
      </c>
      <c r="S182" s="1">
        <v>102</v>
      </c>
      <c r="T182" s="1">
        <v>0</v>
      </c>
      <c r="U182" s="1">
        <f>Games[[#This Row],[PointsFor]]-Games[[#This Row],[PointsAgainst]]</f>
        <v>-18</v>
      </c>
      <c r="V182" s="1">
        <f>IF(Games[[#This Row],[MOV]]&gt;0,1,IF(Games[[#This Row],[MOV]]=0,0.5,0))</f>
        <v>0</v>
      </c>
      <c r="W182" s="4">
        <f>((ABS(Games[[#This Row],[MOV]])+5)^0.6)/(12+0.01*(ABS(Games[[#This Row],[PreGmRate]]-Games[[#This Row],[OppPreGmRate]])))*IF(Games[[#This Row],[OT]]=1,0.9,1)</f>
        <v>0.51575400248991943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2" s="9">
        <f>MAX(kmin, kmax - 0.15 * MIN(Games[[#This Row],[GamesPlayed]], 82))</f>
        <v>73.45</v>
      </c>
      <c r="Z182" s="4">
        <f>Games[[#This Row],[K]]*Games[[#This Row],[POMult]]</f>
        <v>73.45</v>
      </c>
      <c r="AA182" s="4">
        <f>(Games[[#This Row],[Keff]]*Games[[#This Row],[MOVMult]])*(Games[[#This Row],[Result]]-Games[[#This Row],[ExpectedWin%]])</f>
        <v>-12.439031596993575</v>
      </c>
      <c r="AB182" s="4">
        <f>Games[[#This Row],[PreGmRate]]+Games[[#This Row],[RatingChange]]</f>
        <v>1624.2099543369686</v>
      </c>
      <c r="AC182" s="2">
        <f>IF(Games[[#This Row],[Type]]="R",IF(Games[[#This Row],[Result]]&gt;0.5,1,0),0)</f>
        <v>0</v>
      </c>
      <c r="AD182" s="2">
        <f>IF(Games[[#This Row],[Type]]="R",IF(Games[[#This Row],[Result]]&lt;0.5,1,0),0)</f>
        <v>1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45108</v>
      </c>
      <c r="B183" s="2">
        <v>2023</v>
      </c>
      <c r="C183" s="2">
        <f>COUNTIFS(Games[Team],Games[[#This Row],[Team]],Games[Season],Games[[#This Row],[Season]],Games[Date],"&lt;=" &amp; Games[[#This Row],[Date]])</f>
        <v>16</v>
      </c>
      <c r="D183" s="2" t="s">
        <v>79</v>
      </c>
      <c r="E183" s="2" t="s">
        <v>80</v>
      </c>
      <c r="F183" s="1" t="s">
        <v>86</v>
      </c>
      <c r="G183" s="1" t="s">
        <v>74</v>
      </c>
      <c r="H183" s="1" t="s">
        <v>82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3" s="2">
        <f>Games[[#This Row],[DaysOff]]-Games[[#This Row],[OppDaysOff]]</f>
        <v>-2</v>
      </c>
      <c r="L183" s="2">
        <f>Games[[#This Row],[OppDaysOff]]-Games[[#This Row],[DaysOff]]</f>
        <v>2</v>
      </c>
      <c r="M183" s="1">
        <f>MAX(-16, MIN(16, Games[[#This Row],[RestDiff]]*8))</f>
        <v>-16</v>
      </c>
      <c r="N183" s="1">
        <f>MAX(-16, MIN(16, Games[[#This Row],[OppRestDiff]]*8))</f>
        <v>16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1708.9623667000399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1636.6489859339622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0.67163855068151013</v>
      </c>
      <c r="R183" s="1">
        <v>102</v>
      </c>
      <c r="S183" s="1">
        <v>84</v>
      </c>
      <c r="T183" s="1">
        <v>0</v>
      </c>
      <c r="U183" s="1">
        <f>Games[[#This Row],[PointsFor]]-Games[[#This Row],[PointsAgainst]]</f>
        <v>18</v>
      </c>
      <c r="V183" s="1">
        <f>IF(Games[[#This Row],[MOV]]&gt;0,1,IF(Games[[#This Row],[MOV]]=0,0.5,0))</f>
        <v>1</v>
      </c>
      <c r="W183" s="4">
        <f>((ABS(Games[[#This Row],[MOV]])+5)^0.6)/(12+0.01*(ABS(Games[[#This Row],[PreGmRate]]-Games[[#This Row],[OppPreGmRate]])))*IF(Games[[#This Row],[OT]]=1,0.9,1)</f>
        <v>0.51575400248991943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3" s="9">
        <f>MAX(kmin, kmax - 0.15 * MIN(Games[[#This Row],[GamesPlayed]], 82))</f>
        <v>73.599999999999994</v>
      </c>
      <c r="Z183" s="4">
        <f>Games[[#This Row],[K]]*Games[[#This Row],[POMult]]</f>
        <v>73.599999999999994</v>
      </c>
      <c r="AA183" s="4">
        <f>(Games[[#This Row],[Keff]]*Games[[#This Row],[MOVMult]])*(Games[[#This Row],[Result]]-Games[[#This Row],[ExpectedWin%]])</f>
        <v>12.464434656755984</v>
      </c>
      <c r="AB183" s="4">
        <f>Games[[#This Row],[PreGmRate]]+Games[[#This Row],[RatingChange]]</f>
        <v>1721.4268013567957</v>
      </c>
      <c r="AC183" s="2">
        <f>IF(Games[[#This Row],[Type]]="R",IF(Games[[#This Row],[Result]]&gt;0.5,1,0),0)</f>
        <v>1</v>
      </c>
      <c r="AD183" s="2">
        <f>IF(Games[[#This Row],[Type]]="R",IF(Games[[#This Row],[Result]]&lt;0.5,1,0),0)</f>
        <v>0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45108</v>
      </c>
      <c r="B184" s="2">
        <v>2023</v>
      </c>
      <c r="C184" s="2">
        <f>COUNTIFS(Games[Team],Games[[#This Row],[Team]],Games[Season],Games[[#This Row],[Season]],Games[Date],"&lt;=" &amp; Games[[#This Row],[Date]])</f>
        <v>16</v>
      </c>
      <c r="D184" s="2" t="s">
        <v>79</v>
      </c>
      <c r="E184" s="2" t="s">
        <v>80</v>
      </c>
      <c r="F184" s="1" t="s">
        <v>67</v>
      </c>
      <c r="G184" s="1" t="s">
        <v>40</v>
      </c>
      <c r="H184" s="1" t="s">
        <v>81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4" s="2">
        <f>Games[[#This Row],[DaysOff]]-Games[[#This Row],[OppDaysOff]]</f>
        <v>0</v>
      </c>
      <c r="L184" s="2">
        <f>Games[[#This Row],[OppDaysOff]]-Games[[#This Row],[DaysOff]]</f>
        <v>0</v>
      </c>
      <c r="M184" s="1">
        <f>MAX(-16, MIN(16, Games[[#This Row],[RestDiff]]*8))</f>
        <v>0</v>
      </c>
      <c r="N184" s="1">
        <f>MAX(-16, MIN(16, Games[[#This Row],[OppRestDiff]]*8))</f>
        <v>0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1468.7061596852943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1371.4178681135688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0.51911406958928452</v>
      </c>
      <c r="R184" s="1">
        <v>86</v>
      </c>
      <c r="S184" s="1">
        <v>76</v>
      </c>
      <c r="T184" s="1">
        <v>0</v>
      </c>
      <c r="U184" s="1">
        <f>Games[[#This Row],[PointsFor]]-Games[[#This Row],[PointsAgainst]]</f>
        <v>10</v>
      </c>
      <c r="V184" s="1">
        <f>IF(Games[[#This Row],[MOV]]&gt;0,1,IF(Games[[#This Row],[MOV]]=0,0.5,0))</f>
        <v>1</v>
      </c>
      <c r="W184" s="4">
        <f>((ABS(Games[[#This Row],[MOV]])+5)^0.6)/(12+0.01*(ABS(Games[[#This Row],[PreGmRate]]-Games[[#This Row],[OppPreGmRate]])))*IF(Games[[#This Row],[OT]]=1,0.9,1)</f>
        <v>0.39139768893124827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4" s="9">
        <f>MAX(kmin, kmax - 0.15 * MIN(Games[[#This Row],[GamesPlayed]], 82))</f>
        <v>73.599999999999994</v>
      </c>
      <c r="Z184" s="4">
        <f>Games[[#This Row],[K]]*Games[[#This Row],[POMult]]</f>
        <v>73.599999999999994</v>
      </c>
      <c r="AA184" s="4">
        <f>(Games[[#This Row],[Keff]]*Games[[#This Row],[MOVMult]])*(Games[[#This Row],[Result]]-Games[[#This Row],[ExpectedWin%]])</f>
        <v>13.852818436649802</v>
      </c>
      <c r="AB184" s="4">
        <f>Games[[#This Row],[PreGmRate]]+Games[[#This Row],[RatingChange]]</f>
        <v>1482.5589781219442</v>
      </c>
      <c r="AC184" s="2">
        <f>IF(Games[[#This Row],[Type]]="R",IF(Games[[#This Row],[Result]]&gt;0.5,1,0),0)</f>
        <v>1</v>
      </c>
      <c r="AD184" s="2">
        <f>IF(Games[[#This Row],[Type]]="R",IF(Games[[#This Row],[Result]]&lt;0.5,1,0),0)</f>
        <v>0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45108</v>
      </c>
      <c r="B185" s="2">
        <v>2023</v>
      </c>
      <c r="C185" s="2">
        <f>COUNTIFS(Games[Team],Games[[#This Row],[Team]],Games[Season],Games[[#This Row],[Season]],Games[Date],"&lt;=" &amp; Games[[#This Row],[Date]])</f>
        <v>15</v>
      </c>
      <c r="D185" s="2" t="s">
        <v>79</v>
      </c>
      <c r="E185" s="2" t="s">
        <v>80</v>
      </c>
      <c r="F185" s="1" t="s">
        <v>40</v>
      </c>
      <c r="G185" s="1" t="s">
        <v>67</v>
      </c>
      <c r="H185" s="1" t="s">
        <v>82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5" s="2">
        <f>Games[[#This Row],[DaysOff]]-Games[[#This Row],[OppDaysOff]]</f>
        <v>0</v>
      </c>
      <c r="L185" s="2">
        <f>Games[[#This Row],[OppDaysOff]]-Games[[#This Row],[DaysOff]]</f>
        <v>0</v>
      </c>
      <c r="M185" s="1">
        <f>MAX(-16, MIN(16, Games[[#This Row],[RestDiff]]*8))</f>
        <v>0</v>
      </c>
      <c r="N185" s="1">
        <f>MAX(-16, MIN(16, Games[[#This Row],[OppRestDiff]]*8))</f>
        <v>0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1371.4178681135688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1468.7061596852943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0.48088593041071553</v>
      </c>
      <c r="R185" s="1">
        <v>76</v>
      </c>
      <c r="S185" s="1">
        <v>86</v>
      </c>
      <c r="T185" s="1">
        <v>0</v>
      </c>
      <c r="U185" s="1">
        <f>Games[[#This Row],[PointsFor]]-Games[[#This Row],[PointsAgainst]]</f>
        <v>-10</v>
      </c>
      <c r="V185" s="1">
        <f>IF(Games[[#This Row],[MOV]]&gt;0,1,IF(Games[[#This Row],[MOV]]=0,0.5,0))</f>
        <v>0</v>
      </c>
      <c r="W185" s="4">
        <f>((ABS(Games[[#This Row],[MOV]])+5)^0.6)/(12+0.01*(ABS(Games[[#This Row],[PreGmRate]]-Games[[#This Row],[OppPreGmRate]])))*IF(Games[[#This Row],[OT]]=1,0.9,1)</f>
        <v>0.39139768893124827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5" s="9">
        <f>MAX(kmin, kmax - 0.15 * MIN(Games[[#This Row],[GamesPlayed]], 82))</f>
        <v>73.75</v>
      </c>
      <c r="Z185" s="4">
        <f>Games[[#This Row],[K]]*Games[[#This Row],[POMult]]</f>
        <v>73.75</v>
      </c>
      <c r="AA185" s="4">
        <f>(Games[[#This Row],[Keff]]*Games[[#This Row],[MOVMult]])*(Games[[#This Row],[Result]]-Games[[#This Row],[ExpectedWin%]])</f>
        <v>-13.881051082920152</v>
      </c>
      <c r="AB185" s="4">
        <f>Games[[#This Row],[PreGmRate]]+Games[[#This Row],[RatingChange]]</f>
        <v>1357.5368170306488</v>
      </c>
      <c r="AC185" s="2">
        <f>IF(Games[[#This Row],[Type]]="R",IF(Games[[#This Row],[Result]]&gt;0.5,1,0),0)</f>
        <v>0</v>
      </c>
      <c r="AD185" s="2">
        <f>IF(Games[[#This Row],[Type]]="R",IF(Games[[#This Row],[Result]]&lt;0.5,1,0),0)</f>
        <v>1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45109</v>
      </c>
      <c r="B186" s="2">
        <v>2023</v>
      </c>
      <c r="C186" s="2">
        <f>COUNTIFS(Games[Team],Games[[#This Row],[Team]],Games[Season],Games[[#This Row],[Season]],Games[Date],"&lt;=" &amp; Games[[#This Row],[Date]])</f>
        <v>17</v>
      </c>
      <c r="D186" s="2" t="s">
        <v>79</v>
      </c>
      <c r="E186" s="2" t="s">
        <v>80</v>
      </c>
      <c r="F186" s="1" t="s">
        <v>63</v>
      </c>
      <c r="G186" s="1" t="s">
        <v>77</v>
      </c>
      <c r="H186" s="1" t="s">
        <v>81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6" s="2">
        <f>Games[[#This Row],[DaysOff]]-Games[[#This Row],[OppDaysOff]]</f>
        <v>0</v>
      </c>
      <c r="L186" s="2">
        <f>Games[[#This Row],[OppDaysOff]]-Games[[#This Row],[DaysOff]]</f>
        <v>0</v>
      </c>
      <c r="M186" s="1">
        <f>MAX(-16, MIN(16, Games[[#This Row],[RestDiff]]*8))</f>
        <v>0</v>
      </c>
      <c r="N186" s="1">
        <f>MAX(-16, MIN(16, Games[[#This Row],[OppRestDiff]]*8))</f>
        <v>0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1441.9725579998883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1433.5624599280034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0.39290189444430246</v>
      </c>
      <c r="R186" s="1">
        <v>84</v>
      </c>
      <c r="S186" s="1">
        <v>112</v>
      </c>
      <c r="T186" s="1">
        <v>0</v>
      </c>
      <c r="U186" s="1">
        <f>Games[[#This Row],[PointsFor]]-Games[[#This Row],[PointsAgainst]]</f>
        <v>-28</v>
      </c>
      <c r="V186" s="1">
        <f>IF(Games[[#This Row],[MOV]]&gt;0,1,IF(Games[[#This Row],[MOV]]=0,0.5,0))</f>
        <v>0</v>
      </c>
      <c r="W186" s="4">
        <f>((ABS(Games[[#This Row],[MOV]])+5)^0.6)/(12+0.01*(ABS(Games[[#This Row],[PreGmRate]]-Games[[#This Row],[OppPreGmRate]])))*IF(Games[[#This Row],[OT]]=1,0.9,1)</f>
        <v>0.67436344117409575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6" s="9">
        <f>MAX(kmin, kmax - 0.15 * MIN(Games[[#This Row],[GamesPlayed]], 82))</f>
        <v>73.45</v>
      </c>
      <c r="Z186" s="4">
        <f>Games[[#This Row],[K]]*Games[[#This Row],[POMult]]</f>
        <v>73.45</v>
      </c>
      <c r="AA186" s="4">
        <f>(Games[[#This Row],[Keff]]*Games[[#This Row],[MOVMult]])*(Games[[#This Row],[Result]]-Games[[#This Row],[ExpectedWin%]])</f>
        <v>-19.4612145745451</v>
      </c>
      <c r="AB186" s="4">
        <f>Games[[#This Row],[PreGmRate]]+Games[[#This Row],[RatingChange]]</f>
        <v>1422.5113434253433</v>
      </c>
      <c r="AC186" s="2">
        <f>IF(Games[[#This Row],[Type]]="R",IF(Games[[#This Row],[Result]]&gt;0.5,1,0),0)</f>
        <v>0</v>
      </c>
      <c r="AD186" s="2">
        <f>IF(Games[[#This Row],[Type]]="R",IF(Games[[#This Row],[Result]]&lt;0.5,1,0),0)</f>
        <v>1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45109</v>
      </c>
      <c r="B187" s="2">
        <v>2023</v>
      </c>
      <c r="C187" s="2">
        <f>COUNTIFS(Games[Team],Games[[#This Row],[Team]],Games[Season],Games[[#This Row],[Season]],Games[Date],"&lt;=" &amp; Games[[#This Row],[Date]])</f>
        <v>15</v>
      </c>
      <c r="D187" s="2" t="s">
        <v>79</v>
      </c>
      <c r="E187" s="2" t="s">
        <v>80</v>
      </c>
      <c r="F187" s="1" t="s">
        <v>77</v>
      </c>
      <c r="G187" s="1" t="s">
        <v>63</v>
      </c>
      <c r="H187" s="1" t="s">
        <v>82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7" s="2">
        <f>Games[[#This Row],[DaysOff]]-Games[[#This Row],[OppDaysOff]]</f>
        <v>0</v>
      </c>
      <c r="L187" s="2">
        <f>Games[[#This Row],[OppDaysOff]]-Games[[#This Row],[DaysOff]]</f>
        <v>0</v>
      </c>
      <c r="M187" s="1">
        <f>MAX(-16, MIN(16, Games[[#This Row],[RestDiff]]*8))</f>
        <v>0</v>
      </c>
      <c r="N187" s="1">
        <f>MAX(-16, MIN(16, Games[[#This Row],[OppRestDiff]]*8))</f>
        <v>0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1433.5624599280034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1441.9725579998883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0.60709810555569754</v>
      </c>
      <c r="R187" s="1">
        <v>112</v>
      </c>
      <c r="S187" s="1">
        <v>84</v>
      </c>
      <c r="T187" s="1">
        <v>0</v>
      </c>
      <c r="U187" s="1">
        <f>Games[[#This Row],[PointsFor]]-Games[[#This Row],[PointsAgainst]]</f>
        <v>28</v>
      </c>
      <c r="V187" s="1">
        <f>IF(Games[[#This Row],[MOV]]&gt;0,1,IF(Games[[#This Row],[MOV]]=0,0.5,0))</f>
        <v>1</v>
      </c>
      <c r="W187" s="4">
        <f>((ABS(Games[[#This Row],[MOV]])+5)^0.6)/(12+0.01*(ABS(Games[[#This Row],[PreGmRate]]-Games[[#This Row],[OppPreGmRate]])))*IF(Games[[#This Row],[OT]]=1,0.9,1)</f>
        <v>0.67436344117409575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7" s="9">
        <f>MAX(kmin, kmax - 0.15 * MIN(Games[[#This Row],[GamesPlayed]], 82))</f>
        <v>73.75</v>
      </c>
      <c r="Z187" s="4">
        <f>Games[[#This Row],[K]]*Games[[#This Row],[POMult]]</f>
        <v>73.75</v>
      </c>
      <c r="AA187" s="4">
        <f>(Games[[#This Row],[Keff]]*Games[[#This Row],[MOVMult]])*(Games[[#This Row],[Result]]-Games[[#This Row],[ExpectedWin%]])</f>
        <v>19.540702176619487</v>
      </c>
      <c r="AB187" s="4">
        <f>Games[[#This Row],[PreGmRate]]+Games[[#This Row],[RatingChange]]</f>
        <v>1453.1031621046229</v>
      </c>
      <c r="AC187" s="2">
        <f>IF(Games[[#This Row],[Type]]="R",IF(Games[[#This Row],[Result]]&gt;0.5,1,0),0)</f>
        <v>1</v>
      </c>
      <c r="AD187" s="2">
        <f>IF(Games[[#This Row],[Type]]="R",IF(Games[[#This Row],[Result]]&lt;0.5,1,0),0)</f>
        <v>0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45109</v>
      </c>
      <c r="B188" s="2">
        <v>2023</v>
      </c>
      <c r="C188" s="2">
        <f>COUNTIFS(Games[Team],Games[[#This Row],[Team]],Games[Season],Games[[#This Row],[Season]],Games[Date],"&lt;=" &amp; Games[[#This Row],[Date]])</f>
        <v>16</v>
      </c>
      <c r="D188" s="2" t="s">
        <v>79</v>
      </c>
      <c r="E188" s="2" t="s">
        <v>80</v>
      </c>
      <c r="F188" s="1" t="s">
        <v>65</v>
      </c>
      <c r="G188" s="1" t="s">
        <v>85</v>
      </c>
      <c r="H188" s="1" t="s">
        <v>81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88" s="2">
        <f>Games[[#This Row],[DaysOff]]-Games[[#This Row],[OppDaysOff]]</f>
        <v>-3</v>
      </c>
      <c r="L188" s="2">
        <f>Games[[#This Row],[OppDaysOff]]-Games[[#This Row],[DaysOff]]</f>
        <v>3</v>
      </c>
      <c r="M188" s="1">
        <f>MAX(-16, MIN(16, Games[[#This Row],[RestDiff]]*8))</f>
        <v>-16</v>
      </c>
      <c r="N188" s="1">
        <f>MAX(-16, MIN(16, Games[[#This Row],[OppRestDiff]]*8))</f>
        <v>16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1559.7339534990408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1477.4205299295118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0.45167246400901617</v>
      </c>
      <c r="R188" s="1">
        <v>72</v>
      </c>
      <c r="S188" s="1">
        <v>89</v>
      </c>
      <c r="T188" s="1">
        <v>0</v>
      </c>
      <c r="U188" s="1">
        <f>Games[[#This Row],[PointsFor]]-Games[[#This Row],[PointsAgainst]]</f>
        <v>-17</v>
      </c>
      <c r="V188" s="1">
        <f>IF(Games[[#This Row],[MOV]]&gt;0,1,IF(Games[[#This Row],[MOV]]=0,0.5,0))</f>
        <v>0</v>
      </c>
      <c r="W188" s="4">
        <f>((ABS(Games[[#This Row],[MOV]])+5)^0.6)/(12+0.01*(ABS(Games[[#This Row],[PreGmRate]]-Games[[#This Row],[OppPreGmRate]])))*IF(Games[[#This Row],[OT]]=1,0.9,1)</f>
        <v>0.49826389645039304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8" s="9">
        <f>MAX(kmin, kmax - 0.15 * MIN(Games[[#This Row],[GamesPlayed]], 82))</f>
        <v>73.599999999999994</v>
      </c>
      <c r="Z188" s="4">
        <f>Games[[#This Row],[K]]*Games[[#This Row],[POMult]]</f>
        <v>73.599999999999994</v>
      </c>
      <c r="AA188" s="4">
        <f>(Games[[#This Row],[Keff]]*Games[[#This Row],[MOVMult]])*(Games[[#This Row],[Result]]-Games[[#This Row],[ExpectedWin%]])</f>
        <v>-16.563833223165098</v>
      </c>
      <c r="AB188" s="4">
        <f>Games[[#This Row],[PreGmRate]]+Games[[#This Row],[RatingChange]]</f>
        <v>1543.1701202758757</v>
      </c>
      <c r="AC188" s="2">
        <f>IF(Games[[#This Row],[Type]]="R",IF(Games[[#This Row],[Result]]&gt;0.5,1,0),0)</f>
        <v>0</v>
      </c>
      <c r="AD188" s="2">
        <f>IF(Games[[#This Row],[Type]]="R",IF(Games[[#This Row],[Result]]&lt;0.5,1,0),0)</f>
        <v>1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45109</v>
      </c>
      <c r="B189" s="2">
        <v>2023</v>
      </c>
      <c r="C189" s="2">
        <f>COUNTIFS(Games[Team],Games[[#This Row],[Team]],Games[Season],Games[[#This Row],[Season]],Games[Date],"&lt;=" &amp; Games[[#This Row],[Date]])</f>
        <v>16</v>
      </c>
      <c r="D189" s="2" t="s">
        <v>79</v>
      </c>
      <c r="E189" s="2" t="s">
        <v>80</v>
      </c>
      <c r="F189" s="1" t="s">
        <v>85</v>
      </c>
      <c r="G189" s="1" t="s">
        <v>65</v>
      </c>
      <c r="H189" s="1" t="s">
        <v>82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4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9" s="2">
        <f>Games[[#This Row],[DaysOff]]-Games[[#This Row],[OppDaysOff]]</f>
        <v>3</v>
      </c>
      <c r="L189" s="2">
        <f>Games[[#This Row],[OppDaysOff]]-Games[[#This Row],[DaysOff]]</f>
        <v>-3</v>
      </c>
      <c r="M189" s="1">
        <f>MAX(-16, MIN(16, Games[[#This Row],[RestDiff]]*8))</f>
        <v>16</v>
      </c>
      <c r="N189" s="1">
        <f>MAX(-16, MIN(16, Games[[#This Row],[OppRestDiff]]*8))</f>
        <v>-16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1477.4205299295118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1559.7339534990408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0.54832753599098383</v>
      </c>
      <c r="R189" s="1">
        <v>89</v>
      </c>
      <c r="S189" s="1">
        <v>72</v>
      </c>
      <c r="T189" s="1">
        <v>0</v>
      </c>
      <c r="U189" s="1">
        <f>Games[[#This Row],[PointsFor]]-Games[[#This Row],[PointsAgainst]]</f>
        <v>17</v>
      </c>
      <c r="V189" s="1">
        <f>IF(Games[[#This Row],[MOV]]&gt;0,1,IF(Games[[#This Row],[MOV]]=0,0.5,0))</f>
        <v>1</v>
      </c>
      <c r="W189" s="4">
        <f>((ABS(Games[[#This Row],[MOV]])+5)^0.6)/(12+0.01*(ABS(Games[[#This Row],[PreGmRate]]-Games[[#This Row],[OppPreGmRate]])))*IF(Games[[#This Row],[OT]]=1,0.9,1)</f>
        <v>0.49826389645039304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9" s="9">
        <f>MAX(kmin, kmax - 0.15 * MIN(Games[[#This Row],[GamesPlayed]], 82))</f>
        <v>73.599999999999994</v>
      </c>
      <c r="Z189" s="4">
        <f>Games[[#This Row],[K]]*Games[[#This Row],[POMult]]</f>
        <v>73.599999999999994</v>
      </c>
      <c r="AA189" s="4">
        <f>(Games[[#This Row],[Keff]]*Games[[#This Row],[MOVMult]])*(Games[[#This Row],[Result]]-Games[[#This Row],[ExpectedWin%]])</f>
        <v>16.563833223165098</v>
      </c>
      <c r="AB189" s="4">
        <f>Games[[#This Row],[PreGmRate]]+Games[[#This Row],[RatingChange]]</f>
        <v>1493.9843631526769</v>
      </c>
      <c r="AC189" s="2">
        <f>IF(Games[[#This Row],[Type]]="R",IF(Games[[#This Row],[Result]]&gt;0.5,1,0),0)</f>
        <v>1</v>
      </c>
      <c r="AD189" s="2">
        <f>IF(Games[[#This Row],[Type]]="R",IF(Games[[#This Row],[Result]]&lt;0.5,1,0),0)</f>
        <v>0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45109</v>
      </c>
      <c r="B190" s="2">
        <v>2023</v>
      </c>
      <c r="C190" s="2">
        <f>COUNTIFS(Games[Team],Games[[#This Row],[Team]],Games[Season],Games[[#This Row],[Season]],Games[Date],"&lt;=" &amp; Games[[#This Row],[Date]])</f>
        <v>17</v>
      </c>
      <c r="D190" s="2" t="s">
        <v>79</v>
      </c>
      <c r="E190" s="2" t="s">
        <v>80</v>
      </c>
      <c r="F190" s="1" t="s">
        <v>75</v>
      </c>
      <c r="G190" s="1" t="s">
        <v>69</v>
      </c>
      <c r="H190" s="1" t="s">
        <v>81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0" s="2">
        <f>Games[[#This Row],[DaysOff]]-Games[[#This Row],[OppDaysOff]]</f>
        <v>-1</v>
      </c>
      <c r="L190" s="2">
        <f>Games[[#This Row],[OppDaysOff]]-Games[[#This Row],[DaysOff]]</f>
        <v>1</v>
      </c>
      <c r="M190" s="1">
        <f>MAX(-16, MIN(16, Games[[#This Row],[RestDiff]]*8))</f>
        <v>-8</v>
      </c>
      <c r="N190" s="1">
        <f>MAX(-16, MIN(16, Games[[#This Row],[OppRestDiff]]*8))</f>
        <v>8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1503.5691571534678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1376.6386443056404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0.53867869196268381</v>
      </c>
      <c r="R190" s="1">
        <v>89</v>
      </c>
      <c r="S190" s="1">
        <v>87</v>
      </c>
      <c r="T190" s="1">
        <v>0</v>
      </c>
      <c r="U190" s="1">
        <f>Games[[#This Row],[PointsFor]]-Games[[#This Row],[PointsAgainst]]</f>
        <v>2</v>
      </c>
      <c r="V190" s="1">
        <f>IF(Games[[#This Row],[MOV]]&gt;0,1,IF(Games[[#This Row],[MOV]]=0,0.5,0))</f>
        <v>1</v>
      </c>
      <c r="W190" s="4">
        <f>((ABS(Games[[#This Row],[MOV]])+5)^0.6)/(12+0.01*(ABS(Games[[#This Row],[PreGmRate]]-Games[[#This Row],[OppPreGmRate]])))*IF(Games[[#This Row],[OT]]=1,0.9,1)</f>
        <v>0.24222035883537116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0" s="9">
        <f>MAX(kmin, kmax - 0.15 * MIN(Games[[#This Row],[GamesPlayed]], 82))</f>
        <v>73.45</v>
      </c>
      <c r="Z190" s="4">
        <f>Games[[#This Row],[K]]*Games[[#This Row],[POMult]]</f>
        <v>73.45</v>
      </c>
      <c r="AA190" s="4">
        <f>(Games[[#This Row],[Keff]]*Games[[#This Row],[MOVMult]])*(Games[[#This Row],[Result]]-Games[[#This Row],[ExpectedWin%]])</f>
        <v>8.207406768044752</v>
      </c>
      <c r="AB190" s="4">
        <f>Games[[#This Row],[PreGmRate]]+Games[[#This Row],[RatingChange]]</f>
        <v>1511.7765639215127</v>
      </c>
      <c r="AC190" s="2">
        <f>IF(Games[[#This Row],[Type]]="R",IF(Games[[#This Row],[Result]]&gt;0.5,1,0),0)</f>
        <v>1</v>
      </c>
      <c r="AD190" s="2">
        <f>IF(Games[[#This Row],[Type]]="R",IF(Games[[#This Row],[Result]]&lt;0.5,1,0),0)</f>
        <v>0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45109</v>
      </c>
      <c r="B191" s="2">
        <v>2023</v>
      </c>
      <c r="C191" s="2">
        <f>COUNTIFS(Games[Team],Games[[#This Row],[Team]],Games[Season],Games[[#This Row],[Season]],Games[Date],"&lt;=" &amp; Games[[#This Row],[Date]])</f>
        <v>16</v>
      </c>
      <c r="D191" s="2" t="s">
        <v>79</v>
      </c>
      <c r="E191" s="2" t="s">
        <v>80</v>
      </c>
      <c r="F191" s="1" t="s">
        <v>69</v>
      </c>
      <c r="G191" s="1" t="s">
        <v>75</v>
      </c>
      <c r="H191" s="1" t="s">
        <v>82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1" s="2">
        <f>Games[[#This Row],[DaysOff]]-Games[[#This Row],[OppDaysOff]]</f>
        <v>1</v>
      </c>
      <c r="L191" s="2">
        <f>Games[[#This Row],[OppDaysOff]]-Games[[#This Row],[DaysOff]]</f>
        <v>-1</v>
      </c>
      <c r="M191" s="1">
        <f>MAX(-16, MIN(16, Games[[#This Row],[RestDiff]]*8))</f>
        <v>8</v>
      </c>
      <c r="N191" s="1">
        <f>MAX(-16, MIN(16, Games[[#This Row],[OppRestDiff]]*8))</f>
        <v>-8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1376.6386443056404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1503.5691571534678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0.46132130803731619</v>
      </c>
      <c r="R191" s="1">
        <v>87</v>
      </c>
      <c r="S191" s="1">
        <v>89</v>
      </c>
      <c r="T191" s="1">
        <v>0</v>
      </c>
      <c r="U191" s="1">
        <f>Games[[#This Row],[PointsFor]]-Games[[#This Row],[PointsAgainst]]</f>
        <v>-2</v>
      </c>
      <c r="V191" s="1">
        <f>IF(Games[[#This Row],[MOV]]&gt;0,1,IF(Games[[#This Row],[MOV]]=0,0.5,0))</f>
        <v>0</v>
      </c>
      <c r="W191" s="4">
        <f>((ABS(Games[[#This Row],[MOV]])+5)^0.6)/(12+0.01*(ABS(Games[[#This Row],[PreGmRate]]-Games[[#This Row],[OppPreGmRate]])))*IF(Games[[#This Row],[OT]]=1,0.9,1)</f>
        <v>0.24222035883537116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1" s="9">
        <f>MAX(kmin, kmax - 0.15 * MIN(Games[[#This Row],[GamesPlayed]], 82))</f>
        <v>73.599999999999994</v>
      </c>
      <c r="Z191" s="4">
        <f>Games[[#This Row],[K]]*Games[[#This Row],[POMult]]</f>
        <v>73.599999999999994</v>
      </c>
      <c r="AA191" s="4">
        <f>(Games[[#This Row],[Keff]]*Games[[#This Row],[MOVMult]])*(Games[[#This Row],[Result]]-Games[[#This Row],[ExpectedWin%]])</f>
        <v>-8.2241679799604306</v>
      </c>
      <c r="AB191" s="4">
        <f>Games[[#This Row],[PreGmRate]]+Games[[#This Row],[RatingChange]]</f>
        <v>1368.41447632568</v>
      </c>
      <c r="AC191" s="2">
        <f>IF(Games[[#This Row],[Type]]="R",IF(Games[[#This Row],[Result]]&gt;0.5,1,0),0)</f>
        <v>0</v>
      </c>
      <c r="AD191" s="2">
        <f>IF(Games[[#This Row],[Type]]="R",IF(Games[[#This Row],[Result]]&lt;0.5,1,0),0)</f>
        <v>1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45109</v>
      </c>
      <c r="B192" s="2">
        <v>2023</v>
      </c>
      <c r="C192" s="2">
        <f>COUNTIFS(Games[Team],Games[[#This Row],[Team]],Games[Season],Games[[#This Row],[Season]],Games[Date],"&lt;=" &amp; Games[[#This Row],[Date]])</f>
        <v>15</v>
      </c>
      <c r="D192" s="2" t="s">
        <v>79</v>
      </c>
      <c r="E192" s="2" t="s">
        <v>80</v>
      </c>
      <c r="F192" s="1" t="s">
        <v>60</v>
      </c>
      <c r="G192" s="1" t="s">
        <v>71</v>
      </c>
      <c r="H192" s="1" t="s">
        <v>81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2" s="2">
        <f>Games[[#This Row],[DaysOff]]-Games[[#This Row],[OppDaysOff]]</f>
        <v>0</v>
      </c>
      <c r="L192" s="2">
        <f>Games[[#This Row],[OppDaysOff]]-Games[[#This Row],[DaysOff]]</f>
        <v>0</v>
      </c>
      <c r="M192" s="1">
        <f>MAX(-16, MIN(16, Games[[#This Row],[RestDiff]]*8))</f>
        <v>0</v>
      </c>
      <c r="N192" s="1">
        <f>MAX(-16, MIN(16, Games[[#This Row],[OppRestDiff]]*8))</f>
        <v>0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1579.6488237362219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1442.1328292399066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0.576412349111316</v>
      </c>
      <c r="R192" s="1">
        <v>81</v>
      </c>
      <c r="S192" s="1">
        <v>66</v>
      </c>
      <c r="T192" s="1">
        <v>0</v>
      </c>
      <c r="U192" s="1">
        <f>Games[[#This Row],[PointsFor]]-Games[[#This Row],[PointsAgainst]]</f>
        <v>15</v>
      </c>
      <c r="V192" s="1">
        <f>IF(Games[[#This Row],[MOV]]&gt;0,1,IF(Games[[#This Row],[MOV]]=0,0.5,0))</f>
        <v>1</v>
      </c>
      <c r="W192" s="4">
        <f>((ABS(Games[[#This Row],[MOV]])+5)^0.6)/(12+0.01*(ABS(Games[[#This Row],[PreGmRate]]-Games[[#This Row],[OppPreGmRate]])))*IF(Games[[#This Row],[OT]]=1,0.9,1)</f>
        <v>0.45114797590271255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2" s="9">
        <f>MAX(kmin, kmax - 0.15 * MIN(Games[[#This Row],[GamesPlayed]], 82))</f>
        <v>73.75</v>
      </c>
      <c r="Z192" s="4">
        <f>Games[[#This Row],[K]]*Games[[#This Row],[POMult]]</f>
        <v>73.75</v>
      </c>
      <c r="AA192" s="4">
        <f>(Games[[#This Row],[Keff]]*Games[[#This Row],[MOVMult]])*(Games[[#This Row],[Result]]-Games[[#This Row],[ExpectedWin%]])</f>
        <v>14.093677459541329</v>
      </c>
      <c r="AB192" s="4">
        <f>Games[[#This Row],[PreGmRate]]+Games[[#This Row],[RatingChange]]</f>
        <v>1593.7425011957632</v>
      </c>
      <c r="AC192" s="2">
        <f>IF(Games[[#This Row],[Type]]="R",IF(Games[[#This Row],[Result]]&gt;0.5,1,0),0)</f>
        <v>1</v>
      </c>
      <c r="AD192" s="2">
        <f>IF(Games[[#This Row],[Type]]="R",IF(Games[[#This Row],[Result]]&lt;0.5,1,0),0)</f>
        <v>0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45109</v>
      </c>
      <c r="B193" s="2">
        <v>2023</v>
      </c>
      <c r="C193" s="2">
        <f>COUNTIFS(Games[Team],Games[[#This Row],[Team]],Games[Season],Games[[#This Row],[Season]],Games[Date],"&lt;=" &amp; Games[[#This Row],[Date]])</f>
        <v>16</v>
      </c>
      <c r="D193" s="2" t="s">
        <v>79</v>
      </c>
      <c r="E193" s="2" t="s">
        <v>80</v>
      </c>
      <c r="F193" s="1" t="s">
        <v>71</v>
      </c>
      <c r="G193" s="1" t="s">
        <v>60</v>
      </c>
      <c r="H193" s="1" t="s">
        <v>82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3" s="2">
        <f>Games[[#This Row],[DaysOff]]-Games[[#This Row],[OppDaysOff]]</f>
        <v>0</v>
      </c>
      <c r="L193" s="2">
        <f>Games[[#This Row],[OppDaysOff]]-Games[[#This Row],[DaysOff]]</f>
        <v>0</v>
      </c>
      <c r="M193" s="1">
        <f>MAX(-16, MIN(16, Games[[#This Row],[RestDiff]]*8))</f>
        <v>0</v>
      </c>
      <c r="N193" s="1">
        <f>MAX(-16, MIN(16, Games[[#This Row],[OppRestDiff]]*8))</f>
        <v>0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1442.1328292399066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1579.6488237362219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0.42358765088868405</v>
      </c>
      <c r="R193" s="1">
        <v>66</v>
      </c>
      <c r="S193" s="1">
        <v>81</v>
      </c>
      <c r="T193" s="1">
        <v>0</v>
      </c>
      <c r="U193" s="1">
        <f>Games[[#This Row],[PointsFor]]-Games[[#This Row],[PointsAgainst]]</f>
        <v>-15</v>
      </c>
      <c r="V193" s="1">
        <f>IF(Games[[#This Row],[MOV]]&gt;0,1,IF(Games[[#This Row],[MOV]]=0,0.5,0))</f>
        <v>0</v>
      </c>
      <c r="W193" s="4">
        <f>((ABS(Games[[#This Row],[MOV]])+5)^0.6)/(12+0.01*(ABS(Games[[#This Row],[PreGmRate]]-Games[[#This Row],[OppPreGmRate]])))*IF(Games[[#This Row],[OT]]=1,0.9,1)</f>
        <v>0.45114797590271255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3" s="9">
        <f>MAX(kmin, kmax - 0.15 * MIN(Games[[#This Row],[GamesPlayed]], 82))</f>
        <v>73.599999999999994</v>
      </c>
      <c r="Z193" s="4">
        <f>Games[[#This Row],[K]]*Games[[#This Row],[POMult]]</f>
        <v>73.599999999999994</v>
      </c>
      <c r="AA193" s="4">
        <f>(Games[[#This Row],[Keff]]*Games[[#This Row],[MOVMult]])*(Games[[#This Row],[Result]]-Games[[#This Row],[ExpectedWin%]])</f>
        <v>-14.065012352843956</v>
      </c>
      <c r="AB193" s="4">
        <f>Games[[#This Row],[PreGmRate]]+Games[[#This Row],[RatingChange]]</f>
        <v>1428.0678168870627</v>
      </c>
      <c r="AC193" s="2">
        <f>IF(Games[[#This Row],[Type]]="R",IF(Games[[#This Row],[Result]]&gt;0.5,1,0),0)</f>
        <v>0</v>
      </c>
      <c r="AD193" s="2">
        <f>IF(Games[[#This Row],[Type]]="R",IF(Games[[#This Row],[Result]]&lt;0.5,1,0),0)</f>
        <v>1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45112</v>
      </c>
      <c r="B194" s="2">
        <v>2023</v>
      </c>
      <c r="C194" s="2">
        <f>COUNTIFS(Games[Team],Games[[#This Row],[Team]],Games[Season],Games[[#This Row],[Season]],Games[Date],"&lt;=" &amp; Games[[#This Row],[Date]])</f>
        <v>16</v>
      </c>
      <c r="D194" s="2" t="s">
        <v>79</v>
      </c>
      <c r="E194" s="2" t="s">
        <v>80</v>
      </c>
      <c r="F194" s="1" t="s">
        <v>77</v>
      </c>
      <c r="G194" s="1" t="s">
        <v>63</v>
      </c>
      <c r="H194" s="1" t="s">
        <v>81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4" s="2">
        <f>Games[[#This Row],[DaysOff]]-Games[[#This Row],[OppDaysOff]]</f>
        <v>0</v>
      </c>
      <c r="L194" s="2">
        <f>Games[[#This Row],[OppDaysOff]]-Games[[#This Row],[DaysOff]]</f>
        <v>0</v>
      </c>
      <c r="M194" s="1">
        <f>MAX(-16, MIN(16, Games[[#This Row],[RestDiff]]*8))</f>
        <v>0</v>
      </c>
      <c r="N194" s="1">
        <f>MAX(-16, MIN(16, Games[[#This Row],[OppRestDiff]]*8))</f>
        <v>0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1453.1031621046229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1422.5113434253433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0.42373918998209609</v>
      </c>
      <c r="R194" s="1">
        <v>90</v>
      </c>
      <c r="S194" s="1">
        <v>79</v>
      </c>
      <c r="T194" s="1">
        <v>0</v>
      </c>
      <c r="U194" s="1">
        <f>Games[[#This Row],[PointsFor]]-Games[[#This Row],[PointsAgainst]]</f>
        <v>11</v>
      </c>
      <c r="V194" s="1">
        <f>IF(Games[[#This Row],[MOV]]&gt;0,1,IF(Games[[#This Row],[MOV]]=0,0.5,0))</f>
        <v>1</v>
      </c>
      <c r="W194" s="4">
        <f>((ABS(Games[[#This Row],[MOV]])+5)^0.6)/(12+0.01*(ABS(Games[[#This Row],[PreGmRate]]-Games[[#This Row],[OppPreGmRate]])))*IF(Games[[#This Row],[OT]]=1,0.9,1)</f>
        <v>0.42890189606137408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4" s="9">
        <f>MAX(kmin, kmax - 0.15 * MIN(Games[[#This Row],[GamesPlayed]], 82))</f>
        <v>73.599999999999994</v>
      </c>
      <c r="Z194" s="4">
        <f>Games[[#This Row],[K]]*Games[[#This Row],[POMult]]</f>
        <v>73.599999999999994</v>
      </c>
      <c r="AA194" s="4">
        <f>(Games[[#This Row],[Keff]]*Games[[#This Row],[MOVMult]])*(Games[[#This Row],[Result]]-Games[[#This Row],[ExpectedWin%]])</f>
        <v>18.190928457531108</v>
      </c>
      <c r="AB194" s="4">
        <f>Games[[#This Row],[PreGmRate]]+Games[[#This Row],[RatingChange]]</f>
        <v>1471.294090562154</v>
      </c>
      <c r="AC194" s="2">
        <f>IF(Games[[#This Row],[Type]]="R",IF(Games[[#This Row],[Result]]&gt;0.5,1,0),0)</f>
        <v>1</v>
      </c>
      <c r="AD194" s="2">
        <f>IF(Games[[#This Row],[Type]]="R",IF(Games[[#This Row],[Result]]&lt;0.5,1,0),0)</f>
        <v>0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45112</v>
      </c>
      <c r="B195" s="2">
        <v>2023</v>
      </c>
      <c r="C195" s="2">
        <f>COUNTIFS(Games[Team],Games[[#This Row],[Team]],Games[Season],Games[[#This Row],[Season]],Games[Date],"&lt;=" &amp; Games[[#This Row],[Date]])</f>
        <v>18</v>
      </c>
      <c r="D195" s="2" t="s">
        <v>79</v>
      </c>
      <c r="E195" s="2" t="s">
        <v>80</v>
      </c>
      <c r="F195" s="1" t="s">
        <v>63</v>
      </c>
      <c r="G195" s="1" t="s">
        <v>77</v>
      </c>
      <c r="H195" s="1" t="s">
        <v>82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5" s="2">
        <f>Games[[#This Row],[DaysOff]]-Games[[#This Row],[OppDaysOff]]</f>
        <v>0</v>
      </c>
      <c r="L195" s="2">
        <f>Games[[#This Row],[OppDaysOff]]-Games[[#This Row],[DaysOff]]</f>
        <v>0</v>
      </c>
      <c r="M195" s="1">
        <f>MAX(-16, MIN(16, Games[[#This Row],[RestDiff]]*8))</f>
        <v>0</v>
      </c>
      <c r="N195" s="1">
        <f>MAX(-16, MIN(16, Games[[#This Row],[OppRestDiff]]*8))</f>
        <v>0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1422.5113434253433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1453.1031621046229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0.57626081001790397</v>
      </c>
      <c r="R195" s="1">
        <v>79</v>
      </c>
      <c r="S195" s="1">
        <v>90</v>
      </c>
      <c r="T195" s="1">
        <v>0</v>
      </c>
      <c r="U195" s="1">
        <f>Games[[#This Row],[PointsFor]]-Games[[#This Row],[PointsAgainst]]</f>
        <v>-11</v>
      </c>
      <c r="V195" s="1">
        <f>IF(Games[[#This Row],[MOV]]&gt;0,1,IF(Games[[#This Row],[MOV]]=0,0.5,0))</f>
        <v>0</v>
      </c>
      <c r="W195" s="4">
        <f>((ABS(Games[[#This Row],[MOV]])+5)^0.6)/(12+0.01*(ABS(Games[[#This Row],[PreGmRate]]-Games[[#This Row],[OppPreGmRate]])))*IF(Games[[#This Row],[OT]]=1,0.9,1)</f>
        <v>0.42890189606137408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5" s="9">
        <f>MAX(kmin, kmax - 0.15 * MIN(Games[[#This Row],[GamesPlayed]], 82))</f>
        <v>73.3</v>
      </c>
      <c r="Z195" s="4">
        <f>Games[[#This Row],[K]]*Games[[#This Row],[POMult]]</f>
        <v>73.3</v>
      </c>
      <c r="AA195" s="4">
        <f>(Games[[#This Row],[Keff]]*Games[[#This Row],[MOVMult]])*(Games[[#This Row],[Result]]-Games[[#This Row],[ExpectedWin%]])</f>
        <v>-18.116780651318347</v>
      </c>
      <c r="AB195" s="4">
        <f>Games[[#This Row],[PreGmRate]]+Games[[#This Row],[RatingChange]]</f>
        <v>1404.394562774025</v>
      </c>
      <c r="AC195" s="2">
        <f>IF(Games[[#This Row],[Type]]="R",IF(Games[[#This Row],[Result]]&gt;0.5,1,0),0)</f>
        <v>0</v>
      </c>
      <c r="AD195" s="2">
        <f>IF(Games[[#This Row],[Type]]="R",IF(Games[[#This Row],[Result]]&lt;0.5,1,0),0)</f>
        <v>1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45112</v>
      </c>
      <c r="B196" s="2">
        <v>2023</v>
      </c>
      <c r="C196" s="2">
        <f>COUNTIFS(Games[Team],Games[[#This Row],[Team]],Games[Season],Games[[#This Row],[Season]],Games[Date],"&lt;=" &amp; Games[[#This Row],[Date]])</f>
        <v>17</v>
      </c>
      <c r="D196" s="2" t="s">
        <v>79</v>
      </c>
      <c r="E196" s="2" t="s">
        <v>80</v>
      </c>
      <c r="F196" s="1" t="s">
        <v>85</v>
      </c>
      <c r="G196" s="1" t="s">
        <v>86</v>
      </c>
      <c r="H196" s="1" t="s">
        <v>81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96" s="2">
        <f>Games[[#This Row],[DaysOff]]-Games[[#This Row],[OppDaysOff]]</f>
        <v>-1</v>
      </c>
      <c r="L196" s="2">
        <f>Games[[#This Row],[OppDaysOff]]-Games[[#This Row],[DaysOff]]</f>
        <v>1</v>
      </c>
      <c r="M196" s="1">
        <f>MAX(-16, MIN(16, Games[[#This Row],[RestDiff]]*8))</f>
        <v>-8</v>
      </c>
      <c r="N196" s="1">
        <f>MAX(-16, MIN(16, Games[[#This Row],[OppRestDiff]]*8))</f>
        <v>8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1493.9843631526769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1721.4268013567957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0.1318258960403523</v>
      </c>
      <c r="R196" s="1">
        <v>82</v>
      </c>
      <c r="S196" s="1">
        <v>89</v>
      </c>
      <c r="T196" s="1">
        <v>0</v>
      </c>
      <c r="U196" s="1">
        <f>Games[[#This Row],[PointsFor]]-Games[[#This Row],[PointsAgainst]]</f>
        <v>-7</v>
      </c>
      <c r="V196" s="1">
        <f>IF(Games[[#This Row],[MOV]]&gt;0,1,IF(Games[[#This Row],[MOV]]=0,0.5,0))</f>
        <v>0</v>
      </c>
      <c r="W196" s="4">
        <f>((ABS(Games[[#This Row],[MOV]])+5)^0.6)/(12+0.01*(ABS(Games[[#This Row],[PreGmRate]]-Games[[#This Row],[OppPreGmRate]])))*IF(Games[[#This Row],[OT]]=1,0.9,1)</f>
        <v>0.31113591350369763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6" s="9">
        <f>MAX(kmin, kmax - 0.15 * MIN(Games[[#This Row],[GamesPlayed]], 82))</f>
        <v>73.45</v>
      </c>
      <c r="Z196" s="4">
        <f>Games[[#This Row],[K]]*Games[[#This Row],[POMult]]</f>
        <v>73.45</v>
      </c>
      <c r="AA196" s="4">
        <f>(Games[[#This Row],[Keff]]*Games[[#This Row],[MOVMult]])*(Games[[#This Row],[Result]]-Games[[#This Row],[ExpectedWin%]])</f>
        <v>-3.0126083496855514</v>
      </c>
      <c r="AB196" s="4">
        <f>Games[[#This Row],[PreGmRate]]+Games[[#This Row],[RatingChange]]</f>
        <v>1490.9717548029914</v>
      </c>
      <c r="AC196" s="2">
        <f>IF(Games[[#This Row],[Type]]="R",IF(Games[[#This Row],[Result]]&gt;0.5,1,0),0)</f>
        <v>0</v>
      </c>
      <c r="AD196" s="2">
        <f>IF(Games[[#This Row],[Type]]="R",IF(Games[[#This Row],[Result]]&lt;0.5,1,0),0)</f>
        <v>1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45112</v>
      </c>
      <c r="B197" s="2">
        <v>2023</v>
      </c>
      <c r="C197" s="2">
        <f>COUNTIFS(Games[Team],Games[[#This Row],[Team]],Games[Season],Games[[#This Row],[Season]],Games[Date],"&lt;=" &amp; Games[[#This Row],[Date]])</f>
        <v>17</v>
      </c>
      <c r="D197" s="2" t="s">
        <v>79</v>
      </c>
      <c r="E197" s="2" t="s">
        <v>80</v>
      </c>
      <c r="F197" s="1" t="s">
        <v>86</v>
      </c>
      <c r="G197" s="1" t="s">
        <v>85</v>
      </c>
      <c r="H197" s="1" t="s">
        <v>82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7" s="2">
        <f>Games[[#This Row],[DaysOff]]-Games[[#This Row],[OppDaysOff]]</f>
        <v>1</v>
      </c>
      <c r="L197" s="2">
        <f>Games[[#This Row],[OppDaysOff]]-Games[[#This Row],[DaysOff]]</f>
        <v>-1</v>
      </c>
      <c r="M197" s="1">
        <f>MAX(-16, MIN(16, Games[[#This Row],[RestDiff]]*8))</f>
        <v>8</v>
      </c>
      <c r="N197" s="1">
        <f>MAX(-16, MIN(16, Games[[#This Row],[OppRestDiff]]*8))</f>
        <v>-8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1721.4268013567957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1493.9843631526769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0.86817410395964778</v>
      </c>
      <c r="R197" s="1">
        <v>89</v>
      </c>
      <c r="S197" s="1">
        <v>82</v>
      </c>
      <c r="T197" s="1">
        <v>0</v>
      </c>
      <c r="U197" s="1">
        <f>Games[[#This Row],[PointsFor]]-Games[[#This Row],[PointsAgainst]]</f>
        <v>7</v>
      </c>
      <c r="V197" s="1">
        <f>IF(Games[[#This Row],[MOV]]&gt;0,1,IF(Games[[#This Row],[MOV]]=0,0.5,0))</f>
        <v>1</v>
      </c>
      <c r="W197" s="4">
        <f>((ABS(Games[[#This Row],[MOV]])+5)^0.6)/(12+0.01*(ABS(Games[[#This Row],[PreGmRate]]-Games[[#This Row],[OppPreGmRate]])))*IF(Games[[#This Row],[OT]]=1,0.9,1)</f>
        <v>0.31113591350369763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7" s="9">
        <f>MAX(kmin, kmax - 0.15 * MIN(Games[[#This Row],[GamesPlayed]], 82))</f>
        <v>73.45</v>
      </c>
      <c r="Z197" s="4">
        <f>Games[[#This Row],[K]]*Games[[#This Row],[POMult]]</f>
        <v>73.45</v>
      </c>
      <c r="AA197" s="4">
        <f>(Games[[#This Row],[Keff]]*Games[[#This Row],[MOVMult]])*(Games[[#This Row],[Result]]-Games[[#This Row],[ExpectedWin%]])</f>
        <v>3.0126083496855491</v>
      </c>
      <c r="AB197" s="4">
        <f>Games[[#This Row],[PreGmRate]]+Games[[#This Row],[RatingChange]]</f>
        <v>1724.4394097064812</v>
      </c>
      <c r="AC197" s="2">
        <f>IF(Games[[#This Row],[Type]]="R",IF(Games[[#This Row],[Result]]&gt;0.5,1,0),0)</f>
        <v>1</v>
      </c>
      <c r="AD197" s="2">
        <f>IF(Games[[#This Row],[Type]]="R",IF(Games[[#This Row],[Result]]&lt;0.5,1,0),0)</f>
        <v>0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45112</v>
      </c>
      <c r="B198" s="2">
        <v>2023</v>
      </c>
      <c r="C198" s="2">
        <f>COUNTIFS(Games[Team],Games[[#This Row],[Team]],Games[Season],Games[[#This Row],[Season]],Games[Date],"&lt;=" &amp; Games[[#This Row],[Date]])</f>
        <v>17</v>
      </c>
      <c r="D198" s="2" t="s">
        <v>79</v>
      </c>
      <c r="E198" s="2" t="s">
        <v>80</v>
      </c>
      <c r="F198" s="1" t="s">
        <v>69</v>
      </c>
      <c r="G198" s="1" t="s">
        <v>67</v>
      </c>
      <c r="H198" s="1" t="s">
        <v>81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98" s="2">
        <f>Games[[#This Row],[DaysOff]]-Games[[#This Row],[OppDaysOff]]</f>
        <v>-1</v>
      </c>
      <c r="L198" s="2">
        <f>Games[[#This Row],[OppDaysOff]]-Games[[#This Row],[DaysOff]]</f>
        <v>1</v>
      </c>
      <c r="M198" s="1">
        <f>MAX(-16, MIN(16, Games[[#This Row],[RestDiff]]*8))</f>
        <v>-8</v>
      </c>
      <c r="N198" s="1">
        <f>MAX(-16, MIN(16, Games[[#This Row],[OppRestDiff]]*8))</f>
        <v>8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1368.41447632568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1482.5589781219442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0.22570661779412693</v>
      </c>
      <c r="R198" s="1">
        <v>83</v>
      </c>
      <c r="S198" s="1">
        <v>90</v>
      </c>
      <c r="T198" s="1">
        <v>0</v>
      </c>
      <c r="U198" s="1">
        <f>Games[[#This Row],[PointsFor]]-Games[[#This Row],[PointsAgainst]]</f>
        <v>-7</v>
      </c>
      <c r="V198" s="1">
        <f>IF(Games[[#This Row],[MOV]]&gt;0,1,IF(Games[[#This Row],[MOV]]=0,0.5,0))</f>
        <v>0</v>
      </c>
      <c r="W198" s="4">
        <f>((ABS(Games[[#This Row],[MOV]])+5)^0.6)/(12+0.01*(ABS(Games[[#This Row],[PreGmRate]]-Games[[#This Row],[OppPreGmRate]])))*IF(Games[[#This Row],[OT]]=1,0.9,1)</f>
        <v>0.33796025199475255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8" s="9">
        <f>MAX(kmin, kmax - 0.15 * MIN(Games[[#This Row],[GamesPlayed]], 82))</f>
        <v>73.45</v>
      </c>
      <c r="Z198" s="4">
        <f>Games[[#This Row],[K]]*Games[[#This Row],[POMult]]</f>
        <v>73.45</v>
      </c>
      <c r="AA198" s="4">
        <f>(Games[[#This Row],[Keff]]*Games[[#This Row],[MOVMult]])*(Games[[#This Row],[Result]]-Games[[#This Row],[ExpectedWin%]])</f>
        <v>-5.6027561155827739</v>
      </c>
      <c r="AB198" s="4">
        <f>Games[[#This Row],[PreGmRate]]+Games[[#This Row],[RatingChange]]</f>
        <v>1362.8117202100973</v>
      </c>
      <c r="AC198" s="2">
        <f>IF(Games[[#This Row],[Type]]="R",IF(Games[[#This Row],[Result]]&gt;0.5,1,0),0)</f>
        <v>0</v>
      </c>
      <c r="AD198" s="2">
        <f>IF(Games[[#This Row],[Type]]="R",IF(Games[[#This Row],[Result]]&lt;0.5,1,0),0)</f>
        <v>1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45112</v>
      </c>
      <c r="B199" s="2">
        <v>2023</v>
      </c>
      <c r="C199" s="2">
        <f>COUNTIFS(Games[Team],Games[[#This Row],[Team]],Games[Season],Games[[#This Row],[Season]],Games[Date],"&lt;=" &amp; Games[[#This Row],[Date]])</f>
        <v>17</v>
      </c>
      <c r="D199" s="2" t="s">
        <v>79</v>
      </c>
      <c r="E199" s="2" t="s">
        <v>80</v>
      </c>
      <c r="F199" s="1" t="s">
        <v>67</v>
      </c>
      <c r="G199" s="1" t="s">
        <v>69</v>
      </c>
      <c r="H199" s="1" t="s">
        <v>82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9" s="2">
        <f>Games[[#This Row],[DaysOff]]-Games[[#This Row],[OppDaysOff]]</f>
        <v>1</v>
      </c>
      <c r="L199" s="2">
        <f>Games[[#This Row],[OppDaysOff]]-Games[[#This Row],[DaysOff]]</f>
        <v>-1</v>
      </c>
      <c r="M199" s="1">
        <f>MAX(-16, MIN(16, Games[[#This Row],[RestDiff]]*8))</f>
        <v>8</v>
      </c>
      <c r="N199" s="1">
        <f>MAX(-16, MIN(16, Games[[#This Row],[OppRestDiff]]*8))</f>
        <v>-8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1482.5589781219442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1368.41447632568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0.77429338220587307</v>
      </c>
      <c r="R199" s="1">
        <v>90</v>
      </c>
      <c r="S199" s="1">
        <v>83</v>
      </c>
      <c r="T199" s="1">
        <v>0</v>
      </c>
      <c r="U199" s="1">
        <f>Games[[#This Row],[PointsFor]]-Games[[#This Row],[PointsAgainst]]</f>
        <v>7</v>
      </c>
      <c r="V199" s="1">
        <f>IF(Games[[#This Row],[MOV]]&gt;0,1,IF(Games[[#This Row],[MOV]]=0,0.5,0))</f>
        <v>1</v>
      </c>
      <c r="W199" s="4">
        <f>((ABS(Games[[#This Row],[MOV]])+5)^0.6)/(12+0.01*(ABS(Games[[#This Row],[PreGmRate]]-Games[[#This Row],[OppPreGmRate]])))*IF(Games[[#This Row],[OT]]=1,0.9,1)</f>
        <v>0.33796025199475255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9" s="9">
        <f>MAX(kmin, kmax - 0.15 * MIN(Games[[#This Row],[GamesPlayed]], 82))</f>
        <v>73.45</v>
      </c>
      <c r="Z199" s="4">
        <f>Games[[#This Row],[K]]*Games[[#This Row],[POMult]]</f>
        <v>73.45</v>
      </c>
      <c r="AA199" s="4">
        <f>(Games[[#This Row],[Keff]]*Games[[#This Row],[MOVMult]])*(Games[[#This Row],[Result]]-Games[[#This Row],[ExpectedWin%]])</f>
        <v>5.6027561155827739</v>
      </c>
      <c r="AB199" s="4">
        <f>Games[[#This Row],[PreGmRate]]+Games[[#This Row],[RatingChange]]</f>
        <v>1488.1617342375268</v>
      </c>
      <c r="AC199" s="2">
        <f>IF(Games[[#This Row],[Type]]="R",IF(Games[[#This Row],[Result]]&gt;0.5,1,0),0)</f>
        <v>1</v>
      </c>
      <c r="AD199" s="2">
        <f>IF(Games[[#This Row],[Type]]="R",IF(Games[[#This Row],[Result]]&lt;0.5,1,0),0)</f>
        <v>0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45112</v>
      </c>
      <c r="B200" s="2">
        <v>2023</v>
      </c>
      <c r="C200" s="2">
        <f>COUNTIFS(Games[Team],Games[[#This Row],[Team]],Games[Season],Games[[#This Row],[Season]],Games[Date],"&lt;=" &amp; Games[[#This Row],[Date]])</f>
        <v>16</v>
      </c>
      <c r="D200" s="2" t="s">
        <v>79</v>
      </c>
      <c r="E200" s="2" t="s">
        <v>80</v>
      </c>
      <c r="F200" s="1" t="s">
        <v>40</v>
      </c>
      <c r="G200" s="1" t="s">
        <v>60</v>
      </c>
      <c r="H200" s="1" t="s">
        <v>81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0" s="2">
        <f>Games[[#This Row],[DaysOff]]-Games[[#This Row],[OppDaysOff]]</f>
        <v>1</v>
      </c>
      <c r="L200" s="2">
        <f>Games[[#This Row],[OppDaysOff]]-Games[[#This Row],[DaysOff]]</f>
        <v>-1</v>
      </c>
      <c r="M200" s="1">
        <f>MAX(-16, MIN(16, Games[[#This Row],[RestDiff]]*8))</f>
        <v>8</v>
      </c>
      <c r="N200" s="1">
        <f>MAX(-16, MIN(16, Games[[#This Row],[OppRestDiff]]*8))</f>
        <v>-8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1357.5368170306488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1593.7425011957632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0.14790237398631753</v>
      </c>
      <c r="R200" s="1">
        <v>95</v>
      </c>
      <c r="S200" s="1">
        <v>99</v>
      </c>
      <c r="T200" s="1">
        <v>0</v>
      </c>
      <c r="U200" s="1">
        <f>Games[[#This Row],[PointsFor]]-Games[[#This Row],[PointsAgainst]]</f>
        <v>-4</v>
      </c>
      <c r="V200" s="1">
        <f>IF(Games[[#This Row],[MOV]]&gt;0,1,IF(Games[[#This Row],[MOV]]=0,0.5,0))</f>
        <v>0</v>
      </c>
      <c r="W200" s="4">
        <f>((ABS(Games[[#This Row],[MOV]])+5)^0.6)/(12+0.01*(ABS(Games[[#This Row],[PreGmRate]]-Games[[#This Row],[OppPreGmRate]])))*IF(Games[[#This Row],[OT]]=1,0.9,1)</f>
        <v>0.26021292493484544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0" s="9">
        <f>MAX(kmin, kmax - 0.15 * MIN(Games[[#This Row],[GamesPlayed]], 82))</f>
        <v>73.599999999999994</v>
      </c>
      <c r="Z200" s="4">
        <f>Games[[#This Row],[K]]*Games[[#This Row],[POMult]]</f>
        <v>73.599999999999994</v>
      </c>
      <c r="AA200" s="4">
        <f>(Games[[#This Row],[Keff]]*Games[[#This Row],[MOVMult]])*(Games[[#This Row],[Result]]-Games[[#This Row],[ExpectedWin%]])</f>
        <v>-2.8325776474083288</v>
      </c>
      <c r="AB200" s="4">
        <f>Games[[#This Row],[PreGmRate]]+Games[[#This Row],[RatingChange]]</f>
        <v>1354.7042393832405</v>
      </c>
      <c r="AC200" s="2">
        <f>IF(Games[[#This Row],[Type]]="R",IF(Games[[#This Row],[Result]]&gt;0.5,1,0),0)</f>
        <v>0</v>
      </c>
      <c r="AD200" s="2">
        <f>IF(Games[[#This Row],[Type]]="R",IF(Games[[#This Row],[Result]]&lt;0.5,1,0),0)</f>
        <v>1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45112</v>
      </c>
      <c r="B201" s="2">
        <v>2023</v>
      </c>
      <c r="C201" s="2">
        <f>COUNTIFS(Games[Team],Games[[#This Row],[Team]],Games[Season],Games[[#This Row],[Season]],Games[Date],"&lt;=" &amp; Games[[#This Row],[Date]])</f>
        <v>16</v>
      </c>
      <c r="D201" s="2" t="s">
        <v>79</v>
      </c>
      <c r="E201" s="2" t="s">
        <v>80</v>
      </c>
      <c r="F201" s="1" t="s">
        <v>60</v>
      </c>
      <c r="G201" s="1" t="s">
        <v>40</v>
      </c>
      <c r="H201" s="1" t="s">
        <v>82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1" s="2">
        <f>Games[[#This Row],[DaysOff]]-Games[[#This Row],[OppDaysOff]]</f>
        <v>-1</v>
      </c>
      <c r="L201" s="2">
        <f>Games[[#This Row],[OppDaysOff]]-Games[[#This Row],[DaysOff]]</f>
        <v>1</v>
      </c>
      <c r="M201" s="1">
        <f>MAX(-16, MIN(16, Games[[#This Row],[RestDiff]]*8))</f>
        <v>-8</v>
      </c>
      <c r="N201" s="1">
        <f>MAX(-16, MIN(16, Games[[#This Row],[OppRestDiff]]*8))</f>
        <v>8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1593.7425011957632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1357.5368170306488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0.85209762601368244</v>
      </c>
      <c r="R201" s="1">
        <v>99</v>
      </c>
      <c r="S201" s="1">
        <v>95</v>
      </c>
      <c r="T201" s="1">
        <v>0</v>
      </c>
      <c r="U201" s="1">
        <f>Games[[#This Row],[PointsFor]]-Games[[#This Row],[PointsAgainst]]</f>
        <v>4</v>
      </c>
      <c r="V201" s="1">
        <f>IF(Games[[#This Row],[MOV]]&gt;0,1,IF(Games[[#This Row],[MOV]]=0,0.5,0))</f>
        <v>1</v>
      </c>
      <c r="W201" s="4">
        <f>((ABS(Games[[#This Row],[MOV]])+5)^0.6)/(12+0.01*(ABS(Games[[#This Row],[PreGmRate]]-Games[[#This Row],[OppPreGmRate]])))*IF(Games[[#This Row],[OT]]=1,0.9,1)</f>
        <v>0.26021292493484544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1" s="9">
        <f>MAX(kmin, kmax - 0.15 * MIN(Games[[#This Row],[GamesPlayed]], 82))</f>
        <v>73.599999999999994</v>
      </c>
      <c r="Z201" s="4">
        <f>Games[[#This Row],[K]]*Games[[#This Row],[POMult]]</f>
        <v>73.599999999999994</v>
      </c>
      <c r="AA201" s="4">
        <f>(Games[[#This Row],[Keff]]*Games[[#This Row],[MOVMult]])*(Games[[#This Row],[Result]]-Games[[#This Row],[ExpectedWin%]])</f>
        <v>2.8325776474083297</v>
      </c>
      <c r="AB201" s="4">
        <f>Games[[#This Row],[PreGmRate]]+Games[[#This Row],[RatingChange]]</f>
        <v>1596.5750788431715</v>
      </c>
      <c r="AC201" s="2">
        <f>IF(Games[[#This Row],[Type]]="R",IF(Games[[#This Row],[Result]]&gt;0.5,1,0),0)</f>
        <v>1</v>
      </c>
      <c r="AD201" s="2">
        <f>IF(Games[[#This Row],[Type]]="R",IF(Games[[#This Row],[Result]]&lt;0.5,1,0),0)</f>
        <v>0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45113</v>
      </c>
      <c r="B202" s="2">
        <v>2023</v>
      </c>
      <c r="C202" s="2">
        <f>COUNTIFS(Games[Team],Games[[#This Row],[Team]],Games[Season],Games[[#This Row],[Season]],Games[Date],"&lt;=" &amp; Games[[#This Row],[Date]])</f>
        <v>17</v>
      </c>
      <c r="D202" s="2" t="s">
        <v>79</v>
      </c>
      <c r="E202" s="2" t="s">
        <v>80</v>
      </c>
      <c r="F202" s="1" t="s">
        <v>71</v>
      </c>
      <c r="G202" s="1" t="s">
        <v>74</v>
      </c>
      <c r="H202" s="1" t="s">
        <v>81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02" s="2">
        <f>Games[[#This Row],[DaysOff]]-Games[[#This Row],[OppDaysOff]]</f>
        <v>-1</v>
      </c>
      <c r="L202" s="2">
        <f>Games[[#This Row],[OppDaysOff]]-Games[[#This Row],[DaysOff]]</f>
        <v>1</v>
      </c>
      <c r="M202" s="1">
        <f>MAX(-16, MIN(16, Games[[#This Row],[RestDiff]]*8))</f>
        <v>-8</v>
      </c>
      <c r="N202" s="1">
        <f>MAX(-16, MIN(16, Games[[#This Row],[OppRestDiff]]*8))</f>
        <v>8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1428.0678168870627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1624.2099543369686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0.15384835574526048</v>
      </c>
      <c r="R202" s="1">
        <v>73</v>
      </c>
      <c r="S202" s="1">
        <v>93</v>
      </c>
      <c r="T202" s="1">
        <v>0</v>
      </c>
      <c r="U202" s="1">
        <f>Games[[#This Row],[PointsFor]]-Games[[#This Row],[PointsAgainst]]</f>
        <v>-20</v>
      </c>
      <c r="V202" s="1">
        <f>IF(Games[[#This Row],[MOV]]&gt;0,1,IF(Games[[#This Row],[MOV]]=0,0.5,0))</f>
        <v>0</v>
      </c>
      <c r="W202" s="4">
        <f>((ABS(Games[[#This Row],[MOV]])+5)^0.6)/(12+0.01*(ABS(Games[[#This Row],[PreGmRate]]-Games[[#This Row],[OppPreGmRate]])))*IF(Games[[#This Row],[OT]]=1,0.9,1)</f>
        <v>0.49412220448461314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2" s="9">
        <f>MAX(kmin, kmax - 0.15 * MIN(Games[[#This Row],[GamesPlayed]], 82))</f>
        <v>73.45</v>
      </c>
      <c r="Z202" s="4">
        <f>Games[[#This Row],[K]]*Games[[#This Row],[POMult]]</f>
        <v>73.45</v>
      </c>
      <c r="AA202" s="4">
        <f>(Games[[#This Row],[Keff]]*Games[[#This Row],[MOVMult]])*(Games[[#This Row],[Result]]-Games[[#This Row],[ExpectedWin%]])</f>
        <v>-5.5836608248079527</v>
      </c>
      <c r="AB202" s="4">
        <f>Games[[#This Row],[PreGmRate]]+Games[[#This Row],[RatingChange]]</f>
        <v>1422.4841560622547</v>
      </c>
      <c r="AC202" s="2">
        <f>IF(Games[[#This Row],[Type]]="R",IF(Games[[#This Row],[Result]]&gt;0.5,1,0),0)</f>
        <v>0</v>
      </c>
      <c r="AD202" s="2">
        <f>IF(Games[[#This Row],[Type]]="R",IF(Games[[#This Row],[Result]]&lt;0.5,1,0),0)</f>
        <v>1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45113</v>
      </c>
      <c r="B203" s="2">
        <v>2023</v>
      </c>
      <c r="C203" s="2">
        <f>COUNTIFS(Games[Team],Games[[#This Row],[Team]],Games[Season],Games[[#This Row],[Season]],Games[Date],"&lt;=" &amp; Games[[#This Row],[Date]])</f>
        <v>18</v>
      </c>
      <c r="D203" s="2" t="s">
        <v>79</v>
      </c>
      <c r="E203" s="2" t="s">
        <v>80</v>
      </c>
      <c r="F203" s="1" t="s">
        <v>74</v>
      </c>
      <c r="G203" s="1" t="s">
        <v>71</v>
      </c>
      <c r="H203" s="1" t="s">
        <v>82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4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3" s="2">
        <f>Games[[#This Row],[DaysOff]]-Games[[#This Row],[OppDaysOff]]</f>
        <v>1</v>
      </c>
      <c r="L203" s="2">
        <f>Games[[#This Row],[OppDaysOff]]-Games[[#This Row],[DaysOff]]</f>
        <v>-1</v>
      </c>
      <c r="M203" s="1">
        <f>MAX(-16, MIN(16, Games[[#This Row],[RestDiff]]*8))</f>
        <v>8</v>
      </c>
      <c r="N203" s="1">
        <f>MAX(-16, MIN(16, Games[[#This Row],[OppRestDiff]]*8))</f>
        <v>-8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1624.2099543369686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1428.0678168870627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0.84615164425473943</v>
      </c>
      <c r="R203" s="1">
        <v>93</v>
      </c>
      <c r="S203" s="1">
        <v>73</v>
      </c>
      <c r="T203" s="1">
        <v>0</v>
      </c>
      <c r="U203" s="1">
        <f>Games[[#This Row],[PointsFor]]-Games[[#This Row],[PointsAgainst]]</f>
        <v>20</v>
      </c>
      <c r="V203" s="1">
        <f>IF(Games[[#This Row],[MOV]]&gt;0,1,IF(Games[[#This Row],[MOV]]=0,0.5,0))</f>
        <v>1</v>
      </c>
      <c r="W203" s="4">
        <f>((ABS(Games[[#This Row],[MOV]])+5)^0.6)/(12+0.01*(ABS(Games[[#This Row],[PreGmRate]]-Games[[#This Row],[OppPreGmRate]])))*IF(Games[[#This Row],[OT]]=1,0.9,1)</f>
        <v>0.49412220448461314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3" s="9">
        <f>MAX(kmin, kmax - 0.15 * MIN(Games[[#This Row],[GamesPlayed]], 82))</f>
        <v>73.3</v>
      </c>
      <c r="Z203" s="4">
        <f>Games[[#This Row],[K]]*Games[[#This Row],[POMult]]</f>
        <v>73.3</v>
      </c>
      <c r="AA203" s="4">
        <f>(Games[[#This Row],[Keff]]*Games[[#This Row],[MOVMult]])*(Games[[#This Row],[Result]]-Games[[#This Row],[ExpectedWin%]])</f>
        <v>5.5722578415033777</v>
      </c>
      <c r="AB203" s="4">
        <f>Games[[#This Row],[PreGmRate]]+Games[[#This Row],[RatingChange]]</f>
        <v>1629.782212178472</v>
      </c>
      <c r="AC203" s="2">
        <f>IF(Games[[#This Row],[Type]]="R",IF(Games[[#This Row],[Result]]&gt;0.5,1,0),0)</f>
        <v>1</v>
      </c>
      <c r="AD203" s="2">
        <f>IF(Games[[#This Row],[Type]]="R",IF(Games[[#This Row],[Result]]&lt;0.5,1,0),0)</f>
        <v>0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45114</v>
      </c>
      <c r="B204" s="2">
        <v>2023</v>
      </c>
      <c r="C204" s="2">
        <f>COUNTIFS(Games[Team],Games[[#This Row],[Team]],Games[Season],Games[[#This Row],[Season]],Games[Date],"&lt;=" &amp; Games[[#This Row],[Date]])</f>
        <v>17</v>
      </c>
      <c r="D204" s="2" t="s">
        <v>79</v>
      </c>
      <c r="E204" s="2" t="s">
        <v>80</v>
      </c>
      <c r="F204" s="1" t="s">
        <v>77</v>
      </c>
      <c r="G204" s="1" t="s">
        <v>75</v>
      </c>
      <c r="H204" s="1" t="s">
        <v>81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04" s="2">
        <f>Games[[#This Row],[DaysOff]]-Games[[#This Row],[OppDaysOff]]</f>
        <v>-3</v>
      </c>
      <c r="L204" s="2">
        <f>Games[[#This Row],[OppDaysOff]]-Games[[#This Row],[DaysOff]]</f>
        <v>3</v>
      </c>
      <c r="M204" s="1">
        <f>MAX(-16, MIN(16, Games[[#This Row],[RestDiff]]*8))</f>
        <v>-16</v>
      </c>
      <c r="N204" s="1">
        <f>MAX(-16, MIN(16, Games[[#This Row],[OppRestDiff]]*8))</f>
        <v>16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1471.294090562154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1511.7765639215127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0.28888909825668996</v>
      </c>
      <c r="R204" s="1">
        <v>82</v>
      </c>
      <c r="S204" s="1">
        <v>68</v>
      </c>
      <c r="T204" s="1">
        <v>0</v>
      </c>
      <c r="U204" s="1">
        <f>Games[[#This Row],[PointsFor]]-Games[[#This Row],[PointsAgainst]]</f>
        <v>14</v>
      </c>
      <c r="V204" s="1">
        <f>IF(Games[[#This Row],[MOV]]&gt;0,1,IF(Games[[#This Row],[MOV]]=0,0.5,0))</f>
        <v>1</v>
      </c>
      <c r="W204" s="4">
        <f>((ABS(Games[[#This Row],[MOV]])+5)^0.6)/(12+0.01*(ABS(Games[[#This Row],[PreGmRate]]-Games[[#This Row],[OppPreGmRate]])))*IF(Games[[#This Row],[OT]]=1,0.9,1)</f>
        <v>0.47169527728701227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4" s="9">
        <f>MAX(kmin, kmax - 0.15 * MIN(Games[[#This Row],[GamesPlayed]], 82))</f>
        <v>73.45</v>
      </c>
      <c r="Z204" s="4">
        <f>Games[[#This Row],[K]]*Games[[#This Row],[POMult]]</f>
        <v>73.45</v>
      </c>
      <c r="AA204" s="4">
        <f>(Games[[#This Row],[Keff]]*Games[[#This Row],[MOVMult]])*(Games[[#This Row],[Result]]-Games[[#This Row],[ExpectedWin%]])</f>
        <v>24.637161184803674</v>
      </c>
      <c r="AB204" s="4">
        <f>Games[[#This Row],[PreGmRate]]+Games[[#This Row],[RatingChange]]</f>
        <v>1495.9312517469577</v>
      </c>
      <c r="AC204" s="2">
        <f>IF(Games[[#This Row],[Type]]="R",IF(Games[[#This Row],[Result]]&gt;0.5,1,0),0)</f>
        <v>1</v>
      </c>
      <c r="AD204" s="2">
        <f>IF(Games[[#This Row],[Type]]="R",IF(Games[[#This Row],[Result]]&lt;0.5,1,0),0)</f>
        <v>0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45114</v>
      </c>
      <c r="B205" s="2">
        <v>2023</v>
      </c>
      <c r="C205" s="2">
        <f>COUNTIFS(Games[Team],Games[[#This Row],[Team]],Games[Season],Games[[#This Row],[Season]],Games[Date],"&lt;=" &amp; Games[[#This Row],[Date]])</f>
        <v>18</v>
      </c>
      <c r="D205" s="2" t="s">
        <v>79</v>
      </c>
      <c r="E205" s="2" t="s">
        <v>80</v>
      </c>
      <c r="F205" s="1" t="s">
        <v>75</v>
      </c>
      <c r="G205" s="1" t="s">
        <v>77</v>
      </c>
      <c r="H205" s="1" t="s">
        <v>82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4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5" s="2">
        <f>Games[[#This Row],[DaysOff]]-Games[[#This Row],[OppDaysOff]]</f>
        <v>3</v>
      </c>
      <c r="L205" s="2">
        <f>Games[[#This Row],[OppDaysOff]]-Games[[#This Row],[DaysOff]]</f>
        <v>-3</v>
      </c>
      <c r="M205" s="1">
        <f>MAX(-16, MIN(16, Games[[#This Row],[RestDiff]]*8))</f>
        <v>16</v>
      </c>
      <c r="N205" s="1">
        <f>MAX(-16, MIN(16, Games[[#This Row],[OppRestDiff]]*8))</f>
        <v>-16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1511.7765639215127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1471.294090562154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0.71111090174331004</v>
      </c>
      <c r="R205" s="1">
        <v>68</v>
      </c>
      <c r="S205" s="1">
        <v>82</v>
      </c>
      <c r="T205" s="1">
        <v>0</v>
      </c>
      <c r="U205" s="1">
        <f>Games[[#This Row],[PointsFor]]-Games[[#This Row],[PointsAgainst]]</f>
        <v>-14</v>
      </c>
      <c r="V205" s="1">
        <f>IF(Games[[#This Row],[MOV]]&gt;0,1,IF(Games[[#This Row],[MOV]]=0,0.5,0))</f>
        <v>0</v>
      </c>
      <c r="W205" s="4">
        <f>((ABS(Games[[#This Row],[MOV]])+5)^0.6)/(12+0.01*(ABS(Games[[#This Row],[PreGmRate]]-Games[[#This Row],[OppPreGmRate]])))*IF(Games[[#This Row],[OT]]=1,0.9,1)</f>
        <v>0.47169527728701227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5" s="9">
        <f>MAX(kmin, kmax - 0.15 * MIN(Games[[#This Row],[GamesPlayed]], 82))</f>
        <v>73.3</v>
      </c>
      <c r="Z205" s="4">
        <f>Games[[#This Row],[K]]*Games[[#This Row],[POMult]]</f>
        <v>73.3</v>
      </c>
      <c r="AA205" s="4">
        <f>(Games[[#This Row],[Keff]]*Games[[#This Row],[MOVMult]])*(Games[[#This Row],[Result]]-Games[[#This Row],[ExpectedWin%]])</f>
        <v>-24.586847036706725</v>
      </c>
      <c r="AB205" s="4">
        <f>Games[[#This Row],[PreGmRate]]+Games[[#This Row],[RatingChange]]</f>
        <v>1487.1897168848059</v>
      </c>
      <c r="AC205" s="2">
        <f>IF(Games[[#This Row],[Type]]="R",IF(Games[[#This Row],[Result]]&gt;0.5,1,0),0)</f>
        <v>0</v>
      </c>
      <c r="AD205" s="2">
        <f>IF(Games[[#This Row],[Type]]="R",IF(Games[[#This Row],[Result]]&lt;0.5,1,0),0)</f>
        <v>1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45114</v>
      </c>
      <c r="B206" s="2">
        <v>2023</v>
      </c>
      <c r="C206" s="2">
        <f>COUNTIFS(Games[Team],Games[[#This Row],[Team]],Games[Season],Games[[#This Row],[Season]],Games[Date],"&lt;=" &amp; Games[[#This Row],[Date]])</f>
        <v>18</v>
      </c>
      <c r="D206" s="2" t="s">
        <v>79</v>
      </c>
      <c r="E206" s="2" t="s">
        <v>80</v>
      </c>
      <c r="F206" s="1" t="s">
        <v>86</v>
      </c>
      <c r="G206" s="1" t="s">
        <v>85</v>
      </c>
      <c r="H206" s="1" t="s">
        <v>81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6" s="2">
        <f>Games[[#This Row],[DaysOff]]-Games[[#This Row],[OppDaysOff]]</f>
        <v>0</v>
      </c>
      <c r="L206" s="2">
        <f>Games[[#This Row],[OppDaysOff]]-Games[[#This Row],[DaysOff]]</f>
        <v>0</v>
      </c>
      <c r="M206" s="1">
        <f>MAX(-16, MIN(16, Games[[#This Row],[RestDiff]]*8))</f>
        <v>0</v>
      </c>
      <c r="N206" s="1">
        <f>MAX(-16, MIN(16, Games[[#This Row],[OppRestDiff]]*8))</f>
        <v>0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1724.4394097064812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1490.9717548029914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0.70274526040684848</v>
      </c>
      <c r="R206" s="1">
        <v>78</v>
      </c>
      <c r="S206" s="1">
        <v>80</v>
      </c>
      <c r="T206" s="1">
        <v>0</v>
      </c>
      <c r="U206" s="1">
        <f>Games[[#This Row],[PointsFor]]-Games[[#This Row],[PointsAgainst]]</f>
        <v>-2</v>
      </c>
      <c r="V206" s="1">
        <f>IF(Games[[#This Row],[MOV]]&gt;0,1,IF(Games[[#This Row],[MOV]]=0,0.5,0))</f>
        <v>0</v>
      </c>
      <c r="W206" s="4">
        <f>((ABS(Games[[#This Row],[MOV]])+5)^0.6)/(12+0.01*(ABS(Games[[#This Row],[PreGmRate]]-Games[[#This Row],[OppPreGmRate]])))*IF(Games[[#This Row],[OT]]=1,0.9,1)</f>
        <v>0.22421823322776208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6" s="9">
        <f>MAX(kmin, kmax - 0.15 * MIN(Games[[#This Row],[GamesPlayed]], 82))</f>
        <v>73.3</v>
      </c>
      <c r="Z206" s="4">
        <f>Games[[#This Row],[K]]*Games[[#This Row],[POMult]]</f>
        <v>73.3</v>
      </c>
      <c r="AA206" s="4">
        <f>(Games[[#This Row],[Keff]]*Games[[#This Row],[MOVMult]])*(Games[[#This Row],[Result]]-Games[[#This Row],[ExpectedWin%]])</f>
        <v>-11.549756441134603</v>
      </c>
      <c r="AB206" s="4">
        <f>Games[[#This Row],[PreGmRate]]+Games[[#This Row],[RatingChange]]</f>
        <v>1712.8896532653466</v>
      </c>
      <c r="AC206" s="2">
        <f>IF(Games[[#This Row],[Type]]="R",IF(Games[[#This Row],[Result]]&gt;0.5,1,0),0)</f>
        <v>0</v>
      </c>
      <c r="AD206" s="2">
        <f>IF(Games[[#This Row],[Type]]="R",IF(Games[[#This Row],[Result]]&lt;0.5,1,0),0)</f>
        <v>1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45114</v>
      </c>
      <c r="B207" s="2">
        <v>2023</v>
      </c>
      <c r="C207" s="2">
        <f>COUNTIFS(Games[Team],Games[[#This Row],[Team]],Games[Season],Games[[#This Row],[Season]],Games[Date],"&lt;=" &amp; Games[[#This Row],[Date]])</f>
        <v>18</v>
      </c>
      <c r="D207" s="2" t="s">
        <v>79</v>
      </c>
      <c r="E207" s="2" t="s">
        <v>80</v>
      </c>
      <c r="F207" s="1" t="s">
        <v>85</v>
      </c>
      <c r="G207" s="1" t="s">
        <v>86</v>
      </c>
      <c r="H207" s="1" t="s">
        <v>82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7" s="2">
        <f>Games[[#This Row],[DaysOff]]-Games[[#This Row],[OppDaysOff]]</f>
        <v>0</v>
      </c>
      <c r="L207" s="2">
        <f>Games[[#This Row],[OppDaysOff]]-Games[[#This Row],[DaysOff]]</f>
        <v>0</v>
      </c>
      <c r="M207" s="1">
        <f>MAX(-16, MIN(16, Games[[#This Row],[RestDiff]]*8))</f>
        <v>0</v>
      </c>
      <c r="N207" s="1">
        <f>MAX(-16, MIN(16, Games[[#This Row],[OppRestDiff]]*8))</f>
        <v>0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1490.9717548029914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1724.4394097064812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0.29725473959315152</v>
      </c>
      <c r="R207" s="1">
        <v>80</v>
      </c>
      <c r="S207" s="1">
        <v>78</v>
      </c>
      <c r="T207" s="1">
        <v>0</v>
      </c>
      <c r="U207" s="1">
        <f>Games[[#This Row],[PointsFor]]-Games[[#This Row],[PointsAgainst]]</f>
        <v>2</v>
      </c>
      <c r="V207" s="1">
        <f>IF(Games[[#This Row],[MOV]]&gt;0,1,IF(Games[[#This Row],[MOV]]=0,0.5,0))</f>
        <v>1</v>
      </c>
      <c r="W207" s="4">
        <f>((ABS(Games[[#This Row],[MOV]])+5)^0.6)/(12+0.01*(ABS(Games[[#This Row],[PreGmRate]]-Games[[#This Row],[OppPreGmRate]])))*IF(Games[[#This Row],[OT]]=1,0.9,1)</f>
        <v>0.22421823322776208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7" s="9">
        <f>MAX(kmin, kmax - 0.15 * MIN(Games[[#This Row],[GamesPlayed]], 82))</f>
        <v>73.3</v>
      </c>
      <c r="Z207" s="4">
        <f>Games[[#This Row],[K]]*Games[[#This Row],[POMult]]</f>
        <v>73.3</v>
      </c>
      <c r="AA207" s="4">
        <f>(Games[[#This Row],[Keff]]*Games[[#This Row],[MOVMult]])*(Games[[#This Row],[Result]]-Games[[#This Row],[ExpectedWin%]])</f>
        <v>11.549756441134603</v>
      </c>
      <c r="AB207" s="4">
        <f>Games[[#This Row],[PreGmRate]]+Games[[#This Row],[RatingChange]]</f>
        <v>1502.521511244126</v>
      </c>
      <c r="AC207" s="2">
        <f>IF(Games[[#This Row],[Type]]="R",IF(Games[[#This Row],[Result]]&gt;0.5,1,0),0)</f>
        <v>1</v>
      </c>
      <c r="AD207" s="2">
        <f>IF(Games[[#This Row],[Type]]="R",IF(Games[[#This Row],[Result]]&lt;0.5,1,0),0)</f>
        <v>0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45114</v>
      </c>
      <c r="B208" s="2">
        <v>2023</v>
      </c>
      <c r="C208" s="2">
        <f>COUNTIFS(Games[Team],Games[[#This Row],[Team]],Games[Season],Games[[#This Row],[Season]],Games[Date],"&lt;=" &amp; Games[[#This Row],[Date]])</f>
        <v>17</v>
      </c>
      <c r="D208" s="2" t="s">
        <v>79</v>
      </c>
      <c r="E208" s="2" t="s">
        <v>80</v>
      </c>
      <c r="F208" s="1" t="s">
        <v>40</v>
      </c>
      <c r="G208" s="1" t="s">
        <v>67</v>
      </c>
      <c r="H208" s="1" t="s">
        <v>81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8" s="2">
        <f>Games[[#This Row],[DaysOff]]-Games[[#This Row],[OppDaysOff]]</f>
        <v>0</v>
      </c>
      <c r="L208" s="2">
        <f>Games[[#This Row],[OppDaysOff]]-Games[[#This Row],[DaysOff]]</f>
        <v>0</v>
      </c>
      <c r="M208" s="1">
        <f>MAX(-16, MIN(16, Games[[#This Row],[RestDiff]]*8))</f>
        <v>0</v>
      </c>
      <c r="N208" s="1">
        <f>MAX(-16, MIN(16, Games[[#This Row],[OppRestDiff]]*8))</f>
        <v>0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1354.7042393832405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1488.1617342375268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0.22239113284619741</v>
      </c>
      <c r="R208" s="1">
        <v>64</v>
      </c>
      <c r="S208" s="1">
        <v>75</v>
      </c>
      <c r="T208" s="1">
        <v>0</v>
      </c>
      <c r="U208" s="1">
        <f>Games[[#This Row],[PointsFor]]-Games[[#This Row],[PointsAgainst]]</f>
        <v>-11</v>
      </c>
      <c r="V208" s="1">
        <f>IF(Games[[#This Row],[MOV]]&gt;0,1,IF(Games[[#This Row],[MOV]]=0,0.5,0))</f>
        <v>0</v>
      </c>
      <c r="W208" s="4">
        <f>((ABS(Games[[#This Row],[MOV]])+5)^0.6)/(12+0.01*(ABS(Games[[#This Row],[PreGmRate]]-Games[[#This Row],[OppPreGmRate]])))*IF(Games[[#This Row],[OT]]=1,0.9,1)</f>
        <v>0.39581551443965102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8" s="9">
        <f>MAX(kmin, kmax - 0.15 * MIN(Games[[#This Row],[GamesPlayed]], 82))</f>
        <v>73.45</v>
      </c>
      <c r="Z208" s="4">
        <f>Games[[#This Row],[K]]*Games[[#This Row],[POMult]]</f>
        <v>73.45</v>
      </c>
      <c r="AA208" s="4">
        <f>(Games[[#This Row],[Keff]]*Games[[#This Row],[MOVMult]])*(Games[[#This Row],[Result]]-Games[[#This Row],[ExpectedWin%]])</f>
        <v>-6.4654994650608621</v>
      </c>
      <c r="AB208" s="4">
        <f>Games[[#This Row],[PreGmRate]]+Games[[#This Row],[RatingChange]]</f>
        <v>1348.2387399181796</v>
      </c>
      <c r="AC208" s="2">
        <f>IF(Games[[#This Row],[Type]]="R",IF(Games[[#This Row],[Result]]&gt;0.5,1,0),0)</f>
        <v>0</v>
      </c>
      <c r="AD208" s="2">
        <f>IF(Games[[#This Row],[Type]]="R",IF(Games[[#This Row],[Result]]&lt;0.5,1,0),0)</f>
        <v>1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45114</v>
      </c>
      <c r="B209" s="2">
        <v>2023</v>
      </c>
      <c r="C209" s="2">
        <f>COUNTIFS(Games[Team],Games[[#This Row],[Team]],Games[Season],Games[[#This Row],[Season]],Games[Date],"&lt;=" &amp; Games[[#This Row],[Date]])</f>
        <v>18</v>
      </c>
      <c r="D209" s="2" t="s">
        <v>79</v>
      </c>
      <c r="E209" s="2" t="s">
        <v>80</v>
      </c>
      <c r="F209" s="1" t="s">
        <v>67</v>
      </c>
      <c r="G209" s="1" t="s">
        <v>40</v>
      </c>
      <c r="H209" s="1" t="s">
        <v>82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9" s="2">
        <f>Games[[#This Row],[DaysOff]]-Games[[#This Row],[OppDaysOff]]</f>
        <v>0</v>
      </c>
      <c r="L209" s="2">
        <f>Games[[#This Row],[OppDaysOff]]-Games[[#This Row],[DaysOff]]</f>
        <v>0</v>
      </c>
      <c r="M209" s="1">
        <f>MAX(-16, MIN(16, Games[[#This Row],[RestDiff]]*8))</f>
        <v>0</v>
      </c>
      <c r="N209" s="1">
        <f>MAX(-16, MIN(16, Games[[#This Row],[OppRestDiff]]*8))</f>
        <v>0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1488.1617342375268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1354.7042393832405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0.77760886715380262</v>
      </c>
      <c r="R209" s="1">
        <v>75</v>
      </c>
      <c r="S209" s="1">
        <v>64</v>
      </c>
      <c r="T209" s="1">
        <v>0</v>
      </c>
      <c r="U209" s="1">
        <f>Games[[#This Row],[PointsFor]]-Games[[#This Row],[PointsAgainst]]</f>
        <v>11</v>
      </c>
      <c r="V209" s="1">
        <f>IF(Games[[#This Row],[MOV]]&gt;0,1,IF(Games[[#This Row],[MOV]]=0,0.5,0))</f>
        <v>1</v>
      </c>
      <c r="W209" s="4">
        <f>((ABS(Games[[#This Row],[MOV]])+5)^0.6)/(12+0.01*(ABS(Games[[#This Row],[PreGmRate]]-Games[[#This Row],[OppPreGmRate]])))*IF(Games[[#This Row],[OT]]=1,0.9,1)</f>
        <v>0.39581551443965102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9" s="9">
        <f>MAX(kmin, kmax - 0.15 * MIN(Games[[#This Row],[GamesPlayed]], 82))</f>
        <v>73.3</v>
      </c>
      <c r="Z209" s="4">
        <f>Games[[#This Row],[K]]*Games[[#This Row],[POMult]]</f>
        <v>73.3</v>
      </c>
      <c r="AA209" s="4">
        <f>(Games[[#This Row],[Keff]]*Games[[#This Row],[MOVMult]])*(Games[[#This Row],[Result]]-Games[[#This Row],[ExpectedWin%]])</f>
        <v>6.4522955859627107</v>
      </c>
      <c r="AB209" s="4">
        <f>Games[[#This Row],[PreGmRate]]+Games[[#This Row],[RatingChange]]</f>
        <v>1494.6140298234895</v>
      </c>
      <c r="AC209" s="2">
        <f>IF(Games[[#This Row],[Type]]="R",IF(Games[[#This Row],[Result]]&gt;0.5,1,0),0)</f>
        <v>1</v>
      </c>
      <c r="AD209" s="2">
        <f>IF(Games[[#This Row],[Type]]="R",IF(Games[[#This Row],[Result]]&lt;0.5,1,0),0)</f>
        <v>0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45114</v>
      </c>
      <c r="B210" s="2">
        <v>2023</v>
      </c>
      <c r="C210" s="2">
        <f>COUNTIFS(Games[Team],Games[[#This Row],[Team]],Games[Season],Games[[#This Row],[Season]],Games[Date],"&lt;=" &amp; Games[[#This Row],[Date]])</f>
        <v>18</v>
      </c>
      <c r="D210" s="2" t="s">
        <v>79</v>
      </c>
      <c r="E210" s="2" t="s">
        <v>80</v>
      </c>
      <c r="F210" s="1" t="s">
        <v>69</v>
      </c>
      <c r="G210" s="1" t="s">
        <v>65</v>
      </c>
      <c r="H210" s="1" t="s">
        <v>81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10" s="2">
        <f>Games[[#This Row],[DaysOff]]-Games[[#This Row],[OppDaysOff]]</f>
        <v>-3</v>
      </c>
      <c r="L210" s="2">
        <f>Games[[#This Row],[OppDaysOff]]-Games[[#This Row],[DaysOff]]</f>
        <v>3</v>
      </c>
      <c r="M210" s="1">
        <f>MAX(-16, MIN(16, Games[[#This Row],[RestDiff]]*8))</f>
        <v>-16</v>
      </c>
      <c r="N210" s="1">
        <f>MAX(-16, MIN(16, Games[[#This Row],[OppRestDiff]]*8))</f>
        <v>16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1362.8117202100973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1543.1701202758757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0.15368636468569516</v>
      </c>
      <c r="R210" s="1">
        <v>88</v>
      </c>
      <c r="S210" s="1">
        <v>96</v>
      </c>
      <c r="T210" s="1">
        <v>0</v>
      </c>
      <c r="U210" s="1">
        <f>Games[[#This Row],[PointsFor]]-Games[[#This Row],[PointsAgainst]]</f>
        <v>-8</v>
      </c>
      <c r="V210" s="1">
        <f>IF(Games[[#This Row],[MOV]]&gt;0,1,IF(Games[[#This Row],[MOV]]=0,0.5,0))</f>
        <v>0</v>
      </c>
      <c r="W210" s="4">
        <f>((ABS(Games[[#This Row],[MOV]])+5)^0.6)/(12+0.01*(ABS(Games[[#This Row],[PreGmRate]]-Games[[#This Row],[OppPreGmRate]])))*IF(Games[[#This Row],[OT]]=1,0.9,1)</f>
        <v>0.33757801016127498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0" s="9">
        <f>MAX(kmin, kmax - 0.15 * MIN(Games[[#This Row],[GamesPlayed]], 82))</f>
        <v>73.3</v>
      </c>
      <c r="Z210" s="4">
        <f>Games[[#This Row],[K]]*Games[[#This Row],[POMult]]</f>
        <v>73.3</v>
      </c>
      <c r="AA210" s="4">
        <f>(Games[[#This Row],[Keff]]*Games[[#This Row],[MOVMult]])*(Games[[#This Row],[Result]]-Games[[#This Row],[ExpectedWin%]])</f>
        <v>-3.8028873552585969</v>
      </c>
      <c r="AB210" s="4">
        <f>Games[[#This Row],[PreGmRate]]+Games[[#This Row],[RatingChange]]</f>
        <v>1359.0088328548386</v>
      </c>
      <c r="AC210" s="2">
        <f>IF(Games[[#This Row],[Type]]="R",IF(Games[[#This Row],[Result]]&gt;0.5,1,0),0)</f>
        <v>0</v>
      </c>
      <c r="AD210" s="2">
        <f>IF(Games[[#This Row],[Type]]="R",IF(Games[[#This Row],[Result]]&lt;0.5,1,0),0)</f>
        <v>1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45114</v>
      </c>
      <c r="B211" s="2">
        <v>2023</v>
      </c>
      <c r="C211" s="2">
        <f>COUNTIFS(Games[Team],Games[[#This Row],[Team]],Games[Season],Games[[#This Row],[Season]],Games[Date],"&lt;=" &amp; Games[[#This Row],[Date]])</f>
        <v>17</v>
      </c>
      <c r="D211" s="2" t="s">
        <v>79</v>
      </c>
      <c r="E211" s="2" t="s">
        <v>80</v>
      </c>
      <c r="F211" s="1" t="s">
        <v>65</v>
      </c>
      <c r="G211" s="1" t="s">
        <v>69</v>
      </c>
      <c r="H211" s="1" t="s">
        <v>82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1" s="2">
        <f>Games[[#This Row],[DaysOff]]-Games[[#This Row],[OppDaysOff]]</f>
        <v>3</v>
      </c>
      <c r="L211" s="2">
        <f>Games[[#This Row],[OppDaysOff]]-Games[[#This Row],[DaysOff]]</f>
        <v>-3</v>
      </c>
      <c r="M211" s="1">
        <f>MAX(-16, MIN(16, Games[[#This Row],[RestDiff]]*8))</f>
        <v>16</v>
      </c>
      <c r="N211" s="1">
        <f>MAX(-16, MIN(16, Games[[#This Row],[OppRestDiff]]*8))</f>
        <v>-16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1543.1701202758757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1362.8117202100973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0.84631363531430492</v>
      </c>
      <c r="R211" s="1">
        <v>96</v>
      </c>
      <c r="S211" s="1">
        <v>88</v>
      </c>
      <c r="T211" s="1">
        <v>0</v>
      </c>
      <c r="U211" s="1">
        <f>Games[[#This Row],[PointsFor]]-Games[[#This Row],[PointsAgainst]]</f>
        <v>8</v>
      </c>
      <c r="V211" s="1">
        <f>IF(Games[[#This Row],[MOV]]&gt;0,1,IF(Games[[#This Row],[MOV]]=0,0.5,0))</f>
        <v>1</v>
      </c>
      <c r="W211" s="4">
        <f>((ABS(Games[[#This Row],[MOV]])+5)^0.6)/(12+0.01*(ABS(Games[[#This Row],[PreGmRate]]-Games[[#This Row],[OppPreGmRate]])))*IF(Games[[#This Row],[OT]]=1,0.9,1)</f>
        <v>0.33757801016127498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1" s="9">
        <f>MAX(kmin, kmax - 0.15 * MIN(Games[[#This Row],[GamesPlayed]], 82))</f>
        <v>73.45</v>
      </c>
      <c r="Z211" s="4">
        <f>Games[[#This Row],[K]]*Games[[#This Row],[POMult]]</f>
        <v>73.45</v>
      </c>
      <c r="AA211" s="4">
        <f>(Games[[#This Row],[Keff]]*Games[[#This Row],[MOVMult]])*(Games[[#This Row],[Result]]-Games[[#This Row],[ExpectedWin%]])</f>
        <v>3.8106695258355225</v>
      </c>
      <c r="AB211" s="4">
        <f>Games[[#This Row],[PreGmRate]]+Games[[#This Row],[RatingChange]]</f>
        <v>1546.9807898017111</v>
      </c>
      <c r="AC211" s="2">
        <f>IF(Games[[#This Row],[Type]]="R",IF(Games[[#This Row],[Result]]&gt;0.5,1,0),0)</f>
        <v>1</v>
      </c>
      <c r="AD211" s="2">
        <f>IF(Games[[#This Row],[Type]]="R",IF(Games[[#This Row],[Result]]&lt;0.5,1,0),0)</f>
        <v>0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45115</v>
      </c>
      <c r="B212" s="2">
        <v>2023</v>
      </c>
      <c r="C212" s="2">
        <f>COUNTIFS(Games[Team],Games[[#This Row],[Team]],Games[Season],Games[[#This Row],[Season]],Games[Date],"&lt;=" &amp; Games[[#This Row],[Date]])</f>
        <v>18</v>
      </c>
      <c r="D212" s="2" t="s">
        <v>79</v>
      </c>
      <c r="E212" s="2" t="s">
        <v>80</v>
      </c>
      <c r="F212" s="1" t="s">
        <v>71</v>
      </c>
      <c r="G212" s="1" t="s">
        <v>60</v>
      </c>
      <c r="H212" s="1" t="s">
        <v>81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2" s="2">
        <f>Games[[#This Row],[DaysOff]]-Games[[#This Row],[OppDaysOff]]</f>
        <v>-1</v>
      </c>
      <c r="L212" s="2">
        <f>Games[[#This Row],[OppDaysOff]]-Games[[#This Row],[DaysOff]]</f>
        <v>1</v>
      </c>
      <c r="M212" s="1">
        <f>MAX(-16, MIN(16, Games[[#This Row],[RestDiff]]*8))</f>
        <v>-8</v>
      </c>
      <c r="N212" s="1">
        <f>MAX(-16, MIN(16, Games[[#This Row],[OppRestDiff]]*8))</f>
        <v>8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1422.4841560622547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1596.5750788431715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0.17110810648843569</v>
      </c>
      <c r="R212" s="1">
        <v>76</v>
      </c>
      <c r="S212" s="1">
        <v>80</v>
      </c>
      <c r="T212" s="1">
        <v>0</v>
      </c>
      <c r="U212" s="1">
        <f>Games[[#This Row],[PointsFor]]-Games[[#This Row],[PointsAgainst]]</f>
        <v>-4</v>
      </c>
      <c r="V212" s="1">
        <f>IF(Games[[#This Row],[MOV]]&gt;0,1,IF(Games[[#This Row],[MOV]]=0,0.5,0))</f>
        <v>0</v>
      </c>
      <c r="W212" s="4">
        <f>((ABS(Games[[#This Row],[MOV]])+5)^0.6)/(12+0.01*(ABS(Games[[#This Row],[PreGmRate]]-Games[[#This Row],[OppPreGmRate]])))*IF(Games[[#This Row],[OT]]=1,0.9,1)</f>
        <v>0.27197565727915118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2" s="9">
        <f>MAX(kmin, kmax - 0.15 * MIN(Games[[#This Row],[GamesPlayed]], 82))</f>
        <v>73.3</v>
      </c>
      <c r="Z212" s="4">
        <f>Games[[#This Row],[K]]*Games[[#This Row],[POMult]]</f>
        <v>73.3</v>
      </c>
      <c r="AA212" s="4">
        <f>(Games[[#This Row],[Keff]]*Games[[#This Row],[MOVMult]])*(Games[[#This Row],[Result]]-Games[[#This Row],[ExpectedWin%]])</f>
        <v>-3.4111796720611749</v>
      </c>
      <c r="AB212" s="4">
        <f>Games[[#This Row],[PreGmRate]]+Games[[#This Row],[RatingChange]]</f>
        <v>1419.0729763901934</v>
      </c>
      <c r="AC212" s="2">
        <f>IF(Games[[#This Row],[Type]]="R",IF(Games[[#This Row],[Result]]&gt;0.5,1,0),0)</f>
        <v>0</v>
      </c>
      <c r="AD212" s="2">
        <f>IF(Games[[#This Row],[Type]]="R",IF(Games[[#This Row],[Result]]&lt;0.5,1,0),0)</f>
        <v>1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45115</v>
      </c>
      <c r="B213" s="2">
        <v>2023</v>
      </c>
      <c r="C213" s="2">
        <f>COUNTIFS(Games[Team],Games[[#This Row],[Team]],Games[Season],Games[[#This Row],[Season]],Games[Date],"&lt;=" &amp; Games[[#This Row],[Date]])</f>
        <v>17</v>
      </c>
      <c r="D213" s="2" t="s">
        <v>79</v>
      </c>
      <c r="E213" s="2" t="s">
        <v>80</v>
      </c>
      <c r="F213" s="1" t="s">
        <v>60</v>
      </c>
      <c r="G213" s="1" t="s">
        <v>71</v>
      </c>
      <c r="H213" s="1" t="s">
        <v>82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3" s="2">
        <f>Games[[#This Row],[DaysOff]]-Games[[#This Row],[OppDaysOff]]</f>
        <v>1</v>
      </c>
      <c r="L213" s="2">
        <f>Games[[#This Row],[OppDaysOff]]-Games[[#This Row],[DaysOff]]</f>
        <v>-1</v>
      </c>
      <c r="M213" s="1">
        <f>MAX(-16, MIN(16, Games[[#This Row],[RestDiff]]*8))</f>
        <v>8</v>
      </c>
      <c r="N213" s="1">
        <f>MAX(-16, MIN(16, Games[[#This Row],[OppRestDiff]]*8))</f>
        <v>-8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1596.5750788431715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1422.4841560622547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0.82889189351156423</v>
      </c>
      <c r="R213" s="1">
        <v>80</v>
      </c>
      <c r="S213" s="1">
        <v>76</v>
      </c>
      <c r="T213" s="1">
        <v>0</v>
      </c>
      <c r="U213" s="1">
        <f>Games[[#This Row],[PointsFor]]-Games[[#This Row],[PointsAgainst]]</f>
        <v>4</v>
      </c>
      <c r="V213" s="1">
        <f>IF(Games[[#This Row],[MOV]]&gt;0,1,IF(Games[[#This Row],[MOV]]=0,0.5,0))</f>
        <v>1</v>
      </c>
      <c r="W213" s="4">
        <f>((ABS(Games[[#This Row],[MOV]])+5)^0.6)/(12+0.01*(ABS(Games[[#This Row],[PreGmRate]]-Games[[#This Row],[OppPreGmRate]])))*IF(Games[[#This Row],[OT]]=1,0.9,1)</f>
        <v>0.27197565727915118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3" s="9">
        <f>MAX(kmin, kmax - 0.15 * MIN(Games[[#This Row],[GamesPlayed]], 82))</f>
        <v>73.45</v>
      </c>
      <c r="Z213" s="4">
        <f>Games[[#This Row],[K]]*Games[[#This Row],[POMult]]</f>
        <v>73.45</v>
      </c>
      <c r="AA213" s="4">
        <f>(Games[[#This Row],[Keff]]*Games[[#This Row],[MOVMult]])*(Games[[#This Row],[Result]]-Games[[#This Row],[ExpectedWin%]])</f>
        <v>3.4181602580203747</v>
      </c>
      <c r="AB213" s="4">
        <f>Games[[#This Row],[PreGmRate]]+Games[[#This Row],[RatingChange]]</f>
        <v>1599.9932391011919</v>
      </c>
      <c r="AC213" s="2">
        <f>IF(Games[[#This Row],[Type]]="R",IF(Games[[#This Row],[Result]]&gt;0.5,1,0),0)</f>
        <v>1</v>
      </c>
      <c r="AD213" s="2">
        <f>IF(Games[[#This Row],[Type]]="R",IF(Games[[#This Row],[Result]]&lt;0.5,1,0),0)</f>
        <v>0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45116</v>
      </c>
      <c r="B214" s="2">
        <v>2023</v>
      </c>
      <c r="C214" s="2">
        <f>COUNTIFS(Games[Team],Games[[#This Row],[Team]],Games[Season],Games[[#This Row],[Season]],Games[Date],"&lt;=" &amp; Games[[#This Row],[Date]])</f>
        <v>18</v>
      </c>
      <c r="D214" s="2" t="s">
        <v>79</v>
      </c>
      <c r="E214" s="2" t="s">
        <v>80</v>
      </c>
      <c r="F214" s="1" t="s">
        <v>77</v>
      </c>
      <c r="G214" s="1" t="s">
        <v>75</v>
      </c>
      <c r="H214" s="1" t="s">
        <v>81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4" s="2">
        <f>Games[[#This Row],[DaysOff]]-Games[[#This Row],[OppDaysOff]]</f>
        <v>0</v>
      </c>
      <c r="L214" s="2">
        <f>Games[[#This Row],[OppDaysOff]]-Games[[#This Row],[DaysOff]]</f>
        <v>0</v>
      </c>
      <c r="M214" s="1">
        <f>MAX(-16, MIN(16, Games[[#This Row],[RestDiff]]*8))</f>
        <v>0</v>
      </c>
      <c r="N214" s="1">
        <f>MAX(-16, MIN(16, Games[[#This Row],[OppRestDiff]]*8))</f>
        <v>0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1495.9312517469577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1487.1897168848059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0.39335707953678778</v>
      </c>
      <c r="R214" s="1">
        <v>88</v>
      </c>
      <c r="S214" s="1">
        <v>77</v>
      </c>
      <c r="T214" s="1">
        <v>0</v>
      </c>
      <c r="U214" s="1">
        <f>Games[[#This Row],[PointsFor]]-Games[[#This Row],[PointsAgainst]]</f>
        <v>11</v>
      </c>
      <c r="V214" s="1">
        <f>IF(Games[[#This Row],[MOV]]&gt;0,1,IF(Games[[#This Row],[MOV]]=0,0.5,0))</f>
        <v>1</v>
      </c>
      <c r="W214" s="4">
        <f>((ABS(Games[[#This Row],[MOV]])+5)^0.6)/(12+0.01*(ABS(Games[[#This Row],[PreGmRate]]-Games[[#This Row],[OppPreGmRate]])))*IF(Games[[#This Row],[OT]]=1,0.9,1)</f>
        <v>0.4366551070567371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4" s="9">
        <f>MAX(kmin, kmax - 0.15 * MIN(Games[[#This Row],[GamesPlayed]], 82))</f>
        <v>73.3</v>
      </c>
      <c r="Z214" s="4">
        <f>Games[[#This Row],[K]]*Games[[#This Row],[POMult]]</f>
        <v>73.3</v>
      </c>
      <c r="AA214" s="4">
        <f>(Games[[#This Row],[Keff]]*Games[[#This Row],[MOVMult]])*(Games[[#This Row],[Result]]-Games[[#This Row],[ExpectedWin%]])</f>
        <v>19.416710363559538</v>
      </c>
      <c r="AB214" s="4">
        <f>Games[[#This Row],[PreGmRate]]+Games[[#This Row],[RatingChange]]</f>
        <v>1515.3479621105173</v>
      </c>
      <c r="AC214" s="2">
        <f>IF(Games[[#This Row],[Type]]="R",IF(Games[[#This Row],[Result]]&gt;0.5,1,0),0)</f>
        <v>1</v>
      </c>
      <c r="AD214" s="2">
        <f>IF(Games[[#This Row],[Type]]="R",IF(Games[[#This Row],[Result]]&lt;0.5,1,0),0)</f>
        <v>0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45116</v>
      </c>
      <c r="B215" s="2">
        <v>2023</v>
      </c>
      <c r="C215" s="2">
        <f>COUNTIFS(Games[Team],Games[[#This Row],[Team]],Games[Season],Games[[#This Row],[Season]],Games[Date],"&lt;=" &amp; Games[[#This Row],[Date]])</f>
        <v>19</v>
      </c>
      <c r="D215" s="2" t="s">
        <v>79</v>
      </c>
      <c r="E215" s="2" t="s">
        <v>80</v>
      </c>
      <c r="F215" s="1" t="s">
        <v>75</v>
      </c>
      <c r="G215" s="1" t="s">
        <v>77</v>
      </c>
      <c r="H215" s="1" t="s">
        <v>82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5" s="2">
        <f>Games[[#This Row],[DaysOff]]-Games[[#This Row],[OppDaysOff]]</f>
        <v>0</v>
      </c>
      <c r="L215" s="2">
        <f>Games[[#This Row],[OppDaysOff]]-Games[[#This Row],[DaysOff]]</f>
        <v>0</v>
      </c>
      <c r="M215" s="1">
        <f>MAX(-16, MIN(16, Games[[#This Row],[RestDiff]]*8))</f>
        <v>0</v>
      </c>
      <c r="N215" s="1">
        <f>MAX(-16, MIN(16, Games[[#This Row],[OppRestDiff]]*8))</f>
        <v>0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1487.1897168848059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1495.9312517469577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0.60664292046321222</v>
      </c>
      <c r="R215" s="1">
        <v>77</v>
      </c>
      <c r="S215" s="1">
        <v>88</v>
      </c>
      <c r="T215" s="1">
        <v>0</v>
      </c>
      <c r="U215" s="1">
        <f>Games[[#This Row],[PointsFor]]-Games[[#This Row],[PointsAgainst]]</f>
        <v>-11</v>
      </c>
      <c r="V215" s="1">
        <f>IF(Games[[#This Row],[MOV]]&gt;0,1,IF(Games[[#This Row],[MOV]]=0,0.5,0))</f>
        <v>0</v>
      </c>
      <c r="W215" s="4">
        <f>((ABS(Games[[#This Row],[MOV]])+5)^0.6)/(12+0.01*(ABS(Games[[#This Row],[PreGmRate]]-Games[[#This Row],[OppPreGmRate]])))*IF(Games[[#This Row],[OT]]=1,0.9,1)</f>
        <v>0.4366551070567371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5" s="9">
        <f>MAX(kmin, kmax - 0.15 * MIN(Games[[#This Row],[GamesPlayed]], 82))</f>
        <v>73.150000000000006</v>
      </c>
      <c r="Z215" s="4">
        <f>Games[[#This Row],[K]]*Games[[#This Row],[POMult]]</f>
        <v>73.150000000000006</v>
      </c>
      <c r="AA215" s="4">
        <f>(Games[[#This Row],[Keff]]*Games[[#This Row],[MOVMult]])*(Games[[#This Row],[Result]]-Games[[#This Row],[ExpectedWin%]])</f>
        <v>-19.376976304152532</v>
      </c>
      <c r="AB215" s="4">
        <f>Games[[#This Row],[PreGmRate]]+Games[[#This Row],[RatingChange]]</f>
        <v>1467.8127405806533</v>
      </c>
      <c r="AC215" s="2">
        <f>IF(Games[[#This Row],[Type]]="R",IF(Games[[#This Row],[Result]]&gt;0.5,1,0),0)</f>
        <v>0</v>
      </c>
      <c r="AD215" s="2">
        <f>IF(Games[[#This Row],[Type]]="R",IF(Games[[#This Row],[Result]]&lt;0.5,1,0),0)</f>
        <v>1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45116</v>
      </c>
      <c r="B216" s="2">
        <v>2023</v>
      </c>
      <c r="C216" s="2">
        <f>COUNTIFS(Games[Team],Games[[#This Row],[Team]],Games[Season],Games[[#This Row],[Season]],Games[Date],"&lt;=" &amp; Games[[#This Row],[Date]])</f>
        <v>18</v>
      </c>
      <c r="D216" s="2" t="s">
        <v>79</v>
      </c>
      <c r="E216" s="2" t="s">
        <v>80</v>
      </c>
      <c r="F216" s="1" t="s">
        <v>65</v>
      </c>
      <c r="G216" s="1" t="s">
        <v>74</v>
      </c>
      <c r="H216" s="1" t="s">
        <v>81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6" s="2">
        <f>Games[[#This Row],[DaysOff]]-Games[[#This Row],[OppDaysOff]]</f>
        <v>-1</v>
      </c>
      <c r="L216" s="2">
        <f>Games[[#This Row],[OppDaysOff]]-Games[[#This Row],[DaysOff]]</f>
        <v>1</v>
      </c>
      <c r="M216" s="1">
        <f>MAX(-16, MIN(16, Games[[#This Row],[RestDiff]]*8))</f>
        <v>-8</v>
      </c>
      <c r="N216" s="1">
        <f>MAX(-16, MIN(16, Games[[#This Row],[OppRestDiff]]*8))</f>
        <v>8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1546.9807898017111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1629.782212178472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0.25878568193659901</v>
      </c>
      <c r="R216" s="1">
        <v>84</v>
      </c>
      <c r="S216" s="1">
        <v>92</v>
      </c>
      <c r="T216" s="1">
        <v>0</v>
      </c>
      <c r="U216" s="1">
        <f>Games[[#This Row],[PointsFor]]-Games[[#This Row],[PointsAgainst]]</f>
        <v>-8</v>
      </c>
      <c r="V216" s="1">
        <f>IF(Games[[#This Row],[MOV]]&gt;0,1,IF(Games[[#This Row],[MOV]]=0,0.5,0))</f>
        <v>0</v>
      </c>
      <c r="W216" s="4">
        <f>((ABS(Games[[#This Row],[MOV]])+5)^0.6)/(12+0.01*(ABS(Games[[#This Row],[PreGmRate]]-Games[[#This Row],[OppPreGmRate]])))*IF(Games[[#This Row],[OT]]=1,0.9,1)</f>
        <v>0.36325079928602377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6" s="9">
        <f>MAX(kmin, kmax - 0.15 * MIN(Games[[#This Row],[GamesPlayed]], 82))</f>
        <v>73.3</v>
      </c>
      <c r="Z216" s="4">
        <f>Games[[#This Row],[K]]*Games[[#This Row],[POMult]]</f>
        <v>73.3</v>
      </c>
      <c r="AA216" s="4">
        <f>(Games[[#This Row],[Keff]]*Games[[#This Row],[MOVMult]])*(Games[[#This Row],[Result]]-Games[[#This Row],[ExpectedWin%]])</f>
        <v>-6.8905009556713006</v>
      </c>
      <c r="AB216" s="4">
        <f>Games[[#This Row],[PreGmRate]]+Games[[#This Row],[RatingChange]]</f>
        <v>1540.0902888460398</v>
      </c>
      <c r="AC216" s="2">
        <f>IF(Games[[#This Row],[Type]]="R",IF(Games[[#This Row],[Result]]&gt;0.5,1,0),0)</f>
        <v>0</v>
      </c>
      <c r="AD216" s="2">
        <f>IF(Games[[#This Row],[Type]]="R",IF(Games[[#This Row],[Result]]&lt;0.5,1,0),0)</f>
        <v>1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45116</v>
      </c>
      <c r="B217" s="2">
        <v>2023</v>
      </c>
      <c r="C217" s="2">
        <f>COUNTIFS(Games[Team],Games[[#This Row],[Team]],Games[Season],Games[[#This Row],[Season]],Games[Date],"&lt;=" &amp; Games[[#This Row],[Date]])</f>
        <v>19</v>
      </c>
      <c r="D217" s="2" t="s">
        <v>79</v>
      </c>
      <c r="E217" s="2" t="s">
        <v>80</v>
      </c>
      <c r="F217" s="1" t="s">
        <v>74</v>
      </c>
      <c r="G217" s="1" t="s">
        <v>65</v>
      </c>
      <c r="H217" s="1" t="s">
        <v>82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7" s="2">
        <f>Games[[#This Row],[DaysOff]]-Games[[#This Row],[OppDaysOff]]</f>
        <v>1</v>
      </c>
      <c r="L217" s="2">
        <f>Games[[#This Row],[OppDaysOff]]-Games[[#This Row],[DaysOff]]</f>
        <v>-1</v>
      </c>
      <c r="M217" s="1">
        <f>MAX(-16, MIN(16, Games[[#This Row],[RestDiff]]*8))</f>
        <v>8</v>
      </c>
      <c r="N217" s="1">
        <f>MAX(-16, MIN(16, Games[[#This Row],[OppRestDiff]]*8))</f>
        <v>-8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1629.782212178472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1546.9807898017111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0.74121431806340099</v>
      </c>
      <c r="R217" s="1">
        <v>92</v>
      </c>
      <c r="S217" s="1">
        <v>84</v>
      </c>
      <c r="T217" s="1">
        <v>0</v>
      </c>
      <c r="U217" s="1">
        <f>Games[[#This Row],[PointsFor]]-Games[[#This Row],[PointsAgainst]]</f>
        <v>8</v>
      </c>
      <c r="V217" s="1">
        <f>IF(Games[[#This Row],[MOV]]&gt;0,1,IF(Games[[#This Row],[MOV]]=0,0.5,0))</f>
        <v>1</v>
      </c>
      <c r="W217" s="4">
        <f>((ABS(Games[[#This Row],[MOV]])+5)^0.6)/(12+0.01*(ABS(Games[[#This Row],[PreGmRate]]-Games[[#This Row],[OppPreGmRate]])))*IF(Games[[#This Row],[OT]]=1,0.9,1)</f>
        <v>0.36325079928602377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7" s="9">
        <f>MAX(kmin, kmax - 0.15 * MIN(Games[[#This Row],[GamesPlayed]], 82))</f>
        <v>73.150000000000006</v>
      </c>
      <c r="Z217" s="4">
        <f>Games[[#This Row],[K]]*Games[[#This Row],[POMult]]</f>
        <v>73.150000000000006</v>
      </c>
      <c r="AA217" s="4">
        <f>(Games[[#This Row],[Keff]]*Games[[#This Row],[MOVMult]])*(Games[[#This Row],[Result]]-Games[[#This Row],[ExpectedWin%]])</f>
        <v>6.8764003398002149</v>
      </c>
      <c r="AB217" s="4">
        <f>Games[[#This Row],[PreGmRate]]+Games[[#This Row],[RatingChange]]</f>
        <v>1636.6586125182723</v>
      </c>
      <c r="AC217" s="2">
        <f>IF(Games[[#This Row],[Type]]="R",IF(Games[[#This Row],[Result]]&gt;0.5,1,0),0)</f>
        <v>1</v>
      </c>
      <c r="AD217" s="2">
        <f>IF(Games[[#This Row],[Type]]="R",IF(Games[[#This Row],[Result]]&lt;0.5,1,0),0)</f>
        <v>0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45116</v>
      </c>
      <c r="B218" s="2">
        <v>2023</v>
      </c>
      <c r="C218" s="2">
        <f>COUNTIFS(Games[Team],Games[[#This Row],[Team]],Games[Season],Games[[#This Row],[Season]],Games[Date],"&lt;=" &amp; Games[[#This Row],[Date]])</f>
        <v>19</v>
      </c>
      <c r="D218" s="2" t="s">
        <v>79</v>
      </c>
      <c r="E218" s="2" t="s">
        <v>80</v>
      </c>
      <c r="F218" s="1" t="s">
        <v>85</v>
      </c>
      <c r="G218" s="1" t="s">
        <v>69</v>
      </c>
      <c r="H218" s="1" t="s">
        <v>81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8" s="2">
        <f>Games[[#This Row],[DaysOff]]-Games[[#This Row],[OppDaysOff]]</f>
        <v>0</v>
      </c>
      <c r="L218" s="2">
        <f>Games[[#This Row],[OppDaysOff]]-Games[[#This Row],[DaysOff]]</f>
        <v>0</v>
      </c>
      <c r="M218" s="1">
        <f>MAX(-16, MIN(16, Games[[#This Row],[RestDiff]]*8))</f>
        <v>0</v>
      </c>
      <c r="N218" s="1">
        <f>MAX(-16, MIN(16, Games[[#This Row],[OppRestDiff]]*8))</f>
        <v>0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1502.521511244126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1359.0088328548386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0.58481771005413052</v>
      </c>
      <c r="R218" s="1">
        <v>77</v>
      </c>
      <c r="S218" s="1">
        <v>76</v>
      </c>
      <c r="T218" s="1">
        <v>0</v>
      </c>
      <c r="U218" s="1">
        <f>Games[[#This Row],[PointsFor]]-Games[[#This Row],[PointsAgainst]]</f>
        <v>1</v>
      </c>
      <c r="V218" s="1">
        <f>IF(Games[[#This Row],[MOV]]&gt;0,1,IF(Games[[#This Row],[MOV]]=0,0.5,0))</f>
        <v>1</v>
      </c>
      <c r="W218" s="4">
        <f>((ABS(Games[[#This Row],[MOV]])+5)^0.6)/(12+0.01*(ABS(Games[[#This Row],[PreGmRate]]-Games[[#This Row],[OppPreGmRate]])))*IF(Games[[#This Row],[OT]]=1,0.9,1)</f>
        <v>0.2180966431292953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8" s="9">
        <f>MAX(kmin, kmax - 0.15 * MIN(Games[[#This Row],[GamesPlayed]], 82))</f>
        <v>73.150000000000006</v>
      </c>
      <c r="Z218" s="4">
        <f>Games[[#This Row],[K]]*Games[[#This Row],[POMult]]</f>
        <v>73.150000000000006</v>
      </c>
      <c r="AA218" s="4">
        <f>(Games[[#This Row],[Keff]]*Games[[#This Row],[MOVMult]])*(Games[[#This Row],[Result]]-Games[[#This Row],[ExpectedWin%]])</f>
        <v>6.6237225314053267</v>
      </c>
      <c r="AB218" s="4">
        <f>Games[[#This Row],[PreGmRate]]+Games[[#This Row],[RatingChange]]</f>
        <v>1509.1452337755313</v>
      </c>
      <c r="AC218" s="2">
        <f>IF(Games[[#This Row],[Type]]="R",IF(Games[[#This Row],[Result]]&gt;0.5,1,0),0)</f>
        <v>1</v>
      </c>
      <c r="AD218" s="2">
        <f>IF(Games[[#This Row],[Type]]="R",IF(Games[[#This Row],[Result]]&lt;0.5,1,0),0)</f>
        <v>0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45116</v>
      </c>
      <c r="B219" s="2">
        <v>2023</v>
      </c>
      <c r="C219" s="2">
        <f>COUNTIFS(Games[Team],Games[[#This Row],[Team]],Games[Season],Games[[#This Row],[Season]],Games[Date],"&lt;=" &amp; Games[[#This Row],[Date]])</f>
        <v>19</v>
      </c>
      <c r="D219" s="2" t="s">
        <v>79</v>
      </c>
      <c r="E219" s="2" t="s">
        <v>80</v>
      </c>
      <c r="F219" s="1" t="s">
        <v>69</v>
      </c>
      <c r="G219" s="1" t="s">
        <v>85</v>
      </c>
      <c r="H219" s="1" t="s">
        <v>82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9" s="2">
        <f>Games[[#This Row],[DaysOff]]-Games[[#This Row],[OppDaysOff]]</f>
        <v>0</v>
      </c>
      <c r="L219" s="2">
        <f>Games[[#This Row],[OppDaysOff]]-Games[[#This Row],[DaysOff]]</f>
        <v>0</v>
      </c>
      <c r="M219" s="1">
        <f>MAX(-16, MIN(16, Games[[#This Row],[RestDiff]]*8))</f>
        <v>0</v>
      </c>
      <c r="N219" s="1">
        <f>MAX(-16, MIN(16, Games[[#This Row],[OppRestDiff]]*8))</f>
        <v>0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1359.0088328548386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1502.521511244126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0.41518228994586948</v>
      </c>
      <c r="R219" s="1">
        <v>76</v>
      </c>
      <c r="S219" s="1">
        <v>77</v>
      </c>
      <c r="T219" s="1">
        <v>0</v>
      </c>
      <c r="U219" s="1">
        <f>Games[[#This Row],[PointsFor]]-Games[[#This Row],[PointsAgainst]]</f>
        <v>-1</v>
      </c>
      <c r="V219" s="1">
        <f>IF(Games[[#This Row],[MOV]]&gt;0,1,IF(Games[[#This Row],[MOV]]=0,0.5,0))</f>
        <v>0</v>
      </c>
      <c r="W219" s="4">
        <f>((ABS(Games[[#This Row],[MOV]])+5)^0.6)/(12+0.01*(ABS(Games[[#This Row],[PreGmRate]]-Games[[#This Row],[OppPreGmRate]])))*IF(Games[[#This Row],[OT]]=1,0.9,1)</f>
        <v>0.2180966431292953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9" s="9">
        <f>MAX(kmin, kmax - 0.15 * MIN(Games[[#This Row],[GamesPlayed]], 82))</f>
        <v>73.150000000000006</v>
      </c>
      <c r="Z219" s="4">
        <f>Games[[#This Row],[K]]*Games[[#This Row],[POMult]]</f>
        <v>73.150000000000006</v>
      </c>
      <c r="AA219" s="4">
        <f>(Games[[#This Row],[Keff]]*Games[[#This Row],[MOVMult]])*(Games[[#This Row],[Result]]-Games[[#This Row],[ExpectedWin%]])</f>
        <v>-6.6237225314053267</v>
      </c>
      <c r="AB219" s="4">
        <f>Games[[#This Row],[PreGmRate]]+Games[[#This Row],[RatingChange]]</f>
        <v>1352.3851103234333</v>
      </c>
      <c r="AC219" s="2">
        <f>IF(Games[[#This Row],[Type]]="R",IF(Games[[#This Row],[Result]]&gt;0.5,1,0),0)</f>
        <v>0</v>
      </c>
      <c r="AD219" s="2">
        <f>IF(Games[[#This Row],[Type]]="R",IF(Games[[#This Row],[Result]]&lt;0.5,1,0),0)</f>
        <v>1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45116</v>
      </c>
      <c r="B220" s="2">
        <v>2023</v>
      </c>
      <c r="C220" s="2">
        <f>COUNTIFS(Games[Team],Games[[#This Row],[Team]],Games[Season],Games[[#This Row],[Season]],Games[Date],"&lt;=" &amp; Games[[#This Row],[Date]])</f>
        <v>19</v>
      </c>
      <c r="D220" s="2" t="s">
        <v>79</v>
      </c>
      <c r="E220" s="2" t="s">
        <v>80</v>
      </c>
      <c r="F220" s="1" t="s">
        <v>86</v>
      </c>
      <c r="G220" s="1" t="s">
        <v>67</v>
      </c>
      <c r="H220" s="1" t="s">
        <v>81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0" s="2">
        <f>Games[[#This Row],[DaysOff]]-Games[[#This Row],[OppDaysOff]]</f>
        <v>0</v>
      </c>
      <c r="L220" s="2">
        <f>Games[[#This Row],[OppDaysOff]]-Games[[#This Row],[DaysOff]]</f>
        <v>0</v>
      </c>
      <c r="M220" s="1">
        <f>MAX(-16, MIN(16, Games[[#This Row],[RestDiff]]*8))</f>
        <v>0</v>
      </c>
      <c r="N220" s="1">
        <f>MAX(-16, MIN(16, Games[[#This Row],[OppRestDiff]]*8))</f>
        <v>0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1712.8896532653466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1494.6140298234895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0.68415925884337736</v>
      </c>
      <c r="R220" s="1">
        <v>113</v>
      </c>
      <c r="S220" s="1">
        <v>89</v>
      </c>
      <c r="T220" s="1">
        <v>0</v>
      </c>
      <c r="U220" s="1">
        <f>Games[[#This Row],[PointsFor]]-Games[[#This Row],[PointsAgainst]]</f>
        <v>24</v>
      </c>
      <c r="V220" s="1">
        <f>IF(Games[[#This Row],[MOV]]&gt;0,1,IF(Games[[#This Row],[MOV]]=0,0.5,0))</f>
        <v>1</v>
      </c>
      <c r="W220" s="4">
        <f>((ABS(Games[[#This Row],[MOV]])+5)^0.6)/(12+0.01*(ABS(Games[[#This Row],[PreGmRate]]-Games[[#This Row],[OppPreGmRate]])))*IF(Games[[#This Row],[OT]]=1,0.9,1)</f>
        <v>0.53171407931815129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0" s="9">
        <f>MAX(kmin, kmax - 0.15 * MIN(Games[[#This Row],[GamesPlayed]], 82))</f>
        <v>73.150000000000006</v>
      </c>
      <c r="Z220" s="4">
        <f>Games[[#This Row],[K]]*Games[[#This Row],[POMult]]</f>
        <v>73.150000000000006</v>
      </c>
      <c r="AA220" s="4">
        <f>(Games[[#This Row],[Keff]]*Games[[#This Row],[MOVMult]])*(Games[[#This Row],[Result]]-Games[[#This Row],[ExpectedWin%]])</f>
        <v>12.284589274687987</v>
      </c>
      <c r="AB220" s="4">
        <f>Games[[#This Row],[PreGmRate]]+Games[[#This Row],[RatingChange]]</f>
        <v>1725.1742425400346</v>
      </c>
      <c r="AC220" s="2">
        <f>IF(Games[[#This Row],[Type]]="R",IF(Games[[#This Row],[Result]]&gt;0.5,1,0),0)</f>
        <v>1</v>
      </c>
      <c r="AD220" s="2">
        <f>IF(Games[[#This Row],[Type]]="R",IF(Games[[#This Row],[Result]]&lt;0.5,1,0),0)</f>
        <v>0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45116</v>
      </c>
      <c r="B221" s="2">
        <v>2023</v>
      </c>
      <c r="C221" s="2">
        <f>COUNTIFS(Games[Team],Games[[#This Row],[Team]],Games[Season],Games[[#This Row],[Season]],Games[Date],"&lt;=" &amp; Games[[#This Row],[Date]])</f>
        <v>19</v>
      </c>
      <c r="D221" s="2" t="s">
        <v>79</v>
      </c>
      <c r="E221" s="2" t="s">
        <v>80</v>
      </c>
      <c r="F221" s="1" t="s">
        <v>67</v>
      </c>
      <c r="G221" s="1" t="s">
        <v>86</v>
      </c>
      <c r="H221" s="1" t="s">
        <v>82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1" s="2">
        <f>Games[[#This Row],[DaysOff]]-Games[[#This Row],[OppDaysOff]]</f>
        <v>0</v>
      </c>
      <c r="L221" s="2">
        <f>Games[[#This Row],[OppDaysOff]]-Games[[#This Row],[DaysOff]]</f>
        <v>0</v>
      </c>
      <c r="M221" s="1">
        <f>MAX(-16, MIN(16, Games[[#This Row],[RestDiff]]*8))</f>
        <v>0</v>
      </c>
      <c r="N221" s="1">
        <f>MAX(-16, MIN(16, Games[[#This Row],[OppRestDiff]]*8))</f>
        <v>0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1494.6140298234895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1712.8896532653466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0.31584074115662264</v>
      </c>
      <c r="R221" s="1">
        <v>89</v>
      </c>
      <c r="S221" s="1">
        <v>113</v>
      </c>
      <c r="T221" s="1">
        <v>0</v>
      </c>
      <c r="U221" s="1">
        <f>Games[[#This Row],[PointsFor]]-Games[[#This Row],[PointsAgainst]]</f>
        <v>-24</v>
      </c>
      <c r="V221" s="1">
        <f>IF(Games[[#This Row],[MOV]]&gt;0,1,IF(Games[[#This Row],[MOV]]=0,0.5,0))</f>
        <v>0</v>
      </c>
      <c r="W221" s="4">
        <f>((ABS(Games[[#This Row],[MOV]])+5)^0.6)/(12+0.01*(ABS(Games[[#This Row],[PreGmRate]]-Games[[#This Row],[OppPreGmRate]])))*IF(Games[[#This Row],[OT]]=1,0.9,1)</f>
        <v>0.53171407931815129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1" s="9">
        <f>MAX(kmin, kmax - 0.15 * MIN(Games[[#This Row],[GamesPlayed]], 82))</f>
        <v>73.150000000000006</v>
      </c>
      <c r="Z221" s="4">
        <f>Games[[#This Row],[K]]*Games[[#This Row],[POMult]]</f>
        <v>73.150000000000006</v>
      </c>
      <c r="AA221" s="4">
        <f>(Games[[#This Row],[Keff]]*Games[[#This Row],[MOVMult]])*(Games[[#This Row],[Result]]-Games[[#This Row],[ExpectedWin%]])</f>
        <v>-12.284589274687987</v>
      </c>
      <c r="AB221" s="4">
        <f>Games[[#This Row],[PreGmRate]]+Games[[#This Row],[RatingChange]]</f>
        <v>1482.3294405488016</v>
      </c>
      <c r="AC221" s="2">
        <f>IF(Games[[#This Row],[Type]]="R",IF(Games[[#This Row],[Result]]&gt;0.5,1,0),0)</f>
        <v>0</v>
      </c>
      <c r="AD221" s="2">
        <f>IF(Games[[#This Row],[Type]]="R",IF(Games[[#This Row],[Result]]&lt;0.5,1,0),0)</f>
        <v>1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45116</v>
      </c>
      <c r="B222" s="2">
        <v>2023</v>
      </c>
      <c r="C222" s="2">
        <f>COUNTIFS(Games[Team],Games[[#This Row],[Team]],Games[Season],Games[[#This Row],[Season]],Games[Date],"&lt;=" &amp; Games[[#This Row],[Date]])</f>
        <v>19</v>
      </c>
      <c r="D222" s="2" t="s">
        <v>79</v>
      </c>
      <c r="E222" s="2" t="s">
        <v>80</v>
      </c>
      <c r="F222" s="1" t="s">
        <v>63</v>
      </c>
      <c r="G222" s="1" t="s">
        <v>40</v>
      </c>
      <c r="H222" s="1" t="s">
        <v>81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2" s="2">
        <f>Games[[#This Row],[DaysOff]]-Games[[#This Row],[OppDaysOff]]</f>
        <v>2</v>
      </c>
      <c r="L222" s="2">
        <f>Games[[#This Row],[OppDaysOff]]-Games[[#This Row],[DaysOff]]</f>
        <v>-2</v>
      </c>
      <c r="M222" s="1">
        <f>MAX(-16, MIN(16, Games[[#This Row],[RestDiff]]*8))</f>
        <v>16</v>
      </c>
      <c r="N222" s="1">
        <f>MAX(-16, MIN(16, Games[[#This Row],[OppRestDiff]]*8))</f>
        <v>-16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1404.394562774025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1348.2387399181796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0.50598042463330462</v>
      </c>
      <c r="R222" s="1">
        <v>72</v>
      </c>
      <c r="S222" s="1">
        <v>78</v>
      </c>
      <c r="T222" s="1">
        <v>0</v>
      </c>
      <c r="U222" s="1">
        <f>Games[[#This Row],[PointsFor]]-Games[[#This Row],[PointsAgainst]]</f>
        <v>-6</v>
      </c>
      <c r="V222" s="1">
        <f>IF(Games[[#This Row],[MOV]]&gt;0,1,IF(Games[[#This Row],[MOV]]=0,0.5,0))</f>
        <v>0</v>
      </c>
      <c r="W222" s="4">
        <f>((ABS(Games[[#This Row],[MOV]])+5)^0.6)/(12+0.01*(ABS(Games[[#This Row],[PreGmRate]]-Games[[#This Row],[OppPreGmRate]])))*IF(Games[[#This Row],[OT]]=1,0.9,1)</f>
        <v>0.33557692894408131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2" s="9">
        <f>MAX(kmin, kmax - 0.15 * MIN(Games[[#This Row],[GamesPlayed]], 82))</f>
        <v>73.150000000000006</v>
      </c>
      <c r="Z222" s="4">
        <f>Games[[#This Row],[K]]*Games[[#This Row],[POMult]]</f>
        <v>73.150000000000006</v>
      </c>
      <c r="AA222" s="4">
        <f>(Games[[#This Row],[Keff]]*Games[[#This Row],[MOVMult]])*(Games[[#This Row],[Result]]-Games[[#This Row],[ExpectedWin%]])</f>
        <v>-12.420530364862099</v>
      </c>
      <c r="AB222" s="4">
        <f>Games[[#This Row],[PreGmRate]]+Games[[#This Row],[RatingChange]]</f>
        <v>1391.9740324091629</v>
      </c>
      <c r="AC222" s="2">
        <f>IF(Games[[#This Row],[Type]]="R",IF(Games[[#This Row],[Result]]&gt;0.5,1,0),0)</f>
        <v>0</v>
      </c>
      <c r="AD222" s="2">
        <f>IF(Games[[#This Row],[Type]]="R",IF(Games[[#This Row],[Result]]&lt;0.5,1,0),0)</f>
        <v>1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45116</v>
      </c>
      <c r="B223" s="2">
        <v>2023</v>
      </c>
      <c r="C223" s="2">
        <f>COUNTIFS(Games[Team],Games[[#This Row],[Team]],Games[Season],Games[[#This Row],[Season]],Games[Date],"&lt;=" &amp; Games[[#This Row],[Date]])</f>
        <v>18</v>
      </c>
      <c r="D223" s="2" t="s">
        <v>79</v>
      </c>
      <c r="E223" s="2" t="s">
        <v>80</v>
      </c>
      <c r="F223" s="1" t="s">
        <v>40</v>
      </c>
      <c r="G223" s="1" t="s">
        <v>63</v>
      </c>
      <c r="H223" s="1" t="s">
        <v>82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3" s="2">
        <f>Games[[#This Row],[DaysOff]]-Games[[#This Row],[OppDaysOff]]</f>
        <v>-2</v>
      </c>
      <c r="L223" s="2">
        <f>Games[[#This Row],[OppDaysOff]]-Games[[#This Row],[DaysOff]]</f>
        <v>2</v>
      </c>
      <c r="M223" s="1">
        <f>MAX(-16, MIN(16, Games[[#This Row],[RestDiff]]*8))</f>
        <v>-16</v>
      </c>
      <c r="N223" s="1">
        <f>MAX(-16, MIN(16, Games[[#This Row],[OppRestDiff]]*8))</f>
        <v>16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1348.2387399181796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1404.394562774025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0.49401957536669538</v>
      </c>
      <c r="R223" s="1">
        <v>78</v>
      </c>
      <c r="S223" s="1">
        <v>72</v>
      </c>
      <c r="T223" s="1">
        <v>0</v>
      </c>
      <c r="U223" s="1">
        <f>Games[[#This Row],[PointsFor]]-Games[[#This Row],[PointsAgainst]]</f>
        <v>6</v>
      </c>
      <c r="V223" s="1">
        <f>IF(Games[[#This Row],[MOV]]&gt;0,1,IF(Games[[#This Row],[MOV]]=0,0.5,0))</f>
        <v>1</v>
      </c>
      <c r="W223" s="4">
        <f>((ABS(Games[[#This Row],[MOV]])+5)^0.6)/(12+0.01*(ABS(Games[[#This Row],[PreGmRate]]-Games[[#This Row],[OppPreGmRate]])))*IF(Games[[#This Row],[OT]]=1,0.9,1)</f>
        <v>0.33557692894408131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3" s="9">
        <f>MAX(kmin, kmax - 0.15 * MIN(Games[[#This Row],[GamesPlayed]], 82))</f>
        <v>73.3</v>
      </c>
      <c r="Z223" s="4">
        <f>Games[[#This Row],[K]]*Games[[#This Row],[POMult]]</f>
        <v>73.3</v>
      </c>
      <c r="AA223" s="4">
        <f>(Games[[#This Row],[Keff]]*Games[[#This Row],[MOVMult]])*(Games[[#This Row],[Result]]-Games[[#This Row],[ExpectedWin%]])</f>
        <v>12.445999668412737</v>
      </c>
      <c r="AB223" s="4">
        <f>Games[[#This Row],[PreGmRate]]+Games[[#This Row],[RatingChange]]</f>
        <v>1360.6847395865923</v>
      </c>
      <c r="AC223" s="2">
        <f>IF(Games[[#This Row],[Type]]="R",IF(Games[[#This Row],[Result]]&gt;0.5,1,0),0)</f>
        <v>1</v>
      </c>
      <c r="AD223" s="2">
        <f>IF(Games[[#This Row],[Type]]="R",IF(Games[[#This Row],[Result]]&lt;0.5,1,0),0)</f>
        <v>0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45118</v>
      </c>
      <c r="B224" s="2">
        <v>2023</v>
      </c>
      <c r="C224" s="2">
        <f>COUNTIFS(Games[Team],Games[[#This Row],[Team]],Games[Season],Games[[#This Row],[Season]],Games[Date],"&lt;=" &amp; Games[[#This Row],[Date]])</f>
        <v>19</v>
      </c>
      <c r="D224" s="2" t="s">
        <v>79</v>
      </c>
      <c r="E224" s="2" t="s">
        <v>80</v>
      </c>
      <c r="F224" s="1" t="s">
        <v>40</v>
      </c>
      <c r="G224" s="1" t="s">
        <v>86</v>
      </c>
      <c r="H224" s="1" t="s">
        <v>81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4" s="2">
        <f>Games[[#This Row],[DaysOff]]-Games[[#This Row],[OppDaysOff]]</f>
        <v>0</v>
      </c>
      <c r="L224" s="2">
        <f>Games[[#This Row],[OppDaysOff]]-Games[[#This Row],[DaysOff]]</f>
        <v>0</v>
      </c>
      <c r="M224" s="1">
        <f>MAX(-16, MIN(16, Games[[#This Row],[RestDiff]]*8))</f>
        <v>0</v>
      </c>
      <c r="N224" s="1">
        <f>MAX(-16, MIN(16, Games[[#This Row],[OppRestDiff]]*8))</f>
        <v>0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1360.6847395865923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1725.1742425400346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7.03246468649604E-2</v>
      </c>
      <c r="R224" s="1">
        <v>72</v>
      </c>
      <c r="S224" s="1">
        <v>98</v>
      </c>
      <c r="T224" s="1">
        <v>0</v>
      </c>
      <c r="U224" s="1">
        <f>Games[[#This Row],[PointsFor]]-Games[[#This Row],[PointsAgainst]]</f>
        <v>-26</v>
      </c>
      <c r="V224" s="1">
        <f>IF(Games[[#This Row],[MOV]]&gt;0,1,IF(Games[[#This Row],[MOV]]=0,0.5,0))</f>
        <v>0</v>
      </c>
      <c r="W224" s="4">
        <f>((ABS(Games[[#This Row],[MOV]])+5)^0.6)/(12+0.01*(ABS(Games[[#This Row],[PreGmRate]]-Games[[#This Row],[OppPreGmRate]])))*IF(Games[[#This Row],[OT]]=1,0.9,1)</f>
        <v>0.50170030232766694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4" s="9">
        <f>MAX(kmin, kmax - 0.15 * MIN(Games[[#This Row],[GamesPlayed]], 82))</f>
        <v>73.150000000000006</v>
      </c>
      <c r="Z224" s="4">
        <f>Games[[#This Row],[K]]*Games[[#This Row],[POMult]]</f>
        <v>73.150000000000006</v>
      </c>
      <c r="AA224" s="4">
        <f>(Games[[#This Row],[Keff]]*Games[[#This Row],[MOVMult]])*(Games[[#This Row],[Result]]-Games[[#This Row],[ExpectedWin%]])</f>
        <v>-2.58087073579529</v>
      </c>
      <c r="AB224" s="4">
        <f>Games[[#This Row],[PreGmRate]]+Games[[#This Row],[RatingChange]]</f>
        <v>1358.103868850797</v>
      </c>
      <c r="AC224" s="2">
        <f>IF(Games[[#This Row],[Type]]="R",IF(Games[[#This Row],[Result]]&gt;0.5,1,0),0)</f>
        <v>0</v>
      </c>
      <c r="AD224" s="2">
        <f>IF(Games[[#This Row],[Type]]="R",IF(Games[[#This Row],[Result]]&lt;0.5,1,0),0)</f>
        <v>1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45118</v>
      </c>
      <c r="B225" s="2">
        <v>2023</v>
      </c>
      <c r="C225" s="2">
        <f>COUNTIFS(Games[Team],Games[[#This Row],[Team]],Games[Season],Games[[#This Row],[Season]],Games[Date],"&lt;=" &amp; Games[[#This Row],[Date]])</f>
        <v>20</v>
      </c>
      <c r="D225" s="2" t="s">
        <v>79</v>
      </c>
      <c r="E225" s="2" t="s">
        <v>80</v>
      </c>
      <c r="F225" s="1" t="s">
        <v>86</v>
      </c>
      <c r="G225" s="1" t="s">
        <v>40</v>
      </c>
      <c r="H225" s="1" t="s">
        <v>82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5" s="2">
        <f>Games[[#This Row],[DaysOff]]-Games[[#This Row],[OppDaysOff]]</f>
        <v>0</v>
      </c>
      <c r="L225" s="2">
        <f>Games[[#This Row],[OppDaysOff]]-Games[[#This Row],[DaysOff]]</f>
        <v>0</v>
      </c>
      <c r="M225" s="1">
        <f>MAX(-16, MIN(16, Games[[#This Row],[RestDiff]]*8))</f>
        <v>0</v>
      </c>
      <c r="N225" s="1">
        <f>MAX(-16, MIN(16, Games[[#This Row],[OppRestDiff]]*8))</f>
        <v>0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1725.1742425400346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1360.6847395865923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0.92967535313503968</v>
      </c>
      <c r="R225" s="1">
        <v>98</v>
      </c>
      <c r="S225" s="1">
        <v>72</v>
      </c>
      <c r="T225" s="1">
        <v>0</v>
      </c>
      <c r="U225" s="1">
        <f>Games[[#This Row],[PointsFor]]-Games[[#This Row],[PointsAgainst]]</f>
        <v>26</v>
      </c>
      <c r="V225" s="1">
        <f>IF(Games[[#This Row],[MOV]]&gt;0,1,IF(Games[[#This Row],[MOV]]=0,0.5,0))</f>
        <v>1</v>
      </c>
      <c r="W225" s="4">
        <f>((ABS(Games[[#This Row],[MOV]])+5)^0.6)/(12+0.01*(ABS(Games[[#This Row],[PreGmRate]]-Games[[#This Row],[OppPreGmRate]])))*IF(Games[[#This Row],[OT]]=1,0.9,1)</f>
        <v>0.50170030232766694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5" s="9">
        <f>MAX(kmin, kmax - 0.15 * MIN(Games[[#This Row],[GamesPlayed]], 82))</f>
        <v>73</v>
      </c>
      <c r="Z225" s="4">
        <f>Games[[#This Row],[K]]*Games[[#This Row],[POMult]]</f>
        <v>73</v>
      </c>
      <c r="AA225" s="4">
        <f>(Games[[#This Row],[Keff]]*Games[[#This Row],[MOVMult]])*(Games[[#This Row],[Result]]-Games[[#This Row],[ExpectedWin%]])</f>
        <v>2.5755784513063014</v>
      </c>
      <c r="AB225" s="4">
        <f>Games[[#This Row],[PreGmRate]]+Games[[#This Row],[RatingChange]]</f>
        <v>1727.7498209913408</v>
      </c>
      <c r="AC225" s="2">
        <f>IF(Games[[#This Row],[Type]]="R",IF(Games[[#This Row],[Result]]&gt;0.5,1,0),0)</f>
        <v>1</v>
      </c>
      <c r="AD225" s="2">
        <f>IF(Games[[#This Row],[Type]]="R",IF(Games[[#This Row],[Result]]&lt;0.5,1,0),0)</f>
        <v>0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45118</v>
      </c>
      <c r="B226" s="2">
        <v>2023</v>
      </c>
      <c r="C226" s="2">
        <f>COUNTIFS(Games[Team],Games[[#This Row],[Team]],Games[Season],Games[[#This Row],[Season]],Games[Date],"&lt;=" &amp; Games[[#This Row],[Date]])</f>
        <v>19</v>
      </c>
      <c r="D226" s="2" t="s">
        <v>79</v>
      </c>
      <c r="E226" s="2" t="s">
        <v>80</v>
      </c>
      <c r="F226" s="1" t="s">
        <v>71</v>
      </c>
      <c r="G226" s="1" t="s">
        <v>65</v>
      </c>
      <c r="H226" s="1" t="s">
        <v>81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6" s="2">
        <f>Games[[#This Row],[DaysOff]]-Games[[#This Row],[OppDaysOff]]</f>
        <v>1</v>
      </c>
      <c r="L226" s="2">
        <f>Games[[#This Row],[OppDaysOff]]-Games[[#This Row],[DaysOff]]</f>
        <v>-1</v>
      </c>
      <c r="M226" s="1">
        <f>MAX(-16, MIN(16, Games[[#This Row],[RestDiff]]*8))</f>
        <v>8</v>
      </c>
      <c r="N226" s="1">
        <f>MAX(-16, MIN(16, Games[[#This Row],[OppRestDiff]]*8))</f>
        <v>-8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1419.0729763901934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1540.0902888460398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0.25198167401563887</v>
      </c>
      <c r="R226" s="1">
        <v>86</v>
      </c>
      <c r="S226" s="1">
        <v>93</v>
      </c>
      <c r="T226" s="1">
        <v>0</v>
      </c>
      <c r="U226" s="1">
        <f>Games[[#This Row],[PointsFor]]-Games[[#This Row],[PointsAgainst]]</f>
        <v>-7</v>
      </c>
      <c r="V226" s="1">
        <f>IF(Games[[#This Row],[MOV]]&gt;0,1,IF(Games[[#This Row],[MOV]]=0,0.5,0))</f>
        <v>0</v>
      </c>
      <c r="W226" s="4">
        <f>((ABS(Games[[#This Row],[MOV]])+5)^0.6)/(12+0.01*(ABS(Games[[#This Row],[PreGmRate]]-Games[[#This Row],[OppPreGmRate]])))*IF(Games[[#This Row],[OT]]=1,0.9,1)</f>
        <v>0.33620195798866831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6" s="9">
        <f>MAX(kmin, kmax - 0.15 * MIN(Games[[#This Row],[GamesPlayed]], 82))</f>
        <v>73.150000000000006</v>
      </c>
      <c r="Z226" s="4">
        <f>Games[[#This Row],[K]]*Games[[#This Row],[POMult]]</f>
        <v>73.150000000000006</v>
      </c>
      <c r="AA226" s="4">
        <f>(Games[[#This Row],[Keff]]*Games[[#This Row],[MOVMult]])*(Games[[#This Row],[Result]]-Games[[#This Row],[ExpectedWin%]])</f>
        <v>-6.1970289590635677</v>
      </c>
      <c r="AB226" s="4">
        <f>Games[[#This Row],[PreGmRate]]+Games[[#This Row],[RatingChange]]</f>
        <v>1412.8759474311298</v>
      </c>
      <c r="AC226" s="2">
        <f>IF(Games[[#This Row],[Type]]="R",IF(Games[[#This Row],[Result]]&gt;0.5,1,0),0)</f>
        <v>0</v>
      </c>
      <c r="AD226" s="2">
        <f>IF(Games[[#This Row],[Type]]="R",IF(Games[[#This Row],[Result]]&lt;0.5,1,0),0)</f>
        <v>1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45118</v>
      </c>
      <c r="B227" s="2">
        <v>2023</v>
      </c>
      <c r="C227" s="2">
        <f>COUNTIFS(Games[Team],Games[[#This Row],[Team]],Games[Season],Games[[#This Row],[Season]],Games[Date],"&lt;=" &amp; Games[[#This Row],[Date]])</f>
        <v>19</v>
      </c>
      <c r="D227" s="2" t="s">
        <v>79</v>
      </c>
      <c r="E227" s="2" t="s">
        <v>80</v>
      </c>
      <c r="F227" s="1" t="s">
        <v>65</v>
      </c>
      <c r="G227" s="1" t="s">
        <v>71</v>
      </c>
      <c r="H227" s="1" t="s">
        <v>82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7" s="2">
        <f>Games[[#This Row],[DaysOff]]-Games[[#This Row],[OppDaysOff]]</f>
        <v>-1</v>
      </c>
      <c r="L227" s="2">
        <f>Games[[#This Row],[OppDaysOff]]-Games[[#This Row],[DaysOff]]</f>
        <v>1</v>
      </c>
      <c r="M227" s="1">
        <f>MAX(-16, MIN(16, Games[[#This Row],[RestDiff]]*8))</f>
        <v>-8</v>
      </c>
      <c r="N227" s="1">
        <f>MAX(-16, MIN(16, Games[[#This Row],[OppRestDiff]]*8))</f>
        <v>8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1540.0902888460398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1419.0729763901934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0.74801832598436113</v>
      </c>
      <c r="R227" s="1">
        <v>93</v>
      </c>
      <c r="S227" s="1">
        <v>86</v>
      </c>
      <c r="T227" s="1">
        <v>0</v>
      </c>
      <c r="U227" s="1">
        <f>Games[[#This Row],[PointsFor]]-Games[[#This Row],[PointsAgainst]]</f>
        <v>7</v>
      </c>
      <c r="V227" s="1">
        <f>IF(Games[[#This Row],[MOV]]&gt;0,1,IF(Games[[#This Row],[MOV]]=0,0.5,0))</f>
        <v>1</v>
      </c>
      <c r="W227" s="4">
        <f>((ABS(Games[[#This Row],[MOV]])+5)^0.6)/(12+0.01*(ABS(Games[[#This Row],[PreGmRate]]-Games[[#This Row],[OppPreGmRate]])))*IF(Games[[#This Row],[OT]]=1,0.9,1)</f>
        <v>0.33620195798866831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7" s="9">
        <f>MAX(kmin, kmax - 0.15 * MIN(Games[[#This Row],[GamesPlayed]], 82))</f>
        <v>73.150000000000006</v>
      </c>
      <c r="Z227" s="4">
        <f>Games[[#This Row],[K]]*Games[[#This Row],[POMult]]</f>
        <v>73.150000000000006</v>
      </c>
      <c r="AA227" s="4">
        <f>(Games[[#This Row],[Keff]]*Games[[#This Row],[MOVMult]])*(Games[[#This Row],[Result]]-Games[[#This Row],[ExpectedWin%]])</f>
        <v>6.1970289590635677</v>
      </c>
      <c r="AB227" s="4">
        <f>Games[[#This Row],[PreGmRate]]+Games[[#This Row],[RatingChange]]</f>
        <v>1546.2873178051034</v>
      </c>
      <c r="AC227" s="2">
        <f>IF(Games[[#This Row],[Type]]="R",IF(Games[[#This Row],[Result]]&gt;0.5,1,0),0)</f>
        <v>1</v>
      </c>
      <c r="AD227" s="2">
        <f>IF(Games[[#This Row],[Type]]="R",IF(Games[[#This Row],[Result]]&lt;0.5,1,0),0)</f>
        <v>0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45119</v>
      </c>
      <c r="B228" s="2">
        <v>2023</v>
      </c>
      <c r="C228" s="2">
        <f>COUNTIFS(Games[Team],Games[[#This Row],[Team]],Games[Season],Games[[#This Row],[Season]],Games[Date],"&lt;=" &amp; Games[[#This Row],[Date]])</f>
        <v>20</v>
      </c>
      <c r="D228" s="2" t="s">
        <v>79</v>
      </c>
      <c r="E228" s="2" t="s">
        <v>80</v>
      </c>
      <c r="F228" s="1" t="s">
        <v>71</v>
      </c>
      <c r="G228" s="1" t="s">
        <v>77</v>
      </c>
      <c r="H228" s="1" t="s">
        <v>81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8" s="2">
        <f>Games[[#This Row],[DaysOff]]-Games[[#This Row],[OppDaysOff]]</f>
        <v>-2</v>
      </c>
      <c r="L228" s="2">
        <f>Games[[#This Row],[OppDaysOff]]-Games[[#This Row],[DaysOff]]</f>
        <v>2</v>
      </c>
      <c r="M228" s="1">
        <f>MAX(-16, MIN(16, Games[[#This Row],[RestDiff]]*8))</f>
        <v>-16</v>
      </c>
      <c r="N228" s="1">
        <f>MAX(-16, MIN(16, Games[[#This Row],[OppRestDiff]]*8))</f>
        <v>16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1412.8759474311298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1515.3479621105173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0.22138283196798919</v>
      </c>
      <c r="R228" s="1">
        <v>75</v>
      </c>
      <c r="S228" s="1">
        <v>85</v>
      </c>
      <c r="T228" s="1">
        <v>0</v>
      </c>
      <c r="U228" s="1">
        <f>Games[[#This Row],[PointsFor]]-Games[[#This Row],[PointsAgainst]]</f>
        <v>-10</v>
      </c>
      <c r="V228" s="1">
        <f>IF(Games[[#This Row],[MOV]]&gt;0,1,IF(Games[[#This Row],[MOV]]=0,0.5,0))</f>
        <v>0</v>
      </c>
      <c r="W228" s="4">
        <f>((ABS(Games[[#This Row],[MOV]])+5)^0.6)/(12+0.01*(ABS(Games[[#This Row],[PreGmRate]]-Games[[#This Row],[OppPreGmRate]])))*IF(Games[[#This Row],[OT]]=1,0.9,1)</f>
        <v>0.38983996084071587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8" s="9">
        <f>MAX(kmin, kmax - 0.15 * MIN(Games[[#This Row],[GamesPlayed]], 82))</f>
        <v>73</v>
      </c>
      <c r="Z228" s="4">
        <f>Games[[#This Row],[K]]*Games[[#This Row],[POMult]]</f>
        <v>73</v>
      </c>
      <c r="AA228" s="4">
        <f>(Games[[#This Row],[Keff]]*Games[[#This Row],[MOVMult]])*(Games[[#This Row],[Result]]-Games[[#This Row],[ExpectedWin%]])</f>
        <v>-6.3001828418001615</v>
      </c>
      <c r="AB228" s="4">
        <f>Games[[#This Row],[PreGmRate]]+Games[[#This Row],[RatingChange]]</f>
        <v>1406.5757645893298</v>
      </c>
      <c r="AC228" s="2">
        <f>IF(Games[[#This Row],[Type]]="R",IF(Games[[#This Row],[Result]]&gt;0.5,1,0),0)</f>
        <v>0</v>
      </c>
      <c r="AD228" s="2">
        <f>IF(Games[[#This Row],[Type]]="R",IF(Games[[#This Row],[Result]]&lt;0.5,1,0),0)</f>
        <v>1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45119</v>
      </c>
      <c r="B229" s="2">
        <v>2023</v>
      </c>
      <c r="C229" s="2">
        <f>COUNTIFS(Games[Team],Games[[#This Row],[Team]],Games[Season],Games[[#This Row],[Season]],Games[Date],"&lt;=" &amp; Games[[#This Row],[Date]])</f>
        <v>19</v>
      </c>
      <c r="D229" s="2" t="s">
        <v>79</v>
      </c>
      <c r="E229" s="2" t="s">
        <v>80</v>
      </c>
      <c r="F229" s="1" t="s">
        <v>77</v>
      </c>
      <c r="G229" s="1" t="s">
        <v>71</v>
      </c>
      <c r="H229" s="1" t="s">
        <v>82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9" s="2">
        <f>Games[[#This Row],[DaysOff]]-Games[[#This Row],[OppDaysOff]]</f>
        <v>2</v>
      </c>
      <c r="L229" s="2">
        <f>Games[[#This Row],[OppDaysOff]]-Games[[#This Row],[DaysOff]]</f>
        <v>-2</v>
      </c>
      <c r="M229" s="1">
        <f>MAX(-16, MIN(16, Games[[#This Row],[RestDiff]]*8))</f>
        <v>16</v>
      </c>
      <c r="N229" s="1">
        <f>MAX(-16, MIN(16, Games[[#This Row],[OppRestDiff]]*8))</f>
        <v>-16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1515.3479621105173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1412.8759474311298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0.77861716803201075</v>
      </c>
      <c r="R229" s="1">
        <v>85</v>
      </c>
      <c r="S229" s="1">
        <v>75</v>
      </c>
      <c r="T229" s="1">
        <v>0</v>
      </c>
      <c r="U229" s="1">
        <f>Games[[#This Row],[PointsFor]]-Games[[#This Row],[PointsAgainst]]</f>
        <v>10</v>
      </c>
      <c r="V229" s="1">
        <f>IF(Games[[#This Row],[MOV]]&gt;0,1,IF(Games[[#This Row],[MOV]]=0,0.5,0))</f>
        <v>1</v>
      </c>
      <c r="W229" s="4">
        <f>((ABS(Games[[#This Row],[MOV]])+5)^0.6)/(12+0.01*(ABS(Games[[#This Row],[PreGmRate]]-Games[[#This Row],[OppPreGmRate]])))*IF(Games[[#This Row],[OT]]=1,0.9,1)</f>
        <v>0.38983996084071587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9" s="9">
        <f>MAX(kmin, kmax - 0.15 * MIN(Games[[#This Row],[GamesPlayed]], 82))</f>
        <v>73.150000000000006</v>
      </c>
      <c r="Z229" s="4">
        <f>Games[[#This Row],[K]]*Games[[#This Row],[POMult]]</f>
        <v>73.150000000000006</v>
      </c>
      <c r="AA229" s="4">
        <f>(Games[[#This Row],[Keff]]*Games[[#This Row],[MOVMult]])*(Games[[#This Row],[Result]]-Games[[#This Row],[ExpectedWin%]])</f>
        <v>6.3131284229819444</v>
      </c>
      <c r="AB229" s="4">
        <f>Games[[#This Row],[PreGmRate]]+Games[[#This Row],[RatingChange]]</f>
        <v>1521.6610905334992</v>
      </c>
      <c r="AC229" s="2">
        <f>IF(Games[[#This Row],[Type]]="R",IF(Games[[#This Row],[Result]]&gt;0.5,1,0),0)</f>
        <v>1</v>
      </c>
      <c r="AD229" s="2">
        <f>IF(Games[[#This Row],[Type]]="R",IF(Games[[#This Row],[Result]]&lt;0.5,1,0),0)</f>
        <v>0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45119</v>
      </c>
      <c r="B230" s="2">
        <v>2023</v>
      </c>
      <c r="C230" s="2">
        <f>COUNTIFS(Games[Team],Games[[#This Row],[Team]],Games[Season],Games[[#This Row],[Season]],Games[Date],"&lt;=" &amp; Games[[#This Row],[Date]])</f>
        <v>20</v>
      </c>
      <c r="D230" s="2" t="s">
        <v>79</v>
      </c>
      <c r="E230" s="2" t="s">
        <v>80</v>
      </c>
      <c r="F230" s="1" t="s">
        <v>74</v>
      </c>
      <c r="G230" s="1" t="s">
        <v>75</v>
      </c>
      <c r="H230" s="1" t="s">
        <v>81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0" s="2">
        <f>Games[[#This Row],[DaysOff]]-Games[[#This Row],[OppDaysOff]]</f>
        <v>0</v>
      </c>
      <c r="L230" s="2">
        <f>Games[[#This Row],[OppDaysOff]]-Games[[#This Row],[DaysOff]]</f>
        <v>0</v>
      </c>
      <c r="M230" s="1">
        <f>MAX(-16, MIN(16, Games[[#This Row],[RestDiff]]*8))</f>
        <v>0</v>
      </c>
      <c r="N230" s="1">
        <f>MAX(-16, MIN(16, Games[[#This Row],[OppRestDiff]]*8))</f>
        <v>0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1636.6586125182723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1467.8127405806533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0.6197322923619758</v>
      </c>
      <c r="R230" s="1">
        <v>84</v>
      </c>
      <c r="S230" s="1">
        <v>72</v>
      </c>
      <c r="T230" s="1">
        <v>0</v>
      </c>
      <c r="U230" s="1">
        <f>Games[[#This Row],[PointsFor]]-Games[[#This Row],[PointsAgainst]]</f>
        <v>12</v>
      </c>
      <c r="V230" s="1">
        <f>IF(Games[[#This Row],[MOV]]&gt;0,1,IF(Games[[#This Row],[MOV]]=0,0.5,0))</f>
        <v>1</v>
      </c>
      <c r="W230" s="4">
        <f>((ABS(Games[[#This Row],[MOV]])+5)^0.6)/(12+0.01*(ABS(Games[[#This Row],[PreGmRate]]-Games[[#This Row],[OppPreGmRate]])))*IF(Games[[#This Row],[OT]]=1,0.9,1)</f>
        <v>0.39986629825391545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0" s="9">
        <f>MAX(kmin, kmax - 0.15 * MIN(Games[[#This Row],[GamesPlayed]], 82))</f>
        <v>73</v>
      </c>
      <c r="Z230" s="4">
        <f>Games[[#This Row],[K]]*Games[[#This Row],[POMult]]</f>
        <v>73</v>
      </c>
      <c r="AA230" s="4">
        <f>(Games[[#This Row],[Keff]]*Games[[#This Row],[MOVMult]])*(Games[[#This Row],[Result]]-Games[[#This Row],[ExpectedWin%]])</f>
        <v>11.10010556370648</v>
      </c>
      <c r="AB230" s="4">
        <f>Games[[#This Row],[PreGmRate]]+Games[[#This Row],[RatingChange]]</f>
        <v>1647.7587180819787</v>
      </c>
      <c r="AC230" s="2">
        <f>IF(Games[[#This Row],[Type]]="R",IF(Games[[#This Row],[Result]]&gt;0.5,1,0),0)</f>
        <v>1</v>
      </c>
      <c r="AD230" s="2">
        <f>IF(Games[[#This Row],[Type]]="R",IF(Games[[#This Row],[Result]]&lt;0.5,1,0),0)</f>
        <v>0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45119</v>
      </c>
      <c r="B231" s="2">
        <v>2023</v>
      </c>
      <c r="C231" s="2">
        <f>COUNTIFS(Games[Team],Games[[#This Row],[Team]],Games[Season],Games[[#This Row],[Season]],Games[Date],"&lt;=" &amp; Games[[#This Row],[Date]])</f>
        <v>20</v>
      </c>
      <c r="D231" s="2" t="s">
        <v>79</v>
      </c>
      <c r="E231" s="2" t="s">
        <v>80</v>
      </c>
      <c r="F231" s="1" t="s">
        <v>75</v>
      </c>
      <c r="G231" s="1" t="s">
        <v>74</v>
      </c>
      <c r="H231" s="1" t="s">
        <v>82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1" s="2">
        <f>Games[[#This Row],[DaysOff]]-Games[[#This Row],[OppDaysOff]]</f>
        <v>0</v>
      </c>
      <c r="L231" s="2">
        <f>Games[[#This Row],[OppDaysOff]]-Games[[#This Row],[DaysOff]]</f>
        <v>0</v>
      </c>
      <c r="M231" s="1">
        <f>MAX(-16, MIN(16, Games[[#This Row],[RestDiff]]*8))</f>
        <v>0</v>
      </c>
      <c r="N231" s="1">
        <f>MAX(-16, MIN(16, Games[[#This Row],[OppRestDiff]]*8))</f>
        <v>0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1467.8127405806533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1636.6586125182723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0.38026770763802425</v>
      </c>
      <c r="R231" s="1">
        <v>72</v>
      </c>
      <c r="S231" s="1">
        <v>84</v>
      </c>
      <c r="T231" s="1">
        <v>0</v>
      </c>
      <c r="U231" s="1">
        <f>Games[[#This Row],[PointsFor]]-Games[[#This Row],[PointsAgainst]]</f>
        <v>-12</v>
      </c>
      <c r="V231" s="1">
        <f>IF(Games[[#This Row],[MOV]]&gt;0,1,IF(Games[[#This Row],[MOV]]=0,0.5,0))</f>
        <v>0</v>
      </c>
      <c r="W231" s="4">
        <f>((ABS(Games[[#This Row],[MOV]])+5)^0.6)/(12+0.01*(ABS(Games[[#This Row],[PreGmRate]]-Games[[#This Row],[OppPreGmRate]])))*IF(Games[[#This Row],[OT]]=1,0.9,1)</f>
        <v>0.39986629825391545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1" s="9">
        <f>MAX(kmin, kmax - 0.15 * MIN(Games[[#This Row],[GamesPlayed]], 82))</f>
        <v>73</v>
      </c>
      <c r="Z231" s="4">
        <f>Games[[#This Row],[K]]*Games[[#This Row],[POMult]]</f>
        <v>73</v>
      </c>
      <c r="AA231" s="4">
        <f>(Games[[#This Row],[Keff]]*Games[[#This Row],[MOVMult]])*(Games[[#This Row],[Result]]-Games[[#This Row],[ExpectedWin%]])</f>
        <v>-11.100105563706482</v>
      </c>
      <c r="AB231" s="4">
        <f>Games[[#This Row],[PreGmRate]]+Games[[#This Row],[RatingChange]]</f>
        <v>1456.7126350169469</v>
      </c>
      <c r="AC231" s="2">
        <f>IF(Games[[#This Row],[Type]]="R",IF(Games[[#This Row],[Result]]&gt;0.5,1,0),0)</f>
        <v>0</v>
      </c>
      <c r="AD231" s="2">
        <f>IF(Games[[#This Row],[Type]]="R",IF(Games[[#This Row],[Result]]&lt;0.5,1,0),0)</f>
        <v>1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45119</v>
      </c>
      <c r="B232" s="2">
        <v>2023</v>
      </c>
      <c r="C232" s="2">
        <f>COUNTIFS(Games[Team],Games[[#This Row],[Team]],Games[Season],Games[[#This Row],[Season]],Games[Date],"&lt;=" &amp; Games[[#This Row],[Date]])</f>
        <v>18</v>
      </c>
      <c r="D232" s="2" t="s">
        <v>79</v>
      </c>
      <c r="E232" s="2" t="s">
        <v>80</v>
      </c>
      <c r="F232" s="1" t="s">
        <v>60</v>
      </c>
      <c r="G232" s="1" t="s">
        <v>69</v>
      </c>
      <c r="H232" s="1" t="s">
        <v>81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3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2" s="2">
        <f>Games[[#This Row],[DaysOff]]-Games[[#This Row],[OppDaysOff]]</f>
        <v>1</v>
      </c>
      <c r="L232" s="2">
        <f>Games[[#This Row],[OppDaysOff]]-Games[[#This Row],[DaysOff]]</f>
        <v>-1</v>
      </c>
      <c r="M232" s="1">
        <f>MAX(-16, MIN(16, Games[[#This Row],[RestDiff]]*8))</f>
        <v>8</v>
      </c>
      <c r="N232" s="1">
        <f>MAX(-16, MIN(16, Games[[#This Row],[OppRestDiff]]*8))</f>
        <v>-8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1599.9932391011919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1352.3851103234333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0.73767274455101617</v>
      </c>
      <c r="R232" s="1">
        <v>95</v>
      </c>
      <c r="S232" s="1">
        <v>87</v>
      </c>
      <c r="T232" s="1">
        <v>1</v>
      </c>
      <c r="U232" s="1">
        <f>Games[[#This Row],[PointsFor]]-Games[[#This Row],[PointsAgainst]]</f>
        <v>8</v>
      </c>
      <c r="V232" s="1">
        <f>IF(Games[[#This Row],[MOV]]&gt;0,1,IF(Games[[#This Row],[MOV]]=0,0.5,0))</f>
        <v>1</v>
      </c>
      <c r="W232" s="4">
        <f>((ABS(Games[[#This Row],[MOV]])+5)^0.6)/(12+0.01*(ABS(Games[[#This Row],[PreGmRate]]-Games[[#This Row],[OppPreGmRate]])))*IF(Games[[#This Row],[OT]]=1,0.9,1)</f>
        <v>0.28970601191452044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2" s="9">
        <f>MAX(kmin, kmax - 0.15 * MIN(Games[[#This Row],[GamesPlayed]], 82))</f>
        <v>73.3</v>
      </c>
      <c r="Z232" s="4">
        <f>Games[[#This Row],[K]]*Games[[#This Row],[POMult]]</f>
        <v>73.3</v>
      </c>
      <c r="AA232" s="4">
        <f>(Games[[#This Row],[Keff]]*Games[[#This Row],[MOVMult]])*(Games[[#This Row],[Result]]-Games[[#This Row],[ExpectedWin%]])</f>
        <v>5.5706374933580749</v>
      </c>
      <c r="AB232" s="4">
        <f>Games[[#This Row],[PreGmRate]]+Games[[#This Row],[RatingChange]]</f>
        <v>1605.56387659455</v>
      </c>
      <c r="AC232" s="2">
        <f>IF(Games[[#This Row],[Type]]="R",IF(Games[[#This Row],[Result]]&gt;0.5,1,0),0)</f>
        <v>1</v>
      </c>
      <c r="AD232" s="2">
        <f>IF(Games[[#This Row],[Type]]="R",IF(Games[[#This Row],[Result]]&lt;0.5,1,0),0)</f>
        <v>0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45119</v>
      </c>
      <c r="B233" s="2">
        <v>2023</v>
      </c>
      <c r="C233" s="2">
        <f>COUNTIFS(Games[Team],Games[[#This Row],[Team]],Games[Season],Games[[#This Row],[Season]],Games[Date],"&lt;=" &amp; Games[[#This Row],[Date]])</f>
        <v>20</v>
      </c>
      <c r="D233" s="2" t="s">
        <v>79</v>
      </c>
      <c r="E233" s="2" t="s">
        <v>80</v>
      </c>
      <c r="F233" s="1" t="s">
        <v>69</v>
      </c>
      <c r="G233" s="1" t="s">
        <v>60</v>
      </c>
      <c r="H233" s="1" t="s">
        <v>82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33" s="2">
        <f>Games[[#This Row],[DaysOff]]-Games[[#This Row],[OppDaysOff]]</f>
        <v>-1</v>
      </c>
      <c r="L233" s="2">
        <f>Games[[#This Row],[OppDaysOff]]-Games[[#This Row],[DaysOff]]</f>
        <v>1</v>
      </c>
      <c r="M233" s="1">
        <f>MAX(-16, MIN(16, Games[[#This Row],[RestDiff]]*8))</f>
        <v>-8</v>
      </c>
      <c r="N233" s="1">
        <f>MAX(-16, MIN(16, Games[[#This Row],[OppRestDiff]]*8))</f>
        <v>8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1352.3851103234333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1599.9932391011919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0.26232725544898378</v>
      </c>
      <c r="R233" s="1">
        <v>87</v>
      </c>
      <c r="S233" s="1">
        <v>95</v>
      </c>
      <c r="T233" s="1">
        <v>1</v>
      </c>
      <c r="U233" s="1">
        <f>Games[[#This Row],[PointsFor]]-Games[[#This Row],[PointsAgainst]]</f>
        <v>-8</v>
      </c>
      <c r="V233" s="1">
        <f>IF(Games[[#This Row],[MOV]]&gt;0,1,IF(Games[[#This Row],[MOV]]=0,0.5,0))</f>
        <v>0</v>
      </c>
      <c r="W233" s="4">
        <f>((ABS(Games[[#This Row],[MOV]])+5)^0.6)/(12+0.01*(ABS(Games[[#This Row],[PreGmRate]]-Games[[#This Row],[OppPreGmRate]])))*IF(Games[[#This Row],[OT]]=1,0.9,1)</f>
        <v>0.28970601191452044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3" s="9">
        <f>MAX(kmin, kmax - 0.15 * MIN(Games[[#This Row],[GamesPlayed]], 82))</f>
        <v>73</v>
      </c>
      <c r="Z233" s="4">
        <f>Games[[#This Row],[K]]*Games[[#This Row],[POMult]]</f>
        <v>73</v>
      </c>
      <c r="AA233" s="4">
        <f>(Games[[#This Row],[Keff]]*Games[[#This Row],[MOVMult]])*(Games[[#This Row],[Result]]-Games[[#This Row],[ExpectedWin%]])</f>
        <v>-5.5478381584602925</v>
      </c>
      <c r="AB233" s="4">
        <f>Games[[#This Row],[PreGmRate]]+Games[[#This Row],[RatingChange]]</f>
        <v>1346.837272164973</v>
      </c>
      <c r="AC233" s="2">
        <f>IF(Games[[#This Row],[Type]]="R",IF(Games[[#This Row],[Result]]&gt;0.5,1,0),0)</f>
        <v>0</v>
      </c>
      <c r="AD233" s="2">
        <f>IF(Games[[#This Row],[Type]]="R",IF(Games[[#This Row],[Result]]&lt;0.5,1,0),0)</f>
        <v>1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45119</v>
      </c>
      <c r="B234" s="2">
        <v>2023</v>
      </c>
      <c r="C234" s="2">
        <f>COUNTIFS(Games[Team],Games[[#This Row],[Team]],Games[Season],Games[[#This Row],[Season]],Games[Date],"&lt;=" &amp; Games[[#This Row],[Date]])</f>
        <v>21</v>
      </c>
      <c r="D234" s="2" t="s">
        <v>79</v>
      </c>
      <c r="E234" s="2" t="s">
        <v>80</v>
      </c>
      <c r="F234" s="1" t="s">
        <v>86</v>
      </c>
      <c r="G234" s="1" t="s">
        <v>63</v>
      </c>
      <c r="H234" s="1" t="s">
        <v>81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4" s="2">
        <f>Games[[#This Row],[DaysOff]]-Games[[#This Row],[OppDaysOff]]</f>
        <v>-2</v>
      </c>
      <c r="L234" s="2">
        <f>Games[[#This Row],[OppDaysOff]]-Games[[#This Row],[DaysOff]]</f>
        <v>2</v>
      </c>
      <c r="M234" s="1">
        <f>MAX(-16, MIN(16, Games[[#This Row],[RestDiff]]*8))</f>
        <v>-16</v>
      </c>
      <c r="N234" s="1">
        <f>MAX(-16, MIN(16, Games[[#This Row],[OppRestDiff]]*8))</f>
        <v>16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1727.7498209913408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1391.9740324091629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0.7799081395910179</v>
      </c>
      <c r="R234" s="1">
        <v>97</v>
      </c>
      <c r="S234" s="1">
        <v>78</v>
      </c>
      <c r="T234" s="1">
        <v>0</v>
      </c>
      <c r="U234" s="1">
        <f>Games[[#This Row],[PointsFor]]-Games[[#This Row],[PointsAgainst]]</f>
        <v>19</v>
      </c>
      <c r="V234" s="1">
        <f>IF(Games[[#This Row],[MOV]]&gt;0,1,IF(Games[[#This Row],[MOV]]=0,0.5,0))</f>
        <v>1</v>
      </c>
      <c r="W234" s="4">
        <f>((ABS(Games[[#This Row],[MOV]])+5)^0.6)/(12+0.01*(ABS(Games[[#This Row],[PreGmRate]]-Games[[#This Row],[OppPreGmRate]])))*IF(Games[[#This Row],[OT]]=1,0.9,1)</f>
        <v>0.43832771181344798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4" s="9">
        <f>MAX(kmin, kmax - 0.15 * MIN(Games[[#This Row],[GamesPlayed]], 82))</f>
        <v>72.849999999999994</v>
      </c>
      <c r="Z234" s="4">
        <f>Games[[#This Row],[K]]*Games[[#This Row],[POMult]]</f>
        <v>72.849999999999994</v>
      </c>
      <c r="AA234" s="4">
        <f>(Games[[#This Row],[Keff]]*Games[[#This Row],[MOVMult]])*(Games[[#This Row],[Result]]-Games[[#This Row],[ExpectedWin%]])</f>
        <v>7.0280115397796008</v>
      </c>
      <c r="AB234" s="4">
        <f>Games[[#This Row],[PreGmRate]]+Games[[#This Row],[RatingChange]]</f>
        <v>1734.7778325311203</v>
      </c>
      <c r="AC234" s="2">
        <f>IF(Games[[#This Row],[Type]]="R",IF(Games[[#This Row],[Result]]&gt;0.5,1,0),0)</f>
        <v>1</v>
      </c>
      <c r="AD234" s="2">
        <f>IF(Games[[#This Row],[Type]]="R",IF(Games[[#This Row],[Result]]&lt;0.5,1,0),0)</f>
        <v>0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45119</v>
      </c>
      <c r="B235" s="2">
        <v>2023</v>
      </c>
      <c r="C235" s="2">
        <f>COUNTIFS(Games[Team],Games[[#This Row],[Team]],Games[Season],Games[[#This Row],[Season]],Games[Date],"&lt;=" &amp; Games[[#This Row],[Date]])</f>
        <v>20</v>
      </c>
      <c r="D235" s="2" t="s">
        <v>79</v>
      </c>
      <c r="E235" s="2" t="s">
        <v>80</v>
      </c>
      <c r="F235" s="1" t="s">
        <v>63</v>
      </c>
      <c r="G235" s="1" t="s">
        <v>86</v>
      </c>
      <c r="H235" s="1" t="s">
        <v>82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5" s="2">
        <f>Games[[#This Row],[DaysOff]]-Games[[#This Row],[OppDaysOff]]</f>
        <v>2</v>
      </c>
      <c r="L235" s="2">
        <f>Games[[#This Row],[OppDaysOff]]-Games[[#This Row],[DaysOff]]</f>
        <v>-2</v>
      </c>
      <c r="M235" s="1">
        <f>MAX(-16, MIN(16, Games[[#This Row],[RestDiff]]*8))</f>
        <v>16</v>
      </c>
      <c r="N235" s="1">
        <f>MAX(-16, MIN(16, Games[[#This Row],[OppRestDiff]]*8))</f>
        <v>-16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1391.9740324091629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1727.7498209913408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0.22009186040898204</v>
      </c>
      <c r="R235" s="1">
        <v>78</v>
      </c>
      <c r="S235" s="1">
        <v>97</v>
      </c>
      <c r="T235" s="1">
        <v>0</v>
      </c>
      <c r="U235" s="1">
        <f>Games[[#This Row],[PointsFor]]-Games[[#This Row],[PointsAgainst]]</f>
        <v>-19</v>
      </c>
      <c r="V235" s="1">
        <f>IF(Games[[#This Row],[MOV]]&gt;0,1,IF(Games[[#This Row],[MOV]]=0,0.5,0))</f>
        <v>0</v>
      </c>
      <c r="W235" s="4">
        <f>((ABS(Games[[#This Row],[MOV]])+5)^0.6)/(12+0.01*(ABS(Games[[#This Row],[PreGmRate]]-Games[[#This Row],[OppPreGmRate]])))*IF(Games[[#This Row],[OT]]=1,0.9,1)</f>
        <v>0.43832771181344798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5" s="9">
        <f>MAX(kmin, kmax - 0.15 * MIN(Games[[#This Row],[GamesPlayed]], 82))</f>
        <v>73</v>
      </c>
      <c r="Z235" s="4">
        <f>Games[[#This Row],[K]]*Games[[#This Row],[POMult]]</f>
        <v>73</v>
      </c>
      <c r="AA235" s="4">
        <f>(Games[[#This Row],[Keff]]*Games[[#This Row],[MOVMult]])*(Games[[#This Row],[Result]]-Games[[#This Row],[ExpectedWin%]])</f>
        <v>-7.0424823940138754</v>
      </c>
      <c r="AB235" s="4">
        <f>Games[[#This Row],[PreGmRate]]+Games[[#This Row],[RatingChange]]</f>
        <v>1384.931550015149</v>
      </c>
      <c r="AC235" s="2">
        <f>IF(Games[[#This Row],[Type]]="R",IF(Games[[#This Row],[Result]]&gt;0.5,1,0),0)</f>
        <v>0</v>
      </c>
      <c r="AD235" s="2">
        <f>IF(Games[[#This Row],[Type]]="R",IF(Games[[#This Row],[Result]]&lt;0.5,1,0),0)</f>
        <v>1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45119</v>
      </c>
      <c r="B236" s="2">
        <v>2023</v>
      </c>
      <c r="C236" s="2">
        <f>COUNTIFS(Games[Team],Games[[#This Row],[Team]],Games[Season],Games[[#This Row],[Season]],Games[Date],"&lt;=" &amp; Games[[#This Row],[Date]])</f>
        <v>20</v>
      </c>
      <c r="D236" s="2" t="s">
        <v>79</v>
      </c>
      <c r="E236" s="2" t="s">
        <v>80</v>
      </c>
      <c r="F236" s="1" t="s">
        <v>85</v>
      </c>
      <c r="G236" s="1" t="s">
        <v>67</v>
      </c>
      <c r="H236" s="1" t="s">
        <v>81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6" s="2">
        <f>Games[[#This Row],[DaysOff]]-Games[[#This Row],[OppDaysOff]]</f>
        <v>0</v>
      </c>
      <c r="L236" s="2">
        <f>Games[[#This Row],[OppDaysOff]]-Games[[#This Row],[DaysOff]]</f>
        <v>0</v>
      </c>
      <c r="M236" s="1">
        <f>MAX(-16, MIN(16, Games[[#This Row],[RestDiff]]*8))</f>
        <v>0</v>
      </c>
      <c r="N236" s="1">
        <f>MAX(-16, MIN(16, Games[[#This Row],[OppRestDiff]]*8))</f>
        <v>0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1509.1452337755313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1482.3294405488016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0.41844045808086466</v>
      </c>
      <c r="R236" s="1">
        <v>107</v>
      </c>
      <c r="S236" s="1">
        <v>67</v>
      </c>
      <c r="T236" s="1">
        <v>0</v>
      </c>
      <c r="U236" s="1">
        <f>Games[[#This Row],[PointsFor]]-Games[[#This Row],[PointsAgainst]]</f>
        <v>40</v>
      </c>
      <c r="V236" s="1">
        <f>IF(Games[[#This Row],[MOV]]&gt;0,1,IF(Games[[#This Row],[MOV]]=0,0.5,0))</f>
        <v>1</v>
      </c>
      <c r="W236" s="4">
        <f>((ABS(Games[[#This Row],[MOV]])+5)^0.6)/(12+0.01*(ABS(Games[[#This Row],[PreGmRate]]-Games[[#This Row],[OppPreGmRate]])))*IF(Games[[#This Row],[OT]]=1,0.9,1)</f>
        <v>0.80010714756950307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6" s="9">
        <f>MAX(kmin, kmax - 0.15 * MIN(Games[[#This Row],[GamesPlayed]], 82))</f>
        <v>73</v>
      </c>
      <c r="Z236" s="4">
        <f>Games[[#This Row],[K]]*Games[[#This Row],[POMult]]</f>
        <v>73</v>
      </c>
      <c r="AA236" s="4">
        <f>(Games[[#This Row],[Keff]]*Games[[#This Row],[MOVMult]])*(Games[[#This Row],[Result]]-Games[[#This Row],[ExpectedWin%]])</f>
        <v>33.96762607455247</v>
      </c>
      <c r="AB236" s="4">
        <f>Games[[#This Row],[PreGmRate]]+Games[[#This Row],[RatingChange]]</f>
        <v>1543.1128598500839</v>
      </c>
      <c r="AC236" s="2">
        <f>IF(Games[[#This Row],[Type]]="R",IF(Games[[#This Row],[Result]]&gt;0.5,1,0),0)</f>
        <v>1</v>
      </c>
      <c r="AD236" s="2">
        <f>IF(Games[[#This Row],[Type]]="R",IF(Games[[#This Row],[Result]]&lt;0.5,1,0),0)</f>
        <v>0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45119</v>
      </c>
      <c r="B237" s="2">
        <v>2023</v>
      </c>
      <c r="C237" s="2">
        <f>COUNTIFS(Games[Team],Games[[#This Row],[Team]],Games[Season],Games[[#This Row],[Season]],Games[Date],"&lt;=" &amp; Games[[#This Row],[Date]])</f>
        <v>20</v>
      </c>
      <c r="D237" s="2" t="s">
        <v>79</v>
      </c>
      <c r="E237" s="2" t="s">
        <v>80</v>
      </c>
      <c r="F237" s="1" t="s">
        <v>67</v>
      </c>
      <c r="G237" s="1" t="s">
        <v>85</v>
      </c>
      <c r="H237" s="1" t="s">
        <v>82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7" s="2">
        <f>Games[[#This Row],[DaysOff]]-Games[[#This Row],[OppDaysOff]]</f>
        <v>0</v>
      </c>
      <c r="L237" s="2">
        <f>Games[[#This Row],[OppDaysOff]]-Games[[#This Row],[DaysOff]]</f>
        <v>0</v>
      </c>
      <c r="M237" s="1">
        <f>MAX(-16, MIN(16, Games[[#This Row],[RestDiff]]*8))</f>
        <v>0</v>
      </c>
      <c r="N237" s="1">
        <f>MAX(-16, MIN(16, Games[[#This Row],[OppRestDiff]]*8))</f>
        <v>0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1482.3294405488016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1509.1452337755313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0.58155954191913539</v>
      </c>
      <c r="R237" s="1">
        <v>67</v>
      </c>
      <c r="S237" s="1">
        <v>107</v>
      </c>
      <c r="T237" s="1">
        <v>0</v>
      </c>
      <c r="U237" s="1">
        <f>Games[[#This Row],[PointsFor]]-Games[[#This Row],[PointsAgainst]]</f>
        <v>-40</v>
      </c>
      <c r="V237" s="1">
        <f>IF(Games[[#This Row],[MOV]]&gt;0,1,IF(Games[[#This Row],[MOV]]=0,0.5,0))</f>
        <v>0</v>
      </c>
      <c r="W237" s="4">
        <f>((ABS(Games[[#This Row],[MOV]])+5)^0.6)/(12+0.01*(ABS(Games[[#This Row],[PreGmRate]]-Games[[#This Row],[OppPreGmRate]])))*IF(Games[[#This Row],[OT]]=1,0.9,1)</f>
        <v>0.80010714756950307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7" s="9">
        <f>MAX(kmin, kmax - 0.15 * MIN(Games[[#This Row],[GamesPlayed]], 82))</f>
        <v>73</v>
      </c>
      <c r="Z237" s="4">
        <f>Games[[#This Row],[K]]*Games[[#This Row],[POMult]]</f>
        <v>73</v>
      </c>
      <c r="AA237" s="4">
        <f>(Games[[#This Row],[Keff]]*Games[[#This Row],[MOVMult]])*(Games[[#This Row],[Result]]-Games[[#This Row],[ExpectedWin%]])</f>
        <v>-33.967626074552477</v>
      </c>
      <c r="AB237" s="4">
        <f>Games[[#This Row],[PreGmRate]]+Games[[#This Row],[RatingChange]]</f>
        <v>1448.3618144742491</v>
      </c>
      <c r="AC237" s="2">
        <f>IF(Games[[#This Row],[Type]]="R",IF(Games[[#This Row],[Result]]&gt;0.5,1,0),0)</f>
        <v>0</v>
      </c>
      <c r="AD237" s="2">
        <f>IF(Games[[#This Row],[Type]]="R",IF(Games[[#This Row],[Result]]&lt;0.5,1,0),0)</f>
        <v>1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45125</v>
      </c>
      <c r="B238" s="2">
        <v>2023</v>
      </c>
      <c r="C238" s="2">
        <f>COUNTIFS(Games[Team],Games[[#This Row],[Team]],Games[Season],Games[[#This Row],[Season]],Games[Date],"&lt;=" &amp; Games[[#This Row],[Date]])</f>
        <v>21</v>
      </c>
      <c r="D238" s="2" t="s">
        <v>79</v>
      </c>
      <c r="E238" s="2" t="s">
        <v>80</v>
      </c>
      <c r="F238" s="1" t="s">
        <v>67</v>
      </c>
      <c r="G238" s="1" t="s">
        <v>77</v>
      </c>
      <c r="H238" s="1" t="s">
        <v>81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5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38" s="2">
        <f>Games[[#This Row],[DaysOff]]-Games[[#This Row],[OppDaysOff]]</f>
        <v>0</v>
      </c>
      <c r="L238" s="2">
        <f>Games[[#This Row],[OppDaysOff]]-Games[[#This Row],[DaysOff]]</f>
        <v>0</v>
      </c>
      <c r="M238" s="1">
        <f>MAX(-16, MIN(16, Games[[#This Row],[RestDiff]]*8))</f>
        <v>0</v>
      </c>
      <c r="N238" s="1">
        <f>MAX(-16, MIN(16, Games[[#This Row],[OppRestDiff]]*8))</f>
        <v>0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1448.3618144742491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1521.6610905334992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0.2879241374447391</v>
      </c>
      <c r="R238" s="1">
        <v>73</v>
      </c>
      <c r="S238" s="1">
        <v>82</v>
      </c>
      <c r="T238" s="1">
        <v>0</v>
      </c>
      <c r="U238" s="1">
        <f>Games[[#This Row],[PointsFor]]-Games[[#This Row],[PointsAgainst]]</f>
        <v>-9</v>
      </c>
      <c r="V238" s="1">
        <f>IF(Games[[#This Row],[MOV]]&gt;0,1,IF(Games[[#This Row],[MOV]]=0,0.5,0))</f>
        <v>0</v>
      </c>
      <c r="W238" s="4">
        <f>((ABS(Games[[#This Row],[MOV]])+5)^0.6)/(12+0.01*(ABS(Games[[#This Row],[PreGmRate]]-Games[[#This Row],[OppPreGmRate]])))*IF(Games[[#This Row],[OT]]=1,0.9,1)</f>
        <v>0.38260120125445057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8" s="9">
        <f>MAX(kmin, kmax - 0.15 * MIN(Games[[#This Row],[GamesPlayed]], 82))</f>
        <v>72.849999999999994</v>
      </c>
      <c r="Z238" s="4">
        <f>Games[[#This Row],[K]]*Games[[#This Row],[POMult]]</f>
        <v>72.849999999999994</v>
      </c>
      <c r="AA238" s="4">
        <f>(Games[[#This Row],[Keff]]*Games[[#This Row],[MOVMult]])*(Games[[#This Row],[Result]]-Games[[#This Row],[ExpectedWin%]])</f>
        <v>-8.0251648043966597</v>
      </c>
      <c r="AB238" s="4">
        <f>Games[[#This Row],[PreGmRate]]+Games[[#This Row],[RatingChange]]</f>
        <v>1440.3366496698525</v>
      </c>
      <c r="AC238" s="2">
        <f>IF(Games[[#This Row],[Type]]="R",IF(Games[[#This Row],[Result]]&gt;0.5,1,0),0)</f>
        <v>0</v>
      </c>
      <c r="AD238" s="2">
        <f>IF(Games[[#This Row],[Type]]="R",IF(Games[[#This Row],[Result]]&lt;0.5,1,0),0)</f>
        <v>1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45125</v>
      </c>
      <c r="B239" s="2">
        <v>2023</v>
      </c>
      <c r="C239" s="2">
        <f>COUNTIFS(Games[Team],Games[[#This Row],[Team]],Games[Season],Games[[#This Row],[Season]],Games[Date],"&lt;=" &amp; Games[[#This Row],[Date]])</f>
        <v>20</v>
      </c>
      <c r="D239" s="2" t="s">
        <v>79</v>
      </c>
      <c r="E239" s="2" t="s">
        <v>80</v>
      </c>
      <c r="F239" s="1" t="s">
        <v>77</v>
      </c>
      <c r="G239" s="1" t="s">
        <v>67</v>
      </c>
      <c r="H239" s="1" t="s">
        <v>82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5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39" s="2">
        <f>Games[[#This Row],[DaysOff]]-Games[[#This Row],[OppDaysOff]]</f>
        <v>0</v>
      </c>
      <c r="L239" s="2">
        <f>Games[[#This Row],[OppDaysOff]]-Games[[#This Row],[DaysOff]]</f>
        <v>0</v>
      </c>
      <c r="M239" s="1">
        <f>MAX(-16, MIN(16, Games[[#This Row],[RestDiff]]*8))</f>
        <v>0</v>
      </c>
      <c r="N239" s="1">
        <f>MAX(-16, MIN(16, Games[[#This Row],[OppRestDiff]]*8))</f>
        <v>0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1521.6610905334992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1448.3618144742491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0.7120758625552609</v>
      </c>
      <c r="R239" s="1">
        <v>82</v>
      </c>
      <c r="S239" s="1">
        <v>73</v>
      </c>
      <c r="T239" s="1">
        <v>0</v>
      </c>
      <c r="U239" s="1">
        <f>Games[[#This Row],[PointsFor]]-Games[[#This Row],[PointsAgainst]]</f>
        <v>9</v>
      </c>
      <c r="V239" s="1">
        <f>IF(Games[[#This Row],[MOV]]&gt;0,1,IF(Games[[#This Row],[MOV]]=0,0.5,0))</f>
        <v>1</v>
      </c>
      <c r="W239" s="4">
        <f>((ABS(Games[[#This Row],[MOV]])+5)^0.6)/(12+0.01*(ABS(Games[[#This Row],[PreGmRate]]-Games[[#This Row],[OppPreGmRate]])))*IF(Games[[#This Row],[OT]]=1,0.9,1)</f>
        <v>0.38260120125445057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9" s="9">
        <f>MAX(kmin, kmax - 0.15 * MIN(Games[[#This Row],[GamesPlayed]], 82))</f>
        <v>73</v>
      </c>
      <c r="Z239" s="4">
        <f>Games[[#This Row],[K]]*Games[[#This Row],[POMult]]</f>
        <v>73</v>
      </c>
      <c r="AA239" s="4">
        <f>(Games[[#This Row],[Keff]]*Games[[#This Row],[MOVMult]])*(Games[[#This Row],[Result]]-Games[[#This Row],[ExpectedWin%]])</f>
        <v>8.0416888225251366</v>
      </c>
      <c r="AB239" s="4">
        <f>Games[[#This Row],[PreGmRate]]+Games[[#This Row],[RatingChange]]</f>
        <v>1529.7027793560244</v>
      </c>
      <c r="AC239" s="2">
        <f>IF(Games[[#This Row],[Type]]="R",IF(Games[[#This Row],[Result]]&gt;0.5,1,0),0)</f>
        <v>1</v>
      </c>
      <c r="AD239" s="2">
        <f>IF(Games[[#This Row],[Type]]="R",IF(Games[[#This Row],[Result]]&lt;0.5,1,0),0)</f>
        <v>0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45125</v>
      </c>
      <c r="B240" s="2">
        <v>2023</v>
      </c>
      <c r="C240" s="2">
        <f>COUNTIFS(Games[Team],Games[[#This Row],[Team]],Games[Season],Games[[#This Row],[Season]],Games[Date],"&lt;=" &amp; Games[[#This Row],[Date]])</f>
        <v>21</v>
      </c>
      <c r="D240" s="2" t="s">
        <v>79</v>
      </c>
      <c r="E240" s="2" t="s">
        <v>80</v>
      </c>
      <c r="F240" s="1" t="s">
        <v>74</v>
      </c>
      <c r="G240" s="1" t="s">
        <v>40</v>
      </c>
      <c r="H240" s="1" t="s">
        <v>81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5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40" s="2">
        <f>Games[[#This Row],[DaysOff]]-Games[[#This Row],[OppDaysOff]]</f>
        <v>-1</v>
      </c>
      <c r="L240" s="2">
        <f>Games[[#This Row],[OppDaysOff]]-Games[[#This Row],[DaysOff]]</f>
        <v>1</v>
      </c>
      <c r="M240" s="1">
        <f>MAX(-16, MIN(16, Games[[#This Row],[RestDiff]]*8))</f>
        <v>-8</v>
      </c>
      <c r="N240" s="1">
        <f>MAX(-16, MIN(16, Games[[#This Row],[OppRestDiff]]*8))</f>
        <v>8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1647.7587180819787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1358.103868850797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0.74870943494571351</v>
      </c>
      <c r="R240" s="1">
        <v>66</v>
      </c>
      <c r="S240" s="1">
        <v>72</v>
      </c>
      <c r="T240" s="1">
        <v>0</v>
      </c>
      <c r="U240" s="1">
        <f>Games[[#This Row],[PointsFor]]-Games[[#This Row],[PointsAgainst]]</f>
        <v>-6</v>
      </c>
      <c r="V240" s="1">
        <f>IF(Games[[#This Row],[MOV]]&gt;0,1,IF(Games[[#This Row],[MOV]]=0,0.5,0))</f>
        <v>0</v>
      </c>
      <c r="W240" s="4">
        <f>((ABS(Games[[#This Row],[MOV]])+5)^0.6)/(12+0.01*(ABS(Games[[#This Row],[PreGmRate]]-Games[[#This Row],[OppPreGmRate]])))*IF(Games[[#This Row],[OT]]=1,0.9,1)</f>
        <v>0.28297623004869032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0" s="9">
        <f>MAX(kmin, kmax - 0.15 * MIN(Games[[#This Row],[GamesPlayed]], 82))</f>
        <v>72.849999999999994</v>
      </c>
      <c r="Z240" s="4">
        <f>Games[[#This Row],[K]]*Games[[#This Row],[POMult]]</f>
        <v>72.849999999999994</v>
      </c>
      <c r="AA240" s="4">
        <f>(Games[[#This Row],[Keff]]*Games[[#This Row],[MOVMult]])*(Games[[#This Row],[Result]]-Games[[#This Row],[ExpectedWin%]])</f>
        <v>-15.434509005110666</v>
      </c>
      <c r="AB240" s="4">
        <f>Games[[#This Row],[PreGmRate]]+Games[[#This Row],[RatingChange]]</f>
        <v>1632.3242090768681</v>
      </c>
      <c r="AC240" s="2">
        <f>IF(Games[[#This Row],[Type]]="R",IF(Games[[#This Row],[Result]]&gt;0.5,1,0),0)</f>
        <v>0</v>
      </c>
      <c r="AD240" s="2">
        <f>IF(Games[[#This Row],[Type]]="R",IF(Games[[#This Row],[Result]]&lt;0.5,1,0),0)</f>
        <v>1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45125</v>
      </c>
      <c r="B241" s="2">
        <v>2023</v>
      </c>
      <c r="C241" s="2">
        <f>COUNTIFS(Games[Team],Games[[#This Row],[Team]],Games[Season],Games[[#This Row],[Season]],Games[Date],"&lt;=" &amp; Games[[#This Row],[Date]])</f>
        <v>20</v>
      </c>
      <c r="D241" s="2" t="s">
        <v>79</v>
      </c>
      <c r="E241" s="2" t="s">
        <v>80</v>
      </c>
      <c r="F241" s="1" t="s">
        <v>40</v>
      </c>
      <c r="G241" s="1" t="s">
        <v>74</v>
      </c>
      <c r="H241" s="1" t="s">
        <v>82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6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41" s="2">
        <f>Games[[#This Row],[DaysOff]]-Games[[#This Row],[OppDaysOff]]</f>
        <v>1</v>
      </c>
      <c r="L241" s="2">
        <f>Games[[#This Row],[OppDaysOff]]-Games[[#This Row],[DaysOff]]</f>
        <v>-1</v>
      </c>
      <c r="M241" s="1">
        <f>MAX(-16, MIN(16, Games[[#This Row],[RestDiff]]*8))</f>
        <v>8</v>
      </c>
      <c r="N241" s="1">
        <f>MAX(-16, MIN(16, Games[[#This Row],[OppRestDiff]]*8))</f>
        <v>-8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1358.103868850797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1647.7587180819787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0.25129056505428643</v>
      </c>
      <c r="R241" s="1">
        <v>72</v>
      </c>
      <c r="S241" s="1">
        <v>66</v>
      </c>
      <c r="T241" s="1">
        <v>0</v>
      </c>
      <c r="U241" s="1">
        <f>Games[[#This Row],[PointsFor]]-Games[[#This Row],[PointsAgainst]]</f>
        <v>6</v>
      </c>
      <c r="V241" s="1">
        <f>IF(Games[[#This Row],[MOV]]&gt;0,1,IF(Games[[#This Row],[MOV]]=0,0.5,0))</f>
        <v>1</v>
      </c>
      <c r="W241" s="4">
        <f>((ABS(Games[[#This Row],[MOV]])+5)^0.6)/(12+0.01*(ABS(Games[[#This Row],[PreGmRate]]-Games[[#This Row],[OppPreGmRate]])))*IF(Games[[#This Row],[OT]]=1,0.9,1)</f>
        <v>0.28297623004869032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1" s="9">
        <f>MAX(kmin, kmax - 0.15 * MIN(Games[[#This Row],[GamesPlayed]], 82))</f>
        <v>73</v>
      </c>
      <c r="Z241" s="4">
        <f>Games[[#This Row],[K]]*Games[[#This Row],[POMult]]</f>
        <v>73</v>
      </c>
      <c r="AA241" s="4">
        <f>(Games[[#This Row],[Keff]]*Games[[#This Row],[MOVMult]])*(Games[[#This Row],[Result]]-Games[[#This Row],[ExpectedWin%]])</f>
        <v>15.466289051106092</v>
      </c>
      <c r="AB241" s="4">
        <f>Games[[#This Row],[PreGmRate]]+Games[[#This Row],[RatingChange]]</f>
        <v>1373.570157901903</v>
      </c>
      <c r="AC241" s="2">
        <f>IF(Games[[#This Row],[Type]]="R",IF(Games[[#This Row],[Result]]&gt;0.5,1,0),0)</f>
        <v>1</v>
      </c>
      <c r="AD241" s="2">
        <f>IF(Games[[#This Row],[Type]]="R",IF(Games[[#This Row],[Result]]&lt;0.5,1,0),0)</f>
        <v>0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45126</v>
      </c>
      <c r="B242" s="2">
        <v>2023</v>
      </c>
      <c r="C242" s="2">
        <f>COUNTIFS(Games[Team],Games[[#This Row],[Team]],Games[Season],Games[[#This Row],[Season]],Games[Date],"&lt;=" &amp; Games[[#This Row],[Date]])</f>
        <v>21</v>
      </c>
      <c r="D242" s="2" t="s">
        <v>79</v>
      </c>
      <c r="E242" s="2" t="s">
        <v>80</v>
      </c>
      <c r="F242" s="1" t="s">
        <v>85</v>
      </c>
      <c r="G242" s="1" t="s">
        <v>60</v>
      </c>
      <c r="H242" s="1" t="s">
        <v>81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6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42" s="2">
        <f>Games[[#This Row],[DaysOff]]-Games[[#This Row],[OppDaysOff]]</f>
        <v>0</v>
      </c>
      <c r="L242" s="2">
        <f>Games[[#This Row],[OppDaysOff]]-Games[[#This Row],[DaysOff]]</f>
        <v>0</v>
      </c>
      <c r="M242" s="1">
        <f>MAX(-16, MIN(16, Games[[#This Row],[RestDiff]]*8))</f>
        <v>0</v>
      </c>
      <c r="N242" s="1">
        <f>MAX(-16, MIN(16, Games[[#This Row],[OppRestDiff]]*8))</f>
        <v>0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1543.1128598500839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1605.56387659455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0.30089494927009391</v>
      </c>
      <c r="R242" s="1">
        <v>98</v>
      </c>
      <c r="S242" s="1">
        <v>88</v>
      </c>
      <c r="T242" s="1">
        <v>0</v>
      </c>
      <c r="U242" s="1">
        <f>Games[[#This Row],[PointsFor]]-Games[[#This Row],[PointsAgainst]]</f>
        <v>10</v>
      </c>
      <c r="V242" s="1">
        <f>IF(Games[[#This Row],[MOV]]&gt;0,1,IF(Games[[#This Row],[MOV]]=0,0.5,0))</f>
        <v>1</v>
      </c>
      <c r="W242" s="4">
        <f>((ABS(Games[[#This Row],[MOV]])+5)^0.6)/(12+0.01*(ABS(Games[[#This Row],[PreGmRate]]-Games[[#This Row],[OppPreGmRate]])))*IF(Games[[#This Row],[OT]]=1,0.9,1)</f>
        <v>0.4021982892517374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2" s="9">
        <f>MAX(kmin, kmax - 0.15 * MIN(Games[[#This Row],[GamesPlayed]], 82))</f>
        <v>72.849999999999994</v>
      </c>
      <c r="Z242" s="4">
        <f>Games[[#This Row],[K]]*Games[[#This Row],[POMult]]</f>
        <v>72.849999999999994</v>
      </c>
      <c r="AA242" s="4">
        <f>(Games[[#This Row],[Keff]]*Games[[#This Row],[MOVMult]])*(Games[[#This Row],[Result]]-Games[[#This Row],[ExpectedWin%]])</f>
        <v>20.483879616678042</v>
      </c>
      <c r="AB242" s="4">
        <f>Games[[#This Row],[PreGmRate]]+Games[[#This Row],[RatingChange]]</f>
        <v>1563.5967394667618</v>
      </c>
      <c r="AC242" s="2">
        <f>IF(Games[[#This Row],[Type]]="R",IF(Games[[#This Row],[Result]]&gt;0.5,1,0),0)</f>
        <v>1</v>
      </c>
      <c r="AD242" s="2">
        <f>IF(Games[[#This Row],[Type]]="R",IF(Games[[#This Row],[Result]]&lt;0.5,1,0),0)</f>
        <v>0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45126</v>
      </c>
      <c r="B243" s="2">
        <v>2023</v>
      </c>
      <c r="C243" s="2">
        <f>COUNTIFS(Games[Team],Games[[#This Row],[Team]],Games[Season],Games[[#This Row],[Season]],Games[Date],"&lt;=" &amp; Games[[#This Row],[Date]])</f>
        <v>19</v>
      </c>
      <c r="D243" s="2" t="s">
        <v>79</v>
      </c>
      <c r="E243" s="2" t="s">
        <v>80</v>
      </c>
      <c r="F243" s="1" t="s">
        <v>60</v>
      </c>
      <c r="G243" s="1" t="s">
        <v>85</v>
      </c>
      <c r="H243" s="1" t="s">
        <v>82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6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43" s="2">
        <f>Games[[#This Row],[DaysOff]]-Games[[#This Row],[OppDaysOff]]</f>
        <v>0</v>
      </c>
      <c r="L243" s="2">
        <f>Games[[#This Row],[OppDaysOff]]-Games[[#This Row],[DaysOff]]</f>
        <v>0</v>
      </c>
      <c r="M243" s="1">
        <f>MAX(-16, MIN(16, Games[[#This Row],[RestDiff]]*8))</f>
        <v>0</v>
      </c>
      <c r="N243" s="1">
        <f>MAX(-16, MIN(16, Games[[#This Row],[OppRestDiff]]*8))</f>
        <v>0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1605.56387659455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1543.1128598500839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0.69910505072990614</v>
      </c>
      <c r="R243" s="1">
        <v>88</v>
      </c>
      <c r="S243" s="1">
        <v>98</v>
      </c>
      <c r="T243" s="1">
        <v>0</v>
      </c>
      <c r="U243" s="1">
        <f>Games[[#This Row],[PointsFor]]-Games[[#This Row],[PointsAgainst]]</f>
        <v>-10</v>
      </c>
      <c r="V243" s="1">
        <f>IF(Games[[#This Row],[MOV]]&gt;0,1,IF(Games[[#This Row],[MOV]]=0,0.5,0))</f>
        <v>0</v>
      </c>
      <c r="W243" s="4">
        <f>((ABS(Games[[#This Row],[MOV]])+5)^0.6)/(12+0.01*(ABS(Games[[#This Row],[PreGmRate]]-Games[[#This Row],[OppPreGmRate]])))*IF(Games[[#This Row],[OT]]=1,0.9,1)</f>
        <v>0.4021982892517374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3" s="9">
        <f>MAX(kmin, kmax - 0.15 * MIN(Games[[#This Row],[GamesPlayed]], 82))</f>
        <v>73.150000000000006</v>
      </c>
      <c r="Z243" s="4">
        <f>Games[[#This Row],[K]]*Games[[#This Row],[POMult]]</f>
        <v>73.150000000000006</v>
      </c>
      <c r="AA243" s="4">
        <f>(Games[[#This Row],[Keff]]*Games[[#This Row],[MOVMult]])*(Games[[#This Row],[Result]]-Games[[#This Row],[ExpectedWin%]])</f>
        <v>-20.568233273301292</v>
      </c>
      <c r="AB243" s="4">
        <f>Games[[#This Row],[PreGmRate]]+Games[[#This Row],[RatingChange]]</f>
        <v>1584.9956433212487</v>
      </c>
      <c r="AC243" s="2">
        <f>IF(Games[[#This Row],[Type]]="R",IF(Games[[#This Row],[Result]]&gt;0.5,1,0),0)</f>
        <v>0</v>
      </c>
      <c r="AD243" s="2">
        <f>IF(Games[[#This Row],[Type]]="R",IF(Games[[#This Row],[Result]]&lt;0.5,1,0),0)</f>
        <v>1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45126</v>
      </c>
      <c r="B244" s="2">
        <v>2023</v>
      </c>
      <c r="C244" s="2">
        <f>COUNTIFS(Games[Team],Games[[#This Row],[Team]],Games[Season],Games[[#This Row],[Season]],Games[Date],"&lt;=" &amp; Games[[#This Row],[Date]])</f>
        <v>21</v>
      </c>
      <c r="D244" s="2" t="s">
        <v>79</v>
      </c>
      <c r="E244" s="2" t="s">
        <v>80</v>
      </c>
      <c r="F244" s="1" t="s">
        <v>69</v>
      </c>
      <c r="G244" s="1" t="s">
        <v>65</v>
      </c>
      <c r="H244" s="1" t="s">
        <v>81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6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44" s="2">
        <f>Games[[#This Row],[DaysOff]]-Games[[#This Row],[OppDaysOff]]</f>
        <v>-1</v>
      </c>
      <c r="L244" s="2">
        <f>Games[[#This Row],[OppDaysOff]]-Games[[#This Row],[DaysOff]]</f>
        <v>1</v>
      </c>
      <c r="M244" s="1">
        <f>MAX(-16, MIN(16, Games[[#This Row],[RestDiff]]*8))</f>
        <v>-8</v>
      </c>
      <c r="N244" s="1">
        <f>MAX(-16, MIN(16, Games[[#This Row],[OppRestDiff]]*8))</f>
        <v>8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1346.837272164973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1546.2873178051034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0.15138581191925715</v>
      </c>
      <c r="R244" s="1">
        <v>82</v>
      </c>
      <c r="S244" s="1">
        <v>76</v>
      </c>
      <c r="T244" s="1">
        <v>0</v>
      </c>
      <c r="U244" s="1">
        <f>Games[[#This Row],[PointsFor]]-Games[[#This Row],[PointsAgainst]]</f>
        <v>6</v>
      </c>
      <c r="V244" s="1">
        <f>IF(Games[[#This Row],[MOV]]&gt;0,1,IF(Games[[#This Row],[MOV]]=0,0.5,0))</f>
        <v>1</v>
      </c>
      <c r="W244" s="4">
        <f>((ABS(Games[[#This Row],[MOV]])+5)^0.6)/(12+0.01*(ABS(Games[[#This Row],[PreGmRate]]-Games[[#This Row],[OppPreGmRate]])))*IF(Games[[#This Row],[OT]]=1,0.9,1)</f>
        <v>0.3012161203055822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4" s="9">
        <f>MAX(kmin, kmax - 0.15 * MIN(Games[[#This Row],[GamesPlayed]], 82))</f>
        <v>72.849999999999994</v>
      </c>
      <c r="Z244" s="4">
        <f>Games[[#This Row],[K]]*Games[[#This Row],[POMult]]</f>
        <v>72.849999999999994</v>
      </c>
      <c r="AA244" s="4">
        <f>(Games[[#This Row],[Keff]]*Games[[#This Row],[MOVMult]])*(Games[[#This Row],[Result]]-Games[[#This Row],[ExpectedWin%]])</f>
        <v>18.621645515001074</v>
      </c>
      <c r="AB244" s="4">
        <f>Games[[#This Row],[PreGmRate]]+Games[[#This Row],[RatingChange]]</f>
        <v>1365.4589176799741</v>
      </c>
      <c r="AC244" s="2">
        <f>IF(Games[[#This Row],[Type]]="R",IF(Games[[#This Row],[Result]]&gt;0.5,1,0),0)</f>
        <v>1</v>
      </c>
      <c r="AD244" s="2">
        <f>IF(Games[[#This Row],[Type]]="R",IF(Games[[#This Row],[Result]]&lt;0.5,1,0),0)</f>
        <v>0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45126</v>
      </c>
      <c r="B245" s="2">
        <v>2023</v>
      </c>
      <c r="C245" s="2">
        <f>COUNTIFS(Games[Team],Games[[#This Row],[Team]],Games[Season],Games[[#This Row],[Season]],Games[Date],"&lt;=" &amp; Games[[#This Row],[Date]])</f>
        <v>20</v>
      </c>
      <c r="D245" s="2" t="s">
        <v>79</v>
      </c>
      <c r="E245" s="2" t="s">
        <v>80</v>
      </c>
      <c r="F245" s="1" t="s">
        <v>65</v>
      </c>
      <c r="G245" s="1" t="s">
        <v>69</v>
      </c>
      <c r="H245" s="1" t="s">
        <v>82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7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45" s="2">
        <f>Games[[#This Row],[DaysOff]]-Games[[#This Row],[OppDaysOff]]</f>
        <v>1</v>
      </c>
      <c r="L245" s="2">
        <f>Games[[#This Row],[OppDaysOff]]-Games[[#This Row],[DaysOff]]</f>
        <v>-1</v>
      </c>
      <c r="M245" s="1">
        <f>MAX(-16, MIN(16, Games[[#This Row],[RestDiff]]*8))</f>
        <v>8</v>
      </c>
      <c r="N245" s="1">
        <f>MAX(-16, MIN(16, Games[[#This Row],[OppRestDiff]]*8))</f>
        <v>-8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1546.2873178051034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1346.837272164973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0.84861418808074285</v>
      </c>
      <c r="R245" s="1">
        <v>76</v>
      </c>
      <c r="S245" s="1">
        <v>82</v>
      </c>
      <c r="T245" s="1">
        <v>0</v>
      </c>
      <c r="U245" s="1">
        <f>Games[[#This Row],[PointsFor]]-Games[[#This Row],[PointsAgainst]]</f>
        <v>-6</v>
      </c>
      <c r="V245" s="1">
        <f>IF(Games[[#This Row],[MOV]]&gt;0,1,IF(Games[[#This Row],[MOV]]=0,0.5,0))</f>
        <v>0</v>
      </c>
      <c r="W245" s="4">
        <f>((ABS(Games[[#This Row],[MOV]])+5)^0.6)/(12+0.01*(ABS(Games[[#This Row],[PreGmRate]]-Games[[#This Row],[OppPreGmRate]])))*IF(Games[[#This Row],[OT]]=1,0.9,1)</f>
        <v>0.3012161203055822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5" s="9">
        <f>MAX(kmin, kmax - 0.15 * MIN(Games[[#This Row],[GamesPlayed]], 82))</f>
        <v>73</v>
      </c>
      <c r="Z245" s="4">
        <f>Games[[#This Row],[K]]*Games[[#This Row],[POMult]]</f>
        <v>73</v>
      </c>
      <c r="AA245" s="4">
        <f>(Games[[#This Row],[Keff]]*Games[[#This Row],[MOVMult]])*(Games[[#This Row],[Result]]-Games[[#This Row],[ExpectedWin%]])</f>
        <v>-18.659987956006567</v>
      </c>
      <c r="AB245" s="4">
        <f>Games[[#This Row],[PreGmRate]]+Games[[#This Row],[RatingChange]]</f>
        <v>1527.6273298490969</v>
      </c>
      <c r="AC245" s="2">
        <f>IF(Games[[#This Row],[Type]]="R",IF(Games[[#This Row],[Result]]&gt;0.5,1,0),0)</f>
        <v>0</v>
      </c>
      <c r="AD245" s="2">
        <f>IF(Games[[#This Row],[Type]]="R",IF(Games[[#This Row],[Result]]&lt;0.5,1,0),0)</f>
        <v>1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45127</v>
      </c>
      <c r="B246" s="2">
        <v>2023</v>
      </c>
      <c r="C246" s="2">
        <f>COUNTIFS(Games[Team],Games[[#This Row],[Team]],Games[Season],Games[[#This Row],[Season]],Games[Date],"&lt;=" &amp; Games[[#This Row],[Date]])</f>
        <v>21</v>
      </c>
      <c r="D246" s="2" t="s">
        <v>79</v>
      </c>
      <c r="E246" s="2" t="s">
        <v>80</v>
      </c>
      <c r="F246" s="1" t="s">
        <v>77</v>
      </c>
      <c r="G246" s="1" t="s">
        <v>74</v>
      </c>
      <c r="H246" s="1" t="s">
        <v>81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6" s="2">
        <f>Games[[#This Row],[DaysOff]]-Games[[#This Row],[OppDaysOff]]</f>
        <v>0</v>
      </c>
      <c r="L246" s="2">
        <f>Games[[#This Row],[OppDaysOff]]-Games[[#This Row],[DaysOff]]</f>
        <v>0</v>
      </c>
      <c r="M246" s="1">
        <f>MAX(-16, MIN(16, Games[[#This Row],[RestDiff]]*8))</f>
        <v>0</v>
      </c>
      <c r="N246" s="1">
        <f>MAX(-16, MIN(16, Games[[#This Row],[OppRestDiff]]*8))</f>
        <v>0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1529.7027793560244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1632.3242090768681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0.25459013080087128</v>
      </c>
      <c r="R246" s="1">
        <v>71</v>
      </c>
      <c r="S246" s="1">
        <v>82</v>
      </c>
      <c r="T246" s="1">
        <v>0</v>
      </c>
      <c r="U246" s="1">
        <f>Games[[#This Row],[PointsFor]]-Games[[#This Row],[PointsAgainst]]</f>
        <v>-11</v>
      </c>
      <c r="V246" s="1">
        <f>IF(Games[[#This Row],[MOV]]&gt;0,1,IF(Games[[#This Row],[MOV]]=0,0.5,0))</f>
        <v>0</v>
      </c>
      <c r="W246" s="4">
        <f>((ABS(Games[[#This Row],[MOV]])+5)^0.6)/(12+0.01*(ABS(Games[[#This Row],[PreGmRate]]-Games[[#This Row],[OppPreGmRate]])))*IF(Games[[#This Row],[OT]]=1,0.9,1)</f>
        <v>0.40518538407760396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6" s="9">
        <f>MAX(kmin, kmax - 0.15 * MIN(Games[[#This Row],[GamesPlayed]], 82))</f>
        <v>72.849999999999994</v>
      </c>
      <c r="Z246" s="4">
        <f>Games[[#This Row],[K]]*Games[[#This Row],[POMult]]</f>
        <v>72.849999999999994</v>
      </c>
      <c r="AA246" s="4">
        <f>(Games[[#This Row],[Keff]]*Games[[#This Row],[MOVMult]])*(Games[[#This Row],[Result]]-Games[[#This Row],[ExpectedWin%]])</f>
        <v>-7.514929164967409</v>
      </c>
      <c r="AB246" s="4">
        <f>Games[[#This Row],[PreGmRate]]+Games[[#This Row],[RatingChange]]</f>
        <v>1522.1878501910569</v>
      </c>
      <c r="AC246" s="2">
        <f>IF(Games[[#This Row],[Type]]="R",IF(Games[[#This Row],[Result]]&gt;0.5,1,0),0)</f>
        <v>0</v>
      </c>
      <c r="AD246" s="2">
        <f>IF(Games[[#This Row],[Type]]="R",IF(Games[[#This Row],[Result]]&lt;0.5,1,0),0)</f>
        <v>1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45127</v>
      </c>
      <c r="B247" s="2">
        <v>2023</v>
      </c>
      <c r="C247" s="2">
        <f>COUNTIFS(Games[Team],Games[[#This Row],[Team]],Games[Season],Games[[#This Row],[Season]],Games[Date],"&lt;=" &amp; Games[[#This Row],[Date]])</f>
        <v>22</v>
      </c>
      <c r="D247" s="2" t="s">
        <v>79</v>
      </c>
      <c r="E247" s="2" t="s">
        <v>80</v>
      </c>
      <c r="F247" s="1" t="s">
        <v>74</v>
      </c>
      <c r="G247" s="1" t="s">
        <v>77</v>
      </c>
      <c r="H247" s="1" t="s">
        <v>82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7" s="2">
        <f>Games[[#This Row],[DaysOff]]-Games[[#This Row],[OppDaysOff]]</f>
        <v>0</v>
      </c>
      <c r="L247" s="2">
        <f>Games[[#This Row],[OppDaysOff]]-Games[[#This Row],[DaysOff]]</f>
        <v>0</v>
      </c>
      <c r="M247" s="1">
        <f>MAX(-16, MIN(16, Games[[#This Row],[RestDiff]]*8))</f>
        <v>0</v>
      </c>
      <c r="N247" s="1">
        <f>MAX(-16, MIN(16, Games[[#This Row],[OppRestDiff]]*8))</f>
        <v>0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1632.3242090768681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1529.7027793560244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0.74540986919912866</v>
      </c>
      <c r="R247" s="1">
        <v>82</v>
      </c>
      <c r="S247" s="1">
        <v>71</v>
      </c>
      <c r="T247" s="1">
        <v>0</v>
      </c>
      <c r="U247" s="1">
        <f>Games[[#This Row],[PointsFor]]-Games[[#This Row],[PointsAgainst]]</f>
        <v>11</v>
      </c>
      <c r="V247" s="1">
        <f>IF(Games[[#This Row],[MOV]]&gt;0,1,IF(Games[[#This Row],[MOV]]=0,0.5,0))</f>
        <v>1</v>
      </c>
      <c r="W247" s="4">
        <f>((ABS(Games[[#This Row],[MOV]])+5)^0.6)/(12+0.01*(ABS(Games[[#This Row],[PreGmRate]]-Games[[#This Row],[OppPreGmRate]])))*IF(Games[[#This Row],[OT]]=1,0.9,1)</f>
        <v>0.40518538407760396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7" s="9">
        <f>MAX(kmin, kmax - 0.15 * MIN(Games[[#This Row],[GamesPlayed]], 82))</f>
        <v>72.7</v>
      </c>
      <c r="Z247" s="4">
        <f>Games[[#This Row],[K]]*Games[[#This Row],[POMult]]</f>
        <v>72.7</v>
      </c>
      <c r="AA247" s="4">
        <f>(Games[[#This Row],[Keff]]*Games[[#This Row],[MOVMult]])*(Games[[#This Row],[Result]]-Games[[#This Row],[ExpectedWin%]])</f>
        <v>7.499455734977774</v>
      </c>
      <c r="AB247" s="4">
        <f>Games[[#This Row],[PreGmRate]]+Games[[#This Row],[RatingChange]]</f>
        <v>1639.8236648118459</v>
      </c>
      <c r="AC247" s="2">
        <f>IF(Games[[#This Row],[Type]]="R",IF(Games[[#This Row],[Result]]&gt;0.5,1,0),0)</f>
        <v>1</v>
      </c>
      <c r="AD247" s="2">
        <f>IF(Games[[#This Row],[Type]]="R",IF(Games[[#This Row],[Result]]&lt;0.5,1,0),0)</f>
        <v>0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45127</v>
      </c>
      <c r="B248" s="2">
        <v>2023</v>
      </c>
      <c r="C248" s="2">
        <f>COUNTIFS(Games[Team],Games[[#This Row],[Team]],Games[Season],Games[[#This Row],[Season]],Games[Date],"&lt;=" &amp; Games[[#This Row],[Date]])</f>
        <v>21</v>
      </c>
      <c r="D248" s="2" t="s">
        <v>79</v>
      </c>
      <c r="E248" s="2" t="s">
        <v>80</v>
      </c>
      <c r="F248" s="1" t="s">
        <v>63</v>
      </c>
      <c r="G248" s="1" t="s">
        <v>67</v>
      </c>
      <c r="H248" s="1" t="s">
        <v>81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7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8" s="2">
        <f>Games[[#This Row],[DaysOff]]-Games[[#This Row],[OppDaysOff]]</f>
        <v>6</v>
      </c>
      <c r="L248" s="2">
        <f>Games[[#This Row],[OppDaysOff]]-Games[[#This Row],[DaysOff]]</f>
        <v>-6</v>
      </c>
      <c r="M248" s="1">
        <f>MAX(-16, MIN(16, Games[[#This Row],[RestDiff]]*8))</f>
        <v>16</v>
      </c>
      <c r="N248" s="1">
        <f>MAX(-16, MIN(16, Games[[#This Row],[OppRestDiff]]*8))</f>
        <v>-16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1384.931550015149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1440.3366496698525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0.35017422925857838</v>
      </c>
      <c r="R248" s="1">
        <v>70</v>
      </c>
      <c r="S248" s="1">
        <v>73</v>
      </c>
      <c r="T248" s="1">
        <v>0</v>
      </c>
      <c r="U248" s="1">
        <f>Games[[#This Row],[PointsFor]]-Games[[#This Row],[PointsAgainst]]</f>
        <v>-3</v>
      </c>
      <c r="V248" s="1">
        <f>IF(Games[[#This Row],[MOV]]&gt;0,1,IF(Games[[#This Row],[MOV]]=0,0.5,0))</f>
        <v>0</v>
      </c>
      <c r="W248" s="4">
        <f>((ABS(Games[[#This Row],[MOV]])+5)^0.6)/(12+0.01*(ABS(Games[[#This Row],[PreGmRate]]-Games[[#This Row],[OppPreGmRate]])))*IF(Games[[#This Row],[OT]]=1,0.9,1)</f>
        <v>0.27737678094045248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8" s="9">
        <f>MAX(kmin, kmax - 0.15 * MIN(Games[[#This Row],[GamesPlayed]], 82))</f>
        <v>72.849999999999994</v>
      </c>
      <c r="Z248" s="4">
        <f>Games[[#This Row],[K]]*Games[[#This Row],[POMult]]</f>
        <v>72.849999999999994</v>
      </c>
      <c r="AA248" s="4">
        <f>(Games[[#This Row],[Keff]]*Games[[#This Row],[MOVMult]])*(Games[[#This Row],[Result]]-Games[[#This Row],[ExpectedWin%]])</f>
        <v>-7.0759351049715313</v>
      </c>
      <c r="AB248" s="4">
        <f>Games[[#This Row],[PreGmRate]]+Games[[#This Row],[RatingChange]]</f>
        <v>1377.8556149101776</v>
      </c>
      <c r="AC248" s="2">
        <f>IF(Games[[#This Row],[Type]]="R",IF(Games[[#This Row],[Result]]&gt;0.5,1,0),0)</f>
        <v>0</v>
      </c>
      <c r="AD248" s="2">
        <f>IF(Games[[#This Row],[Type]]="R",IF(Games[[#This Row],[Result]]&lt;0.5,1,0),0)</f>
        <v>1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45127</v>
      </c>
      <c r="B249" s="2">
        <v>2023</v>
      </c>
      <c r="C249" s="2">
        <f>COUNTIFS(Games[Team],Games[[#This Row],[Team]],Games[Season],Games[[#This Row],[Season]],Games[Date],"&lt;=" &amp; Games[[#This Row],[Date]])</f>
        <v>22</v>
      </c>
      <c r="D249" s="2" t="s">
        <v>79</v>
      </c>
      <c r="E249" s="2" t="s">
        <v>80</v>
      </c>
      <c r="F249" s="1" t="s">
        <v>67</v>
      </c>
      <c r="G249" s="1" t="s">
        <v>63</v>
      </c>
      <c r="H249" s="1" t="s">
        <v>82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49" s="2">
        <f>Games[[#This Row],[DaysOff]]-Games[[#This Row],[OppDaysOff]]</f>
        <v>-6</v>
      </c>
      <c r="L249" s="2">
        <f>Games[[#This Row],[OppDaysOff]]-Games[[#This Row],[DaysOff]]</f>
        <v>6</v>
      </c>
      <c r="M249" s="1">
        <f>MAX(-16, MIN(16, Games[[#This Row],[RestDiff]]*8))</f>
        <v>-16</v>
      </c>
      <c r="N249" s="1">
        <f>MAX(-16, MIN(16, Games[[#This Row],[OppRestDiff]]*8))</f>
        <v>16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1440.3366496698525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1384.931550015149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0.64982577074142167</v>
      </c>
      <c r="R249" s="1">
        <v>73</v>
      </c>
      <c r="S249" s="1">
        <v>70</v>
      </c>
      <c r="T249" s="1">
        <v>0</v>
      </c>
      <c r="U249" s="1">
        <f>Games[[#This Row],[PointsFor]]-Games[[#This Row],[PointsAgainst]]</f>
        <v>3</v>
      </c>
      <c r="V249" s="1">
        <f>IF(Games[[#This Row],[MOV]]&gt;0,1,IF(Games[[#This Row],[MOV]]=0,0.5,0))</f>
        <v>1</v>
      </c>
      <c r="W249" s="4">
        <f>((ABS(Games[[#This Row],[MOV]])+5)^0.6)/(12+0.01*(ABS(Games[[#This Row],[PreGmRate]]-Games[[#This Row],[OppPreGmRate]])))*IF(Games[[#This Row],[OT]]=1,0.9,1)</f>
        <v>0.27737678094045248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9" s="9">
        <f>MAX(kmin, kmax - 0.15 * MIN(Games[[#This Row],[GamesPlayed]], 82))</f>
        <v>72.7</v>
      </c>
      <c r="Z249" s="4">
        <f>Games[[#This Row],[K]]*Games[[#This Row],[POMult]]</f>
        <v>72.7</v>
      </c>
      <c r="AA249" s="4">
        <f>(Games[[#This Row],[Keff]]*Games[[#This Row],[MOVMult]])*(Games[[#This Row],[Result]]-Games[[#This Row],[ExpectedWin%]])</f>
        <v>7.061365574899523</v>
      </c>
      <c r="AB249" s="4">
        <f>Games[[#This Row],[PreGmRate]]+Games[[#This Row],[RatingChange]]</f>
        <v>1447.3980152447521</v>
      </c>
      <c r="AC249" s="2">
        <f>IF(Games[[#This Row],[Type]]="R",IF(Games[[#This Row],[Result]]&gt;0.5,1,0),0)</f>
        <v>1</v>
      </c>
      <c r="AD249" s="2">
        <f>IF(Games[[#This Row],[Type]]="R",IF(Games[[#This Row],[Result]]&lt;0.5,1,0),0)</f>
        <v>0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45127</v>
      </c>
      <c r="B250" s="2">
        <v>2023</v>
      </c>
      <c r="C250" s="2">
        <f>COUNTIFS(Games[Team],Games[[#This Row],[Team]],Games[Season],Games[[#This Row],[Season]],Games[Date],"&lt;=" &amp; Games[[#This Row],[Date]])</f>
        <v>21</v>
      </c>
      <c r="D250" s="2" t="s">
        <v>79</v>
      </c>
      <c r="E250" s="2" t="s">
        <v>80</v>
      </c>
      <c r="F250" s="1" t="s">
        <v>75</v>
      </c>
      <c r="G250" s="1" t="s">
        <v>40</v>
      </c>
      <c r="H250" s="1" t="s">
        <v>81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7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0" s="2">
        <f>Games[[#This Row],[DaysOff]]-Games[[#This Row],[OppDaysOff]]</f>
        <v>6</v>
      </c>
      <c r="L250" s="2">
        <f>Games[[#This Row],[OppDaysOff]]-Games[[#This Row],[DaysOff]]</f>
        <v>-6</v>
      </c>
      <c r="M250" s="1">
        <f>MAX(-16, MIN(16, Games[[#This Row],[RestDiff]]*8))</f>
        <v>16</v>
      </c>
      <c r="N250" s="1">
        <f>MAX(-16, MIN(16, Games[[#This Row],[OppRestDiff]]*8))</f>
        <v>-16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1456.7126350169469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1373.570157901903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0.54469798296529226</v>
      </c>
      <c r="R250" s="1">
        <v>62</v>
      </c>
      <c r="S250" s="1">
        <v>80</v>
      </c>
      <c r="T250" s="1">
        <v>0</v>
      </c>
      <c r="U250" s="1">
        <f>Games[[#This Row],[PointsFor]]-Games[[#This Row],[PointsAgainst]]</f>
        <v>-18</v>
      </c>
      <c r="V250" s="1">
        <f>IF(Games[[#This Row],[MOV]]&gt;0,1,IF(Games[[#This Row],[MOV]]=0,0.5,0))</f>
        <v>0</v>
      </c>
      <c r="W250" s="4">
        <f>((ABS(Games[[#This Row],[MOV]])+5)^0.6)/(12+0.01*(ABS(Games[[#This Row],[PreGmRate]]-Games[[#This Row],[OppPreGmRate]])))*IF(Games[[#This Row],[OT]]=1,0.9,1)</f>
        <v>0.5114012903905697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0" s="9">
        <f>MAX(kmin, kmax - 0.15 * MIN(Games[[#This Row],[GamesPlayed]], 82))</f>
        <v>72.849999999999994</v>
      </c>
      <c r="Z250" s="4">
        <f>Games[[#This Row],[K]]*Games[[#This Row],[POMult]]</f>
        <v>72.849999999999994</v>
      </c>
      <c r="AA250" s="4">
        <f>(Games[[#This Row],[Keff]]*Games[[#This Row],[MOVMult]])*(Games[[#This Row],[Result]]-Games[[#This Row],[ExpectedWin%]])</f>
        <v>-20.293041461691903</v>
      </c>
      <c r="AB250" s="4">
        <f>Games[[#This Row],[PreGmRate]]+Games[[#This Row],[RatingChange]]</f>
        <v>1436.419593555255</v>
      </c>
      <c r="AC250" s="2">
        <f>IF(Games[[#This Row],[Type]]="R",IF(Games[[#This Row],[Result]]&gt;0.5,1,0),0)</f>
        <v>0</v>
      </c>
      <c r="AD250" s="2">
        <f>IF(Games[[#This Row],[Type]]="R",IF(Games[[#This Row],[Result]]&lt;0.5,1,0),0)</f>
        <v>1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45127</v>
      </c>
      <c r="B251" s="2">
        <v>2023</v>
      </c>
      <c r="C251" s="2">
        <f>COUNTIFS(Games[Team],Games[[#This Row],[Team]],Games[Season],Games[[#This Row],[Season]],Games[Date],"&lt;=" &amp; Games[[#This Row],[Date]])</f>
        <v>21</v>
      </c>
      <c r="D251" s="2" t="s">
        <v>79</v>
      </c>
      <c r="E251" s="2" t="s">
        <v>80</v>
      </c>
      <c r="F251" s="1" t="s">
        <v>40</v>
      </c>
      <c r="G251" s="1" t="s">
        <v>75</v>
      </c>
      <c r="H251" s="1" t="s">
        <v>82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51" s="2">
        <f>Games[[#This Row],[DaysOff]]-Games[[#This Row],[OppDaysOff]]</f>
        <v>-6</v>
      </c>
      <c r="L251" s="2">
        <f>Games[[#This Row],[OppDaysOff]]-Games[[#This Row],[DaysOff]]</f>
        <v>6</v>
      </c>
      <c r="M251" s="1">
        <f>MAX(-16, MIN(16, Games[[#This Row],[RestDiff]]*8))</f>
        <v>-16</v>
      </c>
      <c r="N251" s="1">
        <f>MAX(-16, MIN(16, Games[[#This Row],[OppRestDiff]]*8))</f>
        <v>16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1373.570157901903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1456.7126350169469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0.45530201703470768</v>
      </c>
      <c r="R251" s="1">
        <v>80</v>
      </c>
      <c r="S251" s="1">
        <v>62</v>
      </c>
      <c r="T251" s="1">
        <v>0</v>
      </c>
      <c r="U251" s="1">
        <f>Games[[#This Row],[PointsFor]]-Games[[#This Row],[PointsAgainst]]</f>
        <v>18</v>
      </c>
      <c r="V251" s="1">
        <f>IF(Games[[#This Row],[MOV]]&gt;0,1,IF(Games[[#This Row],[MOV]]=0,0.5,0))</f>
        <v>1</v>
      </c>
      <c r="W251" s="4">
        <f>((ABS(Games[[#This Row],[MOV]])+5)^0.6)/(12+0.01*(ABS(Games[[#This Row],[PreGmRate]]-Games[[#This Row],[OppPreGmRate]])))*IF(Games[[#This Row],[OT]]=1,0.9,1)</f>
        <v>0.5114012903905697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1" s="9">
        <f>MAX(kmin, kmax - 0.15 * MIN(Games[[#This Row],[GamesPlayed]], 82))</f>
        <v>72.849999999999994</v>
      </c>
      <c r="Z251" s="4">
        <f>Games[[#This Row],[K]]*Games[[#This Row],[POMult]]</f>
        <v>72.849999999999994</v>
      </c>
      <c r="AA251" s="4">
        <f>(Games[[#This Row],[Keff]]*Games[[#This Row],[MOVMult]])*(Games[[#This Row],[Result]]-Games[[#This Row],[ExpectedWin%]])</f>
        <v>20.293041461691903</v>
      </c>
      <c r="AB251" s="4">
        <f>Games[[#This Row],[PreGmRate]]+Games[[#This Row],[RatingChange]]</f>
        <v>1393.863199363595</v>
      </c>
      <c r="AC251" s="2">
        <f>IF(Games[[#This Row],[Type]]="R",IF(Games[[#This Row],[Result]]&gt;0.5,1,0),0)</f>
        <v>1</v>
      </c>
      <c r="AD251" s="2">
        <f>IF(Games[[#This Row],[Type]]="R",IF(Games[[#This Row],[Result]]&lt;0.5,1,0),0)</f>
        <v>0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45127</v>
      </c>
      <c r="B252" s="2">
        <v>2023</v>
      </c>
      <c r="C252" s="2">
        <f>COUNTIFS(Games[Team],Games[[#This Row],[Team]],Games[Season],Games[[#This Row],[Season]],Games[Date],"&lt;=" &amp; Games[[#This Row],[Date]])</f>
        <v>22</v>
      </c>
      <c r="D252" s="2" t="s">
        <v>79</v>
      </c>
      <c r="E252" s="2" t="s">
        <v>80</v>
      </c>
      <c r="F252" s="1" t="s">
        <v>86</v>
      </c>
      <c r="G252" s="1" t="s">
        <v>71</v>
      </c>
      <c r="H252" s="1" t="s">
        <v>81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7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52" s="2">
        <f>Games[[#This Row],[DaysOff]]-Games[[#This Row],[OppDaysOff]]</f>
        <v>0</v>
      </c>
      <c r="L252" s="2">
        <f>Games[[#This Row],[OppDaysOff]]-Games[[#This Row],[DaysOff]]</f>
        <v>0</v>
      </c>
      <c r="M252" s="1">
        <f>MAX(-16, MIN(16, Games[[#This Row],[RestDiff]]*8))</f>
        <v>0</v>
      </c>
      <c r="N252" s="1">
        <f>MAX(-16, MIN(16, Games[[#This Row],[OppRestDiff]]*8))</f>
        <v>0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1734.7778325311203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1406.5757645893298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0.80309317654543133</v>
      </c>
      <c r="R252" s="1">
        <v>79</v>
      </c>
      <c r="S252" s="1">
        <v>63</v>
      </c>
      <c r="T252" s="1">
        <v>0</v>
      </c>
      <c r="U252" s="1">
        <f>Games[[#This Row],[PointsFor]]-Games[[#This Row],[PointsAgainst]]</f>
        <v>16</v>
      </c>
      <c r="V252" s="1">
        <f>IF(Games[[#This Row],[MOV]]&gt;0,1,IF(Games[[#This Row],[MOV]]=0,0.5,0))</f>
        <v>1</v>
      </c>
      <c r="W252" s="4">
        <f>((ABS(Games[[#This Row],[MOV]])+5)^0.6)/(12+0.01*(ABS(Games[[#This Row],[PreGmRate]]-Games[[#This Row],[OppPreGmRate]])))*IF(Games[[#This Row],[OT]]=1,0.9,1)</f>
        <v>0.40658447712540413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2" s="9">
        <f>MAX(kmin, kmax - 0.15 * MIN(Games[[#This Row],[GamesPlayed]], 82))</f>
        <v>72.7</v>
      </c>
      <c r="Z252" s="4">
        <f>Games[[#This Row],[K]]*Games[[#This Row],[POMult]]</f>
        <v>72.7</v>
      </c>
      <c r="AA252" s="4">
        <f>(Games[[#This Row],[Keff]]*Games[[#This Row],[MOVMult]])*(Games[[#This Row],[Result]]-Games[[#This Row],[ExpectedWin%]])</f>
        <v>5.8203080461820944</v>
      </c>
      <c r="AB252" s="4">
        <f>Games[[#This Row],[PreGmRate]]+Games[[#This Row],[RatingChange]]</f>
        <v>1740.5981405773025</v>
      </c>
      <c r="AC252" s="2">
        <f>IF(Games[[#This Row],[Type]]="R",IF(Games[[#This Row],[Result]]&gt;0.5,1,0),0)</f>
        <v>1</v>
      </c>
      <c r="AD252" s="2">
        <f>IF(Games[[#This Row],[Type]]="R",IF(Games[[#This Row],[Result]]&lt;0.5,1,0),0)</f>
        <v>0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45127</v>
      </c>
      <c r="B253" s="2">
        <v>2023</v>
      </c>
      <c r="C253" s="2">
        <f>COUNTIFS(Games[Team],Games[[#This Row],[Team]],Games[Season],Games[[#This Row],[Season]],Games[Date],"&lt;=" &amp; Games[[#This Row],[Date]])</f>
        <v>21</v>
      </c>
      <c r="D253" s="2" t="s">
        <v>79</v>
      </c>
      <c r="E253" s="2" t="s">
        <v>80</v>
      </c>
      <c r="F253" s="1" t="s">
        <v>71</v>
      </c>
      <c r="G253" s="1" t="s">
        <v>86</v>
      </c>
      <c r="H253" s="1" t="s">
        <v>82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7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53" s="2">
        <f>Games[[#This Row],[DaysOff]]-Games[[#This Row],[OppDaysOff]]</f>
        <v>0</v>
      </c>
      <c r="L253" s="2">
        <f>Games[[#This Row],[OppDaysOff]]-Games[[#This Row],[DaysOff]]</f>
        <v>0</v>
      </c>
      <c r="M253" s="1">
        <f>MAX(-16, MIN(16, Games[[#This Row],[RestDiff]]*8))</f>
        <v>0</v>
      </c>
      <c r="N253" s="1">
        <f>MAX(-16, MIN(16, Games[[#This Row],[OppRestDiff]]*8))</f>
        <v>0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1406.5757645893298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1734.7778325311203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0.19690682345456861</v>
      </c>
      <c r="R253" s="1">
        <v>63</v>
      </c>
      <c r="S253" s="1">
        <v>79</v>
      </c>
      <c r="T253" s="1">
        <v>0</v>
      </c>
      <c r="U253" s="1">
        <f>Games[[#This Row],[PointsFor]]-Games[[#This Row],[PointsAgainst]]</f>
        <v>-16</v>
      </c>
      <c r="V253" s="1">
        <f>IF(Games[[#This Row],[MOV]]&gt;0,1,IF(Games[[#This Row],[MOV]]=0,0.5,0))</f>
        <v>0</v>
      </c>
      <c r="W253" s="4">
        <f>((ABS(Games[[#This Row],[MOV]])+5)^0.6)/(12+0.01*(ABS(Games[[#This Row],[PreGmRate]]-Games[[#This Row],[OppPreGmRate]])))*IF(Games[[#This Row],[OT]]=1,0.9,1)</f>
        <v>0.40658447712540413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3" s="9">
        <f>MAX(kmin, kmax - 0.15 * MIN(Games[[#This Row],[GamesPlayed]], 82))</f>
        <v>72.849999999999994</v>
      </c>
      <c r="Z253" s="4">
        <f>Games[[#This Row],[K]]*Games[[#This Row],[POMult]]</f>
        <v>72.849999999999994</v>
      </c>
      <c r="AA253" s="4">
        <f>(Games[[#This Row],[Keff]]*Games[[#This Row],[MOVMult]])*(Games[[#This Row],[Result]]-Games[[#This Row],[ExpectedWin%]])</f>
        <v>-5.8323169348605983</v>
      </c>
      <c r="AB253" s="4">
        <f>Games[[#This Row],[PreGmRate]]+Games[[#This Row],[RatingChange]]</f>
        <v>1400.7434476544693</v>
      </c>
      <c r="AC253" s="2">
        <f>IF(Games[[#This Row],[Type]]="R",IF(Games[[#This Row],[Result]]&gt;0.5,1,0),0)</f>
        <v>0</v>
      </c>
      <c r="AD253" s="2">
        <f>IF(Games[[#This Row],[Type]]="R",IF(Games[[#This Row],[Result]]&lt;0.5,1,0),0)</f>
        <v>1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45128</v>
      </c>
      <c r="B254" s="2">
        <v>2023</v>
      </c>
      <c r="C254" s="2">
        <f>COUNTIFS(Games[Team],Games[[#This Row],[Team]],Games[Season],Games[[#This Row],[Season]],Games[Date],"&lt;=" &amp; Games[[#This Row],[Date]])</f>
        <v>20</v>
      </c>
      <c r="D254" s="2" t="s">
        <v>79</v>
      </c>
      <c r="E254" s="2" t="s">
        <v>80</v>
      </c>
      <c r="F254" s="1" t="s">
        <v>60</v>
      </c>
      <c r="G254" s="1" t="s">
        <v>65</v>
      </c>
      <c r="H254" s="1" t="s">
        <v>81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4" s="2">
        <f>Games[[#This Row],[DaysOff]]-Games[[#This Row],[OppDaysOff]]</f>
        <v>0</v>
      </c>
      <c r="L254" s="2">
        <f>Games[[#This Row],[OppDaysOff]]-Games[[#This Row],[DaysOff]]</f>
        <v>0</v>
      </c>
      <c r="M254" s="1">
        <f>MAX(-16, MIN(16, Games[[#This Row],[RestDiff]]*8))</f>
        <v>0</v>
      </c>
      <c r="N254" s="1">
        <f>MAX(-16, MIN(16, Games[[#This Row],[OppRestDiff]]*8))</f>
        <v>0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1584.9956433212487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1527.6273298490969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0.4617488085549844</v>
      </c>
      <c r="R254" s="1">
        <v>96</v>
      </c>
      <c r="S254" s="1">
        <v>87</v>
      </c>
      <c r="T254" s="1">
        <v>0</v>
      </c>
      <c r="U254" s="1">
        <f>Games[[#This Row],[PointsFor]]-Games[[#This Row],[PointsAgainst]]</f>
        <v>9</v>
      </c>
      <c r="V254" s="1">
        <f>IF(Games[[#This Row],[MOV]]&gt;0,1,IF(Games[[#This Row],[MOV]]=0,0.5,0))</f>
        <v>1</v>
      </c>
      <c r="W254" s="4">
        <f>((ABS(Games[[#This Row],[MOV]])+5)^0.6)/(12+0.01*(ABS(Games[[#This Row],[PreGmRate]]-Games[[#This Row],[OppPreGmRate]])))*IF(Games[[#This Row],[OT]]=1,0.9,1)</f>
        <v>0.38744879074565697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4" s="9">
        <f>MAX(kmin, kmax - 0.15 * MIN(Games[[#This Row],[GamesPlayed]], 82))</f>
        <v>73</v>
      </c>
      <c r="Z254" s="4">
        <f>Games[[#This Row],[K]]*Games[[#This Row],[POMult]]</f>
        <v>73</v>
      </c>
      <c r="AA254" s="4">
        <f>(Games[[#This Row],[Keff]]*Games[[#This Row],[MOVMult]])*(Games[[#This Row],[Result]]-Games[[#This Row],[ExpectedWin%]])</f>
        <v>15.223768446722971</v>
      </c>
      <c r="AB254" s="4">
        <f>Games[[#This Row],[PreGmRate]]+Games[[#This Row],[RatingChange]]</f>
        <v>1600.2194117679717</v>
      </c>
      <c r="AC254" s="2">
        <f>IF(Games[[#This Row],[Type]]="R",IF(Games[[#This Row],[Result]]&gt;0.5,1,0),0)</f>
        <v>1</v>
      </c>
      <c r="AD254" s="2">
        <f>IF(Games[[#This Row],[Type]]="R",IF(Games[[#This Row],[Result]]&lt;0.5,1,0),0)</f>
        <v>0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45128</v>
      </c>
      <c r="B255" s="2">
        <v>2023</v>
      </c>
      <c r="C255" s="2">
        <f>COUNTIFS(Games[Team],Games[[#This Row],[Team]],Games[Season],Games[[#This Row],[Season]],Games[Date],"&lt;=" &amp; Games[[#This Row],[Date]])</f>
        <v>21</v>
      </c>
      <c r="D255" s="2" t="s">
        <v>79</v>
      </c>
      <c r="E255" s="2" t="s">
        <v>80</v>
      </c>
      <c r="F255" s="1" t="s">
        <v>65</v>
      </c>
      <c r="G255" s="1" t="s">
        <v>60</v>
      </c>
      <c r="H255" s="1" t="s">
        <v>82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5" s="2">
        <f>Games[[#This Row],[DaysOff]]-Games[[#This Row],[OppDaysOff]]</f>
        <v>0</v>
      </c>
      <c r="L255" s="2">
        <f>Games[[#This Row],[OppDaysOff]]-Games[[#This Row],[DaysOff]]</f>
        <v>0</v>
      </c>
      <c r="M255" s="1">
        <f>MAX(-16, MIN(16, Games[[#This Row],[RestDiff]]*8))</f>
        <v>0</v>
      </c>
      <c r="N255" s="1">
        <f>MAX(-16, MIN(16, Games[[#This Row],[OppRestDiff]]*8))</f>
        <v>0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1527.6273298490969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1584.9956433212487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0.53825119144501554</v>
      </c>
      <c r="R255" s="1">
        <v>87</v>
      </c>
      <c r="S255" s="1">
        <v>96</v>
      </c>
      <c r="T255" s="1">
        <v>0</v>
      </c>
      <c r="U255" s="1">
        <f>Games[[#This Row],[PointsFor]]-Games[[#This Row],[PointsAgainst]]</f>
        <v>-9</v>
      </c>
      <c r="V255" s="1">
        <f>IF(Games[[#This Row],[MOV]]&gt;0,1,IF(Games[[#This Row],[MOV]]=0,0.5,0))</f>
        <v>0</v>
      </c>
      <c r="W255" s="4">
        <f>((ABS(Games[[#This Row],[MOV]])+5)^0.6)/(12+0.01*(ABS(Games[[#This Row],[PreGmRate]]-Games[[#This Row],[OppPreGmRate]])))*IF(Games[[#This Row],[OT]]=1,0.9,1)</f>
        <v>0.38744879074565697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5" s="9">
        <f>MAX(kmin, kmax - 0.15 * MIN(Games[[#This Row],[GamesPlayed]], 82))</f>
        <v>72.849999999999994</v>
      </c>
      <c r="Z255" s="4">
        <f>Games[[#This Row],[K]]*Games[[#This Row],[POMult]]</f>
        <v>72.849999999999994</v>
      </c>
      <c r="AA255" s="4">
        <f>(Games[[#This Row],[Keff]]*Games[[#This Row],[MOVMult]])*(Games[[#This Row],[Result]]-Games[[#This Row],[ExpectedWin%]])</f>
        <v>-15.192486730736549</v>
      </c>
      <c r="AB255" s="4">
        <f>Games[[#This Row],[PreGmRate]]+Games[[#This Row],[RatingChange]]</f>
        <v>1512.4348431183603</v>
      </c>
      <c r="AC255" s="2">
        <f>IF(Games[[#This Row],[Type]]="R",IF(Games[[#This Row],[Result]]&gt;0.5,1,0),0)</f>
        <v>0</v>
      </c>
      <c r="AD255" s="2">
        <f>IF(Games[[#This Row],[Type]]="R",IF(Games[[#This Row],[Result]]&lt;0.5,1,0),0)</f>
        <v>1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45129</v>
      </c>
      <c r="B256" s="2">
        <v>2023</v>
      </c>
      <c r="C256" s="2">
        <f>COUNTIFS(Games[Team],Games[[#This Row],[Team]],Games[Season],Games[[#This Row],[Season]],Games[Date],"&lt;=" &amp; Games[[#This Row],[Date]])</f>
        <v>23</v>
      </c>
      <c r="D256" s="2" t="s">
        <v>79</v>
      </c>
      <c r="E256" s="2" t="s">
        <v>80</v>
      </c>
      <c r="F256" s="1" t="s">
        <v>74</v>
      </c>
      <c r="G256" s="1" t="s">
        <v>77</v>
      </c>
      <c r="H256" s="1" t="s">
        <v>81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6" s="2">
        <f>Games[[#This Row],[DaysOff]]-Games[[#This Row],[OppDaysOff]]</f>
        <v>0</v>
      </c>
      <c r="L256" s="2">
        <f>Games[[#This Row],[OppDaysOff]]-Games[[#This Row],[DaysOff]]</f>
        <v>0</v>
      </c>
      <c r="M256" s="1">
        <f>MAX(-16, MIN(16, Games[[#This Row],[RestDiff]]*8))</f>
        <v>0</v>
      </c>
      <c r="N256" s="1">
        <f>MAX(-16, MIN(16, Games[[#This Row],[OppRestDiff]]*8))</f>
        <v>0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1639.8236648118459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1522.1878501910569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0.54825516532078056</v>
      </c>
      <c r="R256" s="1">
        <v>86</v>
      </c>
      <c r="S256" s="1">
        <v>78</v>
      </c>
      <c r="T256" s="1">
        <v>0</v>
      </c>
      <c r="U256" s="1">
        <f>Games[[#This Row],[PointsFor]]-Games[[#This Row],[PointsAgainst]]</f>
        <v>8</v>
      </c>
      <c r="V256" s="1">
        <f>IF(Games[[#This Row],[MOV]]&gt;0,1,IF(Games[[#This Row],[MOV]]=0,0.5,0))</f>
        <v>1</v>
      </c>
      <c r="W256" s="4">
        <f>((ABS(Games[[#This Row],[MOV]])+5)^0.6)/(12+0.01*(ABS(Games[[#This Row],[PreGmRate]]-Games[[#This Row],[OppPreGmRate]])))*IF(Games[[#This Row],[OT]]=1,0.9,1)</f>
        <v>0.35364752295968338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6" s="9">
        <f>MAX(kmin, kmax - 0.15 * MIN(Games[[#This Row],[GamesPlayed]], 82))</f>
        <v>72.55</v>
      </c>
      <c r="Z256" s="4">
        <f>Games[[#This Row],[K]]*Games[[#This Row],[POMult]]</f>
        <v>72.55</v>
      </c>
      <c r="AA256" s="4">
        <f>(Games[[#This Row],[Keff]]*Games[[#This Row],[MOVMult]])*(Games[[#This Row],[Result]]-Games[[#This Row],[ExpectedWin%]])</f>
        <v>11.590474952164685</v>
      </c>
      <c r="AB256" s="4">
        <f>Games[[#This Row],[PreGmRate]]+Games[[#This Row],[RatingChange]]</f>
        <v>1651.4141397640105</v>
      </c>
      <c r="AC256" s="2">
        <f>IF(Games[[#This Row],[Type]]="R",IF(Games[[#This Row],[Result]]&gt;0.5,1,0),0)</f>
        <v>1</v>
      </c>
      <c r="AD256" s="2">
        <f>IF(Games[[#This Row],[Type]]="R",IF(Games[[#This Row],[Result]]&lt;0.5,1,0),0)</f>
        <v>0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45129</v>
      </c>
      <c r="B257" s="2">
        <v>2023</v>
      </c>
      <c r="C257" s="2">
        <f>COUNTIFS(Games[Team],Games[[#This Row],[Team]],Games[Season],Games[[#This Row],[Season]],Games[Date],"&lt;=" &amp; Games[[#This Row],[Date]])</f>
        <v>22</v>
      </c>
      <c r="D257" s="2" t="s">
        <v>79</v>
      </c>
      <c r="E257" s="2" t="s">
        <v>80</v>
      </c>
      <c r="F257" s="1" t="s">
        <v>77</v>
      </c>
      <c r="G257" s="1" t="s">
        <v>74</v>
      </c>
      <c r="H257" s="1" t="s">
        <v>82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7" s="2">
        <f>Games[[#This Row],[DaysOff]]-Games[[#This Row],[OppDaysOff]]</f>
        <v>0</v>
      </c>
      <c r="L257" s="2">
        <f>Games[[#This Row],[OppDaysOff]]-Games[[#This Row],[DaysOff]]</f>
        <v>0</v>
      </c>
      <c r="M257" s="1">
        <f>MAX(-16, MIN(16, Games[[#This Row],[RestDiff]]*8))</f>
        <v>0</v>
      </c>
      <c r="N257" s="1">
        <f>MAX(-16, MIN(16, Games[[#This Row],[OppRestDiff]]*8))</f>
        <v>0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1522.1878501910569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1639.8236648118459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0.45174483467921933</v>
      </c>
      <c r="R257" s="1">
        <v>78</v>
      </c>
      <c r="S257" s="1">
        <v>86</v>
      </c>
      <c r="T257" s="1">
        <v>0</v>
      </c>
      <c r="U257" s="1">
        <f>Games[[#This Row],[PointsFor]]-Games[[#This Row],[PointsAgainst]]</f>
        <v>-8</v>
      </c>
      <c r="V257" s="1">
        <f>IF(Games[[#This Row],[MOV]]&gt;0,1,IF(Games[[#This Row],[MOV]]=0,0.5,0))</f>
        <v>0</v>
      </c>
      <c r="W257" s="4">
        <f>((ABS(Games[[#This Row],[MOV]])+5)^0.6)/(12+0.01*(ABS(Games[[#This Row],[PreGmRate]]-Games[[#This Row],[OppPreGmRate]])))*IF(Games[[#This Row],[OT]]=1,0.9,1)</f>
        <v>0.35364752295968338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7" s="9">
        <f>MAX(kmin, kmax - 0.15 * MIN(Games[[#This Row],[GamesPlayed]], 82))</f>
        <v>72.7</v>
      </c>
      <c r="Z257" s="4">
        <f>Games[[#This Row],[K]]*Games[[#This Row],[POMult]]</f>
        <v>72.7</v>
      </c>
      <c r="AA257" s="4">
        <f>(Games[[#This Row],[Keff]]*Games[[#This Row],[MOVMult]])*(Games[[#This Row],[Result]]-Games[[#This Row],[ExpectedWin%]])</f>
        <v>-11.614438718433803</v>
      </c>
      <c r="AB257" s="4">
        <f>Games[[#This Row],[PreGmRate]]+Games[[#This Row],[RatingChange]]</f>
        <v>1510.5734114726231</v>
      </c>
      <c r="AC257" s="2">
        <f>IF(Games[[#This Row],[Type]]="R",IF(Games[[#This Row],[Result]]&gt;0.5,1,0),0)</f>
        <v>0</v>
      </c>
      <c r="AD257" s="2">
        <f>IF(Games[[#This Row],[Type]]="R",IF(Games[[#This Row],[Result]]&lt;0.5,1,0),0)</f>
        <v>1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45129</v>
      </c>
      <c r="B258" s="2">
        <v>2023</v>
      </c>
      <c r="C258" s="2">
        <f>COUNTIFS(Games[Team],Games[[#This Row],[Team]],Games[Season],Games[[#This Row],[Season]],Games[Date],"&lt;=" &amp; Games[[#This Row],[Date]])</f>
        <v>22</v>
      </c>
      <c r="D258" s="2" t="s">
        <v>79</v>
      </c>
      <c r="E258" s="2" t="s">
        <v>80</v>
      </c>
      <c r="F258" s="1" t="s">
        <v>63</v>
      </c>
      <c r="G258" s="1" t="s">
        <v>85</v>
      </c>
      <c r="H258" s="1" t="s">
        <v>81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8" s="2">
        <f>Games[[#This Row],[DaysOff]]-Games[[#This Row],[OppDaysOff]]</f>
        <v>-1</v>
      </c>
      <c r="L258" s="2">
        <f>Games[[#This Row],[OppDaysOff]]-Games[[#This Row],[DaysOff]]</f>
        <v>1</v>
      </c>
      <c r="M258" s="1">
        <f>MAX(-16, MIN(16, Games[[#This Row],[RestDiff]]*8))</f>
        <v>-8</v>
      </c>
      <c r="N258" s="1">
        <f>MAX(-16, MIN(16, Games[[#This Row],[OppRestDiff]]*8))</f>
        <v>8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1377.8556149101776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1563.5967394667618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0.16180509889251951</v>
      </c>
      <c r="R258" s="1">
        <v>84</v>
      </c>
      <c r="S258" s="1">
        <v>98</v>
      </c>
      <c r="T258" s="1">
        <v>0</v>
      </c>
      <c r="U258" s="1">
        <f>Games[[#This Row],[PointsFor]]-Games[[#This Row],[PointsAgainst]]</f>
        <v>-14</v>
      </c>
      <c r="V258" s="1">
        <f>IF(Games[[#This Row],[MOV]]&gt;0,1,IF(Games[[#This Row],[MOV]]=0,0.5,0))</f>
        <v>0</v>
      </c>
      <c r="W258" s="4">
        <f>((ABS(Games[[#This Row],[MOV]])+5)^0.6)/(12+0.01*(ABS(Games[[#This Row],[PreGmRate]]-Games[[#This Row],[OppPreGmRate]])))*IF(Games[[#This Row],[OT]]=1,0.9,1)</f>
        <v>0.42225038563978101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8" s="9">
        <f>MAX(kmin, kmax - 0.15 * MIN(Games[[#This Row],[GamesPlayed]], 82))</f>
        <v>72.7</v>
      </c>
      <c r="Z258" s="4">
        <f>Games[[#This Row],[K]]*Games[[#This Row],[POMult]]</f>
        <v>72.7</v>
      </c>
      <c r="AA258" s="4">
        <f>(Games[[#This Row],[Keff]]*Games[[#This Row],[MOVMult]])*(Games[[#This Row],[Result]]-Games[[#This Row],[ExpectedWin%]])</f>
        <v>-4.9670286950052418</v>
      </c>
      <c r="AB258" s="4">
        <f>Games[[#This Row],[PreGmRate]]+Games[[#This Row],[RatingChange]]</f>
        <v>1372.8885862151724</v>
      </c>
      <c r="AC258" s="2">
        <f>IF(Games[[#This Row],[Type]]="R",IF(Games[[#This Row],[Result]]&gt;0.5,1,0),0)</f>
        <v>0</v>
      </c>
      <c r="AD258" s="2">
        <f>IF(Games[[#This Row],[Type]]="R",IF(Games[[#This Row],[Result]]&lt;0.5,1,0),0)</f>
        <v>1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45129</v>
      </c>
      <c r="B259" s="2">
        <v>2023</v>
      </c>
      <c r="C259" s="2">
        <f>COUNTIFS(Games[Team],Games[[#This Row],[Team]],Games[Season],Games[[#This Row],[Season]],Games[Date],"&lt;=" &amp; Games[[#This Row],[Date]])</f>
        <v>22</v>
      </c>
      <c r="D259" s="2" t="s">
        <v>79</v>
      </c>
      <c r="E259" s="2" t="s">
        <v>80</v>
      </c>
      <c r="F259" s="1" t="s">
        <v>85</v>
      </c>
      <c r="G259" s="1" t="s">
        <v>63</v>
      </c>
      <c r="H259" s="1" t="s">
        <v>82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9" s="2">
        <f>Games[[#This Row],[DaysOff]]-Games[[#This Row],[OppDaysOff]]</f>
        <v>1</v>
      </c>
      <c r="L259" s="2">
        <f>Games[[#This Row],[OppDaysOff]]-Games[[#This Row],[DaysOff]]</f>
        <v>-1</v>
      </c>
      <c r="M259" s="1">
        <f>MAX(-16, MIN(16, Games[[#This Row],[RestDiff]]*8))</f>
        <v>8</v>
      </c>
      <c r="N259" s="1">
        <f>MAX(-16, MIN(16, Games[[#This Row],[OppRestDiff]]*8))</f>
        <v>-8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1563.5967394667618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1377.8556149101776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0.83819490110748052</v>
      </c>
      <c r="R259" s="1">
        <v>98</v>
      </c>
      <c r="S259" s="1">
        <v>84</v>
      </c>
      <c r="T259" s="1">
        <v>0</v>
      </c>
      <c r="U259" s="1">
        <f>Games[[#This Row],[PointsFor]]-Games[[#This Row],[PointsAgainst]]</f>
        <v>14</v>
      </c>
      <c r="V259" s="1">
        <f>IF(Games[[#This Row],[MOV]]&gt;0,1,IF(Games[[#This Row],[MOV]]=0,0.5,0))</f>
        <v>1</v>
      </c>
      <c r="W259" s="4">
        <f>((ABS(Games[[#This Row],[MOV]])+5)^0.6)/(12+0.01*(ABS(Games[[#This Row],[PreGmRate]]-Games[[#This Row],[OppPreGmRate]])))*IF(Games[[#This Row],[OT]]=1,0.9,1)</f>
        <v>0.42225038563978101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9" s="9">
        <f>MAX(kmin, kmax - 0.15 * MIN(Games[[#This Row],[GamesPlayed]], 82))</f>
        <v>72.7</v>
      </c>
      <c r="Z259" s="4">
        <f>Games[[#This Row],[K]]*Games[[#This Row],[POMult]]</f>
        <v>72.7</v>
      </c>
      <c r="AA259" s="4">
        <f>(Games[[#This Row],[Keff]]*Games[[#This Row],[MOVMult]])*(Games[[#This Row],[Result]]-Games[[#This Row],[ExpectedWin%]])</f>
        <v>4.9670286950052409</v>
      </c>
      <c r="AB259" s="4">
        <f>Games[[#This Row],[PreGmRate]]+Games[[#This Row],[RatingChange]]</f>
        <v>1568.563768161767</v>
      </c>
      <c r="AC259" s="2">
        <f>IF(Games[[#This Row],[Type]]="R",IF(Games[[#This Row],[Result]]&gt;0.5,1,0),0)</f>
        <v>1</v>
      </c>
      <c r="AD259" s="2">
        <f>IF(Games[[#This Row],[Type]]="R",IF(Games[[#This Row],[Result]]&lt;0.5,1,0),0)</f>
        <v>0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45129</v>
      </c>
      <c r="B260" s="2">
        <v>2023</v>
      </c>
      <c r="C260" s="2">
        <f>COUNTIFS(Games[Team],Games[[#This Row],[Team]],Games[Season],Games[[#This Row],[Season]],Games[Date],"&lt;=" &amp; Games[[#This Row],[Date]])</f>
        <v>23</v>
      </c>
      <c r="D260" s="2" t="s">
        <v>79</v>
      </c>
      <c r="E260" s="2" t="s">
        <v>80</v>
      </c>
      <c r="F260" s="1" t="s">
        <v>86</v>
      </c>
      <c r="G260" s="1" t="s">
        <v>67</v>
      </c>
      <c r="H260" s="1" t="s">
        <v>81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0" s="2">
        <f>Games[[#This Row],[DaysOff]]-Games[[#This Row],[OppDaysOff]]</f>
        <v>0</v>
      </c>
      <c r="L260" s="2">
        <f>Games[[#This Row],[OppDaysOff]]-Games[[#This Row],[DaysOff]]</f>
        <v>0</v>
      </c>
      <c r="M260" s="1">
        <f>MAX(-16, MIN(16, Games[[#This Row],[RestDiff]]*8))</f>
        <v>0</v>
      </c>
      <c r="N260" s="1">
        <f>MAX(-16, MIN(16, Games[[#This Row],[OppRestDiff]]*8))</f>
        <v>0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1740.5981405773025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1447.3980152447521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0.769280455565583</v>
      </c>
      <c r="R260" s="1">
        <v>98</v>
      </c>
      <c r="S260" s="1">
        <v>81</v>
      </c>
      <c r="T260" s="1">
        <v>0</v>
      </c>
      <c r="U260" s="1">
        <f>Games[[#This Row],[PointsFor]]-Games[[#This Row],[PointsAgainst]]</f>
        <v>17</v>
      </c>
      <c r="V260" s="1">
        <f>IF(Games[[#This Row],[MOV]]&gt;0,1,IF(Games[[#This Row],[MOV]]=0,0.5,0))</f>
        <v>1</v>
      </c>
      <c r="W260" s="4">
        <f>((ABS(Games[[#This Row],[MOV]])+5)^0.6)/(12+0.01*(ABS(Games[[#This Row],[PreGmRate]]-Games[[#This Row],[OppPreGmRate]])))*IF(Games[[#This Row],[OT]]=1,0.9,1)</f>
        <v>0.42789340293960976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0" s="9">
        <f>MAX(kmin, kmax - 0.15 * MIN(Games[[#This Row],[GamesPlayed]], 82))</f>
        <v>72.55</v>
      </c>
      <c r="Z260" s="4">
        <f>Games[[#This Row],[K]]*Games[[#This Row],[POMult]]</f>
        <v>72.55</v>
      </c>
      <c r="AA260" s="4">
        <f>(Games[[#This Row],[Keff]]*Games[[#This Row],[MOVMult]])*(Games[[#This Row],[Result]]-Games[[#This Row],[ExpectedWin%]])</f>
        <v>7.1623805655217767</v>
      </c>
      <c r="AB260" s="4">
        <f>Games[[#This Row],[PreGmRate]]+Games[[#This Row],[RatingChange]]</f>
        <v>1747.7605211428242</v>
      </c>
      <c r="AC260" s="2">
        <f>IF(Games[[#This Row],[Type]]="R",IF(Games[[#This Row],[Result]]&gt;0.5,1,0),0)</f>
        <v>1</v>
      </c>
      <c r="AD260" s="2">
        <f>IF(Games[[#This Row],[Type]]="R",IF(Games[[#This Row],[Result]]&lt;0.5,1,0),0)</f>
        <v>0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45129</v>
      </c>
      <c r="B261" s="2">
        <v>2023</v>
      </c>
      <c r="C261" s="2">
        <f>COUNTIFS(Games[Team],Games[[#This Row],[Team]],Games[Season],Games[[#This Row],[Season]],Games[Date],"&lt;=" &amp; Games[[#This Row],[Date]])</f>
        <v>23</v>
      </c>
      <c r="D261" s="2" t="s">
        <v>79</v>
      </c>
      <c r="E261" s="2" t="s">
        <v>80</v>
      </c>
      <c r="F261" s="1" t="s">
        <v>67</v>
      </c>
      <c r="G261" s="1" t="s">
        <v>86</v>
      </c>
      <c r="H261" s="1" t="s">
        <v>82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1" s="2">
        <f>Games[[#This Row],[DaysOff]]-Games[[#This Row],[OppDaysOff]]</f>
        <v>0</v>
      </c>
      <c r="L261" s="2">
        <f>Games[[#This Row],[OppDaysOff]]-Games[[#This Row],[DaysOff]]</f>
        <v>0</v>
      </c>
      <c r="M261" s="1">
        <f>MAX(-16, MIN(16, Games[[#This Row],[RestDiff]]*8))</f>
        <v>0</v>
      </c>
      <c r="N261" s="1">
        <f>MAX(-16, MIN(16, Games[[#This Row],[OppRestDiff]]*8))</f>
        <v>0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1447.3980152447521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1740.5981405773025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0.23071954443441703</v>
      </c>
      <c r="R261" s="1">
        <v>81</v>
      </c>
      <c r="S261" s="1">
        <v>98</v>
      </c>
      <c r="T261" s="1">
        <v>0</v>
      </c>
      <c r="U261" s="1">
        <f>Games[[#This Row],[PointsFor]]-Games[[#This Row],[PointsAgainst]]</f>
        <v>-17</v>
      </c>
      <c r="V261" s="1">
        <f>IF(Games[[#This Row],[MOV]]&gt;0,1,IF(Games[[#This Row],[MOV]]=0,0.5,0))</f>
        <v>0</v>
      </c>
      <c r="W261" s="4">
        <f>((ABS(Games[[#This Row],[MOV]])+5)^0.6)/(12+0.01*(ABS(Games[[#This Row],[PreGmRate]]-Games[[#This Row],[OppPreGmRate]])))*IF(Games[[#This Row],[OT]]=1,0.9,1)</f>
        <v>0.42789340293960976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1" s="9">
        <f>MAX(kmin, kmax - 0.15 * MIN(Games[[#This Row],[GamesPlayed]], 82))</f>
        <v>72.55</v>
      </c>
      <c r="Z261" s="4">
        <f>Games[[#This Row],[K]]*Games[[#This Row],[POMult]]</f>
        <v>72.55</v>
      </c>
      <c r="AA261" s="4">
        <f>(Games[[#This Row],[Keff]]*Games[[#This Row],[MOVMult]])*(Games[[#This Row],[Result]]-Games[[#This Row],[ExpectedWin%]])</f>
        <v>-7.1623805655217776</v>
      </c>
      <c r="AB261" s="4">
        <f>Games[[#This Row],[PreGmRate]]+Games[[#This Row],[RatingChange]]</f>
        <v>1440.2356346792303</v>
      </c>
      <c r="AC261" s="2">
        <f>IF(Games[[#This Row],[Type]]="R",IF(Games[[#This Row],[Result]]&gt;0.5,1,0),0)</f>
        <v>0</v>
      </c>
      <c r="AD261" s="2">
        <f>IF(Games[[#This Row],[Type]]="R",IF(Games[[#This Row],[Result]]&lt;0.5,1,0),0)</f>
        <v>1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45129</v>
      </c>
      <c r="B262" s="2">
        <v>2023</v>
      </c>
      <c r="C262" s="2">
        <f>COUNTIFS(Games[Team],Games[[#This Row],[Team]],Games[Season],Games[[#This Row],[Season]],Games[Date],"&lt;=" &amp; Games[[#This Row],[Date]])</f>
        <v>22</v>
      </c>
      <c r="D262" s="2" t="s">
        <v>79</v>
      </c>
      <c r="E262" s="2" t="s">
        <v>80</v>
      </c>
      <c r="F262" s="1" t="s">
        <v>75</v>
      </c>
      <c r="G262" s="1" t="s">
        <v>71</v>
      </c>
      <c r="H262" s="1" t="s">
        <v>81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2" s="2">
        <f>Games[[#This Row],[DaysOff]]-Games[[#This Row],[OppDaysOff]]</f>
        <v>0</v>
      </c>
      <c r="L262" s="2">
        <f>Games[[#This Row],[OppDaysOff]]-Games[[#This Row],[DaysOff]]</f>
        <v>0</v>
      </c>
      <c r="M262" s="1">
        <f>MAX(-16, MIN(16, Games[[#This Row],[RestDiff]]*8))</f>
        <v>0</v>
      </c>
      <c r="N262" s="1">
        <f>MAX(-16, MIN(16, Games[[#This Row],[OppRestDiff]]*8))</f>
        <v>0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1436.419593555255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1400.7434476544693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0.43090138693906821</v>
      </c>
      <c r="R262" s="1">
        <v>90</v>
      </c>
      <c r="S262" s="1">
        <v>75</v>
      </c>
      <c r="T262" s="1">
        <v>0</v>
      </c>
      <c r="U262" s="1">
        <f>Games[[#This Row],[PointsFor]]-Games[[#This Row],[PointsAgainst]]</f>
        <v>15</v>
      </c>
      <c r="V262" s="1">
        <f>IF(Games[[#This Row],[MOV]]&gt;0,1,IF(Games[[#This Row],[MOV]]=0,0.5,0))</f>
        <v>1</v>
      </c>
      <c r="W262" s="4">
        <f>((ABS(Games[[#This Row],[MOV]])+5)^0.6)/(12+0.01*(ABS(Games[[#This Row],[PreGmRate]]-Games[[#This Row],[OppPreGmRate]])))*IF(Games[[#This Row],[OT]]=1,0.9,1)</f>
        <v>0.4883299201463791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2" s="9">
        <f>MAX(kmin, kmax - 0.15 * MIN(Games[[#This Row],[GamesPlayed]], 82))</f>
        <v>72.7</v>
      </c>
      <c r="Z262" s="4">
        <f>Games[[#This Row],[K]]*Games[[#This Row],[POMult]]</f>
        <v>72.7</v>
      </c>
      <c r="AA262" s="4">
        <f>(Games[[#This Row],[Keff]]*Games[[#This Row],[MOVMult]])*(Games[[#This Row],[Result]]-Games[[#This Row],[ExpectedWin%]])</f>
        <v>20.203902895735137</v>
      </c>
      <c r="AB262" s="4">
        <f>Games[[#This Row],[PreGmRate]]+Games[[#This Row],[RatingChange]]</f>
        <v>1456.6234964509902</v>
      </c>
      <c r="AC262" s="2">
        <f>IF(Games[[#This Row],[Type]]="R",IF(Games[[#This Row],[Result]]&gt;0.5,1,0),0)</f>
        <v>1</v>
      </c>
      <c r="AD262" s="2">
        <f>IF(Games[[#This Row],[Type]]="R",IF(Games[[#This Row],[Result]]&lt;0.5,1,0),0)</f>
        <v>0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45129</v>
      </c>
      <c r="B263" s="2">
        <v>2023</v>
      </c>
      <c r="C263" s="2">
        <f>COUNTIFS(Games[Team],Games[[#This Row],[Team]],Games[Season],Games[[#This Row],[Season]],Games[Date],"&lt;=" &amp; Games[[#This Row],[Date]])</f>
        <v>22</v>
      </c>
      <c r="D263" s="2" t="s">
        <v>79</v>
      </c>
      <c r="E263" s="2" t="s">
        <v>80</v>
      </c>
      <c r="F263" s="1" t="s">
        <v>71</v>
      </c>
      <c r="G263" s="1" t="s">
        <v>75</v>
      </c>
      <c r="H263" s="1" t="s">
        <v>82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3" s="2">
        <f>Games[[#This Row],[DaysOff]]-Games[[#This Row],[OppDaysOff]]</f>
        <v>0</v>
      </c>
      <c r="L263" s="2">
        <f>Games[[#This Row],[OppDaysOff]]-Games[[#This Row],[DaysOff]]</f>
        <v>0</v>
      </c>
      <c r="M263" s="1">
        <f>MAX(-16, MIN(16, Games[[#This Row],[RestDiff]]*8))</f>
        <v>0</v>
      </c>
      <c r="N263" s="1">
        <f>MAX(-16, MIN(16, Games[[#This Row],[OppRestDiff]]*8))</f>
        <v>0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1400.7434476544693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1436.419593555255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0.56909861306093179</v>
      </c>
      <c r="R263" s="1">
        <v>75</v>
      </c>
      <c r="S263" s="1">
        <v>90</v>
      </c>
      <c r="T263" s="1">
        <v>0</v>
      </c>
      <c r="U263" s="1">
        <f>Games[[#This Row],[PointsFor]]-Games[[#This Row],[PointsAgainst]]</f>
        <v>-15</v>
      </c>
      <c r="V263" s="1">
        <f>IF(Games[[#This Row],[MOV]]&gt;0,1,IF(Games[[#This Row],[MOV]]=0,0.5,0))</f>
        <v>0</v>
      </c>
      <c r="W263" s="4">
        <f>((ABS(Games[[#This Row],[MOV]])+5)^0.6)/(12+0.01*(ABS(Games[[#This Row],[PreGmRate]]-Games[[#This Row],[OppPreGmRate]])))*IF(Games[[#This Row],[OT]]=1,0.9,1)</f>
        <v>0.4883299201463791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3" s="9">
        <f>MAX(kmin, kmax - 0.15 * MIN(Games[[#This Row],[GamesPlayed]], 82))</f>
        <v>72.7</v>
      </c>
      <c r="Z263" s="4">
        <f>Games[[#This Row],[K]]*Games[[#This Row],[POMult]]</f>
        <v>72.7</v>
      </c>
      <c r="AA263" s="4">
        <f>(Games[[#This Row],[Keff]]*Games[[#This Row],[MOVMult]])*(Games[[#This Row],[Result]]-Games[[#This Row],[ExpectedWin%]])</f>
        <v>-20.203902895735137</v>
      </c>
      <c r="AB263" s="4">
        <f>Games[[#This Row],[PreGmRate]]+Games[[#This Row],[RatingChange]]</f>
        <v>1380.5395447587341</v>
      </c>
      <c r="AC263" s="2">
        <f>IF(Games[[#This Row],[Type]]="R",IF(Games[[#This Row],[Result]]&gt;0.5,1,0),0)</f>
        <v>0</v>
      </c>
      <c r="AD263" s="2">
        <f>IF(Games[[#This Row],[Type]]="R",IF(Games[[#This Row],[Result]]&lt;0.5,1,0),0)</f>
        <v>1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45130</v>
      </c>
      <c r="B264" s="2">
        <v>2023</v>
      </c>
      <c r="C264" s="2">
        <f>COUNTIFS(Games[Team],Games[[#This Row],[Team]],Games[Season],Games[[#This Row],[Season]],Games[Date],"&lt;=" &amp; Games[[#This Row],[Date]])</f>
        <v>22</v>
      </c>
      <c r="D264" s="2" t="s">
        <v>79</v>
      </c>
      <c r="E264" s="2" t="s">
        <v>80</v>
      </c>
      <c r="F264" s="1" t="s">
        <v>69</v>
      </c>
      <c r="G264" s="1" t="s">
        <v>60</v>
      </c>
      <c r="H264" s="1" t="s">
        <v>81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4" s="2">
        <f>Games[[#This Row],[DaysOff]]-Games[[#This Row],[OppDaysOff]]</f>
        <v>2</v>
      </c>
      <c r="L264" s="2">
        <f>Games[[#This Row],[OppDaysOff]]-Games[[#This Row],[DaysOff]]</f>
        <v>-2</v>
      </c>
      <c r="M264" s="1">
        <f>MAX(-16, MIN(16, Games[[#This Row],[RestDiff]]*8))</f>
        <v>16</v>
      </c>
      <c r="N264" s="1">
        <f>MAX(-16, MIN(16, Games[[#This Row],[OppRestDiff]]*8))</f>
        <v>-16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1365.4589176799741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1600.2194117679717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0.16101083958982865</v>
      </c>
      <c r="R264" s="1">
        <v>83</v>
      </c>
      <c r="S264" s="1">
        <v>101</v>
      </c>
      <c r="T264" s="1">
        <v>0</v>
      </c>
      <c r="U264" s="1">
        <f>Games[[#This Row],[PointsFor]]-Games[[#This Row],[PointsAgainst]]</f>
        <v>-18</v>
      </c>
      <c r="V264" s="1">
        <f>IF(Games[[#This Row],[MOV]]&gt;0,1,IF(Games[[#This Row],[MOV]]=0,0.5,0))</f>
        <v>0</v>
      </c>
      <c r="W264" s="4">
        <f>((ABS(Games[[#This Row],[MOV]])+5)^0.6)/(12+0.01*(ABS(Games[[#This Row],[PreGmRate]]-Games[[#This Row],[OppPreGmRate]])))*IF(Games[[#This Row],[OT]]=1,0.9,1)</f>
        <v>0.45735906533215359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4" s="9">
        <f>MAX(kmin, kmax - 0.15 * MIN(Games[[#This Row],[GamesPlayed]], 82))</f>
        <v>72.7</v>
      </c>
      <c r="Z264" s="4">
        <f>Games[[#This Row],[K]]*Games[[#This Row],[POMult]]</f>
        <v>72.7</v>
      </c>
      <c r="AA264" s="4">
        <f>(Games[[#This Row],[Keff]]*Games[[#This Row],[MOVMult]])*(Games[[#This Row],[Result]]-Games[[#This Row],[ExpectedWin%]])</f>
        <v>-5.3536110683989566</v>
      </c>
      <c r="AB264" s="4">
        <f>Games[[#This Row],[PreGmRate]]+Games[[#This Row],[RatingChange]]</f>
        <v>1360.1053066115751</v>
      </c>
      <c r="AC264" s="2">
        <f>IF(Games[[#This Row],[Type]]="R",IF(Games[[#This Row],[Result]]&gt;0.5,1,0),0)</f>
        <v>0</v>
      </c>
      <c r="AD264" s="2">
        <f>IF(Games[[#This Row],[Type]]="R",IF(Games[[#This Row],[Result]]&lt;0.5,1,0),0)</f>
        <v>1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45130</v>
      </c>
      <c r="B265" s="2">
        <v>2023</v>
      </c>
      <c r="C265" s="2">
        <f>COUNTIFS(Games[Team],Games[[#This Row],[Team]],Games[Season],Games[[#This Row],[Season]],Games[Date],"&lt;=" &amp; Games[[#This Row],[Date]])</f>
        <v>21</v>
      </c>
      <c r="D265" s="2" t="s">
        <v>79</v>
      </c>
      <c r="E265" s="2" t="s">
        <v>80</v>
      </c>
      <c r="F265" s="1" t="s">
        <v>60</v>
      </c>
      <c r="G265" s="1" t="s">
        <v>69</v>
      </c>
      <c r="H265" s="1" t="s">
        <v>82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5" s="2">
        <f>Games[[#This Row],[DaysOff]]-Games[[#This Row],[OppDaysOff]]</f>
        <v>-2</v>
      </c>
      <c r="L265" s="2">
        <f>Games[[#This Row],[OppDaysOff]]-Games[[#This Row],[DaysOff]]</f>
        <v>2</v>
      </c>
      <c r="M265" s="1">
        <f>MAX(-16, MIN(16, Games[[#This Row],[RestDiff]]*8))</f>
        <v>-16</v>
      </c>
      <c r="N265" s="1">
        <f>MAX(-16, MIN(16, Games[[#This Row],[OppRestDiff]]*8))</f>
        <v>16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1600.2194117679717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1365.4589176799741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0.83898916041017146</v>
      </c>
      <c r="R265" s="1">
        <v>101</v>
      </c>
      <c r="S265" s="1">
        <v>83</v>
      </c>
      <c r="T265" s="1">
        <v>0</v>
      </c>
      <c r="U265" s="1">
        <f>Games[[#This Row],[PointsFor]]-Games[[#This Row],[PointsAgainst]]</f>
        <v>18</v>
      </c>
      <c r="V265" s="1">
        <f>IF(Games[[#This Row],[MOV]]&gt;0,1,IF(Games[[#This Row],[MOV]]=0,0.5,0))</f>
        <v>1</v>
      </c>
      <c r="W265" s="4">
        <f>((ABS(Games[[#This Row],[MOV]])+5)^0.6)/(12+0.01*(ABS(Games[[#This Row],[PreGmRate]]-Games[[#This Row],[OppPreGmRate]])))*IF(Games[[#This Row],[OT]]=1,0.9,1)</f>
        <v>0.45735906533215359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5" s="9">
        <f>MAX(kmin, kmax - 0.15 * MIN(Games[[#This Row],[GamesPlayed]], 82))</f>
        <v>72.849999999999994</v>
      </c>
      <c r="Z265" s="4">
        <f>Games[[#This Row],[K]]*Games[[#This Row],[POMult]]</f>
        <v>72.849999999999994</v>
      </c>
      <c r="AA265" s="4">
        <f>(Games[[#This Row],[Keff]]*Games[[#This Row],[MOVMult]])*(Games[[#This Row],[Result]]-Games[[#This Row],[ExpectedWin%]])</f>
        <v>5.3646570334644252</v>
      </c>
      <c r="AB265" s="4">
        <f>Games[[#This Row],[PreGmRate]]+Games[[#This Row],[RatingChange]]</f>
        <v>1605.5840688014362</v>
      </c>
      <c r="AC265" s="2">
        <f>IF(Games[[#This Row],[Type]]="R",IF(Games[[#This Row],[Result]]&gt;0.5,1,0),0)</f>
        <v>1</v>
      </c>
      <c r="AD265" s="2">
        <f>IF(Games[[#This Row],[Type]]="R",IF(Games[[#This Row],[Result]]&lt;0.5,1,0),0)</f>
        <v>0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45130</v>
      </c>
      <c r="B266" s="2">
        <v>2023</v>
      </c>
      <c r="C266" s="2">
        <f>COUNTIFS(Games[Team],Games[[#This Row],[Team]],Games[Season],Games[[#This Row],[Season]],Games[Date],"&lt;=" &amp; Games[[#This Row],[Date]])</f>
        <v>22</v>
      </c>
      <c r="D266" s="2" t="s">
        <v>79</v>
      </c>
      <c r="E266" s="2" t="s">
        <v>80</v>
      </c>
      <c r="F266" s="1" t="s">
        <v>40</v>
      </c>
      <c r="G266" s="1" t="s">
        <v>65</v>
      </c>
      <c r="H266" s="1" t="s">
        <v>81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6" s="2">
        <f>Games[[#This Row],[DaysOff]]-Games[[#This Row],[OppDaysOff]]</f>
        <v>1</v>
      </c>
      <c r="L266" s="2">
        <f>Games[[#This Row],[OppDaysOff]]-Games[[#This Row],[DaysOff]]</f>
        <v>-1</v>
      </c>
      <c r="M266" s="1">
        <f>MAX(-16, MIN(16, Games[[#This Row],[RestDiff]]*8))</f>
        <v>8</v>
      </c>
      <c r="N266" s="1">
        <f>MAX(-16, MIN(16, Games[[#This Row],[OppRestDiff]]*8))</f>
        <v>-8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1393.863199363595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1512.4348431183603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0.25464452215635264</v>
      </c>
      <c r="R266" s="1">
        <v>69</v>
      </c>
      <c r="S266" s="1">
        <v>84</v>
      </c>
      <c r="T266" s="1">
        <v>0</v>
      </c>
      <c r="U266" s="1">
        <f>Games[[#This Row],[PointsFor]]-Games[[#This Row],[PointsAgainst]]</f>
        <v>-15</v>
      </c>
      <c r="V266" s="1">
        <f>IF(Games[[#This Row],[MOV]]&gt;0,1,IF(Games[[#This Row],[MOV]]=0,0.5,0))</f>
        <v>0</v>
      </c>
      <c r="W266" s="4">
        <f>((ABS(Games[[#This Row],[MOV]])+5)^0.6)/(12+0.01*(ABS(Games[[#This Row],[PreGmRate]]-Games[[#This Row],[OppPreGmRate]])))*IF(Games[[#This Row],[OT]]=1,0.9,1)</f>
        <v>0.45762976665888538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6" s="9">
        <f>MAX(kmin, kmax - 0.15 * MIN(Games[[#This Row],[GamesPlayed]], 82))</f>
        <v>72.7</v>
      </c>
      <c r="Z266" s="4">
        <f>Games[[#This Row],[K]]*Games[[#This Row],[POMult]]</f>
        <v>72.7</v>
      </c>
      <c r="AA266" s="4">
        <f>(Games[[#This Row],[Keff]]*Games[[#This Row],[MOVMult]])*(Games[[#This Row],[Result]]-Games[[#This Row],[ExpectedWin%]])</f>
        <v>-8.4719427936657645</v>
      </c>
      <c r="AB266" s="4">
        <f>Games[[#This Row],[PreGmRate]]+Games[[#This Row],[RatingChange]]</f>
        <v>1385.3912565699293</v>
      </c>
      <c r="AC266" s="2">
        <f>IF(Games[[#This Row],[Type]]="R",IF(Games[[#This Row],[Result]]&gt;0.5,1,0),0)</f>
        <v>0</v>
      </c>
      <c r="AD266" s="2">
        <f>IF(Games[[#This Row],[Type]]="R",IF(Games[[#This Row],[Result]]&lt;0.5,1,0),0)</f>
        <v>1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45130</v>
      </c>
      <c r="B267" s="2">
        <v>2023</v>
      </c>
      <c r="C267" s="2">
        <f>COUNTIFS(Games[Team],Games[[#This Row],[Team]],Games[Season],Games[[#This Row],[Season]],Games[Date],"&lt;=" &amp; Games[[#This Row],[Date]])</f>
        <v>22</v>
      </c>
      <c r="D267" s="2" t="s">
        <v>79</v>
      </c>
      <c r="E267" s="2" t="s">
        <v>80</v>
      </c>
      <c r="F267" s="1" t="s">
        <v>65</v>
      </c>
      <c r="G267" s="1" t="s">
        <v>40</v>
      </c>
      <c r="H267" s="1" t="s">
        <v>82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7" s="2">
        <f>Games[[#This Row],[DaysOff]]-Games[[#This Row],[OppDaysOff]]</f>
        <v>-1</v>
      </c>
      <c r="L267" s="2">
        <f>Games[[#This Row],[OppDaysOff]]-Games[[#This Row],[DaysOff]]</f>
        <v>1</v>
      </c>
      <c r="M267" s="1">
        <f>MAX(-16, MIN(16, Games[[#This Row],[RestDiff]]*8))</f>
        <v>-8</v>
      </c>
      <c r="N267" s="1">
        <f>MAX(-16, MIN(16, Games[[#This Row],[OppRestDiff]]*8))</f>
        <v>8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1512.4348431183603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1393.863199363595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0.74535547784364731</v>
      </c>
      <c r="R267" s="1">
        <v>84</v>
      </c>
      <c r="S267" s="1">
        <v>69</v>
      </c>
      <c r="T267" s="1">
        <v>0</v>
      </c>
      <c r="U267" s="1">
        <f>Games[[#This Row],[PointsFor]]-Games[[#This Row],[PointsAgainst]]</f>
        <v>15</v>
      </c>
      <c r="V267" s="1">
        <f>IF(Games[[#This Row],[MOV]]&gt;0,1,IF(Games[[#This Row],[MOV]]=0,0.5,0))</f>
        <v>1</v>
      </c>
      <c r="W267" s="4">
        <f>((ABS(Games[[#This Row],[MOV]])+5)^0.6)/(12+0.01*(ABS(Games[[#This Row],[PreGmRate]]-Games[[#This Row],[OppPreGmRate]])))*IF(Games[[#This Row],[OT]]=1,0.9,1)</f>
        <v>0.45762976665888538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7" s="9">
        <f>MAX(kmin, kmax - 0.15 * MIN(Games[[#This Row],[GamesPlayed]], 82))</f>
        <v>72.7</v>
      </c>
      <c r="Z267" s="4">
        <f>Games[[#This Row],[K]]*Games[[#This Row],[POMult]]</f>
        <v>72.7</v>
      </c>
      <c r="AA267" s="4">
        <f>(Games[[#This Row],[Keff]]*Games[[#This Row],[MOVMult]])*(Games[[#This Row],[Result]]-Games[[#This Row],[ExpectedWin%]])</f>
        <v>8.4719427936657663</v>
      </c>
      <c r="AB267" s="4">
        <f>Games[[#This Row],[PreGmRate]]+Games[[#This Row],[RatingChange]]</f>
        <v>1520.906785912026</v>
      </c>
      <c r="AC267" s="2">
        <f>IF(Games[[#This Row],[Type]]="R",IF(Games[[#This Row],[Result]]&gt;0.5,1,0),0)</f>
        <v>1</v>
      </c>
      <c r="AD267" s="2">
        <f>IF(Games[[#This Row],[Type]]="R",IF(Games[[#This Row],[Result]]&lt;0.5,1,0),0)</f>
        <v>0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45132</v>
      </c>
      <c r="B268" s="2">
        <v>2023</v>
      </c>
      <c r="C268" s="2">
        <f>COUNTIFS(Games[Team],Games[[#This Row],[Team]],Games[Season],Games[[#This Row],[Season]],Games[Date],"&lt;=" &amp; Games[[#This Row],[Date]])</f>
        <v>23</v>
      </c>
      <c r="D268" s="2" t="s">
        <v>79</v>
      </c>
      <c r="E268" s="2" t="s">
        <v>80</v>
      </c>
      <c r="F268" s="1" t="s">
        <v>40</v>
      </c>
      <c r="G268" s="1" t="s">
        <v>77</v>
      </c>
      <c r="H268" s="1" t="s">
        <v>81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8" s="2">
        <f>Games[[#This Row],[DaysOff]]-Games[[#This Row],[OppDaysOff]]</f>
        <v>-1</v>
      </c>
      <c r="L268" s="2">
        <f>Games[[#This Row],[OppDaysOff]]-Games[[#This Row],[DaysOff]]</f>
        <v>1</v>
      </c>
      <c r="M268" s="1">
        <f>MAX(-16, MIN(16, Games[[#This Row],[RestDiff]]*8))</f>
        <v>-8</v>
      </c>
      <c r="N268" s="1">
        <f>MAX(-16, MIN(16, Games[[#This Row],[OppRestDiff]]*8))</f>
        <v>8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1385.3912565699293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1510.5734114726231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0.21479635982126447</v>
      </c>
      <c r="R268" s="1">
        <v>65</v>
      </c>
      <c r="S268" s="1">
        <v>78</v>
      </c>
      <c r="T268" s="1">
        <v>0</v>
      </c>
      <c r="U268" s="1">
        <f>Games[[#This Row],[PointsFor]]-Games[[#This Row],[PointsAgainst]]</f>
        <v>-13</v>
      </c>
      <c r="V268" s="1">
        <f>IF(Games[[#This Row],[MOV]]&gt;0,1,IF(Games[[#This Row],[MOV]]=0,0.5,0))</f>
        <v>0</v>
      </c>
      <c r="W268" s="4">
        <f>((ABS(Games[[#This Row],[MOV]])+5)^0.6)/(12+0.01*(ABS(Games[[#This Row],[PreGmRate]]-Games[[#This Row],[OppPreGmRate]])))*IF(Games[[#This Row],[OT]]=1,0.9,1)</f>
        <v>0.42745256165823847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8" s="9">
        <f>MAX(kmin, kmax - 0.15 * MIN(Games[[#This Row],[GamesPlayed]], 82))</f>
        <v>72.55</v>
      </c>
      <c r="Z268" s="4">
        <f>Games[[#This Row],[K]]*Games[[#This Row],[POMult]]</f>
        <v>72.55</v>
      </c>
      <c r="AA268" s="4">
        <f>(Games[[#This Row],[Keff]]*Games[[#This Row],[MOVMult]])*(Games[[#This Row],[Result]]-Games[[#This Row],[ExpectedWin%]])</f>
        <v>-6.66119669514568</v>
      </c>
      <c r="AB268" s="4">
        <f>Games[[#This Row],[PreGmRate]]+Games[[#This Row],[RatingChange]]</f>
        <v>1378.7300598747836</v>
      </c>
      <c r="AC268" s="2">
        <f>IF(Games[[#This Row],[Type]]="R",IF(Games[[#This Row],[Result]]&gt;0.5,1,0),0)</f>
        <v>0</v>
      </c>
      <c r="AD268" s="2">
        <f>IF(Games[[#This Row],[Type]]="R",IF(Games[[#This Row],[Result]]&lt;0.5,1,0),0)</f>
        <v>1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45132</v>
      </c>
      <c r="B269" s="2">
        <v>2023</v>
      </c>
      <c r="C269" s="2">
        <f>COUNTIFS(Games[Team],Games[[#This Row],[Team]],Games[Season],Games[[#This Row],[Season]],Games[Date],"&lt;=" &amp; Games[[#This Row],[Date]])</f>
        <v>23</v>
      </c>
      <c r="D269" s="2" t="s">
        <v>79</v>
      </c>
      <c r="E269" s="2" t="s">
        <v>80</v>
      </c>
      <c r="F269" s="1" t="s">
        <v>77</v>
      </c>
      <c r="G269" s="1" t="s">
        <v>40</v>
      </c>
      <c r="H269" s="1" t="s">
        <v>82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9" s="2">
        <f>Games[[#This Row],[DaysOff]]-Games[[#This Row],[OppDaysOff]]</f>
        <v>1</v>
      </c>
      <c r="L269" s="2">
        <f>Games[[#This Row],[OppDaysOff]]-Games[[#This Row],[DaysOff]]</f>
        <v>-1</v>
      </c>
      <c r="M269" s="1">
        <f>MAX(-16, MIN(16, Games[[#This Row],[RestDiff]]*8))</f>
        <v>8</v>
      </c>
      <c r="N269" s="1">
        <f>MAX(-16, MIN(16, Games[[#This Row],[OppRestDiff]]*8))</f>
        <v>-8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1510.5734114726231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1385.3912565699293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0.78520364017873556</v>
      </c>
      <c r="R269" s="1">
        <v>78</v>
      </c>
      <c r="S269" s="1">
        <v>65</v>
      </c>
      <c r="T269" s="1">
        <v>0</v>
      </c>
      <c r="U269" s="1">
        <f>Games[[#This Row],[PointsFor]]-Games[[#This Row],[PointsAgainst]]</f>
        <v>13</v>
      </c>
      <c r="V269" s="1">
        <f>IF(Games[[#This Row],[MOV]]&gt;0,1,IF(Games[[#This Row],[MOV]]=0,0.5,0))</f>
        <v>1</v>
      </c>
      <c r="W269" s="4">
        <f>((ABS(Games[[#This Row],[MOV]])+5)^0.6)/(12+0.01*(ABS(Games[[#This Row],[PreGmRate]]-Games[[#This Row],[OppPreGmRate]])))*IF(Games[[#This Row],[OT]]=1,0.9,1)</f>
        <v>0.42745256165823847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9" s="9">
        <f>MAX(kmin, kmax - 0.15 * MIN(Games[[#This Row],[GamesPlayed]], 82))</f>
        <v>72.55</v>
      </c>
      <c r="Z269" s="4">
        <f>Games[[#This Row],[K]]*Games[[#This Row],[POMult]]</f>
        <v>72.55</v>
      </c>
      <c r="AA269" s="4">
        <f>(Games[[#This Row],[Keff]]*Games[[#This Row],[MOVMult]])*(Games[[#This Row],[Result]]-Games[[#This Row],[ExpectedWin%]])</f>
        <v>6.6611966951456791</v>
      </c>
      <c r="AB269" s="4">
        <f>Games[[#This Row],[PreGmRate]]+Games[[#This Row],[RatingChange]]</f>
        <v>1517.2346081677688</v>
      </c>
      <c r="AC269" s="2">
        <f>IF(Games[[#This Row],[Type]]="R",IF(Games[[#This Row],[Result]]&gt;0.5,1,0),0)</f>
        <v>1</v>
      </c>
      <c r="AD269" s="2">
        <f>IF(Games[[#This Row],[Type]]="R",IF(Games[[#This Row],[Result]]&lt;0.5,1,0),0)</f>
        <v>0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45132</v>
      </c>
      <c r="B270" s="2">
        <v>2023</v>
      </c>
      <c r="C270" s="2">
        <f>COUNTIFS(Games[Team],Games[[#This Row],[Team]],Games[Season],Games[[#This Row],[Season]],Games[Date],"&lt;=" &amp; Games[[#This Row],[Date]])</f>
        <v>24</v>
      </c>
      <c r="D270" s="2" t="s">
        <v>79</v>
      </c>
      <c r="E270" s="2" t="s">
        <v>80</v>
      </c>
      <c r="F270" s="1" t="s">
        <v>86</v>
      </c>
      <c r="G270" s="1" t="s">
        <v>75</v>
      </c>
      <c r="H270" s="1" t="s">
        <v>81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0" s="2">
        <f>Games[[#This Row],[DaysOff]]-Games[[#This Row],[OppDaysOff]]</f>
        <v>0</v>
      </c>
      <c r="L270" s="2">
        <f>Games[[#This Row],[OppDaysOff]]-Games[[#This Row],[DaysOff]]</f>
        <v>0</v>
      </c>
      <c r="M270" s="1">
        <f>MAX(-16, MIN(16, Games[[#This Row],[RestDiff]]*8))</f>
        <v>0</v>
      </c>
      <c r="N270" s="1">
        <f>MAX(-16, MIN(16, Games[[#This Row],[OppRestDiff]]*8))</f>
        <v>0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1747.7605211428242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1456.6234964509902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0.76716584118137054</v>
      </c>
      <c r="R270" s="1">
        <v>107</v>
      </c>
      <c r="S270" s="1">
        <v>95</v>
      </c>
      <c r="T270" s="1">
        <v>0</v>
      </c>
      <c r="U270" s="1">
        <f>Games[[#This Row],[PointsFor]]-Games[[#This Row],[PointsAgainst]]</f>
        <v>12</v>
      </c>
      <c r="V270" s="1">
        <f>IF(Games[[#This Row],[MOV]]&gt;0,1,IF(Games[[#This Row],[MOV]]=0,0.5,0))</f>
        <v>1</v>
      </c>
      <c r="W270" s="4">
        <f>((ABS(Games[[#This Row],[MOV]])+5)^0.6)/(12+0.01*(ABS(Games[[#This Row],[PreGmRate]]-Games[[#This Row],[OppPreGmRate]])))*IF(Games[[#This Row],[OT]]=1,0.9,1)</f>
        <v>0.36707245721094484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0" s="9">
        <f>MAX(kmin, kmax - 0.15 * MIN(Games[[#This Row],[GamesPlayed]], 82))</f>
        <v>72.400000000000006</v>
      </c>
      <c r="Z270" s="4">
        <f>Games[[#This Row],[K]]*Games[[#This Row],[POMult]]</f>
        <v>72.400000000000006</v>
      </c>
      <c r="AA270" s="4">
        <f>(Games[[#This Row],[Keff]]*Games[[#This Row],[MOVMult]])*(Games[[#This Row],[Result]]-Games[[#This Row],[ExpectedWin%]])</f>
        <v>6.187811292334314</v>
      </c>
      <c r="AB270" s="4">
        <f>Games[[#This Row],[PreGmRate]]+Games[[#This Row],[RatingChange]]</f>
        <v>1753.9483324351586</v>
      </c>
      <c r="AC270" s="2">
        <f>IF(Games[[#This Row],[Type]]="R",IF(Games[[#This Row],[Result]]&gt;0.5,1,0),0)</f>
        <v>1</v>
      </c>
      <c r="AD270" s="2">
        <f>IF(Games[[#This Row],[Type]]="R",IF(Games[[#This Row],[Result]]&lt;0.5,1,0),0)</f>
        <v>0</v>
      </c>
      <c r="AE270" s="2">
        <f>IF(AND(Games[[#This Row],[Type]]="P",Games[[#This Row],[Round]]=1),IF(Games[[#This Row],[Result]]&gt;0.5,1,0),0)</f>
        <v>0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45132</v>
      </c>
      <c r="B271" s="2">
        <v>2023</v>
      </c>
      <c r="C271" s="2">
        <f>COUNTIFS(Games[Team],Games[[#This Row],[Team]],Games[Season],Games[[#This Row],[Season]],Games[Date],"&lt;=" &amp; Games[[#This Row],[Date]])</f>
        <v>23</v>
      </c>
      <c r="D271" s="2" t="s">
        <v>79</v>
      </c>
      <c r="E271" s="2" t="s">
        <v>80</v>
      </c>
      <c r="F271" s="1" t="s">
        <v>75</v>
      </c>
      <c r="G271" s="1" t="s">
        <v>86</v>
      </c>
      <c r="H271" s="1" t="s">
        <v>82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1" s="2">
        <f>Games[[#This Row],[DaysOff]]-Games[[#This Row],[OppDaysOff]]</f>
        <v>0</v>
      </c>
      <c r="L271" s="2">
        <f>Games[[#This Row],[OppDaysOff]]-Games[[#This Row],[DaysOff]]</f>
        <v>0</v>
      </c>
      <c r="M271" s="1">
        <f>MAX(-16, MIN(16, Games[[#This Row],[RestDiff]]*8))</f>
        <v>0</v>
      </c>
      <c r="N271" s="1">
        <f>MAX(-16, MIN(16, Games[[#This Row],[OppRestDiff]]*8))</f>
        <v>0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1456.6234964509902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1747.7605211428242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0.23283415881862943</v>
      </c>
      <c r="R271" s="1">
        <v>95</v>
      </c>
      <c r="S271" s="1">
        <v>107</v>
      </c>
      <c r="T271" s="1">
        <v>0</v>
      </c>
      <c r="U271" s="1">
        <f>Games[[#This Row],[PointsFor]]-Games[[#This Row],[PointsAgainst]]</f>
        <v>-12</v>
      </c>
      <c r="V271" s="1">
        <f>IF(Games[[#This Row],[MOV]]&gt;0,1,IF(Games[[#This Row],[MOV]]=0,0.5,0))</f>
        <v>0</v>
      </c>
      <c r="W271" s="4">
        <f>((ABS(Games[[#This Row],[MOV]])+5)^0.6)/(12+0.01*(ABS(Games[[#This Row],[PreGmRate]]-Games[[#This Row],[OppPreGmRate]])))*IF(Games[[#This Row],[OT]]=1,0.9,1)</f>
        <v>0.36707245721094484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1" s="9">
        <f>MAX(kmin, kmax - 0.15 * MIN(Games[[#This Row],[GamesPlayed]], 82))</f>
        <v>72.55</v>
      </c>
      <c r="Z271" s="4">
        <f>Games[[#This Row],[K]]*Games[[#This Row],[POMult]]</f>
        <v>72.55</v>
      </c>
      <c r="AA271" s="4">
        <f>(Games[[#This Row],[Keff]]*Games[[#This Row],[MOVMult]])*(Games[[#This Row],[Result]]-Games[[#This Row],[ExpectedWin%]])</f>
        <v>-6.2006313433543419</v>
      </c>
      <c r="AB271" s="4">
        <f>Games[[#This Row],[PreGmRate]]+Games[[#This Row],[RatingChange]]</f>
        <v>1450.4228651076357</v>
      </c>
      <c r="AC271" s="2">
        <f>IF(Games[[#This Row],[Type]]="R",IF(Games[[#This Row],[Result]]&gt;0.5,1,0),0)</f>
        <v>0</v>
      </c>
      <c r="AD271" s="2">
        <f>IF(Games[[#This Row],[Type]]="R",IF(Games[[#This Row],[Result]]&lt;0.5,1,0),0)</f>
        <v>1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0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45132</v>
      </c>
      <c r="B272" s="2">
        <v>2023</v>
      </c>
      <c r="C272" s="2">
        <f>COUNTIFS(Games[Team],Games[[#This Row],[Team]],Games[Season],Games[[#This Row],[Season]],Games[Date],"&lt;=" &amp; Games[[#This Row],[Date]])</f>
        <v>24</v>
      </c>
      <c r="D272" s="2" t="s">
        <v>79</v>
      </c>
      <c r="E272" s="2" t="s">
        <v>80</v>
      </c>
      <c r="F272" s="1" t="s">
        <v>74</v>
      </c>
      <c r="G272" s="1" t="s">
        <v>85</v>
      </c>
      <c r="H272" s="1" t="s">
        <v>81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2" s="2">
        <f>Games[[#This Row],[DaysOff]]-Games[[#This Row],[OppDaysOff]]</f>
        <v>0</v>
      </c>
      <c r="L272" s="2">
        <f>Games[[#This Row],[OppDaysOff]]-Games[[#This Row],[DaysOff]]</f>
        <v>0</v>
      </c>
      <c r="M272" s="1">
        <f>MAX(-16, MIN(16, Games[[#This Row],[RestDiff]]*8))</f>
        <v>0</v>
      </c>
      <c r="N272" s="1">
        <f>MAX(-16, MIN(16, Games[[#This Row],[OppRestDiff]]*8))</f>
        <v>0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1651.4141397640105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1568.563768161767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0.49834555778107287</v>
      </c>
      <c r="R272" s="1">
        <v>88</v>
      </c>
      <c r="S272" s="1">
        <v>83</v>
      </c>
      <c r="T272" s="1">
        <v>0</v>
      </c>
      <c r="U272" s="1">
        <f>Games[[#This Row],[PointsFor]]-Games[[#This Row],[PointsAgainst]]</f>
        <v>5</v>
      </c>
      <c r="V272" s="1">
        <f>IF(Games[[#This Row],[MOV]]&gt;0,1,IF(Games[[#This Row],[MOV]]=0,0.5,0))</f>
        <v>1</v>
      </c>
      <c r="W272" s="4">
        <f>((ABS(Games[[#This Row],[MOV]])+5)^0.6)/(12+0.01*(ABS(Games[[#This Row],[PreGmRate]]-Games[[#This Row],[OppPreGmRate]])))*IF(Games[[#This Row],[OT]]=1,0.9,1)</f>
        <v>0.31033016738832353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2" s="9">
        <f>MAX(kmin, kmax - 0.15 * MIN(Games[[#This Row],[GamesPlayed]], 82))</f>
        <v>72.400000000000006</v>
      </c>
      <c r="Z272" s="4">
        <f>Games[[#This Row],[K]]*Games[[#This Row],[POMult]]</f>
        <v>72.400000000000006</v>
      </c>
      <c r="AA272" s="4">
        <f>(Games[[#This Row],[Keff]]*Games[[#This Row],[MOVMult]])*(Games[[#This Row],[Result]]-Games[[#This Row],[ExpectedWin%]])</f>
        <v>11.27112390860245</v>
      </c>
      <c r="AB272" s="4">
        <f>Games[[#This Row],[PreGmRate]]+Games[[#This Row],[RatingChange]]</f>
        <v>1662.685263672613</v>
      </c>
      <c r="AC272" s="2">
        <f>IF(Games[[#This Row],[Type]]="R",IF(Games[[#This Row],[Result]]&gt;0.5,1,0),0)</f>
        <v>1</v>
      </c>
      <c r="AD272" s="2">
        <f>IF(Games[[#This Row],[Type]]="R",IF(Games[[#This Row],[Result]]&lt;0.5,1,0),0)</f>
        <v>0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0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45132</v>
      </c>
      <c r="B273" s="2">
        <v>2023</v>
      </c>
      <c r="C273" s="2">
        <f>COUNTIFS(Games[Team],Games[[#This Row],[Team]],Games[Season],Games[[#This Row],[Season]],Games[Date],"&lt;=" &amp; Games[[#This Row],[Date]])</f>
        <v>23</v>
      </c>
      <c r="D273" s="2" t="s">
        <v>79</v>
      </c>
      <c r="E273" s="2" t="s">
        <v>80</v>
      </c>
      <c r="F273" s="1" t="s">
        <v>85</v>
      </c>
      <c r="G273" s="1" t="s">
        <v>74</v>
      </c>
      <c r="H273" s="1" t="s">
        <v>82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3" s="2">
        <f>Games[[#This Row],[DaysOff]]-Games[[#This Row],[OppDaysOff]]</f>
        <v>0</v>
      </c>
      <c r="L273" s="2">
        <f>Games[[#This Row],[OppDaysOff]]-Games[[#This Row],[DaysOff]]</f>
        <v>0</v>
      </c>
      <c r="M273" s="1">
        <f>MAX(-16, MIN(16, Games[[#This Row],[RestDiff]]*8))</f>
        <v>0</v>
      </c>
      <c r="N273" s="1">
        <f>MAX(-16, MIN(16, Games[[#This Row],[OppRestDiff]]*8))</f>
        <v>0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1568.563768161767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1651.4141397640105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0.50165444221892719</v>
      </c>
      <c r="R273" s="1">
        <v>83</v>
      </c>
      <c r="S273" s="1">
        <v>88</v>
      </c>
      <c r="T273" s="1">
        <v>0</v>
      </c>
      <c r="U273" s="1">
        <f>Games[[#This Row],[PointsFor]]-Games[[#This Row],[PointsAgainst]]</f>
        <v>-5</v>
      </c>
      <c r="V273" s="1">
        <f>IF(Games[[#This Row],[MOV]]&gt;0,1,IF(Games[[#This Row],[MOV]]=0,0.5,0))</f>
        <v>0</v>
      </c>
      <c r="W273" s="4">
        <f>((ABS(Games[[#This Row],[MOV]])+5)^0.6)/(12+0.01*(ABS(Games[[#This Row],[PreGmRate]]-Games[[#This Row],[OppPreGmRate]])))*IF(Games[[#This Row],[OT]]=1,0.9,1)</f>
        <v>0.31033016738832353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3" s="9">
        <f>MAX(kmin, kmax - 0.15 * MIN(Games[[#This Row],[GamesPlayed]], 82))</f>
        <v>72.55</v>
      </c>
      <c r="Z273" s="4">
        <f>Games[[#This Row],[K]]*Games[[#This Row],[POMult]]</f>
        <v>72.55</v>
      </c>
      <c r="AA273" s="4">
        <f>(Games[[#This Row],[Keff]]*Games[[#This Row],[MOVMult]])*(Games[[#This Row],[Result]]-Games[[#This Row],[ExpectedWin%]])</f>
        <v>-11.294475684656186</v>
      </c>
      <c r="AB273" s="4">
        <f>Games[[#This Row],[PreGmRate]]+Games[[#This Row],[RatingChange]]</f>
        <v>1557.2692924771109</v>
      </c>
      <c r="AC273" s="2">
        <f>IF(Games[[#This Row],[Type]]="R",IF(Games[[#This Row],[Result]]&gt;0.5,1,0),0)</f>
        <v>0</v>
      </c>
      <c r="AD273" s="2">
        <f>IF(Games[[#This Row],[Type]]="R",IF(Games[[#This Row],[Result]]&lt;0.5,1,0),0)</f>
        <v>1</v>
      </c>
      <c r="AE273" s="2">
        <f>IF(AND(Games[[#This Row],[Type]]="P",Games[[#This Row],[Round]]=1),IF(Games[[#This Row],[Result]]&gt;0.5,1,0),0)</f>
        <v>0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45132</v>
      </c>
      <c r="B274" s="2">
        <v>2023</v>
      </c>
      <c r="C274" s="2">
        <f>COUNTIFS(Games[Team],Games[[#This Row],[Team]],Games[Season],Games[[#This Row],[Season]],Games[Date],"&lt;=" &amp; Games[[#This Row],[Date]])</f>
        <v>23</v>
      </c>
      <c r="D274" s="2" t="s">
        <v>79</v>
      </c>
      <c r="E274" s="2" t="s">
        <v>80</v>
      </c>
      <c r="F274" s="1" t="s">
        <v>69</v>
      </c>
      <c r="G274" s="1" t="s">
        <v>63</v>
      </c>
      <c r="H274" s="1" t="s">
        <v>81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4" s="2">
        <f>Games[[#This Row],[DaysOff]]-Games[[#This Row],[OppDaysOff]]</f>
        <v>-1</v>
      </c>
      <c r="L274" s="2">
        <f>Games[[#This Row],[OppDaysOff]]-Games[[#This Row],[DaysOff]]</f>
        <v>1</v>
      </c>
      <c r="M274" s="1">
        <f>MAX(-16, MIN(16, Games[[#This Row],[RestDiff]]*8))</f>
        <v>-8</v>
      </c>
      <c r="N274" s="1">
        <f>MAX(-16, MIN(16, Games[[#This Row],[OppRestDiff]]*8))</f>
        <v>8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1360.1053066115751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1372.8885862151724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0.34316245711034854</v>
      </c>
      <c r="R274" s="1">
        <v>78</v>
      </c>
      <c r="S274" s="1">
        <v>79</v>
      </c>
      <c r="T274" s="1">
        <v>0</v>
      </c>
      <c r="U274" s="1">
        <f>Games[[#This Row],[PointsFor]]-Games[[#This Row],[PointsAgainst]]</f>
        <v>-1</v>
      </c>
      <c r="V274" s="1">
        <f>IF(Games[[#This Row],[MOV]]&gt;0,1,IF(Games[[#This Row],[MOV]]=0,0.5,0))</f>
        <v>0</v>
      </c>
      <c r="W274" s="4">
        <f>((ABS(Games[[#This Row],[MOV]])+5)^0.6)/(12+0.01*(ABS(Games[[#This Row],[PreGmRate]]-Games[[#This Row],[OppPreGmRate]])))*IF(Games[[#This Row],[OT]]=1,0.9,1)</f>
        <v>0.24160590773821136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4" s="9">
        <f>MAX(kmin, kmax - 0.15 * MIN(Games[[#This Row],[GamesPlayed]], 82))</f>
        <v>72.55</v>
      </c>
      <c r="Z274" s="4">
        <f>Games[[#This Row],[K]]*Games[[#This Row],[POMult]]</f>
        <v>72.55</v>
      </c>
      <c r="AA274" s="4">
        <f>(Games[[#This Row],[Keff]]*Games[[#This Row],[MOVMult]])*(Games[[#This Row],[Result]]-Games[[#This Row],[ExpectedWin%]])</f>
        <v>-6.0151260828545974</v>
      </c>
      <c r="AB274" s="4">
        <f>Games[[#This Row],[PreGmRate]]+Games[[#This Row],[RatingChange]]</f>
        <v>1354.0901805287206</v>
      </c>
      <c r="AC274" s="2">
        <f>IF(Games[[#This Row],[Type]]="R",IF(Games[[#This Row],[Result]]&gt;0.5,1,0),0)</f>
        <v>0</v>
      </c>
      <c r="AD274" s="2">
        <f>IF(Games[[#This Row],[Type]]="R",IF(Games[[#This Row],[Result]]&lt;0.5,1,0),0)</f>
        <v>1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0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45132</v>
      </c>
      <c r="B275" s="2">
        <v>2023</v>
      </c>
      <c r="C275" s="2">
        <f>COUNTIFS(Games[Team],Games[[#This Row],[Team]],Games[Season],Games[[#This Row],[Season]],Games[Date],"&lt;=" &amp; Games[[#This Row],[Date]])</f>
        <v>23</v>
      </c>
      <c r="D275" s="2" t="s">
        <v>79</v>
      </c>
      <c r="E275" s="2" t="s">
        <v>80</v>
      </c>
      <c r="F275" s="1" t="s">
        <v>63</v>
      </c>
      <c r="G275" s="1" t="s">
        <v>69</v>
      </c>
      <c r="H275" s="1" t="s">
        <v>82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5" s="2">
        <f>Games[[#This Row],[DaysOff]]-Games[[#This Row],[OppDaysOff]]</f>
        <v>1</v>
      </c>
      <c r="L275" s="2">
        <f>Games[[#This Row],[OppDaysOff]]-Games[[#This Row],[DaysOff]]</f>
        <v>-1</v>
      </c>
      <c r="M275" s="1">
        <f>MAX(-16, MIN(16, Games[[#This Row],[RestDiff]]*8))</f>
        <v>8</v>
      </c>
      <c r="N275" s="1">
        <f>MAX(-16, MIN(16, Games[[#This Row],[OppRestDiff]]*8))</f>
        <v>-8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1372.8885862151724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1360.1053066115751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0.65683754288965146</v>
      </c>
      <c r="R275" s="1">
        <v>79</v>
      </c>
      <c r="S275" s="1">
        <v>78</v>
      </c>
      <c r="T275" s="1">
        <v>0</v>
      </c>
      <c r="U275" s="1">
        <f>Games[[#This Row],[PointsFor]]-Games[[#This Row],[PointsAgainst]]</f>
        <v>1</v>
      </c>
      <c r="V275" s="1">
        <f>IF(Games[[#This Row],[MOV]]&gt;0,1,IF(Games[[#This Row],[MOV]]=0,0.5,0))</f>
        <v>1</v>
      </c>
      <c r="W275" s="4">
        <f>((ABS(Games[[#This Row],[MOV]])+5)^0.6)/(12+0.01*(ABS(Games[[#This Row],[PreGmRate]]-Games[[#This Row],[OppPreGmRate]])))*IF(Games[[#This Row],[OT]]=1,0.9,1)</f>
        <v>0.24160590773821136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5" s="9">
        <f>MAX(kmin, kmax - 0.15 * MIN(Games[[#This Row],[GamesPlayed]], 82))</f>
        <v>72.55</v>
      </c>
      <c r="Z275" s="4">
        <f>Games[[#This Row],[K]]*Games[[#This Row],[POMult]]</f>
        <v>72.55</v>
      </c>
      <c r="AA275" s="4">
        <f>(Games[[#This Row],[Keff]]*Games[[#This Row],[MOVMult]])*(Games[[#This Row],[Result]]-Games[[#This Row],[ExpectedWin%]])</f>
        <v>6.0151260828545974</v>
      </c>
      <c r="AB275" s="4">
        <f>Games[[#This Row],[PreGmRate]]+Games[[#This Row],[RatingChange]]</f>
        <v>1378.9037122980269</v>
      </c>
      <c r="AC275" s="2">
        <f>IF(Games[[#This Row],[Type]]="R",IF(Games[[#This Row],[Result]]&gt;0.5,1,0),0)</f>
        <v>1</v>
      </c>
      <c r="AD275" s="2">
        <f>IF(Games[[#This Row],[Type]]="R",IF(Games[[#This Row],[Result]]&lt;0.5,1,0),0)</f>
        <v>0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0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45132</v>
      </c>
      <c r="B276" s="2">
        <v>2023</v>
      </c>
      <c r="C276" s="2">
        <f>COUNTIFS(Games[Team],Games[[#This Row],[Team]],Games[Season],Games[[#This Row],[Season]],Games[Date],"&lt;=" &amp; Games[[#This Row],[Date]])</f>
        <v>23</v>
      </c>
      <c r="D276" s="2" t="s">
        <v>79</v>
      </c>
      <c r="E276" s="2" t="s">
        <v>80</v>
      </c>
      <c r="F276" s="1" t="s">
        <v>71</v>
      </c>
      <c r="G276" s="1" t="s">
        <v>60</v>
      </c>
      <c r="H276" s="1" t="s">
        <v>81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6" s="2">
        <f>Games[[#This Row],[DaysOff]]-Games[[#This Row],[OppDaysOff]]</f>
        <v>1</v>
      </c>
      <c r="L276" s="2">
        <f>Games[[#This Row],[OppDaysOff]]-Games[[#This Row],[DaysOff]]</f>
        <v>-1</v>
      </c>
      <c r="M276" s="1">
        <f>MAX(-16, MIN(16, Games[[#This Row],[RestDiff]]*8))</f>
        <v>8</v>
      </c>
      <c r="N276" s="1">
        <f>MAX(-16, MIN(16, Games[[#This Row],[OppRestDiff]]*8))</f>
        <v>-8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1380.5395447587341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1605.5840688014362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0.15618397105334075</v>
      </c>
      <c r="R276" s="1">
        <v>82</v>
      </c>
      <c r="S276" s="1">
        <v>86</v>
      </c>
      <c r="T276" s="1">
        <v>0</v>
      </c>
      <c r="U276" s="1">
        <f>Games[[#This Row],[PointsFor]]-Games[[#This Row],[PointsAgainst]]</f>
        <v>-4</v>
      </c>
      <c r="V276" s="1">
        <f>IF(Games[[#This Row],[MOV]]&gt;0,1,IF(Games[[#This Row],[MOV]]=0,0.5,0))</f>
        <v>0</v>
      </c>
      <c r="W276" s="4">
        <f>((ABS(Games[[#This Row],[MOV]])+5)^0.6)/(12+0.01*(ABS(Games[[#This Row],[PreGmRate]]-Games[[#This Row],[OppPreGmRate]])))*IF(Games[[#This Row],[OT]]=1,0.9,1)</f>
        <v>0.2622509511663908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6" s="9">
        <f>MAX(kmin, kmax - 0.15 * MIN(Games[[#This Row],[GamesPlayed]], 82))</f>
        <v>72.55</v>
      </c>
      <c r="Z276" s="4">
        <f>Games[[#This Row],[K]]*Games[[#This Row],[POMult]]</f>
        <v>72.55</v>
      </c>
      <c r="AA276" s="4">
        <f>(Games[[#This Row],[Keff]]*Games[[#This Row],[MOVMult]])*(Games[[#This Row],[Result]]-Games[[#This Row],[ExpectedWin%]])</f>
        <v>-2.971604104760277</v>
      </c>
      <c r="AB276" s="4">
        <f>Games[[#This Row],[PreGmRate]]+Games[[#This Row],[RatingChange]]</f>
        <v>1377.5679406539739</v>
      </c>
      <c r="AC276" s="2">
        <f>IF(Games[[#This Row],[Type]]="R",IF(Games[[#This Row],[Result]]&gt;0.5,1,0),0)</f>
        <v>0</v>
      </c>
      <c r="AD276" s="2">
        <f>IF(Games[[#This Row],[Type]]="R",IF(Games[[#This Row],[Result]]&lt;0.5,1,0),0)</f>
        <v>1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0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45132</v>
      </c>
      <c r="B277" s="2">
        <v>2023</v>
      </c>
      <c r="C277" s="2">
        <f>COUNTIFS(Games[Team],Games[[#This Row],[Team]],Games[Season],Games[[#This Row],[Season]],Games[Date],"&lt;=" &amp; Games[[#This Row],[Date]])</f>
        <v>22</v>
      </c>
      <c r="D277" s="2" t="s">
        <v>79</v>
      </c>
      <c r="E277" s="2" t="s">
        <v>80</v>
      </c>
      <c r="F277" s="1" t="s">
        <v>60</v>
      </c>
      <c r="G277" s="1" t="s">
        <v>71</v>
      </c>
      <c r="H277" s="1" t="s">
        <v>82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7" s="2">
        <f>Games[[#This Row],[DaysOff]]-Games[[#This Row],[OppDaysOff]]</f>
        <v>-1</v>
      </c>
      <c r="L277" s="2">
        <f>Games[[#This Row],[OppDaysOff]]-Games[[#This Row],[DaysOff]]</f>
        <v>1</v>
      </c>
      <c r="M277" s="1">
        <f>MAX(-16, MIN(16, Games[[#This Row],[RestDiff]]*8))</f>
        <v>-8</v>
      </c>
      <c r="N277" s="1">
        <f>MAX(-16, MIN(16, Games[[#This Row],[OppRestDiff]]*8))</f>
        <v>8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1605.5840688014362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1380.5395447587341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0.8438160289466593</v>
      </c>
      <c r="R277" s="1">
        <v>86</v>
      </c>
      <c r="S277" s="1">
        <v>82</v>
      </c>
      <c r="T277" s="1">
        <v>0</v>
      </c>
      <c r="U277" s="1">
        <f>Games[[#This Row],[PointsFor]]-Games[[#This Row],[PointsAgainst]]</f>
        <v>4</v>
      </c>
      <c r="V277" s="1">
        <f>IF(Games[[#This Row],[MOV]]&gt;0,1,IF(Games[[#This Row],[MOV]]=0,0.5,0))</f>
        <v>1</v>
      </c>
      <c r="W277" s="4">
        <f>((ABS(Games[[#This Row],[MOV]])+5)^0.6)/(12+0.01*(ABS(Games[[#This Row],[PreGmRate]]-Games[[#This Row],[OppPreGmRate]])))*IF(Games[[#This Row],[OT]]=1,0.9,1)</f>
        <v>0.2622509511663908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7" s="9">
        <f>MAX(kmin, kmax - 0.15 * MIN(Games[[#This Row],[GamesPlayed]], 82))</f>
        <v>72.7</v>
      </c>
      <c r="Z277" s="4">
        <f>Games[[#This Row],[K]]*Games[[#This Row],[POMult]]</f>
        <v>72.7</v>
      </c>
      <c r="AA277" s="4">
        <f>(Games[[#This Row],[Keff]]*Games[[#This Row],[MOVMult]])*(Games[[#This Row],[Result]]-Games[[#This Row],[ExpectedWin%]])</f>
        <v>2.9777480140051282</v>
      </c>
      <c r="AB277" s="4">
        <f>Games[[#This Row],[PreGmRate]]+Games[[#This Row],[RatingChange]]</f>
        <v>1608.5618168154413</v>
      </c>
      <c r="AC277" s="2">
        <f>IF(Games[[#This Row],[Type]]="R",IF(Games[[#This Row],[Result]]&gt;0.5,1,0),0)</f>
        <v>1</v>
      </c>
      <c r="AD277" s="2">
        <f>IF(Games[[#This Row],[Type]]="R",IF(Games[[#This Row],[Result]]&lt;0.5,1,0),0)</f>
        <v>0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0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45133</v>
      </c>
      <c r="B278" s="2">
        <v>2023</v>
      </c>
      <c r="C278" s="2">
        <f>COUNTIFS(Games[Team],Games[[#This Row],[Team]],Games[Season],Games[[#This Row],[Season]],Games[Date],"&lt;=" &amp; Games[[#This Row],[Date]])</f>
        <v>23</v>
      </c>
      <c r="D278" s="2" t="s">
        <v>79</v>
      </c>
      <c r="E278" s="2" t="s">
        <v>80</v>
      </c>
      <c r="F278" s="1" t="s">
        <v>65</v>
      </c>
      <c r="G278" s="1" t="s">
        <v>67</v>
      </c>
      <c r="H278" s="1" t="s">
        <v>81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78" s="2">
        <f>Games[[#This Row],[DaysOff]]-Games[[#This Row],[OppDaysOff]]</f>
        <v>-1</v>
      </c>
      <c r="L278" s="2">
        <f>Games[[#This Row],[OppDaysOff]]-Games[[#This Row],[DaysOff]]</f>
        <v>1</v>
      </c>
      <c r="M278" s="1">
        <f>MAX(-16, MIN(16, Games[[#This Row],[RestDiff]]*8))</f>
        <v>-8</v>
      </c>
      <c r="N278" s="1">
        <f>MAX(-16, MIN(16, Games[[#This Row],[OppRestDiff]]*8))</f>
        <v>8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1520.906785912026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1440.2356346792303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0.47221221260295138</v>
      </c>
      <c r="R278" s="1">
        <v>92</v>
      </c>
      <c r="S278" s="1">
        <v>97</v>
      </c>
      <c r="T278" s="1">
        <v>0</v>
      </c>
      <c r="U278" s="1">
        <f>Games[[#This Row],[PointsFor]]-Games[[#This Row],[PointsAgainst]]</f>
        <v>-5</v>
      </c>
      <c r="V278" s="1">
        <f>IF(Games[[#This Row],[MOV]]&gt;0,1,IF(Games[[#This Row],[MOV]]=0,0.5,0))</f>
        <v>0</v>
      </c>
      <c r="W278" s="4">
        <f>((ABS(Games[[#This Row],[MOV]])+5)^0.6)/(12+0.01*(ABS(Games[[#This Row],[PreGmRate]]-Games[[#This Row],[OppPreGmRate]])))*IF(Games[[#This Row],[OT]]=1,0.9,1)</f>
        <v>0.31085823255273032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8" s="9">
        <f>MAX(kmin, kmax - 0.15 * MIN(Games[[#This Row],[GamesPlayed]], 82))</f>
        <v>72.55</v>
      </c>
      <c r="Z278" s="4">
        <f>Games[[#This Row],[K]]*Games[[#This Row],[POMult]]</f>
        <v>72.55</v>
      </c>
      <c r="AA278" s="4">
        <f>(Games[[#This Row],[Keff]]*Games[[#This Row],[MOVMult]])*(Games[[#This Row],[Result]]-Games[[#This Row],[ExpectedWin%]])</f>
        <v>-10.649690953158629</v>
      </c>
      <c r="AB278" s="4">
        <f>Games[[#This Row],[PreGmRate]]+Games[[#This Row],[RatingChange]]</f>
        <v>1510.2570949588674</v>
      </c>
      <c r="AC278" s="2">
        <f>IF(Games[[#This Row],[Type]]="R",IF(Games[[#This Row],[Result]]&gt;0.5,1,0),0)</f>
        <v>0</v>
      </c>
      <c r="AD278" s="2">
        <f>IF(Games[[#This Row],[Type]]="R",IF(Games[[#This Row],[Result]]&lt;0.5,1,0),0)</f>
        <v>1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0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45133</v>
      </c>
      <c r="B279" s="2">
        <v>2023</v>
      </c>
      <c r="C279" s="2">
        <f>COUNTIFS(Games[Team],Games[[#This Row],[Team]],Games[Season],Games[[#This Row],[Season]],Games[Date],"&lt;=" &amp; Games[[#This Row],[Date]])</f>
        <v>24</v>
      </c>
      <c r="D279" s="2" t="s">
        <v>79</v>
      </c>
      <c r="E279" s="2" t="s">
        <v>80</v>
      </c>
      <c r="F279" s="1" t="s">
        <v>67</v>
      </c>
      <c r="G279" s="1" t="s">
        <v>65</v>
      </c>
      <c r="H279" s="1" t="s">
        <v>82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9" s="2">
        <f>Games[[#This Row],[DaysOff]]-Games[[#This Row],[OppDaysOff]]</f>
        <v>1</v>
      </c>
      <c r="L279" s="2">
        <f>Games[[#This Row],[OppDaysOff]]-Games[[#This Row],[DaysOff]]</f>
        <v>-1</v>
      </c>
      <c r="M279" s="1">
        <f>MAX(-16, MIN(16, Games[[#This Row],[RestDiff]]*8))</f>
        <v>8</v>
      </c>
      <c r="N279" s="1">
        <f>MAX(-16, MIN(16, Games[[#This Row],[OppRestDiff]]*8))</f>
        <v>-8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1440.2356346792303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1520.906785912026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0.52778778739704868</v>
      </c>
      <c r="R279" s="1">
        <v>97</v>
      </c>
      <c r="S279" s="1">
        <v>92</v>
      </c>
      <c r="T279" s="1">
        <v>0</v>
      </c>
      <c r="U279" s="1">
        <f>Games[[#This Row],[PointsFor]]-Games[[#This Row],[PointsAgainst]]</f>
        <v>5</v>
      </c>
      <c r="V279" s="1">
        <f>IF(Games[[#This Row],[MOV]]&gt;0,1,IF(Games[[#This Row],[MOV]]=0,0.5,0))</f>
        <v>1</v>
      </c>
      <c r="W279" s="4">
        <f>((ABS(Games[[#This Row],[MOV]])+5)^0.6)/(12+0.01*(ABS(Games[[#This Row],[PreGmRate]]-Games[[#This Row],[OppPreGmRate]])))*IF(Games[[#This Row],[OT]]=1,0.9,1)</f>
        <v>0.31085823255273032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9" s="9">
        <f>MAX(kmin, kmax - 0.15 * MIN(Games[[#This Row],[GamesPlayed]], 82))</f>
        <v>72.400000000000006</v>
      </c>
      <c r="Z279" s="4">
        <f>Games[[#This Row],[K]]*Games[[#This Row],[POMult]]</f>
        <v>72.400000000000006</v>
      </c>
      <c r="AA279" s="4">
        <f>(Games[[#This Row],[Keff]]*Games[[#This Row],[MOVMult]])*(Games[[#This Row],[Result]]-Games[[#This Row],[ExpectedWin%]])</f>
        <v>10.627672295088692</v>
      </c>
      <c r="AB279" s="4">
        <f>Games[[#This Row],[PreGmRate]]+Games[[#This Row],[RatingChange]]</f>
        <v>1450.8633069743189</v>
      </c>
      <c r="AC279" s="2">
        <f>IF(Games[[#This Row],[Type]]="R",IF(Games[[#This Row],[Result]]&gt;0.5,1,0),0)</f>
        <v>1</v>
      </c>
      <c r="AD279" s="2">
        <f>IF(Games[[#This Row],[Type]]="R",IF(Games[[#This Row],[Result]]&lt;0.5,1,0),0)</f>
        <v>0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0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45134</v>
      </c>
      <c r="B280" s="2">
        <v>2023</v>
      </c>
      <c r="C280" s="2">
        <f>COUNTIFS(Games[Team],Games[[#This Row],[Team]],Games[Season],Games[[#This Row],[Season]],Games[Date],"&lt;=" &amp; Games[[#This Row],[Date]])</f>
        <v>24</v>
      </c>
      <c r="D280" s="2" t="s">
        <v>79</v>
      </c>
      <c r="E280" s="2" t="s">
        <v>80</v>
      </c>
      <c r="F280" s="1" t="s">
        <v>69</v>
      </c>
      <c r="G280" s="1" t="s">
        <v>63</v>
      </c>
      <c r="H280" s="1" t="s">
        <v>81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0" s="2">
        <f>Games[[#This Row],[DaysOff]]-Games[[#This Row],[OppDaysOff]]</f>
        <v>0</v>
      </c>
      <c r="L280" s="2">
        <f>Games[[#This Row],[OppDaysOff]]-Games[[#This Row],[DaysOff]]</f>
        <v>0</v>
      </c>
      <c r="M280" s="1">
        <f>MAX(-16, MIN(16, Games[[#This Row],[RestDiff]]*8))</f>
        <v>0</v>
      </c>
      <c r="N280" s="1">
        <f>MAX(-16, MIN(16, Games[[#This Row],[OppRestDiff]]*8))</f>
        <v>0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1354.0901805287206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1378.9037122980269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0.34833157810217463</v>
      </c>
      <c r="R280" s="1">
        <v>68</v>
      </c>
      <c r="S280" s="1">
        <v>81</v>
      </c>
      <c r="T280" s="1">
        <v>0</v>
      </c>
      <c r="U280" s="1">
        <f>Games[[#This Row],[PointsFor]]-Games[[#This Row],[PointsAgainst]]</f>
        <v>-13</v>
      </c>
      <c r="V280" s="1">
        <f>IF(Games[[#This Row],[MOV]]&gt;0,1,IF(Games[[#This Row],[MOV]]=0,0.5,0))</f>
        <v>0</v>
      </c>
      <c r="W280" s="4">
        <f>((ABS(Games[[#This Row],[MOV]])+5)^0.6)/(12+0.01*(ABS(Games[[#This Row],[PreGmRate]]-Games[[#This Row],[OppPreGmRate]])))*IF(Games[[#This Row],[OT]]=1,0.9,1)</f>
        <v>0.46248060793276119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0" s="9">
        <f>MAX(kmin, kmax - 0.15 * MIN(Games[[#This Row],[GamesPlayed]], 82))</f>
        <v>72.400000000000006</v>
      </c>
      <c r="Z280" s="4">
        <f>Games[[#This Row],[K]]*Games[[#This Row],[POMult]]</f>
        <v>72.400000000000006</v>
      </c>
      <c r="AA280" s="4">
        <f>(Games[[#This Row],[Keff]]*Games[[#This Row],[MOVMult]])*(Games[[#This Row],[Result]]-Games[[#This Row],[ExpectedWin%]])</f>
        <v>-11.66339384020792</v>
      </c>
      <c r="AB280" s="4">
        <f>Games[[#This Row],[PreGmRate]]+Games[[#This Row],[RatingChange]]</f>
        <v>1342.4267866885127</v>
      </c>
      <c r="AC280" s="2">
        <f>IF(Games[[#This Row],[Type]]="R",IF(Games[[#This Row],[Result]]&gt;0.5,1,0),0)</f>
        <v>0</v>
      </c>
      <c r="AD280" s="2">
        <f>IF(Games[[#This Row],[Type]]="R",IF(Games[[#This Row],[Result]]&lt;0.5,1,0),0)</f>
        <v>1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0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45134</v>
      </c>
      <c r="B281" s="2">
        <v>2023</v>
      </c>
      <c r="C281" s="2">
        <f>COUNTIFS(Games[Team],Games[[#This Row],[Team]],Games[Season],Games[[#This Row],[Season]],Games[Date],"&lt;=" &amp; Games[[#This Row],[Date]])</f>
        <v>24</v>
      </c>
      <c r="D281" s="2" t="s">
        <v>79</v>
      </c>
      <c r="E281" s="2" t="s">
        <v>80</v>
      </c>
      <c r="F281" s="1" t="s">
        <v>63</v>
      </c>
      <c r="G281" s="1" t="s">
        <v>69</v>
      </c>
      <c r="H281" s="1" t="s">
        <v>82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1" s="2">
        <f>Games[[#This Row],[DaysOff]]-Games[[#This Row],[OppDaysOff]]</f>
        <v>0</v>
      </c>
      <c r="L281" s="2">
        <f>Games[[#This Row],[OppDaysOff]]-Games[[#This Row],[DaysOff]]</f>
        <v>0</v>
      </c>
      <c r="M281" s="1">
        <f>MAX(-16, MIN(16, Games[[#This Row],[RestDiff]]*8))</f>
        <v>0</v>
      </c>
      <c r="N281" s="1">
        <f>MAX(-16, MIN(16, Games[[#This Row],[OppRestDiff]]*8))</f>
        <v>0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1378.9037122980269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1354.0901805287206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0.65166842189782537</v>
      </c>
      <c r="R281" s="1">
        <v>81</v>
      </c>
      <c r="S281" s="1">
        <v>68</v>
      </c>
      <c r="T281" s="1">
        <v>0</v>
      </c>
      <c r="U281" s="1">
        <f>Games[[#This Row],[PointsFor]]-Games[[#This Row],[PointsAgainst]]</f>
        <v>13</v>
      </c>
      <c r="V281" s="1">
        <f>IF(Games[[#This Row],[MOV]]&gt;0,1,IF(Games[[#This Row],[MOV]]=0,0.5,0))</f>
        <v>1</v>
      </c>
      <c r="W281" s="4">
        <f>((ABS(Games[[#This Row],[MOV]])+5)^0.6)/(12+0.01*(ABS(Games[[#This Row],[PreGmRate]]-Games[[#This Row],[OppPreGmRate]])))*IF(Games[[#This Row],[OT]]=1,0.9,1)</f>
        <v>0.46248060793276119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1" s="9">
        <f>MAX(kmin, kmax - 0.15 * MIN(Games[[#This Row],[GamesPlayed]], 82))</f>
        <v>72.400000000000006</v>
      </c>
      <c r="Z281" s="4">
        <f>Games[[#This Row],[K]]*Games[[#This Row],[POMult]]</f>
        <v>72.400000000000006</v>
      </c>
      <c r="AA281" s="4">
        <f>(Games[[#This Row],[Keff]]*Games[[#This Row],[MOVMult]])*(Games[[#This Row],[Result]]-Games[[#This Row],[ExpectedWin%]])</f>
        <v>11.66339384020792</v>
      </c>
      <c r="AB281" s="4">
        <f>Games[[#This Row],[PreGmRate]]+Games[[#This Row],[RatingChange]]</f>
        <v>1390.5671061382347</v>
      </c>
      <c r="AC281" s="2">
        <f>IF(Games[[#This Row],[Type]]="R",IF(Games[[#This Row],[Result]]&gt;0.5,1,0),0)</f>
        <v>1</v>
      </c>
      <c r="AD281" s="2">
        <f>IF(Games[[#This Row],[Type]]="R",IF(Games[[#This Row],[Result]]&lt;0.5,1,0),0)</f>
        <v>0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0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45134</v>
      </c>
      <c r="B282" s="2">
        <v>2023</v>
      </c>
      <c r="C282" s="2">
        <f>COUNTIFS(Games[Team],Games[[#This Row],[Team]],Games[Season],Games[[#This Row],[Season]],Games[Date],"&lt;=" &amp; Games[[#This Row],[Date]])</f>
        <v>24</v>
      </c>
      <c r="D282" s="2" t="s">
        <v>79</v>
      </c>
      <c r="E282" s="2" t="s">
        <v>80</v>
      </c>
      <c r="F282" s="1" t="s">
        <v>77</v>
      </c>
      <c r="G282" s="1" t="s">
        <v>60</v>
      </c>
      <c r="H282" s="1" t="s">
        <v>81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2" s="2">
        <f>Games[[#This Row],[DaysOff]]-Games[[#This Row],[OppDaysOff]]</f>
        <v>0</v>
      </c>
      <c r="L282" s="2">
        <f>Games[[#This Row],[OppDaysOff]]-Games[[#This Row],[DaysOff]]</f>
        <v>0</v>
      </c>
      <c r="M282" s="1">
        <f>MAX(-16, MIN(16, Games[[#This Row],[RestDiff]]*8))</f>
        <v>0</v>
      </c>
      <c r="N282" s="1">
        <f>MAX(-16, MIN(16, Games[[#This Row],[OppRestDiff]]*8))</f>
        <v>0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1517.2346081677688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1608.5618168154413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0.26712380562810428</v>
      </c>
      <c r="R282" s="1">
        <v>84</v>
      </c>
      <c r="S282" s="1">
        <v>95</v>
      </c>
      <c r="T282" s="1">
        <v>0</v>
      </c>
      <c r="U282" s="1">
        <f>Games[[#This Row],[PointsFor]]-Games[[#This Row],[PointsAgainst]]</f>
        <v>-11</v>
      </c>
      <c r="V282" s="1">
        <f>IF(Games[[#This Row],[MOV]]&gt;0,1,IF(Games[[#This Row],[MOV]]=0,0.5,0))</f>
        <v>0</v>
      </c>
      <c r="W282" s="4">
        <f>((ABS(Games[[#This Row],[MOV]])+5)^0.6)/(12+0.01*(ABS(Games[[#This Row],[PreGmRate]]-Games[[#This Row],[OppPreGmRate]])))*IF(Games[[#This Row],[OT]]=1,0.9,1)</f>
        <v>0.40872922120327149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2" s="9">
        <f>MAX(kmin, kmax - 0.15 * MIN(Games[[#This Row],[GamesPlayed]], 82))</f>
        <v>72.400000000000006</v>
      </c>
      <c r="Z282" s="4">
        <f>Games[[#This Row],[K]]*Games[[#This Row],[POMult]]</f>
        <v>72.400000000000006</v>
      </c>
      <c r="AA282" s="4">
        <f>(Games[[#This Row],[Keff]]*Games[[#This Row],[MOVMult]])*(Games[[#This Row],[Result]]-Games[[#This Row],[ExpectedWin%]])</f>
        <v>-7.9047264848401895</v>
      </c>
      <c r="AB282" s="4">
        <f>Games[[#This Row],[PreGmRate]]+Games[[#This Row],[RatingChange]]</f>
        <v>1509.3298816829285</v>
      </c>
      <c r="AC282" s="2">
        <f>IF(Games[[#This Row],[Type]]="R",IF(Games[[#This Row],[Result]]&gt;0.5,1,0),0)</f>
        <v>0</v>
      </c>
      <c r="AD282" s="2">
        <f>IF(Games[[#This Row],[Type]]="R",IF(Games[[#This Row],[Result]]&lt;0.5,1,0),0)</f>
        <v>1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0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45134</v>
      </c>
      <c r="B283" s="2">
        <v>2023</v>
      </c>
      <c r="C283" s="2">
        <f>COUNTIFS(Games[Team],Games[[#This Row],[Team]],Games[Season],Games[[#This Row],[Season]],Games[Date],"&lt;=" &amp; Games[[#This Row],[Date]])</f>
        <v>23</v>
      </c>
      <c r="D283" s="2" t="s">
        <v>79</v>
      </c>
      <c r="E283" s="2" t="s">
        <v>80</v>
      </c>
      <c r="F283" s="1" t="s">
        <v>60</v>
      </c>
      <c r="G283" s="1" t="s">
        <v>77</v>
      </c>
      <c r="H283" s="1" t="s">
        <v>82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3" s="2">
        <f>Games[[#This Row],[DaysOff]]-Games[[#This Row],[OppDaysOff]]</f>
        <v>0</v>
      </c>
      <c r="L283" s="2">
        <f>Games[[#This Row],[OppDaysOff]]-Games[[#This Row],[DaysOff]]</f>
        <v>0</v>
      </c>
      <c r="M283" s="1">
        <f>MAX(-16, MIN(16, Games[[#This Row],[RestDiff]]*8))</f>
        <v>0</v>
      </c>
      <c r="N283" s="1">
        <f>MAX(-16, MIN(16, Games[[#This Row],[OppRestDiff]]*8))</f>
        <v>0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1608.5618168154413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1517.2346081677688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0.73287619437189577</v>
      </c>
      <c r="R283" s="1">
        <v>95</v>
      </c>
      <c r="S283" s="1">
        <v>84</v>
      </c>
      <c r="T283" s="1">
        <v>0</v>
      </c>
      <c r="U283" s="1">
        <f>Games[[#This Row],[PointsFor]]-Games[[#This Row],[PointsAgainst]]</f>
        <v>11</v>
      </c>
      <c r="V283" s="1">
        <f>IF(Games[[#This Row],[MOV]]&gt;0,1,IF(Games[[#This Row],[MOV]]=0,0.5,0))</f>
        <v>1</v>
      </c>
      <c r="W283" s="4">
        <f>((ABS(Games[[#This Row],[MOV]])+5)^0.6)/(12+0.01*(ABS(Games[[#This Row],[PreGmRate]]-Games[[#This Row],[OppPreGmRate]])))*IF(Games[[#This Row],[OT]]=1,0.9,1)</f>
        <v>0.40872922120327149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3" s="9">
        <f>MAX(kmin, kmax - 0.15 * MIN(Games[[#This Row],[GamesPlayed]], 82))</f>
        <v>72.55</v>
      </c>
      <c r="Z283" s="4">
        <f>Games[[#This Row],[K]]*Games[[#This Row],[POMult]]</f>
        <v>72.55</v>
      </c>
      <c r="AA283" s="4">
        <f>(Games[[#This Row],[Keff]]*Games[[#This Row],[MOVMult]])*(Games[[#This Row],[Result]]-Games[[#This Row],[ExpectedWin%]])</f>
        <v>7.9211036805960715</v>
      </c>
      <c r="AB283" s="4">
        <f>Games[[#This Row],[PreGmRate]]+Games[[#This Row],[RatingChange]]</f>
        <v>1616.4829204960374</v>
      </c>
      <c r="AC283" s="2">
        <f>IF(Games[[#This Row],[Type]]="R",IF(Games[[#This Row],[Result]]&gt;0.5,1,0),0)</f>
        <v>1</v>
      </c>
      <c r="AD283" s="2">
        <f>IF(Games[[#This Row],[Type]]="R",IF(Games[[#This Row],[Result]]&lt;0.5,1,0),0)</f>
        <v>0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0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45135</v>
      </c>
      <c r="B284" s="2">
        <v>2023</v>
      </c>
      <c r="C284" s="2">
        <f>COUNTIFS(Games[Team],Games[[#This Row],[Team]],Games[Season],Games[[#This Row],[Season]],Games[Date],"&lt;=" &amp; Games[[#This Row],[Date]])</f>
        <v>24</v>
      </c>
      <c r="D284" s="2" t="s">
        <v>79</v>
      </c>
      <c r="E284" s="2" t="s">
        <v>80</v>
      </c>
      <c r="F284" s="1" t="s">
        <v>71</v>
      </c>
      <c r="G284" s="1" t="s">
        <v>75</v>
      </c>
      <c r="H284" s="1" t="s">
        <v>81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4" s="2">
        <f>Games[[#This Row],[DaysOff]]-Games[[#This Row],[OppDaysOff]]</f>
        <v>0</v>
      </c>
      <c r="L284" s="2">
        <f>Games[[#This Row],[OppDaysOff]]-Games[[#This Row],[DaysOff]]</f>
        <v>0</v>
      </c>
      <c r="M284" s="1">
        <f>MAX(-16, MIN(16, Games[[#This Row],[RestDiff]]*8))</f>
        <v>0</v>
      </c>
      <c r="N284" s="1">
        <f>MAX(-16, MIN(16, Games[[#This Row],[OppRestDiff]]*8))</f>
        <v>0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1377.5679406539739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1450.4228651076357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0.28844885090827294</v>
      </c>
      <c r="R284" s="1">
        <v>83</v>
      </c>
      <c r="S284" s="1">
        <v>74</v>
      </c>
      <c r="T284" s="1">
        <v>0</v>
      </c>
      <c r="U284" s="1">
        <f>Games[[#This Row],[PointsFor]]-Games[[#This Row],[PointsAgainst]]</f>
        <v>9</v>
      </c>
      <c r="V284" s="1">
        <f>IF(Games[[#This Row],[MOV]]&gt;0,1,IF(Games[[#This Row],[MOV]]=0,0.5,0))</f>
        <v>1</v>
      </c>
      <c r="W284" s="4">
        <f>((ABS(Games[[#This Row],[MOV]])+5)^0.6)/(12+0.01*(ABS(Games[[#This Row],[PreGmRate]]-Games[[#This Row],[OppPreGmRate]])))*IF(Games[[#This Row],[OT]]=1,0.9,1)</f>
        <v>0.3827347667180484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4" s="9">
        <f>MAX(kmin, kmax - 0.15 * MIN(Games[[#This Row],[GamesPlayed]], 82))</f>
        <v>72.400000000000006</v>
      </c>
      <c r="Z284" s="4">
        <f>Games[[#This Row],[K]]*Games[[#This Row],[POMult]]</f>
        <v>72.400000000000006</v>
      </c>
      <c r="AA284" s="4">
        <f>(Games[[#This Row],[Keff]]*Games[[#This Row],[MOVMult]])*(Games[[#This Row],[Result]]-Games[[#This Row],[ExpectedWin%]])</f>
        <v>19.717080285224096</v>
      </c>
      <c r="AB284" s="4">
        <f>Games[[#This Row],[PreGmRate]]+Games[[#This Row],[RatingChange]]</f>
        <v>1397.2850209391979</v>
      </c>
      <c r="AC284" s="2">
        <f>IF(Games[[#This Row],[Type]]="R",IF(Games[[#This Row],[Result]]&gt;0.5,1,0),0)</f>
        <v>1</v>
      </c>
      <c r="AD284" s="2">
        <f>IF(Games[[#This Row],[Type]]="R",IF(Games[[#This Row],[Result]]&lt;0.5,1,0),0)</f>
        <v>0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0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45135</v>
      </c>
      <c r="B285" s="2">
        <v>2023</v>
      </c>
      <c r="C285" s="2">
        <f>COUNTIFS(Games[Team],Games[[#This Row],[Team]],Games[Season],Games[[#This Row],[Season]],Games[Date],"&lt;=" &amp; Games[[#This Row],[Date]])</f>
        <v>24</v>
      </c>
      <c r="D285" s="2" t="s">
        <v>79</v>
      </c>
      <c r="E285" s="2" t="s">
        <v>80</v>
      </c>
      <c r="F285" s="1" t="s">
        <v>75</v>
      </c>
      <c r="G285" s="1" t="s">
        <v>71</v>
      </c>
      <c r="H285" s="1" t="s">
        <v>82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5" s="2">
        <f>Games[[#This Row],[DaysOff]]-Games[[#This Row],[OppDaysOff]]</f>
        <v>0</v>
      </c>
      <c r="L285" s="2">
        <f>Games[[#This Row],[OppDaysOff]]-Games[[#This Row],[DaysOff]]</f>
        <v>0</v>
      </c>
      <c r="M285" s="1">
        <f>MAX(-16, MIN(16, Games[[#This Row],[RestDiff]]*8))</f>
        <v>0</v>
      </c>
      <c r="N285" s="1">
        <f>MAX(-16, MIN(16, Games[[#This Row],[OppRestDiff]]*8))</f>
        <v>0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1450.4228651076357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1377.5679406539739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0.71155114909172701</v>
      </c>
      <c r="R285" s="1">
        <v>74</v>
      </c>
      <c r="S285" s="1">
        <v>83</v>
      </c>
      <c r="T285" s="1">
        <v>0</v>
      </c>
      <c r="U285" s="1">
        <f>Games[[#This Row],[PointsFor]]-Games[[#This Row],[PointsAgainst]]</f>
        <v>-9</v>
      </c>
      <c r="V285" s="1">
        <f>IF(Games[[#This Row],[MOV]]&gt;0,1,IF(Games[[#This Row],[MOV]]=0,0.5,0))</f>
        <v>0</v>
      </c>
      <c r="W285" s="4">
        <f>((ABS(Games[[#This Row],[MOV]])+5)^0.6)/(12+0.01*(ABS(Games[[#This Row],[PreGmRate]]-Games[[#This Row],[OppPreGmRate]])))*IF(Games[[#This Row],[OT]]=1,0.9,1)</f>
        <v>0.3827347667180484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5" s="9">
        <f>MAX(kmin, kmax - 0.15 * MIN(Games[[#This Row],[GamesPlayed]], 82))</f>
        <v>72.400000000000006</v>
      </c>
      <c r="Z285" s="4">
        <f>Games[[#This Row],[K]]*Games[[#This Row],[POMult]]</f>
        <v>72.400000000000006</v>
      </c>
      <c r="AA285" s="4">
        <f>(Games[[#This Row],[Keff]]*Games[[#This Row],[MOVMult]])*(Games[[#This Row],[Result]]-Games[[#This Row],[ExpectedWin%]])</f>
        <v>-19.717080285224096</v>
      </c>
      <c r="AB285" s="4">
        <f>Games[[#This Row],[PreGmRate]]+Games[[#This Row],[RatingChange]]</f>
        <v>1430.7057848224117</v>
      </c>
      <c r="AC285" s="2">
        <f>IF(Games[[#This Row],[Type]]="R",IF(Games[[#This Row],[Result]]&gt;0.5,1,0),0)</f>
        <v>0</v>
      </c>
      <c r="AD285" s="2">
        <f>IF(Games[[#This Row],[Type]]="R",IF(Games[[#This Row],[Result]]&lt;0.5,1,0),0)</f>
        <v>1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0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45135</v>
      </c>
      <c r="B286" s="2">
        <v>2023</v>
      </c>
      <c r="C286" s="2">
        <f>COUNTIFS(Games[Team],Games[[#This Row],[Team]],Games[Season],Games[[#This Row],[Season]],Games[Date],"&lt;=" &amp; Games[[#This Row],[Date]])</f>
        <v>24</v>
      </c>
      <c r="D286" s="2" t="s">
        <v>79</v>
      </c>
      <c r="E286" s="2" t="s">
        <v>80</v>
      </c>
      <c r="F286" s="1" t="s">
        <v>65</v>
      </c>
      <c r="G286" s="1" t="s">
        <v>85</v>
      </c>
      <c r="H286" s="1" t="s">
        <v>81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6" s="2">
        <f>Games[[#This Row],[DaysOff]]-Games[[#This Row],[OppDaysOff]]</f>
        <v>-1</v>
      </c>
      <c r="L286" s="2">
        <f>Games[[#This Row],[OppDaysOff]]-Games[[#This Row],[DaysOff]]</f>
        <v>1</v>
      </c>
      <c r="M286" s="1">
        <f>MAX(-16, MIN(16, Games[[#This Row],[RestDiff]]*8))</f>
        <v>-8</v>
      </c>
      <c r="N286" s="1">
        <f>MAX(-16, MIN(16, Games[[#This Row],[OppRestDiff]]*8))</f>
        <v>8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1510.2570949588674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1557.2692924771109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0.30021584541466345</v>
      </c>
      <c r="R286" s="1">
        <v>62</v>
      </c>
      <c r="S286" s="1">
        <v>90</v>
      </c>
      <c r="T286" s="1">
        <v>0</v>
      </c>
      <c r="U286" s="1">
        <f>Games[[#This Row],[PointsFor]]-Games[[#This Row],[PointsAgainst]]</f>
        <v>-28</v>
      </c>
      <c r="V286" s="1">
        <f>IF(Games[[#This Row],[MOV]]&gt;0,1,IF(Games[[#This Row],[MOV]]=0,0.5,0))</f>
        <v>0</v>
      </c>
      <c r="W286" s="4">
        <f>((ABS(Games[[#This Row],[MOV]])+5)^0.6)/(12+0.01*(ABS(Games[[#This Row],[PreGmRate]]-Games[[#This Row],[OppPreGmRate]])))*IF(Games[[#This Row],[OT]]=1,0.9,1)</f>
        <v>0.65348806828600481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6" s="9">
        <f>MAX(kmin, kmax - 0.15 * MIN(Games[[#This Row],[GamesPlayed]], 82))</f>
        <v>72.400000000000006</v>
      </c>
      <c r="Z286" s="4">
        <f>Games[[#This Row],[K]]*Games[[#This Row],[POMult]]</f>
        <v>72.400000000000006</v>
      </c>
      <c r="AA286" s="4">
        <f>(Games[[#This Row],[Keff]]*Games[[#This Row],[MOVMult]])*(Games[[#This Row],[Result]]-Games[[#This Row],[ExpectedWin%]])</f>
        <v>-14.203973037154787</v>
      </c>
      <c r="AB286" s="4">
        <f>Games[[#This Row],[PreGmRate]]+Games[[#This Row],[RatingChange]]</f>
        <v>1496.0531219217125</v>
      </c>
      <c r="AC286" s="2">
        <f>IF(Games[[#This Row],[Type]]="R",IF(Games[[#This Row],[Result]]&gt;0.5,1,0),0)</f>
        <v>0</v>
      </c>
      <c r="AD286" s="2">
        <f>IF(Games[[#This Row],[Type]]="R",IF(Games[[#This Row],[Result]]&lt;0.5,1,0),0)</f>
        <v>1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0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45135</v>
      </c>
      <c r="B287" s="2">
        <v>2023</v>
      </c>
      <c r="C287" s="2">
        <f>COUNTIFS(Games[Team],Games[[#This Row],[Team]],Games[Season],Games[[#This Row],[Season]],Games[Date],"&lt;=" &amp; Games[[#This Row],[Date]])</f>
        <v>24</v>
      </c>
      <c r="D287" s="2" t="s">
        <v>79</v>
      </c>
      <c r="E287" s="2" t="s">
        <v>80</v>
      </c>
      <c r="F287" s="1" t="s">
        <v>85</v>
      </c>
      <c r="G287" s="1" t="s">
        <v>65</v>
      </c>
      <c r="H287" s="1" t="s">
        <v>82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7" s="2">
        <f>Games[[#This Row],[DaysOff]]-Games[[#This Row],[OppDaysOff]]</f>
        <v>1</v>
      </c>
      <c r="L287" s="2">
        <f>Games[[#This Row],[OppDaysOff]]-Games[[#This Row],[DaysOff]]</f>
        <v>-1</v>
      </c>
      <c r="M287" s="1">
        <f>MAX(-16, MIN(16, Games[[#This Row],[RestDiff]]*8))</f>
        <v>8</v>
      </c>
      <c r="N287" s="1">
        <f>MAX(-16, MIN(16, Games[[#This Row],[OppRestDiff]]*8))</f>
        <v>-8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1557.2692924771109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1510.2570949588674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0.69978415458533649</v>
      </c>
      <c r="R287" s="1">
        <v>90</v>
      </c>
      <c r="S287" s="1">
        <v>62</v>
      </c>
      <c r="T287" s="1">
        <v>0</v>
      </c>
      <c r="U287" s="1">
        <f>Games[[#This Row],[PointsFor]]-Games[[#This Row],[PointsAgainst]]</f>
        <v>28</v>
      </c>
      <c r="V287" s="1">
        <f>IF(Games[[#This Row],[MOV]]&gt;0,1,IF(Games[[#This Row],[MOV]]=0,0.5,0))</f>
        <v>1</v>
      </c>
      <c r="W287" s="4">
        <f>((ABS(Games[[#This Row],[MOV]])+5)^0.6)/(12+0.01*(ABS(Games[[#This Row],[PreGmRate]]-Games[[#This Row],[OppPreGmRate]])))*IF(Games[[#This Row],[OT]]=1,0.9,1)</f>
        <v>0.65348806828600481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7" s="9">
        <f>MAX(kmin, kmax - 0.15 * MIN(Games[[#This Row],[GamesPlayed]], 82))</f>
        <v>72.400000000000006</v>
      </c>
      <c r="Z287" s="4">
        <f>Games[[#This Row],[K]]*Games[[#This Row],[POMult]]</f>
        <v>72.400000000000006</v>
      </c>
      <c r="AA287" s="4">
        <f>(Games[[#This Row],[Keff]]*Games[[#This Row],[MOVMult]])*(Games[[#This Row],[Result]]-Games[[#This Row],[ExpectedWin%]])</f>
        <v>14.203973037154791</v>
      </c>
      <c r="AB287" s="4">
        <f>Games[[#This Row],[PreGmRate]]+Games[[#This Row],[RatingChange]]</f>
        <v>1571.4732655142657</v>
      </c>
      <c r="AC287" s="2">
        <f>IF(Games[[#This Row],[Type]]="R",IF(Games[[#This Row],[Result]]&gt;0.5,1,0),0)</f>
        <v>1</v>
      </c>
      <c r="AD287" s="2">
        <f>IF(Games[[#This Row],[Type]]="R",IF(Games[[#This Row],[Result]]&lt;0.5,1,0),0)</f>
        <v>0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0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45135</v>
      </c>
      <c r="B288" s="2">
        <v>2023</v>
      </c>
      <c r="C288" s="2">
        <f>COUNTIFS(Games[Team],Games[[#This Row],[Team]],Games[Season],Games[[#This Row],[Season]],Games[Date],"&lt;=" &amp; Games[[#This Row],[Date]])</f>
        <v>25</v>
      </c>
      <c r="D288" s="2" t="s">
        <v>79</v>
      </c>
      <c r="E288" s="2" t="s">
        <v>80</v>
      </c>
      <c r="F288" s="1" t="s">
        <v>67</v>
      </c>
      <c r="G288" s="1" t="s">
        <v>60</v>
      </c>
      <c r="H288" s="1" t="s">
        <v>81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88" s="2">
        <f>Games[[#This Row],[DaysOff]]-Games[[#This Row],[OppDaysOff]]</f>
        <v>1</v>
      </c>
      <c r="L288" s="2">
        <f>Games[[#This Row],[OppDaysOff]]-Games[[#This Row],[DaysOff]]</f>
        <v>-1</v>
      </c>
      <c r="M288" s="1">
        <f>MAX(-16, MIN(16, Games[[#This Row],[RestDiff]]*8))</f>
        <v>8</v>
      </c>
      <c r="N288" s="1">
        <f>MAX(-16, MIN(16, Games[[#This Row],[OppRestDiff]]*8))</f>
        <v>-8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1450.8633069743189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1616.4829204960374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0.20671810258639625</v>
      </c>
      <c r="R288" s="1">
        <v>88</v>
      </c>
      <c r="S288" s="1">
        <v>83</v>
      </c>
      <c r="T288" s="1">
        <v>0</v>
      </c>
      <c r="U288" s="1">
        <f>Games[[#This Row],[PointsFor]]-Games[[#This Row],[PointsAgainst]]</f>
        <v>5</v>
      </c>
      <c r="V288" s="1">
        <f>IF(Games[[#This Row],[MOV]]&gt;0,1,IF(Games[[#This Row],[MOV]]=0,0.5,0))</f>
        <v>1</v>
      </c>
      <c r="W288" s="4">
        <f>((ABS(Games[[#This Row],[MOV]])+5)^0.6)/(12+0.01*(ABS(Games[[#This Row],[PreGmRate]]-Games[[#This Row],[OppPreGmRate]])))*IF(Games[[#This Row],[OT]]=1,0.9,1)</f>
        <v>0.29152127474710282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8" s="9">
        <f>MAX(kmin, kmax - 0.15 * MIN(Games[[#This Row],[GamesPlayed]], 82))</f>
        <v>72.25</v>
      </c>
      <c r="Z288" s="4">
        <f>Games[[#This Row],[K]]*Games[[#This Row],[POMult]]</f>
        <v>72.25</v>
      </c>
      <c r="AA288" s="4">
        <f>(Games[[#This Row],[Keff]]*Games[[#This Row],[MOVMult]])*(Games[[#This Row],[Result]]-Games[[#This Row],[ExpectedWin%]])</f>
        <v>16.708430235174578</v>
      </c>
      <c r="AB288" s="4">
        <f>Games[[#This Row],[PreGmRate]]+Games[[#This Row],[RatingChange]]</f>
        <v>1467.5717372094934</v>
      </c>
      <c r="AC288" s="2">
        <f>IF(Games[[#This Row],[Type]]="R",IF(Games[[#This Row],[Result]]&gt;0.5,1,0),0)</f>
        <v>1</v>
      </c>
      <c r="AD288" s="2">
        <f>IF(Games[[#This Row],[Type]]="R",IF(Games[[#This Row],[Result]]&lt;0.5,1,0),0)</f>
        <v>0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0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45135</v>
      </c>
      <c r="B289" s="2">
        <v>2023</v>
      </c>
      <c r="C289" s="2">
        <f>COUNTIFS(Games[Team],Games[[#This Row],[Team]],Games[Season],Games[[#This Row],[Season]],Games[Date],"&lt;=" &amp; Games[[#This Row],[Date]])</f>
        <v>24</v>
      </c>
      <c r="D289" s="2" t="s">
        <v>79</v>
      </c>
      <c r="E289" s="2" t="s">
        <v>80</v>
      </c>
      <c r="F289" s="1" t="s">
        <v>60</v>
      </c>
      <c r="G289" s="1" t="s">
        <v>67</v>
      </c>
      <c r="H289" s="1" t="s">
        <v>82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0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9" s="2">
        <f>Games[[#This Row],[DaysOff]]-Games[[#This Row],[OppDaysOff]]</f>
        <v>-1</v>
      </c>
      <c r="L289" s="2">
        <f>Games[[#This Row],[OppDaysOff]]-Games[[#This Row],[DaysOff]]</f>
        <v>1</v>
      </c>
      <c r="M289" s="1">
        <f>MAX(-16, MIN(16, Games[[#This Row],[RestDiff]]*8))</f>
        <v>-8</v>
      </c>
      <c r="N289" s="1">
        <f>MAX(-16, MIN(16, Games[[#This Row],[OppRestDiff]]*8))</f>
        <v>8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1616.4829204960374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1450.8633069743189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0.79328189741360378</v>
      </c>
      <c r="R289" s="1">
        <v>83</v>
      </c>
      <c r="S289" s="1">
        <v>88</v>
      </c>
      <c r="T289" s="1">
        <v>0</v>
      </c>
      <c r="U289" s="1">
        <f>Games[[#This Row],[PointsFor]]-Games[[#This Row],[PointsAgainst]]</f>
        <v>-5</v>
      </c>
      <c r="V289" s="1">
        <f>IF(Games[[#This Row],[MOV]]&gt;0,1,IF(Games[[#This Row],[MOV]]=0,0.5,0))</f>
        <v>0</v>
      </c>
      <c r="W289" s="4">
        <f>((ABS(Games[[#This Row],[MOV]])+5)^0.6)/(12+0.01*(ABS(Games[[#This Row],[PreGmRate]]-Games[[#This Row],[OppPreGmRate]])))*IF(Games[[#This Row],[OT]]=1,0.9,1)</f>
        <v>0.29152127474710282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9" s="9">
        <f>MAX(kmin, kmax - 0.15 * MIN(Games[[#This Row],[GamesPlayed]], 82))</f>
        <v>72.400000000000006</v>
      </c>
      <c r="Z289" s="4">
        <f>Games[[#This Row],[K]]*Games[[#This Row],[POMult]]</f>
        <v>72.400000000000006</v>
      </c>
      <c r="AA289" s="4">
        <f>(Games[[#This Row],[Keff]]*Games[[#This Row],[MOVMult]])*(Games[[#This Row],[Result]]-Games[[#This Row],[ExpectedWin%]])</f>
        <v>-16.743119017669752</v>
      </c>
      <c r="AB289" s="4">
        <f>Games[[#This Row],[PreGmRate]]+Games[[#This Row],[RatingChange]]</f>
        <v>1599.7398014783678</v>
      </c>
      <c r="AC289" s="2">
        <f>IF(Games[[#This Row],[Type]]="R",IF(Games[[#This Row],[Result]]&gt;0.5,1,0),0)</f>
        <v>0</v>
      </c>
      <c r="AD289" s="2">
        <f>IF(Games[[#This Row],[Type]]="R",IF(Games[[#This Row],[Result]]&lt;0.5,1,0),0)</f>
        <v>1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0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45137</v>
      </c>
      <c r="B290" s="2">
        <v>2023</v>
      </c>
      <c r="C290" s="2">
        <f>COUNTIFS(Games[Team],Games[[#This Row],[Team]],Games[Season],Games[[#This Row],[Season]],Games[Date],"&lt;=" &amp; Games[[#This Row],[Date]])</f>
        <v>25</v>
      </c>
      <c r="D290" s="2" t="s">
        <v>79</v>
      </c>
      <c r="E290" s="2" t="s">
        <v>80</v>
      </c>
      <c r="F290" s="1" t="s">
        <v>65</v>
      </c>
      <c r="G290" s="1" t="s">
        <v>77</v>
      </c>
      <c r="H290" s="1" t="s">
        <v>81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0" s="2">
        <f>Games[[#This Row],[DaysOff]]-Games[[#This Row],[OppDaysOff]]</f>
        <v>-1</v>
      </c>
      <c r="L290" s="2">
        <f>Games[[#This Row],[OppDaysOff]]-Games[[#This Row],[DaysOff]]</f>
        <v>1</v>
      </c>
      <c r="M290" s="1">
        <f>MAX(-16, MIN(16, Games[[#This Row],[RestDiff]]*8))</f>
        <v>-8</v>
      </c>
      <c r="N290" s="1">
        <f>MAX(-16, MIN(16, Games[[#This Row],[OppRestDiff]]*8))</f>
        <v>8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1496.0531219217125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1509.3298816829285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0.34252244323514447</v>
      </c>
      <c r="R290" s="1">
        <v>73</v>
      </c>
      <c r="S290" s="1">
        <v>80</v>
      </c>
      <c r="T290" s="1">
        <v>0</v>
      </c>
      <c r="U290" s="1">
        <f>Games[[#This Row],[PointsFor]]-Games[[#This Row],[PointsAgainst]]</f>
        <v>-7</v>
      </c>
      <c r="V290" s="1">
        <f>IF(Games[[#This Row],[MOV]]&gt;0,1,IF(Games[[#This Row],[MOV]]=0,0.5,0))</f>
        <v>0</v>
      </c>
      <c r="W290" s="4">
        <f>((ABS(Games[[#This Row],[MOV]])+5)^0.6)/(12+0.01*(ABS(Games[[#This Row],[PreGmRate]]-Games[[#This Row],[OppPreGmRate]])))*IF(Games[[#This Row],[OT]]=1,0.9,1)</f>
        <v>0.36605712869007118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0" s="9">
        <f>MAX(kmin, kmax - 0.15 * MIN(Games[[#This Row],[GamesPlayed]], 82))</f>
        <v>72.25</v>
      </c>
      <c r="Z290" s="4">
        <f>Games[[#This Row],[K]]*Games[[#This Row],[POMult]]</f>
        <v>72.25</v>
      </c>
      <c r="AA290" s="4">
        <f>(Games[[#This Row],[Keff]]*Games[[#This Row],[MOVMult]])*(Games[[#This Row],[Result]]-Games[[#This Row],[ExpectedWin%]])</f>
        <v>-9.0589060054653121</v>
      </c>
      <c r="AB290" s="4">
        <f>Games[[#This Row],[PreGmRate]]+Games[[#This Row],[RatingChange]]</f>
        <v>1486.9942159162472</v>
      </c>
      <c r="AC290" s="2">
        <f>IF(Games[[#This Row],[Type]]="R",IF(Games[[#This Row],[Result]]&gt;0.5,1,0),0)</f>
        <v>0</v>
      </c>
      <c r="AD290" s="2">
        <f>IF(Games[[#This Row],[Type]]="R",IF(Games[[#This Row],[Result]]&lt;0.5,1,0),0)</f>
        <v>1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0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45137</v>
      </c>
      <c r="B291" s="2">
        <v>2023</v>
      </c>
      <c r="C291" s="2">
        <f>COUNTIFS(Games[Team],Games[[#This Row],[Team]],Games[Season],Games[[#This Row],[Season]],Games[Date],"&lt;=" &amp; Games[[#This Row],[Date]])</f>
        <v>25</v>
      </c>
      <c r="D291" s="2" t="s">
        <v>79</v>
      </c>
      <c r="E291" s="2" t="s">
        <v>80</v>
      </c>
      <c r="F291" s="1" t="s">
        <v>77</v>
      </c>
      <c r="G291" s="1" t="s">
        <v>65</v>
      </c>
      <c r="H291" s="1" t="s">
        <v>82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1" s="2">
        <f>Games[[#This Row],[DaysOff]]-Games[[#This Row],[OppDaysOff]]</f>
        <v>1</v>
      </c>
      <c r="L291" s="2">
        <f>Games[[#This Row],[OppDaysOff]]-Games[[#This Row],[DaysOff]]</f>
        <v>-1</v>
      </c>
      <c r="M291" s="1">
        <f>MAX(-16, MIN(16, Games[[#This Row],[RestDiff]]*8))</f>
        <v>8</v>
      </c>
      <c r="N291" s="1">
        <f>MAX(-16, MIN(16, Games[[#This Row],[OppRestDiff]]*8))</f>
        <v>-8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1509.3298816829285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1496.0531219217125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0.65747755676485553</v>
      </c>
      <c r="R291" s="1">
        <v>80</v>
      </c>
      <c r="S291" s="1">
        <v>73</v>
      </c>
      <c r="T291" s="1">
        <v>0</v>
      </c>
      <c r="U291" s="1">
        <f>Games[[#This Row],[PointsFor]]-Games[[#This Row],[PointsAgainst]]</f>
        <v>7</v>
      </c>
      <c r="V291" s="1">
        <f>IF(Games[[#This Row],[MOV]]&gt;0,1,IF(Games[[#This Row],[MOV]]=0,0.5,0))</f>
        <v>1</v>
      </c>
      <c r="W291" s="4">
        <f>((ABS(Games[[#This Row],[MOV]])+5)^0.6)/(12+0.01*(ABS(Games[[#This Row],[PreGmRate]]-Games[[#This Row],[OppPreGmRate]])))*IF(Games[[#This Row],[OT]]=1,0.9,1)</f>
        <v>0.36605712869007118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1" s="9">
        <f>MAX(kmin, kmax - 0.15 * MIN(Games[[#This Row],[GamesPlayed]], 82))</f>
        <v>72.25</v>
      </c>
      <c r="Z291" s="4">
        <f>Games[[#This Row],[K]]*Games[[#This Row],[POMult]]</f>
        <v>72.25</v>
      </c>
      <c r="AA291" s="4">
        <f>(Games[[#This Row],[Keff]]*Games[[#This Row],[MOVMult]])*(Games[[#This Row],[Result]]-Games[[#This Row],[ExpectedWin%]])</f>
        <v>9.0589060054653121</v>
      </c>
      <c r="AB291" s="4">
        <f>Games[[#This Row],[PreGmRate]]+Games[[#This Row],[RatingChange]]</f>
        <v>1518.3887876883939</v>
      </c>
      <c r="AC291" s="2">
        <f>IF(Games[[#This Row],[Type]]="R",IF(Games[[#This Row],[Result]]&gt;0.5,1,0),0)</f>
        <v>1</v>
      </c>
      <c r="AD291" s="2">
        <f>IF(Games[[#This Row],[Type]]="R",IF(Games[[#This Row],[Result]]&lt;0.5,1,0),0)</f>
        <v>0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0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45137</v>
      </c>
      <c r="B292" s="2">
        <v>2023</v>
      </c>
      <c r="C292" s="2">
        <f>COUNTIFS(Games[Team],Games[[#This Row],[Team]],Games[Season],Games[[#This Row],[Season]],Games[Date],"&lt;=" &amp; Games[[#This Row],[Date]])</f>
        <v>24</v>
      </c>
      <c r="D292" s="2" t="s">
        <v>79</v>
      </c>
      <c r="E292" s="2" t="s">
        <v>80</v>
      </c>
      <c r="F292" s="1" t="s">
        <v>40</v>
      </c>
      <c r="G292" s="1" t="s">
        <v>75</v>
      </c>
      <c r="H292" s="1" t="s">
        <v>81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4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2" s="2">
        <f>Games[[#This Row],[DaysOff]]-Games[[#This Row],[OppDaysOff]]</f>
        <v>3</v>
      </c>
      <c r="L292" s="2">
        <f>Games[[#This Row],[OppDaysOff]]-Games[[#This Row],[DaysOff]]</f>
        <v>-3</v>
      </c>
      <c r="M292" s="1">
        <f>MAX(-16, MIN(16, Games[[#This Row],[RestDiff]]*8))</f>
        <v>16</v>
      </c>
      <c r="N292" s="1">
        <f>MAX(-16, MIN(16, Games[[#This Row],[OppRestDiff]]*8))</f>
        <v>-16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1378.7300598747836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1430.7057848224117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0.35467953251806583</v>
      </c>
      <c r="R292" s="1">
        <v>85</v>
      </c>
      <c r="S292" s="1">
        <v>104</v>
      </c>
      <c r="T292" s="1">
        <v>0</v>
      </c>
      <c r="U292" s="1">
        <f>Games[[#This Row],[PointsFor]]-Games[[#This Row],[PointsAgainst]]</f>
        <v>-19</v>
      </c>
      <c r="V292" s="1">
        <f>IF(Games[[#This Row],[MOV]]&gt;0,1,IF(Games[[#This Row],[MOV]]=0,0.5,0))</f>
        <v>0</v>
      </c>
      <c r="W292" s="4">
        <f>((ABS(Games[[#This Row],[MOV]])+5)^0.6)/(12+0.01*(ABS(Games[[#This Row],[PreGmRate]]-Games[[#This Row],[OppPreGmRate]])))*IF(Games[[#This Row],[OT]]=1,0.9,1)</f>
        <v>0.5376886099735515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2" s="9">
        <f>MAX(kmin, kmax - 0.15 * MIN(Games[[#This Row],[GamesPlayed]], 82))</f>
        <v>72.400000000000006</v>
      </c>
      <c r="Z292" s="4">
        <f>Games[[#This Row],[K]]*Games[[#This Row],[POMult]]</f>
        <v>72.400000000000006</v>
      </c>
      <c r="AA292" s="4">
        <f>(Games[[#This Row],[Keff]]*Games[[#This Row],[MOVMult]])*(Games[[#This Row],[Result]]-Games[[#This Row],[ExpectedWin%]])</f>
        <v>-13.807197285381251</v>
      </c>
      <c r="AB292" s="4">
        <f>Games[[#This Row],[PreGmRate]]+Games[[#This Row],[RatingChange]]</f>
        <v>1364.9228625894023</v>
      </c>
      <c r="AC292" s="2">
        <f>IF(Games[[#This Row],[Type]]="R",IF(Games[[#This Row],[Result]]&gt;0.5,1,0),0)</f>
        <v>0</v>
      </c>
      <c r="AD292" s="2">
        <f>IF(Games[[#This Row],[Type]]="R",IF(Games[[#This Row],[Result]]&lt;0.5,1,0),0)</f>
        <v>1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0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45137</v>
      </c>
      <c r="B293" s="2">
        <v>2023</v>
      </c>
      <c r="C293" s="2">
        <f>COUNTIFS(Games[Team],Games[[#This Row],[Team]],Games[Season],Games[[#This Row],[Season]],Games[Date],"&lt;=" &amp; Games[[#This Row],[Date]])</f>
        <v>25</v>
      </c>
      <c r="D293" s="2" t="s">
        <v>79</v>
      </c>
      <c r="E293" s="2" t="s">
        <v>80</v>
      </c>
      <c r="F293" s="1" t="s">
        <v>75</v>
      </c>
      <c r="G293" s="1" t="s">
        <v>40</v>
      </c>
      <c r="H293" s="1" t="s">
        <v>82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93" s="2">
        <f>Games[[#This Row],[DaysOff]]-Games[[#This Row],[OppDaysOff]]</f>
        <v>-3</v>
      </c>
      <c r="L293" s="2">
        <f>Games[[#This Row],[OppDaysOff]]-Games[[#This Row],[DaysOff]]</f>
        <v>3</v>
      </c>
      <c r="M293" s="1">
        <f>MAX(-16, MIN(16, Games[[#This Row],[RestDiff]]*8))</f>
        <v>-16</v>
      </c>
      <c r="N293" s="1">
        <f>MAX(-16, MIN(16, Games[[#This Row],[OppRestDiff]]*8))</f>
        <v>16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1430.7057848224117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1378.7300598747836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0.64532046748193417</v>
      </c>
      <c r="R293" s="1">
        <v>104</v>
      </c>
      <c r="S293" s="1">
        <v>85</v>
      </c>
      <c r="T293" s="1">
        <v>0</v>
      </c>
      <c r="U293" s="1">
        <f>Games[[#This Row],[PointsFor]]-Games[[#This Row],[PointsAgainst]]</f>
        <v>19</v>
      </c>
      <c r="V293" s="1">
        <f>IF(Games[[#This Row],[MOV]]&gt;0,1,IF(Games[[#This Row],[MOV]]=0,0.5,0))</f>
        <v>1</v>
      </c>
      <c r="W293" s="4">
        <f>((ABS(Games[[#This Row],[MOV]])+5)^0.6)/(12+0.01*(ABS(Games[[#This Row],[PreGmRate]]-Games[[#This Row],[OppPreGmRate]])))*IF(Games[[#This Row],[OT]]=1,0.9,1)</f>
        <v>0.5376886099735515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3" s="9">
        <f>MAX(kmin, kmax - 0.15 * MIN(Games[[#This Row],[GamesPlayed]], 82))</f>
        <v>72.25</v>
      </c>
      <c r="Z293" s="4">
        <f>Games[[#This Row],[K]]*Games[[#This Row],[POMult]]</f>
        <v>72.25</v>
      </c>
      <c r="AA293" s="4">
        <f>(Games[[#This Row],[Keff]]*Games[[#This Row],[MOVMult]])*(Games[[#This Row],[Result]]-Games[[#This Row],[ExpectedWin%]])</f>
        <v>13.778591213657394</v>
      </c>
      <c r="AB293" s="4">
        <f>Games[[#This Row],[PreGmRate]]+Games[[#This Row],[RatingChange]]</f>
        <v>1444.4843760360691</v>
      </c>
      <c r="AC293" s="2">
        <f>IF(Games[[#This Row],[Type]]="R",IF(Games[[#This Row],[Result]]&gt;0.5,1,0),0)</f>
        <v>1</v>
      </c>
      <c r="AD293" s="2">
        <f>IF(Games[[#This Row],[Type]]="R",IF(Games[[#This Row],[Result]]&lt;0.5,1,0),0)</f>
        <v>0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0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45137</v>
      </c>
      <c r="B294" s="2">
        <v>2023</v>
      </c>
      <c r="C294" s="2">
        <f>COUNTIFS(Games[Team],Games[[#This Row],[Team]],Games[Season],Games[[#This Row],[Season]],Games[Date],"&lt;=" &amp; Games[[#This Row],[Date]])</f>
        <v>26</v>
      </c>
      <c r="D294" s="2" t="s">
        <v>79</v>
      </c>
      <c r="E294" s="2" t="s">
        <v>80</v>
      </c>
      <c r="F294" s="1" t="s">
        <v>67</v>
      </c>
      <c r="G294" s="1" t="s">
        <v>74</v>
      </c>
      <c r="H294" s="1" t="s">
        <v>81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94" s="2">
        <f>Games[[#This Row],[DaysOff]]-Games[[#This Row],[OppDaysOff]]</f>
        <v>-3</v>
      </c>
      <c r="L294" s="2">
        <f>Games[[#This Row],[OppDaysOff]]-Games[[#This Row],[DaysOff]]</f>
        <v>3</v>
      </c>
      <c r="M294" s="1">
        <f>MAX(-16, MIN(16, Games[[#This Row],[RestDiff]]*8))</f>
        <v>-16</v>
      </c>
      <c r="N294" s="1">
        <f>MAX(-16, MIN(16, Games[[#This Row],[OppRestDiff]]*8))</f>
        <v>16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1467.5717372094934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1662.685263672613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0.14296077194776313</v>
      </c>
      <c r="R294" s="1">
        <v>87</v>
      </c>
      <c r="S294" s="1">
        <v>83</v>
      </c>
      <c r="T294" s="1">
        <v>0</v>
      </c>
      <c r="U294" s="1">
        <f>Games[[#This Row],[PointsFor]]-Games[[#This Row],[PointsAgainst]]</f>
        <v>4</v>
      </c>
      <c r="V294" s="1">
        <f>IF(Games[[#This Row],[MOV]]&gt;0,1,IF(Games[[#This Row],[MOV]]=0,0.5,0))</f>
        <v>1</v>
      </c>
      <c r="W294" s="4">
        <f>((ABS(Games[[#This Row],[MOV]])+5)^0.6)/(12+0.01*(ABS(Games[[#This Row],[PreGmRate]]-Games[[#This Row],[OppPreGmRate]])))*IF(Games[[#This Row],[OT]]=1,0.9,1)</f>
        <v>0.26787732668043529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4" s="9">
        <f>MAX(kmin, kmax - 0.15 * MIN(Games[[#This Row],[GamesPlayed]], 82))</f>
        <v>72.099999999999994</v>
      </c>
      <c r="Z294" s="4">
        <f>Games[[#This Row],[K]]*Games[[#This Row],[POMult]]</f>
        <v>72.099999999999994</v>
      </c>
      <c r="AA294" s="4">
        <f>(Games[[#This Row],[Keff]]*Games[[#This Row],[MOVMult]])*(Games[[#This Row],[Result]]-Games[[#This Row],[ExpectedWin%]])</f>
        <v>16.552817301231684</v>
      </c>
      <c r="AB294" s="4">
        <f>Games[[#This Row],[PreGmRate]]+Games[[#This Row],[RatingChange]]</f>
        <v>1484.1245545107251</v>
      </c>
      <c r="AC294" s="2">
        <f>IF(Games[[#This Row],[Type]]="R",IF(Games[[#This Row],[Result]]&gt;0.5,1,0),0)</f>
        <v>1</v>
      </c>
      <c r="AD294" s="2">
        <f>IF(Games[[#This Row],[Type]]="R",IF(Games[[#This Row],[Result]]&lt;0.5,1,0),0)</f>
        <v>0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0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45137</v>
      </c>
      <c r="B295" s="2">
        <v>2023</v>
      </c>
      <c r="C295" s="2">
        <f>COUNTIFS(Games[Team],Games[[#This Row],[Team]],Games[Season],Games[[#This Row],[Season]],Games[Date],"&lt;=" &amp; Games[[#This Row],[Date]])</f>
        <v>25</v>
      </c>
      <c r="D295" s="2" t="s">
        <v>79</v>
      </c>
      <c r="E295" s="2" t="s">
        <v>80</v>
      </c>
      <c r="F295" s="1" t="s">
        <v>74</v>
      </c>
      <c r="G295" s="1" t="s">
        <v>67</v>
      </c>
      <c r="H295" s="1" t="s">
        <v>82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4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5" s="2">
        <f>Games[[#This Row],[DaysOff]]-Games[[#This Row],[OppDaysOff]]</f>
        <v>3</v>
      </c>
      <c r="L295" s="2">
        <f>Games[[#This Row],[OppDaysOff]]-Games[[#This Row],[DaysOff]]</f>
        <v>-3</v>
      </c>
      <c r="M295" s="1">
        <f>MAX(-16, MIN(16, Games[[#This Row],[RestDiff]]*8))</f>
        <v>16</v>
      </c>
      <c r="N295" s="1">
        <f>MAX(-16, MIN(16, Games[[#This Row],[OppRestDiff]]*8))</f>
        <v>-16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1662.685263672613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1467.5717372094934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0.85703922805223687</v>
      </c>
      <c r="R295" s="1">
        <v>83</v>
      </c>
      <c r="S295" s="1">
        <v>87</v>
      </c>
      <c r="T295" s="1">
        <v>0</v>
      </c>
      <c r="U295" s="1">
        <f>Games[[#This Row],[PointsFor]]-Games[[#This Row],[PointsAgainst]]</f>
        <v>-4</v>
      </c>
      <c r="V295" s="1">
        <f>IF(Games[[#This Row],[MOV]]&gt;0,1,IF(Games[[#This Row],[MOV]]=0,0.5,0))</f>
        <v>0</v>
      </c>
      <c r="W295" s="4">
        <f>((ABS(Games[[#This Row],[MOV]])+5)^0.6)/(12+0.01*(ABS(Games[[#This Row],[PreGmRate]]-Games[[#This Row],[OppPreGmRate]])))*IF(Games[[#This Row],[OT]]=1,0.9,1)</f>
        <v>0.26787732668043529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5" s="9">
        <f>MAX(kmin, kmax - 0.15 * MIN(Games[[#This Row],[GamesPlayed]], 82))</f>
        <v>72.25</v>
      </c>
      <c r="Z295" s="4">
        <f>Games[[#This Row],[K]]*Games[[#This Row],[POMult]]</f>
        <v>72.25</v>
      </c>
      <c r="AA295" s="4">
        <f>(Games[[#This Row],[Keff]]*Games[[#This Row],[MOVMult]])*(Games[[#This Row],[Result]]-Games[[#This Row],[ExpectedWin%]])</f>
        <v>-16.587254507822319</v>
      </c>
      <c r="AB295" s="4">
        <f>Games[[#This Row],[PreGmRate]]+Games[[#This Row],[RatingChange]]</f>
        <v>1646.0980091647907</v>
      </c>
      <c r="AC295" s="2">
        <f>IF(Games[[#This Row],[Type]]="R",IF(Games[[#This Row],[Result]]&gt;0.5,1,0),0)</f>
        <v>0</v>
      </c>
      <c r="AD295" s="2">
        <f>IF(Games[[#This Row],[Type]]="R",IF(Games[[#This Row],[Result]]&lt;0.5,1,0),0)</f>
        <v>1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0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  <row r="296" spans="1:38" x14ac:dyDescent="0.35">
      <c r="A296" s="10">
        <v>45137</v>
      </c>
      <c r="B296" s="2">
        <v>2023</v>
      </c>
      <c r="C296" s="2">
        <f>COUNTIFS(Games[Team],Games[[#This Row],[Team]],Games[Season],Games[[#This Row],[Season]],Games[Date],"&lt;=" &amp; Games[[#This Row],[Date]])</f>
        <v>25</v>
      </c>
      <c r="D296" s="2" t="s">
        <v>79</v>
      </c>
      <c r="E296" s="2" t="s">
        <v>80</v>
      </c>
      <c r="F296" s="1" t="s">
        <v>71</v>
      </c>
      <c r="G296" s="1" t="s">
        <v>69</v>
      </c>
      <c r="H296" s="1" t="s">
        <v>81</v>
      </c>
      <c r="I296" s="2" cm="1">
        <f t="array" ref="I2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6" s="2" cm="1">
        <f t="array" ref="J2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6" s="2">
        <f>Games[[#This Row],[DaysOff]]-Games[[#This Row],[OppDaysOff]]</f>
        <v>-1</v>
      </c>
      <c r="L296" s="2">
        <f>Games[[#This Row],[OppDaysOff]]-Games[[#This Row],[DaysOff]]</f>
        <v>1</v>
      </c>
      <c r="M296" s="1">
        <f>MAX(-16, MIN(16, Games[[#This Row],[RestDiff]]*8))</f>
        <v>-8</v>
      </c>
      <c r="N296" s="1">
        <f>MAX(-16, MIN(16, Games[[#This Row],[OppRestDiff]]*8))</f>
        <v>8</v>
      </c>
      <c r="O296" s="4" cm="1">
        <f t="array" ref="O2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1397.2850209391979</v>
      </c>
      <c r="P296" s="4" cm="1">
        <f t="array" ref="P2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1342.4267866885127</v>
      </c>
      <c r="Q296" s="4">
        <f>1/(1+10^(((Games[[#This Row],[OppPreGmRate]]+IF(Games[[#This Row],[HomeAway]]="A",HCA,0)+Games[[#This Row],[OppRestAdj]])-(Games[[#This Row],[PreGmRate]]+IF(Games[[#This Row],[HomeAway]]="H",HCA,0)+Games[[#This Row],[RestAdj]]))/400))</f>
        <v>0.43539888758579987</v>
      </c>
      <c r="R296" s="1">
        <v>85</v>
      </c>
      <c r="S296" s="1">
        <v>62</v>
      </c>
      <c r="T296" s="1">
        <v>0</v>
      </c>
      <c r="U296" s="1">
        <f>Games[[#This Row],[PointsFor]]-Games[[#This Row],[PointsAgainst]]</f>
        <v>23</v>
      </c>
      <c r="V296" s="1">
        <f>IF(Games[[#This Row],[MOV]]&gt;0,1,IF(Games[[#This Row],[MOV]]=0,0.5,0))</f>
        <v>1</v>
      </c>
      <c r="W296" s="4">
        <f>((ABS(Games[[#This Row],[MOV]])+5)^0.6)/(12+0.01*(ABS(Games[[#This Row],[PreGmRate]]-Games[[#This Row],[OppPreGmRate]])))*IF(Games[[#This Row],[OT]]=1,0.9,1)</f>
        <v>0.58843724567440625</v>
      </c>
      <c r="X296" s="7" cm="1">
        <f t="array" ref="X29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6" s="9">
        <f>MAX(kmin, kmax - 0.15 * MIN(Games[[#This Row],[GamesPlayed]], 82))</f>
        <v>72.25</v>
      </c>
      <c r="Z296" s="4">
        <f>Games[[#This Row],[K]]*Games[[#This Row],[POMult]]</f>
        <v>72.25</v>
      </c>
      <c r="AA296" s="4">
        <f>(Games[[#This Row],[Keff]]*Games[[#This Row],[MOVMult]])*(Games[[#This Row],[Result]]-Games[[#This Row],[ExpectedWin%]])</f>
        <v>24.003785372421106</v>
      </c>
      <c r="AB296" s="4">
        <f>Games[[#This Row],[PreGmRate]]+Games[[#This Row],[RatingChange]]</f>
        <v>1421.2888063116191</v>
      </c>
      <c r="AC296" s="2">
        <f>IF(Games[[#This Row],[Type]]="R",IF(Games[[#This Row],[Result]]&gt;0.5,1,0),0)</f>
        <v>1</v>
      </c>
      <c r="AD296" s="2">
        <f>IF(Games[[#This Row],[Type]]="R",IF(Games[[#This Row],[Result]]&lt;0.5,1,0),0)</f>
        <v>0</v>
      </c>
      <c r="AE296" s="2">
        <f>IF(AND(Games[[#This Row],[Type]]="P",Games[[#This Row],[Round]]=1),IF(Games[[#This Row],[Result]]&gt;0.5,1,0),0)</f>
        <v>0</v>
      </c>
      <c r="AF296" s="2">
        <f>IF(AND(Games[[#This Row],[Type]]="P",Games[[#This Row],[Round]]=1),IF(Games[[#This Row],[Result]]&lt;0.5,1,0),0)</f>
        <v>0</v>
      </c>
      <c r="AG296" s="2">
        <f>IF(AND(Games[[#This Row],[Type]]="P",Games[[#This Row],[Round]]=2),IF(Games[[#This Row],[Result]]&gt;0.5,1,0),0)</f>
        <v>0</v>
      </c>
      <c r="AH296" s="2">
        <f>IF(AND(Games[[#This Row],[Type]]="P",Games[[#This Row],[Round]]=2),IF(Games[[#This Row],[Result]]&lt;0.5,1,0),0)</f>
        <v>0</v>
      </c>
      <c r="AI296" s="2">
        <f>IF(AND(Games[[#This Row],[Type]]="P",Games[[#This Row],[Round]]=3),IF(Games[[#This Row],[Result]]&gt;0.5,1,0),0)</f>
        <v>0</v>
      </c>
      <c r="AJ296" s="2">
        <f>IF(AND(Games[[#This Row],[Type]]="P",Games[[#This Row],[Round]]=3),IF(Games[[#This Row],[Result]]&lt;0.5,1,0),0)</f>
        <v>0</v>
      </c>
      <c r="AK296" s="2">
        <f>IF(AND(Games[[#This Row],[Type]]="P",Games[[#This Row],[Round]]=4),IF(Games[[#This Row],[Result]]&gt;0.5,1,0),0)</f>
        <v>0</v>
      </c>
      <c r="AL296" s="2">
        <f>IF(AND(Games[[#This Row],[Type]]="P",Games[[#This Row],[Round]]=4),IF(Games[[#This Row],[Result]]&lt;0.5,1,0),0)</f>
        <v>0</v>
      </c>
    </row>
    <row r="297" spans="1:38" x14ac:dyDescent="0.35">
      <c r="A297" s="10">
        <v>45137</v>
      </c>
      <c r="B297" s="2">
        <v>2023</v>
      </c>
      <c r="C297" s="2">
        <f>COUNTIFS(Games[Team],Games[[#This Row],[Team]],Games[Season],Games[[#This Row],[Season]],Games[Date],"&lt;=" &amp; Games[[#This Row],[Date]])</f>
        <v>25</v>
      </c>
      <c r="D297" s="2" t="s">
        <v>79</v>
      </c>
      <c r="E297" s="2" t="s">
        <v>80</v>
      </c>
      <c r="F297" s="1" t="s">
        <v>69</v>
      </c>
      <c r="G297" s="1" t="s">
        <v>71</v>
      </c>
      <c r="H297" s="1" t="s">
        <v>82</v>
      </c>
      <c r="I297" s="2" cm="1">
        <f t="array" ref="I2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7" s="2" cm="1">
        <f t="array" ref="J2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7" s="2">
        <f>Games[[#This Row],[DaysOff]]-Games[[#This Row],[OppDaysOff]]</f>
        <v>1</v>
      </c>
      <c r="L297" s="2">
        <f>Games[[#This Row],[OppDaysOff]]-Games[[#This Row],[DaysOff]]</f>
        <v>-1</v>
      </c>
      <c r="M297" s="1">
        <f>MAX(-16, MIN(16, Games[[#This Row],[RestDiff]]*8))</f>
        <v>8</v>
      </c>
      <c r="N297" s="1">
        <f>MAX(-16, MIN(16, Games[[#This Row],[OppRestDiff]]*8))</f>
        <v>-8</v>
      </c>
      <c r="O297" s="4" cm="1">
        <f t="array" ref="O2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1342.4267866885127</v>
      </c>
      <c r="P297" s="4" cm="1">
        <f t="array" ref="P2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1397.2850209391979</v>
      </c>
      <c r="Q297" s="4">
        <f>1/(1+10^(((Games[[#This Row],[OppPreGmRate]]+IF(Games[[#This Row],[HomeAway]]="A",HCA,0)+Games[[#This Row],[OppRestAdj]])-(Games[[#This Row],[PreGmRate]]+IF(Games[[#This Row],[HomeAway]]="H",HCA,0)+Games[[#This Row],[RestAdj]]))/400))</f>
        <v>0.56460111241420019</v>
      </c>
      <c r="R297" s="1">
        <v>62</v>
      </c>
      <c r="S297" s="1">
        <v>85</v>
      </c>
      <c r="T297" s="1">
        <v>0</v>
      </c>
      <c r="U297" s="1">
        <f>Games[[#This Row],[PointsFor]]-Games[[#This Row],[PointsAgainst]]</f>
        <v>-23</v>
      </c>
      <c r="V297" s="1">
        <f>IF(Games[[#This Row],[MOV]]&gt;0,1,IF(Games[[#This Row],[MOV]]=0,0.5,0))</f>
        <v>0</v>
      </c>
      <c r="W297" s="4">
        <f>((ABS(Games[[#This Row],[MOV]])+5)^0.6)/(12+0.01*(ABS(Games[[#This Row],[PreGmRate]]-Games[[#This Row],[OppPreGmRate]])))*IF(Games[[#This Row],[OT]]=1,0.9,1)</f>
        <v>0.58843724567440625</v>
      </c>
      <c r="X297" s="7" cm="1">
        <f t="array" ref="X29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7" s="9">
        <f>MAX(kmin, kmax - 0.15 * MIN(Games[[#This Row],[GamesPlayed]], 82))</f>
        <v>72.25</v>
      </c>
      <c r="Z297" s="4">
        <f>Games[[#This Row],[K]]*Games[[#This Row],[POMult]]</f>
        <v>72.25</v>
      </c>
      <c r="AA297" s="4">
        <f>(Games[[#This Row],[Keff]]*Games[[#This Row],[MOVMult]])*(Games[[#This Row],[Result]]-Games[[#This Row],[ExpectedWin%]])</f>
        <v>-24.00378537242111</v>
      </c>
      <c r="AB297" s="4">
        <f>Games[[#This Row],[PreGmRate]]+Games[[#This Row],[RatingChange]]</f>
        <v>1318.4230013160916</v>
      </c>
      <c r="AC297" s="2">
        <f>IF(Games[[#This Row],[Type]]="R",IF(Games[[#This Row],[Result]]&gt;0.5,1,0),0)</f>
        <v>0</v>
      </c>
      <c r="AD297" s="2">
        <f>IF(Games[[#This Row],[Type]]="R",IF(Games[[#This Row],[Result]]&lt;0.5,1,0),0)</f>
        <v>1</v>
      </c>
      <c r="AE297" s="2">
        <f>IF(AND(Games[[#This Row],[Type]]="P",Games[[#This Row],[Round]]=1),IF(Games[[#This Row],[Result]]&gt;0.5,1,0),0)</f>
        <v>0</v>
      </c>
      <c r="AF297" s="2">
        <f>IF(AND(Games[[#This Row],[Type]]="P",Games[[#This Row],[Round]]=1),IF(Games[[#This Row],[Result]]&lt;0.5,1,0),0)</f>
        <v>0</v>
      </c>
      <c r="AG297" s="2">
        <f>IF(AND(Games[[#This Row],[Type]]="P",Games[[#This Row],[Round]]=2),IF(Games[[#This Row],[Result]]&gt;0.5,1,0),0)</f>
        <v>0</v>
      </c>
      <c r="AH297" s="2">
        <f>IF(AND(Games[[#This Row],[Type]]="P",Games[[#This Row],[Round]]=2),IF(Games[[#This Row],[Result]]&lt;0.5,1,0),0)</f>
        <v>0</v>
      </c>
      <c r="AI297" s="2">
        <f>IF(AND(Games[[#This Row],[Type]]="P",Games[[#This Row],[Round]]=3),IF(Games[[#This Row],[Result]]&gt;0.5,1,0),0)</f>
        <v>0</v>
      </c>
      <c r="AJ297" s="2">
        <f>IF(AND(Games[[#This Row],[Type]]="P",Games[[#This Row],[Round]]=3),IF(Games[[#This Row],[Result]]&lt;0.5,1,0),0)</f>
        <v>0</v>
      </c>
      <c r="AK297" s="2">
        <f>IF(AND(Games[[#This Row],[Type]]="P",Games[[#This Row],[Round]]=4),IF(Games[[#This Row],[Result]]&gt;0.5,1,0),0)</f>
        <v>0</v>
      </c>
      <c r="AL297" s="2">
        <f>IF(AND(Games[[#This Row],[Type]]="P",Games[[#This Row],[Round]]=4),IF(Games[[#This Row],[Result]]&lt;0.5,1,0),0)</f>
        <v>0</v>
      </c>
    </row>
    <row r="298" spans="1:38" x14ac:dyDescent="0.35">
      <c r="A298" s="10">
        <v>45137</v>
      </c>
      <c r="B298" s="2">
        <v>2023</v>
      </c>
      <c r="C298" s="2">
        <f>COUNTIFS(Games[Team],Games[[#This Row],[Team]],Games[Season],Games[[#This Row],[Season]],Games[Date],"&lt;=" &amp; Games[[#This Row],[Date]])</f>
        <v>25</v>
      </c>
      <c r="D298" s="2" t="s">
        <v>79</v>
      </c>
      <c r="E298" s="2" t="s">
        <v>80</v>
      </c>
      <c r="F298" s="1" t="s">
        <v>60</v>
      </c>
      <c r="G298" s="1" t="s">
        <v>63</v>
      </c>
      <c r="H298" s="1" t="s">
        <v>81</v>
      </c>
      <c r="I298" s="2" cm="1">
        <f t="array" ref="I2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8" s="2" cm="1">
        <f t="array" ref="J2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8" s="2">
        <f>Games[[#This Row],[DaysOff]]-Games[[#This Row],[OppDaysOff]]</f>
        <v>-1</v>
      </c>
      <c r="L298" s="2">
        <f>Games[[#This Row],[OppDaysOff]]-Games[[#This Row],[DaysOff]]</f>
        <v>1</v>
      </c>
      <c r="M298" s="1">
        <f>MAX(-16, MIN(16, Games[[#This Row],[RestDiff]]*8))</f>
        <v>-8</v>
      </c>
      <c r="N298" s="1">
        <f>MAX(-16, MIN(16, Games[[#This Row],[OppRestDiff]]*8))</f>
        <v>8</v>
      </c>
      <c r="O298" s="4" cm="1">
        <f t="array" ref="O2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1599.7398014783678</v>
      </c>
      <c r="P298" s="4" cm="1">
        <f t="array" ref="P2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1390.5671061382347</v>
      </c>
      <c r="Q298" s="4">
        <f>1/(1+10^(((Games[[#This Row],[OppPreGmRate]]+IF(Games[[#This Row],[HomeAway]]="A",HCA,0)+Games[[#This Row],[OppRestAdj]])-(Games[[#This Row],[PreGmRate]]+IF(Games[[#This Row],[HomeAway]]="H",HCA,0)+Games[[#This Row],[RestAdj]]))/400))</f>
        <v>0.65213759292417883</v>
      </c>
      <c r="R298" s="1">
        <v>87</v>
      </c>
      <c r="S298" s="1">
        <v>79</v>
      </c>
      <c r="T298" s="1">
        <v>0</v>
      </c>
      <c r="U298" s="1">
        <f>Games[[#This Row],[PointsFor]]-Games[[#This Row],[PointsAgainst]]</f>
        <v>8</v>
      </c>
      <c r="V298" s="1">
        <f>IF(Games[[#This Row],[MOV]]&gt;0,1,IF(Games[[#This Row],[MOV]]=0,0.5,0))</f>
        <v>1</v>
      </c>
      <c r="W298" s="4">
        <f>((ABS(Games[[#This Row],[MOV]])+5)^0.6)/(12+0.01*(ABS(Games[[#This Row],[PreGmRate]]-Games[[#This Row],[OppPreGmRate]])))*IF(Games[[#This Row],[OT]]=1,0.9,1)</f>
        <v>0.3306753271224383</v>
      </c>
      <c r="X298" s="7" cm="1">
        <f t="array" ref="X29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8" s="9">
        <f>MAX(kmin, kmax - 0.15 * MIN(Games[[#This Row],[GamesPlayed]], 82))</f>
        <v>72.25</v>
      </c>
      <c r="Z298" s="4">
        <f>Games[[#This Row],[K]]*Games[[#This Row],[POMult]]</f>
        <v>72.25</v>
      </c>
      <c r="AA298" s="4">
        <f>(Games[[#This Row],[Keff]]*Games[[#This Row],[MOVMult]])*(Games[[#This Row],[Result]]-Games[[#This Row],[ExpectedWin%]])</f>
        <v>8.3108824770578575</v>
      </c>
      <c r="AB298" s="4">
        <f>Games[[#This Row],[PreGmRate]]+Games[[#This Row],[RatingChange]]</f>
        <v>1608.0506839554257</v>
      </c>
      <c r="AC298" s="2">
        <f>IF(Games[[#This Row],[Type]]="R",IF(Games[[#This Row],[Result]]&gt;0.5,1,0),0)</f>
        <v>1</v>
      </c>
      <c r="AD298" s="2">
        <f>IF(Games[[#This Row],[Type]]="R",IF(Games[[#This Row],[Result]]&lt;0.5,1,0),0)</f>
        <v>0</v>
      </c>
      <c r="AE298" s="2">
        <f>IF(AND(Games[[#This Row],[Type]]="P",Games[[#This Row],[Round]]=1),IF(Games[[#This Row],[Result]]&gt;0.5,1,0),0)</f>
        <v>0</v>
      </c>
      <c r="AF298" s="2">
        <f>IF(AND(Games[[#This Row],[Type]]="P",Games[[#This Row],[Round]]=1),IF(Games[[#This Row],[Result]]&lt;0.5,1,0),0)</f>
        <v>0</v>
      </c>
      <c r="AG298" s="2">
        <f>IF(AND(Games[[#This Row],[Type]]="P",Games[[#This Row],[Round]]=2),IF(Games[[#This Row],[Result]]&gt;0.5,1,0),0)</f>
        <v>0</v>
      </c>
      <c r="AH298" s="2">
        <f>IF(AND(Games[[#This Row],[Type]]="P",Games[[#This Row],[Round]]=2),IF(Games[[#This Row],[Result]]&lt;0.5,1,0),0)</f>
        <v>0</v>
      </c>
      <c r="AI298" s="2">
        <f>IF(AND(Games[[#This Row],[Type]]="P",Games[[#This Row],[Round]]=3),IF(Games[[#This Row],[Result]]&gt;0.5,1,0),0)</f>
        <v>0</v>
      </c>
      <c r="AJ298" s="2">
        <f>IF(AND(Games[[#This Row],[Type]]="P",Games[[#This Row],[Round]]=3),IF(Games[[#This Row],[Result]]&lt;0.5,1,0),0)</f>
        <v>0</v>
      </c>
      <c r="AK298" s="2">
        <f>IF(AND(Games[[#This Row],[Type]]="P",Games[[#This Row],[Round]]=4),IF(Games[[#This Row],[Result]]&gt;0.5,1,0),0)</f>
        <v>0</v>
      </c>
      <c r="AL298" s="2">
        <f>IF(AND(Games[[#This Row],[Type]]="P",Games[[#This Row],[Round]]=4),IF(Games[[#This Row],[Result]]&lt;0.5,1,0),0)</f>
        <v>0</v>
      </c>
    </row>
    <row r="299" spans="1:38" x14ac:dyDescent="0.35">
      <c r="A299" s="10">
        <v>45137</v>
      </c>
      <c r="B299" s="2">
        <v>2023</v>
      </c>
      <c r="C299" s="2">
        <f>COUNTIFS(Games[Team],Games[[#This Row],[Team]],Games[Season],Games[[#This Row],[Season]],Games[Date],"&lt;=" &amp; Games[[#This Row],[Date]])</f>
        <v>25</v>
      </c>
      <c r="D299" s="2" t="s">
        <v>79</v>
      </c>
      <c r="E299" s="2" t="s">
        <v>80</v>
      </c>
      <c r="F299" s="1" t="s">
        <v>63</v>
      </c>
      <c r="G299" s="1" t="s">
        <v>60</v>
      </c>
      <c r="H299" s="1" t="s">
        <v>82</v>
      </c>
      <c r="I299" s="2" cm="1">
        <f t="array" ref="I2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9" s="2" cm="1">
        <f t="array" ref="J2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9" s="2">
        <f>Games[[#This Row],[DaysOff]]-Games[[#This Row],[OppDaysOff]]</f>
        <v>1</v>
      </c>
      <c r="L299" s="2">
        <f>Games[[#This Row],[OppDaysOff]]-Games[[#This Row],[DaysOff]]</f>
        <v>-1</v>
      </c>
      <c r="M299" s="1">
        <f>MAX(-16, MIN(16, Games[[#This Row],[RestDiff]]*8))</f>
        <v>8</v>
      </c>
      <c r="N299" s="1">
        <f>MAX(-16, MIN(16, Games[[#This Row],[OppRestDiff]]*8))</f>
        <v>-8</v>
      </c>
      <c r="O299" s="4" cm="1">
        <f t="array" ref="O2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1390.5671061382347</v>
      </c>
      <c r="P299" s="4" cm="1">
        <f t="array" ref="P2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1599.7398014783678</v>
      </c>
      <c r="Q299" s="4">
        <f>1/(1+10^(((Games[[#This Row],[OppPreGmRate]]+IF(Games[[#This Row],[HomeAway]]="A",HCA,0)+Games[[#This Row],[OppRestAdj]])-(Games[[#This Row],[PreGmRate]]+IF(Games[[#This Row],[HomeAway]]="H",HCA,0)+Games[[#This Row],[RestAdj]]))/400))</f>
        <v>0.34786240707582122</v>
      </c>
      <c r="R299" s="1">
        <v>79</v>
      </c>
      <c r="S299" s="1">
        <v>87</v>
      </c>
      <c r="T299" s="1">
        <v>0</v>
      </c>
      <c r="U299" s="1">
        <f>Games[[#This Row],[PointsFor]]-Games[[#This Row],[PointsAgainst]]</f>
        <v>-8</v>
      </c>
      <c r="V299" s="1">
        <f>IF(Games[[#This Row],[MOV]]&gt;0,1,IF(Games[[#This Row],[MOV]]=0,0.5,0))</f>
        <v>0</v>
      </c>
      <c r="W299" s="4">
        <f>((ABS(Games[[#This Row],[MOV]])+5)^0.6)/(12+0.01*(ABS(Games[[#This Row],[PreGmRate]]-Games[[#This Row],[OppPreGmRate]])))*IF(Games[[#This Row],[OT]]=1,0.9,1)</f>
        <v>0.3306753271224383</v>
      </c>
      <c r="X299" s="7" cm="1">
        <f t="array" ref="X29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9" s="9">
        <f>MAX(kmin, kmax - 0.15 * MIN(Games[[#This Row],[GamesPlayed]], 82))</f>
        <v>72.25</v>
      </c>
      <c r="Z299" s="4">
        <f>Games[[#This Row],[K]]*Games[[#This Row],[POMult]]</f>
        <v>72.25</v>
      </c>
      <c r="AA299" s="4">
        <f>(Games[[#This Row],[Keff]]*Games[[#This Row],[MOVMult]])*(Games[[#This Row],[Result]]-Games[[#This Row],[ExpectedWin%]])</f>
        <v>-8.3108824770578593</v>
      </c>
      <c r="AB299" s="4">
        <f>Games[[#This Row],[PreGmRate]]+Games[[#This Row],[RatingChange]]</f>
        <v>1382.2562236611768</v>
      </c>
      <c r="AC299" s="2">
        <f>IF(Games[[#This Row],[Type]]="R",IF(Games[[#This Row],[Result]]&gt;0.5,1,0),0)</f>
        <v>0</v>
      </c>
      <c r="AD299" s="2">
        <f>IF(Games[[#This Row],[Type]]="R",IF(Games[[#This Row],[Result]]&lt;0.5,1,0),0)</f>
        <v>1</v>
      </c>
      <c r="AE299" s="2">
        <f>IF(AND(Games[[#This Row],[Type]]="P",Games[[#This Row],[Round]]=1),IF(Games[[#This Row],[Result]]&gt;0.5,1,0),0)</f>
        <v>0</v>
      </c>
      <c r="AF299" s="2">
        <f>IF(AND(Games[[#This Row],[Type]]="P",Games[[#This Row],[Round]]=1),IF(Games[[#This Row],[Result]]&lt;0.5,1,0),0)</f>
        <v>0</v>
      </c>
      <c r="AG299" s="2">
        <f>IF(AND(Games[[#This Row],[Type]]="P",Games[[#This Row],[Round]]=2),IF(Games[[#This Row],[Result]]&gt;0.5,1,0),0)</f>
        <v>0</v>
      </c>
      <c r="AH299" s="2">
        <f>IF(AND(Games[[#This Row],[Type]]="P",Games[[#This Row],[Round]]=2),IF(Games[[#This Row],[Result]]&lt;0.5,1,0),0)</f>
        <v>0</v>
      </c>
      <c r="AI299" s="2">
        <f>IF(AND(Games[[#This Row],[Type]]="P",Games[[#This Row],[Round]]=3),IF(Games[[#This Row],[Result]]&gt;0.5,1,0),0)</f>
        <v>0</v>
      </c>
      <c r="AJ299" s="2">
        <f>IF(AND(Games[[#This Row],[Type]]="P",Games[[#This Row],[Round]]=3),IF(Games[[#This Row],[Result]]&lt;0.5,1,0),0)</f>
        <v>0</v>
      </c>
      <c r="AK299" s="2">
        <f>IF(AND(Games[[#This Row],[Type]]="P",Games[[#This Row],[Round]]=4),IF(Games[[#This Row],[Result]]&gt;0.5,1,0),0)</f>
        <v>0</v>
      </c>
      <c r="AL299" s="2">
        <f>IF(AND(Games[[#This Row],[Type]]="P",Games[[#This Row],[Round]]=4),IF(Games[[#This Row],[Result]]&lt;0.5,1,0),0)</f>
        <v>0</v>
      </c>
    </row>
    <row r="300" spans="1:38" x14ac:dyDescent="0.35">
      <c r="A300" s="10">
        <v>45137</v>
      </c>
      <c r="B300" s="2">
        <v>2023</v>
      </c>
      <c r="C300" s="2">
        <f>COUNTIFS(Games[Team],Games[[#This Row],[Team]],Games[Season],Games[[#This Row],[Season]],Games[Date],"&lt;=" &amp; Games[[#This Row],[Date]])</f>
        <v>25</v>
      </c>
      <c r="D300" s="2" t="s">
        <v>79</v>
      </c>
      <c r="E300" s="2" t="s">
        <v>80</v>
      </c>
      <c r="F300" s="1" t="s">
        <v>85</v>
      </c>
      <c r="G300" s="1" t="s">
        <v>86</v>
      </c>
      <c r="H300" s="1" t="s">
        <v>81</v>
      </c>
      <c r="I300" s="2" cm="1">
        <f t="array" ref="I3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0" s="2" cm="1">
        <f t="array" ref="J30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00" s="2">
        <f>Games[[#This Row],[DaysOff]]-Games[[#This Row],[OppDaysOff]]</f>
        <v>-3</v>
      </c>
      <c r="L300" s="2">
        <f>Games[[#This Row],[OppDaysOff]]-Games[[#This Row],[DaysOff]]</f>
        <v>3</v>
      </c>
      <c r="M300" s="1">
        <f>MAX(-16, MIN(16, Games[[#This Row],[RestDiff]]*8))</f>
        <v>-16</v>
      </c>
      <c r="N300" s="1">
        <f>MAX(-16, MIN(16, Games[[#This Row],[OppRestDiff]]*8))</f>
        <v>16</v>
      </c>
      <c r="O300" s="4" cm="1">
        <f t="array" ref="O3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1571.4732655142657</v>
      </c>
      <c r="P300" s="4" cm="1">
        <f t="array" ref="P3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1753.9483324351586</v>
      </c>
      <c r="Q300" s="4">
        <f>1/(1+10^(((Games[[#This Row],[OppPreGmRate]]+IF(Games[[#This Row],[HomeAway]]="A",HCA,0)+Games[[#This Row],[OppRestAdj]])-(Games[[#This Row],[PreGmRate]]+IF(Games[[#This Row],[HomeAway]]="H",HCA,0)+Games[[#This Row],[RestAdj]]))/400))</f>
        <v>0.15210824182451768</v>
      </c>
      <c r="R300" s="1">
        <v>91</v>
      </c>
      <c r="S300" s="1">
        <v>104</v>
      </c>
      <c r="T300" s="1">
        <v>0</v>
      </c>
      <c r="U300" s="1">
        <f>Games[[#This Row],[PointsFor]]-Games[[#This Row],[PointsAgainst]]</f>
        <v>-13</v>
      </c>
      <c r="V300" s="1">
        <f>IF(Games[[#This Row],[MOV]]&gt;0,1,IF(Games[[#This Row],[MOV]]=0,0.5,0))</f>
        <v>0</v>
      </c>
      <c r="W300" s="4">
        <f>((ABS(Games[[#This Row],[MOV]])+5)^0.6)/(12+0.01*(ABS(Games[[#This Row],[PreGmRate]]-Games[[#This Row],[OppPreGmRate]])))*IF(Games[[#This Row],[OT]]=1,0.9,1)</f>
        <v>0.40973795501322718</v>
      </c>
      <c r="X300" s="7" cm="1">
        <f t="array" ref="X30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0" s="9">
        <f>MAX(kmin, kmax - 0.15 * MIN(Games[[#This Row],[GamesPlayed]], 82))</f>
        <v>72.25</v>
      </c>
      <c r="Z300" s="4">
        <f>Games[[#This Row],[K]]*Games[[#This Row],[POMult]]</f>
        <v>72.25</v>
      </c>
      <c r="AA300" s="4">
        <f>(Games[[#This Row],[Keff]]*Games[[#This Row],[MOVMult]])*(Games[[#This Row],[Result]]-Games[[#This Row],[ExpectedWin%]])</f>
        <v>-4.5029465660866004</v>
      </c>
      <c r="AB300" s="4">
        <f>Games[[#This Row],[PreGmRate]]+Games[[#This Row],[RatingChange]]</f>
        <v>1566.9703189481791</v>
      </c>
      <c r="AC300" s="2">
        <f>IF(Games[[#This Row],[Type]]="R",IF(Games[[#This Row],[Result]]&gt;0.5,1,0),0)</f>
        <v>0</v>
      </c>
      <c r="AD300" s="2">
        <f>IF(Games[[#This Row],[Type]]="R",IF(Games[[#This Row],[Result]]&lt;0.5,1,0),0)</f>
        <v>1</v>
      </c>
      <c r="AE300" s="2">
        <f>IF(AND(Games[[#This Row],[Type]]="P",Games[[#This Row],[Round]]=1),IF(Games[[#This Row],[Result]]&gt;0.5,1,0),0)</f>
        <v>0</v>
      </c>
      <c r="AF300" s="2">
        <f>IF(AND(Games[[#This Row],[Type]]="P",Games[[#This Row],[Round]]=1),IF(Games[[#This Row],[Result]]&lt;0.5,1,0),0)</f>
        <v>0</v>
      </c>
      <c r="AG300" s="2">
        <f>IF(AND(Games[[#This Row],[Type]]="P",Games[[#This Row],[Round]]=2),IF(Games[[#This Row],[Result]]&gt;0.5,1,0),0)</f>
        <v>0</v>
      </c>
      <c r="AH300" s="2">
        <f>IF(AND(Games[[#This Row],[Type]]="P",Games[[#This Row],[Round]]=2),IF(Games[[#This Row],[Result]]&lt;0.5,1,0),0)</f>
        <v>0</v>
      </c>
      <c r="AI300" s="2">
        <f>IF(AND(Games[[#This Row],[Type]]="P",Games[[#This Row],[Round]]=3),IF(Games[[#This Row],[Result]]&gt;0.5,1,0),0)</f>
        <v>0</v>
      </c>
      <c r="AJ300" s="2">
        <f>IF(AND(Games[[#This Row],[Type]]="P",Games[[#This Row],[Round]]=3),IF(Games[[#This Row],[Result]]&lt;0.5,1,0),0)</f>
        <v>0</v>
      </c>
      <c r="AK300" s="2">
        <f>IF(AND(Games[[#This Row],[Type]]="P",Games[[#This Row],[Round]]=4),IF(Games[[#This Row],[Result]]&gt;0.5,1,0),0)</f>
        <v>0</v>
      </c>
      <c r="AL300" s="2">
        <f>IF(AND(Games[[#This Row],[Type]]="P",Games[[#This Row],[Round]]=4),IF(Games[[#This Row],[Result]]&lt;0.5,1,0),0)</f>
        <v>0</v>
      </c>
    </row>
    <row r="301" spans="1:38" x14ac:dyDescent="0.35">
      <c r="A301" s="10">
        <v>45137</v>
      </c>
      <c r="B301" s="2">
        <v>2023</v>
      </c>
      <c r="C301" s="2">
        <f>COUNTIFS(Games[Team],Games[[#This Row],[Team]],Games[Season],Games[[#This Row],[Season]],Games[Date],"&lt;=" &amp; Games[[#This Row],[Date]])</f>
        <v>25</v>
      </c>
      <c r="D301" s="2" t="s">
        <v>79</v>
      </c>
      <c r="E301" s="2" t="s">
        <v>80</v>
      </c>
      <c r="F301" s="1" t="s">
        <v>86</v>
      </c>
      <c r="G301" s="1" t="s">
        <v>85</v>
      </c>
      <c r="H301" s="1" t="s">
        <v>82</v>
      </c>
      <c r="I301" s="2" cm="1">
        <f t="array" ref="I301">IFERROR(
    Games[[#This Row],[Date]]
    - LOOKUP(
        2,
        1/((Games[Team]=Games[[#This Row],[Team]]) * (Games[Date] &lt; Games[[#This Row],[Date]])),
        Games[Date]
    )
    - 1,
Games[[#This Row],[Date]]-$A$2)</f>
        <v>4</v>
      </c>
      <c r="J301" s="2" cm="1">
        <f t="array" ref="J3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1" s="2">
        <f>Games[[#This Row],[DaysOff]]-Games[[#This Row],[OppDaysOff]]</f>
        <v>3</v>
      </c>
      <c r="L301" s="2">
        <f>Games[[#This Row],[OppDaysOff]]-Games[[#This Row],[DaysOff]]</f>
        <v>-3</v>
      </c>
      <c r="M301" s="1">
        <f>MAX(-16, MIN(16, Games[[#This Row],[RestDiff]]*8))</f>
        <v>16</v>
      </c>
      <c r="N301" s="1">
        <f>MAX(-16, MIN(16, Games[[#This Row],[OppRestDiff]]*8))</f>
        <v>-16</v>
      </c>
      <c r="O301" s="4" cm="1">
        <f t="array" ref="O3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1753.9483324351586</v>
      </c>
      <c r="P301" s="4" cm="1">
        <f t="array" ref="P3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1571.4732655142657</v>
      </c>
      <c r="Q301" s="4">
        <f>1/(1+10^(((Games[[#This Row],[OppPreGmRate]]+IF(Games[[#This Row],[HomeAway]]="A",HCA,0)+Games[[#This Row],[OppRestAdj]])-(Games[[#This Row],[PreGmRate]]+IF(Games[[#This Row],[HomeAway]]="H",HCA,0)+Games[[#This Row],[RestAdj]]))/400))</f>
        <v>0.84789175817548235</v>
      </c>
      <c r="R301" s="1">
        <v>104</v>
      </c>
      <c r="S301" s="1">
        <v>91</v>
      </c>
      <c r="T301" s="1">
        <v>0</v>
      </c>
      <c r="U301" s="1">
        <f>Games[[#This Row],[PointsFor]]-Games[[#This Row],[PointsAgainst]]</f>
        <v>13</v>
      </c>
      <c r="V301" s="1">
        <f>IF(Games[[#This Row],[MOV]]&gt;0,1,IF(Games[[#This Row],[MOV]]=0,0.5,0))</f>
        <v>1</v>
      </c>
      <c r="W301" s="4">
        <f>((ABS(Games[[#This Row],[MOV]])+5)^0.6)/(12+0.01*(ABS(Games[[#This Row],[PreGmRate]]-Games[[#This Row],[OppPreGmRate]])))*IF(Games[[#This Row],[OT]]=1,0.9,1)</f>
        <v>0.40973795501322718</v>
      </c>
      <c r="X301" s="7" cm="1">
        <f t="array" ref="X30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1" s="9">
        <f>MAX(kmin, kmax - 0.15 * MIN(Games[[#This Row],[GamesPlayed]], 82))</f>
        <v>72.25</v>
      </c>
      <c r="Z301" s="4">
        <f>Games[[#This Row],[K]]*Games[[#This Row],[POMult]]</f>
        <v>72.25</v>
      </c>
      <c r="AA301" s="4">
        <f>(Games[[#This Row],[Keff]]*Games[[#This Row],[MOVMult]])*(Games[[#This Row],[Result]]-Games[[#This Row],[ExpectedWin%]])</f>
        <v>4.5029465660865995</v>
      </c>
      <c r="AB301" s="4">
        <f>Games[[#This Row],[PreGmRate]]+Games[[#This Row],[RatingChange]]</f>
        <v>1758.4512790012452</v>
      </c>
      <c r="AC301" s="2">
        <f>IF(Games[[#This Row],[Type]]="R",IF(Games[[#This Row],[Result]]&gt;0.5,1,0),0)</f>
        <v>1</v>
      </c>
      <c r="AD301" s="2">
        <f>IF(Games[[#This Row],[Type]]="R",IF(Games[[#This Row],[Result]]&lt;0.5,1,0),0)</f>
        <v>0</v>
      </c>
      <c r="AE301" s="2">
        <f>IF(AND(Games[[#This Row],[Type]]="P",Games[[#This Row],[Round]]=1),IF(Games[[#This Row],[Result]]&gt;0.5,1,0),0)</f>
        <v>0</v>
      </c>
      <c r="AF301" s="2">
        <f>IF(AND(Games[[#This Row],[Type]]="P",Games[[#This Row],[Round]]=1),IF(Games[[#This Row],[Result]]&lt;0.5,1,0),0)</f>
        <v>0</v>
      </c>
      <c r="AG301" s="2">
        <f>IF(AND(Games[[#This Row],[Type]]="P",Games[[#This Row],[Round]]=2),IF(Games[[#This Row],[Result]]&gt;0.5,1,0),0)</f>
        <v>0</v>
      </c>
      <c r="AH301" s="2">
        <f>IF(AND(Games[[#This Row],[Type]]="P",Games[[#This Row],[Round]]=2),IF(Games[[#This Row],[Result]]&lt;0.5,1,0),0)</f>
        <v>0</v>
      </c>
      <c r="AI301" s="2">
        <f>IF(AND(Games[[#This Row],[Type]]="P",Games[[#This Row],[Round]]=3),IF(Games[[#This Row],[Result]]&gt;0.5,1,0),0)</f>
        <v>0</v>
      </c>
      <c r="AJ301" s="2">
        <f>IF(AND(Games[[#This Row],[Type]]="P",Games[[#This Row],[Round]]=3),IF(Games[[#This Row],[Result]]&lt;0.5,1,0),0)</f>
        <v>0</v>
      </c>
      <c r="AK301" s="2">
        <f>IF(AND(Games[[#This Row],[Type]]="P",Games[[#This Row],[Round]]=4),IF(Games[[#This Row],[Result]]&gt;0.5,1,0),0)</f>
        <v>0</v>
      </c>
      <c r="AL301" s="2">
        <f>IF(AND(Games[[#This Row],[Type]]="P",Games[[#This Row],[Round]]=4),IF(Games[[#This Row],[Result]]&lt;0.5,1,0),0)</f>
        <v>0</v>
      </c>
    </row>
    <row r="302" spans="1:38" x14ac:dyDescent="0.35">
      <c r="A302" s="10">
        <v>45139</v>
      </c>
      <c r="B302" s="2">
        <v>2023</v>
      </c>
      <c r="C302" s="2">
        <f>COUNTIFS(Games[Team],Games[[#This Row],[Team]],Games[Season],Games[[#This Row],[Season]],Games[Date],"&lt;=" &amp; Games[[#This Row],[Date]])</f>
        <v>27</v>
      </c>
      <c r="D302" s="2" t="s">
        <v>79</v>
      </c>
      <c r="E302" s="2" t="s">
        <v>80</v>
      </c>
      <c r="F302" s="1" t="s">
        <v>67</v>
      </c>
      <c r="G302" s="1" t="s">
        <v>74</v>
      </c>
      <c r="H302" s="1" t="s">
        <v>81</v>
      </c>
      <c r="I302" s="2" cm="1">
        <f t="array" ref="I3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2" s="2" cm="1">
        <f t="array" ref="J3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2" s="2">
        <f>Games[[#This Row],[DaysOff]]-Games[[#This Row],[OppDaysOff]]</f>
        <v>0</v>
      </c>
      <c r="L302" s="2">
        <f>Games[[#This Row],[OppDaysOff]]-Games[[#This Row],[DaysOff]]</f>
        <v>0</v>
      </c>
      <c r="M302" s="1">
        <f>MAX(-16, MIN(16, Games[[#This Row],[RestDiff]]*8))</f>
        <v>0</v>
      </c>
      <c r="N302" s="1">
        <f>MAX(-16, MIN(16, Games[[#This Row],[OppRestDiff]]*8))</f>
        <v>0</v>
      </c>
      <c r="O302" s="4" cm="1">
        <f t="array" ref="O3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1484.1245545107251</v>
      </c>
      <c r="P302" s="4" cm="1">
        <f t="array" ref="P3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1646.0980091647907</v>
      </c>
      <c r="Q302" s="4">
        <f>1/(1+10^(((Games[[#This Row],[OppPreGmRate]]+IF(Games[[#This Row],[HomeAway]]="A",HCA,0)+Games[[#This Row],[OppRestAdj]])-(Games[[#This Row],[PreGmRate]]+IF(Games[[#This Row],[HomeAway]]="H",HCA,0)+Games[[#This Row],[RestAdj]]))/400))</f>
        <v>0.19529932019435142</v>
      </c>
      <c r="R302" s="1">
        <v>69</v>
      </c>
      <c r="S302" s="1">
        <v>79</v>
      </c>
      <c r="T302" s="1">
        <v>0</v>
      </c>
      <c r="U302" s="1">
        <f>Games[[#This Row],[PointsFor]]-Games[[#This Row],[PointsAgainst]]</f>
        <v>-10</v>
      </c>
      <c r="V302" s="1">
        <f>IF(Games[[#This Row],[MOV]]&gt;0,1,IF(Games[[#This Row],[MOV]]=0,0.5,0))</f>
        <v>0</v>
      </c>
      <c r="W302" s="4">
        <f>((ABS(Games[[#This Row],[MOV]])+5)^0.6)/(12+0.01*(ABS(Games[[#This Row],[PreGmRate]]-Games[[#This Row],[OppPreGmRate]])))*IF(Games[[#This Row],[OT]]=1,0.9,1)</f>
        <v>0.37280876324253187</v>
      </c>
      <c r="X302" s="7" cm="1">
        <f t="array" ref="X30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2" s="9">
        <f>MAX(kmin, kmax - 0.15 * MIN(Games[[#This Row],[GamesPlayed]], 82))</f>
        <v>71.95</v>
      </c>
      <c r="Z302" s="4">
        <f>Games[[#This Row],[K]]*Games[[#This Row],[POMult]]</f>
        <v>71.95</v>
      </c>
      <c r="AA302" s="4">
        <f>(Games[[#This Row],[Keff]]*Games[[#This Row],[MOVMult]])*(Games[[#This Row],[Result]]-Games[[#This Row],[ExpectedWin%]])</f>
        <v>-5.2386289928097751</v>
      </c>
      <c r="AB302" s="4">
        <f>Games[[#This Row],[PreGmRate]]+Games[[#This Row],[RatingChange]]</f>
        <v>1478.8859255179154</v>
      </c>
      <c r="AC302" s="2">
        <f>IF(Games[[#This Row],[Type]]="R",IF(Games[[#This Row],[Result]]&gt;0.5,1,0),0)</f>
        <v>0</v>
      </c>
      <c r="AD302" s="2">
        <f>IF(Games[[#This Row],[Type]]="R",IF(Games[[#This Row],[Result]]&lt;0.5,1,0),0)</f>
        <v>1</v>
      </c>
      <c r="AE302" s="2">
        <f>IF(AND(Games[[#This Row],[Type]]="P",Games[[#This Row],[Round]]=1),IF(Games[[#This Row],[Result]]&gt;0.5,1,0),0)</f>
        <v>0</v>
      </c>
      <c r="AF302" s="2">
        <f>IF(AND(Games[[#This Row],[Type]]="P",Games[[#This Row],[Round]]=1),IF(Games[[#This Row],[Result]]&lt;0.5,1,0),0)</f>
        <v>0</v>
      </c>
      <c r="AG302" s="2">
        <f>IF(AND(Games[[#This Row],[Type]]="P",Games[[#This Row],[Round]]=2),IF(Games[[#This Row],[Result]]&gt;0.5,1,0),0)</f>
        <v>0</v>
      </c>
      <c r="AH302" s="2">
        <f>IF(AND(Games[[#This Row],[Type]]="P",Games[[#This Row],[Round]]=2),IF(Games[[#This Row],[Result]]&lt;0.5,1,0),0)</f>
        <v>0</v>
      </c>
      <c r="AI302" s="2">
        <f>IF(AND(Games[[#This Row],[Type]]="P",Games[[#This Row],[Round]]=3),IF(Games[[#This Row],[Result]]&gt;0.5,1,0),0)</f>
        <v>0</v>
      </c>
      <c r="AJ302" s="2">
        <f>IF(AND(Games[[#This Row],[Type]]="P",Games[[#This Row],[Round]]=3),IF(Games[[#This Row],[Result]]&lt;0.5,1,0),0)</f>
        <v>0</v>
      </c>
      <c r="AK302" s="2">
        <f>IF(AND(Games[[#This Row],[Type]]="P",Games[[#This Row],[Round]]=4),IF(Games[[#This Row],[Result]]&gt;0.5,1,0),0)</f>
        <v>0</v>
      </c>
      <c r="AL302" s="2">
        <f>IF(AND(Games[[#This Row],[Type]]="P",Games[[#This Row],[Round]]=4),IF(Games[[#This Row],[Result]]&lt;0.5,1,0),0)</f>
        <v>0</v>
      </c>
    </row>
    <row r="303" spans="1:38" x14ac:dyDescent="0.35">
      <c r="A303" s="10">
        <v>45139</v>
      </c>
      <c r="B303" s="2">
        <v>2023</v>
      </c>
      <c r="C303" s="2">
        <f>COUNTIFS(Games[Team],Games[[#This Row],[Team]],Games[Season],Games[[#This Row],[Season]],Games[Date],"&lt;=" &amp; Games[[#This Row],[Date]])</f>
        <v>26</v>
      </c>
      <c r="D303" s="2" t="s">
        <v>79</v>
      </c>
      <c r="E303" s="2" t="s">
        <v>80</v>
      </c>
      <c r="F303" s="1" t="s">
        <v>74</v>
      </c>
      <c r="G303" s="1" t="s">
        <v>67</v>
      </c>
      <c r="H303" s="1" t="s">
        <v>82</v>
      </c>
      <c r="I303" s="2" cm="1">
        <f t="array" ref="I3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3" s="2" cm="1">
        <f t="array" ref="J3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3" s="2">
        <f>Games[[#This Row],[DaysOff]]-Games[[#This Row],[OppDaysOff]]</f>
        <v>0</v>
      </c>
      <c r="L303" s="2">
        <f>Games[[#This Row],[OppDaysOff]]-Games[[#This Row],[DaysOff]]</f>
        <v>0</v>
      </c>
      <c r="M303" s="1">
        <f>MAX(-16, MIN(16, Games[[#This Row],[RestDiff]]*8))</f>
        <v>0</v>
      </c>
      <c r="N303" s="1">
        <f>MAX(-16, MIN(16, Games[[#This Row],[OppRestDiff]]*8))</f>
        <v>0</v>
      </c>
      <c r="O303" s="4" cm="1">
        <f t="array" ref="O3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1646.0980091647907</v>
      </c>
      <c r="P303" s="4" cm="1">
        <f t="array" ref="P3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1484.1245545107251</v>
      </c>
      <c r="Q303" s="4">
        <f>1/(1+10^(((Games[[#This Row],[OppPreGmRate]]+IF(Games[[#This Row],[HomeAway]]="A",HCA,0)+Games[[#This Row],[OppRestAdj]])-(Games[[#This Row],[PreGmRate]]+IF(Games[[#This Row],[HomeAway]]="H",HCA,0)+Games[[#This Row],[RestAdj]]))/400))</f>
        <v>0.80470067980564863</v>
      </c>
      <c r="R303" s="1">
        <v>79</v>
      </c>
      <c r="S303" s="1">
        <v>69</v>
      </c>
      <c r="T303" s="1">
        <v>0</v>
      </c>
      <c r="U303" s="1">
        <f>Games[[#This Row],[PointsFor]]-Games[[#This Row],[PointsAgainst]]</f>
        <v>10</v>
      </c>
      <c r="V303" s="1">
        <f>IF(Games[[#This Row],[MOV]]&gt;0,1,IF(Games[[#This Row],[MOV]]=0,0.5,0))</f>
        <v>1</v>
      </c>
      <c r="W303" s="4">
        <f>((ABS(Games[[#This Row],[MOV]])+5)^0.6)/(12+0.01*(ABS(Games[[#This Row],[PreGmRate]]-Games[[#This Row],[OppPreGmRate]])))*IF(Games[[#This Row],[OT]]=1,0.9,1)</f>
        <v>0.37280876324253187</v>
      </c>
      <c r="X303" s="7" cm="1">
        <f t="array" ref="X30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3" s="9">
        <f>MAX(kmin, kmax - 0.15 * MIN(Games[[#This Row],[GamesPlayed]], 82))</f>
        <v>72.099999999999994</v>
      </c>
      <c r="Z303" s="4">
        <f>Games[[#This Row],[K]]*Games[[#This Row],[POMult]]</f>
        <v>72.099999999999994</v>
      </c>
      <c r="AA303" s="4">
        <f>(Games[[#This Row],[Keff]]*Games[[#This Row],[MOVMult]])*(Games[[#This Row],[Result]]-Games[[#This Row],[ExpectedWin%]])</f>
        <v>5.249550387513338</v>
      </c>
      <c r="AB303" s="4">
        <f>Games[[#This Row],[PreGmRate]]+Games[[#This Row],[RatingChange]]</f>
        <v>1651.3475595523041</v>
      </c>
      <c r="AC303" s="2">
        <f>IF(Games[[#This Row],[Type]]="R",IF(Games[[#This Row],[Result]]&gt;0.5,1,0),0)</f>
        <v>1</v>
      </c>
      <c r="AD303" s="2">
        <f>IF(Games[[#This Row],[Type]]="R",IF(Games[[#This Row],[Result]]&lt;0.5,1,0),0)</f>
        <v>0</v>
      </c>
      <c r="AE303" s="2">
        <f>IF(AND(Games[[#This Row],[Type]]="P",Games[[#This Row],[Round]]=1),IF(Games[[#This Row],[Result]]&gt;0.5,1,0),0)</f>
        <v>0</v>
      </c>
      <c r="AF303" s="2">
        <f>IF(AND(Games[[#This Row],[Type]]="P",Games[[#This Row],[Round]]=1),IF(Games[[#This Row],[Result]]&lt;0.5,1,0),0)</f>
        <v>0</v>
      </c>
      <c r="AG303" s="2">
        <f>IF(AND(Games[[#This Row],[Type]]="P",Games[[#This Row],[Round]]=2),IF(Games[[#This Row],[Result]]&gt;0.5,1,0),0)</f>
        <v>0</v>
      </c>
      <c r="AH303" s="2">
        <f>IF(AND(Games[[#This Row],[Type]]="P",Games[[#This Row],[Round]]=2),IF(Games[[#This Row],[Result]]&lt;0.5,1,0),0)</f>
        <v>0</v>
      </c>
      <c r="AI303" s="2">
        <f>IF(AND(Games[[#This Row],[Type]]="P",Games[[#This Row],[Round]]=3),IF(Games[[#This Row],[Result]]&gt;0.5,1,0),0)</f>
        <v>0</v>
      </c>
      <c r="AJ303" s="2">
        <f>IF(AND(Games[[#This Row],[Type]]="P",Games[[#This Row],[Round]]=3),IF(Games[[#This Row],[Result]]&lt;0.5,1,0),0)</f>
        <v>0</v>
      </c>
      <c r="AK303" s="2">
        <f>IF(AND(Games[[#This Row],[Type]]="P",Games[[#This Row],[Round]]=4),IF(Games[[#This Row],[Result]]&gt;0.5,1,0),0)</f>
        <v>0</v>
      </c>
      <c r="AL303" s="2">
        <f>IF(AND(Games[[#This Row],[Type]]="P",Games[[#This Row],[Round]]=4),IF(Games[[#This Row],[Result]]&lt;0.5,1,0),0)</f>
        <v>0</v>
      </c>
    </row>
    <row r="304" spans="1:38" x14ac:dyDescent="0.35">
      <c r="A304" s="10">
        <v>45139</v>
      </c>
      <c r="B304" s="2">
        <v>2023</v>
      </c>
      <c r="C304" s="2">
        <f>COUNTIFS(Games[Team],Games[[#This Row],[Team]],Games[Season],Games[[#This Row],[Season]],Games[Date],"&lt;=" &amp; Games[[#This Row],[Date]])</f>
        <v>25</v>
      </c>
      <c r="D304" s="2" t="s">
        <v>79</v>
      </c>
      <c r="E304" s="2" t="s">
        <v>80</v>
      </c>
      <c r="F304" s="1" t="s">
        <v>40</v>
      </c>
      <c r="G304" s="1" t="s">
        <v>69</v>
      </c>
      <c r="H304" s="1" t="s">
        <v>81</v>
      </c>
      <c r="I304" s="2" cm="1">
        <f t="array" ref="I3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4" s="2" cm="1">
        <f t="array" ref="J3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4" s="2">
        <f>Games[[#This Row],[DaysOff]]-Games[[#This Row],[OppDaysOff]]</f>
        <v>0</v>
      </c>
      <c r="L304" s="2">
        <f>Games[[#This Row],[OppDaysOff]]-Games[[#This Row],[DaysOff]]</f>
        <v>0</v>
      </c>
      <c r="M304" s="1">
        <f>MAX(-16, MIN(16, Games[[#This Row],[RestDiff]]*8))</f>
        <v>0</v>
      </c>
      <c r="N304" s="1">
        <f>MAX(-16, MIN(16, Games[[#This Row],[OppRestDiff]]*8))</f>
        <v>0</v>
      </c>
      <c r="O304" s="4" cm="1">
        <f t="array" ref="O3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1364.9228625894023</v>
      </c>
      <c r="P304" s="4" cm="1">
        <f t="array" ref="P3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1318.4230013160916</v>
      </c>
      <c r="Q304" s="4">
        <f>1/(1+10^(((Games[[#This Row],[OppPreGmRate]]+IF(Games[[#This Row],[HomeAway]]="A",HCA,0)+Games[[#This Row],[OppRestAdj]])-(Games[[#This Row],[PreGmRate]]+IF(Games[[#This Row],[HomeAway]]="H",HCA,0)+Games[[#This Row],[RestAdj]]))/400))</f>
        <v>0.44624155801947424</v>
      </c>
      <c r="R304" s="1">
        <v>71</v>
      </c>
      <c r="S304" s="1">
        <v>72</v>
      </c>
      <c r="T304" s="1">
        <v>0</v>
      </c>
      <c r="U304" s="1">
        <f>Games[[#This Row],[PointsFor]]-Games[[#This Row],[PointsAgainst]]</f>
        <v>-1</v>
      </c>
      <c r="V304" s="1">
        <f>IF(Games[[#This Row],[MOV]]&gt;0,1,IF(Games[[#This Row],[MOV]]=0,0.5,0))</f>
        <v>0</v>
      </c>
      <c r="W304" s="4">
        <f>((ABS(Games[[#This Row],[MOV]])+5)^0.6)/(12+0.01*(ABS(Games[[#This Row],[PreGmRate]]-Games[[#This Row],[OppPreGmRate]])))*IF(Games[[#This Row],[OT]]=1,0.9,1)</f>
        <v>0.23507070819810127</v>
      </c>
      <c r="X304" s="7" cm="1">
        <f t="array" ref="X30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4" s="9">
        <f>MAX(kmin, kmax - 0.15 * MIN(Games[[#This Row],[GamesPlayed]], 82))</f>
        <v>72.25</v>
      </c>
      <c r="Z304" s="4">
        <f>Games[[#This Row],[K]]*Games[[#This Row],[POMult]]</f>
        <v>72.25</v>
      </c>
      <c r="AA304" s="4">
        <f>(Games[[#This Row],[Keff]]*Games[[#This Row],[MOVMult]])*(Games[[#This Row],[Result]]-Games[[#This Row],[ExpectedWin%]])</f>
        <v>-7.5789035528842223</v>
      </c>
      <c r="AB304" s="4">
        <f>Games[[#This Row],[PreGmRate]]+Games[[#This Row],[RatingChange]]</f>
        <v>1357.3439590365181</v>
      </c>
      <c r="AC304" s="2">
        <f>IF(Games[[#This Row],[Type]]="R",IF(Games[[#This Row],[Result]]&gt;0.5,1,0),0)</f>
        <v>0</v>
      </c>
      <c r="AD304" s="2">
        <f>IF(Games[[#This Row],[Type]]="R",IF(Games[[#This Row],[Result]]&lt;0.5,1,0),0)</f>
        <v>1</v>
      </c>
      <c r="AE304" s="2">
        <f>IF(AND(Games[[#This Row],[Type]]="P",Games[[#This Row],[Round]]=1),IF(Games[[#This Row],[Result]]&gt;0.5,1,0),0)</f>
        <v>0</v>
      </c>
      <c r="AF304" s="2">
        <f>IF(AND(Games[[#This Row],[Type]]="P",Games[[#This Row],[Round]]=1),IF(Games[[#This Row],[Result]]&lt;0.5,1,0),0)</f>
        <v>0</v>
      </c>
      <c r="AG304" s="2">
        <f>IF(AND(Games[[#This Row],[Type]]="P",Games[[#This Row],[Round]]=2),IF(Games[[#This Row],[Result]]&gt;0.5,1,0),0)</f>
        <v>0</v>
      </c>
      <c r="AH304" s="2">
        <f>IF(AND(Games[[#This Row],[Type]]="P",Games[[#This Row],[Round]]=2),IF(Games[[#This Row],[Result]]&lt;0.5,1,0),0)</f>
        <v>0</v>
      </c>
      <c r="AI304" s="2">
        <f>IF(AND(Games[[#This Row],[Type]]="P",Games[[#This Row],[Round]]=3),IF(Games[[#This Row],[Result]]&gt;0.5,1,0),0)</f>
        <v>0</v>
      </c>
      <c r="AJ304" s="2">
        <f>IF(AND(Games[[#This Row],[Type]]="P",Games[[#This Row],[Round]]=3),IF(Games[[#This Row],[Result]]&lt;0.5,1,0),0)</f>
        <v>0</v>
      </c>
      <c r="AK304" s="2">
        <f>IF(AND(Games[[#This Row],[Type]]="P",Games[[#This Row],[Round]]=4),IF(Games[[#This Row],[Result]]&gt;0.5,1,0),0)</f>
        <v>0</v>
      </c>
      <c r="AL304" s="2">
        <f>IF(AND(Games[[#This Row],[Type]]="P",Games[[#This Row],[Round]]=4),IF(Games[[#This Row],[Result]]&lt;0.5,1,0),0)</f>
        <v>0</v>
      </c>
    </row>
    <row r="305" spans="1:38" x14ac:dyDescent="0.35">
      <c r="A305" s="10">
        <v>45139</v>
      </c>
      <c r="B305" s="2">
        <v>2023</v>
      </c>
      <c r="C305" s="2">
        <f>COUNTIFS(Games[Team],Games[[#This Row],[Team]],Games[Season],Games[[#This Row],[Season]],Games[Date],"&lt;=" &amp; Games[[#This Row],[Date]])</f>
        <v>26</v>
      </c>
      <c r="D305" s="2" t="s">
        <v>79</v>
      </c>
      <c r="E305" s="2" t="s">
        <v>80</v>
      </c>
      <c r="F305" s="1" t="s">
        <v>69</v>
      </c>
      <c r="G305" s="1" t="s">
        <v>40</v>
      </c>
      <c r="H305" s="1" t="s">
        <v>82</v>
      </c>
      <c r="I305" s="2" cm="1">
        <f t="array" ref="I3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5" s="2" cm="1">
        <f t="array" ref="J3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5" s="2">
        <f>Games[[#This Row],[DaysOff]]-Games[[#This Row],[OppDaysOff]]</f>
        <v>0</v>
      </c>
      <c r="L305" s="2">
        <f>Games[[#This Row],[OppDaysOff]]-Games[[#This Row],[DaysOff]]</f>
        <v>0</v>
      </c>
      <c r="M305" s="1">
        <f>MAX(-16, MIN(16, Games[[#This Row],[RestDiff]]*8))</f>
        <v>0</v>
      </c>
      <c r="N305" s="1">
        <f>MAX(-16, MIN(16, Games[[#This Row],[OppRestDiff]]*8))</f>
        <v>0</v>
      </c>
      <c r="O305" s="4" cm="1">
        <f t="array" ref="O3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1318.4230013160916</v>
      </c>
      <c r="P305" s="4" cm="1">
        <f t="array" ref="P3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1364.9228625894023</v>
      </c>
      <c r="Q305" s="4">
        <f>1/(1+10^(((Games[[#This Row],[OppPreGmRate]]+IF(Games[[#This Row],[HomeAway]]="A",HCA,0)+Games[[#This Row],[OppRestAdj]])-(Games[[#This Row],[PreGmRate]]+IF(Games[[#This Row],[HomeAway]]="H",HCA,0)+Games[[#This Row],[RestAdj]]))/400))</f>
        <v>0.55375844198052571</v>
      </c>
      <c r="R305" s="1">
        <v>72</v>
      </c>
      <c r="S305" s="1">
        <v>71</v>
      </c>
      <c r="T305" s="1">
        <v>0</v>
      </c>
      <c r="U305" s="1">
        <f>Games[[#This Row],[PointsFor]]-Games[[#This Row],[PointsAgainst]]</f>
        <v>1</v>
      </c>
      <c r="V305" s="1">
        <f>IF(Games[[#This Row],[MOV]]&gt;0,1,IF(Games[[#This Row],[MOV]]=0,0.5,0))</f>
        <v>1</v>
      </c>
      <c r="W305" s="4">
        <f>((ABS(Games[[#This Row],[MOV]])+5)^0.6)/(12+0.01*(ABS(Games[[#This Row],[PreGmRate]]-Games[[#This Row],[OppPreGmRate]])))*IF(Games[[#This Row],[OT]]=1,0.9,1)</f>
        <v>0.23507070819810127</v>
      </c>
      <c r="X305" s="7" cm="1">
        <f t="array" ref="X30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5" s="9">
        <f>MAX(kmin, kmax - 0.15 * MIN(Games[[#This Row],[GamesPlayed]], 82))</f>
        <v>72.099999999999994</v>
      </c>
      <c r="Z305" s="4">
        <f>Games[[#This Row],[K]]*Games[[#This Row],[POMult]]</f>
        <v>72.099999999999994</v>
      </c>
      <c r="AA305" s="4">
        <f>(Games[[#This Row],[Keff]]*Games[[#This Row],[MOVMult]])*(Games[[#This Row],[Result]]-Games[[#This Row],[ExpectedWin%]])</f>
        <v>7.5631688050235635</v>
      </c>
      <c r="AB305" s="4">
        <f>Games[[#This Row],[PreGmRate]]+Games[[#This Row],[RatingChange]]</f>
        <v>1325.986170121115</v>
      </c>
      <c r="AC305" s="2">
        <f>IF(Games[[#This Row],[Type]]="R",IF(Games[[#This Row],[Result]]&gt;0.5,1,0),0)</f>
        <v>1</v>
      </c>
      <c r="AD305" s="2">
        <f>IF(Games[[#This Row],[Type]]="R",IF(Games[[#This Row],[Result]]&lt;0.5,1,0),0)</f>
        <v>0</v>
      </c>
      <c r="AE305" s="2">
        <f>IF(AND(Games[[#This Row],[Type]]="P",Games[[#This Row],[Round]]=1),IF(Games[[#This Row],[Result]]&gt;0.5,1,0),0)</f>
        <v>0</v>
      </c>
      <c r="AF305" s="2">
        <f>IF(AND(Games[[#This Row],[Type]]="P",Games[[#This Row],[Round]]=1),IF(Games[[#This Row],[Result]]&lt;0.5,1,0),0)</f>
        <v>0</v>
      </c>
      <c r="AG305" s="2">
        <f>IF(AND(Games[[#This Row],[Type]]="P",Games[[#This Row],[Round]]=2),IF(Games[[#This Row],[Result]]&gt;0.5,1,0),0)</f>
        <v>0</v>
      </c>
      <c r="AH305" s="2">
        <f>IF(AND(Games[[#This Row],[Type]]="P",Games[[#This Row],[Round]]=2),IF(Games[[#This Row],[Result]]&lt;0.5,1,0),0)</f>
        <v>0</v>
      </c>
      <c r="AI305" s="2">
        <f>IF(AND(Games[[#This Row],[Type]]="P",Games[[#This Row],[Round]]=3),IF(Games[[#This Row],[Result]]&gt;0.5,1,0),0)</f>
        <v>0</v>
      </c>
      <c r="AJ305" s="2">
        <f>IF(AND(Games[[#This Row],[Type]]="P",Games[[#This Row],[Round]]=3),IF(Games[[#This Row],[Result]]&lt;0.5,1,0),0)</f>
        <v>0</v>
      </c>
      <c r="AK305" s="2">
        <f>IF(AND(Games[[#This Row],[Type]]="P",Games[[#This Row],[Round]]=4),IF(Games[[#This Row],[Result]]&gt;0.5,1,0),0)</f>
        <v>0</v>
      </c>
      <c r="AL305" s="2">
        <f>IF(AND(Games[[#This Row],[Type]]="P",Games[[#This Row],[Round]]=4),IF(Games[[#This Row],[Result]]&lt;0.5,1,0),0)</f>
        <v>0</v>
      </c>
    </row>
    <row r="306" spans="1:38" x14ac:dyDescent="0.35">
      <c r="A306" s="10">
        <v>45139</v>
      </c>
      <c r="B306" s="2">
        <v>2023</v>
      </c>
      <c r="C306" s="2">
        <f>COUNTIFS(Games[Team],Games[[#This Row],[Team]],Games[Season],Games[[#This Row],[Season]],Games[Date],"&lt;=" &amp; Games[[#This Row],[Date]])</f>
        <v>26</v>
      </c>
      <c r="D306" s="2" t="s">
        <v>79</v>
      </c>
      <c r="E306" s="2" t="s">
        <v>80</v>
      </c>
      <c r="F306" s="1" t="s">
        <v>60</v>
      </c>
      <c r="G306" s="1" t="s">
        <v>63</v>
      </c>
      <c r="H306" s="1" t="s">
        <v>81</v>
      </c>
      <c r="I306" s="2" cm="1">
        <f t="array" ref="I3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6" s="2" cm="1">
        <f t="array" ref="J3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6" s="2">
        <f>Games[[#This Row],[DaysOff]]-Games[[#This Row],[OppDaysOff]]</f>
        <v>0</v>
      </c>
      <c r="L306" s="2">
        <f>Games[[#This Row],[OppDaysOff]]-Games[[#This Row],[DaysOff]]</f>
        <v>0</v>
      </c>
      <c r="M306" s="1">
        <f>MAX(-16, MIN(16, Games[[#This Row],[RestDiff]]*8))</f>
        <v>0</v>
      </c>
      <c r="N306" s="1">
        <f>MAX(-16, MIN(16, Games[[#This Row],[OppRestDiff]]*8))</f>
        <v>0</v>
      </c>
      <c r="O306" s="4" cm="1">
        <f t="array" ref="O3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1608.0506839554257</v>
      </c>
      <c r="P306" s="4" cm="1">
        <f t="array" ref="P3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1382.2562236611768</v>
      </c>
      <c r="Q306" s="4">
        <f>1/(1+10^(((Games[[#This Row],[OppPreGmRate]]+IF(Games[[#This Row],[HomeAway]]="A",HCA,0)+Games[[#This Row],[OppRestAdj]])-(Games[[#This Row],[PreGmRate]]+IF(Games[[#This Row],[HomeAway]]="H",HCA,0)+Games[[#This Row],[RestAdj]]))/400))</f>
        <v>0.69343645047974944</v>
      </c>
      <c r="R306" s="1">
        <v>76</v>
      </c>
      <c r="S306" s="1">
        <v>69</v>
      </c>
      <c r="T306" s="1">
        <v>0</v>
      </c>
      <c r="U306" s="1">
        <f>Games[[#This Row],[PointsFor]]-Games[[#This Row],[PointsAgainst]]</f>
        <v>7</v>
      </c>
      <c r="V306" s="1">
        <f>IF(Games[[#This Row],[MOV]]&gt;0,1,IF(Games[[#This Row],[MOV]]=0,0.5,0))</f>
        <v>1</v>
      </c>
      <c r="W306" s="4">
        <f>((ABS(Games[[#This Row],[MOV]])+5)^0.6)/(12+0.01*(ABS(Games[[#This Row],[PreGmRate]]-Games[[#This Row],[OppPreGmRate]])))*IF(Games[[#This Row],[OT]]=1,0.9,1)</f>
        <v>0.31149553414096359</v>
      </c>
      <c r="X306" s="7" cm="1">
        <f t="array" ref="X30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6" s="9">
        <f>MAX(kmin, kmax - 0.15 * MIN(Games[[#This Row],[GamesPlayed]], 82))</f>
        <v>72.099999999999994</v>
      </c>
      <c r="Z306" s="4">
        <f>Games[[#This Row],[K]]*Games[[#This Row],[POMult]]</f>
        <v>72.099999999999994</v>
      </c>
      <c r="AA306" s="4">
        <f>(Games[[#This Row],[Keff]]*Games[[#This Row],[MOVMult]])*(Games[[#This Row],[Result]]-Games[[#This Row],[ExpectedWin%]])</f>
        <v>6.8850580332897291</v>
      </c>
      <c r="AB306" s="4">
        <f>Games[[#This Row],[PreGmRate]]+Games[[#This Row],[RatingChange]]</f>
        <v>1614.9357419887153</v>
      </c>
      <c r="AC306" s="2">
        <f>IF(Games[[#This Row],[Type]]="R",IF(Games[[#This Row],[Result]]&gt;0.5,1,0),0)</f>
        <v>1</v>
      </c>
      <c r="AD306" s="2">
        <f>IF(Games[[#This Row],[Type]]="R",IF(Games[[#This Row],[Result]]&lt;0.5,1,0),0)</f>
        <v>0</v>
      </c>
      <c r="AE306" s="2">
        <f>IF(AND(Games[[#This Row],[Type]]="P",Games[[#This Row],[Round]]=1),IF(Games[[#This Row],[Result]]&gt;0.5,1,0),0)</f>
        <v>0</v>
      </c>
      <c r="AF306" s="2">
        <f>IF(AND(Games[[#This Row],[Type]]="P",Games[[#This Row],[Round]]=1),IF(Games[[#This Row],[Result]]&lt;0.5,1,0),0)</f>
        <v>0</v>
      </c>
      <c r="AG306" s="2">
        <f>IF(AND(Games[[#This Row],[Type]]="P",Games[[#This Row],[Round]]=2),IF(Games[[#This Row],[Result]]&gt;0.5,1,0),0)</f>
        <v>0</v>
      </c>
      <c r="AH306" s="2">
        <f>IF(AND(Games[[#This Row],[Type]]="P",Games[[#This Row],[Round]]=2),IF(Games[[#This Row],[Result]]&lt;0.5,1,0),0)</f>
        <v>0</v>
      </c>
      <c r="AI306" s="2">
        <f>IF(AND(Games[[#This Row],[Type]]="P",Games[[#This Row],[Round]]=3),IF(Games[[#This Row],[Result]]&gt;0.5,1,0),0)</f>
        <v>0</v>
      </c>
      <c r="AJ306" s="2">
        <f>IF(AND(Games[[#This Row],[Type]]="P",Games[[#This Row],[Round]]=3),IF(Games[[#This Row],[Result]]&lt;0.5,1,0),0)</f>
        <v>0</v>
      </c>
      <c r="AK306" s="2">
        <f>IF(AND(Games[[#This Row],[Type]]="P",Games[[#This Row],[Round]]=4),IF(Games[[#This Row],[Result]]&gt;0.5,1,0),0)</f>
        <v>0</v>
      </c>
      <c r="AL306" s="2">
        <f>IF(AND(Games[[#This Row],[Type]]="P",Games[[#This Row],[Round]]=4),IF(Games[[#This Row],[Result]]&lt;0.5,1,0),0)</f>
        <v>0</v>
      </c>
    </row>
    <row r="307" spans="1:38" x14ac:dyDescent="0.35">
      <c r="A307" s="10">
        <v>45139</v>
      </c>
      <c r="B307" s="2">
        <v>2023</v>
      </c>
      <c r="C307" s="2">
        <f>COUNTIFS(Games[Team],Games[[#This Row],[Team]],Games[Season],Games[[#This Row],[Season]],Games[Date],"&lt;=" &amp; Games[[#This Row],[Date]])</f>
        <v>26</v>
      </c>
      <c r="D307" s="2" t="s">
        <v>79</v>
      </c>
      <c r="E307" s="2" t="s">
        <v>80</v>
      </c>
      <c r="F307" s="1" t="s">
        <v>63</v>
      </c>
      <c r="G307" s="1" t="s">
        <v>60</v>
      </c>
      <c r="H307" s="1" t="s">
        <v>82</v>
      </c>
      <c r="I307" s="2" cm="1">
        <f t="array" ref="I3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7" s="2" cm="1">
        <f t="array" ref="J3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7" s="2">
        <f>Games[[#This Row],[DaysOff]]-Games[[#This Row],[OppDaysOff]]</f>
        <v>0</v>
      </c>
      <c r="L307" s="2">
        <f>Games[[#This Row],[OppDaysOff]]-Games[[#This Row],[DaysOff]]</f>
        <v>0</v>
      </c>
      <c r="M307" s="1">
        <f>MAX(-16, MIN(16, Games[[#This Row],[RestDiff]]*8))</f>
        <v>0</v>
      </c>
      <c r="N307" s="1">
        <f>MAX(-16, MIN(16, Games[[#This Row],[OppRestDiff]]*8))</f>
        <v>0</v>
      </c>
      <c r="O307" s="4" cm="1">
        <f t="array" ref="O3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1382.2562236611768</v>
      </c>
      <c r="P307" s="4" cm="1">
        <f t="array" ref="P3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1608.0506839554257</v>
      </c>
      <c r="Q307" s="4">
        <f>1/(1+10^(((Games[[#This Row],[OppPreGmRate]]+IF(Games[[#This Row],[HomeAway]]="A",HCA,0)+Games[[#This Row],[OppRestAdj]])-(Games[[#This Row],[PreGmRate]]+IF(Games[[#This Row],[HomeAway]]="H",HCA,0)+Games[[#This Row],[RestAdj]]))/400))</f>
        <v>0.3065635495202505</v>
      </c>
      <c r="R307" s="1">
        <v>69</v>
      </c>
      <c r="S307" s="1">
        <v>76</v>
      </c>
      <c r="T307" s="1">
        <v>0</v>
      </c>
      <c r="U307" s="1">
        <f>Games[[#This Row],[PointsFor]]-Games[[#This Row],[PointsAgainst]]</f>
        <v>-7</v>
      </c>
      <c r="V307" s="1">
        <f>IF(Games[[#This Row],[MOV]]&gt;0,1,IF(Games[[#This Row],[MOV]]=0,0.5,0))</f>
        <v>0</v>
      </c>
      <c r="W307" s="4">
        <f>((ABS(Games[[#This Row],[MOV]])+5)^0.6)/(12+0.01*(ABS(Games[[#This Row],[PreGmRate]]-Games[[#This Row],[OppPreGmRate]])))*IF(Games[[#This Row],[OT]]=1,0.9,1)</f>
        <v>0.31149553414096359</v>
      </c>
      <c r="X307" s="7" cm="1">
        <f t="array" ref="X30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7" s="9">
        <f>MAX(kmin, kmax - 0.15 * MIN(Games[[#This Row],[GamesPlayed]], 82))</f>
        <v>72.099999999999994</v>
      </c>
      <c r="Z307" s="4">
        <f>Games[[#This Row],[K]]*Games[[#This Row],[POMult]]</f>
        <v>72.099999999999994</v>
      </c>
      <c r="AA307" s="4">
        <f>(Games[[#This Row],[Keff]]*Games[[#This Row],[MOVMult]])*(Games[[#This Row],[Result]]-Games[[#This Row],[ExpectedWin%]])</f>
        <v>-6.8850580332897273</v>
      </c>
      <c r="AB307" s="4">
        <f>Games[[#This Row],[PreGmRate]]+Games[[#This Row],[RatingChange]]</f>
        <v>1375.3711656278872</v>
      </c>
      <c r="AC307" s="2">
        <f>IF(Games[[#This Row],[Type]]="R",IF(Games[[#This Row],[Result]]&gt;0.5,1,0),0)</f>
        <v>0</v>
      </c>
      <c r="AD307" s="2">
        <f>IF(Games[[#This Row],[Type]]="R",IF(Games[[#This Row],[Result]]&lt;0.5,1,0),0)</f>
        <v>1</v>
      </c>
      <c r="AE307" s="2">
        <f>IF(AND(Games[[#This Row],[Type]]="P",Games[[#This Row],[Round]]=1),IF(Games[[#This Row],[Result]]&gt;0.5,1,0),0)</f>
        <v>0</v>
      </c>
      <c r="AF307" s="2">
        <f>IF(AND(Games[[#This Row],[Type]]="P",Games[[#This Row],[Round]]=1),IF(Games[[#This Row],[Result]]&lt;0.5,1,0),0)</f>
        <v>0</v>
      </c>
      <c r="AG307" s="2">
        <f>IF(AND(Games[[#This Row],[Type]]="P",Games[[#This Row],[Round]]=2),IF(Games[[#This Row],[Result]]&gt;0.5,1,0),0)</f>
        <v>0</v>
      </c>
      <c r="AH307" s="2">
        <f>IF(AND(Games[[#This Row],[Type]]="P",Games[[#This Row],[Round]]=2),IF(Games[[#This Row],[Result]]&lt;0.5,1,0),0)</f>
        <v>0</v>
      </c>
      <c r="AI307" s="2">
        <f>IF(AND(Games[[#This Row],[Type]]="P",Games[[#This Row],[Round]]=3),IF(Games[[#This Row],[Result]]&gt;0.5,1,0),0)</f>
        <v>0</v>
      </c>
      <c r="AJ307" s="2">
        <f>IF(AND(Games[[#This Row],[Type]]="P",Games[[#This Row],[Round]]=3),IF(Games[[#This Row],[Result]]&lt;0.5,1,0),0)</f>
        <v>0</v>
      </c>
      <c r="AK307" s="2">
        <f>IF(AND(Games[[#This Row],[Type]]="P",Games[[#This Row],[Round]]=4),IF(Games[[#This Row],[Result]]&gt;0.5,1,0),0)</f>
        <v>0</v>
      </c>
      <c r="AL307" s="2">
        <f>IF(AND(Games[[#This Row],[Type]]="P",Games[[#This Row],[Round]]=4),IF(Games[[#This Row],[Result]]&lt;0.5,1,0),0)</f>
        <v>0</v>
      </c>
    </row>
    <row r="308" spans="1:38" x14ac:dyDescent="0.35">
      <c r="A308" s="10">
        <v>45139</v>
      </c>
      <c r="B308" s="2">
        <v>2023</v>
      </c>
      <c r="C308" s="2">
        <f>COUNTIFS(Games[Team],Games[[#This Row],[Team]],Games[Season],Games[[#This Row],[Season]],Games[Date],"&lt;=" &amp; Games[[#This Row],[Date]])</f>
        <v>26</v>
      </c>
      <c r="D308" s="2" t="s">
        <v>79</v>
      </c>
      <c r="E308" s="2" t="s">
        <v>80</v>
      </c>
      <c r="F308" s="1" t="s">
        <v>77</v>
      </c>
      <c r="G308" s="1" t="s">
        <v>86</v>
      </c>
      <c r="H308" s="1" t="s">
        <v>81</v>
      </c>
      <c r="I308" s="2" cm="1">
        <f t="array" ref="I3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8" s="2" cm="1">
        <f t="array" ref="J3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8" s="2">
        <f>Games[[#This Row],[DaysOff]]-Games[[#This Row],[OppDaysOff]]</f>
        <v>0</v>
      </c>
      <c r="L308" s="2">
        <f>Games[[#This Row],[OppDaysOff]]-Games[[#This Row],[DaysOff]]</f>
        <v>0</v>
      </c>
      <c r="M308" s="1">
        <f>MAX(-16, MIN(16, Games[[#This Row],[RestDiff]]*8))</f>
        <v>0</v>
      </c>
      <c r="N308" s="1">
        <f>MAX(-16, MIN(16, Games[[#This Row],[OppRestDiff]]*8))</f>
        <v>0</v>
      </c>
      <c r="O308" s="4" cm="1">
        <f t="array" ref="O3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1518.3887876883939</v>
      </c>
      <c r="P308" s="4" cm="1">
        <f t="array" ref="P3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1758.4512790012452</v>
      </c>
      <c r="Q308" s="4">
        <f>1/(1+10^(((Games[[#This Row],[OppPreGmRate]]+IF(Games[[#This Row],[HomeAway]]="A",HCA,0)+Games[[#This Row],[OppRestAdj]])-(Games[[#This Row],[PreGmRate]]+IF(Games[[#This Row],[HomeAway]]="H",HCA,0)+Games[[#This Row],[RestAdj]]))/400))</f>
        <v>0.13406864958997225</v>
      </c>
      <c r="R308" s="1">
        <v>72</v>
      </c>
      <c r="S308" s="1">
        <v>93</v>
      </c>
      <c r="T308" s="1">
        <v>0</v>
      </c>
      <c r="U308" s="1">
        <f>Games[[#This Row],[PointsFor]]-Games[[#This Row],[PointsAgainst]]</f>
        <v>-21</v>
      </c>
      <c r="V308" s="1">
        <f>IF(Games[[#This Row],[MOV]]&gt;0,1,IF(Games[[#This Row],[MOV]]=0,0.5,0))</f>
        <v>0</v>
      </c>
      <c r="W308" s="4">
        <f>((ABS(Games[[#This Row],[MOV]])+5)^0.6)/(12+0.01*(ABS(Games[[#This Row],[PreGmRate]]-Games[[#This Row],[OppPreGmRate]])))*IF(Games[[#This Row],[OT]]=1,0.9,1)</f>
        <v>0.49045895687553454</v>
      </c>
      <c r="X308" s="7" cm="1">
        <f t="array" ref="X30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8" s="9">
        <f>MAX(kmin, kmax - 0.15 * MIN(Games[[#This Row],[GamesPlayed]], 82))</f>
        <v>72.099999999999994</v>
      </c>
      <c r="Z308" s="4">
        <f>Games[[#This Row],[K]]*Games[[#This Row],[POMult]]</f>
        <v>72.099999999999994</v>
      </c>
      <c r="AA308" s="4">
        <f>(Games[[#This Row],[Keff]]*Games[[#This Row],[MOVMult]])*(Games[[#This Row],[Result]]-Games[[#This Row],[ExpectedWin%]])</f>
        <v>-4.7409477589906333</v>
      </c>
      <c r="AB308" s="4">
        <f>Games[[#This Row],[PreGmRate]]+Games[[#This Row],[RatingChange]]</f>
        <v>1513.6478399294033</v>
      </c>
      <c r="AC308" s="2">
        <f>IF(Games[[#This Row],[Type]]="R",IF(Games[[#This Row],[Result]]&gt;0.5,1,0),0)</f>
        <v>0</v>
      </c>
      <c r="AD308" s="2">
        <f>IF(Games[[#This Row],[Type]]="R",IF(Games[[#This Row],[Result]]&lt;0.5,1,0),0)</f>
        <v>1</v>
      </c>
      <c r="AE308" s="2">
        <f>IF(AND(Games[[#This Row],[Type]]="P",Games[[#This Row],[Round]]=1),IF(Games[[#This Row],[Result]]&gt;0.5,1,0),0)</f>
        <v>0</v>
      </c>
      <c r="AF308" s="2">
        <f>IF(AND(Games[[#This Row],[Type]]="P",Games[[#This Row],[Round]]=1),IF(Games[[#This Row],[Result]]&lt;0.5,1,0),0)</f>
        <v>0</v>
      </c>
      <c r="AG308" s="2">
        <f>IF(AND(Games[[#This Row],[Type]]="P",Games[[#This Row],[Round]]=2),IF(Games[[#This Row],[Result]]&gt;0.5,1,0),0)</f>
        <v>0</v>
      </c>
      <c r="AH308" s="2">
        <f>IF(AND(Games[[#This Row],[Type]]="P",Games[[#This Row],[Round]]=2),IF(Games[[#This Row],[Result]]&lt;0.5,1,0),0)</f>
        <v>0</v>
      </c>
      <c r="AI308" s="2">
        <f>IF(AND(Games[[#This Row],[Type]]="P",Games[[#This Row],[Round]]=3),IF(Games[[#This Row],[Result]]&gt;0.5,1,0),0)</f>
        <v>0</v>
      </c>
      <c r="AJ308" s="2">
        <f>IF(AND(Games[[#This Row],[Type]]="P",Games[[#This Row],[Round]]=3),IF(Games[[#This Row],[Result]]&lt;0.5,1,0),0)</f>
        <v>0</v>
      </c>
      <c r="AK308" s="2">
        <f>IF(AND(Games[[#This Row],[Type]]="P",Games[[#This Row],[Round]]=4),IF(Games[[#This Row],[Result]]&gt;0.5,1,0),0)</f>
        <v>0</v>
      </c>
      <c r="AL308" s="2">
        <f>IF(AND(Games[[#This Row],[Type]]="P",Games[[#This Row],[Round]]=4),IF(Games[[#This Row],[Result]]&lt;0.5,1,0),0)</f>
        <v>0</v>
      </c>
    </row>
    <row r="309" spans="1:38" x14ac:dyDescent="0.35">
      <c r="A309" s="10">
        <v>45139</v>
      </c>
      <c r="B309" s="2">
        <v>2023</v>
      </c>
      <c r="C309" s="2">
        <f>COUNTIFS(Games[Team],Games[[#This Row],[Team]],Games[Season],Games[[#This Row],[Season]],Games[Date],"&lt;=" &amp; Games[[#This Row],[Date]])</f>
        <v>26</v>
      </c>
      <c r="D309" s="2" t="s">
        <v>79</v>
      </c>
      <c r="E309" s="2" t="s">
        <v>80</v>
      </c>
      <c r="F309" s="1" t="s">
        <v>86</v>
      </c>
      <c r="G309" s="1" t="s">
        <v>77</v>
      </c>
      <c r="H309" s="1" t="s">
        <v>82</v>
      </c>
      <c r="I309" s="2" cm="1">
        <f t="array" ref="I3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9" s="2" cm="1">
        <f t="array" ref="J3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9" s="2">
        <f>Games[[#This Row],[DaysOff]]-Games[[#This Row],[OppDaysOff]]</f>
        <v>0</v>
      </c>
      <c r="L309" s="2">
        <f>Games[[#This Row],[OppDaysOff]]-Games[[#This Row],[DaysOff]]</f>
        <v>0</v>
      </c>
      <c r="M309" s="1">
        <f>MAX(-16, MIN(16, Games[[#This Row],[RestDiff]]*8))</f>
        <v>0</v>
      </c>
      <c r="N309" s="1">
        <f>MAX(-16, MIN(16, Games[[#This Row],[OppRestDiff]]*8))</f>
        <v>0</v>
      </c>
      <c r="O309" s="4" cm="1">
        <f t="array" ref="O3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1758.4512790012452</v>
      </c>
      <c r="P309" s="4" cm="1">
        <f t="array" ref="P3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1518.3887876883939</v>
      </c>
      <c r="Q309" s="4">
        <f>1/(1+10^(((Games[[#This Row],[OppPreGmRate]]+IF(Games[[#This Row],[HomeAway]]="A",HCA,0)+Games[[#This Row],[OppRestAdj]])-(Games[[#This Row],[PreGmRate]]+IF(Games[[#This Row],[HomeAway]]="H",HCA,0)+Games[[#This Row],[RestAdj]]))/400))</f>
        <v>0.86593135041002778</v>
      </c>
      <c r="R309" s="1">
        <v>93</v>
      </c>
      <c r="S309" s="1">
        <v>72</v>
      </c>
      <c r="T309" s="1">
        <v>0</v>
      </c>
      <c r="U309" s="1">
        <f>Games[[#This Row],[PointsFor]]-Games[[#This Row],[PointsAgainst]]</f>
        <v>21</v>
      </c>
      <c r="V309" s="1">
        <f>IF(Games[[#This Row],[MOV]]&gt;0,1,IF(Games[[#This Row],[MOV]]=0,0.5,0))</f>
        <v>1</v>
      </c>
      <c r="W309" s="4">
        <f>((ABS(Games[[#This Row],[MOV]])+5)^0.6)/(12+0.01*(ABS(Games[[#This Row],[PreGmRate]]-Games[[#This Row],[OppPreGmRate]])))*IF(Games[[#This Row],[OT]]=1,0.9,1)</f>
        <v>0.49045895687553454</v>
      </c>
      <c r="X309" s="7" cm="1">
        <f t="array" ref="X30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9" s="9">
        <f>MAX(kmin, kmax - 0.15 * MIN(Games[[#This Row],[GamesPlayed]], 82))</f>
        <v>72.099999999999994</v>
      </c>
      <c r="Z309" s="4">
        <f>Games[[#This Row],[K]]*Games[[#This Row],[POMult]]</f>
        <v>72.099999999999994</v>
      </c>
      <c r="AA309" s="4">
        <f>(Games[[#This Row],[Keff]]*Games[[#This Row],[MOVMult]])*(Games[[#This Row],[Result]]-Games[[#This Row],[ExpectedWin%]])</f>
        <v>4.7409477589906324</v>
      </c>
      <c r="AB309" s="4">
        <f>Games[[#This Row],[PreGmRate]]+Games[[#This Row],[RatingChange]]</f>
        <v>1763.1922267602358</v>
      </c>
      <c r="AC309" s="2">
        <f>IF(Games[[#This Row],[Type]]="R",IF(Games[[#This Row],[Result]]&gt;0.5,1,0),0)</f>
        <v>1</v>
      </c>
      <c r="AD309" s="2">
        <f>IF(Games[[#This Row],[Type]]="R",IF(Games[[#This Row],[Result]]&lt;0.5,1,0),0)</f>
        <v>0</v>
      </c>
      <c r="AE309" s="2">
        <f>IF(AND(Games[[#This Row],[Type]]="P",Games[[#This Row],[Round]]=1),IF(Games[[#This Row],[Result]]&gt;0.5,1,0),0)</f>
        <v>0</v>
      </c>
      <c r="AF309" s="2">
        <f>IF(AND(Games[[#This Row],[Type]]="P",Games[[#This Row],[Round]]=1),IF(Games[[#This Row],[Result]]&lt;0.5,1,0),0)</f>
        <v>0</v>
      </c>
      <c r="AG309" s="2">
        <f>IF(AND(Games[[#This Row],[Type]]="P",Games[[#This Row],[Round]]=2),IF(Games[[#This Row],[Result]]&gt;0.5,1,0),0)</f>
        <v>0</v>
      </c>
      <c r="AH309" s="2">
        <f>IF(AND(Games[[#This Row],[Type]]="P",Games[[#This Row],[Round]]=2),IF(Games[[#This Row],[Result]]&lt;0.5,1,0),0)</f>
        <v>0</v>
      </c>
      <c r="AI309" s="2">
        <f>IF(AND(Games[[#This Row],[Type]]="P",Games[[#This Row],[Round]]=3),IF(Games[[#This Row],[Result]]&gt;0.5,1,0),0)</f>
        <v>0</v>
      </c>
      <c r="AJ309" s="2">
        <f>IF(AND(Games[[#This Row],[Type]]="P",Games[[#This Row],[Round]]=3),IF(Games[[#This Row],[Result]]&lt;0.5,1,0),0)</f>
        <v>0</v>
      </c>
      <c r="AK309" s="2">
        <f>IF(AND(Games[[#This Row],[Type]]="P",Games[[#This Row],[Round]]=4),IF(Games[[#This Row],[Result]]&gt;0.5,1,0),0)</f>
        <v>0</v>
      </c>
      <c r="AL309" s="2">
        <f>IF(AND(Games[[#This Row],[Type]]="P",Games[[#This Row],[Round]]=4),IF(Games[[#This Row],[Result]]&lt;0.5,1,0),0)</f>
        <v>0</v>
      </c>
    </row>
    <row r="310" spans="1:38" x14ac:dyDescent="0.35">
      <c r="A310" s="10">
        <v>45140</v>
      </c>
      <c r="B310" s="2">
        <v>2023</v>
      </c>
      <c r="C310" s="2">
        <f>COUNTIFS(Games[Team],Games[[#This Row],[Team]],Games[Season],Games[[#This Row],[Season]],Games[Date],"&lt;=" &amp; Games[[#This Row],[Date]])</f>
        <v>26</v>
      </c>
      <c r="D310" s="2" t="s">
        <v>79</v>
      </c>
      <c r="E310" s="2" t="s">
        <v>80</v>
      </c>
      <c r="F310" s="1" t="s">
        <v>85</v>
      </c>
      <c r="G310" s="1" t="s">
        <v>71</v>
      </c>
      <c r="H310" s="1" t="s">
        <v>81</v>
      </c>
      <c r="I310" s="2" cm="1">
        <f t="array" ref="I31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0" s="2" cm="1">
        <f t="array" ref="J3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0" s="2">
        <f>Games[[#This Row],[DaysOff]]-Games[[#This Row],[OppDaysOff]]</f>
        <v>0</v>
      </c>
      <c r="L310" s="2">
        <f>Games[[#This Row],[OppDaysOff]]-Games[[#This Row],[DaysOff]]</f>
        <v>0</v>
      </c>
      <c r="M310" s="1">
        <f>MAX(-16, MIN(16, Games[[#This Row],[RestDiff]]*8))</f>
        <v>0</v>
      </c>
      <c r="N310" s="1">
        <f>MAX(-16, MIN(16, Games[[#This Row],[OppRestDiff]]*8))</f>
        <v>0</v>
      </c>
      <c r="O310" s="4" cm="1">
        <f t="array" ref="O3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1566.9703189481791</v>
      </c>
      <c r="P310" s="4" cm="1">
        <f t="array" ref="P3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1421.2888063116191</v>
      </c>
      <c r="Q310" s="4">
        <f>1/(1+10^(((Games[[#This Row],[OppPreGmRate]]+IF(Games[[#This Row],[HomeAway]]="A",HCA,0)+Games[[#This Row],[OppRestAdj]])-(Games[[#This Row],[PreGmRate]]+IF(Games[[#This Row],[HomeAway]]="H",HCA,0)+Games[[#This Row],[RestAdj]]))/400))</f>
        <v>0.58784585120390831</v>
      </c>
      <c r="R310" s="1">
        <v>76</v>
      </c>
      <c r="S310" s="1">
        <v>65</v>
      </c>
      <c r="T310" s="1">
        <v>0</v>
      </c>
      <c r="U310" s="1">
        <f>Games[[#This Row],[PointsFor]]-Games[[#This Row],[PointsAgainst]]</f>
        <v>11</v>
      </c>
      <c r="V310" s="1">
        <f>IF(Games[[#This Row],[MOV]]&gt;0,1,IF(Games[[#This Row],[MOV]]=0,0.5,0))</f>
        <v>1</v>
      </c>
      <c r="W310" s="4">
        <f>((ABS(Games[[#This Row],[MOV]])+5)^0.6)/(12+0.01*(ABS(Games[[#This Row],[PreGmRate]]-Games[[#This Row],[OppPreGmRate]])))*IF(Games[[#This Row],[OT]]=1,0.9,1)</f>
        <v>0.39221997133262698</v>
      </c>
      <c r="X310" s="7" cm="1">
        <f t="array" ref="X31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0" s="9">
        <f>MAX(kmin, kmax - 0.15 * MIN(Games[[#This Row],[GamesPlayed]], 82))</f>
        <v>72.099999999999994</v>
      </c>
      <c r="Z310" s="4">
        <f>Games[[#This Row],[K]]*Games[[#This Row],[POMult]]</f>
        <v>72.099999999999994</v>
      </c>
      <c r="AA310" s="4">
        <f>(Games[[#This Row],[Keff]]*Games[[#This Row],[MOVMult]])*(Games[[#This Row],[Result]]-Games[[#This Row],[ExpectedWin%]])</f>
        <v>11.655331875473241</v>
      </c>
      <c r="AB310" s="4">
        <f>Games[[#This Row],[PreGmRate]]+Games[[#This Row],[RatingChange]]</f>
        <v>1578.6256508236522</v>
      </c>
      <c r="AC310" s="2">
        <f>IF(Games[[#This Row],[Type]]="R",IF(Games[[#This Row],[Result]]&gt;0.5,1,0),0)</f>
        <v>1</v>
      </c>
      <c r="AD310" s="2">
        <f>IF(Games[[#This Row],[Type]]="R",IF(Games[[#This Row],[Result]]&lt;0.5,1,0),0)</f>
        <v>0</v>
      </c>
      <c r="AE310" s="2">
        <f>IF(AND(Games[[#This Row],[Type]]="P",Games[[#This Row],[Round]]=1),IF(Games[[#This Row],[Result]]&gt;0.5,1,0),0)</f>
        <v>0</v>
      </c>
      <c r="AF310" s="2">
        <f>IF(AND(Games[[#This Row],[Type]]="P",Games[[#This Row],[Round]]=1),IF(Games[[#This Row],[Result]]&lt;0.5,1,0),0)</f>
        <v>0</v>
      </c>
      <c r="AG310" s="2">
        <f>IF(AND(Games[[#This Row],[Type]]="P",Games[[#This Row],[Round]]=2),IF(Games[[#This Row],[Result]]&gt;0.5,1,0),0)</f>
        <v>0</v>
      </c>
      <c r="AH310" s="2">
        <f>IF(AND(Games[[#This Row],[Type]]="P",Games[[#This Row],[Round]]=2),IF(Games[[#This Row],[Result]]&lt;0.5,1,0),0)</f>
        <v>0</v>
      </c>
      <c r="AI310" s="2">
        <f>IF(AND(Games[[#This Row],[Type]]="P",Games[[#This Row],[Round]]=3),IF(Games[[#This Row],[Result]]&gt;0.5,1,0),0)</f>
        <v>0</v>
      </c>
      <c r="AJ310" s="2">
        <f>IF(AND(Games[[#This Row],[Type]]="P",Games[[#This Row],[Round]]=3),IF(Games[[#This Row],[Result]]&lt;0.5,1,0),0)</f>
        <v>0</v>
      </c>
      <c r="AK310" s="2">
        <f>IF(AND(Games[[#This Row],[Type]]="P",Games[[#This Row],[Round]]=4),IF(Games[[#This Row],[Result]]&gt;0.5,1,0),0)</f>
        <v>0</v>
      </c>
      <c r="AL310" s="2">
        <f>IF(AND(Games[[#This Row],[Type]]="P",Games[[#This Row],[Round]]=4),IF(Games[[#This Row],[Result]]&lt;0.5,1,0),0)</f>
        <v>0</v>
      </c>
    </row>
    <row r="311" spans="1:38" x14ac:dyDescent="0.35">
      <c r="A311" s="10">
        <v>45140</v>
      </c>
      <c r="B311" s="2">
        <v>2023</v>
      </c>
      <c r="C311" s="2">
        <f>COUNTIFS(Games[Team],Games[[#This Row],[Team]],Games[Season],Games[[#This Row],[Season]],Games[Date],"&lt;=" &amp; Games[[#This Row],[Date]])</f>
        <v>26</v>
      </c>
      <c r="D311" s="2" t="s">
        <v>79</v>
      </c>
      <c r="E311" s="2" t="s">
        <v>80</v>
      </c>
      <c r="F311" s="1" t="s">
        <v>71</v>
      </c>
      <c r="G311" s="1" t="s">
        <v>85</v>
      </c>
      <c r="H311" s="1" t="s">
        <v>82</v>
      </c>
      <c r="I311" s="2" cm="1">
        <f t="array" ref="I3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1" s="2" cm="1">
        <f t="array" ref="J31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1" s="2">
        <f>Games[[#This Row],[DaysOff]]-Games[[#This Row],[OppDaysOff]]</f>
        <v>0</v>
      </c>
      <c r="L311" s="2">
        <f>Games[[#This Row],[OppDaysOff]]-Games[[#This Row],[DaysOff]]</f>
        <v>0</v>
      </c>
      <c r="M311" s="1">
        <f>MAX(-16, MIN(16, Games[[#This Row],[RestDiff]]*8))</f>
        <v>0</v>
      </c>
      <c r="N311" s="1">
        <f>MAX(-16, MIN(16, Games[[#This Row],[OppRestDiff]]*8))</f>
        <v>0</v>
      </c>
      <c r="O311" s="4" cm="1">
        <f t="array" ref="O3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1421.2888063116191</v>
      </c>
      <c r="P311" s="4" cm="1">
        <f t="array" ref="P3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1566.9703189481791</v>
      </c>
      <c r="Q311" s="4">
        <f>1/(1+10^(((Games[[#This Row],[OppPreGmRate]]+IF(Games[[#This Row],[HomeAway]]="A",HCA,0)+Games[[#This Row],[OppRestAdj]])-(Games[[#This Row],[PreGmRate]]+IF(Games[[#This Row],[HomeAway]]="H",HCA,0)+Games[[#This Row],[RestAdj]]))/400))</f>
        <v>0.41215414879609164</v>
      </c>
      <c r="R311" s="1">
        <v>65</v>
      </c>
      <c r="S311" s="1">
        <v>76</v>
      </c>
      <c r="T311" s="1">
        <v>0</v>
      </c>
      <c r="U311" s="1">
        <f>Games[[#This Row],[PointsFor]]-Games[[#This Row],[PointsAgainst]]</f>
        <v>-11</v>
      </c>
      <c r="V311" s="1">
        <f>IF(Games[[#This Row],[MOV]]&gt;0,1,IF(Games[[#This Row],[MOV]]=0,0.5,0))</f>
        <v>0</v>
      </c>
      <c r="W311" s="4">
        <f>((ABS(Games[[#This Row],[MOV]])+5)^0.6)/(12+0.01*(ABS(Games[[#This Row],[PreGmRate]]-Games[[#This Row],[OppPreGmRate]])))*IF(Games[[#This Row],[OT]]=1,0.9,1)</f>
        <v>0.39221997133262698</v>
      </c>
      <c r="X311" s="7" cm="1">
        <f t="array" ref="X31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1" s="9">
        <f>MAX(kmin, kmax - 0.15 * MIN(Games[[#This Row],[GamesPlayed]], 82))</f>
        <v>72.099999999999994</v>
      </c>
      <c r="Z311" s="4">
        <f>Games[[#This Row],[K]]*Games[[#This Row],[POMult]]</f>
        <v>72.099999999999994</v>
      </c>
      <c r="AA311" s="4">
        <f>(Games[[#This Row],[Keff]]*Games[[#This Row],[MOVMult]])*(Games[[#This Row],[Result]]-Games[[#This Row],[ExpectedWin%]])</f>
        <v>-11.655331875473239</v>
      </c>
      <c r="AB311" s="4">
        <f>Games[[#This Row],[PreGmRate]]+Games[[#This Row],[RatingChange]]</f>
        <v>1409.6334744361459</v>
      </c>
      <c r="AC311" s="2">
        <f>IF(Games[[#This Row],[Type]]="R",IF(Games[[#This Row],[Result]]&gt;0.5,1,0),0)</f>
        <v>0</v>
      </c>
      <c r="AD311" s="2">
        <f>IF(Games[[#This Row],[Type]]="R",IF(Games[[#This Row],[Result]]&lt;0.5,1,0),0)</f>
        <v>1</v>
      </c>
      <c r="AE311" s="2">
        <f>IF(AND(Games[[#This Row],[Type]]="P",Games[[#This Row],[Round]]=1),IF(Games[[#This Row],[Result]]&gt;0.5,1,0),0)</f>
        <v>0</v>
      </c>
      <c r="AF311" s="2">
        <f>IF(AND(Games[[#This Row],[Type]]="P",Games[[#This Row],[Round]]=1),IF(Games[[#This Row],[Result]]&lt;0.5,1,0),0)</f>
        <v>0</v>
      </c>
      <c r="AG311" s="2">
        <f>IF(AND(Games[[#This Row],[Type]]="P",Games[[#This Row],[Round]]=2),IF(Games[[#This Row],[Result]]&gt;0.5,1,0),0)</f>
        <v>0</v>
      </c>
      <c r="AH311" s="2">
        <f>IF(AND(Games[[#This Row],[Type]]="P",Games[[#This Row],[Round]]=2),IF(Games[[#This Row],[Result]]&lt;0.5,1,0),0)</f>
        <v>0</v>
      </c>
      <c r="AI311" s="2">
        <f>IF(AND(Games[[#This Row],[Type]]="P",Games[[#This Row],[Round]]=3),IF(Games[[#This Row],[Result]]&gt;0.5,1,0),0)</f>
        <v>0</v>
      </c>
      <c r="AJ311" s="2">
        <f>IF(AND(Games[[#This Row],[Type]]="P",Games[[#This Row],[Round]]=3),IF(Games[[#This Row],[Result]]&lt;0.5,1,0),0)</f>
        <v>0</v>
      </c>
      <c r="AK311" s="2">
        <f>IF(AND(Games[[#This Row],[Type]]="P",Games[[#This Row],[Round]]=4),IF(Games[[#This Row],[Result]]&gt;0.5,1,0),0)</f>
        <v>0</v>
      </c>
      <c r="AL311" s="2">
        <f>IF(AND(Games[[#This Row],[Type]]="P",Games[[#This Row],[Round]]=4),IF(Games[[#This Row],[Result]]&lt;0.5,1,0),0)</f>
        <v>0</v>
      </c>
    </row>
    <row r="312" spans="1:38" x14ac:dyDescent="0.35">
      <c r="A312" s="10">
        <v>45141</v>
      </c>
      <c r="B312" s="2">
        <v>2023</v>
      </c>
      <c r="C312" s="2">
        <f>COUNTIFS(Games[Team],Games[[#This Row],[Team]],Games[Season],Games[[#This Row],[Season]],Games[Date],"&lt;=" &amp; Games[[#This Row],[Date]])</f>
        <v>27</v>
      </c>
      <c r="D312" s="2" t="s">
        <v>79</v>
      </c>
      <c r="E312" s="2" t="s">
        <v>80</v>
      </c>
      <c r="F312" s="1" t="s">
        <v>77</v>
      </c>
      <c r="G312" s="1" t="s">
        <v>40</v>
      </c>
      <c r="H312" s="1" t="s">
        <v>81</v>
      </c>
      <c r="I312" s="2" cm="1">
        <f t="array" ref="I3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2" s="2" cm="1">
        <f t="array" ref="J3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2" s="2">
        <f>Games[[#This Row],[DaysOff]]-Games[[#This Row],[OppDaysOff]]</f>
        <v>0</v>
      </c>
      <c r="L312" s="2">
        <f>Games[[#This Row],[OppDaysOff]]-Games[[#This Row],[DaysOff]]</f>
        <v>0</v>
      </c>
      <c r="M312" s="1">
        <f>MAX(-16, MIN(16, Games[[#This Row],[RestDiff]]*8))</f>
        <v>0</v>
      </c>
      <c r="N312" s="1">
        <f>MAX(-16, MIN(16, Games[[#This Row],[OppRestDiff]]*8))</f>
        <v>0</v>
      </c>
      <c r="O312" s="4" cm="1">
        <f t="array" ref="O3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1513.6478399294033</v>
      </c>
      <c r="P312" s="4" cm="1">
        <f t="array" ref="P3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1357.3439590365181</v>
      </c>
      <c r="Q312" s="4">
        <f>1/(1+10^(((Games[[#This Row],[OppPreGmRate]]+IF(Games[[#This Row],[HomeAway]]="A",HCA,0)+Games[[#This Row],[OppRestAdj]])-(Games[[#This Row],[PreGmRate]]+IF(Games[[#This Row],[HomeAway]]="H",HCA,0)+Games[[#This Row],[RestAdj]]))/400))</f>
        <v>0.60257708199325211</v>
      </c>
      <c r="R312" s="1">
        <v>71</v>
      </c>
      <c r="S312" s="1">
        <v>91</v>
      </c>
      <c r="T312" s="1">
        <v>0</v>
      </c>
      <c r="U312" s="1">
        <f>Games[[#This Row],[PointsFor]]-Games[[#This Row],[PointsAgainst]]</f>
        <v>-20</v>
      </c>
      <c r="V312" s="1">
        <f>IF(Games[[#This Row],[MOV]]&gt;0,1,IF(Games[[#This Row],[MOV]]=0,0.5,0))</f>
        <v>0</v>
      </c>
      <c r="W312" s="4">
        <f>((ABS(Games[[#This Row],[MOV]])+5)^0.6)/(12+0.01*(ABS(Games[[#This Row],[PreGmRate]]-Games[[#This Row],[OppPreGmRate]])))*IF(Games[[#This Row],[OT]]=1,0.9,1)</f>
        <v>0.50863588938229232</v>
      </c>
      <c r="X312" s="7" cm="1">
        <f t="array" ref="X31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2" s="9">
        <f>MAX(kmin, kmax - 0.15 * MIN(Games[[#This Row],[GamesPlayed]], 82))</f>
        <v>71.95</v>
      </c>
      <c r="Z312" s="4">
        <f>Games[[#This Row],[K]]*Games[[#This Row],[POMult]]</f>
        <v>71.95</v>
      </c>
      <c r="AA312" s="4">
        <f>(Games[[#This Row],[Keff]]*Games[[#This Row],[MOVMult]])*(Games[[#This Row],[Result]]-Games[[#This Row],[ExpectedWin%]])</f>
        <v>-22.052123145012697</v>
      </c>
      <c r="AB312" s="4">
        <f>Games[[#This Row],[PreGmRate]]+Games[[#This Row],[RatingChange]]</f>
        <v>1491.5957167843906</v>
      </c>
      <c r="AC312" s="2">
        <f>IF(Games[[#This Row],[Type]]="R",IF(Games[[#This Row],[Result]]&gt;0.5,1,0),0)</f>
        <v>0</v>
      </c>
      <c r="AD312" s="2">
        <f>IF(Games[[#This Row],[Type]]="R",IF(Games[[#This Row],[Result]]&lt;0.5,1,0),0)</f>
        <v>1</v>
      </c>
      <c r="AE312" s="2">
        <f>IF(AND(Games[[#This Row],[Type]]="P",Games[[#This Row],[Round]]=1),IF(Games[[#This Row],[Result]]&gt;0.5,1,0),0)</f>
        <v>0</v>
      </c>
      <c r="AF312" s="2">
        <f>IF(AND(Games[[#This Row],[Type]]="P",Games[[#This Row],[Round]]=1),IF(Games[[#This Row],[Result]]&lt;0.5,1,0),0)</f>
        <v>0</v>
      </c>
      <c r="AG312" s="2">
        <f>IF(AND(Games[[#This Row],[Type]]="P",Games[[#This Row],[Round]]=2),IF(Games[[#This Row],[Result]]&gt;0.5,1,0),0)</f>
        <v>0</v>
      </c>
      <c r="AH312" s="2">
        <f>IF(AND(Games[[#This Row],[Type]]="P",Games[[#This Row],[Round]]=2),IF(Games[[#This Row],[Result]]&lt;0.5,1,0),0)</f>
        <v>0</v>
      </c>
      <c r="AI312" s="2">
        <f>IF(AND(Games[[#This Row],[Type]]="P",Games[[#This Row],[Round]]=3),IF(Games[[#This Row],[Result]]&gt;0.5,1,0),0)</f>
        <v>0</v>
      </c>
      <c r="AJ312" s="2">
        <f>IF(AND(Games[[#This Row],[Type]]="P",Games[[#This Row],[Round]]=3),IF(Games[[#This Row],[Result]]&lt;0.5,1,0),0)</f>
        <v>0</v>
      </c>
      <c r="AK312" s="2">
        <f>IF(AND(Games[[#This Row],[Type]]="P",Games[[#This Row],[Round]]=4),IF(Games[[#This Row],[Result]]&gt;0.5,1,0),0)</f>
        <v>0</v>
      </c>
      <c r="AL312" s="2">
        <f>IF(AND(Games[[#This Row],[Type]]="P",Games[[#This Row],[Round]]=4),IF(Games[[#This Row],[Result]]&lt;0.5,1,0),0)</f>
        <v>0</v>
      </c>
    </row>
    <row r="313" spans="1:38" x14ac:dyDescent="0.35">
      <c r="A313" s="10">
        <v>45141</v>
      </c>
      <c r="B313" s="2">
        <v>2023</v>
      </c>
      <c r="C313" s="2">
        <f>COUNTIFS(Games[Team],Games[[#This Row],[Team]],Games[Season],Games[[#This Row],[Season]],Games[Date],"&lt;=" &amp; Games[[#This Row],[Date]])</f>
        <v>26</v>
      </c>
      <c r="D313" s="2" t="s">
        <v>79</v>
      </c>
      <c r="E313" s="2" t="s">
        <v>80</v>
      </c>
      <c r="F313" s="1" t="s">
        <v>40</v>
      </c>
      <c r="G313" s="1" t="s">
        <v>77</v>
      </c>
      <c r="H313" s="1" t="s">
        <v>82</v>
      </c>
      <c r="I313" s="2" cm="1">
        <f t="array" ref="I3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3" s="2" cm="1">
        <f t="array" ref="J3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3" s="2">
        <f>Games[[#This Row],[DaysOff]]-Games[[#This Row],[OppDaysOff]]</f>
        <v>0</v>
      </c>
      <c r="L313" s="2">
        <f>Games[[#This Row],[OppDaysOff]]-Games[[#This Row],[DaysOff]]</f>
        <v>0</v>
      </c>
      <c r="M313" s="1">
        <f>MAX(-16, MIN(16, Games[[#This Row],[RestDiff]]*8))</f>
        <v>0</v>
      </c>
      <c r="N313" s="1">
        <f>MAX(-16, MIN(16, Games[[#This Row],[OppRestDiff]]*8))</f>
        <v>0</v>
      </c>
      <c r="O313" s="4" cm="1">
        <f t="array" ref="O3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1357.3439590365181</v>
      </c>
      <c r="P313" s="4" cm="1">
        <f t="array" ref="P3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1513.6478399294033</v>
      </c>
      <c r="Q313" s="4">
        <f>1/(1+10^(((Games[[#This Row],[OppPreGmRate]]+IF(Games[[#This Row],[HomeAway]]="A",HCA,0)+Games[[#This Row],[OppRestAdj]])-(Games[[#This Row],[PreGmRate]]+IF(Games[[#This Row],[HomeAway]]="H",HCA,0)+Games[[#This Row],[RestAdj]]))/400))</f>
        <v>0.39742291800674789</v>
      </c>
      <c r="R313" s="1">
        <v>91</v>
      </c>
      <c r="S313" s="1">
        <v>71</v>
      </c>
      <c r="T313" s="1">
        <v>0</v>
      </c>
      <c r="U313" s="1">
        <f>Games[[#This Row],[PointsFor]]-Games[[#This Row],[PointsAgainst]]</f>
        <v>20</v>
      </c>
      <c r="V313" s="1">
        <f>IF(Games[[#This Row],[MOV]]&gt;0,1,IF(Games[[#This Row],[MOV]]=0,0.5,0))</f>
        <v>1</v>
      </c>
      <c r="W313" s="4">
        <f>((ABS(Games[[#This Row],[MOV]])+5)^0.6)/(12+0.01*(ABS(Games[[#This Row],[PreGmRate]]-Games[[#This Row],[OppPreGmRate]])))*IF(Games[[#This Row],[OT]]=1,0.9,1)</f>
        <v>0.50863588938229232</v>
      </c>
      <c r="X313" s="7" cm="1">
        <f t="array" ref="X31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3" s="9">
        <f>MAX(kmin, kmax - 0.15 * MIN(Games[[#This Row],[GamesPlayed]], 82))</f>
        <v>72.099999999999994</v>
      </c>
      <c r="Z313" s="4">
        <f>Games[[#This Row],[K]]*Games[[#This Row],[POMult]]</f>
        <v>72.099999999999994</v>
      </c>
      <c r="AA313" s="4">
        <f>(Games[[#This Row],[Keff]]*Games[[#This Row],[MOVMult]])*(Games[[#This Row],[Result]]-Games[[#This Row],[ExpectedWin%]])</f>
        <v>22.098096994515849</v>
      </c>
      <c r="AB313" s="4">
        <f>Games[[#This Row],[PreGmRate]]+Games[[#This Row],[RatingChange]]</f>
        <v>1379.4420560310339</v>
      </c>
      <c r="AC313" s="2">
        <f>IF(Games[[#This Row],[Type]]="R",IF(Games[[#This Row],[Result]]&gt;0.5,1,0),0)</f>
        <v>1</v>
      </c>
      <c r="AD313" s="2">
        <f>IF(Games[[#This Row],[Type]]="R",IF(Games[[#This Row],[Result]]&lt;0.5,1,0),0)</f>
        <v>0</v>
      </c>
      <c r="AE313" s="2">
        <f>IF(AND(Games[[#This Row],[Type]]="P",Games[[#This Row],[Round]]=1),IF(Games[[#This Row],[Result]]&gt;0.5,1,0),0)</f>
        <v>0</v>
      </c>
      <c r="AF313" s="2">
        <f>IF(AND(Games[[#This Row],[Type]]="P",Games[[#This Row],[Round]]=1),IF(Games[[#This Row],[Result]]&lt;0.5,1,0),0)</f>
        <v>0</v>
      </c>
      <c r="AG313" s="2">
        <f>IF(AND(Games[[#This Row],[Type]]="P",Games[[#This Row],[Round]]=2),IF(Games[[#This Row],[Result]]&gt;0.5,1,0),0)</f>
        <v>0</v>
      </c>
      <c r="AH313" s="2">
        <f>IF(AND(Games[[#This Row],[Type]]="P",Games[[#This Row],[Round]]=2),IF(Games[[#This Row],[Result]]&lt;0.5,1,0),0)</f>
        <v>0</v>
      </c>
      <c r="AI313" s="2">
        <f>IF(AND(Games[[#This Row],[Type]]="P",Games[[#This Row],[Round]]=3),IF(Games[[#This Row],[Result]]&gt;0.5,1,0),0)</f>
        <v>0</v>
      </c>
      <c r="AJ313" s="2">
        <f>IF(AND(Games[[#This Row],[Type]]="P",Games[[#This Row],[Round]]=3),IF(Games[[#This Row],[Result]]&lt;0.5,1,0),0)</f>
        <v>0</v>
      </c>
      <c r="AK313" s="2">
        <f>IF(AND(Games[[#This Row],[Type]]="P",Games[[#This Row],[Round]]=4),IF(Games[[#This Row],[Result]]&gt;0.5,1,0),0)</f>
        <v>0</v>
      </c>
      <c r="AL313" s="2">
        <f>IF(AND(Games[[#This Row],[Type]]="P",Games[[#This Row],[Round]]=4),IF(Games[[#This Row],[Result]]&lt;0.5,1,0),0)</f>
        <v>0</v>
      </c>
    </row>
    <row r="314" spans="1:38" x14ac:dyDescent="0.35">
      <c r="A314" s="10">
        <v>45142</v>
      </c>
      <c r="B314" s="2">
        <v>2023</v>
      </c>
      <c r="C314" s="2">
        <f>COUNTIFS(Games[Team],Games[[#This Row],[Team]],Games[Season],Games[[#This Row],[Season]],Games[Date],"&lt;=" &amp; Games[[#This Row],[Date]])</f>
        <v>26</v>
      </c>
      <c r="D314" s="2" t="s">
        <v>79</v>
      </c>
      <c r="E314" s="2" t="s">
        <v>80</v>
      </c>
      <c r="F314" s="1" t="s">
        <v>75</v>
      </c>
      <c r="G314" s="1" t="s">
        <v>85</v>
      </c>
      <c r="H314" s="1" t="s">
        <v>81</v>
      </c>
      <c r="I314" s="2" cm="1">
        <f t="array" ref="I314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4" s="2" cm="1">
        <f t="array" ref="J3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4" s="2">
        <f>Games[[#This Row],[DaysOff]]-Games[[#This Row],[OppDaysOff]]</f>
        <v>3</v>
      </c>
      <c r="L314" s="2">
        <f>Games[[#This Row],[OppDaysOff]]-Games[[#This Row],[DaysOff]]</f>
        <v>-3</v>
      </c>
      <c r="M314" s="1">
        <f>MAX(-16, MIN(16, Games[[#This Row],[RestDiff]]*8))</f>
        <v>16</v>
      </c>
      <c r="N314" s="1">
        <f>MAX(-16, MIN(16, Games[[#This Row],[OppRestDiff]]*8))</f>
        <v>-16</v>
      </c>
      <c r="O314" s="4" cm="1">
        <f t="array" ref="O3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1444.4843760360691</v>
      </c>
      <c r="P314" s="4" cm="1">
        <f t="array" ref="P3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1578.6256508236522</v>
      </c>
      <c r="Q314" s="4">
        <f>1/(1+10^(((Games[[#This Row],[OppPreGmRate]]+IF(Games[[#This Row],[HomeAway]]="A",HCA,0)+Games[[#This Row],[OppRestAdj]])-(Games[[#This Row],[PreGmRate]]+IF(Games[[#This Row],[HomeAway]]="H",HCA,0)+Games[[#This Row],[RestAdj]]))/400))</f>
        <v>0.25511502068811648</v>
      </c>
      <c r="R314" s="1">
        <v>104</v>
      </c>
      <c r="S314" s="1">
        <v>89</v>
      </c>
      <c r="T314" s="1">
        <v>0</v>
      </c>
      <c r="U314" s="1">
        <f>Games[[#This Row],[PointsFor]]-Games[[#This Row],[PointsAgainst]]</f>
        <v>15</v>
      </c>
      <c r="V314" s="1">
        <f>IF(Games[[#This Row],[MOV]]&gt;0,1,IF(Games[[#This Row],[MOV]]=0,0.5,0))</f>
        <v>1</v>
      </c>
      <c r="W314" s="4">
        <f>((ABS(Games[[#This Row],[MOV]])+5)^0.6)/(12+0.01*(ABS(Games[[#This Row],[PreGmRate]]-Games[[#This Row],[OppPreGmRate]])))*IF(Games[[#This Row],[OT]]=1,0.9,1)</f>
        <v>0.45228915787092339</v>
      </c>
      <c r="X314" s="7" cm="1">
        <f t="array" ref="X31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4" s="9">
        <f>MAX(kmin, kmax - 0.15 * MIN(Games[[#This Row],[GamesPlayed]], 82))</f>
        <v>72.099999999999994</v>
      </c>
      <c r="Z314" s="4">
        <f>Games[[#This Row],[K]]*Games[[#This Row],[POMult]]</f>
        <v>72.099999999999994</v>
      </c>
      <c r="AA314" s="4">
        <f>(Games[[#This Row],[Keff]]*Games[[#This Row],[MOVMult]])*(Games[[#This Row],[Result]]-Games[[#This Row],[ExpectedWin%]])</f>
        <v>24.290735140264747</v>
      </c>
      <c r="AB314" s="4">
        <f>Games[[#This Row],[PreGmRate]]+Games[[#This Row],[RatingChange]]</f>
        <v>1468.7751111763339</v>
      </c>
      <c r="AC314" s="2">
        <f>IF(Games[[#This Row],[Type]]="R",IF(Games[[#This Row],[Result]]&gt;0.5,1,0),0)</f>
        <v>1</v>
      </c>
      <c r="AD314" s="2">
        <f>IF(Games[[#This Row],[Type]]="R",IF(Games[[#This Row],[Result]]&lt;0.5,1,0),0)</f>
        <v>0</v>
      </c>
      <c r="AE314" s="2">
        <f>IF(AND(Games[[#This Row],[Type]]="P",Games[[#This Row],[Round]]=1),IF(Games[[#This Row],[Result]]&gt;0.5,1,0),0)</f>
        <v>0</v>
      </c>
      <c r="AF314" s="2">
        <f>IF(AND(Games[[#This Row],[Type]]="P",Games[[#This Row],[Round]]=1),IF(Games[[#This Row],[Result]]&lt;0.5,1,0),0)</f>
        <v>0</v>
      </c>
      <c r="AG314" s="2">
        <f>IF(AND(Games[[#This Row],[Type]]="P",Games[[#This Row],[Round]]=2),IF(Games[[#This Row],[Result]]&gt;0.5,1,0),0)</f>
        <v>0</v>
      </c>
      <c r="AH314" s="2">
        <f>IF(AND(Games[[#This Row],[Type]]="P",Games[[#This Row],[Round]]=2),IF(Games[[#This Row],[Result]]&lt;0.5,1,0),0)</f>
        <v>0</v>
      </c>
      <c r="AI314" s="2">
        <f>IF(AND(Games[[#This Row],[Type]]="P",Games[[#This Row],[Round]]=3),IF(Games[[#This Row],[Result]]&gt;0.5,1,0),0)</f>
        <v>0</v>
      </c>
      <c r="AJ314" s="2">
        <f>IF(AND(Games[[#This Row],[Type]]="P",Games[[#This Row],[Round]]=3),IF(Games[[#This Row],[Result]]&lt;0.5,1,0),0)</f>
        <v>0</v>
      </c>
      <c r="AK314" s="2">
        <f>IF(AND(Games[[#This Row],[Type]]="P",Games[[#This Row],[Round]]=4),IF(Games[[#This Row],[Result]]&gt;0.5,1,0),0)</f>
        <v>0</v>
      </c>
      <c r="AL314" s="2">
        <f>IF(AND(Games[[#This Row],[Type]]="P",Games[[#This Row],[Round]]=4),IF(Games[[#This Row],[Result]]&lt;0.5,1,0),0)</f>
        <v>0</v>
      </c>
    </row>
    <row r="315" spans="1:38" x14ac:dyDescent="0.35">
      <c r="A315" s="10">
        <v>45142</v>
      </c>
      <c r="B315" s="2">
        <v>2023</v>
      </c>
      <c r="C315" s="2">
        <f>COUNTIFS(Games[Team],Games[[#This Row],[Team]],Games[Season],Games[[#This Row],[Season]],Games[Date],"&lt;=" &amp; Games[[#This Row],[Date]])</f>
        <v>27</v>
      </c>
      <c r="D315" s="2" t="s">
        <v>79</v>
      </c>
      <c r="E315" s="2" t="s">
        <v>80</v>
      </c>
      <c r="F315" s="1" t="s">
        <v>85</v>
      </c>
      <c r="G315" s="1" t="s">
        <v>75</v>
      </c>
      <c r="H315" s="1" t="s">
        <v>82</v>
      </c>
      <c r="I315" s="2" cm="1">
        <f t="array" ref="I3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5" s="2" cm="1">
        <f t="array" ref="J31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15" s="2">
        <f>Games[[#This Row],[DaysOff]]-Games[[#This Row],[OppDaysOff]]</f>
        <v>-3</v>
      </c>
      <c r="L315" s="2">
        <f>Games[[#This Row],[OppDaysOff]]-Games[[#This Row],[DaysOff]]</f>
        <v>3</v>
      </c>
      <c r="M315" s="1">
        <f>MAX(-16, MIN(16, Games[[#This Row],[RestDiff]]*8))</f>
        <v>-16</v>
      </c>
      <c r="N315" s="1">
        <f>MAX(-16, MIN(16, Games[[#This Row],[OppRestDiff]]*8))</f>
        <v>16</v>
      </c>
      <c r="O315" s="4" cm="1">
        <f t="array" ref="O3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1578.6256508236522</v>
      </c>
      <c r="P315" s="4" cm="1">
        <f t="array" ref="P3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1444.4843760360691</v>
      </c>
      <c r="Q315" s="4">
        <f>1/(1+10^(((Games[[#This Row],[OppPreGmRate]]+IF(Games[[#This Row],[HomeAway]]="A",HCA,0)+Games[[#This Row],[OppRestAdj]])-(Games[[#This Row],[PreGmRate]]+IF(Games[[#This Row],[HomeAway]]="H",HCA,0)+Games[[#This Row],[RestAdj]]))/400))</f>
        <v>0.74488497931188347</v>
      </c>
      <c r="R315" s="1">
        <v>89</v>
      </c>
      <c r="S315" s="1">
        <v>104</v>
      </c>
      <c r="T315" s="1">
        <v>0</v>
      </c>
      <c r="U315" s="1">
        <f>Games[[#This Row],[PointsFor]]-Games[[#This Row],[PointsAgainst]]</f>
        <v>-15</v>
      </c>
      <c r="V315" s="1">
        <f>IF(Games[[#This Row],[MOV]]&gt;0,1,IF(Games[[#This Row],[MOV]]=0,0.5,0))</f>
        <v>0</v>
      </c>
      <c r="W315" s="4">
        <f>((ABS(Games[[#This Row],[MOV]])+5)^0.6)/(12+0.01*(ABS(Games[[#This Row],[PreGmRate]]-Games[[#This Row],[OppPreGmRate]])))*IF(Games[[#This Row],[OT]]=1,0.9,1)</f>
        <v>0.45228915787092339</v>
      </c>
      <c r="X315" s="7" cm="1">
        <f t="array" ref="X31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5" s="9">
        <f>MAX(kmin, kmax - 0.15 * MIN(Games[[#This Row],[GamesPlayed]], 82))</f>
        <v>71.95</v>
      </c>
      <c r="Z315" s="4">
        <f>Games[[#This Row],[K]]*Games[[#This Row],[POMult]]</f>
        <v>71.95</v>
      </c>
      <c r="AA315" s="4">
        <f>(Games[[#This Row],[Keff]]*Games[[#This Row],[MOVMult]])*(Games[[#This Row],[Result]]-Games[[#This Row],[ExpectedWin%]])</f>
        <v>-24.2401996302642</v>
      </c>
      <c r="AB315" s="4">
        <f>Games[[#This Row],[PreGmRate]]+Games[[#This Row],[RatingChange]]</f>
        <v>1554.385451193388</v>
      </c>
      <c r="AC315" s="2">
        <f>IF(Games[[#This Row],[Type]]="R",IF(Games[[#This Row],[Result]]&gt;0.5,1,0),0)</f>
        <v>0</v>
      </c>
      <c r="AD315" s="2">
        <f>IF(Games[[#This Row],[Type]]="R",IF(Games[[#This Row],[Result]]&lt;0.5,1,0),0)</f>
        <v>1</v>
      </c>
      <c r="AE315" s="2">
        <f>IF(AND(Games[[#This Row],[Type]]="P",Games[[#This Row],[Round]]=1),IF(Games[[#This Row],[Result]]&gt;0.5,1,0),0)</f>
        <v>0</v>
      </c>
      <c r="AF315" s="2">
        <f>IF(AND(Games[[#This Row],[Type]]="P",Games[[#This Row],[Round]]=1),IF(Games[[#This Row],[Result]]&lt;0.5,1,0),0)</f>
        <v>0</v>
      </c>
      <c r="AG315" s="2">
        <f>IF(AND(Games[[#This Row],[Type]]="P",Games[[#This Row],[Round]]=2),IF(Games[[#This Row],[Result]]&gt;0.5,1,0),0)</f>
        <v>0</v>
      </c>
      <c r="AH315" s="2">
        <f>IF(AND(Games[[#This Row],[Type]]="P",Games[[#This Row],[Round]]=2),IF(Games[[#This Row],[Result]]&lt;0.5,1,0),0)</f>
        <v>0</v>
      </c>
      <c r="AI315" s="2">
        <f>IF(AND(Games[[#This Row],[Type]]="P",Games[[#This Row],[Round]]=3),IF(Games[[#This Row],[Result]]&gt;0.5,1,0),0)</f>
        <v>0</v>
      </c>
      <c r="AJ315" s="2">
        <f>IF(AND(Games[[#This Row],[Type]]="P",Games[[#This Row],[Round]]=3),IF(Games[[#This Row],[Result]]&lt;0.5,1,0),0)</f>
        <v>0</v>
      </c>
      <c r="AK315" s="2">
        <f>IF(AND(Games[[#This Row],[Type]]="P",Games[[#This Row],[Round]]=4),IF(Games[[#This Row],[Result]]&gt;0.5,1,0),0)</f>
        <v>0</v>
      </c>
      <c r="AL315" s="2">
        <f>IF(AND(Games[[#This Row],[Type]]="P",Games[[#This Row],[Round]]=4),IF(Games[[#This Row],[Result]]&lt;0.5,1,0),0)</f>
        <v>0</v>
      </c>
    </row>
    <row r="316" spans="1:38" x14ac:dyDescent="0.35">
      <c r="A316" s="10">
        <v>45142</v>
      </c>
      <c r="B316" s="2">
        <v>2023</v>
      </c>
      <c r="C316" s="2">
        <f>COUNTIFS(Games[Team],Games[[#This Row],[Team]],Games[Season],Games[[#This Row],[Season]],Games[Date],"&lt;=" &amp; Games[[#This Row],[Date]])</f>
        <v>27</v>
      </c>
      <c r="D316" s="2" t="s">
        <v>79</v>
      </c>
      <c r="E316" s="2" t="s">
        <v>80</v>
      </c>
      <c r="F316" s="1" t="s">
        <v>74</v>
      </c>
      <c r="G316" s="1" t="s">
        <v>69</v>
      </c>
      <c r="H316" s="1" t="s">
        <v>81</v>
      </c>
      <c r="I316" s="2" cm="1">
        <f t="array" ref="I3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6" s="2" cm="1">
        <f t="array" ref="J3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6" s="2">
        <f>Games[[#This Row],[DaysOff]]-Games[[#This Row],[OppDaysOff]]</f>
        <v>0</v>
      </c>
      <c r="L316" s="2">
        <f>Games[[#This Row],[OppDaysOff]]-Games[[#This Row],[DaysOff]]</f>
        <v>0</v>
      </c>
      <c r="M316" s="1">
        <f>MAX(-16, MIN(16, Games[[#This Row],[RestDiff]]*8))</f>
        <v>0</v>
      </c>
      <c r="N316" s="1">
        <f>MAX(-16, MIN(16, Games[[#This Row],[OppRestDiff]]*8))</f>
        <v>0</v>
      </c>
      <c r="O316" s="4" cm="1">
        <f t="array" ref="O3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1651.3475595523041</v>
      </c>
      <c r="P316" s="4" cm="1">
        <f t="array" ref="P3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1325.986170121115</v>
      </c>
      <c r="Q316" s="4">
        <f>1/(1+10^(((Games[[#This Row],[OppPreGmRate]]+IF(Games[[#This Row],[HomeAway]]="A",HCA,0)+Games[[#This Row],[OppRestAdj]])-(Games[[#This Row],[PreGmRate]]+IF(Games[[#This Row],[HomeAway]]="H",HCA,0)+Games[[#This Row],[RestAdj]]))/400))</f>
        <v>0.80049449784182369</v>
      </c>
      <c r="R316" s="1">
        <v>88</v>
      </c>
      <c r="S316" s="1">
        <v>72</v>
      </c>
      <c r="T316" s="1">
        <v>0</v>
      </c>
      <c r="U316" s="1">
        <f>Games[[#This Row],[PointsFor]]-Games[[#This Row],[PointsAgainst]]</f>
        <v>16</v>
      </c>
      <c r="V316" s="1">
        <f>IF(Games[[#This Row],[MOV]]&gt;0,1,IF(Games[[#This Row],[MOV]]=0,0.5,0))</f>
        <v>1</v>
      </c>
      <c r="W316" s="4">
        <f>((ABS(Games[[#This Row],[MOV]])+5)^0.6)/(12+0.01*(ABS(Games[[#This Row],[PreGmRate]]-Games[[#This Row],[OppPreGmRate]])))*IF(Games[[#This Row],[OT]]=1,0.9,1)</f>
        <v>0.40734165886273987</v>
      </c>
      <c r="X316" s="7" cm="1">
        <f t="array" ref="X31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6" s="9">
        <f>MAX(kmin, kmax - 0.15 * MIN(Games[[#This Row],[GamesPlayed]], 82))</f>
        <v>71.95</v>
      </c>
      <c r="Z316" s="4">
        <f>Games[[#This Row],[K]]*Games[[#This Row],[POMult]]</f>
        <v>71.95</v>
      </c>
      <c r="AA316" s="4">
        <f>(Games[[#This Row],[Keff]]*Games[[#This Row],[MOVMult]])*(Games[[#This Row],[Result]]-Games[[#This Row],[ExpectedWin%]])</f>
        <v>5.8471536133875261</v>
      </c>
      <c r="AB316" s="4">
        <f>Games[[#This Row],[PreGmRate]]+Games[[#This Row],[RatingChange]]</f>
        <v>1657.1947131656916</v>
      </c>
      <c r="AC316" s="2">
        <f>IF(Games[[#This Row],[Type]]="R",IF(Games[[#This Row],[Result]]&gt;0.5,1,0),0)</f>
        <v>1</v>
      </c>
      <c r="AD316" s="2">
        <f>IF(Games[[#This Row],[Type]]="R",IF(Games[[#This Row],[Result]]&lt;0.5,1,0),0)</f>
        <v>0</v>
      </c>
      <c r="AE316" s="2">
        <f>IF(AND(Games[[#This Row],[Type]]="P",Games[[#This Row],[Round]]=1),IF(Games[[#This Row],[Result]]&gt;0.5,1,0),0)</f>
        <v>0</v>
      </c>
      <c r="AF316" s="2">
        <f>IF(AND(Games[[#This Row],[Type]]="P",Games[[#This Row],[Round]]=1),IF(Games[[#This Row],[Result]]&lt;0.5,1,0),0)</f>
        <v>0</v>
      </c>
      <c r="AG316" s="2">
        <f>IF(AND(Games[[#This Row],[Type]]="P",Games[[#This Row],[Round]]=2),IF(Games[[#This Row],[Result]]&gt;0.5,1,0),0)</f>
        <v>0</v>
      </c>
      <c r="AH316" s="2">
        <f>IF(AND(Games[[#This Row],[Type]]="P",Games[[#This Row],[Round]]=2),IF(Games[[#This Row],[Result]]&lt;0.5,1,0),0)</f>
        <v>0</v>
      </c>
      <c r="AI316" s="2">
        <f>IF(AND(Games[[#This Row],[Type]]="P",Games[[#This Row],[Round]]=3),IF(Games[[#This Row],[Result]]&gt;0.5,1,0),0)</f>
        <v>0</v>
      </c>
      <c r="AJ316" s="2">
        <f>IF(AND(Games[[#This Row],[Type]]="P",Games[[#This Row],[Round]]=3),IF(Games[[#This Row],[Result]]&lt;0.5,1,0),0)</f>
        <v>0</v>
      </c>
      <c r="AK316" s="2">
        <f>IF(AND(Games[[#This Row],[Type]]="P",Games[[#This Row],[Round]]=4),IF(Games[[#This Row],[Result]]&gt;0.5,1,0),0)</f>
        <v>0</v>
      </c>
      <c r="AL316" s="2">
        <f>IF(AND(Games[[#This Row],[Type]]="P",Games[[#This Row],[Round]]=4),IF(Games[[#This Row],[Result]]&lt;0.5,1,0),0)</f>
        <v>0</v>
      </c>
    </row>
    <row r="317" spans="1:38" x14ac:dyDescent="0.35">
      <c r="A317" s="10">
        <v>45142</v>
      </c>
      <c r="B317" s="2">
        <v>2023</v>
      </c>
      <c r="C317" s="2">
        <f>COUNTIFS(Games[Team],Games[[#This Row],[Team]],Games[Season],Games[[#This Row],[Season]],Games[Date],"&lt;=" &amp; Games[[#This Row],[Date]])</f>
        <v>27</v>
      </c>
      <c r="D317" s="2" t="s">
        <v>79</v>
      </c>
      <c r="E317" s="2" t="s">
        <v>80</v>
      </c>
      <c r="F317" s="1" t="s">
        <v>69</v>
      </c>
      <c r="G317" s="1" t="s">
        <v>74</v>
      </c>
      <c r="H317" s="1" t="s">
        <v>82</v>
      </c>
      <c r="I317" s="2" cm="1">
        <f t="array" ref="I3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7" s="2" cm="1">
        <f t="array" ref="J3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7" s="2">
        <f>Games[[#This Row],[DaysOff]]-Games[[#This Row],[OppDaysOff]]</f>
        <v>0</v>
      </c>
      <c r="L317" s="2">
        <f>Games[[#This Row],[OppDaysOff]]-Games[[#This Row],[DaysOff]]</f>
        <v>0</v>
      </c>
      <c r="M317" s="1">
        <f>MAX(-16, MIN(16, Games[[#This Row],[RestDiff]]*8))</f>
        <v>0</v>
      </c>
      <c r="N317" s="1">
        <f>MAX(-16, MIN(16, Games[[#This Row],[OppRestDiff]]*8))</f>
        <v>0</v>
      </c>
      <c r="O317" s="4" cm="1">
        <f t="array" ref="O3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1325.986170121115</v>
      </c>
      <c r="P317" s="4" cm="1">
        <f t="array" ref="P3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1651.3475595523041</v>
      </c>
      <c r="Q317" s="4">
        <f>1/(1+10^(((Games[[#This Row],[OppPreGmRate]]+IF(Games[[#This Row],[HomeAway]]="A",HCA,0)+Games[[#This Row],[OppRestAdj]])-(Games[[#This Row],[PreGmRate]]+IF(Games[[#This Row],[HomeAway]]="H",HCA,0)+Games[[#This Row],[RestAdj]]))/400))</f>
        <v>0.19950550215817633</v>
      </c>
      <c r="R317" s="1">
        <v>72</v>
      </c>
      <c r="S317" s="1">
        <v>88</v>
      </c>
      <c r="T317" s="1">
        <v>0</v>
      </c>
      <c r="U317" s="1">
        <f>Games[[#This Row],[PointsFor]]-Games[[#This Row],[PointsAgainst]]</f>
        <v>-16</v>
      </c>
      <c r="V317" s="1">
        <f>IF(Games[[#This Row],[MOV]]&gt;0,1,IF(Games[[#This Row],[MOV]]=0,0.5,0))</f>
        <v>0</v>
      </c>
      <c r="W317" s="4">
        <f>((ABS(Games[[#This Row],[MOV]])+5)^0.6)/(12+0.01*(ABS(Games[[#This Row],[PreGmRate]]-Games[[#This Row],[OppPreGmRate]])))*IF(Games[[#This Row],[OT]]=1,0.9,1)</f>
        <v>0.40734165886273987</v>
      </c>
      <c r="X317" s="7" cm="1">
        <f t="array" ref="X31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7" s="9">
        <f>MAX(kmin, kmax - 0.15 * MIN(Games[[#This Row],[GamesPlayed]], 82))</f>
        <v>71.95</v>
      </c>
      <c r="Z317" s="4">
        <f>Games[[#This Row],[K]]*Games[[#This Row],[POMult]]</f>
        <v>71.95</v>
      </c>
      <c r="AA317" s="4">
        <f>(Games[[#This Row],[Keff]]*Games[[#This Row],[MOVMult]])*(Games[[#This Row],[Result]]-Games[[#This Row],[ExpectedWin%]])</f>
        <v>-5.847153613387527</v>
      </c>
      <c r="AB317" s="4">
        <f>Games[[#This Row],[PreGmRate]]+Games[[#This Row],[RatingChange]]</f>
        <v>1320.1390165077275</v>
      </c>
      <c r="AC317" s="2">
        <f>IF(Games[[#This Row],[Type]]="R",IF(Games[[#This Row],[Result]]&gt;0.5,1,0),0)</f>
        <v>0</v>
      </c>
      <c r="AD317" s="2">
        <f>IF(Games[[#This Row],[Type]]="R",IF(Games[[#This Row],[Result]]&lt;0.5,1,0),0)</f>
        <v>1</v>
      </c>
      <c r="AE317" s="2">
        <f>IF(AND(Games[[#This Row],[Type]]="P",Games[[#This Row],[Round]]=1),IF(Games[[#This Row],[Result]]&gt;0.5,1,0),0)</f>
        <v>0</v>
      </c>
      <c r="AF317" s="2">
        <f>IF(AND(Games[[#This Row],[Type]]="P",Games[[#This Row],[Round]]=1),IF(Games[[#This Row],[Result]]&lt;0.5,1,0),0)</f>
        <v>0</v>
      </c>
      <c r="AG317" s="2">
        <f>IF(AND(Games[[#This Row],[Type]]="P",Games[[#This Row],[Round]]=2),IF(Games[[#This Row],[Result]]&gt;0.5,1,0),0)</f>
        <v>0</v>
      </c>
      <c r="AH317" s="2">
        <f>IF(AND(Games[[#This Row],[Type]]="P",Games[[#This Row],[Round]]=2),IF(Games[[#This Row],[Result]]&lt;0.5,1,0),0)</f>
        <v>0</v>
      </c>
      <c r="AI317" s="2">
        <f>IF(AND(Games[[#This Row],[Type]]="P",Games[[#This Row],[Round]]=3),IF(Games[[#This Row],[Result]]&gt;0.5,1,0),0)</f>
        <v>0</v>
      </c>
      <c r="AJ317" s="2">
        <f>IF(AND(Games[[#This Row],[Type]]="P",Games[[#This Row],[Round]]=3),IF(Games[[#This Row],[Result]]&lt;0.5,1,0),0)</f>
        <v>0</v>
      </c>
      <c r="AK317" s="2">
        <f>IF(AND(Games[[#This Row],[Type]]="P",Games[[#This Row],[Round]]=4),IF(Games[[#This Row],[Result]]&gt;0.5,1,0),0)</f>
        <v>0</v>
      </c>
      <c r="AL317" s="2">
        <f>IF(AND(Games[[#This Row],[Type]]="P",Games[[#This Row],[Round]]=4),IF(Games[[#This Row],[Result]]&lt;0.5,1,0),0)</f>
        <v>0</v>
      </c>
    </row>
    <row r="318" spans="1:38" x14ac:dyDescent="0.35">
      <c r="A318" s="10">
        <v>45142</v>
      </c>
      <c r="B318" s="2">
        <v>2023</v>
      </c>
      <c r="C318" s="2">
        <f>COUNTIFS(Games[Team],Games[[#This Row],[Team]],Games[Season],Games[[#This Row],[Season]],Games[Date],"&lt;=" &amp; Games[[#This Row],[Date]])</f>
        <v>27</v>
      </c>
      <c r="D318" s="2" t="s">
        <v>79</v>
      </c>
      <c r="E318" s="2" t="s">
        <v>80</v>
      </c>
      <c r="F318" s="1" t="s">
        <v>60</v>
      </c>
      <c r="G318" s="1" t="s">
        <v>67</v>
      </c>
      <c r="H318" s="1" t="s">
        <v>81</v>
      </c>
      <c r="I318" s="2" cm="1">
        <f t="array" ref="I3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8" s="2" cm="1">
        <f t="array" ref="J31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8" s="2">
        <f>Games[[#This Row],[DaysOff]]-Games[[#This Row],[OppDaysOff]]</f>
        <v>0</v>
      </c>
      <c r="L318" s="2">
        <f>Games[[#This Row],[OppDaysOff]]-Games[[#This Row],[DaysOff]]</f>
        <v>0</v>
      </c>
      <c r="M318" s="1">
        <f>MAX(-16, MIN(16, Games[[#This Row],[RestDiff]]*8))</f>
        <v>0</v>
      </c>
      <c r="N318" s="1">
        <f>MAX(-16, MIN(16, Games[[#This Row],[OppRestDiff]]*8))</f>
        <v>0</v>
      </c>
      <c r="O318" s="4" cm="1">
        <f t="array" ref="O3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1614.9357419887153</v>
      </c>
      <c r="P318" s="4" cm="1">
        <f t="array" ref="P3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1478.8859255179154</v>
      </c>
      <c r="Q318" s="4">
        <f>1/(1+10^(((Games[[#This Row],[OppPreGmRate]]+IF(Games[[#This Row],[HomeAway]]="A",HCA,0)+Games[[#This Row],[OppRestAdj]])-(Games[[#This Row],[PreGmRate]]+IF(Games[[#This Row],[HomeAway]]="H",HCA,0)+Games[[#This Row],[RestAdj]]))/400))</f>
        <v>0.57435031157608896</v>
      </c>
      <c r="R318" s="1">
        <v>76</v>
      </c>
      <c r="S318" s="1">
        <v>66</v>
      </c>
      <c r="T318" s="1">
        <v>0</v>
      </c>
      <c r="U318" s="1">
        <f>Games[[#This Row],[PointsFor]]-Games[[#This Row],[PointsAgainst]]</f>
        <v>10</v>
      </c>
      <c r="V318" s="1">
        <f>IF(Games[[#This Row],[MOV]]&gt;0,1,IF(Games[[#This Row],[MOV]]=0,0.5,0))</f>
        <v>1</v>
      </c>
      <c r="W318" s="4">
        <f>((ABS(Games[[#This Row],[MOV]])+5)^0.6)/(12+0.01*(ABS(Games[[#This Row],[PreGmRate]]-Games[[#This Row],[OppPreGmRate]])))*IF(Games[[#This Row],[OT]]=1,0.9,1)</f>
        <v>0.38004244522856684</v>
      </c>
      <c r="X318" s="7" cm="1">
        <f t="array" ref="X31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8" s="9">
        <f>MAX(kmin, kmax - 0.15 * MIN(Games[[#This Row],[GamesPlayed]], 82))</f>
        <v>71.95</v>
      </c>
      <c r="Z318" s="4">
        <f>Games[[#This Row],[K]]*Games[[#This Row],[POMult]]</f>
        <v>71.95</v>
      </c>
      <c r="AA318" s="4">
        <f>(Games[[#This Row],[Keff]]*Games[[#This Row],[MOVMult]])*(Games[[#This Row],[Result]]-Games[[#This Row],[ExpectedWin%]])</f>
        <v>11.638988037336885</v>
      </c>
      <c r="AB318" s="4">
        <f>Games[[#This Row],[PreGmRate]]+Games[[#This Row],[RatingChange]]</f>
        <v>1626.5747300260523</v>
      </c>
      <c r="AC318" s="2">
        <f>IF(Games[[#This Row],[Type]]="R",IF(Games[[#This Row],[Result]]&gt;0.5,1,0),0)</f>
        <v>1</v>
      </c>
      <c r="AD318" s="2">
        <f>IF(Games[[#This Row],[Type]]="R",IF(Games[[#This Row],[Result]]&lt;0.5,1,0),0)</f>
        <v>0</v>
      </c>
      <c r="AE318" s="2">
        <f>IF(AND(Games[[#This Row],[Type]]="P",Games[[#This Row],[Round]]=1),IF(Games[[#This Row],[Result]]&gt;0.5,1,0),0)</f>
        <v>0</v>
      </c>
      <c r="AF318" s="2">
        <f>IF(AND(Games[[#This Row],[Type]]="P",Games[[#This Row],[Round]]=1),IF(Games[[#This Row],[Result]]&lt;0.5,1,0),0)</f>
        <v>0</v>
      </c>
      <c r="AG318" s="2">
        <f>IF(AND(Games[[#This Row],[Type]]="P",Games[[#This Row],[Round]]=2),IF(Games[[#This Row],[Result]]&gt;0.5,1,0),0)</f>
        <v>0</v>
      </c>
      <c r="AH318" s="2">
        <f>IF(AND(Games[[#This Row],[Type]]="P",Games[[#This Row],[Round]]=2),IF(Games[[#This Row],[Result]]&lt;0.5,1,0),0)</f>
        <v>0</v>
      </c>
      <c r="AI318" s="2">
        <f>IF(AND(Games[[#This Row],[Type]]="P",Games[[#This Row],[Round]]=3),IF(Games[[#This Row],[Result]]&gt;0.5,1,0),0)</f>
        <v>0</v>
      </c>
      <c r="AJ318" s="2">
        <f>IF(AND(Games[[#This Row],[Type]]="P",Games[[#This Row],[Round]]=3),IF(Games[[#This Row],[Result]]&lt;0.5,1,0),0)</f>
        <v>0</v>
      </c>
      <c r="AK318" s="2">
        <f>IF(AND(Games[[#This Row],[Type]]="P",Games[[#This Row],[Round]]=4),IF(Games[[#This Row],[Result]]&gt;0.5,1,0),0)</f>
        <v>0</v>
      </c>
      <c r="AL318" s="2">
        <f>IF(AND(Games[[#This Row],[Type]]="P",Games[[#This Row],[Round]]=4),IF(Games[[#This Row],[Result]]&lt;0.5,1,0),0)</f>
        <v>0</v>
      </c>
    </row>
    <row r="319" spans="1:38" x14ac:dyDescent="0.35">
      <c r="A319" s="10">
        <v>45142</v>
      </c>
      <c r="B319" s="2">
        <v>2023</v>
      </c>
      <c r="C319" s="2">
        <f>COUNTIFS(Games[Team],Games[[#This Row],[Team]],Games[Season],Games[[#This Row],[Season]],Games[Date],"&lt;=" &amp; Games[[#This Row],[Date]])</f>
        <v>28</v>
      </c>
      <c r="D319" s="2" t="s">
        <v>79</v>
      </c>
      <c r="E319" s="2" t="s">
        <v>80</v>
      </c>
      <c r="F319" s="1" t="s">
        <v>67</v>
      </c>
      <c r="G319" s="1" t="s">
        <v>60</v>
      </c>
      <c r="H319" s="1" t="s">
        <v>82</v>
      </c>
      <c r="I319" s="2" cm="1">
        <f t="array" ref="I31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9" s="2" cm="1">
        <f t="array" ref="J3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9" s="2">
        <f>Games[[#This Row],[DaysOff]]-Games[[#This Row],[OppDaysOff]]</f>
        <v>0</v>
      </c>
      <c r="L319" s="2">
        <f>Games[[#This Row],[OppDaysOff]]-Games[[#This Row],[DaysOff]]</f>
        <v>0</v>
      </c>
      <c r="M319" s="1">
        <f>MAX(-16, MIN(16, Games[[#This Row],[RestDiff]]*8))</f>
        <v>0</v>
      </c>
      <c r="N319" s="1">
        <f>MAX(-16, MIN(16, Games[[#This Row],[OppRestDiff]]*8))</f>
        <v>0</v>
      </c>
      <c r="O319" s="4" cm="1">
        <f t="array" ref="O3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1478.8859255179154</v>
      </c>
      <c r="P319" s="4" cm="1">
        <f t="array" ref="P3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1614.9357419887153</v>
      </c>
      <c r="Q319" s="4">
        <f>1/(1+10^(((Games[[#This Row],[OppPreGmRate]]+IF(Games[[#This Row],[HomeAway]]="A",HCA,0)+Games[[#This Row],[OppRestAdj]])-(Games[[#This Row],[PreGmRate]]+IF(Games[[#This Row],[HomeAway]]="H",HCA,0)+Games[[#This Row],[RestAdj]]))/400))</f>
        <v>0.42564968842391104</v>
      </c>
      <c r="R319" s="1">
        <v>66</v>
      </c>
      <c r="S319" s="1">
        <v>76</v>
      </c>
      <c r="T319" s="1">
        <v>0</v>
      </c>
      <c r="U319" s="1">
        <f>Games[[#This Row],[PointsFor]]-Games[[#This Row],[PointsAgainst]]</f>
        <v>-10</v>
      </c>
      <c r="V319" s="1">
        <f>IF(Games[[#This Row],[MOV]]&gt;0,1,IF(Games[[#This Row],[MOV]]=0,0.5,0))</f>
        <v>0</v>
      </c>
      <c r="W319" s="4">
        <f>((ABS(Games[[#This Row],[MOV]])+5)^0.6)/(12+0.01*(ABS(Games[[#This Row],[PreGmRate]]-Games[[#This Row],[OppPreGmRate]])))*IF(Games[[#This Row],[OT]]=1,0.9,1)</f>
        <v>0.38004244522856684</v>
      </c>
      <c r="X319" s="7" cm="1">
        <f t="array" ref="X31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9" s="9">
        <f>MAX(kmin, kmax - 0.15 * MIN(Games[[#This Row],[GamesPlayed]], 82))</f>
        <v>71.8</v>
      </c>
      <c r="Z319" s="4">
        <f>Games[[#This Row],[K]]*Games[[#This Row],[POMult]]</f>
        <v>71.8</v>
      </c>
      <c r="AA319" s="4">
        <f>(Games[[#This Row],[Keff]]*Games[[#This Row],[MOVMult]])*(Games[[#This Row],[Result]]-Games[[#This Row],[ExpectedWin%]])</f>
        <v>-11.614723295076974</v>
      </c>
      <c r="AB319" s="4">
        <f>Games[[#This Row],[PreGmRate]]+Games[[#This Row],[RatingChange]]</f>
        <v>1467.2712022228384</v>
      </c>
      <c r="AC319" s="2">
        <f>IF(Games[[#This Row],[Type]]="R",IF(Games[[#This Row],[Result]]&gt;0.5,1,0),0)</f>
        <v>0</v>
      </c>
      <c r="AD319" s="2">
        <f>IF(Games[[#This Row],[Type]]="R",IF(Games[[#This Row],[Result]]&lt;0.5,1,0),0)</f>
        <v>1</v>
      </c>
      <c r="AE319" s="2">
        <f>IF(AND(Games[[#This Row],[Type]]="P",Games[[#This Row],[Round]]=1),IF(Games[[#This Row],[Result]]&gt;0.5,1,0),0)</f>
        <v>0</v>
      </c>
      <c r="AF319" s="2">
        <f>IF(AND(Games[[#This Row],[Type]]="P",Games[[#This Row],[Round]]=1),IF(Games[[#This Row],[Result]]&lt;0.5,1,0),0)</f>
        <v>0</v>
      </c>
      <c r="AG319" s="2">
        <f>IF(AND(Games[[#This Row],[Type]]="P",Games[[#This Row],[Round]]=2),IF(Games[[#This Row],[Result]]&gt;0.5,1,0),0)</f>
        <v>0</v>
      </c>
      <c r="AH319" s="2">
        <f>IF(AND(Games[[#This Row],[Type]]="P",Games[[#This Row],[Round]]=2),IF(Games[[#This Row],[Result]]&lt;0.5,1,0),0)</f>
        <v>0</v>
      </c>
      <c r="AI319" s="2">
        <f>IF(AND(Games[[#This Row],[Type]]="P",Games[[#This Row],[Round]]=3),IF(Games[[#This Row],[Result]]&gt;0.5,1,0),0)</f>
        <v>0</v>
      </c>
      <c r="AJ319" s="2">
        <f>IF(AND(Games[[#This Row],[Type]]="P",Games[[#This Row],[Round]]=3),IF(Games[[#This Row],[Result]]&lt;0.5,1,0),0)</f>
        <v>0</v>
      </c>
      <c r="AK319" s="2">
        <f>IF(AND(Games[[#This Row],[Type]]="P",Games[[#This Row],[Round]]=4),IF(Games[[#This Row],[Result]]&gt;0.5,1,0),0)</f>
        <v>0</v>
      </c>
      <c r="AL319" s="2">
        <f>IF(AND(Games[[#This Row],[Type]]="P",Games[[#This Row],[Round]]=4),IF(Games[[#This Row],[Result]]&lt;0.5,1,0),0)</f>
        <v>0</v>
      </c>
    </row>
    <row r="320" spans="1:38" x14ac:dyDescent="0.35">
      <c r="A320" s="10">
        <v>45142</v>
      </c>
      <c r="B320" s="2">
        <v>2023</v>
      </c>
      <c r="C320" s="2">
        <f>COUNTIFS(Games[Team],Games[[#This Row],[Team]],Games[Season],Games[[#This Row],[Season]],Games[Date],"&lt;=" &amp; Games[[#This Row],[Date]])</f>
        <v>27</v>
      </c>
      <c r="D320" s="2" t="s">
        <v>79</v>
      </c>
      <c r="E320" s="2" t="s">
        <v>80</v>
      </c>
      <c r="F320" s="1" t="s">
        <v>63</v>
      </c>
      <c r="G320" s="1" t="s">
        <v>65</v>
      </c>
      <c r="H320" s="1" t="s">
        <v>81</v>
      </c>
      <c r="I320" s="2" cm="1">
        <f t="array" ref="I3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0" s="2" cm="1">
        <f t="array" ref="J32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20" s="2">
        <f>Games[[#This Row],[DaysOff]]-Games[[#This Row],[OppDaysOff]]</f>
        <v>-2</v>
      </c>
      <c r="L320" s="2">
        <f>Games[[#This Row],[OppDaysOff]]-Games[[#This Row],[DaysOff]]</f>
        <v>2</v>
      </c>
      <c r="M320" s="1">
        <f>MAX(-16, MIN(16, Games[[#This Row],[RestDiff]]*8))</f>
        <v>-16</v>
      </c>
      <c r="N320" s="1">
        <f>MAX(-16, MIN(16, Games[[#This Row],[OppRestDiff]]*8))</f>
        <v>16</v>
      </c>
      <c r="O320" s="4" cm="1">
        <f t="array" ref="O3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1375.3711656278872</v>
      </c>
      <c r="P320" s="4" cm="1">
        <f t="array" ref="P3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1486.9942159162472</v>
      </c>
      <c r="Q320" s="4">
        <f>1/(1+10^(((Games[[#This Row],[OppPreGmRate]]+IF(Games[[#This Row],[HomeAway]]="A",HCA,0)+Games[[#This Row],[OppRestAdj]])-(Games[[#This Row],[PreGmRate]]+IF(Games[[#This Row],[HomeAway]]="H",HCA,0)+Games[[#This Row],[RestAdj]]))/400))</f>
        <v>0.21243604428082691</v>
      </c>
      <c r="R320" s="1">
        <v>77</v>
      </c>
      <c r="S320" s="1">
        <v>79</v>
      </c>
      <c r="T320" s="1">
        <v>0</v>
      </c>
      <c r="U320" s="1">
        <f>Games[[#This Row],[PointsFor]]-Games[[#This Row],[PointsAgainst]]</f>
        <v>-2</v>
      </c>
      <c r="V320" s="1">
        <f>IF(Games[[#This Row],[MOV]]&gt;0,1,IF(Games[[#This Row],[MOV]]=0,0.5,0))</f>
        <v>0</v>
      </c>
      <c r="W320" s="4">
        <f>((ABS(Games[[#This Row],[MOV]])+5)^0.6)/(12+0.01*(ABS(Games[[#This Row],[PreGmRate]]-Games[[#This Row],[OppPreGmRate]])))*IF(Games[[#This Row],[OT]]=1,0.9,1)</f>
        <v>0.24504722214278107</v>
      </c>
      <c r="X320" s="7" cm="1">
        <f t="array" ref="X32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0" s="9">
        <f>MAX(kmin, kmax - 0.15 * MIN(Games[[#This Row],[GamesPlayed]], 82))</f>
        <v>71.95</v>
      </c>
      <c r="Z320" s="4">
        <f>Games[[#This Row],[K]]*Games[[#This Row],[POMult]]</f>
        <v>71.95</v>
      </c>
      <c r="AA320" s="4">
        <f>(Games[[#This Row],[Keff]]*Games[[#This Row],[MOVMult]])*(Games[[#This Row],[Result]]-Games[[#This Row],[ExpectedWin%]])</f>
        <v>-3.7454912593225571</v>
      </c>
      <c r="AB320" s="4">
        <f>Games[[#This Row],[PreGmRate]]+Games[[#This Row],[RatingChange]]</f>
        <v>1371.6256743685647</v>
      </c>
      <c r="AC320" s="2">
        <f>IF(Games[[#This Row],[Type]]="R",IF(Games[[#This Row],[Result]]&gt;0.5,1,0),0)</f>
        <v>0</v>
      </c>
      <c r="AD320" s="2">
        <f>IF(Games[[#This Row],[Type]]="R",IF(Games[[#This Row],[Result]]&lt;0.5,1,0),0)</f>
        <v>1</v>
      </c>
      <c r="AE320" s="2">
        <f>IF(AND(Games[[#This Row],[Type]]="P",Games[[#This Row],[Round]]=1),IF(Games[[#This Row],[Result]]&gt;0.5,1,0),0)</f>
        <v>0</v>
      </c>
      <c r="AF320" s="2">
        <f>IF(AND(Games[[#This Row],[Type]]="P",Games[[#This Row],[Round]]=1),IF(Games[[#This Row],[Result]]&lt;0.5,1,0),0)</f>
        <v>0</v>
      </c>
      <c r="AG320" s="2">
        <f>IF(AND(Games[[#This Row],[Type]]="P",Games[[#This Row],[Round]]=2),IF(Games[[#This Row],[Result]]&gt;0.5,1,0),0)</f>
        <v>0</v>
      </c>
      <c r="AH320" s="2">
        <f>IF(AND(Games[[#This Row],[Type]]="P",Games[[#This Row],[Round]]=2),IF(Games[[#This Row],[Result]]&lt;0.5,1,0),0)</f>
        <v>0</v>
      </c>
      <c r="AI320" s="2">
        <f>IF(AND(Games[[#This Row],[Type]]="P",Games[[#This Row],[Round]]=3),IF(Games[[#This Row],[Result]]&gt;0.5,1,0),0)</f>
        <v>0</v>
      </c>
      <c r="AJ320" s="2">
        <f>IF(AND(Games[[#This Row],[Type]]="P",Games[[#This Row],[Round]]=3),IF(Games[[#This Row],[Result]]&lt;0.5,1,0),0)</f>
        <v>0</v>
      </c>
      <c r="AK320" s="2">
        <f>IF(AND(Games[[#This Row],[Type]]="P",Games[[#This Row],[Round]]=4),IF(Games[[#This Row],[Result]]&gt;0.5,1,0),0)</f>
        <v>0</v>
      </c>
      <c r="AL320" s="2">
        <f>IF(AND(Games[[#This Row],[Type]]="P",Games[[#This Row],[Round]]=4),IF(Games[[#This Row],[Result]]&lt;0.5,1,0),0)</f>
        <v>0</v>
      </c>
    </row>
    <row r="321" spans="1:38" x14ac:dyDescent="0.35">
      <c r="A321" s="10">
        <v>45142</v>
      </c>
      <c r="B321" s="2">
        <v>2023</v>
      </c>
      <c r="C321" s="2">
        <f>COUNTIFS(Games[Team],Games[[#This Row],[Team]],Games[Season],Games[[#This Row],[Season]],Games[Date],"&lt;=" &amp; Games[[#This Row],[Date]])</f>
        <v>26</v>
      </c>
      <c r="D321" s="2" t="s">
        <v>79</v>
      </c>
      <c r="E321" s="2" t="s">
        <v>80</v>
      </c>
      <c r="F321" s="1" t="s">
        <v>65</v>
      </c>
      <c r="G321" s="1" t="s">
        <v>63</v>
      </c>
      <c r="H321" s="1" t="s">
        <v>82</v>
      </c>
      <c r="I321" s="2" cm="1">
        <f t="array" ref="I321">IFERROR(
    Games[[#This Row],[Date]]
    - LOOKUP(
        2,
        1/((Games[Team]=Games[[#This Row],[Team]]) * (Games[Date] &lt; Games[[#This Row],[Date]])),
        Games[Date]
    )
    - 1,
Games[[#This Row],[Date]]-$A$2)</f>
        <v>4</v>
      </c>
      <c r="J321" s="2" cm="1">
        <f t="array" ref="J3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1" s="2">
        <f>Games[[#This Row],[DaysOff]]-Games[[#This Row],[OppDaysOff]]</f>
        <v>2</v>
      </c>
      <c r="L321" s="2">
        <f>Games[[#This Row],[OppDaysOff]]-Games[[#This Row],[DaysOff]]</f>
        <v>-2</v>
      </c>
      <c r="M321" s="1">
        <f>MAX(-16, MIN(16, Games[[#This Row],[RestDiff]]*8))</f>
        <v>16</v>
      </c>
      <c r="N321" s="1">
        <f>MAX(-16, MIN(16, Games[[#This Row],[OppRestDiff]]*8))</f>
        <v>-16</v>
      </c>
      <c r="O321" s="4" cm="1">
        <f t="array" ref="O3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1486.9942159162472</v>
      </c>
      <c r="P321" s="4" cm="1">
        <f t="array" ref="P3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1375.3711656278872</v>
      </c>
      <c r="Q321" s="4">
        <f>1/(1+10^(((Games[[#This Row],[OppPreGmRate]]+IF(Games[[#This Row],[HomeAway]]="A",HCA,0)+Games[[#This Row],[OppRestAdj]])-(Games[[#This Row],[PreGmRate]]+IF(Games[[#This Row],[HomeAway]]="H",HCA,0)+Games[[#This Row],[RestAdj]]))/400))</f>
        <v>0.78756395571917304</v>
      </c>
      <c r="R321" s="1">
        <v>79</v>
      </c>
      <c r="S321" s="1">
        <v>77</v>
      </c>
      <c r="T321" s="1">
        <v>0</v>
      </c>
      <c r="U321" s="1">
        <f>Games[[#This Row],[PointsFor]]-Games[[#This Row],[PointsAgainst]]</f>
        <v>2</v>
      </c>
      <c r="V321" s="1">
        <f>IF(Games[[#This Row],[MOV]]&gt;0,1,IF(Games[[#This Row],[MOV]]=0,0.5,0))</f>
        <v>1</v>
      </c>
      <c r="W321" s="4">
        <f>((ABS(Games[[#This Row],[MOV]])+5)^0.6)/(12+0.01*(ABS(Games[[#This Row],[PreGmRate]]-Games[[#This Row],[OppPreGmRate]])))*IF(Games[[#This Row],[OT]]=1,0.9,1)</f>
        <v>0.24504722214278107</v>
      </c>
      <c r="X321" s="7" cm="1">
        <f t="array" ref="X32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1" s="9">
        <f>MAX(kmin, kmax - 0.15 * MIN(Games[[#This Row],[GamesPlayed]], 82))</f>
        <v>72.099999999999994</v>
      </c>
      <c r="Z321" s="4">
        <f>Games[[#This Row],[K]]*Games[[#This Row],[POMult]]</f>
        <v>72.099999999999994</v>
      </c>
      <c r="AA321" s="4">
        <f>(Games[[#This Row],[Keff]]*Games[[#This Row],[MOVMult]])*(Games[[#This Row],[Result]]-Games[[#This Row],[ExpectedWin%]])</f>
        <v>3.7532997887026602</v>
      </c>
      <c r="AB321" s="4">
        <f>Games[[#This Row],[PreGmRate]]+Games[[#This Row],[RatingChange]]</f>
        <v>1490.7475157049498</v>
      </c>
      <c r="AC321" s="2">
        <f>IF(Games[[#This Row],[Type]]="R",IF(Games[[#This Row],[Result]]&gt;0.5,1,0),0)</f>
        <v>1</v>
      </c>
      <c r="AD321" s="2">
        <f>IF(Games[[#This Row],[Type]]="R",IF(Games[[#This Row],[Result]]&lt;0.5,1,0),0)</f>
        <v>0</v>
      </c>
      <c r="AE321" s="2">
        <f>IF(AND(Games[[#This Row],[Type]]="P",Games[[#This Row],[Round]]=1),IF(Games[[#This Row],[Result]]&gt;0.5,1,0),0)</f>
        <v>0</v>
      </c>
      <c r="AF321" s="2">
        <f>IF(AND(Games[[#This Row],[Type]]="P",Games[[#This Row],[Round]]=1),IF(Games[[#This Row],[Result]]&lt;0.5,1,0),0)</f>
        <v>0</v>
      </c>
      <c r="AG321" s="2">
        <f>IF(AND(Games[[#This Row],[Type]]="P",Games[[#This Row],[Round]]=2),IF(Games[[#This Row],[Result]]&gt;0.5,1,0),0)</f>
        <v>0</v>
      </c>
      <c r="AH321" s="2">
        <f>IF(AND(Games[[#This Row],[Type]]="P",Games[[#This Row],[Round]]=2),IF(Games[[#This Row],[Result]]&lt;0.5,1,0),0)</f>
        <v>0</v>
      </c>
      <c r="AI321" s="2">
        <f>IF(AND(Games[[#This Row],[Type]]="P",Games[[#This Row],[Round]]=3),IF(Games[[#This Row],[Result]]&gt;0.5,1,0),0)</f>
        <v>0</v>
      </c>
      <c r="AJ321" s="2">
        <f>IF(AND(Games[[#This Row],[Type]]="P",Games[[#This Row],[Round]]=3),IF(Games[[#This Row],[Result]]&lt;0.5,1,0),0)</f>
        <v>0</v>
      </c>
      <c r="AK321" s="2">
        <f>IF(AND(Games[[#This Row],[Type]]="P",Games[[#This Row],[Round]]=4),IF(Games[[#This Row],[Result]]&gt;0.5,1,0),0)</f>
        <v>0</v>
      </c>
      <c r="AL321" s="2">
        <f>IF(AND(Games[[#This Row],[Type]]="P",Games[[#This Row],[Round]]=4),IF(Games[[#This Row],[Result]]&lt;0.5,1,0),0)</f>
        <v>0</v>
      </c>
    </row>
    <row r="322" spans="1:38" x14ac:dyDescent="0.35">
      <c r="A322" s="10">
        <v>45143</v>
      </c>
      <c r="B322" s="2">
        <v>2023</v>
      </c>
      <c r="C322" s="2">
        <f>COUNTIFS(Games[Team],Games[[#This Row],[Team]],Games[Season],Games[[#This Row],[Season]],Games[Date],"&lt;=" &amp; Games[[#This Row],[Date]])</f>
        <v>27</v>
      </c>
      <c r="D322" s="2" t="s">
        <v>79</v>
      </c>
      <c r="E322" s="2" t="s">
        <v>80</v>
      </c>
      <c r="F322" s="1" t="s">
        <v>71</v>
      </c>
      <c r="G322" s="1" t="s">
        <v>40</v>
      </c>
      <c r="H322" s="1" t="s">
        <v>81</v>
      </c>
      <c r="I322" s="2" cm="1">
        <f t="array" ref="I3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2" s="2" cm="1">
        <f t="array" ref="J3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2" s="2">
        <f>Games[[#This Row],[DaysOff]]-Games[[#This Row],[OppDaysOff]]</f>
        <v>1</v>
      </c>
      <c r="L322" s="2">
        <f>Games[[#This Row],[OppDaysOff]]-Games[[#This Row],[DaysOff]]</f>
        <v>-1</v>
      </c>
      <c r="M322" s="1">
        <f>MAX(-16, MIN(16, Games[[#This Row],[RestDiff]]*8))</f>
        <v>8</v>
      </c>
      <c r="N322" s="1">
        <f>MAX(-16, MIN(16, Games[[#This Row],[OppRestDiff]]*8))</f>
        <v>-8</v>
      </c>
      <c r="O322" s="4" cm="1">
        <f t="array" ref="O3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1409.6334744361459</v>
      </c>
      <c r="P322" s="4" cm="1">
        <f t="array" ref="P3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1379.4420560310339</v>
      </c>
      <c r="Q322" s="4">
        <f>1/(1+10^(((Games[[#This Row],[OppPreGmRate]]+IF(Games[[#This Row],[HomeAway]]="A",HCA,0)+Games[[#This Row],[OppRestAdj]])-(Games[[#This Row],[PreGmRate]]+IF(Games[[#This Row],[HomeAway]]="H",HCA,0)+Games[[#This Row],[RestAdj]]))/400))</f>
        <v>0.44580284629802874</v>
      </c>
      <c r="R322" s="1">
        <v>97</v>
      </c>
      <c r="S322" s="1">
        <v>91</v>
      </c>
      <c r="T322" s="1">
        <v>0</v>
      </c>
      <c r="U322" s="1">
        <f>Games[[#This Row],[PointsFor]]-Games[[#This Row],[PointsAgainst]]</f>
        <v>6</v>
      </c>
      <c r="V322" s="1">
        <f>IF(Games[[#This Row],[MOV]]&gt;0,1,IF(Games[[#This Row],[MOV]]=0,0.5,0))</f>
        <v>1</v>
      </c>
      <c r="W322" s="4">
        <f>((ABS(Games[[#This Row],[MOV]])+5)^0.6)/(12+0.01*(ABS(Games[[#This Row],[PreGmRate]]-Games[[#This Row],[OppPreGmRate]])))*IF(Games[[#This Row],[OT]]=1,0.9,1)</f>
        <v>0.34265961134381323</v>
      </c>
      <c r="X322" s="7" cm="1">
        <f t="array" ref="X32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2" s="9">
        <f>MAX(kmin, kmax - 0.15 * MIN(Games[[#This Row],[GamesPlayed]], 82))</f>
        <v>71.95</v>
      </c>
      <c r="Z322" s="4">
        <f>Games[[#This Row],[K]]*Games[[#This Row],[POMult]]</f>
        <v>71.95</v>
      </c>
      <c r="AA322" s="4">
        <f>(Games[[#This Row],[Keff]]*Games[[#This Row],[MOVMult]])*(Games[[#This Row],[Result]]-Games[[#This Row],[ExpectedWin%]])</f>
        <v>13.66337560420151</v>
      </c>
      <c r="AB322" s="4">
        <f>Games[[#This Row],[PreGmRate]]+Games[[#This Row],[RatingChange]]</f>
        <v>1423.2968500403474</v>
      </c>
      <c r="AC322" s="2">
        <f>IF(Games[[#This Row],[Type]]="R",IF(Games[[#This Row],[Result]]&gt;0.5,1,0),0)</f>
        <v>1</v>
      </c>
      <c r="AD322" s="2">
        <f>IF(Games[[#This Row],[Type]]="R",IF(Games[[#This Row],[Result]]&lt;0.5,1,0),0)</f>
        <v>0</v>
      </c>
      <c r="AE322" s="2">
        <f>IF(AND(Games[[#This Row],[Type]]="P",Games[[#This Row],[Round]]=1),IF(Games[[#This Row],[Result]]&gt;0.5,1,0),0)</f>
        <v>0</v>
      </c>
      <c r="AF322" s="2">
        <f>IF(AND(Games[[#This Row],[Type]]="P",Games[[#This Row],[Round]]=1),IF(Games[[#This Row],[Result]]&lt;0.5,1,0),0)</f>
        <v>0</v>
      </c>
      <c r="AG322" s="2">
        <f>IF(AND(Games[[#This Row],[Type]]="P",Games[[#This Row],[Round]]=2),IF(Games[[#This Row],[Result]]&gt;0.5,1,0),0)</f>
        <v>0</v>
      </c>
      <c r="AH322" s="2">
        <f>IF(AND(Games[[#This Row],[Type]]="P",Games[[#This Row],[Round]]=2),IF(Games[[#This Row],[Result]]&lt;0.5,1,0),0)</f>
        <v>0</v>
      </c>
      <c r="AI322" s="2">
        <f>IF(AND(Games[[#This Row],[Type]]="P",Games[[#This Row],[Round]]=3),IF(Games[[#This Row],[Result]]&gt;0.5,1,0),0)</f>
        <v>0</v>
      </c>
      <c r="AJ322" s="2">
        <f>IF(AND(Games[[#This Row],[Type]]="P",Games[[#This Row],[Round]]=3),IF(Games[[#This Row],[Result]]&lt;0.5,1,0),0)</f>
        <v>0</v>
      </c>
      <c r="AK322" s="2">
        <f>IF(AND(Games[[#This Row],[Type]]="P",Games[[#This Row],[Round]]=4),IF(Games[[#This Row],[Result]]&gt;0.5,1,0),0)</f>
        <v>0</v>
      </c>
      <c r="AL322" s="2">
        <f>IF(AND(Games[[#This Row],[Type]]="P",Games[[#This Row],[Round]]=4),IF(Games[[#This Row],[Result]]&lt;0.5,1,0),0)</f>
        <v>0</v>
      </c>
    </row>
    <row r="323" spans="1:38" x14ac:dyDescent="0.35">
      <c r="A323" s="10">
        <v>45143</v>
      </c>
      <c r="B323" s="2">
        <v>2023</v>
      </c>
      <c r="C323" s="2">
        <f>COUNTIFS(Games[Team],Games[[#This Row],[Team]],Games[Season],Games[[#This Row],[Season]],Games[Date],"&lt;=" &amp; Games[[#This Row],[Date]])</f>
        <v>27</v>
      </c>
      <c r="D323" s="2" t="s">
        <v>79</v>
      </c>
      <c r="E323" s="2" t="s">
        <v>80</v>
      </c>
      <c r="F323" s="1" t="s">
        <v>40</v>
      </c>
      <c r="G323" s="1" t="s">
        <v>71</v>
      </c>
      <c r="H323" s="1" t="s">
        <v>82</v>
      </c>
      <c r="I323" s="2" cm="1">
        <f t="array" ref="I3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3" s="2" cm="1">
        <f t="array" ref="J3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3" s="2">
        <f>Games[[#This Row],[DaysOff]]-Games[[#This Row],[OppDaysOff]]</f>
        <v>-1</v>
      </c>
      <c r="L323" s="2">
        <f>Games[[#This Row],[OppDaysOff]]-Games[[#This Row],[DaysOff]]</f>
        <v>1</v>
      </c>
      <c r="M323" s="1">
        <f>MAX(-16, MIN(16, Games[[#This Row],[RestDiff]]*8))</f>
        <v>-8</v>
      </c>
      <c r="N323" s="1">
        <f>MAX(-16, MIN(16, Games[[#This Row],[OppRestDiff]]*8))</f>
        <v>8</v>
      </c>
      <c r="O323" s="4" cm="1">
        <f t="array" ref="O3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1379.4420560310339</v>
      </c>
      <c r="P323" s="4" cm="1">
        <f t="array" ref="P3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1409.6334744361459</v>
      </c>
      <c r="Q323" s="4">
        <f>1/(1+10^(((Games[[#This Row],[OppPreGmRate]]+IF(Games[[#This Row],[HomeAway]]="A",HCA,0)+Games[[#This Row],[OppRestAdj]])-(Games[[#This Row],[PreGmRate]]+IF(Games[[#This Row],[HomeAway]]="H",HCA,0)+Games[[#This Row],[RestAdj]]))/400))</f>
        <v>0.5541971537019712</v>
      </c>
      <c r="R323" s="1">
        <v>91</v>
      </c>
      <c r="S323" s="1">
        <v>97</v>
      </c>
      <c r="T323" s="1">
        <v>0</v>
      </c>
      <c r="U323" s="1">
        <f>Games[[#This Row],[PointsFor]]-Games[[#This Row],[PointsAgainst]]</f>
        <v>-6</v>
      </c>
      <c r="V323" s="1">
        <f>IF(Games[[#This Row],[MOV]]&gt;0,1,IF(Games[[#This Row],[MOV]]=0,0.5,0))</f>
        <v>0</v>
      </c>
      <c r="W323" s="4">
        <f>((ABS(Games[[#This Row],[MOV]])+5)^0.6)/(12+0.01*(ABS(Games[[#This Row],[PreGmRate]]-Games[[#This Row],[OppPreGmRate]])))*IF(Games[[#This Row],[OT]]=1,0.9,1)</f>
        <v>0.34265961134381323</v>
      </c>
      <c r="X323" s="7" cm="1">
        <f t="array" ref="X32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3" s="9">
        <f>MAX(kmin, kmax - 0.15 * MIN(Games[[#This Row],[GamesPlayed]], 82))</f>
        <v>71.95</v>
      </c>
      <c r="Z323" s="4">
        <f>Games[[#This Row],[K]]*Games[[#This Row],[POMult]]</f>
        <v>71.95</v>
      </c>
      <c r="AA323" s="4">
        <f>(Games[[#This Row],[Keff]]*Games[[#This Row],[MOVMult]])*(Games[[#This Row],[Result]]-Games[[#This Row],[ExpectedWin%]])</f>
        <v>-13.66337560420151</v>
      </c>
      <c r="AB323" s="4">
        <f>Games[[#This Row],[PreGmRate]]+Games[[#This Row],[RatingChange]]</f>
        <v>1365.7786804268324</v>
      </c>
      <c r="AC323" s="2">
        <f>IF(Games[[#This Row],[Type]]="R",IF(Games[[#This Row],[Result]]&gt;0.5,1,0),0)</f>
        <v>0</v>
      </c>
      <c r="AD323" s="2">
        <f>IF(Games[[#This Row],[Type]]="R",IF(Games[[#This Row],[Result]]&lt;0.5,1,0),0)</f>
        <v>1</v>
      </c>
      <c r="AE323" s="2">
        <f>IF(AND(Games[[#This Row],[Type]]="P",Games[[#This Row],[Round]]=1),IF(Games[[#This Row],[Result]]&gt;0.5,1,0),0)</f>
        <v>0</v>
      </c>
      <c r="AF323" s="2">
        <f>IF(AND(Games[[#This Row],[Type]]="P",Games[[#This Row],[Round]]=1),IF(Games[[#This Row],[Result]]&lt;0.5,1,0),0)</f>
        <v>0</v>
      </c>
      <c r="AG323" s="2">
        <f>IF(AND(Games[[#This Row],[Type]]="P",Games[[#This Row],[Round]]=2),IF(Games[[#This Row],[Result]]&gt;0.5,1,0),0)</f>
        <v>0</v>
      </c>
      <c r="AH323" s="2">
        <f>IF(AND(Games[[#This Row],[Type]]="P",Games[[#This Row],[Round]]=2),IF(Games[[#This Row],[Result]]&lt;0.5,1,0),0)</f>
        <v>0</v>
      </c>
      <c r="AI323" s="2">
        <f>IF(AND(Games[[#This Row],[Type]]="P",Games[[#This Row],[Round]]=3),IF(Games[[#This Row],[Result]]&gt;0.5,1,0),0)</f>
        <v>0</v>
      </c>
      <c r="AJ323" s="2">
        <f>IF(AND(Games[[#This Row],[Type]]="P",Games[[#This Row],[Round]]=3),IF(Games[[#This Row],[Result]]&lt;0.5,1,0),0)</f>
        <v>0</v>
      </c>
      <c r="AK323" s="2">
        <f>IF(AND(Games[[#This Row],[Type]]="P",Games[[#This Row],[Round]]=4),IF(Games[[#This Row],[Result]]&gt;0.5,1,0),0)</f>
        <v>0</v>
      </c>
      <c r="AL323" s="2">
        <f>IF(AND(Games[[#This Row],[Type]]="P",Games[[#This Row],[Round]]=4),IF(Games[[#This Row],[Result]]&lt;0.5,1,0),0)</f>
        <v>0</v>
      </c>
    </row>
    <row r="324" spans="1:38" x14ac:dyDescent="0.35">
      <c r="A324" s="10">
        <v>45144</v>
      </c>
      <c r="B324" s="2">
        <v>2023</v>
      </c>
      <c r="C324" s="2">
        <f>COUNTIFS(Games[Team],Games[[#This Row],[Team]],Games[Season],Games[[#This Row],[Season]],Games[Date],"&lt;=" &amp; Games[[#This Row],[Date]])</f>
        <v>28</v>
      </c>
      <c r="D324" s="2" t="s">
        <v>79</v>
      </c>
      <c r="E324" s="2" t="s">
        <v>80</v>
      </c>
      <c r="F324" s="1" t="s">
        <v>69</v>
      </c>
      <c r="G324" s="1" t="s">
        <v>77</v>
      </c>
      <c r="H324" s="1" t="s">
        <v>81</v>
      </c>
      <c r="I324" s="2" cm="1">
        <f t="array" ref="I3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4" s="2" cm="1">
        <f t="array" ref="J3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4" s="2">
        <f>Games[[#This Row],[DaysOff]]-Games[[#This Row],[OppDaysOff]]</f>
        <v>-1</v>
      </c>
      <c r="L324" s="2">
        <f>Games[[#This Row],[OppDaysOff]]-Games[[#This Row],[DaysOff]]</f>
        <v>1</v>
      </c>
      <c r="M324" s="1">
        <f>MAX(-16, MIN(16, Games[[#This Row],[RestDiff]]*8))</f>
        <v>-8</v>
      </c>
      <c r="N324" s="1">
        <f>MAX(-16, MIN(16, Games[[#This Row],[OppRestDiff]]*8))</f>
        <v>8</v>
      </c>
      <c r="O324" s="4" cm="1">
        <f t="array" ref="O3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1320.1390165077275</v>
      </c>
      <c r="P324" s="4" cm="1">
        <f t="array" ref="P3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1491.5957167843906</v>
      </c>
      <c r="Q324" s="4">
        <f>1/(1+10^(((Games[[#This Row],[OppPreGmRate]]+IF(Games[[#This Row],[HomeAway]]="A",HCA,0)+Games[[#This Row],[OppRestAdj]])-(Games[[#This Row],[PreGmRate]]+IF(Games[[#This Row],[HomeAway]]="H",HCA,0)+Games[[#This Row],[RestAdj]]))/400))</f>
        <v>0.17326952876072624</v>
      </c>
      <c r="R324" s="1">
        <v>73</v>
      </c>
      <c r="S324" s="1">
        <v>82</v>
      </c>
      <c r="T324" s="1">
        <v>0</v>
      </c>
      <c r="U324" s="1">
        <f>Games[[#This Row],[PointsFor]]-Games[[#This Row],[PointsAgainst]]</f>
        <v>-9</v>
      </c>
      <c r="V324" s="1">
        <f>IF(Games[[#This Row],[MOV]]&gt;0,1,IF(Games[[#This Row],[MOV]]=0,0.5,0))</f>
        <v>0</v>
      </c>
      <c r="W324" s="4">
        <f>((ABS(Games[[#This Row],[MOV]])+5)^0.6)/(12+0.01*(ABS(Games[[#This Row],[PreGmRate]]-Games[[#This Row],[OppPreGmRate]])))*IF(Games[[#This Row],[OT]]=1,0.9,1)</f>
        <v>0.35521780051708213</v>
      </c>
      <c r="X324" s="7" cm="1">
        <f t="array" ref="X32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4" s="9">
        <f>MAX(kmin, kmax - 0.15 * MIN(Games[[#This Row],[GamesPlayed]], 82))</f>
        <v>71.8</v>
      </c>
      <c r="Z324" s="4">
        <f>Games[[#This Row],[K]]*Games[[#This Row],[POMult]]</f>
        <v>71.8</v>
      </c>
      <c r="AA324" s="4">
        <f>(Games[[#This Row],[Keff]]*Games[[#This Row],[MOVMult]])*(Games[[#This Row],[Result]]-Games[[#This Row],[ExpectedWin%]])</f>
        <v>-4.4191766208365832</v>
      </c>
      <c r="AB324" s="4">
        <f>Games[[#This Row],[PreGmRate]]+Games[[#This Row],[RatingChange]]</f>
        <v>1315.7198398868909</v>
      </c>
      <c r="AC324" s="2">
        <f>IF(Games[[#This Row],[Type]]="R",IF(Games[[#This Row],[Result]]&gt;0.5,1,0),0)</f>
        <v>0</v>
      </c>
      <c r="AD324" s="2">
        <f>IF(Games[[#This Row],[Type]]="R",IF(Games[[#This Row],[Result]]&lt;0.5,1,0),0)</f>
        <v>1</v>
      </c>
      <c r="AE324" s="2">
        <f>IF(AND(Games[[#This Row],[Type]]="P",Games[[#This Row],[Round]]=1),IF(Games[[#This Row],[Result]]&gt;0.5,1,0),0)</f>
        <v>0</v>
      </c>
      <c r="AF324" s="2">
        <f>IF(AND(Games[[#This Row],[Type]]="P",Games[[#This Row],[Round]]=1),IF(Games[[#This Row],[Result]]&lt;0.5,1,0),0)</f>
        <v>0</v>
      </c>
      <c r="AG324" s="2">
        <f>IF(AND(Games[[#This Row],[Type]]="P",Games[[#This Row],[Round]]=2),IF(Games[[#This Row],[Result]]&gt;0.5,1,0),0)</f>
        <v>0</v>
      </c>
      <c r="AH324" s="2">
        <f>IF(AND(Games[[#This Row],[Type]]="P",Games[[#This Row],[Round]]=2),IF(Games[[#This Row],[Result]]&lt;0.5,1,0),0)</f>
        <v>0</v>
      </c>
      <c r="AI324" s="2">
        <f>IF(AND(Games[[#This Row],[Type]]="P",Games[[#This Row],[Round]]=3),IF(Games[[#This Row],[Result]]&gt;0.5,1,0),0)</f>
        <v>0</v>
      </c>
      <c r="AJ324" s="2">
        <f>IF(AND(Games[[#This Row],[Type]]="P",Games[[#This Row],[Round]]=3),IF(Games[[#This Row],[Result]]&lt;0.5,1,0),0)</f>
        <v>0</v>
      </c>
      <c r="AK324" s="2">
        <f>IF(AND(Games[[#This Row],[Type]]="P",Games[[#This Row],[Round]]=4),IF(Games[[#This Row],[Result]]&gt;0.5,1,0),0)</f>
        <v>0</v>
      </c>
      <c r="AL324" s="2">
        <f>IF(AND(Games[[#This Row],[Type]]="P",Games[[#This Row],[Round]]=4),IF(Games[[#This Row],[Result]]&lt;0.5,1,0),0)</f>
        <v>0</v>
      </c>
    </row>
    <row r="325" spans="1:38" x14ac:dyDescent="0.35">
      <c r="A325" s="10">
        <v>45144</v>
      </c>
      <c r="B325" s="2">
        <v>2023</v>
      </c>
      <c r="C325" s="2">
        <f>COUNTIFS(Games[Team],Games[[#This Row],[Team]],Games[Season],Games[[#This Row],[Season]],Games[Date],"&lt;=" &amp; Games[[#This Row],[Date]])</f>
        <v>28</v>
      </c>
      <c r="D325" s="2" t="s">
        <v>79</v>
      </c>
      <c r="E325" s="2" t="s">
        <v>80</v>
      </c>
      <c r="F325" s="1" t="s">
        <v>77</v>
      </c>
      <c r="G325" s="1" t="s">
        <v>69</v>
      </c>
      <c r="H325" s="1" t="s">
        <v>82</v>
      </c>
      <c r="I325" s="2" cm="1">
        <f t="array" ref="I3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5" s="2" cm="1">
        <f t="array" ref="J3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5" s="2">
        <f>Games[[#This Row],[DaysOff]]-Games[[#This Row],[OppDaysOff]]</f>
        <v>1</v>
      </c>
      <c r="L325" s="2">
        <f>Games[[#This Row],[OppDaysOff]]-Games[[#This Row],[DaysOff]]</f>
        <v>-1</v>
      </c>
      <c r="M325" s="1">
        <f>MAX(-16, MIN(16, Games[[#This Row],[RestDiff]]*8))</f>
        <v>8</v>
      </c>
      <c r="N325" s="1">
        <f>MAX(-16, MIN(16, Games[[#This Row],[OppRestDiff]]*8))</f>
        <v>-8</v>
      </c>
      <c r="O325" s="4" cm="1">
        <f t="array" ref="O3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1491.5957167843906</v>
      </c>
      <c r="P325" s="4" cm="1">
        <f t="array" ref="P3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1320.1390165077275</v>
      </c>
      <c r="Q325" s="4">
        <f>1/(1+10^(((Games[[#This Row],[OppPreGmRate]]+IF(Games[[#This Row],[HomeAway]]="A",HCA,0)+Games[[#This Row],[OppRestAdj]])-(Games[[#This Row],[PreGmRate]]+IF(Games[[#This Row],[HomeAway]]="H",HCA,0)+Games[[#This Row],[RestAdj]]))/400))</f>
        <v>0.82673047123927368</v>
      </c>
      <c r="R325" s="1">
        <v>82</v>
      </c>
      <c r="S325" s="1">
        <v>73</v>
      </c>
      <c r="T325" s="1">
        <v>0</v>
      </c>
      <c r="U325" s="1">
        <f>Games[[#This Row],[PointsFor]]-Games[[#This Row],[PointsAgainst]]</f>
        <v>9</v>
      </c>
      <c r="V325" s="1">
        <f>IF(Games[[#This Row],[MOV]]&gt;0,1,IF(Games[[#This Row],[MOV]]=0,0.5,0))</f>
        <v>1</v>
      </c>
      <c r="W325" s="4">
        <f>((ABS(Games[[#This Row],[MOV]])+5)^0.6)/(12+0.01*(ABS(Games[[#This Row],[PreGmRate]]-Games[[#This Row],[OppPreGmRate]])))*IF(Games[[#This Row],[OT]]=1,0.9,1)</f>
        <v>0.35521780051708213</v>
      </c>
      <c r="X325" s="7" cm="1">
        <f t="array" ref="X32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5" s="9">
        <f>MAX(kmin, kmax - 0.15 * MIN(Games[[#This Row],[GamesPlayed]], 82))</f>
        <v>71.8</v>
      </c>
      <c r="Z325" s="4">
        <f>Games[[#This Row],[K]]*Games[[#This Row],[POMult]]</f>
        <v>71.8</v>
      </c>
      <c r="AA325" s="4">
        <f>(Games[[#This Row],[Keff]]*Games[[#This Row],[MOVMult]])*(Games[[#This Row],[Result]]-Games[[#This Row],[ExpectedWin%]])</f>
        <v>4.419176620836585</v>
      </c>
      <c r="AB325" s="4">
        <f>Games[[#This Row],[PreGmRate]]+Games[[#This Row],[RatingChange]]</f>
        <v>1496.0148934052272</v>
      </c>
      <c r="AC325" s="2">
        <f>IF(Games[[#This Row],[Type]]="R",IF(Games[[#This Row],[Result]]&gt;0.5,1,0),0)</f>
        <v>1</v>
      </c>
      <c r="AD325" s="2">
        <f>IF(Games[[#This Row],[Type]]="R",IF(Games[[#This Row],[Result]]&lt;0.5,1,0),0)</f>
        <v>0</v>
      </c>
      <c r="AE325" s="2">
        <f>IF(AND(Games[[#This Row],[Type]]="P",Games[[#This Row],[Round]]=1),IF(Games[[#This Row],[Result]]&gt;0.5,1,0),0)</f>
        <v>0</v>
      </c>
      <c r="AF325" s="2">
        <f>IF(AND(Games[[#This Row],[Type]]="P",Games[[#This Row],[Round]]=1),IF(Games[[#This Row],[Result]]&lt;0.5,1,0),0)</f>
        <v>0</v>
      </c>
      <c r="AG325" s="2">
        <f>IF(AND(Games[[#This Row],[Type]]="P",Games[[#This Row],[Round]]=2),IF(Games[[#This Row],[Result]]&gt;0.5,1,0),0)</f>
        <v>0</v>
      </c>
      <c r="AH325" s="2">
        <f>IF(AND(Games[[#This Row],[Type]]="P",Games[[#This Row],[Round]]=2),IF(Games[[#This Row],[Result]]&lt;0.5,1,0),0)</f>
        <v>0</v>
      </c>
      <c r="AI325" s="2">
        <f>IF(AND(Games[[#This Row],[Type]]="P",Games[[#This Row],[Round]]=3),IF(Games[[#This Row],[Result]]&gt;0.5,1,0),0)</f>
        <v>0</v>
      </c>
      <c r="AJ325" s="2">
        <f>IF(AND(Games[[#This Row],[Type]]="P",Games[[#This Row],[Round]]=3),IF(Games[[#This Row],[Result]]&lt;0.5,1,0),0)</f>
        <v>0</v>
      </c>
      <c r="AK325" s="2">
        <f>IF(AND(Games[[#This Row],[Type]]="P",Games[[#This Row],[Round]]=4),IF(Games[[#This Row],[Result]]&gt;0.5,1,0),0)</f>
        <v>0</v>
      </c>
      <c r="AL325" s="2">
        <f>IF(AND(Games[[#This Row],[Type]]="P",Games[[#This Row],[Round]]=4),IF(Games[[#This Row],[Result]]&lt;0.5,1,0),0)</f>
        <v>0</v>
      </c>
    </row>
    <row r="326" spans="1:38" x14ac:dyDescent="0.35">
      <c r="A326" s="10">
        <v>45144</v>
      </c>
      <c r="B326" s="2">
        <v>2023</v>
      </c>
      <c r="C326" s="2">
        <f>COUNTIFS(Games[Team],Games[[#This Row],[Team]],Games[Season],Games[[#This Row],[Season]],Games[Date],"&lt;=" &amp; Games[[#This Row],[Date]])</f>
        <v>27</v>
      </c>
      <c r="D326" s="2" t="s">
        <v>79</v>
      </c>
      <c r="E326" s="2" t="s">
        <v>80</v>
      </c>
      <c r="F326" s="1" t="s">
        <v>75</v>
      </c>
      <c r="G326" s="1" t="s">
        <v>85</v>
      </c>
      <c r="H326" s="1" t="s">
        <v>81</v>
      </c>
      <c r="I326" s="2" cm="1">
        <f t="array" ref="I3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6" s="2" cm="1">
        <f t="array" ref="J3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6" s="2">
        <f>Games[[#This Row],[DaysOff]]-Games[[#This Row],[OppDaysOff]]</f>
        <v>0</v>
      </c>
      <c r="L326" s="2">
        <f>Games[[#This Row],[OppDaysOff]]-Games[[#This Row],[DaysOff]]</f>
        <v>0</v>
      </c>
      <c r="M326" s="1">
        <f>MAX(-16, MIN(16, Games[[#This Row],[RestDiff]]*8))</f>
        <v>0</v>
      </c>
      <c r="N326" s="1">
        <f>MAX(-16, MIN(16, Games[[#This Row],[OppRestDiff]]*8))</f>
        <v>0</v>
      </c>
      <c r="O326" s="4" cm="1">
        <f t="array" ref="O3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1468.7751111763339</v>
      </c>
      <c r="P326" s="4" cm="1">
        <f t="array" ref="P3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1554.385451193388</v>
      </c>
      <c r="Q326" s="4">
        <f>1/(1+10^(((Games[[#This Row],[OppPreGmRate]]+IF(Games[[#This Row],[HomeAway]]="A",HCA,0)+Games[[#This Row],[OppRestAdj]])-(Games[[#This Row],[PreGmRate]]+IF(Games[[#This Row],[HomeAway]]="H",HCA,0)+Games[[#This Row],[RestAdj]]))/400))</f>
        <v>0.27361551021791608</v>
      </c>
      <c r="R326" s="1">
        <v>104</v>
      </c>
      <c r="S326" s="1">
        <v>96</v>
      </c>
      <c r="T326" s="1">
        <v>0</v>
      </c>
      <c r="U326" s="1">
        <f>Games[[#This Row],[PointsFor]]-Games[[#This Row],[PointsAgainst]]</f>
        <v>8</v>
      </c>
      <c r="V326" s="1">
        <f>IF(Games[[#This Row],[MOV]]&gt;0,1,IF(Games[[#This Row],[MOV]]=0,0.5,0))</f>
        <v>1</v>
      </c>
      <c r="W326" s="4">
        <f>((ABS(Games[[#This Row],[MOV]])+5)^0.6)/(12+0.01*(ABS(Games[[#This Row],[PreGmRate]]-Games[[#This Row],[OppPreGmRate]])))*IF(Games[[#This Row],[OT]]=1,0.9,1)</f>
        <v>0.36245713611592856</v>
      </c>
      <c r="X326" s="7" cm="1">
        <f t="array" ref="X32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6" s="9">
        <f>MAX(kmin, kmax - 0.15 * MIN(Games[[#This Row],[GamesPlayed]], 82))</f>
        <v>71.95</v>
      </c>
      <c r="Z326" s="4">
        <f>Games[[#This Row],[K]]*Games[[#This Row],[POMult]]</f>
        <v>71.95</v>
      </c>
      <c r="AA326" s="4">
        <f>(Games[[#This Row],[Keff]]*Games[[#This Row],[MOVMult]])*(Games[[#This Row],[Result]]-Games[[#This Row],[ExpectedWin%]])</f>
        <v>18.943229253657705</v>
      </c>
      <c r="AB326" s="4">
        <f>Games[[#This Row],[PreGmRate]]+Games[[#This Row],[RatingChange]]</f>
        <v>1487.7183404299917</v>
      </c>
      <c r="AC326" s="2">
        <f>IF(Games[[#This Row],[Type]]="R",IF(Games[[#This Row],[Result]]&gt;0.5,1,0),0)</f>
        <v>1</v>
      </c>
      <c r="AD326" s="2">
        <f>IF(Games[[#This Row],[Type]]="R",IF(Games[[#This Row],[Result]]&lt;0.5,1,0),0)</f>
        <v>0</v>
      </c>
      <c r="AE326" s="2">
        <f>IF(AND(Games[[#This Row],[Type]]="P",Games[[#This Row],[Round]]=1),IF(Games[[#This Row],[Result]]&gt;0.5,1,0),0)</f>
        <v>0</v>
      </c>
      <c r="AF326" s="2">
        <f>IF(AND(Games[[#This Row],[Type]]="P",Games[[#This Row],[Round]]=1),IF(Games[[#This Row],[Result]]&lt;0.5,1,0),0)</f>
        <v>0</v>
      </c>
      <c r="AG326" s="2">
        <f>IF(AND(Games[[#This Row],[Type]]="P",Games[[#This Row],[Round]]=2),IF(Games[[#This Row],[Result]]&gt;0.5,1,0),0)</f>
        <v>0</v>
      </c>
      <c r="AH326" s="2">
        <f>IF(AND(Games[[#This Row],[Type]]="P",Games[[#This Row],[Round]]=2),IF(Games[[#This Row],[Result]]&lt;0.5,1,0),0)</f>
        <v>0</v>
      </c>
      <c r="AI326" s="2">
        <f>IF(AND(Games[[#This Row],[Type]]="P",Games[[#This Row],[Round]]=3),IF(Games[[#This Row],[Result]]&gt;0.5,1,0),0)</f>
        <v>0</v>
      </c>
      <c r="AJ326" s="2">
        <f>IF(AND(Games[[#This Row],[Type]]="P",Games[[#This Row],[Round]]=3),IF(Games[[#This Row],[Result]]&lt;0.5,1,0),0)</f>
        <v>0</v>
      </c>
      <c r="AK326" s="2">
        <f>IF(AND(Games[[#This Row],[Type]]="P",Games[[#This Row],[Round]]=4),IF(Games[[#This Row],[Result]]&gt;0.5,1,0),0)</f>
        <v>0</v>
      </c>
      <c r="AL326" s="2">
        <f>IF(AND(Games[[#This Row],[Type]]="P",Games[[#This Row],[Round]]=4),IF(Games[[#This Row],[Result]]&lt;0.5,1,0),0)</f>
        <v>0</v>
      </c>
    </row>
    <row r="327" spans="1:38" x14ac:dyDescent="0.35">
      <c r="A327" s="10">
        <v>45144</v>
      </c>
      <c r="B327" s="2">
        <v>2023</v>
      </c>
      <c r="C327" s="2">
        <f>COUNTIFS(Games[Team],Games[[#This Row],[Team]],Games[Season],Games[[#This Row],[Season]],Games[Date],"&lt;=" &amp; Games[[#This Row],[Date]])</f>
        <v>28</v>
      </c>
      <c r="D327" s="2" t="s">
        <v>79</v>
      </c>
      <c r="E327" s="2" t="s">
        <v>80</v>
      </c>
      <c r="F327" s="1" t="s">
        <v>85</v>
      </c>
      <c r="G327" s="1" t="s">
        <v>75</v>
      </c>
      <c r="H327" s="1" t="s">
        <v>82</v>
      </c>
      <c r="I327" s="2" cm="1">
        <f t="array" ref="I3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7" s="2" cm="1">
        <f t="array" ref="J3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7" s="2">
        <f>Games[[#This Row],[DaysOff]]-Games[[#This Row],[OppDaysOff]]</f>
        <v>0</v>
      </c>
      <c r="L327" s="2">
        <f>Games[[#This Row],[OppDaysOff]]-Games[[#This Row],[DaysOff]]</f>
        <v>0</v>
      </c>
      <c r="M327" s="1">
        <f>MAX(-16, MIN(16, Games[[#This Row],[RestDiff]]*8))</f>
        <v>0</v>
      </c>
      <c r="N327" s="1">
        <f>MAX(-16, MIN(16, Games[[#This Row],[OppRestDiff]]*8))</f>
        <v>0</v>
      </c>
      <c r="O327" s="4" cm="1">
        <f t="array" ref="O3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1554.385451193388</v>
      </c>
      <c r="P327" s="4" cm="1">
        <f t="array" ref="P3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1468.7751111763339</v>
      </c>
      <c r="Q327" s="4">
        <f>1/(1+10^(((Games[[#This Row],[OppPreGmRate]]+IF(Games[[#This Row],[HomeAway]]="A",HCA,0)+Games[[#This Row],[OppRestAdj]])-(Games[[#This Row],[PreGmRate]]+IF(Games[[#This Row],[HomeAway]]="H",HCA,0)+Games[[#This Row],[RestAdj]]))/400))</f>
        <v>0.72638448978208392</v>
      </c>
      <c r="R327" s="1">
        <v>96</v>
      </c>
      <c r="S327" s="1">
        <v>104</v>
      </c>
      <c r="T327" s="1">
        <v>0</v>
      </c>
      <c r="U327" s="1">
        <f>Games[[#This Row],[PointsFor]]-Games[[#This Row],[PointsAgainst]]</f>
        <v>-8</v>
      </c>
      <c r="V327" s="1">
        <f>IF(Games[[#This Row],[MOV]]&gt;0,1,IF(Games[[#This Row],[MOV]]=0,0.5,0))</f>
        <v>0</v>
      </c>
      <c r="W327" s="4">
        <f>((ABS(Games[[#This Row],[MOV]])+5)^0.6)/(12+0.01*(ABS(Games[[#This Row],[PreGmRate]]-Games[[#This Row],[OppPreGmRate]])))*IF(Games[[#This Row],[OT]]=1,0.9,1)</f>
        <v>0.36245713611592856</v>
      </c>
      <c r="X327" s="7" cm="1">
        <f t="array" ref="X32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7" s="9">
        <f>MAX(kmin, kmax - 0.15 * MIN(Games[[#This Row],[GamesPlayed]], 82))</f>
        <v>71.8</v>
      </c>
      <c r="Z327" s="4">
        <f>Games[[#This Row],[K]]*Games[[#This Row],[POMult]]</f>
        <v>71.8</v>
      </c>
      <c r="AA327" s="4">
        <f>(Games[[#This Row],[Keff]]*Games[[#This Row],[MOVMult]])*(Games[[#This Row],[Result]]-Games[[#This Row],[ExpectedWin%]])</f>
        <v>-18.903736767374888</v>
      </c>
      <c r="AB327" s="4">
        <f>Games[[#This Row],[PreGmRate]]+Games[[#This Row],[RatingChange]]</f>
        <v>1535.481714426013</v>
      </c>
      <c r="AC327" s="2">
        <f>IF(Games[[#This Row],[Type]]="R",IF(Games[[#This Row],[Result]]&gt;0.5,1,0),0)</f>
        <v>0</v>
      </c>
      <c r="AD327" s="2">
        <f>IF(Games[[#This Row],[Type]]="R",IF(Games[[#This Row],[Result]]&lt;0.5,1,0),0)</f>
        <v>1</v>
      </c>
      <c r="AE327" s="2">
        <f>IF(AND(Games[[#This Row],[Type]]="P",Games[[#This Row],[Round]]=1),IF(Games[[#This Row],[Result]]&gt;0.5,1,0),0)</f>
        <v>0</v>
      </c>
      <c r="AF327" s="2">
        <f>IF(AND(Games[[#This Row],[Type]]="P",Games[[#This Row],[Round]]=1),IF(Games[[#This Row],[Result]]&lt;0.5,1,0),0)</f>
        <v>0</v>
      </c>
      <c r="AG327" s="2">
        <f>IF(AND(Games[[#This Row],[Type]]="P",Games[[#This Row],[Round]]=2),IF(Games[[#This Row],[Result]]&gt;0.5,1,0),0)</f>
        <v>0</v>
      </c>
      <c r="AH327" s="2">
        <f>IF(AND(Games[[#This Row],[Type]]="P",Games[[#This Row],[Round]]=2),IF(Games[[#This Row],[Result]]&lt;0.5,1,0),0)</f>
        <v>0</v>
      </c>
      <c r="AI327" s="2">
        <f>IF(AND(Games[[#This Row],[Type]]="P",Games[[#This Row],[Round]]=3),IF(Games[[#This Row],[Result]]&gt;0.5,1,0),0)</f>
        <v>0</v>
      </c>
      <c r="AJ327" s="2">
        <f>IF(AND(Games[[#This Row],[Type]]="P",Games[[#This Row],[Round]]=3),IF(Games[[#This Row],[Result]]&lt;0.5,1,0),0)</f>
        <v>0</v>
      </c>
      <c r="AK327" s="2">
        <f>IF(AND(Games[[#This Row],[Type]]="P",Games[[#This Row],[Round]]=4),IF(Games[[#This Row],[Result]]&gt;0.5,1,0),0)</f>
        <v>0</v>
      </c>
      <c r="AL327" s="2">
        <f>IF(AND(Games[[#This Row],[Type]]="P",Games[[#This Row],[Round]]=4),IF(Games[[#This Row],[Result]]&lt;0.5,1,0),0)</f>
        <v>0</v>
      </c>
    </row>
    <row r="328" spans="1:38" x14ac:dyDescent="0.35">
      <c r="A328" s="10">
        <v>45144</v>
      </c>
      <c r="B328" s="2">
        <v>2023</v>
      </c>
      <c r="C328" s="2">
        <f>COUNTIFS(Games[Team],Games[[#This Row],[Team]],Games[Season],Games[[#This Row],[Season]],Games[Date],"&lt;=" &amp; Games[[#This Row],[Date]])</f>
        <v>27</v>
      </c>
      <c r="D328" s="2" t="s">
        <v>79</v>
      </c>
      <c r="E328" s="2" t="s">
        <v>80</v>
      </c>
      <c r="F328" s="1" t="s">
        <v>86</v>
      </c>
      <c r="G328" s="1" t="s">
        <v>60</v>
      </c>
      <c r="H328" s="1" t="s">
        <v>81</v>
      </c>
      <c r="I328" s="2" cm="1">
        <f t="array" ref="I328">IFERROR(
    Games[[#This Row],[Date]]
    - LOOKUP(
        2,
        1/((Games[Team]=Games[[#This Row],[Team]]) * (Games[Date] &lt; Games[[#This Row],[Date]])),
        Games[Date]
    )
    - 1,
Games[[#This Row],[Date]]-$A$2)</f>
        <v>4</v>
      </c>
      <c r="J328" s="2" cm="1">
        <f t="array" ref="J3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8" s="2">
        <f>Games[[#This Row],[DaysOff]]-Games[[#This Row],[OppDaysOff]]</f>
        <v>3</v>
      </c>
      <c r="L328" s="2">
        <f>Games[[#This Row],[OppDaysOff]]-Games[[#This Row],[DaysOff]]</f>
        <v>-3</v>
      </c>
      <c r="M328" s="1">
        <f>MAX(-16, MIN(16, Games[[#This Row],[RestDiff]]*8))</f>
        <v>16</v>
      </c>
      <c r="N328" s="1">
        <f>MAX(-16, MIN(16, Games[[#This Row],[OppRestDiff]]*8))</f>
        <v>-16</v>
      </c>
      <c r="O328" s="4" cm="1">
        <f t="array" ref="O3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1763.1922267602358</v>
      </c>
      <c r="P328" s="4" cm="1">
        <f t="array" ref="P3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1626.5747300260523</v>
      </c>
      <c r="Q328" s="4">
        <f>1/(1+10^(((Games[[#This Row],[OppPreGmRate]]+IF(Games[[#This Row],[HomeAway]]="A",HCA,0)+Games[[#This Row],[OppRestAdj]])-(Games[[#This Row],[PreGmRate]]+IF(Games[[#This Row],[HomeAway]]="H",HCA,0)+Games[[#This Row],[RestAdj]]))/400))</f>
        <v>0.61942243164581501</v>
      </c>
      <c r="R328" s="1">
        <v>61</v>
      </c>
      <c r="S328" s="1">
        <v>99</v>
      </c>
      <c r="T328" s="1">
        <v>0</v>
      </c>
      <c r="U328" s="1">
        <f>Games[[#This Row],[PointsFor]]-Games[[#This Row],[PointsAgainst]]</f>
        <v>-38</v>
      </c>
      <c r="V328" s="1">
        <f>IF(Games[[#This Row],[MOV]]&gt;0,1,IF(Games[[#This Row],[MOV]]=0,0.5,0))</f>
        <v>0</v>
      </c>
      <c r="W328" s="4">
        <f>((ABS(Games[[#This Row],[MOV]])+5)^0.6)/(12+0.01*(ABS(Games[[#This Row],[PreGmRate]]-Games[[#This Row],[OppPreGmRate]])))*IF(Games[[#This Row],[OT]]=1,0.9,1)</f>
        <v>0.71461796764721486</v>
      </c>
      <c r="X328" s="7" cm="1">
        <f t="array" ref="X32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8" s="9">
        <f>MAX(kmin, kmax - 0.15 * MIN(Games[[#This Row],[GamesPlayed]], 82))</f>
        <v>71.95</v>
      </c>
      <c r="Z328" s="4">
        <f>Games[[#This Row],[K]]*Games[[#This Row],[POMult]]</f>
        <v>71.95</v>
      </c>
      <c r="AA328" s="4">
        <f>(Games[[#This Row],[Keff]]*Games[[#This Row],[MOVMult]])*(Games[[#This Row],[Result]]-Games[[#This Row],[ExpectedWin%]])</f>
        <v>-31.84869622372274</v>
      </c>
      <c r="AB328" s="4">
        <f>Games[[#This Row],[PreGmRate]]+Games[[#This Row],[RatingChange]]</f>
        <v>1731.3435305365131</v>
      </c>
      <c r="AC328" s="2">
        <f>IF(Games[[#This Row],[Type]]="R",IF(Games[[#This Row],[Result]]&gt;0.5,1,0),0)</f>
        <v>0</v>
      </c>
      <c r="AD328" s="2">
        <f>IF(Games[[#This Row],[Type]]="R",IF(Games[[#This Row],[Result]]&lt;0.5,1,0),0)</f>
        <v>1</v>
      </c>
      <c r="AE328" s="2">
        <f>IF(AND(Games[[#This Row],[Type]]="P",Games[[#This Row],[Round]]=1),IF(Games[[#This Row],[Result]]&gt;0.5,1,0),0)</f>
        <v>0</v>
      </c>
      <c r="AF328" s="2">
        <f>IF(AND(Games[[#This Row],[Type]]="P",Games[[#This Row],[Round]]=1),IF(Games[[#This Row],[Result]]&lt;0.5,1,0),0)</f>
        <v>0</v>
      </c>
      <c r="AG328" s="2">
        <f>IF(AND(Games[[#This Row],[Type]]="P",Games[[#This Row],[Round]]=2),IF(Games[[#This Row],[Result]]&gt;0.5,1,0),0)</f>
        <v>0</v>
      </c>
      <c r="AH328" s="2">
        <f>IF(AND(Games[[#This Row],[Type]]="P",Games[[#This Row],[Round]]=2),IF(Games[[#This Row],[Result]]&lt;0.5,1,0),0)</f>
        <v>0</v>
      </c>
      <c r="AI328" s="2">
        <f>IF(AND(Games[[#This Row],[Type]]="P",Games[[#This Row],[Round]]=3),IF(Games[[#This Row],[Result]]&gt;0.5,1,0),0)</f>
        <v>0</v>
      </c>
      <c r="AJ328" s="2">
        <f>IF(AND(Games[[#This Row],[Type]]="P",Games[[#This Row],[Round]]=3),IF(Games[[#This Row],[Result]]&lt;0.5,1,0),0)</f>
        <v>0</v>
      </c>
      <c r="AK328" s="2">
        <f>IF(AND(Games[[#This Row],[Type]]="P",Games[[#This Row],[Round]]=4),IF(Games[[#This Row],[Result]]&gt;0.5,1,0),0)</f>
        <v>0</v>
      </c>
      <c r="AL328" s="2">
        <f>IF(AND(Games[[#This Row],[Type]]="P",Games[[#This Row],[Round]]=4),IF(Games[[#This Row],[Result]]&lt;0.5,1,0),0)</f>
        <v>0</v>
      </c>
    </row>
    <row r="329" spans="1:38" x14ac:dyDescent="0.35">
      <c r="A329" s="10">
        <v>45144</v>
      </c>
      <c r="B329" s="2">
        <v>2023</v>
      </c>
      <c r="C329" s="2">
        <f>COUNTIFS(Games[Team],Games[[#This Row],[Team]],Games[Season],Games[[#This Row],[Season]],Games[Date],"&lt;=" &amp; Games[[#This Row],[Date]])</f>
        <v>28</v>
      </c>
      <c r="D329" s="2" t="s">
        <v>79</v>
      </c>
      <c r="E329" s="2" t="s">
        <v>80</v>
      </c>
      <c r="F329" s="1" t="s">
        <v>60</v>
      </c>
      <c r="G329" s="1" t="s">
        <v>86</v>
      </c>
      <c r="H329" s="1" t="s">
        <v>82</v>
      </c>
      <c r="I329" s="2" cm="1">
        <f t="array" ref="I3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9" s="2" cm="1">
        <f t="array" ref="J32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29" s="2">
        <f>Games[[#This Row],[DaysOff]]-Games[[#This Row],[OppDaysOff]]</f>
        <v>-3</v>
      </c>
      <c r="L329" s="2">
        <f>Games[[#This Row],[OppDaysOff]]-Games[[#This Row],[DaysOff]]</f>
        <v>3</v>
      </c>
      <c r="M329" s="1">
        <f>MAX(-16, MIN(16, Games[[#This Row],[RestDiff]]*8))</f>
        <v>-16</v>
      </c>
      <c r="N329" s="1">
        <f>MAX(-16, MIN(16, Games[[#This Row],[OppRestDiff]]*8))</f>
        <v>16</v>
      </c>
      <c r="O329" s="4" cm="1">
        <f t="array" ref="O3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1626.5747300260523</v>
      </c>
      <c r="P329" s="4" cm="1">
        <f t="array" ref="P3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1763.1922267602358</v>
      </c>
      <c r="Q329" s="4">
        <f>1/(1+10^(((Games[[#This Row],[OppPreGmRate]]+IF(Games[[#This Row],[HomeAway]]="A",HCA,0)+Games[[#This Row],[OppRestAdj]])-(Games[[#This Row],[PreGmRate]]+IF(Games[[#This Row],[HomeAway]]="H",HCA,0)+Games[[#This Row],[RestAdj]]))/400))</f>
        <v>0.3805775683541851</v>
      </c>
      <c r="R329" s="1">
        <v>99</v>
      </c>
      <c r="S329" s="1">
        <v>61</v>
      </c>
      <c r="T329" s="1">
        <v>0</v>
      </c>
      <c r="U329" s="1">
        <f>Games[[#This Row],[PointsFor]]-Games[[#This Row],[PointsAgainst]]</f>
        <v>38</v>
      </c>
      <c r="V329" s="1">
        <f>IF(Games[[#This Row],[MOV]]&gt;0,1,IF(Games[[#This Row],[MOV]]=0,0.5,0))</f>
        <v>1</v>
      </c>
      <c r="W329" s="4">
        <f>((ABS(Games[[#This Row],[MOV]])+5)^0.6)/(12+0.01*(ABS(Games[[#This Row],[PreGmRate]]-Games[[#This Row],[OppPreGmRate]])))*IF(Games[[#This Row],[OT]]=1,0.9,1)</f>
        <v>0.71461796764721486</v>
      </c>
      <c r="X329" s="7" cm="1">
        <f t="array" ref="X32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9" s="9">
        <f>MAX(kmin, kmax - 0.15 * MIN(Games[[#This Row],[GamesPlayed]], 82))</f>
        <v>71.8</v>
      </c>
      <c r="Z329" s="4">
        <f>Games[[#This Row],[K]]*Games[[#This Row],[POMult]]</f>
        <v>71.8</v>
      </c>
      <c r="AA329" s="4">
        <f>(Games[[#This Row],[Keff]]*Games[[#This Row],[MOVMult]])*(Games[[#This Row],[Result]]-Games[[#This Row],[ExpectedWin%]])</f>
        <v>31.782298663840059</v>
      </c>
      <c r="AB329" s="4">
        <f>Games[[#This Row],[PreGmRate]]+Games[[#This Row],[RatingChange]]</f>
        <v>1658.3570286898923</v>
      </c>
      <c r="AC329" s="2">
        <f>IF(Games[[#This Row],[Type]]="R",IF(Games[[#This Row],[Result]]&gt;0.5,1,0),0)</f>
        <v>1</v>
      </c>
      <c r="AD329" s="2">
        <f>IF(Games[[#This Row],[Type]]="R",IF(Games[[#This Row],[Result]]&lt;0.5,1,0),0)</f>
        <v>0</v>
      </c>
      <c r="AE329" s="2">
        <f>IF(AND(Games[[#This Row],[Type]]="P",Games[[#This Row],[Round]]=1),IF(Games[[#This Row],[Result]]&gt;0.5,1,0),0)</f>
        <v>0</v>
      </c>
      <c r="AF329" s="2">
        <f>IF(AND(Games[[#This Row],[Type]]="P",Games[[#This Row],[Round]]=1),IF(Games[[#This Row],[Result]]&lt;0.5,1,0),0)</f>
        <v>0</v>
      </c>
      <c r="AG329" s="2">
        <f>IF(AND(Games[[#This Row],[Type]]="P",Games[[#This Row],[Round]]=2),IF(Games[[#This Row],[Result]]&gt;0.5,1,0),0)</f>
        <v>0</v>
      </c>
      <c r="AH329" s="2">
        <f>IF(AND(Games[[#This Row],[Type]]="P",Games[[#This Row],[Round]]=2),IF(Games[[#This Row],[Result]]&lt;0.5,1,0),0)</f>
        <v>0</v>
      </c>
      <c r="AI329" s="2">
        <f>IF(AND(Games[[#This Row],[Type]]="P",Games[[#This Row],[Round]]=3),IF(Games[[#This Row],[Result]]&gt;0.5,1,0),0)</f>
        <v>0</v>
      </c>
      <c r="AJ329" s="2">
        <f>IF(AND(Games[[#This Row],[Type]]="P",Games[[#This Row],[Round]]=3),IF(Games[[#This Row],[Result]]&lt;0.5,1,0),0)</f>
        <v>0</v>
      </c>
      <c r="AK329" s="2">
        <f>IF(AND(Games[[#This Row],[Type]]="P",Games[[#This Row],[Round]]=4),IF(Games[[#This Row],[Result]]&gt;0.5,1,0),0)</f>
        <v>0</v>
      </c>
      <c r="AL329" s="2">
        <f>IF(AND(Games[[#This Row],[Type]]="P",Games[[#This Row],[Round]]=4),IF(Games[[#This Row],[Result]]&lt;0.5,1,0),0)</f>
        <v>0</v>
      </c>
    </row>
    <row r="330" spans="1:38" x14ac:dyDescent="0.35">
      <c r="A330" s="10">
        <v>45144</v>
      </c>
      <c r="B330" s="2">
        <v>2023</v>
      </c>
      <c r="C330" s="2">
        <f>COUNTIFS(Games[Team],Games[[#This Row],[Team]],Games[Season],Games[[#This Row],[Season]],Games[Date],"&lt;=" &amp; Games[[#This Row],[Date]])</f>
        <v>28</v>
      </c>
      <c r="D330" s="2" t="s">
        <v>79</v>
      </c>
      <c r="E330" s="2" t="s">
        <v>80</v>
      </c>
      <c r="F330" s="1" t="s">
        <v>63</v>
      </c>
      <c r="G330" s="1" t="s">
        <v>65</v>
      </c>
      <c r="H330" s="1" t="s">
        <v>81</v>
      </c>
      <c r="I330" s="2" cm="1">
        <f t="array" ref="I3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0" s="2" cm="1">
        <f t="array" ref="J3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0" s="2">
        <f>Games[[#This Row],[DaysOff]]-Games[[#This Row],[OppDaysOff]]</f>
        <v>0</v>
      </c>
      <c r="L330" s="2">
        <f>Games[[#This Row],[OppDaysOff]]-Games[[#This Row],[DaysOff]]</f>
        <v>0</v>
      </c>
      <c r="M330" s="1">
        <f>MAX(-16, MIN(16, Games[[#This Row],[RestDiff]]*8))</f>
        <v>0</v>
      </c>
      <c r="N330" s="1">
        <f>MAX(-16, MIN(16, Games[[#This Row],[OppRestDiff]]*8))</f>
        <v>0</v>
      </c>
      <c r="O330" s="4" cm="1">
        <f t="array" ref="O3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1371.6256743685647</v>
      </c>
      <c r="P330" s="4" cm="1">
        <f t="array" ref="P3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1490.7475157049498</v>
      </c>
      <c r="Q330" s="4">
        <f>1/(1+10^(((Games[[#This Row],[OppPreGmRate]]+IF(Games[[#This Row],[HomeAway]]="A",HCA,0)+Games[[#This Row],[OppRestAdj]])-(Games[[#This Row],[PreGmRate]]+IF(Games[[#This Row],[HomeAway]]="H",HCA,0)+Games[[#This Row],[RestAdj]]))/400))</f>
        <v>0.23698817030148395</v>
      </c>
      <c r="R330" s="1">
        <v>91</v>
      </c>
      <c r="S330" s="1">
        <v>83</v>
      </c>
      <c r="T330" s="1">
        <v>0</v>
      </c>
      <c r="U330" s="1">
        <f>Games[[#This Row],[PointsFor]]-Games[[#This Row],[PointsAgainst]]</f>
        <v>8</v>
      </c>
      <c r="V330" s="1">
        <f>IF(Games[[#This Row],[MOV]]&gt;0,1,IF(Games[[#This Row],[MOV]]=0,0.5,0))</f>
        <v>1</v>
      </c>
      <c r="W330" s="4">
        <f>((ABS(Games[[#This Row],[MOV]])+5)^0.6)/(12+0.01*(ABS(Games[[#This Row],[PreGmRate]]-Games[[#This Row],[OppPreGmRate]])))*IF(Games[[#This Row],[OT]]=1,0.9,1)</f>
        <v>0.35324912938408304</v>
      </c>
      <c r="X330" s="7" cm="1">
        <f t="array" ref="X33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0" s="9">
        <f>MAX(kmin, kmax - 0.15 * MIN(Games[[#This Row],[GamesPlayed]], 82))</f>
        <v>71.8</v>
      </c>
      <c r="Z330" s="4">
        <f>Games[[#This Row],[K]]*Games[[#This Row],[POMult]]</f>
        <v>71.8</v>
      </c>
      <c r="AA330" s="4">
        <f>(Games[[#This Row],[Keff]]*Games[[#This Row],[MOVMult]])*(Games[[#This Row],[Result]]-Games[[#This Row],[ExpectedWin%]])</f>
        <v>19.352488394744352</v>
      </c>
      <c r="AB330" s="4">
        <f>Games[[#This Row],[PreGmRate]]+Games[[#This Row],[RatingChange]]</f>
        <v>1390.978162763309</v>
      </c>
      <c r="AC330" s="2">
        <f>IF(Games[[#This Row],[Type]]="R",IF(Games[[#This Row],[Result]]&gt;0.5,1,0),0)</f>
        <v>1</v>
      </c>
      <c r="AD330" s="2">
        <f>IF(Games[[#This Row],[Type]]="R",IF(Games[[#This Row],[Result]]&lt;0.5,1,0),0)</f>
        <v>0</v>
      </c>
      <c r="AE330" s="2">
        <f>IF(AND(Games[[#This Row],[Type]]="P",Games[[#This Row],[Round]]=1),IF(Games[[#This Row],[Result]]&gt;0.5,1,0),0)</f>
        <v>0</v>
      </c>
      <c r="AF330" s="2">
        <f>IF(AND(Games[[#This Row],[Type]]="P",Games[[#This Row],[Round]]=1),IF(Games[[#This Row],[Result]]&lt;0.5,1,0),0)</f>
        <v>0</v>
      </c>
      <c r="AG330" s="2">
        <f>IF(AND(Games[[#This Row],[Type]]="P",Games[[#This Row],[Round]]=2),IF(Games[[#This Row],[Result]]&gt;0.5,1,0),0)</f>
        <v>0</v>
      </c>
      <c r="AH330" s="2">
        <f>IF(AND(Games[[#This Row],[Type]]="P",Games[[#This Row],[Round]]=2),IF(Games[[#This Row],[Result]]&lt;0.5,1,0),0)</f>
        <v>0</v>
      </c>
      <c r="AI330" s="2">
        <f>IF(AND(Games[[#This Row],[Type]]="P",Games[[#This Row],[Round]]=3),IF(Games[[#This Row],[Result]]&gt;0.5,1,0),0)</f>
        <v>0</v>
      </c>
      <c r="AJ330" s="2">
        <f>IF(AND(Games[[#This Row],[Type]]="P",Games[[#This Row],[Round]]=3),IF(Games[[#This Row],[Result]]&lt;0.5,1,0),0)</f>
        <v>0</v>
      </c>
      <c r="AK330" s="2">
        <f>IF(AND(Games[[#This Row],[Type]]="P",Games[[#This Row],[Round]]=4),IF(Games[[#This Row],[Result]]&gt;0.5,1,0),0)</f>
        <v>0</v>
      </c>
      <c r="AL330" s="2">
        <f>IF(AND(Games[[#This Row],[Type]]="P",Games[[#This Row],[Round]]=4),IF(Games[[#This Row],[Result]]&lt;0.5,1,0),0)</f>
        <v>0</v>
      </c>
    </row>
    <row r="331" spans="1:38" x14ac:dyDescent="0.35">
      <c r="A331" s="10">
        <v>45144</v>
      </c>
      <c r="B331" s="2">
        <v>2023</v>
      </c>
      <c r="C331" s="2">
        <f>COUNTIFS(Games[Team],Games[[#This Row],[Team]],Games[Season],Games[[#This Row],[Season]],Games[Date],"&lt;=" &amp; Games[[#This Row],[Date]])</f>
        <v>27</v>
      </c>
      <c r="D331" s="2" t="s">
        <v>79</v>
      </c>
      <c r="E331" s="2" t="s">
        <v>80</v>
      </c>
      <c r="F331" s="1" t="s">
        <v>65</v>
      </c>
      <c r="G331" s="1" t="s">
        <v>63</v>
      </c>
      <c r="H331" s="1" t="s">
        <v>82</v>
      </c>
      <c r="I331" s="2" cm="1">
        <f t="array" ref="I3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1" s="2" cm="1">
        <f t="array" ref="J3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1" s="2">
        <f>Games[[#This Row],[DaysOff]]-Games[[#This Row],[OppDaysOff]]</f>
        <v>0</v>
      </c>
      <c r="L331" s="2">
        <f>Games[[#This Row],[OppDaysOff]]-Games[[#This Row],[DaysOff]]</f>
        <v>0</v>
      </c>
      <c r="M331" s="1">
        <f>MAX(-16, MIN(16, Games[[#This Row],[RestDiff]]*8))</f>
        <v>0</v>
      </c>
      <c r="N331" s="1">
        <f>MAX(-16, MIN(16, Games[[#This Row],[OppRestDiff]]*8))</f>
        <v>0</v>
      </c>
      <c r="O331" s="4" cm="1">
        <f t="array" ref="O3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1490.7475157049498</v>
      </c>
      <c r="P331" s="4" cm="1">
        <f t="array" ref="P3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1371.6256743685647</v>
      </c>
      <c r="Q331" s="4">
        <f>1/(1+10^(((Games[[#This Row],[OppPreGmRate]]+IF(Games[[#This Row],[HomeAway]]="A",HCA,0)+Games[[#This Row],[OppRestAdj]])-(Games[[#This Row],[PreGmRate]]+IF(Games[[#This Row],[HomeAway]]="H",HCA,0)+Games[[#This Row],[RestAdj]]))/400))</f>
        <v>0.763011829698516</v>
      </c>
      <c r="R331" s="1">
        <v>83</v>
      </c>
      <c r="S331" s="1">
        <v>91</v>
      </c>
      <c r="T331" s="1">
        <v>0</v>
      </c>
      <c r="U331" s="1">
        <f>Games[[#This Row],[PointsFor]]-Games[[#This Row],[PointsAgainst]]</f>
        <v>-8</v>
      </c>
      <c r="V331" s="1">
        <f>IF(Games[[#This Row],[MOV]]&gt;0,1,IF(Games[[#This Row],[MOV]]=0,0.5,0))</f>
        <v>0</v>
      </c>
      <c r="W331" s="4">
        <f>((ABS(Games[[#This Row],[MOV]])+5)^0.6)/(12+0.01*(ABS(Games[[#This Row],[PreGmRate]]-Games[[#This Row],[OppPreGmRate]])))*IF(Games[[#This Row],[OT]]=1,0.9,1)</f>
        <v>0.35324912938408304</v>
      </c>
      <c r="X331" s="7" cm="1">
        <f t="array" ref="X33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1" s="9">
        <f>MAX(kmin, kmax - 0.15 * MIN(Games[[#This Row],[GamesPlayed]], 82))</f>
        <v>71.95</v>
      </c>
      <c r="Z331" s="4">
        <f>Games[[#This Row],[K]]*Games[[#This Row],[POMult]]</f>
        <v>71.95</v>
      </c>
      <c r="AA331" s="4">
        <f>(Games[[#This Row],[Keff]]*Games[[#This Row],[MOVMult]])*(Games[[#This Row],[Result]]-Games[[#This Row],[ExpectedWin%]])</f>
        <v>-19.392918384426967</v>
      </c>
      <c r="AB331" s="4">
        <f>Games[[#This Row],[PreGmRate]]+Games[[#This Row],[RatingChange]]</f>
        <v>1471.3545973205228</v>
      </c>
      <c r="AC331" s="2">
        <f>IF(Games[[#This Row],[Type]]="R",IF(Games[[#This Row],[Result]]&gt;0.5,1,0),0)</f>
        <v>0</v>
      </c>
      <c r="AD331" s="2">
        <f>IF(Games[[#This Row],[Type]]="R",IF(Games[[#This Row],[Result]]&lt;0.5,1,0),0)</f>
        <v>1</v>
      </c>
      <c r="AE331" s="2">
        <f>IF(AND(Games[[#This Row],[Type]]="P",Games[[#This Row],[Round]]=1),IF(Games[[#This Row],[Result]]&gt;0.5,1,0),0)</f>
        <v>0</v>
      </c>
      <c r="AF331" s="2">
        <f>IF(AND(Games[[#This Row],[Type]]="P",Games[[#This Row],[Round]]=1),IF(Games[[#This Row],[Result]]&lt;0.5,1,0),0)</f>
        <v>0</v>
      </c>
      <c r="AG331" s="2">
        <f>IF(AND(Games[[#This Row],[Type]]="P",Games[[#This Row],[Round]]=2),IF(Games[[#This Row],[Result]]&gt;0.5,1,0),0)</f>
        <v>0</v>
      </c>
      <c r="AH331" s="2">
        <f>IF(AND(Games[[#This Row],[Type]]="P",Games[[#This Row],[Round]]=2),IF(Games[[#This Row],[Result]]&lt;0.5,1,0),0)</f>
        <v>0</v>
      </c>
      <c r="AI331" s="2">
        <f>IF(AND(Games[[#This Row],[Type]]="P",Games[[#This Row],[Round]]=3),IF(Games[[#This Row],[Result]]&gt;0.5,1,0),0)</f>
        <v>0</v>
      </c>
      <c r="AJ331" s="2">
        <f>IF(AND(Games[[#This Row],[Type]]="P",Games[[#This Row],[Round]]=3),IF(Games[[#This Row],[Result]]&lt;0.5,1,0),0)</f>
        <v>0</v>
      </c>
      <c r="AK331" s="2">
        <f>IF(AND(Games[[#This Row],[Type]]="P",Games[[#This Row],[Round]]=4),IF(Games[[#This Row],[Result]]&gt;0.5,1,0),0)</f>
        <v>0</v>
      </c>
      <c r="AL331" s="2">
        <f>IF(AND(Games[[#This Row],[Type]]="P",Games[[#This Row],[Round]]=4),IF(Games[[#This Row],[Result]]&lt;0.5,1,0),0)</f>
        <v>0</v>
      </c>
    </row>
    <row r="332" spans="1:38" x14ac:dyDescent="0.35">
      <c r="A332" s="10">
        <v>45146</v>
      </c>
      <c r="B332" s="2">
        <v>2023</v>
      </c>
      <c r="C332" s="2">
        <f>COUNTIFS(Games[Team],Games[[#This Row],[Team]],Games[Season],Games[[#This Row],[Season]],Games[Date],"&lt;=" &amp; Games[[#This Row],[Date]])</f>
        <v>29</v>
      </c>
      <c r="D332" s="2" t="s">
        <v>79</v>
      </c>
      <c r="E332" s="2" t="s">
        <v>80</v>
      </c>
      <c r="F332" s="1" t="s">
        <v>67</v>
      </c>
      <c r="G332" s="1" t="s">
        <v>75</v>
      </c>
      <c r="H332" s="1" t="s">
        <v>81</v>
      </c>
      <c r="I332" s="2" cm="1">
        <f t="array" ref="I332">IFERROR(
    Games[[#This Row],[Date]]
    - LOOKUP(
        2,
        1/((Games[Team]=Games[[#This Row],[Team]]) * (Games[Date] &lt; Games[[#This Row],[Date]])),
        Games[Date]
    )
    - 1,
Games[[#This Row],[Date]]-$A$2)</f>
        <v>3</v>
      </c>
      <c r="J332" s="2" cm="1">
        <f t="array" ref="J3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2" s="2">
        <f>Games[[#This Row],[DaysOff]]-Games[[#This Row],[OppDaysOff]]</f>
        <v>2</v>
      </c>
      <c r="L332" s="2">
        <f>Games[[#This Row],[OppDaysOff]]-Games[[#This Row],[DaysOff]]</f>
        <v>-2</v>
      </c>
      <c r="M332" s="1">
        <f>MAX(-16, MIN(16, Games[[#This Row],[RestDiff]]*8))</f>
        <v>16</v>
      </c>
      <c r="N332" s="1">
        <f>MAX(-16, MIN(16, Games[[#This Row],[OppRestDiff]]*8))</f>
        <v>-16</v>
      </c>
      <c r="O332" s="4" cm="1">
        <f t="array" ref="O3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1467.2712022228384</v>
      </c>
      <c r="P332" s="4" cm="1">
        <f t="array" ref="P3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1487.7183404299917</v>
      </c>
      <c r="Q332" s="4">
        <f>1/(1+10^(((Games[[#This Row],[OppPreGmRate]]+IF(Games[[#This Row],[HomeAway]]="A",HCA,0)+Games[[#This Row],[OppRestAdj]])-(Games[[#This Row],[PreGmRate]]+IF(Games[[#This Row],[HomeAway]]="H",HCA,0)+Games[[#This Row],[RestAdj]]))/400))</f>
        <v>0.39722544794603842</v>
      </c>
      <c r="R332" s="1">
        <v>88</v>
      </c>
      <c r="S332" s="1">
        <v>79</v>
      </c>
      <c r="T332" s="1">
        <v>0</v>
      </c>
      <c r="U332" s="1">
        <f>Games[[#This Row],[PointsFor]]-Games[[#This Row],[PointsAgainst]]</f>
        <v>9</v>
      </c>
      <c r="V332" s="1">
        <f>IF(Games[[#This Row],[MOV]]&gt;0,1,IF(Games[[#This Row],[MOV]]=0,0.5,0))</f>
        <v>1</v>
      </c>
      <c r="W332" s="4">
        <f>((ABS(Games[[#This Row],[MOV]])+5)^0.6)/(12+0.01*(ABS(Games[[#This Row],[PreGmRate]]-Games[[#This Row],[OppPreGmRate]])))*IF(Games[[#This Row],[OT]]=1,0.9,1)</f>
        <v>0.3991699577356066</v>
      </c>
      <c r="X332" s="7" cm="1">
        <f t="array" ref="X33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2" s="9">
        <f>MAX(kmin, kmax - 0.15 * MIN(Games[[#This Row],[GamesPlayed]], 82))</f>
        <v>71.650000000000006</v>
      </c>
      <c r="Z332" s="4">
        <f>Games[[#This Row],[K]]*Games[[#This Row],[POMult]]</f>
        <v>71.650000000000006</v>
      </c>
      <c r="AA332" s="4">
        <f>(Games[[#This Row],[Keff]]*Games[[#This Row],[MOVMult]])*(Games[[#This Row],[Result]]-Games[[#This Row],[ExpectedWin%]])</f>
        <v>17.239670135294876</v>
      </c>
      <c r="AB332" s="4">
        <f>Games[[#This Row],[PreGmRate]]+Games[[#This Row],[RatingChange]]</f>
        <v>1484.5108723581332</v>
      </c>
      <c r="AC332" s="2">
        <f>IF(Games[[#This Row],[Type]]="R",IF(Games[[#This Row],[Result]]&gt;0.5,1,0),0)</f>
        <v>1</v>
      </c>
      <c r="AD332" s="2">
        <f>IF(Games[[#This Row],[Type]]="R",IF(Games[[#This Row],[Result]]&lt;0.5,1,0),0)</f>
        <v>0</v>
      </c>
      <c r="AE332" s="2">
        <f>IF(AND(Games[[#This Row],[Type]]="P",Games[[#This Row],[Round]]=1),IF(Games[[#This Row],[Result]]&gt;0.5,1,0),0)</f>
        <v>0</v>
      </c>
      <c r="AF332" s="2">
        <f>IF(AND(Games[[#This Row],[Type]]="P",Games[[#This Row],[Round]]=1),IF(Games[[#This Row],[Result]]&lt;0.5,1,0),0)</f>
        <v>0</v>
      </c>
      <c r="AG332" s="2">
        <f>IF(AND(Games[[#This Row],[Type]]="P",Games[[#This Row],[Round]]=2),IF(Games[[#This Row],[Result]]&gt;0.5,1,0),0)</f>
        <v>0</v>
      </c>
      <c r="AH332" s="2">
        <f>IF(AND(Games[[#This Row],[Type]]="P",Games[[#This Row],[Round]]=2),IF(Games[[#This Row],[Result]]&lt;0.5,1,0),0)</f>
        <v>0</v>
      </c>
      <c r="AI332" s="2">
        <f>IF(AND(Games[[#This Row],[Type]]="P",Games[[#This Row],[Round]]=3),IF(Games[[#This Row],[Result]]&gt;0.5,1,0),0)</f>
        <v>0</v>
      </c>
      <c r="AJ332" s="2">
        <f>IF(AND(Games[[#This Row],[Type]]="P",Games[[#This Row],[Round]]=3),IF(Games[[#This Row],[Result]]&lt;0.5,1,0),0)</f>
        <v>0</v>
      </c>
      <c r="AK332" s="2">
        <f>IF(AND(Games[[#This Row],[Type]]="P",Games[[#This Row],[Round]]=4),IF(Games[[#This Row],[Result]]&gt;0.5,1,0),0)</f>
        <v>0</v>
      </c>
      <c r="AL332" s="2">
        <f>IF(AND(Games[[#This Row],[Type]]="P",Games[[#This Row],[Round]]=4),IF(Games[[#This Row],[Result]]&lt;0.5,1,0),0)</f>
        <v>0</v>
      </c>
    </row>
    <row r="333" spans="1:38" x14ac:dyDescent="0.35">
      <c r="A333" s="10">
        <v>45146</v>
      </c>
      <c r="B333" s="2">
        <v>2023</v>
      </c>
      <c r="C333" s="2">
        <f>COUNTIFS(Games[Team],Games[[#This Row],[Team]],Games[Season],Games[[#This Row],[Season]],Games[Date],"&lt;=" &amp; Games[[#This Row],[Date]])</f>
        <v>28</v>
      </c>
      <c r="D333" s="2" t="s">
        <v>79</v>
      </c>
      <c r="E333" s="2" t="s">
        <v>80</v>
      </c>
      <c r="F333" s="1" t="s">
        <v>75</v>
      </c>
      <c r="G333" s="1" t="s">
        <v>67</v>
      </c>
      <c r="H333" s="1" t="s">
        <v>82</v>
      </c>
      <c r="I333" s="2" cm="1">
        <f t="array" ref="I3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3" s="2" cm="1">
        <f t="array" ref="J33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33" s="2">
        <f>Games[[#This Row],[DaysOff]]-Games[[#This Row],[OppDaysOff]]</f>
        <v>-2</v>
      </c>
      <c r="L333" s="2">
        <f>Games[[#This Row],[OppDaysOff]]-Games[[#This Row],[DaysOff]]</f>
        <v>2</v>
      </c>
      <c r="M333" s="1">
        <f>MAX(-16, MIN(16, Games[[#This Row],[RestDiff]]*8))</f>
        <v>-16</v>
      </c>
      <c r="N333" s="1">
        <f>MAX(-16, MIN(16, Games[[#This Row],[OppRestDiff]]*8))</f>
        <v>16</v>
      </c>
      <c r="O333" s="4" cm="1">
        <f t="array" ref="O3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1487.7183404299917</v>
      </c>
      <c r="P333" s="4" cm="1">
        <f t="array" ref="P3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1467.2712022228384</v>
      </c>
      <c r="Q333" s="4">
        <f>1/(1+10^(((Games[[#This Row],[OppPreGmRate]]+IF(Games[[#This Row],[HomeAway]]="A",HCA,0)+Games[[#This Row],[OppRestAdj]])-(Games[[#This Row],[PreGmRate]]+IF(Games[[#This Row],[HomeAway]]="H",HCA,0)+Games[[#This Row],[RestAdj]]))/400))</f>
        <v>0.60277455205396158</v>
      </c>
      <c r="R333" s="1">
        <v>79</v>
      </c>
      <c r="S333" s="1">
        <v>88</v>
      </c>
      <c r="T333" s="1">
        <v>0</v>
      </c>
      <c r="U333" s="1">
        <f>Games[[#This Row],[PointsFor]]-Games[[#This Row],[PointsAgainst]]</f>
        <v>-9</v>
      </c>
      <c r="V333" s="1">
        <f>IF(Games[[#This Row],[MOV]]&gt;0,1,IF(Games[[#This Row],[MOV]]=0,0.5,0))</f>
        <v>0</v>
      </c>
      <c r="W333" s="4">
        <f>((ABS(Games[[#This Row],[MOV]])+5)^0.6)/(12+0.01*(ABS(Games[[#This Row],[PreGmRate]]-Games[[#This Row],[OppPreGmRate]])))*IF(Games[[#This Row],[OT]]=1,0.9,1)</f>
        <v>0.3991699577356066</v>
      </c>
      <c r="X333" s="7" cm="1">
        <f t="array" ref="X33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3" s="9">
        <f>MAX(kmin, kmax - 0.15 * MIN(Games[[#This Row],[GamesPlayed]], 82))</f>
        <v>71.8</v>
      </c>
      <c r="Z333" s="4">
        <f>Games[[#This Row],[K]]*Games[[#This Row],[POMult]]</f>
        <v>71.8</v>
      </c>
      <c r="AA333" s="4">
        <f>(Games[[#This Row],[Keff]]*Games[[#This Row],[MOVMult]])*(Games[[#This Row],[Result]]-Games[[#This Row],[ExpectedWin%]])</f>
        <v>-17.275761559164994</v>
      </c>
      <c r="AB333" s="4">
        <f>Games[[#This Row],[PreGmRate]]+Games[[#This Row],[RatingChange]]</f>
        <v>1470.4425788708268</v>
      </c>
      <c r="AC333" s="2">
        <f>IF(Games[[#This Row],[Type]]="R",IF(Games[[#This Row],[Result]]&gt;0.5,1,0),0)</f>
        <v>0</v>
      </c>
      <c r="AD333" s="2">
        <f>IF(Games[[#This Row],[Type]]="R",IF(Games[[#This Row],[Result]]&lt;0.5,1,0),0)</f>
        <v>1</v>
      </c>
      <c r="AE333" s="2">
        <f>IF(AND(Games[[#This Row],[Type]]="P",Games[[#This Row],[Round]]=1),IF(Games[[#This Row],[Result]]&gt;0.5,1,0),0)</f>
        <v>0</v>
      </c>
      <c r="AF333" s="2">
        <f>IF(AND(Games[[#This Row],[Type]]="P",Games[[#This Row],[Round]]=1),IF(Games[[#This Row],[Result]]&lt;0.5,1,0),0)</f>
        <v>0</v>
      </c>
      <c r="AG333" s="2">
        <f>IF(AND(Games[[#This Row],[Type]]="P",Games[[#This Row],[Round]]=2),IF(Games[[#This Row],[Result]]&gt;0.5,1,0),0)</f>
        <v>0</v>
      </c>
      <c r="AH333" s="2">
        <f>IF(AND(Games[[#This Row],[Type]]="P",Games[[#This Row],[Round]]=2),IF(Games[[#This Row],[Result]]&lt;0.5,1,0),0)</f>
        <v>0</v>
      </c>
      <c r="AI333" s="2">
        <f>IF(AND(Games[[#This Row],[Type]]="P",Games[[#This Row],[Round]]=3),IF(Games[[#This Row],[Result]]&gt;0.5,1,0),0)</f>
        <v>0</v>
      </c>
      <c r="AJ333" s="2">
        <f>IF(AND(Games[[#This Row],[Type]]="P",Games[[#This Row],[Round]]=3),IF(Games[[#This Row],[Result]]&lt;0.5,1,0),0)</f>
        <v>0</v>
      </c>
      <c r="AK333" s="2">
        <f>IF(AND(Games[[#This Row],[Type]]="P",Games[[#This Row],[Round]]=4),IF(Games[[#This Row],[Result]]&gt;0.5,1,0),0)</f>
        <v>0</v>
      </c>
      <c r="AL333" s="2">
        <f>IF(AND(Games[[#This Row],[Type]]="P",Games[[#This Row],[Round]]=4),IF(Games[[#This Row],[Result]]&lt;0.5,1,0),0)</f>
        <v>0</v>
      </c>
    </row>
    <row r="334" spans="1:38" x14ac:dyDescent="0.35">
      <c r="A334" s="10">
        <v>45146</v>
      </c>
      <c r="B334" s="2">
        <v>2023</v>
      </c>
      <c r="C334" s="2">
        <f>COUNTIFS(Games[Team],Games[[#This Row],[Team]],Games[Season],Games[[#This Row],[Season]],Games[Date],"&lt;=" &amp; Games[[#This Row],[Date]])</f>
        <v>28</v>
      </c>
      <c r="D334" s="2" t="s">
        <v>79</v>
      </c>
      <c r="E334" s="2" t="s">
        <v>80</v>
      </c>
      <c r="F334" s="1" t="s">
        <v>86</v>
      </c>
      <c r="G334" s="1" t="s">
        <v>85</v>
      </c>
      <c r="H334" s="1" t="s">
        <v>81</v>
      </c>
      <c r="I334" s="2" cm="1">
        <f t="array" ref="I3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4" s="2" cm="1">
        <f t="array" ref="J3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4" s="2">
        <f>Games[[#This Row],[DaysOff]]-Games[[#This Row],[OppDaysOff]]</f>
        <v>0</v>
      </c>
      <c r="L334" s="2">
        <f>Games[[#This Row],[OppDaysOff]]-Games[[#This Row],[DaysOff]]</f>
        <v>0</v>
      </c>
      <c r="M334" s="1">
        <f>MAX(-16, MIN(16, Games[[#This Row],[RestDiff]]*8))</f>
        <v>0</v>
      </c>
      <c r="N334" s="1">
        <f>MAX(-16, MIN(16, Games[[#This Row],[OppRestDiff]]*8))</f>
        <v>0</v>
      </c>
      <c r="O334" s="4" cm="1">
        <f t="array" ref="O3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1731.3435305365131</v>
      </c>
      <c r="P334" s="4" cm="1">
        <f t="array" ref="P3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1535.481714426013</v>
      </c>
      <c r="Q334" s="4">
        <f>1/(1+10^(((Games[[#This Row],[OppPreGmRate]]+IF(Games[[#This Row],[HomeAway]]="A",HCA,0)+Games[[#This Row],[OppRestAdj]])-(Games[[#This Row],[PreGmRate]]+IF(Games[[#This Row],[HomeAway]]="H",HCA,0)+Games[[#This Row],[RestAdj]]))/400))</f>
        <v>0.65564093462179107</v>
      </c>
      <c r="R334" s="1">
        <v>104</v>
      </c>
      <c r="S334" s="1">
        <v>84</v>
      </c>
      <c r="T334" s="1">
        <v>0</v>
      </c>
      <c r="U334" s="1">
        <f>Games[[#This Row],[PointsFor]]-Games[[#This Row],[PointsAgainst]]</f>
        <v>20</v>
      </c>
      <c r="V334" s="1">
        <f>IF(Games[[#This Row],[MOV]]&gt;0,1,IF(Games[[#This Row],[MOV]]=0,0.5,0))</f>
        <v>1</v>
      </c>
      <c r="W334" s="4">
        <f>((ABS(Games[[#This Row],[MOV]])+5)^0.6)/(12+0.01*(ABS(Games[[#This Row],[PreGmRate]]-Games[[#This Row],[OppPreGmRate]])))*IF(Games[[#This Row],[OT]]=1,0.9,1)</f>
        <v>0.4942214356524785</v>
      </c>
      <c r="X334" s="7" cm="1">
        <f t="array" ref="X33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4" s="9">
        <f>MAX(kmin, kmax - 0.15 * MIN(Games[[#This Row],[GamesPlayed]], 82))</f>
        <v>71.8</v>
      </c>
      <c r="Z334" s="4">
        <f>Games[[#This Row],[K]]*Games[[#This Row],[POMult]]</f>
        <v>71.8</v>
      </c>
      <c r="AA334" s="4">
        <f>(Games[[#This Row],[Keff]]*Games[[#This Row],[MOVMult]])*(Games[[#This Row],[Result]]-Games[[#This Row],[ExpectedWin%]])</f>
        <v>12.219615553989584</v>
      </c>
      <c r="AB334" s="4">
        <f>Games[[#This Row],[PreGmRate]]+Games[[#This Row],[RatingChange]]</f>
        <v>1743.5631460905026</v>
      </c>
      <c r="AC334" s="2">
        <f>IF(Games[[#This Row],[Type]]="R",IF(Games[[#This Row],[Result]]&gt;0.5,1,0),0)</f>
        <v>1</v>
      </c>
      <c r="AD334" s="2">
        <f>IF(Games[[#This Row],[Type]]="R",IF(Games[[#This Row],[Result]]&lt;0.5,1,0),0)</f>
        <v>0</v>
      </c>
      <c r="AE334" s="2">
        <f>IF(AND(Games[[#This Row],[Type]]="P",Games[[#This Row],[Round]]=1),IF(Games[[#This Row],[Result]]&gt;0.5,1,0),0)</f>
        <v>0</v>
      </c>
      <c r="AF334" s="2">
        <f>IF(AND(Games[[#This Row],[Type]]="P",Games[[#This Row],[Round]]=1),IF(Games[[#This Row],[Result]]&lt;0.5,1,0),0)</f>
        <v>0</v>
      </c>
      <c r="AG334" s="2">
        <f>IF(AND(Games[[#This Row],[Type]]="P",Games[[#This Row],[Round]]=2),IF(Games[[#This Row],[Result]]&gt;0.5,1,0),0)</f>
        <v>0</v>
      </c>
      <c r="AH334" s="2">
        <f>IF(AND(Games[[#This Row],[Type]]="P",Games[[#This Row],[Round]]=2),IF(Games[[#This Row],[Result]]&lt;0.5,1,0),0)</f>
        <v>0</v>
      </c>
      <c r="AI334" s="2">
        <f>IF(AND(Games[[#This Row],[Type]]="P",Games[[#This Row],[Round]]=3),IF(Games[[#This Row],[Result]]&gt;0.5,1,0),0)</f>
        <v>0</v>
      </c>
      <c r="AJ334" s="2">
        <f>IF(AND(Games[[#This Row],[Type]]="P",Games[[#This Row],[Round]]=3),IF(Games[[#This Row],[Result]]&lt;0.5,1,0),0)</f>
        <v>0</v>
      </c>
      <c r="AK334" s="2">
        <f>IF(AND(Games[[#This Row],[Type]]="P",Games[[#This Row],[Round]]=4),IF(Games[[#This Row],[Result]]&gt;0.5,1,0),0)</f>
        <v>0</v>
      </c>
      <c r="AL334" s="2">
        <f>IF(AND(Games[[#This Row],[Type]]="P",Games[[#This Row],[Round]]=4),IF(Games[[#This Row],[Result]]&lt;0.5,1,0),0)</f>
        <v>0</v>
      </c>
    </row>
    <row r="335" spans="1:38" x14ac:dyDescent="0.35">
      <c r="A335" s="10">
        <v>45146</v>
      </c>
      <c r="B335" s="2">
        <v>2023</v>
      </c>
      <c r="C335" s="2">
        <f>COUNTIFS(Games[Team],Games[[#This Row],[Team]],Games[Season],Games[[#This Row],[Season]],Games[Date],"&lt;=" &amp; Games[[#This Row],[Date]])</f>
        <v>29</v>
      </c>
      <c r="D335" s="2" t="s">
        <v>79</v>
      </c>
      <c r="E335" s="2" t="s">
        <v>80</v>
      </c>
      <c r="F335" s="1" t="s">
        <v>85</v>
      </c>
      <c r="G335" s="1" t="s">
        <v>86</v>
      </c>
      <c r="H335" s="1" t="s">
        <v>82</v>
      </c>
      <c r="I335" s="2" cm="1">
        <f t="array" ref="I3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5" s="2" cm="1">
        <f t="array" ref="J3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5" s="2">
        <f>Games[[#This Row],[DaysOff]]-Games[[#This Row],[OppDaysOff]]</f>
        <v>0</v>
      </c>
      <c r="L335" s="2">
        <f>Games[[#This Row],[OppDaysOff]]-Games[[#This Row],[DaysOff]]</f>
        <v>0</v>
      </c>
      <c r="M335" s="1">
        <f>MAX(-16, MIN(16, Games[[#This Row],[RestDiff]]*8))</f>
        <v>0</v>
      </c>
      <c r="N335" s="1">
        <f>MAX(-16, MIN(16, Games[[#This Row],[OppRestDiff]]*8))</f>
        <v>0</v>
      </c>
      <c r="O335" s="4" cm="1">
        <f t="array" ref="O3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1535.481714426013</v>
      </c>
      <c r="P335" s="4" cm="1">
        <f t="array" ref="P3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1731.3435305365131</v>
      </c>
      <c r="Q335" s="4">
        <f>1/(1+10^(((Games[[#This Row],[OppPreGmRate]]+IF(Games[[#This Row],[HomeAway]]="A",HCA,0)+Games[[#This Row],[OppRestAdj]])-(Games[[#This Row],[PreGmRate]]+IF(Games[[#This Row],[HomeAway]]="H",HCA,0)+Games[[#This Row],[RestAdj]]))/400))</f>
        <v>0.34435906537820887</v>
      </c>
      <c r="R335" s="1">
        <v>84</v>
      </c>
      <c r="S335" s="1">
        <v>104</v>
      </c>
      <c r="T335" s="1">
        <v>0</v>
      </c>
      <c r="U335" s="1">
        <f>Games[[#This Row],[PointsFor]]-Games[[#This Row],[PointsAgainst]]</f>
        <v>-20</v>
      </c>
      <c r="V335" s="1">
        <f>IF(Games[[#This Row],[MOV]]&gt;0,1,IF(Games[[#This Row],[MOV]]=0,0.5,0))</f>
        <v>0</v>
      </c>
      <c r="W335" s="4">
        <f>((ABS(Games[[#This Row],[MOV]])+5)^0.6)/(12+0.01*(ABS(Games[[#This Row],[PreGmRate]]-Games[[#This Row],[OppPreGmRate]])))*IF(Games[[#This Row],[OT]]=1,0.9,1)</f>
        <v>0.4942214356524785</v>
      </c>
      <c r="X335" s="7" cm="1">
        <f t="array" ref="X33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5" s="9">
        <f>MAX(kmin, kmax - 0.15 * MIN(Games[[#This Row],[GamesPlayed]], 82))</f>
        <v>71.650000000000006</v>
      </c>
      <c r="Z335" s="4">
        <f>Games[[#This Row],[K]]*Games[[#This Row],[POMult]]</f>
        <v>71.650000000000006</v>
      </c>
      <c r="AA335" s="4">
        <f>(Games[[#This Row],[Keff]]*Games[[#This Row],[MOVMult]])*(Games[[#This Row],[Result]]-Games[[#This Row],[ExpectedWin%]])</f>
        <v>-12.194087109238907</v>
      </c>
      <c r="AB335" s="4">
        <f>Games[[#This Row],[PreGmRate]]+Games[[#This Row],[RatingChange]]</f>
        <v>1523.2876273167742</v>
      </c>
      <c r="AC335" s="2">
        <f>IF(Games[[#This Row],[Type]]="R",IF(Games[[#This Row],[Result]]&gt;0.5,1,0),0)</f>
        <v>0</v>
      </c>
      <c r="AD335" s="2">
        <f>IF(Games[[#This Row],[Type]]="R",IF(Games[[#This Row],[Result]]&lt;0.5,1,0),0)</f>
        <v>1</v>
      </c>
      <c r="AE335" s="2">
        <f>IF(AND(Games[[#This Row],[Type]]="P",Games[[#This Row],[Round]]=1),IF(Games[[#This Row],[Result]]&gt;0.5,1,0),0)</f>
        <v>0</v>
      </c>
      <c r="AF335" s="2">
        <f>IF(AND(Games[[#This Row],[Type]]="P",Games[[#This Row],[Round]]=1),IF(Games[[#This Row],[Result]]&lt;0.5,1,0),0)</f>
        <v>0</v>
      </c>
      <c r="AG335" s="2">
        <f>IF(AND(Games[[#This Row],[Type]]="P",Games[[#This Row],[Round]]=2),IF(Games[[#This Row],[Result]]&gt;0.5,1,0),0)</f>
        <v>0</v>
      </c>
      <c r="AH335" s="2">
        <f>IF(AND(Games[[#This Row],[Type]]="P",Games[[#This Row],[Round]]=2),IF(Games[[#This Row],[Result]]&lt;0.5,1,0),0)</f>
        <v>0</v>
      </c>
      <c r="AI335" s="2">
        <f>IF(AND(Games[[#This Row],[Type]]="P",Games[[#This Row],[Round]]=3),IF(Games[[#This Row],[Result]]&gt;0.5,1,0),0)</f>
        <v>0</v>
      </c>
      <c r="AJ335" s="2">
        <f>IF(AND(Games[[#This Row],[Type]]="P",Games[[#This Row],[Round]]=3),IF(Games[[#This Row],[Result]]&lt;0.5,1,0),0)</f>
        <v>0</v>
      </c>
      <c r="AK335" s="2">
        <f>IF(AND(Games[[#This Row],[Type]]="P",Games[[#This Row],[Round]]=4),IF(Games[[#This Row],[Result]]&gt;0.5,1,0),0)</f>
        <v>0</v>
      </c>
      <c r="AL335" s="2">
        <f>IF(AND(Games[[#This Row],[Type]]="P",Games[[#This Row],[Round]]=4),IF(Games[[#This Row],[Result]]&lt;0.5,1,0),0)</f>
        <v>0</v>
      </c>
    </row>
    <row r="336" spans="1:38" x14ac:dyDescent="0.35">
      <c r="A336" s="10">
        <v>45146</v>
      </c>
      <c r="B336" s="2">
        <v>2023</v>
      </c>
      <c r="C336" s="2">
        <f>COUNTIFS(Games[Team],Games[[#This Row],[Team]],Games[Season],Games[[#This Row],[Season]],Games[Date],"&lt;=" &amp; Games[[#This Row],[Date]])</f>
        <v>29</v>
      </c>
      <c r="D336" s="2" t="s">
        <v>79</v>
      </c>
      <c r="E336" s="2" t="s">
        <v>80</v>
      </c>
      <c r="F336" s="1" t="s">
        <v>63</v>
      </c>
      <c r="G336" s="1" t="s">
        <v>69</v>
      </c>
      <c r="H336" s="1" t="s">
        <v>81</v>
      </c>
      <c r="I336" s="2" cm="1">
        <f t="array" ref="I3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6" s="2" cm="1">
        <f t="array" ref="J3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6" s="2">
        <f>Games[[#This Row],[DaysOff]]-Games[[#This Row],[OppDaysOff]]</f>
        <v>0</v>
      </c>
      <c r="L336" s="2">
        <f>Games[[#This Row],[OppDaysOff]]-Games[[#This Row],[DaysOff]]</f>
        <v>0</v>
      </c>
      <c r="M336" s="1">
        <f>MAX(-16, MIN(16, Games[[#This Row],[RestDiff]]*8))</f>
        <v>0</v>
      </c>
      <c r="N336" s="1">
        <f>MAX(-16, MIN(16, Games[[#This Row],[OppRestDiff]]*8))</f>
        <v>0</v>
      </c>
      <c r="O336" s="4" cm="1">
        <f t="array" ref="O3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1390.978162763309</v>
      </c>
      <c r="P336" s="4" cm="1">
        <f t="array" ref="P3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1315.7198398868909</v>
      </c>
      <c r="Q336" s="4">
        <f>1/(1+10^(((Games[[#This Row],[OppPreGmRate]]+IF(Games[[#This Row],[HomeAway]]="A",HCA,0)+Games[[#This Row],[OppRestAdj]])-(Games[[#This Row],[PreGmRate]]+IF(Games[[#This Row],[HomeAway]]="H",HCA,0)+Games[[#This Row],[RestAdj]]))/400))</f>
        <v>0.48742236935016481</v>
      </c>
      <c r="R336" s="1">
        <v>87</v>
      </c>
      <c r="S336" s="1">
        <v>80</v>
      </c>
      <c r="T336" s="1">
        <v>0</v>
      </c>
      <c r="U336" s="1">
        <f>Games[[#This Row],[PointsFor]]-Games[[#This Row],[PointsAgainst]]</f>
        <v>7</v>
      </c>
      <c r="V336" s="1">
        <f>IF(Games[[#This Row],[MOV]]&gt;0,1,IF(Games[[#This Row],[MOV]]=0,0.5,0))</f>
        <v>1</v>
      </c>
      <c r="W336" s="4">
        <f>((ABS(Games[[#This Row],[MOV]])+5)^0.6)/(12+0.01*(ABS(Games[[#This Row],[PreGmRate]]-Games[[#This Row],[OppPreGmRate]])))*IF(Games[[#This Row],[OT]]=1,0.9,1)</f>
        <v>0.34826560157853081</v>
      </c>
      <c r="X336" s="7" cm="1">
        <f t="array" ref="X33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6" s="9">
        <f>MAX(kmin, kmax - 0.15 * MIN(Games[[#This Row],[GamesPlayed]], 82))</f>
        <v>71.650000000000006</v>
      </c>
      <c r="Z336" s="4">
        <f>Games[[#This Row],[K]]*Games[[#This Row],[POMult]]</f>
        <v>71.650000000000006</v>
      </c>
      <c r="AA336" s="4">
        <f>(Games[[#This Row],[Keff]]*Games[[#This Row],[MOVMult]])*(Games[[#This Row],[Result]]-Games[[#This Row],[ExpectedWin%]])</f>
        <v>12.790467691452438</v>
      </c>
      <c r="AB336" s="4">
        <f>Games[[#This Row],[PreGmRate]]+Games[[#This Row],[RatingChange]]</f>
        <v>1403.7686304547615</v>
      </c>
      <c r="AC336" s="2">
        <f>IF(Games[[#This Row],[Type]]="R",IF(Games[[#This Row],[Result]]&gt;0.5,1,0),0)</f>
        <v>1</v>
      </c>
      <c r="AD336" s="2">
        <f>IF(Games[[#This Row],[Type]]="R",IF(Games[[#This Row],[Result]]&lt;0.5,1,0),0)</f>
        <v>0</v>
      </c>
      <c r="AE336" s="2">
        <f>IF(AND(Games[[#This Row],[Type]]="P",Games[[#This Row],[Round]]=1),IF(Games[[#This Row],[Result]]&gt;0.5,1,0),0)</f>
        <v>0</v>
      </c>
      <c r="AF336" s="2">
        <f>IF(AND(Games[[#This Row],[Type]]="P",Games[[#This Row],[Round]]=1),IF(Games[[#This Row],[Result]]&lt;0.5,1,0),0)</f>
        <v>0</v>
      </c>
      <c r="AG336" s="2">
        <f>IF(AND(Games[[#This Row],[Type]]="P",Games[[#This Row],[Round]]=2),IF(Games[[#This Row],[Result]]&gt;0.5,1,0),0)</f>
        <v>0</v>
      </c>
      <c r="AH336" s="2">
        <f>IF(AND(Games[[#This Row],[Type]]="P",Games[[#This Row],[Round]]=2),IF(Games[[#This Row],[Result]]&lt;0.5,1,0),0)</f>
        <v>0</v>
      </c>
      <c r="AI336" s="2">
        <f>IF(AND(Games[[#This Row],[Type]]="P",Games[[#This Row],[Round]]=3),IF(Games[[#This Row],[Result]]&gt;0.5,1,0),0)</f>
        <v>0</v>
      </c>
      <c r="AJ336" s="2">
        <f>IF(AND(Games[[#This Row],[Type]]="P",Games[[#This Row],[Round]]=3),IF(Games[[#This Row],[Result]]&lt;0.5,1,0),0)</f>
        <v>0</v>
      </c>
      <c r="AK336" s="2">
        <f>IF(AND(Games[[#This Row],[Type]]="P",Games[[#This Row],[Round]]=4),IF(Games[[#This Row],[Result]]&gt;0.5,1,0),0)</f>
        <v>0</v>
      </c>
      <c r="AL336" s="2">
        <f>IF(AND(Games[[#This Row],[Type]]="P",Games[[#This Row],[Round]]=4),IF(Games[[#This Row],[Result]]&lt;0.5,1,0),0)</f>
        <v>0</v>
      </c>
    </row>
    <row r="337" spans="1:38" x14ac:dyDescent="0.35">
      <c r="A337" s="10">
        <v>45146</v>
      </c>
      <c r="B337" s="2">
        <v>2023</v>
      </c>
      <c r="C337" s="2">
        <f>COUNTIFS(Games[Team],Games[[#This Row],[Team]],Games[Season],Games[[#This Row],[Season]],Games[Date],"&lt;=" &amp; Games[[#This Row],[Date]])</f>
        <v>29</v>
      </c>
      <c r="D337" s="2" t="s">
        <v>79</v>
      </c>
      <c r="E337" s="2" t="s">
        <v>80</v>
      </c>
      <c r="F337" s="1" t="s">
        <v>69</v>
      </c>
      <c r="G337" s="1" t="s">
        <v>63</v>
      </c>
      <c r="H337" s="1" t="s">
        <v>82</v>
      </c>
      <c r="I337" s="2" cm="1">
        <f t="array" ref="I3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7" s="2" cm="1">
        <f t="array" ref="J3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7" s="2">
        <f>Games[[#This Row],[DaysOff]]-Games[[#This Row],[OppDaysOff]]</f>
        <v>0</v>
      </c>
      <c r="L337" s="2">
        <f>Games[[#This Row],[OppDaysOff]]-Games[[#This Row],[DaysOff]]</f>
        <v>0</v>
      </c>
      <c r="M337" s="1">
        <f>MAX(-16, MIN(16, Games[[#This Row],[RestDiff]]*8))</f>
        <v>0</v>
      </c>
      <c r="N337" s="1">
        <f>MAX(-16, MIN(16, Games[[#This Row],[OppRestDiff]]*8))</f>
        <v>0</v>
      </c>
      <c r="O337" s="4" cm="1">
        <f t="array" ref="O3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1315.7198398868909</v>
      </c>
      <c r="P337" s="4" cm="1">
        <f t="array" ref="P3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1390.978162763309</v>
      </c>
      <c r="Q337" s="4">
        <f>1/(1+10^(((Games[[#This Row],[OppPreGmRate]]+IF(Games[[#This Row],[HomeAway]]="A",HCA,0)+Games[[#This Row],[OppRestAdj]])-(Games[[#This Row],[PreGmRate]]+IF(Games[[#This Row],[HomeAway]]="H",HCA,0)+Games[[#This Row],[RestAdj]]))/400))</f>
        <v>0.51257763064983519</v>
      </c>
      <c r="R337" s="1">
        <v>80</v>
      </c>
      <c r="S337" s="1">
        <v>87</v>
      </c>
      <c r="T337" s="1">
        <v>0</v>
      </c>
      <c r="U337" s="1">
        <f>Games[[#This Row],[PointsFor]]-Games[[#This Row],[PointsAgainst]]</f>
        <v>-7</v>
      </c>
      <c r="V337" s="1">
        <f>IF(Games[[#This Row],[MOV]]&gt;0,1,IF(Games[[#This Row],[MOV]]=0,0.5,0))</f>
        <v>0</v>
      </c>
      <c r="W337" s="4">
        <f>((ABS(Games[[#This Row],[MOV]])+5)^0.6)/(12+0.01*(ABS(Games[[#This Row],[PreGmRate]]-Games[[#This Row],[OppPreGmRate]])))*IF(Games[[#This Row],[OT]]=1,0.9,1)</f>
        <v>0.34826560157853081</v>
      </c>
      <c r="X337" s="7" cm="1">
        <f t="array" ref="X33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7" s="9">
        <f>MAX(kmin, kmax - 0.15 * MIN(Games[[#This Row],[GamesPlayed]], 82))</f>
        <v>71.650000000000006</v>
      </c>
      <c r="Z337" s="4">
        <f>Games[[#This Row],[K]]*Games[[#This Row],[POMult]]</f>
        <v>71.650000000000006</v>
      </c>
      <c r="AA337" s="4">
        <f>(Games[[#This Row],[Keff]]*Games[[#This Row],[MOVMult]])*(Games[[#This Row],[Result]]-Games[[#This Row],[ExpectedWin%]])</f>
        <v>-12.790467691452438</v>
      </c>
      <c r="AB337" s="4">
        <f>Games[[#This Row],[PreGmRate]]+Games[[#This Row],[RatingChange]]</f>
        <v>1302.9293721954384</v>
      </c>
      <c r="AC337" s="2">
        <f>IF(Games[[#This Row],[Type]]="R",IF(Games[[#This Row],[Result]]&gt;0.5,1,0),0)</f>
        <v>0</v>
      </c>
      <c r="AD337" s="2">
        <f>IF(Games[[#This Row],[Type]]="R",IF(Games[[#This Row],[Result]]&lt;0.5,1,0),0)</f>
        <v>1</v>
      </c>
      <c r="AE337" s="2">
        <f>IF(AND(Games[[#This Row],[Type]]="P",Games[[#This Row],[Round]]=1),IF(Games[[#This Row],[Result]]&gt;0.5,1,0),0)</f>
        <v>0</v>
      </c>
      <c r="AF337" s="2">
        <f>IF(AND(Games[[#This Row],[Type]]="P",Games[[#This Row],[Round]]=1),IF(Games[[#This Row],[Result]]&lt;0.5,1,0),0)</f>
        <v>0</v>
      </c>
      <c r="AG337" s="2">
        <f>IF(AND(Games[[#This Row],[Type]]="P",Games[[#This Row],[Round]]=2),IF(Games[[#This Row],[Result]]&gt;0.5,1,0),0)</f>
        <v>0</v>
      </c>
      <c r="AH337" s="2">
        <f>IF(AND(Games[[#This Row],[Type]]="P",Games[[#This Row],[Round]]=2),IF(Games[[#This Row],[Result]]&lt;0.5,1,0),0)</f>
        <v>0</v>
      </c>
      <c r="AI337" s="2">
        <f>IF(AND(Games[[#This Row],[Type]]="P",Games[[#This Row],[Round]]=3),IF(Games[[#This Row],[Result]]&gt;0.5,1,0),0)</f>
        <v>0</v>
      </c>
      <c r="AJ337" s="2">
        <f>IF(AND(Games[[#This Row],[Type]]="P",Games[[#This Row],[Round]]=3),IF(Games[[#This Row],[Result]]&lt;0.5,1,0),0)</f>
        <v>0</v>
      </c>
      <c r="AK337" s="2">
        <f>IF(AND(Games[[#This Row],[Type]]="P",Games[[#This Row],[Round]]=4),IF(Games[[#This Row],[Result]]&gt;0.5,1,0),0)</f>
        <v>0</v>
      </c>
      <c r="AL337" s="2">
        <f>IF(AND(Games[[#This Row],[Type]]="P",Games[[#This Row],[Round]]=4),IF(Games[[#This Row],[Result]]&lt;0.5,1,0),0)</f>
        <v>0</v>
      </c>
    </row>
    <row r="338" spans="1:38" x14ac:dyDescent="0.35">
      <c r="A338" s="10">
        <v>45146</v>
      </c>
      <c r="B338" s="2">
        <v>2023</v>
      </c>
      <c r="C338" s="2">
        <f>COUNTIFS(Games[Team],Games[[#This Row],[Team]],Games[Season],Games[[#This Row],[Season]],Games[Date],"&lt;=" &amp; Games[[#This Row],[Date]])</f>
        <v>28</v>
      </c>
      <c r="D338" s="2" t="s">
        <v>79</v>
      </c>
      <c r="E338" s="2" t="s">
        <v>80</v>
      </c>
      <c r="F338" s="1" t="s">
        <v>65</v>
      </c>
      <c r="G338" s="1" t="s">
        <v>40</v>
      </c>
      <c r="H338" s="1" t="s">
        <v>81</v>
      </c>
      <c r="I338" s="2" cm="1">
        <f t="array" ref="I3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8" s="2" cm="1">
        <f t="array" ref="J3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8" s="2">
        <f>Games[[#This Row],[DaysOff]]-Games[[#This Row],[OppDaysOff]]</f>
        <v>-1</v>
      </c>
      <c r="L338" s="2">
        <f>Games[[#This Row],[OppDaysOff]]-Games[[#This Row],[DaysOff]]</f>
        <v>1</v>
      </c>
      <c r="M338" s="1">
        <f>MAX(-16, MIN(16, Games[[#This Row],[RestDiff]]*8))</f>
        <v>-8</v>
      </c>
      <c r="N338" s="1">
        <f>MAX(-16, MIN(16, Games[[#This Row],[OppRestDiff]]*8))</f>
        <v>8</v>
      </c>
      <c r="O338" s="4" cm="1">
        <f t="array" ref="O3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1471.3545973205228</v>
      </c>
      <c r="P338" s="4" cm="1">
        <f t="array" ref="P3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1365.7786804268324</v>
      </c>
      <c r="Q338" s="4">
        <f>1/(1+10^(((Games[[#This Row],[OppPreGmRate]]+IF(Games[[#This Row],[HomeAway]]="A",HCA,0)+Games[[#This Row],[OppRestAdj]])-(Games[[#This Row],[PreGmRate]]+IF(Games[[#This Row],[HomeAway]]="H",HCA,0)+Games[[#This Row],[RestAdj]]))/400))</f>
        <v>0.50802370059104041</v>
      </c>
      <c r="R338" s="1">
        <v>72</v>
      </c>
      <c r="S338" s="1">
        <v>91</v>
      </c>
      <c r="T338" s="1">
        <v>0</v>
      </c>
      <c r="U338" s="1">
        <f>Games[[#This Row],[PointsFor]]-Games[[#This Row],[PointsAgainst]]</f>
        <v>-19</v>
      </c>
      <c r="V338" s="1">
        <f>IF(Games[[#This Row],[MOV]]&gt;0,1,IF(Games[[#This Row],[MOV]]=0,0.5,0))</f>
        <v>0</v>
      </c>
      <c r="W338" s="4">
        <f>((ABS(Games[[#This Row],[MOV]])+5)^0.6)/(12+0.01*(ABS(Games[[#This Row],[PreGmRate]]-Games[[#This Row],[OppPreGmRate]])))*IF(Games[[#This Row],[OT]]=1,0.9,1)</f>
        <v>0.5156138977114223</v>
      </c>
      <c r="X338" s="7" cm="1">
        <f t="array" ref="X33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8" s="9">
        <f>MAX(kmin, kmax - 0.15 * MIN(Games[[#This Row],[GamesPlayed]], 82))</f>
        <v>71.8</v>
      </c>
      <c r="Z338" s="4">
        <f>Games[[#This Row],[K]]*Games[[#This Row],[POMult]]</f>
        <v>71.8</v>
      </c>
      <c r="AA338" s="4">
        <f>(Games[[#This Row],[Keff]]*Games[[#This Row],[MOVMult]])*(Games[[#This Row],[Result]]-Games[[#This Row],[ExpectedWin%]])</f>
        <v>-18.807584972111634</v>
      </c>
      <c r="AB338" s="4">
        <f>Games[[#This Row],[PreGmRate]]+Games[[#This Row],[RatingChange]]</f>
        <v>1452.547012348411</v>
      </c>
      <c r="AC338" s="2">
        <f>IF(Games[[#This Row],[Type]]="R",IF(Games[[#This Row],[Result]]&gt;0.5,1,0),0)</f>
        <v>0</v>
      </c>
      <c r="AD338" s="2">
        <f>IF(Games[[#This Row],[Type]]="R",IF(Games[[#This Row],[Result]]&lt;0.5,1,0),0)</f>
        <v>1</v>
      </c>
      <c r="AE338" s="2">
        <f>IF(AND(Games[[#This Row],[Type]]="P",Games[[#This Row],[Round]]=1),IF(Games[[#This Row],[Result]]&gt;0.5,1,0),0)</f>
        <v>0</v>
      </c>
      <c r="AF338" s="2">
        <f>IF(AND(Games[[#This Row],[Type]]="P",Games[[#This Row],[Round]]=1),IF(Games[[#This Row],[Result]]&lt;0.5,1,0),0)</f>
        <v>0</v>
      </c>
      <c r="AG338" s="2">
        <f>IF(AND(Games[[#This Row],[Type]]="P",Games[[#This Row],[Round]]=2),IF(Games[[#This Row],[Result]]&gt;0.5,1,0),0)</f>
        <v>0</v>
      </c>
      <c r="AH338" s="2">
        <f>IF(AND(Games[[#This Row],[Type]]="P",Games[[#This Row],[Round]]=2),IF(Games[[#This Row],[Result]]&lt;0.5,1,0),0)</f>
        <v>0</v>
      </c>
      <c r="AI338" s="2">
        <f>IF(AND(Games[[#This Row],[Type]]="P",Games[[#This Row],[Round]]=3),IF(Games[[#This Row],[Result]]&gt;0.5,1,0),0)</f>
        <v>0</v>
      </c>
      <c r="AJ338" s="2">
        <f>IF(AND(Games[[#This Row],[Type]]="P",Games[[#This Row],[Round]]=3),IF(Games[[#This Row],[Result]]&lt;0.5,1,0),0)</f>
        <v>0</v>
      </c>
      <c r="AK338" s="2">
        <f>IF(AND(Games[[#This Row],[Type]]="P",Games[[#This Row],[Round]]=4),IF(Games[[#This Row],[Result]]&gt;0.5,1,0),0)</f>
        <v>0</v>
      </c>
      <c r="AL338" s="2">
        <f>IF(AND(Games[[#This Row],[Type]]="P",Games[[#This Row],[Round]]=4),IF(Games[[#This Row],[Result]]&lt;0.5,1,0),0)</f>
        <v>0</v>
      </c>
    </row>
    <row r="339" spans="1:38" x14ac:dyDescent="0.35">
      <c r="A339" s="10">
        <v>45146</v>
      </c>
      <c r="B339" s="2">
        <v>2023</v>
      </c>
      <c r="C339" s="2">
        <f>COUNTIFS(Games[Team],Games[[#This Row],[Team]],Games[Season],Games[[#This Row],[Season]],Games[Date],"&lt;=" &amp; Games[[#This Row],[Date]])</f>
        <v>28</v>
      </c>
      <c r="D339" s="2" t="s">
        <v>79</v>
      </c>
      <c r="E339" s="2" t="s">
        <v>80</v>
      </c>
      <c r="F339" s="1" t="s">
        <v>40</v>
      </c>
      <c r="G339" s="1" t="s">
        <v>65</v>
      </c>
      <c r="H339" s="1" t="s">
        <v>82</v>
      </c>
      <c r="I339" s="2" cm="1">
        <f t="array" ref="I3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9" s="2" cm="1">
        <f t="array" ref="J3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9" s="2">
        <f>Games[[#This Row],[DaysOff]]-Games[[#This Row],[OppDaysOff]]</f>
        <v>1</v>
      </c>
      <c r="L339" s="2">
        <f>Games[[#This Row],[OppDaysOff]]-Games[[#This Row],[DaysOff]]</f>
        <v>-1</v>
      </c>
      <c r="M339" s="1">
        <f>MAX(-16, MIN(16, Games[[#This Row],[RestDiff]]*8))</f>
        <v>8</v>
      </c>
      <c r="N339" s="1">
        <f>MAX(-16, MIN(16, Games[[#This Row],[OppRestDiff]]*8))</f>
        <v>-8</v>
      </c>
      <c r="O339" s="4" cm="1">
        <f t="array" ref="O3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1365.7786804268324</v>
      </c>
      <c r="P339" s="4" cm="1">
        <f t="array" ref="P3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1471.3545973205228</v>
      </c>
      <c r="Q339" s="4">
        <f>1/(1+10^(((Games[[#This Row],[OppPreGmRate]]+IF(Games[[#This Row],[HomeAway]]="A",HCA,0)+Games[[#This Row],[OppRestAdj]])-(Games[[#This Row],[PreGmRate]]+IF(Games[[#This Row],[HomeAway]]="H",HCA,0)+Games[[#This Row],[RestAdj]]))/400))</f>
        <v>0.49197629940895959</v>
      </c>
      <c r="R339" s="1">
        <v>91</v>
      </c>
      <c r="S339" s="1">
        <v>72</v>
      </c>
      <c r="T339" s="1">
        <v>0</v>
      </c>
      <c r="U339" s="1">
        <f>Games[[#This Row],[PointsFor]]-Games[[#This Row],[PointsAgainst]]</f>
        <v>19</v>
      </c>
      <c r="V339" s="1">
        <f>IF(Games[[#This Row],[MOV]]&gt;0,1,IF(Games[[#This Row],[MOV]]=0,0.5,0))</f>
        <v>1</v>
      </c>
      <c r="W339" s="4">
        <f>((ABS(Games[[#This Row],[MOV]])+5)^0.6)/(12+0.01*(ABS(Games[[#This Row],[PreGmRate]]-Games[[#This Row],[OppPreGmRate]])))*IF(Games[[#This Row],[OT]]=1,0.9,1)</f>
        <v>0.5156138977114223</v>
      </c>
      <c r="X339" s="7" cm="1">
        <f t="array" ref="X33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9" s="9">
        <f>MAX(kmin, kmax - 0.15 * MIN(Games[[#This Row],[GamesPlayed]], 82))</f>
        <v>71.8</v>
      </c>
      <c r="Z339" s="4">
        <f>Games[[#This Row],[K]]*Games[[#This Row],[POMult]]</f>
        <v>71.8</v>
      </c>
      <c r="AA339" s="4">
        <f>(Games[[#This Row],[Keff]]*Games[[#This Row],[MOVMult]])*(Games[[#This Row],[Result]]-Games[[#This Row],[ExpectedWin%]])</f>
        <v>18.807584972111634</v>
      </c>
      <c r="AB339" s="4">
        <f>Games[[#This Row],[PreGmRate]]+Games[[#This Row],[RatingChange]]</f>
        <v>1384.5862653989441</v>
      </c>
      <c r="AC339" s="2">
        <f>IF(Games[[#This Row],[Type]]="R",IF(Games[[#This Row],[Result]]&gt;0.5,1,0),0)</f>
        <v>1</v>
      </c>
      <c r="AD339" s="2">
        <f>IF(Games[[#This Row],[Type]]="R",IF(Games[[#This Row],[Result]]&lt;0.5,1,0),0)</f>
        <v>0</v>
      </c>
      <c r="AE339" s="2">
        <f>IF(AND(Games[[#This Row],[Type]]="P",Games[[#This Row],[Round]]=1),IF(Games[[#This Row],[Result]]&gt;0.5,1,0),0)</f>
        <v>0</v>
      </c>
      <c r="AF339" s="2">
        <f>IF(AND(Games[[#This Row],[Type]]="P",Games[[#This Row],[Round]]=1),IF(Games[[#This Row],[Result]]&lt;0.5,1,0),0)</f>
        <v>0</v>
      </c>
      <c r="AG339" s="2">
        <f>IF(AND(Games[[#This Row],[Type]]="P",Games[[#This Row],[Round]]=2),IF(Games[[#This Row],[Result]]&gt;0.5,1,0),0)</f>
        <v>0</v>
      </c>
      <c r="AH339" s="2">
        <f>IF(AND(Games[[#This Row],[Type]]="P",Games[[#This Row],[Round]]=2),IF(Games[[#This Row],[Result]]&lt;0.5,1,0),0)</f>
        <v>0</v>
      </c>
      <c r="AI339" s="2">
        <f>IF(AND(Games[[#This Row],[Type]]="P",Games[[#This Row],[Round]]=3),IF(Games[[#This Row],[Result]]&gt;0.5,1,0),0)</f>
        <v>0</v>
      </c>
      <c r="AJ339" s="2">
        <f>IF(AND(Games[[#This Row],[Type]]="P",Games[[#This Row],[Round]]=3),IF(Games[[#This Row],[Result]]&lt;0.5,1,0),0)</f>
        <v>0</v>
      </c>
      <c r="AK339" s="2">
        <f>IF(AND(Games[[#This Row],[Type]]="P",Games[[#This Row],[Round]]=4),IF(Games[[#This Row],[Result]]&gt;0.5,1,0),0)</f>
        <v>0</v>
      </c>
      <c r="AL339" s="2">
        <f>IF(AND(Games[[#This Row],[Type]]="P",Games[[#This Row],[Round]]=4),IF(Games[[#This Row],[Result]]&lt;0.5,1,0),0)</f>
        <v>0</v>
      </c>
    </row>
    <row r="340" spans="1:38" x14ac:dyDescent="0.35">
      <c r="A340" s="10">
        <v>45146</v>
      </c>
      <c r="B340" s="2">
        <v>2023</v>
      </c>
      <c r="C340" s="2">
        <f>COUNTIFS(Games[Team],Games[[#This Row],[Team]],Games[Season],Games[[#This Row],[Season]],Games[Date],"&lt;=" &amp; Games[[#This Row],[Date]])</f>
        <v>28</v>
      </c>
      <c r="D340" s="2" t="s">
        <v>79</v>
      </c>
      <c r="E340" s="2" t="s">
        <v>80</v>
      </c>
      <c r="F340" s="1" t="s">
        <v>74</v>
      </c>
      <c r="G340" s="1" t="s">
        <v>71</v>
      </c>
      <c r="H340" s="1" t="s">
        <v>81</v>
      </c>
      <c r="I340" s="2" cm="1">
        <f t="array" ref="I340">IFERROR(
    Games[[#This Row],[Date]]
    - LOOKUP(
        2,
        1/((Games[Team]=Games[[#This Row],[Team]]) * (Games[Date] &lt; Games[[#This Row],[Date]])),
        Games[Date]
    )
    - 1,
Games[[#This Row],[Date]]-$A$2)</f>
        <v>3</v>
      </c>
      <c r="J340" s="2" cm="1">
        <f t="array" ref="J3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0" s="2">
        <f>Games[[#This Row],[DaysOff]]-Games[[#This Row],[OppDaysOff]]</f>
        <v>1</v>
      </c>
      <c r="L340" s="2">
        <f>Games[[#This Row],[OppDaysOff]]-Games[[#This Row],[DaysOff]]</f>
        <v>-1</v>
      </c>
      <c r="M340" s="1">
        <f>MAX(-16, MIN(16, Games[[#This Row],[RestDiff]]*8))</f>
        <v>8</v>
      </c>
      <c r="N340" s="1">
        <f>MAX(-16, MIN(16, Games[[#This Row],[OppRestDiff]]*8))</f>
        <v>-8</v>
      </c>
      <c r="O340" s="4" cm="1">
        <f t="array" ref="O3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1657.1947131656916</v>
      </c>
      <c r="P340" s="4" cm="1">
        <f t="array" ref="P3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1423.2968500403474</v>
      </c>
      <c r="Q340" s="4">
        <f>1/(1+10^(((Games[[#This Row],[OppPreGmRate]]+IF(Games[[#This Row],[HomeAway]]="A",HCA,0)+Games[[#This Row],[OppRestAdj]])-(Games[[#This Row],[PreGmRate]]+IF(Games[[#This Row],[HomeAway]]="H",HCA,0)+Games[[#This Row],[RestAdj]]))/400))</f>
        <v>0.72211656910342326</v>
      </c>
      <c r="R340" s="1">
        <v>81</v>
      </c>
      <c r="S340" s="1">
        <v>69</v>
      </c>
      <c r="T340" s="1">
        <v>0</v>
      </c>
      <c r="U340" s="1">
        <f>Games[[#This Row],[PointsFor]]-Games[[#This Row],[PointsAgainst]]</f>
        <v>12</v>
      </c>
      <c r="V340" s="1">
        <f>IF(Games[[#This Row],[MOV]]&gt;0,1,IF(Games[[#This Row],[MOV]]=0,0.5,0))</f>
        <v>1</v>
      </c>
      <c r="W340" s="4">
        <f>((ABS(Games[[#This Row],[MOV]])+5)^0.6)/(12+0.01*(ABS(Games[[#This Row],[PreGmRate]]-Games[[#This Row],[OppPreGmRate]])))*IF(Games[[#This Row],[OT]]=1,0.9,1)</f>
        <v>0.3817254671813412</v>
      </c>
      <c r="X340" s="7" cm="1">
        <f t="array" ref="X34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0" s="9">
        <f>MAX(kmin, kmax - 0.15 * MIN(Games[[#This Row],[GamesPlayed]], 82))</f>
        <v>71.8</v>
      </c>
      <c r="Z340" s="4">
        <f>Games[[#This Row],[K]]*Games[[#This Row],[POMult]]</f>
        <v>71.8</v>
      </c>
      <c r="AA340" s="4">
        <f>(Games[[#This Row],[Keff]]*Games[[#This Row],[MOVMult]])*(Games[[#This Row],[Result]]-Games[[#This Row],[ExpectedWin%]])</f>
        <v>7.6161981021321887</v>
      </c>
      <c r="AB340" s="4">
        <f>Games[[#This Row],[PreGmRate]]+Games[[#This Row],[RatingChange]]</f>
        <v>1664.8109112678237</v>
      </c>
      <c r="AC340" s="2">
        <f>IF(Games[[#This Row],[Type]]="R",IF(Games[[#This Row],[Result]]&gt;0.5,1,0),0)</f>
        <v>1</v>
      </c>
      <c r="AD340" s="2">
        <f>IF(Games[[#This Row],[Type]]="R",IF(Games[[#This Row],[Result]]&lt;0.5,1,0),0)</f>
        <v>0</v>
      </c>
      <c r="AE340" s="2">
        <f>IF(AND(Games[[#This Row],[Type]]="P",Games[[#This Row],[Round]]=1),IF(Games[[#This Row],[Result]]&gt;0.5,1,0),0)</f>
        <v>0</v>
      </c>
      <c r="AF340" s="2">
        <f>IF(AND(Games[[#This Row],[Type]]="P",Games[[#This Row],[Round]]=1),IF(Games[[#This Row],[Result]]&lt;0.5,1,0),0)</f>
        <v>0</v>
      </c>
      <c r="AG340" s="2">
        <f>IF(AND(Games[[#This Row],[Type]]="P",Games[[#This Row],[Round]]=2),IF(Games[[#This Row],[Result]]&gt;0.5,1,0),0)</f>
        <v>0</v>
      </c>
      <c r="AH340" s="2">
        <f>IF(AND(Games[[#This Row],[Type]]="P",Games[[#This Row],[Round]]=2),IF(Games[[#This Row],[Result]]&lt;0.5,1,0),0)</f>
        <v>0</v>
      </c>
      <c r="AI340" s="2">
        <f>IF(AND(Games[[#This Row],[Type]]="P",Games[[#This Row],[Round]]=3),IF(Games[[#This Row],[Result]]&gt;0.5,1,0),0)</f>
        <v>0</v>
      </c>
      <c r="AJ340" s="2">
        <f>IF(AND(Games[[#This Row],[Type]]="P",Games[[#This Row],[Round]]=3),IF(Games[[#This Row],[Result]]&lt;0.5,1,0),0)</f>
        <v>0</v>
      </c>
      <c r="AK340" s="2">
        <f>IF(AND(Games[[#This Row],[Type]]="P",Games[[#This Row],[Round]]=4),IF(Games[[#This Row],[Result]]&gt;0.5,1,0),0)</f>
        <v>0</v>
      </c>
      <c r="AL340" s="2">
        <f>IF(AND(Games[[#This Row],[Type]]="P",Games[[#This Row],[Round]]=4),IF(Games[[#This Row],[Result]]&lt;0.5,1,0),0)</f>
        <v>0</v>
      </c>
    </row>
    <row r="341" spans="1:38" x14ac:dyDescent="0.35">
      <c r="A341" s="10">
        <v>45146</v>
      </c>
      <c r="B341" s="2">
        <v>2023</v>
      </c>
      <c r="C341" s="2">
        <f>COUNTIFS(Games[Team],Games[[#This Row],[Team]],Games[Season],Games[[#This Row],[Season]],Games[Date],"&lt;=" &amp; Games[[#This Row],[Date]])</f>
        <v>28</v>
      </c>
      <c r="D341" s="2" t="s">
        <v>79</v>
      </c>
      <c r="E341" s="2" t="s">
        <v>80</v>
      </c>
      <c r="F341" s="1" t="s">
        <v>71</v>
      </c>
      <c r="G341" s="1" t="s">
        <v>74</v>
      </c>
      <c r="H341" s="1" t="s">
        <v>82</v>
      </c>
      <c r="I341" s="2" cm="1">
        <f t="array" ref="I3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1" s="2" cm="1">
        <f t="array" ref="J34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41" s="2">
        <f>Games[[#This Row],[DaysOff]]-Games[[#This Row],[OppDaysOff]]</f>
        <v>-1</v>
      </c>
      <c r="L341" s="2">
        <f>Games[[#This Row],[OppDaysOff]]-Games[[#This Row],[DaysOff]]</f>
        <v>1</v>
      </c>
      <c r="M341" s="1">
        <f>MAX(-16, MIN(16, Games[[#This Row],[RestDiff]]*8))</f>
        <v>-8</v>
      </c>
      <c r="N341" s="1">
        <f>MAX(-16, MIN(16, Games[[#This Row],[OppRestDiff]]*8))</f>
        <v>8</v>
      </c>
      <c r="O341" s="4" cm="1">
        <f t="array" ref="O3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1423.2968500403474</v>
      </c>
      <c r="P341" s="4" cm="1">
        <f t="array" ref="P3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1657.1947131656916</v>
      </c>
      <c r="Q341" s="4">
        <f>1/(1+10^(((Games[[#This Row],[OppPreGmRate]]+IF(Games[[#This Row],[HomeAway]]="A",HCA,0)+Games[[#This Row],[OppRestAdj]])-(Games[[#This Row],[PreGmRate]]+IF(Games[[#This Row],[HomeAway]]="H",HCA,0)+Games[[#This Row],[RestAdj]]))/400))</f>
        <v>0.2778834308965768</v>
      </c>
      <c r="R341" s="1">
        <v>69</v>
      </c>
      <c r="S341" s="1">
        <v>81</v>
      </c>
      <c r="T341" s="1">
        <v>0</v>
      </c>
      <c r="U341" s="1">
        <f>Games[[#This Row],[PointsFor]]-Games[[#This Row],[PointsAgainst]]</f>
        <v>-12</v>
      </c>
      <c r="V341" s="1">
        <f>IF(Games[[#This Row],[MOV]]&gt;0,1,IF(Games[[#This Row],[MOV]]=0,0.5,0))</f>
        <v>0</v>
      </c>
      <c r="W341" s="4">
        <f>((ABS(Games[[#This Row],[MOV]])+5)^0.6)/(12+0.01*(ABS(Games[[#This Row],[PreGmRate]]-Games[[#This Row],[OppPreGmRate]])))*IF(Games[[#This Row],[OT]]=1,0.9,1)</f>
        <v>0.3817254671813412</v>
      </c>
      <c r="X341" s="7" cm="1">
        <f t="array" ref="X34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1" s="9">
        <f>MAX(kmin, kmax - 0.15 * MIN(Games[[#This Row],[GamesPlayed]], 82))</f>
        <v>71.8</v>
      </c>
      <c r="Z341" s="4">
        <f>Games[[#This Row],[K]]*Games[[#This Row],[POMult]]</f>
        <v>71.8</v>
      </c>
      <c r="AA341" s="4">
        <f>(Games[[#This Row],[Keff]]*Games[[#This Row],[MOVMult]])*(Games[[#This Row],[Result]]-Games[[#This Row],[ExpectedWin%]])</f>
        <v>-7.6161981021321905</v>
      </c>
      <c r="AB341" s="4">
        <f>Games[[#This Row],[PreGmRate]]+Games[[#This Row],[RatingChange]]</f>
        <v>1415.6806519382153</v>
      </c>
      <c r="AC341" s="2">
        <f>IF(Games[[#This Row],[Type]]="R",IF(Games[[#This Row],[Result]]&gt;0.5,1,0),0)</f>
        <v>0</v>
      </c>
      <c r="AD341" s="2">
        <f>IF(Games[[#This Row],[Type]]="R",IF(Games[[#This Row],[Result]]&lt;0.5,1,0),0)</f>
        <v>1</v>
      </c>
      <c r="AE341" s="2">
        <f>IF(AND(Games[[#This Row],[Type]]="P",Games[[#This Row],[Round]]=1),IF(Games[[#This Row],[Result]]&gt;0.5,1,0),0)</f>
        <v>0</v>
      </c>
      <c r="AF341" s="2">
        <f>IF(AND(Games[[#This Row],[Type]]="P",Games[[#This Row],[Round]]=1),IF(Games[[#This Row],[Result]]&lt;0.5,1,0),0)</f>
        <v>0</v>
      </c>
      <c r="AG341" s="2">
        <f>IF(AND(Games[[#This Row],[Type]]="P",Games[[#This Row],[Round]]=2),IF(Games[[#This Row],[Result]]&gt;0.5,1,0),0)</f>
        <v>0</v>
      </c>
      <c r="AH341" s="2">
        <f>IF(AND(Games[[#This Row],[Type]]="P",Games[[#This Row],[Round]]=2),IF(Games[[#This Row],[Result]]&lt;0.5,1,0),0)</f>
        <v>0</v>
      </c>
      <c r="AI341" s="2">
        <f>IF(AND(Games[[#This Row],[Type]]="P",Games[[#This Row],[Round]]=3),IF(Games[[#This Row],[Result]]&gt;0.5,1,0),0)</f>
        <v>0</v>
      </c>
      <c r="AJ341" s="2">
        <f>IF(AND(Games[[#This Row],[Type]]="P",Games[[#This Row],[Round]]=3),IF(Games[[#This Row],[Result]]&lt;0.5,1,0),0)</f>
        <v>0</v>
      </c>
      <c r="AK341" s="2">
        <f>IF(AND(Games[[#This Row],[Type]]="P",Games[[#This Row],[Round]]=4),IF(Games[[#This Row],[Result]]&gt;0.5,1,0),0)</f>
        <v>0</v>
      </c>
      <c r="AL341" s="2">
        <f>IF(AND(Games[[#This Row],[Type]]="P",Games[[#This Row],[Round]]=4),IF(Games[[#This Row],[Result]]&lt;0.5,1,0),0)</f>
        <v>0</v>
      </c>
    </row>
    <row r="342" spans="1:38" x14ac:dyDescent="0.35">
      <c r="A342" s="10">
        <v>45148</v>
      </c>
      <c r="B342" s="2">
        <v>2023</v>
      </c>
      <c r="C342" s="2">
        <f>COUNTIFS(Games[Team],Games[[#This Row],[Team]],Games[Season],Games[[#This Row],[Season]],Games[Date],"&lt;=" &amp; Games[[#This Row],[Date]])</f>
        <v>30</v>
      </c>
      <c r="D342" s="2" t="s">
        <v>79</v>
      </c>
      <c r="E342" s="2" t="s">
        <v>80</v>
      </c>
      <c r="F342" s="1" t="s">
        <v>67</v>
      </c>
      <c r="G342" s="1" t="s">
        <v>69</v>
      </c>
      <c r="H342" s="1" t="s">
        <v>81</v>
      </c>
      <c r="I342" s="2" cm="1">
        <f t="array" ref="I3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2" s="2" cm="1">
        <f t="array" ref="J3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2" s="2">
        <f>Games[[#This Row],[DaysOff]]-Games[[#This Row],[OppDaysOff]]</f>
        <v>0</v>
      </c>
      <c r="L342" s="2">
        <f>Games[[#This Row],[OppDaysOff]]-Games[[#This Row],[DaysOff]]</f>
        <v>0</v>
      </c>
      <c r="M342" s="1">
        <f>MAX(-16, MIN(16, Games[[#This Row],[RestDiff]]*8))</f>
        <v>0</v>
      </c>
      <c r="N342" s="1">
        <f>MAX(-16, MIN(16, Games[[#This Row],[OppRestDiff]]*8))</f>
        <v>0</v>
      </c>
      <c r="O342" s="4" cm="1">
        <f t="array" ref="O3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1484.5108723581332</v>
      </c>
      <c r="P342" s="4" cm="1">
        <f t="array" ref="P3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1302.9293721954384</v>
      </c>
      <c r="Q342" s="4">
        <f>1/(1+10^(((Games[[#This Row],[OppPreGmRate]]+IF(Games[[#This Row],[HomeAway]]="A",HCA,0)+Games[[#This Row],[OppRestAdj]])-(Games[[#This Row],[PreGmRate]]+IF(Games[[#This Row],[HomeAway]]="H",HCA,0)+Games[[#This Row],[RestAdj]]))/400))</f>
        <v>0.63685140892750569</v>
      </c>
      <c r="R342" s="1">
        <v>73</v>
      </c>
      <c r="S342" s="1">
        <v>91</v>
      </c>
      <c r="T342" s="1">
        <v>0</v>
      </c>
      <c r="U342" s="1">
        <f>Games[[#This Row],[PointsFor]]-Games[[#This Row],[PointsAgainst]]</f>
        <v>-18</v>
      </c>
      <c r="V342" s="1">
        <f>IF(Games[[#This Row],[MOV]]&gt;0,1,IF(Games[[#This Row],[MOV]]=0,0.5,0))</f>
        <v>0</v>
      </c>
      <c r="W342" s="4">
        <f>((ABS(Games[[#This Row],[MOV]])+5)^0.6)/(12+0.01*(ABS(Games[[#This Row],[PreGmRate]]-Games[[#This Row],[OppPreGmRate]])))*IF(Games[[#This Row],[OT]]=1,0.9,1)</f>
        <v>0.47496345201083784</v>
      </c>
      <c r="X342" s="7" cm="1">
        <f t="array" ref="X34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2" s="9">
        <f>MAX(kmin, kmax - 0.15 * MIN(Games[[#This Row],[GamesPlayed]], 82))</f>
        <v>71.5</v>
      </c>
      <c r="Z342" s="4">
        <f>Games[[#This Row],[K]]*Games[[#This Row],[POMult]]</f>
        <v>71.5</v>
      </c>
      <c r="AA342" s="4">
        <f>(Games[[#This Row],[Keff]]*Games[[#This Row],[MOVMult]])*(Games[[#This Row],[Result]]-Games[[#This Row],[ExpectedWin%]])</f>
        <v>-21.627401767555426</v>
      </c>
      <c r="AB342" s="4">
        <f>Games[[#This Row],[PreGmRate]]+Games[[#This Row],[RatingChange]]</f>
        <v>1462.8834705905776</v>
      </c>
      <c r="AC342" s="2">
        <f>IF(Games[[#This Row],[Type]]="R",IF(Games[[#This Row],[Result]]&gt;0.5,1,0),0)</f>
        <v>0</v>
      </c>
      <c r="AD342" s="2">
        <f>IF(Games[[#This Row],[Type]]="R",IF(Games[[#This Row],[Result]]&lt;0.5,1,0),0)</f>
        <v>1</v>
      </c>
      <c r="AE342" s="2">
        <f>IF(AND(Games[[#This Row],[Type]]="P",Games[[#This Row],[Round]]=1),IF(Games[[#This Row],[Result]]&gt;0.5,1,0),0)</f>
        <v>0</v>
      </c>
      <c r="AF342" s="2">
        <f>IF(AND(Games[[#This Row],[Type]]="P",Games[[#This Row],[Round]]=1),IF(Games[[#This Row],[Result]]&lt;0.5,1,0),0)</f>
        <v>0</v>
      </c>
      <c r="AG342" s="2">
        <f>IF(AND(Games[[#This Row],[Type]]="P",Games[[#This Row],[Round]]=2),IF(Games[[#This Row],[Result]]&gt;0.5,1,0),0)</f>
        <v>0</v>
      </c>
      <c r="AH342" s="2">
        <f>IF(AND(Games[[#This Row],[Type]]="P",Games[[#This Row],[Round]]=2),IF(Games[[#This Row],[Result]]&lt;0.5,1,0),0)</f>
        <v>0</v>
      </c>
      <c r="AI342" s="2">
        <f>IF(AND(Games[[#This Row],[Type]]="P",Games[[#This Row],[Round]]=3),IF(Games[[#This Row],[Result]]&gt;0.5,1,0),0)</f>
        <v>0</v>
      </c>
      <c r="AJ342" s="2">
        <f>IF(AND(Games[[#This Row],[Type]]="P",Games[[#This Row],[Round]]=3),IF(Games[[#This Row],[Result]]&lt;0.5,1,0),0)</f>
        <v>0</v>
      </c>
      <c r="AK342" s="2">
        <f>IF(AND(Games[[#This Row],[Type]]="P",Games[[#This Row],[Round]]=4),IF(Games[[#This Row],[Result]]&gt;0.5,1,0),0)</f>
        <v>0</v>
      </c>
      <c r="AL342" s="2">
        <f>IF(AND(Games[[#This Row],[Type]]="P",Games[[#This Row],[Round]]=4),IF(Games[[#This Row],[Result]]&lt;0.5,1,0),0)</f>
        <v>0</v>
      </c>
    </row>
    <row r="343" spans="1:38" x14ac:dyDescent="0.35">
      <c r="A343" s="10">
        <v>45148</v>
      </c>
      <c r="B343" s="2">
        <v>2023</v>
      </c>
      <c r="C343" s="2">
        <f>COUNTIFS(Games[Team],Games[[#This Row],[Team]],Games[Season],Games[[#This Row],[Season]],Games[Date],"&lt;=" &amp; Games[[#This Row],[Date]])</f>
        <v>30</v>
      </c>
      <c r="D343" s="2" t="s">
        <v>79</v>
      </c>
      <c r="E343" s="2" t="s">
        <v>80</v>
      </c>
      <c r="F343" s="1" t="s">
        <v>69</v>
      </c>
      <c r="G343" s="1" t="s">
        <v>67</v>
      </c>
      <c r="H343" s="1" t="s">
        <v>82</v>
      </c>
      <c r="I343" s="2" cm="1">
        <f t="array" ref="I3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3" s="2" cm="1">
        <f t="array" ref="J3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3" s="2">
        <f>Games[[#This Row],[DaysOff]]-Games[[#This Row],[OppDaysOff]]</f>
        <v>0</v>
      </c>
      <c r="L343" s="2">
        <f>Games[[#This Row],[OppDaysOff]]-Games[[#This Row],[DaysOff]]</f>
        <v>0</v>
      </c>
      <c r="M343" s="1">
        <f>MAX(-16, MIN(16, Games[[#This Row],[RestDiff]]*8))</f>
        <v>0</v>
      </c>
      <c r="N343" s="1">
        <f>MAX(-16, MIN(16, Games[[#This Row],[OppRestDiff]]*8))</f>
        <v>0</v>
      </c>
      <c r="O343" s="4" cm="1">
        <f t="array" ref="O3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1302.9293721954384</v>
      </c>
      <c r="P343" s="4" cm="1">
        <f t="array" ref="P3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1484.5108723581332</v>
      </c>
      <c r="Q343" s="4">
        <f>1/(1+10^(((Games[[#This Row],[OppPreGmRate]]+IF(Games[[#This Row],[HomeAway]]="A",HCA,0)+Games[[#This Row],[OppRestAdj]])-(Games[[#This Row],[PreGmRate]]+IF(Games[[#This Row],[HomeAway]]="H",HCA,0)+Games[[#This Row],[RestAdj]]))/400))</f>
        <v>0.3631485910724942</v>
      </c>
      <c r="R343" s="1">
        <v>91</v>
      </c>
      <c r="S343" s="1">
        <v>73</v>
      </c>
      <c r="T343" s="1">
        <v>0</v>
      </c>
      <c r="U343" s="1">
        <f>Games[[#This Row],[PointsFor]]-Games[[#This Row],[PointsAgainst]]</f>
        <v>18</v>
      </c>
      <c r="V343" s="1">
        <f>IF(Games[[#This Row],[MOV]]&gt;0,1,IF(Games[[#This Row],[MOV]]=0,0.5,0))</f>
        <v>1</v>
      </c>
      <c r="W343" s="4">
        <f>((ABS(Games[[#This Row],[MOV]])+5)^0.6)/(12+0.01*(ABS(Games[[#This Row],[PreGmRate]]-Games[[#This Row],[OppPreGmRate]])))*IF(Games[[#This Row],[OT]]=1,0.9,1)</f>
        <v>0.47496345201083784</v>
      </c>
      <c r="X343" s="7" cm="1">
        <f t="array" ref="X34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3" s="9">
        <f>MAX(kmin, kmax - 0.15 * MIN(Games[[#This Row],[GamesPlayed]], 82))</f>
        <v>71.5</v>
      </c>
      <c r="Z343" s="4">
        <f>Games[[#This Row],[K]]*Games[[#This Row],[POMult]]</f>
        <v>71.5</v>
      </c>
      <c r="AA343" s="4">
        <f>(Games[[#This Row],[Keff]]*Games[[#This Row],[MOVMult]])*(Games[[#This Row],[Result]]-Games[[#This Row],[ExpectedWin%]])</f>
        <v>21.62740176755543</v>
      </c>
      <c r="AB343" s="4">
        <f>Games[[#This Row],[PreGmRate]]+Games[[#This Row],[RatingChange]]</f>
        <v>1324.5567739629939</v>
      </c>
      <c r="AC343" s="2">
        <f>IF(Games[[#This Row],[Type]]="R",IF(Games[[#This Row],[Result]]&gt;0.5,1,0),0)</f>
        <v>1</v>
      </c>
      <c r="AD343" s="2">
        <f>IF(Games[[#This Row],[Type]]="R",IF(Games[[#This Row],[Result]]&lt;0.5,1,0),0)</f>
        <v>0</v>
      </c>
      <c r="AE343" s="2">
        <f>IF(AND(Games[[#This Row],[Type]]="P",Games[[#This Row],[Round]]=1),IF(Games[[#This Row],[Result]]&gt;0.5,1,0),0)</f>
        <v>0</v>
      </c>
      <c r="AF343" s="2">
        <f>IF(AND(Games[[#This Row],[Type]]="P",Games[[#This Row],[Round]]=1),IF(Games[[#This Row],[Result]]&lt;0.5,1,0),0)</f>
        <v>0</v>
      </c>
      <c r="AG343" s="2">
        <f>IF(AND(Games[[#This Row],[Type]]="P",Games[[#This Row],[Round]]=2),IF(Games[[#This Row],[Result]]&gt;0.5,1,0),0)</f>
        <v>0</v>
      </c>
      <c r="AH343" s="2">
        <f>IF(AND(Games[[#This Row],[Type]]="P",Games[[#This Row],[Round]]=2),IF(Games[[#This Row],[Result]]&lt;0.5,1,0),0)</f>
        <v>0</v>
      </c>
      <c r="AI343" s="2">
        <f>IF(AND(Games[[#This Row],[Type]]="P",Games[[#This Row],[Round]]=3),IF(Games[[#This Row],[Result]]&gt;0.5,1,0),0)</f>
        <v>0</v>
      </c>
      <c r="AJ343" s="2">
        <f>IF(AND(Games[[#This Row],[Type]]="P",Games[[#This Row],[Round]]=3),IF(Games[[#This Row],[Result]]&lt;0.5,1,0),0)</f>
        <v>0</v>
      </c>
      <c r="AK343" s="2">
        <f>IF(AND(Games[[#This Row],[Type]]="P",Games[[#This Row],[Round]]=4),IF(Games[[#This Row],[Result]]&gt;0.5,1,0),0)</f>
        <v>0</v>
      </c>
      <c r="AL343" s="2">
        <f>IF(AND(Games[[#This Row],[Type]]="P",Games[[#This Row],[Round]]=4),IF(Games[[#This Row],[Result]]&lt;0.5,1,0),0)</f>
        <v>0</v>
      </c>
    </row>
    <row r="344" spans="1:38" x14ac:dyDescent="0.35">
      <c r="A344" s="10">
        <v>45148</v>
      </c>
      <c r="B344" s="2">
        <v>2023</v>
      </c>
      <c r="C344" s="2">
        <f>COUNTIFS(Games[Team],Games[[#This Row],[Team]],Games[Season],Games[[#This Row],[Season]],Games[Date],"&lt;=" &amp; Games[[#This Row],[Date]])</f>
        <v>29</v>
      </c>
      <c r="D344" s="2" t="s">
        <v>79</v>
      </c>
      <c r="E344" s="2" t="s">
        <v>80</v>
      </c>
      <c r="F344" s="1" t="s">
        <v>74</v>
      </c>
      <c r="G344" s="1" t="s">
        <v>40</v>
      </c>
      <c r="H344" s="1" t="s">
        <v>81</v>
      </c>
      <c r="I344" s="2" cm="1">
        <f t="array" ref="I3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4" s="2" cm="1">
        <f t="array" ref="J3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4" s="2">
        <f>Games[[#This Row],[DaysOff]]-Games[[#This Row],[OppDaysOff]]</f>
        <v>0</v>
      </c>
      <c r="L344" s="2">
        <f>Games[[#This Row],[OppDaysOff]]-Games[[#This Row],[DaysOff]]</f>
        <v>0</v>
      </c>
      <c r="M344" s="1">
        <f>MAX(-16, MIN(16, Games[[#This Row],[RestDiff]]*8))</f>
        <v>0</v>
      </c>
      <c r="N344" s="1">
        <f>MAX(-16, MIN(16, Games[[#This Row],[OppRestDiff]]*8))</f>
        <v>0</v>
      </c>
      <c r="O344" s="4" cm="1">
        <f t="array" ref="O3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1664.8109112678237</v>
      </c>
      <c r="P344" s="4" cm="1">
        <f t="array" ref="P3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1384.5862653989441</v>
      </c>
      <c r="Q344" s="4">
        <f>1/(1+10^(((Games[[#This Row],[OppPreGmRate]]+IF(Games[[#This Row],[HomeAway]]="A",HCA,0)+Games[[#This Row],[OppRestAdj]])-(Games[[#This Row],[PreGmRate]]+IF(Games[[#This Row],[HomeAway]]="H",HCA,0)+Games[[#This Row],[RestAdj]]))/400))</f>
        <v>0.75575766388100274</v>
      </c>
      <c r="R344" s="1">
        <v>84</v>
      </c>
      <c r="S344" s="1">
        <v>90</v>
      </c>
      <c r="T344" s="1">
        <v>0</v>
      </c>
      <c r="U344" s="1">
        <f>Games[[#This Row],[PointsFor]]-Games[[#This Row],[PointsAgainst]]</f>
        <v>-6</v>
      </c>
      <c r="V344" s="1">
        <f>IF(Games[[#This Row],[MOV]]&gt;0,1,IF(Games[[#This Row],[MOV]]=0,0.5,0))</f>
        <v>0</v>
      </c>
      <c r="W344" s="4">
        <f>((ABS(Games[[#This Row],[MOV]])+5)^0.6)/(12+0.01*(ABS(Games[[#This Row],[PreGmRate]]-Games[[#This Row],[OppPreGmRate]])))*IF(Games[[#This Row],[OT]]=1,0.9,1)</f>
        <v>0.28477901275704764</v>
      </c>
      <c r="X344" s="7" cm="1">
        <f t="array" ref="X34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4" s="9">
        <f>MAX(kmin, kmax - 0.15 * MIN(Games[[#This Row],[GamesPlayed]], 82))</f>
        <v>71.650000000000006</v>
      </c>
      <c r="Z344" s="4">
        <f>Games[[#This Row],[K]]*Games[[#This Row],[POMult]]</f>
        <v>71.650000000000006</v>
      </c>
      <c r="AA344" s="4">
        <f>(Games[[#This Row],[Keff]]*Games[[#This Row],[MOVMult]])*(Games[[#This Row],[Result]]-Games[[#This Row],[ExpectedWin%]])</f>
        <v>-15.420793968568271</v>
      </c>
      <c r="AB344" s="4">
        <f>Games[[#This Row],[PreGmRate]]+Games[[#This Row],[RatingChange]]</f>
        <v>1649.3901172992555</v>
      </c>
      <c r="AC344" s="2">
        <f>IF(Games[[#This Row],[Type]]="R",IF(Games[[#This Row],[Result]]&gt;0.5,1,0),0)</f>
        <v>0</v>
      </c>
      <c r="AD344" s="2">
        <f>IF(Games[[#This Row],[Type]]="R",IF(Games[[#This Row],[Result]]&lt;0.5,1,0),0)</f>
        <v>1</v>
      </c>
      <c r="AE344" s="2">
        <f>IF(AND(Games[[#This Row],[Type]]="P",Games[[#This Row],[Round]]=1),IF(Games[[#This Row],[Result]]&gt;0.5,1,0),0)</f>
        <v>0</v>
      </c>
      <c r="AF344" s="2">
        <f>IF(AND(Games[[#This Row],[Type]]="P",Games[[#This Row],[Round]]=1),IF(Games[[#This Row],[Result]]&lt;0.5,1,0),0)</f>
        <v>0</v>
      </c>
      <c r="AG344" s="2">
        <f>IF(AND(Games[[#This Row],[Type]]="P",Games[[#This Row],[Round]]=2),IF(Games[[#This Row],[Result]]&gt;0.5,1,0),0)</f>
        <v>0</v>
      </c>
      <c r="AH344" s="2">
        <f>IF(AND(Games[[#This Row],[Type]]="P",Games[[#This Row],[Round]]=2),IF(Games[[#This Row],[Result]]&lt;0.5,1,0),0)</f>
        <v>0</v>
      </c>
      <c r="AI344" s="2">
        <f>IF(AND(Games[[#This Row],[Type]]="P",Games[[#This Row],[Round]]=3),IF(Games[[#This Row],[Result]]&gt;0.5,1,0),0)</f>
        <v>0</v>
      </c>
      <c r="AJ344" s="2">
        <f>IF(AND(Games[[#This Row],[Type]]="P",Games[[#This Row],[Round]]=3),IF(Games[[#This Row],[Result]]&lt;0.5,1,0),0)</f>
        <v>0</v>
      </c>
      <c r="AK344" s="2">
        <f>IF(AND(Games[[#This Row],[Type]]="P",Games[[#This Row],[Round]]=4),IF(Games[[#This Row],[Result]]&gt;0.5,1,0),0)</f>
        <v>0</v>
      </c>
      <c r="AL344" s="2">
        <f>IF(AND(Games[[#This Row],[Type]]="P",Games[[#This Row],[Round]]=4),IF(Games[[#This Row],[Result]]&lt;0.5,1,0),0)</f>
        <v>0</v>
      </c>
    </row>
    <row r="345" spans="1:38" x14ac:dyDescent="0.35">
      <c r="A345" s="10">
        <v>45148</v>
      </c>
      <c r="B345" s="2">
        <v>2023</v>
      </c>
      <c r="C345" s="2">
        <f>COUNTIFS(Games[Team],Games[[#This Row],[Team]],Games[Season],Games[[#This Row],[Season]],Games[Date],"&lt;=" &amp; Games[[#This Row],[Date]])</f>
        <v>29</v>
      </c>
      <c r="D345" s="2" t="s">
        <v>79</v>
      </c>
      <c r="E345" s="2" t="s">
        <v>80</v>
      </c>
      <c r="F345" s="1" t="s">
        <v>40</v>
      </c>
      <c r="G345" s="1" t="s">
        <v>74</v>
      </c>
      <c r="H345" s="1" t="s">
        <v>82</v>
      </c>
      <c r="I345" s="2" cm="1">
        <f t="array" ref="I3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5" s="2" cm="1">
        <f t="array" ref="J3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5" s="2">
        <f>Games[[#This Row],[DaysOff]]-Games[[#This Row],[OppDaysOff]]</f>
        <v>0</v>
      </c>
      <c r="L345" s="2">
        <f>Games[[#This Row],[OppDaysOff]]-Games[[#This Row],[DaysOff]]</f>
        <v>0</v>
      </c>
      <c r="M345" s="1">
        <f>MAX(-16, MIN(16, Games[[#This Row],[RestDiff]]*8))</f>
        <v>0</v>
      </c>
      <c r="N345" s="1">
        <f>MAX(-16, MIN(16, Games[[#This Row],[OppRestDiff]]*8))</f>
        <v>0</v>
      </c>
      <c r="O345" s="4" cm="1">
        <f t="array" ref="O3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1384.5862653989441</v>
      </c>
      <c r="P345" s="4" cm="1">
        <f t="array" ref="P3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1664.8109112678237</v>
      </c>
      <c r="Q345" s="4">
        <f>1/(1+10^(((Games[[#This Row],[OppPreGmRate]]+IF(Games[[#This Row],[HomeAway]]="A",HCA,0)+Games[[#This Row],[OppRestAdj]])-(Games[[#This Row],[PreGmRate]]+IF(Games[[#This Row],[HomeAway]]="H",HCA,0)+Games[[#This Row],[RestAdj]]))/400))</f>
        <v>0.24424233611899729</v>
      </c>
      <c r="R345" s="1">
        <v>90</v>
      </c>
      <c r="S345" s="1">
        <v>84</v>
      </c>
      <c r="T345" s="1">
        <v>0</v>
      </c>
      <c r="U345" s="1">
        <f>Games[[#This Row],[PointsFor]]-Games[[#This Row],[PointsAgainst]]</f>
        <v>6</v>
      </c>
      <c r="V345" s="1">
        <f>IF(Games[[#This Row],[MOV]]&gt;0,1,IF(Games[[#This Row],[MOV]]=0,0.5,0))</f>
        <v>1</v>
      </c>
      <c r="W345" s="4">
        <f>((ABS(Games[[#This Row],[MOV]])+5)^0.6)/(12+0.01*(ABS(Games[[#This Row],[PreGmRate]]-Games[[#This Row],[OppPreGmRate]])))*IF(Games[[#This Row],[OT]]=1,0.9,1)</f>
        <v>0.28477901275704764</v>
      </c>
      <c r="X345" s="7" cm="1">
        <f t="array" ref="X34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5" s="9">
        <f>MAX(kmin, kmax - 0.15 * MIN(Games[[#This Row],[GamesPlayed]], 82))</f>
        <v>71.650000000000006</v>
      </c>
      <c r="Z345" s="4">
        <f>Games[[#This Row],[K]]*Games[[#This Row],[POMult]]</f>
        <v>71.650000000000006</v>
      </c>
      <c r="AA345" s="4">
        <f>(Games[[#This Row],[Keff]]*Games[[#This Row],[MOVMult]])*(Games[[#This Row],[Result]]-Games[[#This Row],[ExpectedWin%]])</f>
        <v>15.420793968568271</v>
      </c>
      <c r="AB345" s="4">
        <f>Games[[#This Row],[PreGmRate]]+Games[[#This Row],[RatingChange]]</f>
        <v>1400.0070593675123</v>
      </c>
      <c r="AC345" s="2">
        <f>IF(Games[[#This Row],[Type]]="R",IF(Games[[#This Row],[Result]]&gt;0.5,1,0),0)</f>
        <v>1</v>
      </c>
      <c r="AD345" s="2">
        <f>IF(Games[[#This Row],[Type]]="R",IF(Games[[#This Row],[Result]]&lt;0.5,1,0),0)</f>
        <v>0</v>
      </c>
      <c r="AE345" s="2">
        <f>IF(AND(Games[[#This Row],[Type]]="P",Games[[#This Row],[Round]]=1),IF(Games[[#This Row],[Result]]&gt;0.5,1,0),0)</f>
        <v>0</v>
      </c>
      <c r="AF345" s="2">
        <f>IF(AND(Games[[#This Row],[Type]]="P",Games[[#This Row],[Round]]=1),IF(Games[[#This Row],[Result]]&lt;0.5,1,0),0)</f>
        <v>0</v>
      </c>
      <c r="AG345" s="2">
        <f>IF(AND(Games[[#This Row],[Type]]="P",Games[[#This Row],[Round]]=2),IF(Games[[#This Row],[Result]]&gt;0.5,1,0),0)</f>
        <v>0</v>
      </c>
      <c r="AH345" s="2">
        <f>IF(AND(Games[[#This Row],[Type]]="P",Games[[#This Row],[Round]]=2),IF(Games[[#This Row],[Result]]&lt;0.5,1,0),0)</f>
        <v>0</v>
      </c>
      <c r="AI345" s="2">
        <f>IF(AND(Games[[#This Row],[Type]]="P",Games[[#This Row],[Round]]=3),IF(Games[[#This Row],[Result]]&gt;0.5,1,0),0)</f>
        <v>0</v>
      </c>
      <c r="AJ345" s="2">
        <f>IF(AND(Games[[#This Row],[Type]]="P",Games[[#This Row],[Round]]=3),IF(Games[[#This Row],[Result]]&lt;0.5,1,0),0)</f>
        <v>0</v>
      </c>
      <c r="AK345" s="2">
        <f>IF(AND(Games[[#This Row],[Type]]="P",Games[[#This Row],[Round]]=4),IF(Games[[#This Row],[Result]]&gt;0.5,1,0),0)</f>
        <v>0</v>
      </c>
      <c r="AL345" s="2">
        <f>IF(AND(Games[[#This Row],[Type]]="P",Games[[#This Row],[Round]]=4),IF(Games[[#This Row],[Result]]&lt;0.5,1,0),0)</f>
        <v>0</v>
      </c>
    </row>
    <row r="346" spans="1:38" x14ac:dyDescent="0.35">
      <c r="A346" s="10">
        <v>45148</v>
      </c>
      <c r="B346" s="2">
        <v>2023</v>
      </c>
      <c r="C346" s="2">
        <f>COUNTIFS(Games[Team],Games[[#This Row],[Team]],Games[Season],Games[[#This Row],[Season]],Games[Date],"&lt;=" &amp; Games[[#This Row],[Date]])</f>
        <v>29</v>
      </c>
      <c r="D346" s="2" t="s">
        <v>79</v>
      </c>
      <c r="E346" s="2" t="s">
        <v>80</v>
      </c>
      <c r="F346" s="1" t="s">
        <v>77</v>
      </c>
      <c r="G346" s="1" t="s">
        <v>71</v>
      </c>
      <c r="H346" s="1" t="s">
        <v>81</v>
      </c>
      <c r="I346" s="2" cm="1">
        <f t="array" ref="I346">IFERROR(
    Games[[#This Row],[Date]]
    - LOOKUP(
        2,
        1/((Games[Team]=Games[[#This Row],[Team]]) * (Games[Date] &lt; Games[[#This Row],[Date]])),
        Games[Date]
    )
    - 1,
Games[[#This Row],[Date]]-$A$2)</f>
        <v>3</v>
      </c>
      <c r="J346" s="2" cm="1">
        <f t="array" ref="J3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6" s="2">
        <f>Games[[#This Row],[DaysOff]]-Games[[#This Row],[OppDaysOff]]</f>
        <v>2</v>
      </c>
      <c r="L346" s="2">
        <f>Games[[#This Row],[OppDaysOff]]-Games[[#This Row],[DaysOff]]</f>
        <v>-2</v>
      </c>
      <c r="M346" s="1">
        <f>MAX(-16, MIN(16, Games[[#This Row],[RestDiff]]*8))</f>
        <v>16</v>
      </c>
      <c r="N346" s="1">
        <f>MAX(-16, MIN(16, Games[[#This Row],[OppRestDiff]]*8))</f>
        <v>-16</v>
      </c>
      <c r="O346" s="4" cm="1">
        <f t="array" ref="O3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1496.0148934052272</v>
      </c>
      <c r="P346" s="4" cm="1">
        <f t="array" ref="P3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1415.6806519382153</v>
      </c>
      <c r="Q346" s="4">
        <f>1/(1+10^(((Games[[#This Row],[OppPreGmRate]]+IF(Games[[#This Row],[HomeAway]]="A",HCA,0)+Games[[#This Row],[OppRestAdj]])-(Games[[#This Row],[PreGmRate]]+IF(Games[[#This Row],[HomeAway]]="H",HCA,0)+Games[[#This Row],[RestAdj]]))/400))</f>
        <v>0.54068609273221235</v>
      </c>
      <c r="R346" s="1">
        <v>67</v>
      </c>
      <c r="S346" s="1">
        <v>68</v>
      </c>
      <c r="T346" s="1">
        <v>0</v>
      </c>
      <c r="U346" s="1">
        <f>Games[[#This Row],[PointsFor]]-Games[[#This Row],[PointsAgainst]]</f>
        <v>-1</v>
      </c>
      <c r="V346" s="1">
        <f>IF(Games[[#This Row],[MOV]]&gt;0,1,IF(Games[[#This Row],[MOV]]=0,0.5,0))</f>
        <v>0</v>
      </c>
      <c r="W346" s="4">
        <f>((ABS(Games[[#This Row],[MOV]])+5)^0.6)/(12+0.01*(ABS(Games[[#This Row],[PreGmRate]]-Games[[#This Row],[OppPreGmRate]])))*IF(Games[[#This Row],[OT]]=1,0.9,1)</f>
        <v>0.22885868054470973</v>
      </c>
      <c r="X346" s="7" cm="1">
        <f t="array" ref="X34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6" s="9">
        <f>MAX(kmin, kmax - 0.15 * MIN(Games[[#This Row],[GamesPlayed]], 82))</f>
        <v>71.650000000000006</v>
      </c>
      <c r="Z346" s="4">
        <f>Games[[#This Row],[K]]*Games[[#This Row],[POMult]]</f>
        <v>71.650000000000006</v>
      </c>
      <c r="AA346" s="4">
        <f>(Games[[#This Row],[Keff]]*Games[[#This Row],[MOVMult]])*(Games[[#This Row],[Result]]-Games[[#This Row],[ExpectedWin%]])</f>
        <v>-8.8660215685328971</v>
      </c>
      <c r="AB346" s="4">
        <f>Games[[#This Row],[PreGmRate]]+Games[[#This Row],[RatingChange]]</f>
        <v>1487.1488718366943</v>
      </c>
      <c r="AC346" s="2">
        <f>IF(Games[[#This Row],[Type]]="R",IF(Games[[#This Row],[Result]]&gt;0.5,1,0),0)</f>
        <v>0</v>
      </c>
      <c r="AD346" s="2">
        <f>IF(Games[[#This Row],[Type]]="R",IF(Games[[#This Row],[Result]]&lt;0.5,1,0),0)</f>
        <v>1</v>
      </c>
      <c r="AE346" s="2">
        <f>IF(AND(Games[[#This Row],[Type]]="P",Games[[#This Row],[Round]]=1),IF(Games[[#This Row],[Result]]&gt;0.5,1,0),0)</f>
        <v>0</v>
      </c>
      <c r="AF346" s="2">
        <f>IF(AND(Games[[#This Row],[Type]]="P",Games[[#This Row],[Round]]=1),IF(Games[[#This Row],[Result]]&lt;0.5,1,0),0)</f>
        <v>0</v>
      </c>
      <c r="AG346" s="2">
        <f>IF(AND(Games[[#This Row],[Type]]="P",Games[[#This Row],[Round]]=2),IF(Games[[#This Row],[Result]]&gt;0.5,1,0),0)</f>
        <v>0</v>
      </c>
      <c r="AH346" s="2">
        <f>IF(AND(Games[[#This Row],[Type]]="P",Games[[#This Row],[Round]]=2),IF(Games[[#This Row],[Result]]&lt;0.5,1,0),0)</f>
        <v>0</v>
      </c>
      <c r="AI346" s="2">
        <f>IF(AND(Games[[#This Row],[Type]]="P",Games[[#This Row],[Round]]=3),IF(Games[[#This Row],[Result]]&gt;0.5,1,0),0)</f>
        <v>0</v>
      </c>
      <c r="AJ346" s="2">
        <f>IF(AND(Games[[#This Row],[Type]]="P",Games[[#This Row],[Round]]=3),IF(Games[[#This Row],[Result]]&lt;0.5,1,0),0)</f>
        <v>0</v>
      </c>
      <c r="AK346" s="2">
        <f>IF(AND(Games[[#This Row],[Type]]="P",Games[[#This Row],[Round]]=4),IF(Games[[#This Row],[Result]]&gt;0.5,1,0),0)</f>
        <v>0</v>
      </c>
      <c r="AL346" s="2">
        <f>IF(AND(Games[[#This Row],[Type]]="P",Games[[#This Row],[Round]]=4),IF(Games[[#This Row],[Result]]&lt;0.5,1,0),0)</f>
        <v>0</v>
      </c>
    </row>
    <row r="347" spans="1:38" x14ac:dyDescent="0.35">
      <c r="A347" s="10">
        <v>45148</v>
      </c>
      <c r="B347" s="2">
        <v>2023</v>
      </c>
      <c r="C347" s="2">
        <f>COUNTIFS(Games[Team],Games[[#This Row],[Team]],Games[Season],Games[[#This Row],[Season]],Games[Date],"&lt;=" &amp; Games[[#This Row],[Date]])</f>
        <v>29</v>
      </c>
      <c r="D347" s="2" t="s">
        <v>79</v>
      </c>
      <c r="E347" s="2" t="s">
        <v>80</v>
      </c>
      <c r="F347" s="1" t="s">
        <v>71</v>
      </c>
      <c r="G347" s="1" t="s">
        <v>77</v>
      </c>
      <c r="H347" s="1" t="s">
        <v>82</v>
      </c>
      <c r="I347" s="2" cm="1">
        <f t="array" ref="I3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7" s="2" cm="1">
        <f t="array" ref="J34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47" s="2">
        <f>Games[[#This Row],[DaysOff]]-Games[[#This Row],[OppDaysOff]]</f>
        <v>-2</v>
      </c>
      <c r="L347" s="2">
        <f>Games[[#This Row],[OppDaysOff]]-Games[[#This Row],[DaysOff]]</f>
        <v>2</v>
      </c>
      <c r="M347" s="1">
        <f>MAX(-16, MIN(16, Games[[#This Row],[RestDiff]]*8))</f>
        <v>-16</v>
      </c>
      <c r="N347" s="1">
        <f>MAX(-16, MIN(16, Games[[#This Row],[OppRestDiff]]*8))</f>
        <v>16</v>
      </c>
      <c r="O347" s="4" cm="1">
        <f t="array" ref="O3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1415.6806519382153</v>
      </c>
      <c r="P347" s="4" cm="1">
        <f t="array" ref="P3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1496.0148934052272</v>
      </c>
      <c r="Q347" s="4">
        <f>1/(1+10^(((Games[[#This Row],[OppPreGmRate]]+IF(Games[[#This Row],[HomeAway]]="A",HCA,0)+Games[[#This Row],[OppRestAdj]])-(Games[[#This Row],[PreGmRate]]+IF(Games[[#This Row],[HomeAway]]="H",HCA,0)+Games[[#This Row],[RestAdj]]))/400))</f>
        <v>0.45931390726778765</v>
      </c>
      <c r="R347" s="1">
        <v>68</v>
      </c>
      <c r="S347" s="1">
        <v>67</v>
      </c>
      <c r="T347" s="1">
        <v>0</v>
      </c>
      <c r="U347" s="1">
        <f>Games[[#This Row],[PointsFor]]-Games[[#This Row],[PointsAgainst]]</f>
        <v>1</v>
      </c>
      <c r="V347" s="1">
        <f>IF(Games[[#This Row],[MOV]]&gt;0,1,IF(Games[[#This Row],[MOV]]=0,0.5,0))</f>
        <v>1</v>
      </c>
      <c r="W347" s="4">
        <f>((ABS(Games[[#This Row],[MOV]])+5)^0.6)/(12+0.01*(ABS(Games[[#This Row],[PreGmRate]]-Games[[#This Row],[OppPreGmRate]])))*IF(Games[[#This Row],[OT]]=1,0.9,1)</f>
        <v>0.22885868054470973</v>
      </c>
      <c r="X347" s="7" cm="1">
        <f t="array" ref="X34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7" s="9">
        <f>MAX(kmin, kmax - 0.15 * MIN(Games[[#This Row],[GamesPlayed]], 82))</f>
        <v>71.650000000000006</v>
      </c>
      <c r="Z347" s="4">
        <f>Games[[#This Row],[K]]*Games[[#This Row],[POMult]]</f>
        <v>71.650000000000006</v>
      </c>
      <c r="AA347" s="4">
        <f>(Games[[#This Row],[Keff]]*Games[[#This Row],[MOVMult]])*(Games[[#This Row],[Result]]-Games[[#This Row],[ExpectedWin%]])</f>
        <v>8.8660215685328971</v>
      </c>
      <c r="AB347" s="4">
        <f>Games[[#This Row],[PreGmRate]]+Games[[#This Row],[RatingChange]]</f>
        <v>1424.5466735067482</v>
      </c>
      <c r="AC347" s="2">
        <f>IF(Games[[#This Row],[Type]]="R",IF(Games[[#This Row],[Result]]&gt;0.5,1,0),0)</f>
        <v>1</v>
      </c>
      <c r="AD347" s="2">
        <f>IF(Games[[#This Row],[Type]]="R",IF(Games[[#This Row],[Result]]&lt;0.5,1,0),0)</f>
        <v>0</v>
      </c>
      <c r="AE347" s="2">
        <f>IF(AND(Games[[#This Row],[Type]]="P",Games[[#This Row],[Round]]=1),IF(Games[[#This Row],[Result]]&gt;0.5,1,0),0)</f>
        <v>0</v>
      </c>
      <c r="AF347" s="2">
        <f>IF(AND(Games[[#This Row],[Type]]="P",Games[[#This Row],[Round]]=1),IF(Games[[#This Row],[Result]]&lt;0.5,1,0),0)</f>
        <v>0</v>
      </c>
      <c r="AG347" s="2">
        <f>IF(AND(Games[[#This Row],[Type]]="P",Games[[#This Row],[Round]]=2),IF(Games[[#This Row],[Result]]&gt;0.5,1,0),0)</f>
        <v>0</v>
      </c>
      <c r="AH347" s="2">
        <f>IF(AND(Games[[#This Row],[Type]]="P",Games[[#This Row],[Round]]=2),IF(Games[[#This Row],[Result]]&lt;0.5,1,0),0)</f>
        <v>0</v>
      </c>
      <c r="AI347" s="2">
        <f>IF(AND(Games[[#This Row],[Type]]="P",Games[[#This Row],[Round]]=3),IF(Games[[#This Row],[Result]]&gt;0.5,1,0),0)</f>
        <v>0</v>
      </c>
      <c r="AJ347" s="2">
        <f>IF(AND(Games[[#This Row],[Type]]="P",Games[[#This Row],[Round]]=3),IF(Games[[#This Row],[Result]]&lt;0.5,1,0),0)</f>
        <v>0</v>
      </c>
      <c r="AK347" s="2">
        <f>IF(AND(Games[[#This Row],[Type]]="P",Games[[#This Row],[Round]]=4),IF(Games[[#This Row],[Result]]&gt;0.5,1,0),0)</f>
        <v>0</v>
      </c>
      <c r="AL347" s="2">
        <f>IF(AND(Games[[#This Row],[Type]]="P",Games[[#This Row],[Round]]=4),IF(Games[[#This Row],[Result]]&lt;0.5,1,0),0)</f>
        <v>0</v>
      </c>
    </row>
    <row r="348" spans="1:38" x14ac:dyDescent="0.35">
      <c r="A348" s="10">
        <v>45149</v>
      </c>
      <c r="B348" s="2">
        <v>2023</v>
      </c>
      <c r="C348" s="2">
        <f>COUNTIFS(Games[Team],Games[[#This Row],[Team]],Games[Season],Games[[#This Row],[Season]],Games[Date],"&lt;=" &amp; Games[[#This Row],[Date]])</f>
        <v>29</v>
      </c>
      <c r="D348" s="2" t="s">
        <v>79</v>
      </c>
      <c r="E348" s="2" t="s">
        <v>80</v>
      </c>
      <c r="F348" s="1" t="s">
        <v>65</v>
      </c>
      <c r="G348" s="1" t="s">
        <v>86</v>
      </c>
      <c r="H348" s="1" t="s">
        <v>81</v>
      </c>
      <c r="I348" s="2" cm="1">
        <f t="array" ref="I3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8" s="2" cm="1">
        <f t="array" ref="J3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8" s="2">
        <f>Games[[#This Row],[DaysOff]]-Games[[#This Row],[OppDaysOff]]</f>
        <v>0</v>
      </c>
      <c r="L348" s="2">
        <f>Games[[#This Row],[OppDaysOff]]-Games[[#This Row],[DaysOff]]</f>
        <v>0</v>
      </c>
      <c r="M348" s="1">
        <f>MAX(-16, MIN(16, Games[[#This Row],[RestDiff]]*8))</f>
        <v>0</v>
      </c>
      <c r="N348" s="1">
        <f>MAX(-16, MIN(16, Games[[#This Row],[OppRestDiff]]*8))</f>
        <v>0</v>
      </c>
      <c r="O348" s="4" cm="1">
        <f t="array" ref="O3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1452.547012348411</v>
      </c>
      <c r="P348" s="4" cm="1">
        <f t="array" ref="P3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1743.5631460905026</v>
      </c>
      <c r="Q348" s="4">
        <f>1/(1+10^(((Games[[#This Row],[OppPreGmRate]]+IF(Games[[#This Row],[HomeAway]]="A",HCA,0)+Games[[#This Row],[OppRestAdj]])-(Games[[#This Row],[PreGmRate]]+IF(Games[[#This Row],[HomeAway]]="H",HCA,0)+Games[[#This Row],[RestAdj]]))/400))</f>
        <v>0.10351487318592136</v>
      </c>
      <c r="R348" s="1">
        <v>89</v>
      </c>
      <c r="S348" s="1">
        <v>113</v>
      </c>
      <c r="T348" s="1">
        <v>0</v>
      </c>
      <c r="U348" s="1">
        <f>Games[[#This Row],[PointsFor]]-Games[[#This Row],[PointsAgainst]]</f>
        <v>-24</v>
      </c>
      <c r="V348" s="1">
        <f>IF(Games[[#This Row],[MOV]]&gt;0,1,IF(Games[[#This Row],[MOV]]=0,0.5,0))</f>
        <v>0</v>
      </c>
      <c r="W348" s="4">
        <f>((ABS(Games[[#This Row],[MOV]])+5)^0.6)/(12+0.01*(ABS(Games[[#This Row],[PreGmRate]]-Games[[#This Row],[OppPreGmRate]])))*IF(Games[[#This Row],[OT]]=1,0.9,1)</f>
        <v>0.50577394856560776</v>
      </c>
      <c r="X348" s="7" cm="1">
        <f t="array" ref="X34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8" s="9">
        <f>MAX(kmin, kmax - 0.15 * MIN(Games[[#This Row],[GamesPlayed]], 82))</f>
        <v>71.650000000000006</v>
      </c>
      <c r="Z348" s="4">
        <f>Games[[#This Row],[K]]*Games[[#This Row],[POMult]]</f>
        <v>71.650000000000006</v>
      </c>
      <c r="AA348" s="4">
        <f>(Games[[#This Row],[Keff]]*Games[[#This Row],[MOVMult]])*(Games[[#This Row],[Result]]-Games[[#This Row],[ExpectedWin%]])</f>
        <v>-3.7512447883975559</v>
      </c>
      <c r="AB348" s="4">
        <f>Games[[#This Row],[PreGmRate]]+Games[[#This Row],[RatingChange]]</f>
        <v>1448.7957675600135</v>
      </c>
      <c r="AC348" s="2">
        <f>IF(Games[[#This Row],[Type]]="R",IF(Games[[#This Row],[Result]]&gt;0.5,1,0),0)</f>
        <v>0</v>
      </c>
      <c r="AD348" s="2">
        <f>IF(Games[[#This Row],[Type]]="R",IF(Games[[#This Row],[Result]]&lt;0.5,1,0),0)</f>
        <v>1</v>
      </c>
      <c r="AE348" s="2">
        <f>IF(AND(Games[[#This Row],[Type]]="P",Games[[#This Row],[Round]]=1),IF(Games[[#This Row],[Result]]&gt;0.5,1,0),0)</f>
        <v>0</v>
      </c>
      <c r="AF348" s="2">
        <f>IF(AND(Games[[#This Row],[Type]]="P",Games[[#This Row],[Round]]=1),IF(Games[[#This Row],[Result]]&lt;0.5,1,0),0)</f>
        <v>0</v>
      </c>
      <c r="AG348" s="2">
        <f>IF(AND(Games[[#This Row],[Type]]="P",Games[[#This Row],[Round]]=2),IF(Games[[#This Row],[Result]]&gt;0.5,1,0),0)</f>
        <v>0</v>
      </c>
      <c r="AH348" s="2">
        <f>IF(AND(Games[[#This Row],[Type]]="P",Games[[#This Row],[Round]]=2),IF(Games[[#This Row],[Result]]&lt;0.5,1,0),0)</f>
        <v>0</v>
      </c>
      <c r="AI348" s="2">
        <f>IF(AND(Games[[#This Row],[Type]]="P",Games[[#This Row],[Round]]=3),IF(Games[[#This Row],[Result]]&gt;0.5,1,0),0)</f>
        <v>0</v>
      </c>
      <c r="AJ348" s="2">
        <f>IF(AND(Games[[#This Row],[Type]]="P",Games[[#This Row],[Round]]=3),IF(Games[[#This Row],[Result]]&lt;0.5,1,0),0)</f>
        <v>0</v>
      </c>
      <c r="AK348" s="2">
        <f>IF(AND(Games[[#This Row],[Type]]="P",Games[[#This Row],[Round]]=4),IF(Games[[#This Row],[Result]]&gt;0.5,1,0),0)</f>
        <v>0</v>
      </c>
      <c r="AL348" s="2">
        <f>IF(AND(Games[[#This Row],[Type]]="P",Games[[#This Row],[Round]]=4),IF(Games[[#This Row],[Result]]&lt;0.5,1,0),0)</f>
        <v>0</v>
      </c>
    </row>
    <row r="349" spans="1:38" x14ac:dyDescent="0.35">
      <c r="A349" s="10">
        <v>45149</v>
      </c>
      <c r="B349" s="2">
        <v>2023</v>
      </c>
      <c r="C349" s="2">
        <f>COUNTIFS(Games[Team],Games[[#This Row],[Team]],Games[Season],Games[[#This Row],[Season]],Games[Date],"&lt;=" &amp; Games[[#This Row],[Date]])</f>
        <v>29</v>
      </c>
      <c r="D349" s="2" t="s">
        <v>79</v>
      </c>
      <c r="E349" s="2" t="s">
        <v>80</v>
      </c>
      <c r="F349" s="1" t="s">
        <v>86</v>
      </c>
      <c r="G349" s="1" t="s">
        <v>65</v>
      </c>
      <c r="H349" s="1" t="s">
        <v>82</v>
      </c>
      <c r="I349" s="2" cm="1">
        <f t="array" ref="I3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9" s="2" cm="1">
        <f t="array" ref="J3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9" s="2">
        <f>Games[[#This Row],[DaysOff]]-Games[[#This Row],[OppDaysOff]]</f>
        <v>0</v>
      </c>
      <c r="L349" s="2">
        <f>Games[[#This Row],[OppDaysOff]]-Games[[#This Row],[DaysOff]]</f>
        <v>0</v>
      </c>
      <c r="M349" s="1">
        <f>MAX(-16, MIN(16, Games[[#This Row],[RestDiff]]*8))</f>
        <v>0</v>
      </c>
      <c r="N349" s="1">
        <f>MAX(-16, MIN(16, Games[[#This Row],[OppRestDiff]]*8))</f>
        <v>0</v>
      </c>
      <c r="O349" s="4" cm="1">
        <f t="array" ref="O3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1743.5631460905026</v>
      </c>
      <c r="P349" s="4" cm="1">
        <f t="array" ref="P3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1452.547012348411</v>
      </c>
      <c r="Q349" s="4">
        <f>1/(1+10^(((Games[[#This Row],[OppPreGmRate]]+IF(Games[[#This Row],[HomeAway]]="A",HCA,0)+Games[[#This Row],[OppRestAdj]])-(Games[[#This Row],[PreGmRate]]+IF(Games[[#This Row],[HomeAway]]="H",HCA,0)+Games[[#This Row],[RestAdj]]))/400))</f>
        <v>0.89648512681407866</v>
      </c>
      <c r="R349" s="1">
        <v>113</v>
      </c>
      <c r="S349" s="1">
        <v>89</v>
      </c>
      <c r="T349" s="1">
        <v>0</v>
      </c>
      <c r="U349" s="1">
        <f>Games[[#This Row],[PointsFor]]-Games[[#This Row],[PointsAgainst]]</f>
        <v>24</v>
      </c>
      <c r="V349" s="1">
        <f>IF(Games[[#This Row],[MOV]]&gt;0,1,IF(Games[[#This Row],[MOV]]=0,0.5,0))</f>
        <v>1</v>
      </c>
      <c r="W349" s="4">
        <f>((ABS(Games[[#This Row],[MOV]])+5)^0.6)/(12+0.01*(ABS(Games[[#This Row],[PreGmRate]]-Games[[#This Row],[OppPreGmRate]])))*IF(Games[[#This Row],[OT]]=1,0.9,1)</f>
        <v>0.50577394856560776</v>
      </c>
      <c r="X349" s="7" cm="1">
        <f t="array" ref="X34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9" s="9">
        <f>MAX(kmin, kmax - 0.15 * MIN(Games[[#This Row],[GamesPlayed]], 82))</f>
        <v>71.650000000000006</v>
      </c>
      <c r="Z349" s="4">
        <f>Games[[#This Row],[K]]*Games[[#This Row],[POMult]]</f>
        <v>71.650000000000006</v>
      </c>
      <c r="AA349" s="4">
        <f>(Games[[#This Row],[Keff]]*Games[[#This Row],[MOVMult]])*(Games[[#This Row],[Result]]-Games[[#This Row],[ExpectedWin%]])</f>
        <v>3.7512447883975555</v>
      </c>
      <c r="AB349" s="4">
        <f>Games[[#This Row],[PreGmRate]]+Games[[#This Row],[RatingChange]]</f>
        <v>1747.3143908789002</v>
      </c>
      <c r="AC349" s="2">
        <f>IF(Games[[#This Row],[Type]]="R",IF(Games[[#This Row],[Result]]&gt;0.5,1,0),0)</f>
        <v>1</v>
      </c>
      <c r="AD349" s="2">
        <f>IF(Games[[#This Row],[Type]]="R",IF(Games[[#This Row],[Result]]&lt;0.5,1,0),0)</f>
        <v>0</v>
      </c>
      <c r="AE349" s="2">
        <f>IF(AND(Games[[#This Row],[Type]]="P",Games[[#This Row],[Round]]=1),IF(Games[[#This Row],[Result]]&gt;0.5,1,0),0)</f>
        <v>0</v>
      </c>
      <c r="AF349" s="2">
        <f>IF(AND(Games[[#This Row],[Type]]="P",Games[[#This Row],[Round]]=1),IF(Games[[#This Row],[Result]]&lt;0.5,1,0),0)</f>
        <v>0</v>
      </c>
      <c r="AG349" s="2">
        <f>IF(AND(Games[[#This Row],[Type]]="P",Games[[#This Row],[Round]]=2),IF(Games[[#This Row],[Result]]&gt;0.5,1,0),0)</f>
        <v>0</v>
      </c>
      <c r="AH349" s="2">
        <f>IF(AND(Games[[#This Row],[Type]]="P",Games[[#This Row],[Round]]=2),IF(Games[[#This Row],[Result]]&lt;0.5,1,0),0)</f>
        <v>0</v>
      </c>
      <c r="AI349" s="2">
        <f>IF(AND(Games[[#This Row],[Type]]="P",Games[[#This Row],[Round]]=3),IF(Games[[#This Row],[Result]]&gt;0.5,1,0),0)</f>
        <v>0</v>
      </c>
      <c r="AJ349" s="2">
        <f>IF(AND(Games[[#This Row],[Type]]="P",Games[[#This Row],[Round]]=3),IF(Games[[#This Row],[Result]]&lt;0.5,1,0),0)</f>
        <v>0</v>
      </c>
      <c r="AK349" s="2">
        <f>IF(AND(Games[[#This Row],[Type]]="P",Games[[#This Row],[Round]]=4),IF(Games[[#This Row],[Result]]&gt;0.5,1,0),0)</f>
        <v>0</v>
      </c>
      <c r="AL349" s="2">
        <f>IF(AND(Games[[#This Row],[Type]]="P",Games[[#This Row],[Round]]=4),IF(Games[[#This Row],[Result]]&lt;0.5,1,0),0)</f>
        <v>0</v>
      </c>
    </row>
    <row r="350" spans="1:38" x14ac:dyDescent="0.35">
      <c r="A350" s="10">
        <v>45149</v>
      </c>
      <c r="B350" s="2">
        <v>2023</v>
      </c>
      <c r="C350" s="2">
        <f>COUNTIFS(Games[Team],Games[[#This Row],[Team]],Games[Season],Games[[#This Row],[Season]],Games[Date],"&lt;=" &amp; Games[[#This Row],[Date]])</f>
        <v>29</v>
      </c>
      <c r="D350" s="2" t="s">
        <v>79</v>
      </c>
      <c r="E350" s="2" t="s">
        <v>80</v>
      </c>
      <c r="F350" s="1" t="s">
        <v>75</v>
      </c>
      <c r="G350" s="1" t="s">
        <v>60</v>
      </c>
      <c r="H350" s="1" t="s">
        <v>81</v>
      </c>
      <c r="I350" s="2" cm="1">
        <f t="array" ref="I3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0" s="2" cm="1">
        <f t="array" ref="J35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50" s="2">
        <f>Games[[#This Row],[DaysOff]]-Games[[#This Row],[OppDaysOff]]</f>
        <v>-2</v>
      </c>
      <c r="L350" s="2">
        <f>Games[[#This Row],[OppDaysOff]]-Games[[#This Row],[DaysOff]]</f>
        <v>2</v>
      </c>
      <c r="M350" s="1">
        <f>MAX(-16, MIN(16, Games[[#This Row],[RestDiff]]*8))</f>
        <v>-16</v>
      </c>
      <c r="N350" s="1">
        <f>MAX(-16, MIN(16, Games[[#This Row],[OppRestDiff]]*8))</f>
        <v>16</v>
      </c>
      <c r="O350" s="4" cm="1">
        <f t="array" ref="O3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1470.4425788708268</v>
      </c>
      <c r="P350" s="4" cm="1">
        <f t="array" ref="P3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1658.3570286898923</v>
      </c>
      <c r="Q350" s="4">
        <f>1/(1+10^(((Games[[#This Row],[OppPreGmRate]]+IF(Games[[#This Row],[HomeAway]]="A",HCA,0)+Games[[#This Row],[OppRestAdj]])-(Games[[#This Row],[PreGmRate]]+IF(Games[[#This Row],[HomeAway]]="H",HCA,0)+Games[[#This Row],[RestAdj]]))/400))</f>
        <v>0.14811378086787927</v>
      </c>
      <c r="R350" s="1">
        <v>73</v>
      </c>
      <c r="S350" s="1">
        <v>89</v>
      </c>
      <c r="T350" s="1">
        <v>0</v>
      </c>
      <c r="U350" s="1">
        <f>Games[[#This Row],[PointsFor]]-Games[[#This Row],[PointsAgainst]]</f>
        <v>-16</v>
      </c>
      <c r="V350" s="1">
        <f>IF(Games[[#This Row],[MOV]]&gt;0,1,IF(Games[[#This Row],[MOV]]=0,0.5,0))</f>
        <v>0</v>
      </c>
      <c r="W350" s="4">
        <f>((ABS(Games[[#This Row],[MOV]])+5)^0.6)/(12+0.01*(ABS(Games[[#This Row],[PreGmRate]]-Games[[#This Row],[OppPreGmRate]])))*IF(Games[[#This Row],[OT]]=1,0.9,1)</f>
        <v>0.44768122330383925</v>
      </c>
      <c r="X350" s="7" cm="1">
        <f t="array" ref="X35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0" s="9">
        <f>MAX(kmin, kmax - 0.15 * MIN(Games[[#This Row],[GamesPlayed]], 82))</f>
        <v>71.650000000000006</v>
      </c>
      <c r="Z350" s="4">
        <f>Games[[#This Row],[K]]*Games[[#This Row],[POMult]]</f>
        <v>71.650000000000006</v>
      </c>
      <c r="AA350" s="4">
        <f>(Games[[#This Row],[Keff]]*Games[[#This Row],[MOVMult]])*(Games[[#This Row],[Result]]-Games[[#This Row],[ExpectedWin%]])</f>
        <v>-4.750950904197925</v>
      </c>
      <c r="AB350" s="4">
        <f>Games[[#This Row],[PreGmRate]]+Games[[#This Row],[RatingChange]]</f>
        <v>1465.6916279666289</v>
      </c>
      <c r="AC350" s="2">
        <f>IF(Games[[#This Row],[Type]]="R",IF(Games[[#This Row],[Result]]&gt;0.5,1,0),0)</f>
        <v>0</v>
      </c>
      <c r="AD350" s="2">
        <f>IF(Games[[#This Row],[Type]]="R",IF(Games[[#This Row],[Result]]&lt;0.5,1,0),0)</f>
        <v>1</v>
      </c>
      <c r="AE350" s="2">
        <f>IF(AND(Games[[#This Row],[Type]]="P",Games[[#This Row],[Round]]=1),IF(Games[[#This Row],[Result]]&gt;0.5,1,0),0)</f>
        <v>0</v>
      </c>
      <c r="AF350" s="2">
        <f>IF(AND(Games[[#This Row],[Type]]="P",Games[[#This Row],[Round]]=1),IF(Games[[#This Row],[Result]]&lt;0.5,1,0),0)</f>
        <v>0</v>
      </c>
      <c r="AG350" s="2">
        <f>IF(AND(Games[[#This Row],[Type]]="P",Games[[#This Row],[Round]]=2),IF(Games[[#This Row],[Result]]&gt;0.5,1,0),0)</f>
        <v>0</v>
      </c>
      <c r="AH350" s="2">
        <f>IF(AND(Games[[#This Row],[Type]]="P",Games[[#This Row],[Round]]=2),IF(Games[[#This Row],[Result]]&lt;0.5,1,0),0)</f>
        <v>0</v>
      </c>
      <c r="AI350" s="2">
        <f>IF(AND(Games[[#This Row],[Type]]="P",Games[[#This Row],[Round]]=3),IF(Games[[#This Row],[Result]]&gt;0.5,1,0),0)</f>
        <v>0</v>
      </c>
      <c r="AJ350" s="2">
        <f>IF(AND(Games[[#This Row],[Type]]="P",Games[[#This Row],[Round]]=3),IF(Games[[#This Row],[Result]]&lt;0.5,1,0),0)</f>
        <v>0</v>
      </c>
      <c r="AK350" s="2">
        <f>IF(AND(Games[[#This Row],[Type]]="P",Games[[#This Row],[Round]]=4),IF(Games[[#This Row],[Result]]&gt;0.5,1,0),0)</f>
        <v>0</v>
      </c>
      <c r="AL350" s="2">
        <f>IF(AND(Games[[#This Row],[Type]]="P",Games[[#This Row],[Round]]=4),IF(Games[[#This Row],[Result]]&lt;0.5,1,0),0)</f>
        <v>0</v>
      </c>
    </row>
    <row r="351" spans="1:38" x14ac:dyDescent="0.35">
      <c r="A351" s="10">
        <v>45149</v>
      </c>
      <c r="B351" s="2">
        <v>2023</v>
      </c>
      <c r="C351" s="2">
        <f>COUNTIFS(Games[Team],Games[[#This Row],[Team]],Games[Season],Games[[#This Row],[Season]],Games[Date],"&lt;=" &amp; Games[[#This Row],[Date]])</f>
        <v>29</v>
      </c>
      <c r="D351" s="2" t="s">
        <v>79</v>
      </c>
      <c r="E351" s="2" t="s">
        <v>80</v>
      </c>
      <c r="F351" s="1" t="s">
        <v>60</v>
      </c>
      <c r="G351" s="1" t="s">
        <v>75</v>
      </c>
      <c r="H351" s="1" t="s">
        <v>82</v>
      </c>
      <c r="I351" s="2" cm="1">
        <f t="array" ref="I351">IFERROR(
    Games[[#This Row],[Date]]
    - LOOKUP(
        2,
        1/((Games[Team]=Games[[#This Row],[Team]]) * (Games[Date] &lt; Games[[#This Row],[Date]])),
        Games[Date]
    )
    - 1,
Games[[#This Row],[Date]]-$A$2)</f>
        <v>4</v>
      </c>
      <c r="J351" s="2" cm="1">
        <f t="array" ref="J3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1" s="2">
        <f>Games[[#This Row],[DaysOff]]-Games[[#This Row],[OppDaysOff]]</f>
        <v>2</v>
      </c>
      <c r="L351" s="2">
        <f>Games[[#This Row],[OppDaysOff]]-Games[[#This Row],[DaysOff]]</f>
        <v>-2</v>
      </c>
      <c r="M351" s="1">
        <f>MAX(-16, MIN(16, Games[[#This Row],[RestDiff]]*8))</f>
        <v>16</v>
      </c>
      <c r="N351" s="1">
        <f>MAX(-16, MIN(16, Games[[#This Row],[OppRestDiff]]*8))</f>
        <v>-16</v>
      </c>
      <c r="O351" s="4" cm="1">
        <f t="array" ref="O3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1658.3570286898923</v>
      </c>
      <c r="P351" s="4" cm="1">
        <f t="array" ref="P3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1470.4425788708268</v>
      </c>
      <c r="Q351" s="4">
        <f>1/(1+10^(((Games[[#This Row],[OppPreGmRate]]+IF(Games[[#This Row],[HomeAway]]="A",HCA,0)+Games[[#This Row],[OppRestAdj]])-(Games[[#This Row],[PreGmRate]]+IF(Games[[#This Row],[HomeAway]]="H",HCA,0)+Games[[#This Row],[RestAdj]]))/400))</f>
        <v>0.8518862191321207</v>
      </c>
      <c r="R351" s="1">
        <v>89</v>
      </c>
      <c r="S351" s="1">
        <v>73</v>
      </c>
      <c r="T351" s="1">
        <v>0</v>
      </c>
      <c r="U351" s="1">
        <f>Games[[#This Row],[PointsFor]]-Games[[#This Row],[PointsAgainst]]</f>
        <v>16</v>
      </c>
      <c r="V351" s="1">
        <f>IF(Games[[#This Row],[MOV]]&gt;0,1,IF(Games[[#This Row],[MOV]]=0,0.5,0))</f>
        <v>1</v>
      </c>
      <c r="W351" s="4">
        <f>((ABS(Games[[#This Row],[MOV]])+5)^0.6)/(12+0.01*(ABS(Games[[#This Row],[PreGmRate]]-Games[[#This Row],[OppPreGmRate]])))*IF(Games[[#This Row],[OT]]=1,0.9,1)</f>
        <v>0.44768122330383925</v>
      </c>
      <c r="X351" s="7" cm="1">
        <f t="array" ref="X35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1" s="9">
        <f>MAX(kmin, kmax - 0.15 * MIN(Games[[#This Row],[GamesPlayed]], 82))</f>
        <v>71.650000000000006</v>
      </c>
      <c r="Z351" s="4">
        <f>Games[[#This Row],[K]]*Games[[#This Row],[POMult]]</f>
        <v>71.650000000000006</v>
      </c>
      <c r="AA351" s="4">
        <f>(Games[[#This Row],[Keff]]*Games[[#This Row],[MOVMult]])*(Games[[#This Row],[Result]]-Games[[#This Row],[ExpectedWin%]])</f>
        <v>4.7509509041979259</v>
      </c>
      <c r="AB351" s="4">
        <f>Games[[#This Row],[PreGmRate]]+Games[[#This Row],[RatingChange]]</f>
        <v>1663.1079795940902</v>
      </c>
      <c r="AC351" s="2">
        <f>IF(Games[[#This Row],[Type]]="R",IF(Games[[#This Row],[Result]]&gt;0.5,1,0),0)</f>
        <v>1</v>
      </c>
      <c r="AD351" s="2">
        <f>IF(Games[[#This Row],[Type]]="R",IF(Games[[#This Row],[Result]]&lt;0.5,1,0),0)</f>
        <v>0</v>
      </c>
      <c r="AE351" s="2">
        <f>IF(AND(Games[[#This Row],[Type]]="P",Games[[#This Row],[Round]]=1),IF(Games[[#This Row],[Result]]&gt;0.5,1,0),0)</f>
        <v>0</v>
      </c>
      <c r="AF351" s="2">
        <f>IF(AND(Games[[#This Row],[Type]]="P",Games[[#This Row],[Round]]=1),IF(Games[[#This Row],[Result]]&lt;0.5,1,0),0)</f>
        <v>0</v>
      </c>
      <c r="AG351" s="2">
        <f>IF(AND(Games[[#This Row],[Type]]="P",Games[[#This Row],[Round]]=2),IF(Games[[#This Row],[Result]]&gt;0.5,1,0),0)</f>
        <v>0</v>
      </c>
      <c r="AH351" s="2">
        <f>IF(AND(Games[[#This Row],[Type]]="P",Games[[#This Row],[Round]]=2),IF(Games[[#This Row],[Result]]&lt;0.5,1,0),0)</f>
        <v>0</v>
      </c>
      <c r="AI351" s="2">
        <f>IF(AND(Games[[#This Row],[Type]]="P",Games[[#This Row],[Round]]=3),IF(Games[[#This Row],[Result]]&gt;0.5,1,0),0)</f>
        <v>0</v>
      </c>
      <c r="AJ351" s="2">
        <f>IF(AND(Games[[#This Row],[Type]]="P",Games[[#This Row],[Round]]=3),IF(Games[[#This Row],[Result]]&lt;0.5,1,0),0)</f>
        <v>0</v>
      </c>
      <c r="AK351" s="2">
        <f>IF(AND(Games[[#This Row],[Type]]="P",Games[[#This Row],[Round]]=4),IF(Games[[#This Row],[Result]]&gt;0.5,1,0),0)</f>
        <v>0</v>
      </c>
      <c r="AL351" s="2">
        <f>IF(AND(Games[[#This Row],[Type]]="P",Games[[#This Row],[Round]]=4),IF(Games[[#This Row],[Result]]&lt;0.5,1,0),0)</f>
        <v>0</v>
      </c>
    </row>
    <row r="352" spans="1:38" x14ac:dyDescent="0.35">
      <c r="A352" s="10">
        <v>45150</v>
      </c>
      <c r="B352" s="2">
        <v>2023</v>
      </c>
      <c r="C352" s="2">
        <f>COUNTIFS(Games[Team],Games[[#This Row],[Team]],Games[Season],Games[[#This Row],[Season]],Games[Date],"&lt;=" &amp; Games[[#This Row],[Date]])</f>
        <v>30</v>
      </c>
      <c r="D352" s="2" t="s">
        <v>79</v>
      </c>
      <c r="E352" s="2" t="s">
        <v>80</v>
      </c>
      <c r="F352" s="1" t="s">
        <v>74</v>
      </c>
      <c r="G352" s="1" t="s">
        <v>85</v>
      </c>
      <c r="H352" s="1" t="s">
        <v>81</v>
      </c>
      <c r="I352" s="2" cm="1">
        <f t="array" ref="I3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2" s="2" cm="1">
        <f t="array" ref="J35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52" s="2">
        <f>Games[[#This Row],[DaysOff]]-Games[[#This Row],[OppDaysOff]]</f>
        <v>-2</v>
      </c>
      <c r="L352" s="2">
        <f>Games[[#This Row],[OppDaysOff]]-Games[[#This Row],[DaysOff]]</f>
        <v>2</v>
      </c>
      <c r="M352" s="1">
        <f>MAX(-16, MIN(16, Games[[#This Row],[RestDiff]]*8))</f>
        <v>-16</v>
      </c>
      <c r="N352" s="1">
        <f>MAX(-16, MIN(16, Games[[#This Row],[OppRestDiff]]*8))</f>
        <v>16</v>
      </c>
      <c r="O352" s="4" cm="1">
        <f t="array" ref="O3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1649.3901172992555</v>
      </c>
      <c r="P352" s="4" cm="1">
        <f t="array" ref="P3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1523.2876273167742</v>
      </c>
      <c r="Q352" s="4">
        <f>1/(1+10^(((Games[[#This Row],[OppPreGmRate]]+IF(Games[[#This Row],[HomeAway]]="A",HCA,0)+Games[[#This Row],[OppRestAdj]])-(Games[[#This Row],[PreGmRate]]+IF(Games[[#This Row],[HomeAway]]="H",HCA,0)+Games[[#This Row],[RestAdj]]))/400))</f>
        <v>0.51453455573142237</v>
      </c>
      <c r="R352" s="1">
        <v>81</v>
      </c>
      <c r="S352" s="1">
        <v>91</v>
      </c>
      <c r="T352" s="1">
        <v>0</v>
      </c>
      <c r="U352" s="1">
        <f>Games[[#This Row],[PointsFor]]-Games[[#This Row],[PointsAgainst]]</f>
        <v>-10</v>
      </c>
      <c r="V352" s="1">
        <f>IF(Games[[#This Row],[MOV]]&gt;0,1,IF(Games[[#This Row],[MOV]]=0,0.5,0))</f>
        <v>0</v>
      </c>
      <c r="W352" s="4">
        <f>((ABS(Games[[#This Row],[MOV]])+5)^0.6)/(12+0.01*(ABS(Games[[#This Row],[PreGmRate]]-Games[[#This Row],[OppPreGmRate]])))*IF(Games[[#This Row],[OT]]=1,0.9,1)</f>
        <v>0.38289321001534998</v>
      </c>
      <c r="X352" s="7" cm="1">
        <f t="array" ref="X35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2" s="9">
        <f>MAX(kmin, kmax - 0.15 * MIN(Games[[#This Row],[GamesPlayed]], 82))</f>
        <v>71.5</v>
      </c>
      <c r="Z352" s="4">
        <f>Games[[#This Row],[K]]*Games[[#This Row],[POMult]]</f>
        <v>71.5</v>
      </c>
      <c r="AA352" s="4">
        <f>(Games[[#This Row],[Keff]]*Games[[#This Row],[MOVMult]])*(Games[[#This Row],[Result]]-Games[[#This Row],[ExpectedWin%]])</f>
        <v>-14.08634282110958</v>
      </c>
      <c r="AB352" s="4">
        <f>Games[[#This Row],[PreGmRate]]+Games[[#This Row],[RatingChange]]</f>
        <v>1635.3037744781459</v>
      </c>
      <c r="AC352" s="2">
        <f>IF(Games[[#This Row],[Type]]="R",IF(Games[[#This Row],[Result]]&gt;0.5,1,0),0)</f>
        <v>0</v>
      </c>
      <c r="AD352" s="2">
        <f>IF(Games[[#This Row],[Type]]="R",IF(Games[[#This Row],[Result]]&lt;0.5,1,0),0)</f>
        <v>1</v>
      </c>
      <c r="AE352" s="2">
        <f>IF(AND(Games[[#This Row],[Type]]="P",Games[[#This Row],[Round]]=1),IF(Games[[#This Row],[Result]]&gt;0.5,1,0),0)</f>
        <v>0</v>
      </c>
      <c r="AF352" s="2">
        <f>IF(AND(Games[[#This Row],[Type]]="P",Games[[#This Row],[Round]]=1),IF(Games[[#This Row],[Result]]&lt;0.5,1,0),0)</f>
        <v>0</v>
      </c>
      <c r="AG352" s="2">
        <f>IF(AND(Games[[#This Row],[Type]]="P",Games[[#This Row],[Round]]=2),IF(Games[[#This Row],[Result]]&gt;0.5,1,0),0)</f>
        <v>0</v>
      </c>
      <c r="AH352" s="2">
        <f>IF(AND(Games[[#This Row],[Type]]="P",Games[[#This Row],[Round]]=2),IF(Games[[#This Row],[Result]]&lt;0.5,1,0),0)</f>
        <v>0</v>
      </c>
      <c r="AI352" s="2">
        <f>IF(AND(Games[[#This Row],[Type]]="P",Games[[#This Row],[Round]]=3),IF(Games[[#This Row],[Result]]&gt;0.5,1,0),0)</f>
        <v>0</v>
      </c>
      <c r="AJ352" s="2">
        <f>IF(AND(Games[[#This Row],[Type]]="P",Games[[#This Row],[Round]]=3),IF(Games[[#This Row],[Result]]&lt;0.5,1,0),0)</f>
        <v>0</v>
      </c>
      <c r="AK352" s="2">
        <f>IF(AND(Games[[#This Row],[Type]]="P",Games[[#This Row],[Round]]=4),IF(Games[[#This Row],[Result]]&gt;0.5,1,0),0)</f>
        <v>0</v>
      </c>
      <c r="AL352" s="2">
        <f>IF(AND(Games[[#This Row],[Type]]="P",Games[[#This Row],[Round]]=4),IF(Games[[#This Row],[Result]]&lt;0.5,1,0),0)</f>
        <v>0</v>
      </c>
    </row>
    <row r="353" spans="1:38" x14ac:dyDescent="0.35">
      <c r="A353" s="10">
        <v>45150</v>
      </c>
      <c r="B353" s="2">
        <v>2023</v>
      </c>
      <c r="C353" s="2">
        <f>COUNTIFS(Games[Team],Games[[#This Row],[Team]],Games[Season],Games[[#This Row],[Season]],Games[Date],"&lt;=" &amp; Games[[#This Row],[Date]])</f>
        <v>30</v>
      </c>
      <c r="D353" s="2" t="s">
        <v>79</v>
      </c>
      <c r="E353" s="2" t="s">
        <v>80</v>
      </c>
      <c r="F353" s="1" t="s">
        <v>85</v>
      </c>
      <c r="G353" s="1" t="s">
        <v>74</v>
      </c>
      <c r="H353" s="1" t="s">
        <v>82</v>
      </c>
      <c r="I353" s="2" cm="1">
        <f t="array" ref="I35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53" s="2" cm="1">
        <f t="array" ref="J3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3" s="2">
        <f>Games[[#This Row],[DaysOff]]-Games[[#This Row],[OppDaysOff]]</f>
        <v>2</v>
      </c>
      <c r="L353" s="2">
        <f>Games[[#This Row],[OppDaysOff]]-Games[[#This Row],[DaysOff]]</f>
        <v>-2</v>
      </c>
      <c r="M353" s="1">
        <f>MAX(-16, MIN(16, Games[[#This Row],[RestDiff]]*8))</f>
        <v>16</v>
      </c>
      <c r="N353" s="1">
        <f>MAX(-16, MIN(16, Games[[#This Row],[OppRestDiff]]*8))</f>
        <v>-16</v>
      </c>
      <c r="O353" s="4" cm="1">
        <f t="array" ref="O3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1523.2876273167742</v>
      </c>
      <c r="P353" s="4" cm="1">
        <f t="array" ref="P3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1649.3901172992555</v>
      </c>
      <c r="Q353" s="4">
        <f>1/(1+10^(((Games[[#This Row],[OppPreGmRate]]+IF(Games[[#This Row],[HomeAway]]="A",HCA,0)+Games[[#This Row],[OppRestAdj]])-(Games[[#This Row],[PreGmRate]]+IF(Games[[#This Row],[HomeAway]]="H",HCA,0)+Games[[#This Row],[RestAdj]]))/400))</f>
        <v>0.48546544426857768</v>
      </c>
      <c r="R353" s="1">
        <v>91</v>
      </c>
      <c r="S353" s="1">
        <v>81</v>
      </c>
      <c r="T353" s="1">
        <v>0</v>
      </c>
      <c r="U353" s="1">
        <f>Games[[#This Row],[PointsFor]]-Games[[#This Row],[PointsAgainst]]</f>
        <v>10</v>
      </c>
      <c r="V353" s="1">
        <f>IF(Games[[#This Row],[MOV]]&gt;0,1,IF(Games[[#This Row],[MOV]]=0,0.5,0))</f>
        <v>1</v>
      </c>
      <c r="W353" s="4">
        <f>((ABS(Games[[#This Row],[MOV]])+5)^0.6)/(12+0.01*(ABS(Games[[#This Row],[PreGmRate]]-Games[[#This Row],[OppPreGmRate]])))*IF(Games[[#This Row],[OT]]=1,0.9,1)</f>
        <v>0.38289321001534998</v>
      </c>
      <c r="X353" s="7" cm="1">
        <f t="array" ref="X35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3" s="9">
        <f>MAX(kmin, kmax - 0.15 * MIN(Games[[#This Row],[GamesPlayed]], 82))</f>
        <v>71.5</v>
      </c>
      <c r="Z353" s="4">
        <f>Games[[#This Row],[K]]*Games[[#This Row],[POMult]]</f>
        <v>71.5</v>
      </c>
      <c r="AA353" s="4">
        <f>(Games[[#This Row],[Keff]]*Games[[#This Row],[MOVMult]])*(Games[[#This Row],[Result]]-Games[[#This Row],[ExpectedWin%]])</f>
        <v>14.086342821109577</v>
      </c>
      <c r="AB353" s="4">
        <f>Games[[#This Row],[PreGmRate]]+Games[[#This Row],[RatingChange]]</f>
        <v>1537.3739701378838</v>
      </c>
      <c r="AC353" s="2">
        <f>IF(Games[[#This Row],[Type]]="R",IF(Games[[#This Row],[Result]]&gt;0.5,1,0),0)</f>
        <v>1</v>
      </c>
      <c r="AD353" s="2">
        <f>IF(Games[[#This Row],[Type]]="R",IF(Games[[#This Row],[Result]]&lt;0.5,1,0),0)</f>
        <v>0</v>
      </c>
      <c r="AE353" s="2">
        <f>IF(AND(Games[[#This Row],[Type]]="P",Games[[#This Row],[Round]]=1),IF(Games[[#This Row],[Result]]&gt;0.5,1,0),0)</f>
        <v>0</v>
      </c>
      <c r="AF353" s="2">
        <f>IF(AND(Games[[#This Row],[Type]]="P",Games[[#This Row],[Round]]=1),IF(Games[[#This Row],[Result]]&lt;0.5,1,0),0)</f>
        <v>0</v>
      </c>
      <c r="AG353" s="2">
        <f>IF(AND(Games[[#This Row],[Type]]="P",Games[[#This Row],[Round]]=2),IF(Games[[#This Row],[Result]]&gt;0.5,1,0),0)</f>
        <v>0</v>
      </c>
      <c r="AH353" s="2">
        <f>IF(AND(Games[[#This Row],[Type]]="P",Games[[#This Row],[Round]]=2),IF(Games[[#This Row],[Result]]&lt;0.5,1,0),0)</f>
        <v>0</v>
      </c>
      <c r="AI353" s="2">
        <f>IF(AND(Games[[#This Row],[Type]]="P",Games[[#This Row],[Round]]=3),IF(Games[[#This Row],[Result]]&gt;0.5,1,0),0)</f>
        <v>0</v>
      </c>
      <c r="AJ353" s="2">
        <f>IF(AND(Games[[#This Row],[Type]]="P",Games[[#This Row],[Round]]=3),IF(Games[[#This Row],[Result]]&lt;0.5,1,0),0)</f>
        <v>0</v>
      </c>
      <c r="AK353" s="2">
        <f>IF(AND(Games[[#This Row],[Type]]="P",Games[[#This Row],[Round]]=4),IF(Games[[#This Row],[Result]]&gt;0.5,1,0),0)</f>
        <v>0</v>
      </c>
      <c r="AL353" s="2">
        <f>IF(AND(Games[[#This Row],[Type]]="P",Games[[#This Row],[Round]]=4),IF(Games[[#This Row],[Result]]&lt;0.5,1,0),0)</f>
        <v>0</v>
      </c>
    </row>
    <row r="354" spans="1:38" x14ac:dyDescent="0.35">
      <c r="A354" s="10">
        <v>45150</v>
      </c>
      <c r="B354" s="2">
        <v>2023</v>
      </c>
      <c r="C354" s="2">
        <f>COUNTIFS(Games[Team],Games[[#This Row],[Team]],Games[Season],Games[[#This Row],[Season]],Games[Date],"&lt;=" &amp; Games[[#This Row],[Date]])</f>
        <v>30</v>
      </c>
      <c r="D354" s="2" t="s">
        <v>79</v>
      </c>
      <c r="E354" s="2" t="s">
        <v>80</v>
      </c>
      <c r="F354" s="1" t="s">
        <v>77</v>
      </c>
      <c r="G354" s="1" t="s">
        <v>63</v>
      </c>
      <c r="H354" s="1" t="s">
        <v>81</v>
      </c>
      <c r="I354" s="2" cm="1">
        <f t="array" ref="I3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4" s="2" cm="1">
        <f t="array" ref="J35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54" s="2">
        <f>Games[[#This Row],[DaysOff]]-Games[[#This Row],[OppDaysOff]]</f>
        <v>-2</v>
      </c>
      <c r="L354" s="2">
        <f>Games[[#This Row],[OppDaysOff]]-Games[[#This Row],[DaysOff]]</f>
        <v>2</v>
      </c>
      <c r="M354" s="1">
        <f>MAX(-16, MIN(16, Games[[#This Row],[RestDiff]]*8))</f>
        <v>-16</v>
      </c>
      <c r="N354" s="1">
        <f>MAX(-16, MIN(16, Games[[#This Row],[OppRestDiff]]*8))</f>
        <v>16</v>
      </c>
      <c r="O354" s="4" cm="1">
        <f t="array" ref="O3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1487.1488718366943</v>
      </c>
      <c r="P354" s="4" cm="1">
        <f t="array" ref="P3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1403.7686304547615</v>
      </c>
      <c r="Q354" s="4">
        <f>1/(1+10^(((Games[[#This Row],[OppPreGmRate]]+IF(Games[[#This Row],[HomeAway]]="A",HCA,0)+Games[[#This Row],[OppRestAdj]])-(Games[[#This Row],[PreGmRate]]+IF(Games[[#This Row],[HomeAway]]="H",HCA,0)+Games[[#This Row],[RestAdj]]))/400))</f>
        <v>0.45319384214981839</v>
      </c>
      <c r="R354" s="1">
        <v>74</v>
      </c>
      <c r="S354" s="1">
        <v>85</v>
      </c>
      <c r="T354" s="1">
        <v>0</v>
      </c>
      <c r="U354" s="1">
        <f>Games[[#This Row],[PointsFor]]-Games[[#This Row],[PointsAgainst]]</f>
        <v>-11</v>
      </c>
      <c r="V354" s="1">
        <f>IF(Games[[#This Row],[MOV]]&gt;0,1,IF(Games[[#This Row],[MOV]]=0,0.5,0))</f>
        <v>0</v>
      </c>
      <c r="W354" s="4">
        <f>((ABS(Games[[#This Row],[MOV]])+5)^0.6)/(12+0.01*(ABS(Games[[#This Row],[PreGmRate]]-Games[[#This Row],[OppPreGmRate]])))*IF(Games[[#This Row],[OT]]=1,0.9,1)</f>
        <v>0.41126016069939164</v>
      </c>
      <c r="X354" s="7" cm="1">
        <f t="array" ref="X35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4" s="9">
        <f>MAX(kmin, kmax - 0.15 * MIN(Games[[#This Row],[GamesPlayed]], 82))</f>
        <v>71.5</v>
      </c>
      <c r="Z354" s="4">
        <f>Games[[#This Row],[K]]*Games[[#This Row],[POMult]]</f>
        <v>71.5</v>
      </c>
      <c r="AA354" s="4">
        <f>(Games[[#This Row],[Keff]]*Games[[#This Row],[MOVMult]])*(Games[[#This Row],[Result]]-Games[[#This Row],[ExpectedWin%]])</f>
        <v>-13.326210923061396</v>
      </c>
      <c r="AB354" s="4">
        <f>Games[[#This Row],[PreGmRate]]+Games[[#This Row],[RatingChange]]</f>
        <v>1473.8226609136329</v>
      </c>
      <c r="AC354" s="2">
        <f>IF(Games[[#This Row],[Type]]="R",IF(Games[[#This Row],[Result]]&gt;0.5,1,0),0)</f>
        <v>0</v>
      </c>
      <c r="AD354" s="2">
        <f>IF(Games[[#This Row],[Type]]="R",IF(Games[[#This Row],[Result]]&lt;0.5,1,0),0)</f>
        <v>1</v>
      </c>
      <c r="AE354" s="2">
        <f>IF(AND(Games[[#This Row],[Type]]="P",Games[[#This Row],[Round]]=1),IF(Games[[#This Row],[Result]]&gt;0.5,1,0),0)</f>
        <v>0</v>
      </c>
      <c r="AF354" s="2">
        <f>IF(AND(Games[[#This Row],[Type]]="P",Games[[#This Row],[Round]]=1),IF(Games[[#This Row],[Result]]&lt;0.5,1,0),0)</f>
        <v>0</v>
      </c>
      <c r="AG354" s="2">
        <f>IF(AND(Games[[#This Row],[Type]]="P",Games[[#This Row],[Round]]=2),IF(Games[[#This Row],[Result]]&gt;0.5,1,0),0)</f>
        <v>0</v>
      </c>
      <c r="AH354" s="2">
        <f>IF(AND(Games[[#This Row],[Type]]="P",Games[[#This Row],[Round]]=2),IF(Games[[#This Row],[Result]]&lt;0.5,1,0),0)</f>
        <v>0</v>
      </c>
      <c r="AI354" s="2">
        <f>IF(AND(Games[[#This Row],[Type]]="P",Games[[#This Row],[Round]]=3),IF(Games[[#This Row],[Result]]&gt;0.5,1,0),0)</f>
        <v>0</v>
      </c>
      <c r="AJ354" s="2">
        <f>IF(AND(Games[[#This Row],[Type]]="P",Games[[#This Row],[Round]]=3),IF(Games[[#This Row],[Result]]&lt;0.5,1,0),0)</f>
        <v>0</v>
      </c>
      <c r="AK354" s="2">
        <f>IF(AND(Games[[#This Row],[Type]]="P",Games[[#This Row],[Round]]=4),IF(Games[[#This Row],[Result]]&gt;0.5,1,0),0)</f>
        <v>0</v>
      </c>
      <c r="AL354" s="2">
        <f>IF(AND(Games[[#This Row],[Type]]="P",Games[[#This Row],[Round]]=4),IF(Games[[#This Row],[Result]]&lt;0.5,1,0),0)</f>
        <v>0</v>
      </c>
    </row>
    <row r="355" spans="1:38" x14ac:dyDescent="0.35">
      <c r="A355" s="10">
        <v>45150</v>
      </c>
      <c r="B355" s="2">
        <v>2023</v>
      </c>
      <c r="C355" s="2">
        <f>COUNTIFS(Games[Team],Games[[#This Row],[Team]],Games[Season],Games[[#This Row],[Season]],Games[Date],"&lt;=" &amp; Games[[#This Row],[Date]])</f>
        <v>30</v>
      </c>
      <c r="D355" s="2" t="s">
        <v>79</v>
      </c>
      <c r="E355" s="2" t="s">
        <v>80</v>
      </c>
      <c r="F355" s="1" t="s">
        <v>63</v>
      </c>
      <c r="G355" s="1" t="s">
        <v>77</v>
      </c>
      <c r="H355" s="1" t="s">
        <v>82</v>
      </c>
      <c r="I355" s="2" cm="1">
        <f t="array" ref="I35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55" s="2" cm="1">
        <f t="array" ref="J3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5" s="2">
        <f>Games[[#This Row],[DaysOff]]-Games[[#This Row],[OppDaysOff]]</f>
        <v>2</v>
      </c>
      <c r="L355" s="2">
        <f>Games[[#This Row],[OppDaysOff]]-Games[[#This Row],[DaysOff]]</f>
        <v>-2</v>
      </c>
      <c r="M355" s="1">
        <f>MAX(-16, MIN(16, Games[[#This Row],[RestDiff]]*8))</f>
        <v>16</v>
      </c>
      <c r="N355" s="1">
        <f>MAX(-16, MIN(16, Games[[#This Row],[OppRestDiff]]*8))</f>
        <v>-16</v>
      </c>
      <c r="O355" s="4" cm="1">
        <f t="array" ref="O3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1403.7686304547615</v>
      </c>
      <c r="P355" s="4" cm="1">
        <f t="array" ref="P3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1487.1488718366943</v>
      </c>
      <c r="Q355" s="4">
        <f>1/(1+10^(((Games[[#This Row],[OppPreGmRate]]+IF(Games[[#This Row],[HomeAway]]="A",HCA,0)+Games[[#This Row],[OppRestAdj]])-(Games[[#This Row],[PreGmRate]]+IF(Games[[#This Row],[HomeAway]]="H",HCA,0)+Games[[#This Row],[RestAdj]]))/400))</f>
        <v>0.54680615785018161</v>
      </c>
      <c r="R355" s="1">
        <v>85</v>
      </c>
      <c r="S355" s="1">
        <v>74</v>
      </c>
      <c r="T355" s="1">
        <v>0</v>
      </c>
      <c r="U355" s="1">
        <f>Games[[#This Row],[PointsFor]]-Games[[#This Row],[PointsAgainst]]</f>
        <v>11</v>
      </c>
      <c r="V355" s="1">
        <f>IF(Games[[#This Row],[MOV]]&gt;0,1,IF(Games[[#This Row],[MOV]]=0,0.5,0))</f>
        <v>1</v>
      </c>
      <c r="W355" s="4">
        <f>((ABS(Games[[#This Row],[MOV]])+5)^0.6)/(12+0.01*(ABS(Games[[#This Row],[PreGmRate]]-Games[[#This Row],[OppPreGmRate]])))*IF(Games[[#This Row],[OT]]=1,0.9,1)</f>
        <v>0.41126016069939164</v>
      </c>
      <c r="X355" s="7" cm="1">
        <f t="array" ref="X35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5" s="9">
        <f>MAX(kmin, kmax - 0.15 * MIN(Games[[#This Row],[GamesPlayed]], 82))</f>
        <v>71.5</v>
      </c>
      <c r="Z355" s="4">
        <f>Games[[#This Row],[K]]*Games[[#This Row],[POMult]]</f>
        <v>71.5</v>
      </c>
      <c r="AA355" s="4">
        <f>(Games[[#This Row],[Keff]]*Games[[#This Row],[MOVMult]])*(Games[[#This Row],[Result]]-Games[[#This Row],[ExpectedWin%]])</f>
        <v>13.326210923061396</v>
      </c>
      <c r="AB355" s="4">
        <f>Games[[#This Row],[PreGmRate]]+Games[[#This Row],[RatingChange]]</f>
        <v>1417.0948413778228</v>
      </c>
      <c r="AC355" s="2">
        <f>IF(Games[[#This Row],[Type]]="R",IF(Games[[#This Row],[Result]]&gt;0.5,1,0),0)</f>
        <v>1</v>
      </c>
      <c r="AD355" s="2">
        <f>IF(Games[[#This Row],[Type]]="R",IF(Games[[#This Row],[Result]]&lt;0.5,1,0),0)</f>
        <v>0</v>
      </c>
      <c r="AE355" s="2">
        <f>IF(AND(Games[[#This Row],[Type]]="P",Games[[#This Row],[Round]]=1),IF(Games[[#This Row],[Result]]&gt;0.5,1,0),0)</f>
        <v>0</v>
      </c>
      <c r="AF355" s="2">
        <f>IF(AND(Games[[#This Row],[Type]]="P",Games[[#This Row],[Round]]=1),IF(Games[[#This Row],[Result]]&lt;0.5,1,0),0)</f>
        <v>0</v>
      </c>
      <c r="AG355" s="2">
        <f>IF(AND(Games[[#This Row],[Type]]="P",Games[[#This Row],[Round]]=2),IF(Games[[#This Row],[Result]]&gt;0.5,1,0),0)</f>
        <v>0</v>
      </c>
      <c r="AH355" s="2">
        <f>IF(AND(Games[[#This Row],[Type]]="P",Games[[#This Row],[Round]]=2),IF(Games[[#This Row],[Result]]&lt;0.5,1,0),0)</f>
        <v>0</v>
      </c>
      <c r="AI355" s="2">
        <f>IF(AND(Games[[#This Row],[Type]]="P",Games[[#This Row],[Round]]=3),IF(Games[[#This Row],[Result]]&gt;0.5,1,0),0)</f>
        <v>0</v>
      </c>
      <c r="AJ355" s="2">
        <f>IF(AND(Games[[#This Row],[Type]]="P",Games[[#This Row],[Round]]=3),IF(Games[[#This Row],[Result]]&lt;0.5,1,0),0)</f>
        <v>0</v>
      </c>
      <c r="AK355" s="2">
        <f>IF(AND(Games[[#This Row],[Type]]="P",Games[[#This Row],[Round]]=4),IF(Games[[#This Row],[Result]]&gt;0.5,1,0),0)</f>
        <v>0</v>
      </c>
      <c r="AL355" s="2">
        <f>IF(AND(Games[[#This Row],[Type]]="P",Games[[#This Row],[Round]]=4),IF(Games[[#This Row],[Result]]&lt;0.5,1,0),0)</f>
        <v>0</v>
      </c>
    </row>
    <row r="356" spans="1:38" x14ac:dyDescent="0.35">
      <c r="A356" s="10">
        <v>45151</v>
      </c>
      <c r="B356" s="2">
        <v>2023</v>
      </c>
      <c r="C356" s="2">
        <f>COUNTIFS(Games[Team],Games[[#This Row],[Team]],Games[Season],Games[[#This Row],[Season]],Games[Date],"&lt;=" &amp; Games[[#This Row],[Date]])</f>
        <v>30</v>
      </c>
      <c r="D356" s="2" t="s">
        <v>79</v>
      </c>
      <c r="E356" s="2" t="s">
        <v>80</v>
      </c>
      <c r="F356" s="1" t="s">
        <v>60</v>
      </c>
      <c r="G356" s="1" t="s">
        <v>69</v>
      </c>
      <c r="H356" s="1" t="s">
        <v>81</v>
      </c>
      <c r="I356" s="2" cm="1">
        <f t="array" ref="I3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6" s="2" cm="1">
        <f t="array" ref="J35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6" s="2">
        <f>Games[[#This Row],[DaysOff]]-Games[[#This Row],[OppDaysOff]]</f>
        <v>-1</v>
      </c>
      <c r="L356" s="2">
        <f>Games[[#This Row],[OppDaysOff]]-Games[[#This Row],[DaysOff]]</f>
        <v>1</v>
      </c>
      <c r="M356" s="1">
        <f>MAX(-16, MIN(16, Games[[#This Row],[RestDiff]]*8))</f>
        <v>-8</v>
      </c>
      <c r="N356" s="1">
        <f>MAX(-16, MIN(16, Games[[#This Row],[OppRestDiff]]*8))</f>
        <v>8</v>
      </c>
      <c r="O356" s="4" cm="1">
        <f t="array" ref="O3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1663.1079795940902</v>
      </c>
      <c r="P356" s="4" cm="1">
        <f t="array" ref="P3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1324.5567739629939</v>
      </c>
      <c r="Q356" s="4">
        <f>1/(1+10^(((Games[[#This Row],[OppPreGmRate]]+IF(Games[[#This Row],[HomeAway]]="A",HCA,0)+Games[[#This Row],[OppRestAdj]])-(Games[[#This Row],[PreGmRate]]+IF(Games[[#This Row],[HomeAway]]="H",HCA,0)+Games[[#This Row],[RestAdj]]))/400))</f>
        <v>0.79789846372978201</v>
      </c>
      <c r="R356" s="1">
        <v>100</v>
      </c>
      <c r="S356" s="1">
        <v>89</v>
      </c>
      <c r="T356" s="1">
        <v>0</v>
      </c>
      <c r="U356" s="1">
        <f>Games[[#This Row],[PointsFor]]-Games[[#This Row],[PointsAgainst]]</f>
        <v>11</v>
      </c>
      <c r="V356" s="1">
        <f>IF(Games[[#This Row],[MOV]]&gt;0,1,IF(Games[[#This Row],[MOV]]=0,0.5,0))</f>
        <v>1</v>
      </c>
      <c r="W356" s="4">
        <f>((ABS(Games[[#This Row],[MOV]])+5)^0.6)/(12+0.01*(ABS(Games[[#This Row],[PreGmRate]]-Games[[#This Row],[OppPreGmRate]])))*IF(Games[[#This Row],[OT]]=1,0.9,1)</f>
        <v>0.3430520624711082</v>
      </c>
      <c r="X356" s="7" cm="1">
        <f t="array" ref="X35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6" s="9">
        <f>MAX(kmin, kmax - 0.15 * MIN(Games[[#This Row],[GamesPlayed]], 82))</f>
        <v>71.5</v>
      </c>
      <c r="Z356" s="4">
        <f>Games[[#This Row],[K]]*Games[[#This Row],[POMult]]</f>
        <v>71.5</v>
      </c>
      <c r="AA356" s="4">
        <f>(Games[[#This Row],[Keff]]*Games[[#This Row],[MOVMult]])*(Games[[#This Row],[Result]]-Games[[#This Row],[ExpectedWin%]])</f>
        <v>4.95719144249456</v>
      </c>
      <c r="AB356" s="4">
        <f>Games[[#This Row],[PreGmRate]]+Games[[#This Row],[RatingChange]]</f>
        <v>1668.0651710365848</v>
      </c>
      <c r="AC356" s="2">
        <f>IF(Games[[#This Row],[Type]]="R",IF(Games[[#This Row],[Result]]&gt;0.5,1,0),0)</f>
        <v>1</v>
      </c>
      <c r="AD356" s="2">
        <f>IF(Games[[#This Row],[Type]]="R",IF(Games[[#This Row],[Result]]&lt;0.5,1,0),0)</f>
        <v>0</v>
      </c>
      <c r="AE356" s="2">
        <f>IF(AND(Games[[#This Row],[Type]]="P",Games[[#This Row],[Round]]=1),IF(Games[[#This Row],[Result]]&gt;0.5,1,0),0)</f>
        <v>0</v>
      </c>
      <c r="AF356" s="2">
        <f>IF(AND(Games[[#This Row],[Type]]="P",Games[[#This Row],[Round]]=1),IF(Games[[#This Row],[Result]]&lt;0.5,1,0),0)</f>
        <v>0</v>
      </c>
      <c r="AG356" s="2">
        <f>IF(AND(Games[[#This Row],[Type]]="P",Games[[#This Row],[Round]]=2),IF(Games[[#This Row],[Result]]&gt;0.5,1,0),0)</f>
        <v>0</v>
      </c>
      <c r="AH356" s="2">
        <f>IF(AND(Games[[#This Row],[Type]]="P",Games[[#This Row],[Round]]=2),IF(Games[[#This Row],[Result]]&lt;0.5,1,0),0)</f>
        <v>0</v>
      </c>
      <c r="AI356" s="2">
        <f>IF(AND(Games[[#This Row],[Type]]="P",Games[[#This Row],[Round]]=3),IF(Games[[#This Row],[Result]]&gt;0.5,1,0),0)</f>
        <v>0</v>
      </c>
      <c r="AJ356" s="2">
        <f>IF(AND(Games[[#This Row],[Type]]="P",Games[[#This Row],[Round]]=3),IF(Games[[#This Row],[Result]]&lt;0.5,1,0),0)</f>
        <v>0</v>
      </c>
      <c r="AK356" s="2">
        <f>IF(AND(Games[[#This Row],[Type]]="P",Games[[#This Row],[Round]]=4),IF(Games[[#This Row],[Result]]&gt;0.5,1,0),0)</f>
        <v>0</v>
      </c>
      <c r="AL356" s="2">
        <f>IF(AND(Games[[#This Row],[Type]]="P",Games[[#This Row],[Round]]=4),IF(Games[[#This Row],[Result]]&lt;0.5,1,0),0)</f>
        <v>0</v>
      </c>
    </row>
    <row r="357" spans="1:38" x14ac:dyDescent="0.35">
      <c r="A357" s="10">
        <v>45151</v>
      </c>
      <c r="B357" s="2">
        <v>2023</v>
      </c>
      <c r="C357" s="2">
        <f>COUNTIFS(Games[Team],Games[[#This Row],[Team]],Games[Season],Games[[#This Row],[Season]],Games[Date],"&lt;=" &amp; Games[[#This Row],[Date]])</f>
        <v>31</v>
      </c>
      <c r="D357" s="2" t="s">
        <v>79</v>
      </c>
      <c r="E357" s="2" t="s">
        <v>80</v>
      </c>
      <c r="F357" s="1" t="s">
        <v>69</v>
      </c>
      <c r="G357" s="1" t="s">
        <v>60</v>
      </c>
      <c r="H357" s="1" t="s">
        <v>82</v>
      </c>
      <c r="I357" s="2" cm="1">
        <f t="array" ref="I35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7" s="2" cm="1">
        <f t="array" ref="J3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7" s="2">
        <f>Games[[#This Row],[DaysOff]]-Games[[#This Row],[OppDaysOff]]</f>
        <v>1</v>
      </c>
      <c r="L357" s="2">
        <f>Games[[#This Row],[OppDaysOff]]-Games[[#This Row],[DaysOff]]</f>
        <v>-1</v>
      </c>
      <c r="M357" s="1">
        <f>MAX(-16, MIN(16, Games[[#This Row],[RestDiff]]*8))</f>
        <v>8</v>
      </c>
      <c r="N357" s="1">
        <f>MAX(-16, MIN(16, Games[[#This Row],[OppRestDiff]]*8))</f>
        <v>-8</v>
      </c>
      <c r="O357" s="4" cm="1">
        <f t="array" ref="O3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1324.5567739629939</v>
      </c>
      <c r="P357" s="4" cm="1">
        <f t="array" ref="P3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1663.1079795940902</v>
      </c>
      <c r="Q357" s="4">
        <f>1/(1+10^(((Games[[#This Row],[OppPreGmRate]]+IF(Games[[#This Row],[HomeAway]]="A",HCA,0)+Games[[#This Row],[OppRestAdj]])-(Games[[#This Row],[PreGmRate]]+IF(Games[[#This Row],[HomeAway]]="H",HCA,0)+Games[[#This Row],[RestAdj]]))/400))</f>
        <v>0.2021015362702179</v>
      </c>
      <c r="R357" s="1">
        <v>89</v>
      </c>
      <c r="S357" s="1">
        <v>100</v>
      </c>
      <c r="T357" s="1">
        <v>0</v>
      </c>
      <c r="U357" s="1">
        <f>Games[[#This Row],[PointsFor]]-Games[[#This Row],[PointsAgainst]]</f>
        <v>-11</v>
      </c>
      <c r="V357" s="1">
        <f>IF(Games[[#This Row],[MOV]]&gt;0,1,IF(Games[[#This Row],[MOV]]=0,0.5,0))</f>
        <v>0</v>
      </c>
      <c r="W357" s="4">
        <f>((ABS(Games[[#This Row],[MOV]])+5)^0.6)/(12+0.01*(ABS(Games[[#This Row],[PreGmRate]]-Games[[#This Row],[OppPreGmRate]])))*IF(Games[[#This Row],[OT]]=1,0.9,1)</f>
        <v>0.3430520624711082</v>
      </c>
      <c r="X357" s="7" cm="1">
        <f t="array" ref="X35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7" s="9">
        <f>MAX(kmin, kmax - 0.15 * MIN(Games[[#This Row],[GamesPlayed]], 82))</f>
        <v>71.349999999999994</v>
      </c>
      <c r="Z357" s="4">
        <f>Games[[#This Row],[K]]*Games[[#This Row],[POMult]]</f>
        <v>71.349999999999994</v>
      </c>
      <c r="AA357" s="4">
        <f>(Games[[#This Row],[Keff]]*Games[[#This Row],[MOVMult]])*(Games[[#This Row],[Result]]-Games[[#This Row],[ExpectedWin%]])</f>
        <v>-4.9467917401676456</v>
      </c>
      <c r="AB357" s="4">
        <f>Games[[#This Row],[PreGmRate]]+Games[[#This Row],[RatingChange]]</f>
        <v>1319.6099822228264</v>
      </c>
      <c r="AC357" s="2">
        <f>IF(Games[[#This Row],[Type]]="R",IF(Games[[#This Row],[Result]]&gt;0.5,1,0),0)</f>
        <v>0</v>
      </c>
      <c r="AD357" s="2">
        <f>IF(Games[[#This Row],[Type]]="R",IF(Games[[#This Row],[Result]]&lt;0.5,1,0),0)</f>
        <v>1</v>
      </c>
      <c r="AE357" s="2">
        <f>IF(AND(Games[[#This Row],[Type]]="P",Games[[#This Row],[Round]]=1),IF(Games[[#This Row],[Result]]&gt;0.5,1,0),0)</f>
        <v>0</v>
      </c>
      <c r="AF357" s="2">
        <f>IF(AND(Games[[#This Row],[Type]]="P",Games[[#This Row],[Round]]=1),IF(Games[[#This Row],[Result]]&lt;0.5,1,0),0)</f>
        <v>0</v>
      </c>
      <c r="AG357" s="2">
        <f>IF(AND(Games[[#This Row],[Type]]="P",Games[[#This Row],[Round]]=2),IF(Games[[#This Row],[Result]]&gt;0.5,1,0),0)</f>
        <v>0</v>
      </c>
      <c r="AH357" s="2">
        <f>IF(AND(Games[[#This Row],[Type]]="P",Games[[#This Row],[Round]]=2),IF(Games[[#This Row],[Result]]&lt;0.5,1,0),0)</f>
        <v>0</v>
      </c>
      <c r="AI357" s="2">
        <f>IF(AND(Games[[#This Row],[Type]]="P",Games[[#This Row],[Round]]=3),IF(Games[[#This Row],[Result]]&gt;0.5,1,0),0)</f>
        <v>0</v>
      </c>
      <c r="AJ357" s="2">
        <f>IF(AND(Games[[#This Row],[Type]]="P",Games[[#This Row],[Round]]=3),IF(Games[[#This Row],[Result]]&lt;0.5,1,0),0)</f>
        <v>0</v>
      </c>
      <c r="AK357" s="2">
        <f>IF(AND(Games[[#This Row],[Type]]="P",Games[[#This Row],[Round]]=4),IF(Games[[#This Row],[Result]]&gt;0.5,1,0),0)</f>
        <v>0</v>
      </c>
      <c r="AL357" s="2">
        <f>IF(AND(Games[[#This Row],[Type]]="P",Games[[#This Row],[Round]]=4),IF(Games[[#This Row],[Result]]&lt;0.5,1,0),0)</f>
        <v>0</v>
      </c>
    </row>
    <row r="358" spans="1:38" x14ac:dyDescent="0.35">
      <c r="A358" s="10">
        <v>45151</v>
      </c>
      <c r="B358" s="2">
        <v>2023</v>
      </c>
      <c r="C358" s="2">
        <f>COUNTIFS(Games[Team],Games[[#This Row],[Team]],Games[Season],Games[[#This Row],[Season]],Games[Date],"&lt;=" &amp; Games[[#This Row],[Date]])</f>
        <v>31</v>
      </c>
      <c r="D358" s="2" t="s">
        <v>79</v>
      </c>
      <c r="E358" s="2" t="s">
        <v>80</v>
      </c>
      <c r="F358" s="1" t="s">
        <v>77</v>
      </c>
      <c r="G358" s="1" t="s">
        <v>86</v>
      </c>
      <c r="H358" s="1" t="s">
        <v>81</v>
      </c>
      <c r="I358" s="2" cm="1">
        <f t="array" ref="I35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58" s="2" cm="1">
        <f t="array" ref="J3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8" s="2">
        <f>Games[[#This Row],[DaysOff]]-Games[[#This Row],[OppDaysOff]]</f>
        <v>-1</v>
      </c>
      <c r="L358" s="2">
        <f>Games[[#This Row],[OppDaysOff]]-Games[[#This Row],[DaysOff]]</f>
        <v>1</v>
      </c>
      <c r="M358" s="1">
        <f>MAX(-16, MIN(16, Games[[#This Row],[RestDiff]]*8))</f>
        <v>-8</v>
      </c>
      <c r="N358" s="1">
        <f>MAX(-16, MIN(16, Games[[#This Row],[OppRestDiff]]*8))</f>
        <v>8</v>
      </c>
      <c r="O358" s="4" cm="1">
        <f t="array" ref="O3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1473.8226609136329</v>
      </c>
      <c r="P358" s="4" cm="1">
        <f t="array" ref="P3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1747.3143908789002</v>
      </c>
      <c r="Q358" s="4">
        <f>1/(1+10^(((Games[[#This Row],[OppPreGmRate]]+IF(Games[[#This Row],[HomeAway]]="A",HCA,0)+Games[[#This Row],[OppRestAdj]])-(Games[[#This Row],[PreGmRate]]+IF(Games[[#This Row],[HomeAway]]="H",HCA,0)+Games[[#This Row],[RestAdj]]))/400))</f>
        <v>0.10433204316508154</v>
      </c>
      <c r="R358" s="1">
        <v>65</v>
      </c>
      <c r="S358" s="1">
        <v>86</v>
      </c>
      <c r="T358" s="1">
        <v>0</v>
      </c>
      <c r="U358" s="1">
        <f>Games[[#This Row],[PointsFor]]-Games[[#This Row],[PointsAgainst]]</f>
        <v>-21</v>
      </c>
      <c r="V358" s="1">
        <f>IF(Games[[#This Row],[MOV]]&gt;0,1,IF(Games[[#This Row],[MOV]]=0,0.5,0))</f>
        <v>0</v>
      </c>
      <c r="W358" s="4">
        <f>((ABS(Games[[#This Row],[MOV]])+5)^0.6)/(12+0.01*(ABS(Games[[#This Row],[PreGmRate]]-Games[[#This Row],[OppPreGmRate]])))*IF(Games[[#This Row],[OT]]=1,0.9,1)</f>
        <v>0.47933187065904542</v>
      </c>
      <c r="X358" s="7" cm="1">
        <f t="array" ref="X35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8" s="9">
        <f>MAX(kmin, kmax - 0.15 * MIN(Games[[#This Row],[GamesPlayed]], 82))</f>
        <v>71.349999999999994</v>
      </c>
      <c r="Z358" s="4">
        <f>Games[[#This Row],[K]]*Games[[#This Row],[POMult]]</f>
        <v>71.349999999999994</v>
      </c>
      <c r="AA358" s="4">
        <f>(Games[[#This Row],[Keff]]*Games[[#This Row],[MOVMult]])*(Games[[#This Row],[Result]]-Games[[#This Row],[ExpectedWin%]])</f>
        <v>-3.5681901985169149</v>
      </c>
      <c r="AB358" s="4">
        <f>Games[[#This Row],[PreGmRate]]+Games[[#This Row],[RatingChange]]</f>
        <v>1470.254470715116</v>
      </c>
      <c r="AC358" s="2">
        <f>IF(Games[[#This Row],[Type]]="R",IF(Games[[#This Row],[Result]]&gt;0.5,1,0),0)</f>
        <v>0</v>
      </c>
      <c r="AD358" s="2">
        <f>IF(Games[[#This Row],[Type]]="R",IF(Games[[#This Row],[Result]]&lt;0.5,1,0),0)</f>
        <v>1</v>
      </c>
      <c r="AE358" s="2">
        <f>IF(AND(Games[[#This Row],[Type]]="P",Games[[#This Row],[Round]]=1),IF(Games[[#This Row],[Result]]&gt;0.5,1,0),0)</f>
        <v>0</v>
      </c>
      <c r="AF358" s="2">
        <f>IF(AND(Games[[#This Row],[Type]]="P",Games[[#This Row],[Round]]=1),IF(Games[[#This Row],[Result]]&lt;0.5,1,0),0)</f>
        <v>0</v>
      </c>
      <c r="AG358" s="2">
        <f>IF(AND(Games[[#This Row],[Type]]="P",Games[[#This Row],[Round]]=2),IF(Games[[#This Row],[Result]]&gt;0.5,1,0),0)</f>
        <v>0</v>
      </c>
      <c r="AH358" s="2">
        <f>IF(AND(Games[[#This Row],[Type]]="P",Games[[#This Row],[Round]]=2),IF(Games[[#This Row],[Result]]&lt;0.5,1,0),0)</f>
        <v>0</v>
      </c>
      <c r="AI358" s="2">
        <f>IF(AND(Games[[#This Row],[Type]]="P",Games[[#This Row],[Round]]=3),IF(Games[[#This Row],[Result]]&gt;0.5,1,0),0)</f>
        <v>0</v>
      </c>
      <c r="AJ358" s="2">
        <f>IF(AND(Games[[#This Row],[Type]]="P",Games[[#This Row],[Round]]=3),IF(Games[[#This Row],[Result]]&lt;0.5,1,0),0)</f>
        <v>0</v>
      </c>
      <c r="AK358" s="2">
        <f>IF(AND(Games[[#This Row],[Type]]="P",Games[[#This Row],[Round]]=4),IF(Games[[#This Row],[Result]]&gt;0.5,1,0),0)</f>
        <v>0</v>
      </c>
      <c r="AL358" s="2">
        <f>IF(AND(Games[[#This Row],[Type]]="P",Games[[#This Row],[Round]]=4),IF(Games[[#This Row],[Result]]&lt;0.5,1,0),0)</f>
        <v>0</v>
      </c>
    </row>
    <row r="359" spans="1:38" x14ac:dyDescent="0.35">
      <c r="A359" s="10">
        <v>45151</v>
      </c>
      <c r="B359" s="2">
        <v>2023</v>
      </c>
      <c r="C359" s="2">
        <f>COUNTIFS(Games[Team],Games[[#This Row],[Team]],Games[Season],Games[[#This Row],[Season]],Games[Date],"&lt;=" &amp; Games[[#This Row],[Date]])</f>
        <v>30</v>
      </c>
      <c r="D359" s="2" t="s">
        <v>79</v>
      </c>
      <c r="E359" s="2" t="s">
        <v>80</v>
      </c>
      <c r="F359" s="1" t="s">
        <v>86</v>
      </c>
      <c r="G359" s="1" t="s">
        <v>77</v>
      </c>
      <c r="H359" s="1" t="s">
        <v>82</v>
      </c>
      <c r="I359" s="2" cm="1">
        <f t="array" ref="I3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9" s="2" cm="1">
        <f t="array" ref="J35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59" s="2">
        <f>Games[[#This Row],[DaysOff]]-Games[[#This Row],[OppDaysOff]]</f>
        <v>1</v>
      </c>
      <c r="L359" s="2">
        <f>Games[[#This Row],[OppDaysOff]]-Games[[#This Row],[DaysOff]]</f>
        <v>-1</v>
      </c>
      <c r="M359" s="1">
        <f>MAX(-16, MIN(16, Games[[#This Row],[RestDiff]]*8))</f>
        <v>8</v>
      </c>
      <c r="N359" s="1">
        <f>MAX(-16, MIN(16, Games[[#This Row],[OppRestDiff]]*8))</f>
        <v>-8</v>
      </c>
      <c r="O359" s="4" cm="1">
        <f t="array" ref="O3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1747.3143908789002</v>
      </c>
      <c r="P359" s="4" cm="1">
        <f t="array" ref="P3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1473.8226609136329</v>
      </c>
      <c r="Q359" s="4">
        <f>1/(1+10^(((Games[[#This Row],[OppPreGmRate]]+IF(Games[[#This Row],[HomeAway]]="A",HCA,0)+Games[[#This Row],[OppRestAdj]])-(Games[[#This Row],[PreGmRate]]+IF(Games[[#This Row],[HomeAway]]="H",HCA,0)+Games[[#This Row],[RestAdj]]))/400))</f>
        <v>0.89566795683491851</v>
      </c>
      <c r="R359" s="1">
        <v>86</v>
      </c>
      <c r="S359" s="1">
        <v>65</v>
      </c>
      <c r="T359" s="1">
        <v>0</v>
      </c>
      <c r="U359" s="1">
        <f>Games[[#This Row],[PointsFor]]-Games[[#This Row],[PointsAgainst]]</f>
        <v>21</v>
      </c>
      <c r="V359" s="1">
        <f>IF(Games[[#This Row],[MOV]]&gt;0,1,IF(Games[[#This Row],[MOV]]=0,0.5,0))</f>
        <v>1</v>
      </c>
      <c r="W359" s="4">
        <f>((ABS(Games[[#This Row],[MOV]])+5)^0.6)/(12+0.01*(ABS(Games[[#This Row],[PreGmRate]]-Games[[#This Row],[OppPreGmRate]])))*IF(Games[[#This Row],[OT]]=1,0.9,1)</f>
        <v>0.47933187065904542</v>
      </c>
      <c r="X359" s="7" cm="1">
        <f t="array" ref="X35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9" s="9">
        <f>MAX(kmin, kmax - 0.15 * MIN(Games[[#This Row],[GamesPlayed]], 82))</f>
        <v>71.5</v>
      </c>
      <c r="Z359" s="4">
        <f>Games[[#This Row],[K]]*Games[[#This Row],[POMult]]</f>
        <v>71.5</v>
      </c>
      <c r="AA359" s="4">
        <f>(Games[[#This Row],[Keff]]*Games[[#This Row],[MOVMult]])*(Games[[#This Row],[Result]]-Games[[#This Row],[ExpectedWin%]])</f>
        <v>3.5756916495299129</v>
      </c>
      <c r="AB359" s="4">
        <f>Games[[#This Row],[PreGmRate]]+Games[[#This Row],[RatingChange]]</f>
        <v>1750.8900825284302</v>
      </c>
      <c r="AC359" s="2">
        <f>IF(Games[[#This Row],[Type]]="R",IF(Games[[#This Row],[Result]]&gt;0.5,1,0),0)</f>
        <v>1</v>
      </c>
      <c r="AD359" s="2">
        <f>IF(Games[[#This Row],[Type]]="R",IF(Games[[#This Row],[Result]]&lt;0.5,1,0),0)</f>
        <v>0</v>
      </c>
      <c r="AE359" s="2">
        <f>IF(AND(Games[[#This Row],[Type]]="P",Games[[#This Row],[Round]]=1),IF(Games[[#This Row],[Result]]&gt;0.5,1,0),0)</f>
        <v>0</v>
      </c>
      <c r="AF359" s="2">
        <f>IF(AND(Games[[#This Row],[Type]]="P",Games[[#This Row],[Round]]=1),IF(Games[[#This Row],[Result]]&lt;0.5,1,0),0)</f>
        <v>0</v>
      </c>
      <c r="AG359" s="2">
        <f>IF(AND(Games[[#This Row],[Type]]="P",Games[[#This Row],[Round]]=2),IF(Games[[#This Row],[Result]]&gt;0.5,1,0),0)</f>
        <v>0</v>
      </c>
      <c r="AH359" s="2">
        <f>IF(AND(Games[[#This Row],[Type]]="P",Games[[#This Row],[Round]]=2),IF(Games[[#This Row],[Result]]&lt;0.5,1,0),0)</f>
        <v>0</v>
      </c>
      <c r="AI359" s="2">
        <f>IF(AND(Games[[#This Row],[Type]]="P",Games[[#This Row],[Round]]=3),IF(Games[[#This Row],[Result]]&gt;0.5,1,0),0)</f>
        <v>0</v>
      </c>
      <c r="AJ359" s="2">
        <f>IF(AND(Games[[#This Row],[Type]]="P",Games[[#This Row],[Round]]=3),IF(Games[[#This Row],[Result]]&lt;0.5,1,0),0)</f>
        <v>0</v>
      </c>
      <c r="AK359" s="2">
        <f>IF(AND(Games[[#This Row],[Type]]="P",Games[[#This Row],[Round]]=4),IF(Games[[#This Row],[Result]]&gt;0.5,1,0),0)</f>
        <v>0</v>
      </c>
      <c r="AL359" s="2">
        <f>IF(AND(Games[[#This Row],[Type]]="P",Games[[#This Row],[Round]]=4),IF(Games[[#This Row],[Result]]&lt;0.5,1,0),0)</f>
        <v>0</v>
      </c>
    </row>
    <row r="360" spans="1:38" x14ac:dyDescent="0.35">
      <c r="A360" s="10">
        <v>45151</v>
      </c>
      <c r="B360" s="2">
        <v>2023</v>
      </c>
      <c r="C360" s="2">
        <f>COUNTIFS(Games[Team],Games[[#This Row],[Team]],Games[Season],Games[[#This Row],[Season]],Games[Date],"&lt;=" &amp; Games[[#This Row],[Date]])</f>
        <v>30</v>
      </c>
      <c r="D360" s="2" t="s">
        <v>79</v>
      </c>
      <c r="E360" s="2" t="s">
        <v>80</v>
      </c>
      <c r="F360" s="1" t="s">
        <v>40</v>
      </c>
      <c r="G360" s="1" t="s">
        <v>71</v>
      </c>
      <c r="H360" s="1" t="s">
        <v>81</v>
      </c>
      <c r="I360" s="2" cm="1">
        <f t="array" ref="I36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0" s="2" cm="1">
        <f t="array" ref="J3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0" s="2">
        <f>Games[[#This Row],[DaysOff]]-Games[[#This Row],[OppDaysOff]]</f>
        <v>0</v>
      </c>
      <c r="L360" s="2">
        <f>Games[[#This Row],[OppDaysOff]]-Games[[#This Row],[DaysOff]]</f>
        <v>0</v>
      </c>
      <c r="M360" s="1">
        <f>MAX(-16, MIN(16, Games[[#This Row],[RestDiff]]*8))</f>
        <v>0</v>
      </c>
      <c r="N360" s="1">
        <f>MAX(-16, MIN(16, Games[[#This Row],[OppRestDiff]]*8))</f>
        <v>0</v>
      </c>
      <c r="O360" s="4" cm="1">
        <f t="array" ref="O3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1400.0070593675123</v>
      </c>
      <c r="P360" s="4" cm="1">
        <f t="array" ref="P3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1424.5466735067482</v>
      </c>
      <c r="Q360" s="4">
        <f>1/(1+10^(((Games[[#This Row],[OppPreGmRate]]+IF(Games[[#This Row],[HomeAway]]="A",HCA,0)+Games[[#This Row],[OppRestAdj]])-(Games[[#This Row],[PreGmRate]]+IF(Games[[#This Row],[HomeAway]]="H",HCA,0)+Games[[#This Row],[RestAdj]]))/400))</f>
        <v>0.3486895912622674</v>
      </c>
      <c r="R360" s="1">
        <v>71</v>
      </c>
      <c r="S360" s="1">
        <v>81</v>
      </c>
      <c r="T360" s="1">
        <v>0</v>
      </c>
      <c r="U360" s="1">
        <f>Games[[#This Row],[PointsFor]]-Games[[#This Row],[PointsAgainst]]</f>
        <v>-10</v>
      </c>
      <c r="V360" s="1">
        <f>IF(Games[[#This Row],[MOV]]&gt;0,1,IF(Games[[#This Row],[MOV]]=0,0.5,0))</f>
        <v>0</v>
      </c>
      <c r="W360" s="4">
        <f>((ABS(Games[[#This Row],[MOV]])+5)^0.6)/(12+0.01*(ABS(Games[[#This Row],[PreGmRate]]-Games[[#This Row],[OppPreGmRate]])))*IF(Games[[#This Row],[OT]]=1,0.9,1)</f>
        <v>0.41465023535041517</v>
      </c>
      <c r="X360" s="7" cm="1">
        <f t="array" ref="X36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0" s="9">
        <f>MAX(kmin, kmax - 0.15 * MIN(Games[[#This Row],[GamesPlayed]], 82))</f>
        <v>71.5</v>
      </c>
      <c r="Z360" s="4">
        <f>Games[[#This Row],[K]]*Games[[#This Row],[POMult]]</f>
        <v>71.5</v>
      </c>
      <c r="AA360" s="4">
        <f>(Games[[#This Row],[Keff]]*Games[[#This Row],[MOVMult]])*(Games[[#This Row],[Result]]-Games[[#This Row],[ExpectedWin%]])</f>
        <v>-10.337771807301456</v>
      </c>
      <c r="AB360" s="4">
        <f>Games[[#This Row],[PreGmRate]]+Games[[#This Row],[RatingChange]]</f>
        <v>1389.6692875602109</v>
      </c>
      <c r="AC360" s="2">
        <f>IF(Games[[#This Row],[Type]]="R",IF(Games[[#This Row],[Result]]&gt;0.5,1,0),0)</f>
        <v>0</v>
      </c>
      <c r="AD360" s="2">
        <f>IF(Games[[#This Row],[Type]]="R",IF(Games[[#This Row],[Result]]&lt;0.5,1,0),0)</f>
        <v>1</v>
      </c>
      <c r="AE360" s="2">
        <f>IF(AND(Games[[#This Row],[Type]]="P",Games[[#This Row],[Round]]=1),IF(Games[[#This Row],[Result]]&gt;0.5,1,0),0)</f>
        <v>0</v>
      </c>
      <c r="AF360" s="2">
        <f>IF(AND(Games[[#This Row],[Type]]="P",Games[[#This Row],[Round]]=1),IF(Games[[#This Row],[Result]]&lt;0.5,1,0),0)</f>
        <v>0</v>
      </c>
      <c r="AG360" s="2">
        <f>IF(AND(Games[[#This Row],[Type]]="P",Games[[#This Row],[Round]]=2),IF(Games[[#This Row],[Result]]&gt;0.5,1,0),0)</f>
        <v>0</v>
      </c>
      <c r="AH360" s="2">
        <f>IF(AND(Games[[#This Row],[Type]]="P",Games[[#This Row],[Round]]=2),IF(Games[[#This Row],[Result]]&lt;0.5,1,0),0)</f>
        <v>0</v>
      </c>
      <c r="AI360" s="2">
        <f>IF(AND(Games[[#This Row],[Type]]="P",Games[[#This Row],[Round]]=3),IF(Games[[#This Row],[Result]]&gt;0.5,1,0),0)</f>
        <v>0</v>
      </c>
      <c r="AJ360" s="2">
        <f>IF(AND(Games[[#This Row],[Type]]="P",Games[[#This Row],[Round]]=3),IF(Games[[#This Row],[Result]]&lt;0.5,1,0),0)</f>
        <v>0</v>
      </c>
      <c r="AK360" s="2">
        <f>IF(AND(Games[[#This Row],[Type]]="P",Games[[#This Row],[Round]]=4),IF(Games[[#This Row],[Result]]&gt;0.5,1,0),0)</f>
        <v>0</v>
      </c>
      <c r="AL360" s="2">
        <f>IF(AND(Games[[#This Row],[Type]]="P",Games[[#This Row],[Round]]=4),IF(Games[[#This Row],[Result]]&lt;0.5,1,0),0)</f>
        <v>0</v>
      </c>
    </row>
    <row r="361" spans="1:38" x14ac:dyDescent="0.35">
      <c r="A361" s="10">
        <v>45151</v>
      </c>
      <c r="B361" s="2">
        <v>2023</v>
      </c>
      <c r="C361" s="2">
        <f>COUNTIFS(Games[Team],Games[[#This Row],[Team]],Games[Season],Games[[#This Row],[Season]],Games[Date],"&lt;=" &amp; Games[[#This Row],[Date]])</f>
        <v>30</v>
      </c>
      <c r="D361" s="2" t="s">
        <v>79</v>
      </c>
      <c r="E361" s="2" t="s">
        <v>80</v>
      </c>
      <c r="F361" s="1" t="s">
        <v>71</v>
      </c>
      <c r="G361" s="1" t="s">
        <v>40</v>
      </c>
      <c r="H361" s="1" t="s">
        <v>82</v>
      </c>
      <c r="I361" s="2" cm="1">
        <f t="array" ref="I3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1" s="2" cm="1">
        <f t="array" ref="J36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1" s="2">
        <f>Games[[#This Row],[DaysOff]]-Games[[#This Row],[OppDaysOff]]</f>
        <v>0</v>
      </c>
      <c r="L361" s="2">
        <f>Games[[#This Row],[OppDaysOff]]-Games[[#This Row],[DaysOff]]</f>
        <v>0</v>
      </c>
      <c r="M361" s="1">
        <f>MAX(-16, MIN(16, Games[[#This Row],[RestDiff]]*8))</f>
        <v>0</v>
      </c>
      <c r="N361" s="1">
        <f>MAX(-16, MIN(16, Games[[#This Row],[OppRestDiff]]*8))</f>
        <v>0</v>
      </c>
      <c r="O361" s="4" cm="1">
        <f t="array" ref="O3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1424.5466735067482</v>
      </c>
      <c r="P361" s="4" cm="1">
        <f t="array" ref="P3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1400.0070593675123</v>
      </c>
      <c r="Q361" s="4">
        <f>1/(1+10^(((Games[[#This Row],[OppPreGmRate]]+IF(Games[[#This Row],[HomeAway]]="A",HCA,0)+Games[[#This Row],[OppRestAdj]])-(Games[[#This Row],[PreGmRate]]+IF(Games[[#This Row],[HomeAway]]="H",HCA,0)+Games[[#This Row],[RestAdj]]))/400))</f>
        <v>0.6513104087377326</v>
      </c>
      <c r="R361" s="1">
        <v>81</v>
      </c>
      <c r="S361" s="1">
        <v>71</v>
      </c>
      <c r="T361" s="1">
        <v>0</v>
      </c>
      <c r="U361" s="1">
        <f>Games[[#This Row],[PointsFor]]-Games[[#This Row],[PointsAgainst]]</f>
        <v>10</v>
      </c>
      <c r="V361" s="1">
        <f>IF(Games[[#This Row],[MOV]]&gt;0,1,IF(Games[[#This Row],[MOV]]=0,0.5,0))</f>
        <v>1</v>
      </c>
      <c r="W361" s="4">
        <f>((ABS(Games[[#This Row],[MOV]])+5)^0.6)/(12+0.01*(ABS(Games[[#This Row],[PreGmRate]]-Games[[#This Row],[OppPreGmRate]])))*IF(Games[[#This Row],[OT]]=1,0.9,1)</f>
        <v>0.41465023535041517</v>
      </c>
      <c r="X361" s="7" cm="1">
        <f t="array" ref="X36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1" s="9">
        <f>MAX(kmin, kmax - 0.15 * MIN(Games[[#This Row],[GamesPlayed]], 82))</f>
        <v>71.5</v>
      </c>
      <c r="Z361" s="4">
        <f>Games[[#This Row],[K]]*Games[[#This Row],[POMult]]</f>
        <v>71.5</v>
      </c>
      <c r="AA361" s="4">
        <f>(Games[[#This Row],[Keff]]*Games[[#This Row],[MOVMult]])*(Games[[#This Row],[Result]]-Games[[#This Row],[ExpectedWin%]])</f>
        <v>10.337771807301456</v>
      </c>
      <c r="AB361" s="4">
        <f>Games[[#This Row],[PreGmRate]]+Games[[#This Row],[RatingChange]]</f>
        <v>1434.8844453140496</v>
      </c>
      <c r="AC361" s="2">
        <f>IF(Games[[#This Row],[Type]]="R",IF(Games[[#This Row],[Result]]&gt;0.5,1,0),0)</f>
        <v>1</v>
      </c>
      <c r="AD361" s="2">
        <f>IF(Games[[#This Row],[Type]]="R",IF(Games[[#This Row],[Result]]&lt;0.5,1,0),0)</f>
        <v>0</v>
      </c>
      <c r="AE361" s="2">
        <f>IF(AND(Games[[#This Row],[Type]]="P",Games[[#This Row],[Round]]=1),IF(Games[[#This Row],[Result]]&gt;0.5,1,0),0)</f>
        <v>0</v>
      </c>
      <c r="AF361" s="2">
        <f>IF(AND(Games[[#This Row],[Type]]="P",Games[[#This Row],[Round]]=1),IF(Games[[#This Row],[Result]]&lt;0.5,1,0),0)</f>
        <v>0</v>
      </c>
      <c r="AG361" s="2">
        <f>IF(AND(Games[[#This Row],[Type]]="P",Games[[#This Row],[Round]]=2),IF(Games[[#This Row],[Result]]&gt;0.5,1,0),0)</f>
        <v>0</v>
      </c>
      <c r="AH361" s="2">
        <f>IF(AND(Games[[#This Row],[Type]]="P",Games[[#This Row],[Round]]=2),IF(Games[[#This Row],[Result]]&lt;0.5,1,0),0)</f>
        <v>0</v>
      </c>
      <c r="AI361" s="2">
        <f>IF(AND(Games[[#This Row],[Type]]="P",Games[[#This Row],[Round]]=3),IF(Games[[#This Row],[Result]]&gt;0.5,1,0),0)</f>
        <v>0</v>
      </c>
      <c r="AJ361" s="2">
        <f>IF(AND(Games[[#This Row],[Type]]="P",Games[[#This Row],[Round]]=3),IF(Games[[#This Row],[Result]]&lt;0.5,1,0),0)</f>
        <v>0</v>
      </c>
      <c r="AK361" s="2">
        <f>IF(AND(Games[[#This Row],[Type]]="P",Games[[#This Row],[Round]]=4),IF(Games[[#This Row],[Result]]&gt;0.5,1,0),0)</f>
        <v>0</v>
      </c>
      <c r="AL361" s="2">
        <f>IF(AND(Games[[#This Row],[Type]]="P",Games[[#This Row],[Round]]=4),IF(Games[[#This Row],[Result]]&lt;0.5,1,0),0)</f>
        <v>0</v>
      </c>
    </row>
    <row r="362" spans="1:38" x14ac:dyDescent="0.35">
      <c r="A362" s="10">
        <v>45151</v>
      </c>
      <c r="B362" s="2">
        <v>2023</v>
      </c>
      <c r="C362" s="2">
        <f>COUNTIFS(Games[Team],Games[[#This Row],[Team]],Games[Season],Games[[#This Row],[Season]],Games[Date],"&lt;=" &amp; Games[[#This Row],[Date]])</f>
        <v>30</v>
      </c>
      <c r="D362" s="2" t="s">
        <v>79</v>
      </c>
      <c r="E362" s="2" t="s">
        <v>80</v>
      </c>
      <c r="F362" s="1" t="s">
        <v>75</v>
      </c>
      <c r="G362" s="1" t="s">
        <v>65</v>
      </c>
      <c r="H362" s="1" t="s">
        <v>81</v>
      </c>
      <c r="I362" s="2" cm="1">
        <f t="array" ref="I3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2" s="2" cm="1">
        <f t="array" ref="J3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2" s="2">
        <f>Games[[#This Row],[DaysOff]]-Games[[#This Row],[OppDaysOff]]</f>
        <v>0</v>
      </c>
      <c r="L362" s="2">
        <f>Games[[#This Row],[OppDaysOff]]-Games[[#This Row],[DaysOff]]</f>
        <v>0</v>
      </c>
      <c r="M362" s="1">
        <f>MAX(-16, MIN(16, Games[[#This Row],[RestDiff]]*8))</f>
        <v>0</v>
      </c>
      <c r="N362" s="1">
        <f>MAX(-16, MIN(16, Games[[#This Row],[OppRestDiff]]*8))</f>
        <v>0</v>
      </c>
      <c r="O362" s="4" cm="1">
        <f t="array" ref="O3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1465.6916279666289</v>
      </c>
      <c r="P362" s="4" cm="1">
        <f t="array" ref="P3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1448.7957675600135</v>
      </c>
      <c r="Q362" s="4">
        <f>1/(1+10^(((Games[[#This Row],[OppPreGmRate]]+IF(Games[[#This Row],[HomeAway]]="A",HCA,0)+Games[[#This Row],[OppRestAdj]])-(Games[[#This Row],[PreGmRate]]+IF(Games[[#This Row],[HomeAway]]="H",HCA,0)+Games[[#This Row],[RestAdj]]))/400))</f>
        <v>0.40461253766242661</v>
      </c>
      <c r="R362" s="1">
        <v>76</v>
      </c>
      <c r="S362" s="1">
        <v>83</v>
      </c>
      <c r="T362" s="1">
        <v>0</v>
      </c>
      <c r="U362" s="1">
        <f>Games[[#This Row],[PointsFor]]-Games[[#This Row],[PointsAgainst]]</f>
        <v>-7</v>
      </c>
      <c r="V362" s="1">
        <f>IF(Games[[#This Row],[MOV]]&gt;0,1,IF(Games[[#This Row],[MOV]]=0,0.5,0))</f>
        <v>0</v>
      </c>
      <c r="W362" s="4">
        <f>((ABS(Games[[#This Row],[MOV]])+5)^0.6)/(12+0.01*(ABS(Games[[#This Row],[PreGmRate]]-Games[[#This Row],[OppPreGmRate]])))*IF(Games[[#This Row],[OT]]=1,0.9,1)</f>
        <v>0.36496845903985753</v>
      </c>
      <c r="X362" s="7" cm="1">
        <f t="array" ref="X36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2" s="9">
        <f>MAX(kmin, kmax - 0.15 * MIN(Games[[#This Row],[GamesPlayed]], 82))</f>
        <v>71.5</v>
      </c>
      <c r="Z362" s="4">
        <f>Games[[#This Row],[K]]*Games[[#This Row],[POMult]]</f>
        <v>71.5</v>
      </c>
      <c r="AA362" s="4">
        <f>(Games[[#This Row],[Keff]]*Games[[#This Row],[MOVMult]])*(Games[[#This Row],[Result]]-Games[[#This Row],[ExpectedWin%]])</f>
        <v>-10.558463228088645</v>
      </c>
      <c r="AB362" s="4">
        <f>Games[[#This Row],[PreGmRate]]+Games[[#This Row],[RatingChange]]</f>
        <v>1455.1331647385402</v>
      </c>
      <c r="AC362" s="2">
        <f>IF(Games[[#This Row],[Type]]="R",IF(Games[[#This Row],[Result]]&gt;0.5,1,0),0)</f>
        <v>0</v>
      </c>
      <c r="AD362" s="2">
        <f>IF(Games[[#This Row],[Type]]="R",IF(Games[[#This Row],[Result]]&lt;0.5,1,0),0)</f>
        <v>1</v>
      </c>
      <c r="AE362" s="2">
        <f>IF(AND(Games[[#This Row],[Type]]="P",Games[[#This Row],[Round]]=1),IF(Games[[#This Row],[Result]]&gt;0.5,1,0),0)</f>
        <v>0</v>
      </c>
      <c r="AF362" s="2">
        <f>IF(AND(Games[[#This Row],[Type]]="P",Games[[#This Row],[Round]]=1),IF(Games[[#This Row],[Result]]&lt;0.5,1,0),0)</f>
        <v>0</v>
      </c>
      <c r="AG362" s="2">
        <f>IF(AND(Games[[#This Row],[Type]]="P",Games[[#This Row],[Round]]=2),IF(Games[[#This Row],[Result]]&gt;0.5,1,0),0)</f>
        <v>0</v>
      </c>
      <c r="AH362" s="2">
        <f>IF(AND(Games[[#This Row],[Type]]="P",Games[[#This Row],[Round]]=2),IF(Games[[#This Row],[Result]]&lt;0.5,1,0),0)</f>
        <v>0</v>
      </c>
      <c r="AI362" s="2">
        <f>IF(AND(Games[[#This Row],[Type]]="P",Games[[#This Row],[Round]]=3),IF(Games[[#This Row],[Result]]&gt;0.5,1,0),0)</f>
        <v>0</v>
      </c>
      <c r="AJ362" s="2">
        <f>IF(AND(Games[[#This Row],[Type]]="P",Games[[#This Row],[Round]]=3),IF(Games[[#This Row],[Result]]&lt;0.5,1,0),0)</f>
        <v>0</v>
      </c>
      <c r="AK362" s="2">
        <f>IF(AND(Games[[#This Row],[Type]]="P",Games[[#This Row],[Round]]=4),IF(Games[[#This Row],[Result]]&gt;0.5,1,0),0)</f>
        <v>0</v>
      </c>
      <c r="AL362" s="2">
        <f>IF(AND(Games[[#This Row],[Type]]="P",Games[[#This Row],[Round]]=4),IF(Games[[#This Row],[Result]]&lt;0.5,1,0),0)</f>
        <v>0</v>
      </c>
    </row>
    <row r="363" spans="1:38" x14ac:dyDescent="0.35">
      <c r="A363" s="10">
        <v>45151</v>
      </c>
      <c r="B363" s="2">
        <v>2023</v>
      </c>
      <c r="C363" s="2">
        <f>COUNTIFS(Games[Team],Games[[#This Row],[Team]],Games[Season],Games[[#This Row],[Season]],Games[Date],"&lt;=" &amp; Games[[#This Row],[Date]])</f>
        <v>30</v>
      </c>
      <c r="D363" s="2" t="s">
        <v>79</v>
      </c>
      <c r="E363" s="2" t="s">
        <v>80</v>
      </c>
      <c r="F363" s="1" t="s">
        <v>65</v>
      </c>
      <c r="G363" s="1" t="s">
        <v>75</v>
      </c>
      <c r="H363" s="1" t="s">
        <v>82</v>
      </c>
      <c r="I363" s="2" cm="1">
        <f t="array" ref="I3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3" s="2" cm="1">
        <f t="array" ref="J3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3" s="2">
        <f>Games[[#This Row],[DaysOff]]-Games[[#This Row],[OppDaysOff]]</f>
        <v>0</v>
      </c>
      <c r="L363" s="2">
        <f>Games[[#This Row],[OppDaysOff]]-Games[[#This Row],[DaysOff]]</f>
        <v>0</v>
      </c>
      <c r="M363" s="1">
        <f>MAX(-16, MIN(16, Games[[#This Row],[RestDiff]]*8))</f>
        <v>0</v>
      </c>
      <c r="N363" s="1">
        <f>MAX(-16, MIN(16, Games[[#This Row],[OppRestDiff]]*8))</f>
        <v>0</v>
      </c>
      <c r="O363" s="4" cm="1">
        <f t="array" ref="O3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1448.7957675600135</v>
      </c>
      <c r="P363" s="4" cm="1">
        <f t="array" ref="P3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1465.6916279666289</v>
      </c>
      <c r="Q363" s="4">
        <f>1/(1+10^(((Games[[#This Row],[OppPreGmRate]]+IF(Games[[#This Row],[HomeAway]]="A",HCA,0)+Games[[#This Row],[OppRestAdj]])-(Games[[#This Row],[PreGmRate]]+IF(Games[[#This Row],[HomeAway]]="H",HCA,0)+Games[[#This Row],[RestAdj]]))/400))</f>
        <v>0.59538746233757334</v>
      </c>
      <c r="R363" s="1">
        <v>83</v>
      </c>
      <c r="S363" s="1">
        <v>76</v>
      </c>
      <c r="T363" s="1">
        <v>0</v>
      </c>
      <c r="U363" s="1">
        <f>Games[[#This Row],[PointsFor]]-Games[[#This Row],[PointsAgainst]]</f>
        <v>7</v>
      </c>
      <c r="V363" s="1">
        <f>IF(Games[[#This Row],[MOV]]&gt;0,1,IF(Games[[#This Row],[MOV]]=0,0.5,0))</f>
        <v>1</v>
      </c>
      <c r="W363" s="4">
        <f>((ABS(Games[[#This Row],[MOV]])+5)^0.6)/(12+0.01*(ABS(Games[[#This Row],[PreGmRate]]-Games[[#This Row],[OppPreGmRate]])))*IF(Games[[#This Row],[OT]]=1,0.9,1)</f>
        <v>0.36496845903985753</v>
      </c>
      <c r="X363" s="7" cm="1">
        <f t="array" ref="X36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3" s="9">
        <f>MAX(kmin, kmax - 0.15 * MIN(Games[[#This Row],[GamesPlayed]], 82))</f>
        <v>71.5</v>
      </c>
      <c r="Z363" s="4">
        <f>Games[[#This Row],[K]]*Games[[#This Row],[POMult]]</f>
        <v>71.5</v>
      </c>
      <c r="AA363" s="4">
        <f>(Games[[#This Row],[Keff]]*Games[[#This Row],[MOVMult]])*(Games[[#This Row],[Result]]-Games[[#This Row],[ExpectedWin%]])</f>
        <v>10.558463228088645</v>
      </c>
      <c r="AB363" s="4">
        <f>Games[[#This Row],[PreGmRate]]+Games[[#This Row],[RatingChange]]</f>
        <v>1459.3542307881021</v>
      </c>
      <c r="AC363" s="2">
        <f>IF(Games[[#This Row],[Type]]="R",IF(Games[[#This Row],[Result]]&gt;0.5,1,0),0)</f>
        <v>1</v>
      </c>
      <c r="AD363" s="2">
        <f>IF(Games[[#This Row],[Type]]="R",IF(Games[[#This Row],[Result]]&lt;0.5,1,0),0)</f>
        <v>0</v>
      </c>
      <c r="AE363" s="2">
        <f>IF(AND(Games[[#This Row],[Type]]="P",Games[[#This Row],[Round]]=1),IF(Games[[#This Row],[Result]]&gt;0.5,1,0),0)</f>
        <v>0</v>
      </c>
      <c r="AF363" s="2">
        <f>IF(AND(Games[[#This Row],[Type]]="P",Games[[#This Row],[Round]]=1),IF(Games[[#This Row],[Result]]&lt;0.5,1,0),0)</f>
        <v>0</v>
      </c>
      <c r="AG363" s="2">
        <f>IF(AND(Games[[#This Row],[Type]]="P",Games[[#This Row],[Round]]=2),IF(Games[[#This Row],[Result]]&gt;0.5,1,0),0)</f>
        <v>0</v>
      </c>
      <c r="AH363" s="2">
        <f>IF(AND(Games[[#This Row],[Type]]="P",Games[[#This Row],[Round]]=2),IF(Games[[#This Row],[Result]]&lt;0.5,1,0),0)</f>
        <v>0</v>
      </c>
      <c r="AI363" s="2">
        <f>IF(AND(Games[[#This Row],[Type]]="P",Games[[#This Row],[Round]]=3),IF(Games[[#This Row],[Result]]&gt;0.5,1,0),0)</f>
        <v>0</v>
      </c>
      <c r="AJ363" s="2">
        <f>IF(AND(Games[[#This Row],[Type]]="P",Games[[#This Row],[Round]]=3),IF(Games[[#This Row],[Result]]&lt;0.5,1,0),0)</f>
        <v>0</v>
      </c>
      <c r="AK363" s="2">
        <f>IF(AND(Games[[#This Row],[Type]]="P",Games[[#This Row],[Round]]=4),IF(Games[[#This Row],[Result]]&gt;0.5,1,0),0)</f>
        <v>0</v>
      </c>
      <c r="AL363" s="2">
        <f>IF(AND(Games[[#This Row],[Type]]="P",Games[[#This Row],[Round]]=4),IF(Games[[#This Row],[Result]]&lt;0.5,1,0),0)</f>
        <v>0</v>
      </c>
    </row>
    <row r="364" spans="1:38" x14ac:dyDescent="0.35">
      <c r="A364" s="10">
        <v>45153</v>
      </c>
      <c r="B364" s="2">
        <v>2023</v>
      </c>
      <c r="C364" s="2">
        <f>COUNTIFS(Games[Team],Games[[#This Row],[Team]],Games[Season],Games[[#This Row],[Season]],Games[Date],"&lt;=" &amp; Games[[#This Row],[Date]])</f>
        <v>31</v>
      </c>
      <c r="D364" s="2" t="s">
        <v>83</v>
      </c>
      <c r="E364" s="7">
        <v>0.1</v>
      </c>
      <c r="F364" s="1" t="s">
        <v>60</v>
      </c>
      <c r="G364" s="1" t="s">
        <v>86</v>
      </c>
      <c r="H364" s="1" t="s">
        <v>81</v>
      </c>
      <c r="I364" s="2" cm="1">
        <f t="array" ref="I3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4" s="2" cm="1">
        <f t="array" ref="J3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4" s="2">
        <f>Games[[#This Row],[DaysOff]]-Games[[#This Row],[OppDaysOff]]</f>
        <v>0</v>
      </c>
      <c r="L364" s="2">
        <f>Games[[#This Row],[OppDaysOff]]-Games[[#This Row],[DaysOff]]</f>
        <v>0</v>
      </c>
      <c r="M364" s="1">
        <f>MAX(-16, MIN(16, Games[[#This Row],[RestDiff]]*8))</f>
        <v>0</v>
      </c>
      <c r="N364" s="1">
        <f>MAX(-16, MIN(16, Games[[#This Row],[OppRestDiff]]*8))</f>
        <v>0</v>
      </c>
      <c r="O364" s="4" cm="1">
        <f t="array" ref="O3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1668.0651710365848</v>
      </c>
      <c r="P364" s="4" cm="1">
        <f t="array" ref="P3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1750.8900825284302</v>
      </c>
      <c r="Q364" s="4">
        <f>1/(1+10^(((Games[[#This Row],[OppPreGmRate]]+IF(Games[[#This Row],[HomeAway]]="A",HCA,0)+Games[[#This Row],[OppRestAdj]])-(Games[[#This Row],[PreGmRate]]+IF(Games[[#This Row],[HomeAway]]="H",HCA,0)+Games[[#This Row],[RestAdj]]))/400))</f>
        <v>0.27681385268795483</v>
      </c>
      <c r="R364" s="1">
        <v>82</v>
      </c>
      <c r="S364" s="1">
        <v>63</v>
      </c>
      <c r="T364" s="1">
        <v>0</v>
      </c>
      <c r="U364" s="1">
        <f>Games[[#This Row],[PointsFor]]-Games[[#This Row],[PointsAgainst]]</f>
        <v>19</v>
      </c>
      <c r="V364" s="1">
        <f>IF(Games[[#This Row],[MOV]]&gt;0,1,IF(Games[[#This Row],[MOV]]=0,0.5,0))</f>
        <v>1</v>
      </c>
      <c r="W364" s="4">
        <f>((ABS(Games[[#This Row],[MOV]])+5)^0.6)/(12+0.01*(ABS(Games[[#This Row],[PreGmRate]]-Games[[#This Row],[OppPreGmRate]])))*IF(Games[[#This Row],[OT]]=1,0.9,1)</f>
        <v>0.52475835263041581</v>
      </c>
      <c r="X364" s="7" cm="1">
        <f t="array" ref="X36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1.02</v>
      </c>
      <c r="Y364" s="9">
        <f>MAX(kmin, kmax - 0.15 * MIN(Games[[#This Row],[GamesPlayed]], 82))</f>
        <v>71.349999999999994</v>
      </c>
      <c r="Z364" s="4">
        <f>Games[[#This Row],[K]]*Games[[#This Row],[POMult]]</f>
        <v>72.777000000000001</v>
      </c>
      <c r="AA364" s="4">
        <f>(Games[[#This Row],[Keff]]*Games[[#This Row],[MOVMult]])*(Games[[#This Row],[Result]]-Games[[#This Row],[ExpectedWin%]])</f>
        <v>27.618723857926422</v>
      </c>
      <c r="AB364" s="4">
        <f>Games[[#This Row],[PreGmRate]]+Games[[#This Row],[RatingChange]]</f>
        <v>1695.6838948945112</v>
      </c>
      <c r="AC364" s="2">
        <f>IF(Games[[#This Row],[Type]]="R",IF(Games[[#This Row],[Result]]&gt;0.5,1,0),0)</f>
        <v>0</v>
      </c>
      <c r="AD364" s="2">
        <f>IF(Games[[#This Row],[Type]]="R",IF(Games[[#This Row],[Result]]&lt;0.5,1,0),0)</f>
        <v>0</v>
      </c>
      <c r="AE364" s="2">
        <f>IF(AND(Games[[#This Row],[Type]]="P",Games[[#This Row],[Round]]=1),IF(Games[[#This Row],[Result]]&gt;0.5,1,0),0)</f>
        <v>0</v>
      </c>
      <c r="AF364" s="2">
        <f>IF(AND(Games[[#This Row],[Type]]="P",Games[[#This Row],[Round]]=1),IF(Games[[#This Row],[Result]]&lt;0.5,1,0),0)</f>
        <v>0</v>
      </c>
      <c r="AG364" s="2">
        <f>IF(AND(Games[[#This Row],[Type]]="P",Games[[#This Row],[Round]]=2),IF(Games[[#This Row],[Result]]&gt;0.5,1,0),0)</f>
        <v>0</v>
      </c>
      <c r="AH364" s="2">
        <f>IF(AND(Games[[#This Row],[Type]]="P",Games[[#This Row],[Round]]=2),IF(Games[[#This Row],[Result]]&lt;0.5,1,0),0)</f>
        <v>0</v>
      </c>
      <c r="AI364" s="2">
        <f>IF(AND(Games[[#This Row],[Type]]="P",Games[[#This Row],[Round]]=3),IF(Games[[#This Row],[Result]]&gt;0.5,1,0),0)</f>
        <v>0</v>
      </c>
      <c r="AJ364" s="2">
        <f>IF(AND(Games[[#This Row],[Type]]="P",Games[[#This Row],[Round]]=3),IF(Games[[#This Row],[Result]]&lt;0.5,1,0),0)</f>
        <v>0</v>
      </c>
      <c r="AK364" s="2">
        <f>IF(AND(Games[[#This Row],[Type]]="P",Games[[#This Row],[Round]]=4),IF(Games[[#This Row],[Result]]&gt;0.5,1,0),0)</f>
        <v>0</v>
      </c>
      <c r="AL364" s="2">
        <f>IF(AND(Games[[#This Row],[Type]]="P",Games[[#This Row],[Round]]=4),IF(Games[[#This Row],[Result]]&lt;0.5,1,0),0)</f>
        <v>0</v>
      </c>
    </row>
    <row r="365" spans="1:38" x14ac:dyDescent="0.35">
      <c r="A365" s="10">
        <v>45153</v>
      </c>
      <c r="B365" s="2">
        <v>2023</v>
      </c>
      <c r="C365" s="2">
        <f>COUNTIFS(Games[Team],Games[[#This Row],[Team]],Games[Season],Games[[#This Row],[Season]],Games[Date],"&lt;=" &amp; Games[[#This Row],[Date]])</f>
        <v>31</v>
      </c>
      <c r="D365" s="2" t="s">
        <v>83</v>
      </c>
      <c r="E365" s="7">
        <v>0.1</v>
      </c>
      <c r="F365" s="1" t="s">
        <v>86</v>
      </c>
      <c r="G365" s="1" t="s">
        <v>60</v>
      </c>
      <c r="H365" s="1" t="s">
        <v>82</v>
      </c>
      <c r="I365" s="2" cm="1">
        <f t="array" ref="I3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5" s="2" cm="1">
        <f t="array" ref="J3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5" s="2">
        <f>Games[[#This Row],[DaysOff]]-Games[[#This Row],[OppDaysOff]]</f>
        <v>0</v>
      </c>
      <c r="L365" s="2">
        <f>Games[[#This Row],[OppDaysOff]]-Games[[#This Row],[DaysOff]]</f>
        <v>0</v>
      </c>
      <c r="M365" s="1">
        <f>MAX(-16, MIN(16, Games[[#This Row],[RestDiff]]*8))</f>
        <v>0</v>
      </c>
      <c r="N365" s="1">
        <f>MAX(-16, MIN(16, Games[[#This Row],[OppRestDiff]]*8))</f>
        <v>0</v>
      </c>
      <c r="O365" s="4" cm="1">
        <f t="array" ref="O3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1750.8900825284302</v>
      </c>
      <c r="P365" s="4" cm="1">
        <f t="array" ref="P3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1668.0651710365848</v>
      </c>
      <c r="Q365" s="4">
        <f>1/(1+10^(((Games[[#This Row],[OppPreGmRate]]+IF(Games[[#This Row],[HomeAway]]="A",HCA,0)+Games[[#This Row],[OppRestAdj]])-(Games[[#This Row],[PreGmRate]]+IF(Games[[#This Row],[HomeAway]]="H",HCA,0)+Games[[#This Row],[RestAdj]]))/400))</f>
        <v>0.72318614731204522</v>
      </c>
      <c r="R365" s="1">
        <v>63</v>
      </c>
      <c r="S365" s="1">
        <v>82</v>
      </c>
      <c r="T365" s="1">
        <v>0</v>
      </c>
      <c r="U365" s="1">
        <f>Games[[#This Row],[PointsFor]]-Games[[#This Row],[PointsAgainst]]</f>
        <v>-19</v>
      </c>
      <c r="V365" s="1">
        <f>IF(Games[[#This Row],[MOV]]&gt;0,1,IF(Games[[#This Row],[MOV]]=0,0.5,0))</f>
        <v>0</v>
      </c>
      <c r="W365" s="4">
        <f>((ABS(Games[[#This Row],[MOV]])+5)^0.6)/(12+0.01*(ABS(Games[[#This Row],[PreGmRate]]-Games[[#This Row],[OppPreGmRate]])))*IF(Games[[#This Row],[OT]]=1,0.9,1)</f>
        <v>0.52475835263041581</v>
      </c>
      <c r="X365" s="7" cm="1">
        <f t="array" ref="X36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1.02</v>
      </c>
      <c r="Y365" s="9">
        <f>MAX(kmin, kmax - 0.15 * MIN(Games[[#This Row],[GamesPlayed]], 82))</f>
        <v>71.349999999999994</v>
      </c>
      <c r="Z365" s="4">
        <f>Games[[#This Row],[K]]*Games[[#This Row],[POMult]]</f>
        <v>72.777000000000001</v>
      </c>
      <c r="AA365" s="4">
        <f>(Games[[#This Row],[Keff]]*Games[[#This Row],[MOVMult]])*(Games[[#This Row],[Result]]-Games[[#This Row],[ExpectedWin%]])</f>
        <v>-27.618723857926426</v>
      </c>
      <c r="AB365" s="4">
        <f>Games[[#This Row],[PreGmRate]]+Games[[#This Row],[RatingChange]]</f>
        <v>1723.2713586705038</v>
      </c>
      <c r="AC365" s="2">
        <f>IF(Games[[#This Row],[Type]]="R",IF(Games[[#This Row],[Result]]&gt;0.5,1,0),0)</f>
        <v>0</v>
      </c>
      <c r="AD365" s="2">
        <f>IF(Games[[#This Row],[Type]]="R",IF(Games[[#This Row],[Result]]&lt;0.5,1,0),0)</f>
        <v>0</v>
      </c>
      <c r="AE365" s="2">
        <f>IF(AND(Games[[#This Row],[Type]]="P",Games[[#This Row],[Round]]=1),IF(Games[[#This Row],[Result]]&gt;0.5,1,0),0)</f>
        <v>0</v>
      </c>
      <c r="AF365" s="2">
        <f>IF(AND(Games[[#This Row],[Type]]="P",Games[[#This Row],[Round]]=1),IF(Games[[#This Row],[Result]]&lt;0.5,1,0),0)</f>
        <v>0</v>
      </c>
      <c r="AG365" s="2">
        <f>IF(AND(Games[[#This Row],[Type]]="P",Games[[#This Row],[Round]]=2),IF(Games[[#This Row],[Result]]&gt;0.5,1,0),0)</f>
        <v>0</v>
      </c>
      <c r="AH365" s="2">
        <f>IF(AND(Games[[#This Row],[Type]]="P",Games[[#This Row],[Round]]=2),IF(Games[[#This Row],[Result]]&lt;0.5,1,0),0)</f>
        <v>0</v>
      </c>
      <c r="AI365" s="2">
        <f>IF(AND(Games[[#This Row],[Type]]="P",Games[[#This Row],[Round]]=3),IF(Games[[#This Row],[Result]]&gt;0.5,1,0),0)</f>
        <v>0</v>
      </c>
      <c r="AJ365" s="2">
        <f>IF(AND(Games[[#This Row],[Type]]="P",Games[[#This Row],[Round]]=3),IF(Games[[#This Row],[Result]]&lt;0.5,1,0),0)</f>
        <v>0</v>
      </c>
      <c r="AK365" s="2">
        <f>IF(AND(Games[[#This Row],[Type]]="P",Games[[#This Row],[Round]]=4),IF(Games[[#This Row],[Result]]&gt;0.5,1,0),0)</f>
        <v>0</v>
      </c>
      <c r="AL365" s="2">
        <f>IF(AND(Games[[#This Row],[Type]]="P",Games[[#This Row],[Round]]=4),IF(Games[[#This Row],[Result]]&lt;0.5,1,0),0)</f>
        <v>0</v>
      </c>
    </row>
    <row r="366" spans="1:38" x14ac:dyDescent="0.35">
      <c r="A366" s="10">
        <v>45155</v>
      </c>
      <c r="B366" s="2">
        <v>2023</v>
      </c>
      <c r="C366" s="2">
        <f>COUNTIFS(Games[Team],Games[[#This Row],[Team]],Games[Season],Games[[#This Row],[Season]],Games[Date],"&lt;=" &amp; Games[[#This Row],[Date]])</f>
        <v>32</v>
      </c>
      <c r="D366" s="2" t="s">
        <v>79</v>
      </c>
      <c r="E366" s="2" t="s">
        <v>80</v>
      </c>
      <c r="F366" s="1" t="s">
        <v>60</v>
      </c>
      <c r="G366" s="1" t="s">
        <v>86</v>
      </c>
      <c r="H366" s="1" t="s">
        <v>81</v>
      </c>
      <c r="I366" s="2" cm="1">
        <f t="array" ref="I3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6" s="2" cm="1">
        <f t="array" ref="J3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6" s="2">
        <f>Games[[#This Row],[DaysOff]]-Games[[#This Row],[OppDaysOff]]</f>
        <v>0</v>
      </c>
      <c r="L366" s="2">
        <f>Games[[#This Row],[OppDaysOff]]-Games[[#This Row],[DaysOff]]</f>
        <v>0</v>
      </c>
      <c r="M366" s="1">
        <f>MAX(-16, MIN(16, Games[[#This Row],[RestDiff]]*8))</f>
        <v>0</v>
      </c>
      <c r="N366" s="1">
        <f>MAX(-16, MIN(16, Games[[#This Row],[OppRestDiff]]*8))</f>
        <v>0</v>
      </c>
      <c r="O366" s="4" cm="1">
        <f t="array" ref="O3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1695.6838948945112</v>
      </c>
      <c r="P366" s="4" cm="1">
        <f t="array" ref="P3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1723.2713586705038</v>
      </c>
      <c r="Q366" s="4">
        <f>1/(1+10^(((Games[[#This Row],[OppPreGmRate]]+IF(Games[[#This Row],[HomeAway]]="A",HCA,0)+Games[[#This Row],[OppRestAdj]])-(Games[[#This Row],[PreGmRate]]+IF(Games[[#This Row],[HomeAway]]="H",HCA,0)+Games[[#This Row],[RestAdj]]))/400))</f>
        <v>0.34471572062102107</v>
      </c>
      <c r="R366" s="1">
        <v>75</v>
      </c>
      <c r="S366" s="1">
        <v>88</v>
      </c>
      <c r="T366" s="1">
        <v>0</v>
      </c>
      <c r="U366" s="1">
        <f>Games[[#This Row],[PointsFor]]-Games[[#This Row],[PointsAgainst]]</f>
        <v>-13</v>
      </c>
      <c r="V366" s="1">
        <f>IF(Games[[#This Row],[MOV]]&gt;0,1,IF(Games[[#This Row],[MOV]]=0,0.5,0))</f>
        <v>0</v>
      </c>
      <c r="W366" s="4">
        <f>((ABS(Games[[#This Row],[MOV]])+5)^0.6)/(12+0.01*(ABS(Games[[#This Row],[PreGmRate]]-Games[[#This Row],[OppPreGmRate]])))*IF(Games[[#This Row],[OT]]=1,0.9,1)</f>
        <v>0.46143555835489219</v>
      </c>
      <c r="X366" s="7" cm="1">
        <f t="array" ref="X36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6" s="9">
        <f>MAX(kmin, kmax - 0.15 * MIN(Games[[#This Row],[GamesPlayed]], 82))</f>
        <v>71.2</v>
      </c>
      <c r="Z366" s="4">
        <f>Games[[#This Row],[K]]*Games[[#This Row],[POMult]]</f>
        <v>71.2</v>
      </c>
      <c r="AA366" s="4">
        <f>(Games[[#This Row],[Keff]]*Games[[#This Row],[MOVMult]])*(Games[[#This Row],[Result]]-Games[[#This Row],[ExpectedWin%]])</f>
        <v>-11.325363280515056</v>
      </c>
      <c r="AB366" s="4">
        <f>Games[[#This Row],[PreGmRate]]+Games[[#This Row],[RatingChange]]</f>
        <v>1684.3585316139961</v>
      </c>
      <c r="AC366" s="2">
        <f>IF(Games[[#This Row],[Type]]="R",IF(Games[[#This Row],[Result]]&gt;0.5,1,0),0)</f>
        <v>0</v>
      </c>
      <c r="AD366" s="2">
        <f>IF(Games[[#This Row],[Type]]="R",IF(Games[[#This Row],[Result]]&lt;0.5,1,0),0)</f>
        <v>1</v>
      </c>
      <c r="AE366" s="2">
        <f>IF(AND(Games[[#This Row],[Type]]="P",Games[[#This Row],[Round]]=1),IF(Games[[#This Row],[Result]]&gt;0.5,1,0),0)</f>
        <v>0</v>
      </c>
      <c r="AF366" s="2">
        <f>IF(AND(Games[[#This Row],[Type]]="P",Games[[#This Row],[Round]]=1),IF(Games[[#This Row],[Result]]&lt;0.5,1,0),0)</f>
        <v>0</v>
      </c>
      <c r="AG366" s="2">
        <f>IF(AND(Games[[#This Row],[Type]]="P",Games[[#This Row],[Round]]=2),IF(Games[[#This Row],[Result]]&gt;0.5,1,0),0)</f>
        <v>0</v>
      </c>
      <c r="AH366" s="2">
        <f>IF(AND(Games[[#This Row],[Type]]="P",Games[[#This Row],[Round]]=2),IF(Games[[#This Row],[Result]]&lt;0.5,1,0),0)</f>
        <v>0</v>
      </c>
      <c r="AI366" s="2">
        <f>IF(AND(Games[[#This Row],[Type]]="P",Games[[#This Row],[Round]]=3),IF(Games[[#This Row],[Result]]&gt;0.5,1,0),0)</f>
        <v>0</v>
      </c>
      <c r="AJ366" s="2">
        <f>IF(AND(Games[[#This Row],[Type]]="P",Games[[#This Row],[Round]]=3),IF(Games[[#This Row],[Result]]&lt;0.5,1,0),0)</f>
        <v>0</v>
      </c>
      <c r="AK366" s="2">
        <f>IF(AND(Games[[#This Row],[Type]]="P",Games[[#This Row],[Round]]=4),IF(Games[[#This Row],[Result]]&gt;0.5,1,0),0)</f>
        <v>0</v>
      </c>
      <c r="AL366" s="2">
        <f>IF(AND(Games[[#This Row],[Type]]="P",Games[[#This Row],[Round]]=4),IF(Games[[#This Row],[Result]]&lt;0.5,1,0),0)</f>
        <v>0</v>
      </c>
    </row>
    <row r="367" spans="1:38" x14ac:dyDescent="0.35">
      <c r="A367" s="10">
        <v>45155</v>
      </c>
      <c r="B367" s="2">
        <v>2023</v>
      </c>
      <c r="C367" s="2">
        <f>COUNTIFS(Games[Team],Games[[#This Row],[Team]],Games[Season],Games[[#This Row],[Season]],Games[Date],"&lt;=" &amp; Games[[#This Row],[Date]])</f>
        <v>32</v>
      </c>
      <c r="D367" s="2" t="s">
        <v>79</v>
      </c>
      <c r="E367" s="2" t="s">
        <v>80</v>
      </c>
      <c r="F367" s="1" t="s">
        <v>86</v>
      </c>
      <c r="G367" s="1" t="s">
        <v>60</v>
      </c>
      <c r="H367" s="1" t="s">
        <v>82</v>
      </c>
      <c r="I367" s="2" cm="1">
        <f t="array" ref="I3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7" s="2" cm="1">
        <f t="array" ref="J3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7" s="2">
        <f>Games[[#This Row],[DaysOff]]-Games[[#This Row],[OppDaysOff]]</f>
        <v>0</v>
      </c>
      <c r="L367" s="2">
        <f>Games[[#This Row],[OppDaysOff]]-Games[[#This Row],[DaysOff]]</f>
        <v>0</v>
      </c>
      <c r="M367" s="1">
        <f>MAX(-16, MIN(16, Games[[#This Row],[RestDiff]]*8))</f>
        <v>0</v>
      </c>
      <c r="N367" s="1">
        <f>MAX(-16, MIN(16, Games[[#This Row],[OppRestDiff]]*8))</f>
        <v>0</v>
      </c>
      <c r="O367" s="4" cm="1">
        <f t="array" ref="O3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1723.2713586705038</v>
      </c>
      <c r="P367" s="4" cm="1">
        <f t="array" ref="P3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1695.6838948945112</v>
      </c>
      <c r="Q367" s="4">
        <f>1/(1+10^(((Games[[#This Row],[OppPreGmRate]]+IF(Games[[#This Row],[HomeAway]]="A",HCA,0)+Games[[#This Row],[OppRestAdj]])-(Games[[#This Row],[PreGmRate]]+IF(Games[[#This Row],[HomeAway]]="H",HCA,0)+Games[[#This Row],[RestAdj]]))/400))</f>
        <v>0.65528427937897893</v>
      </c>
      <c r="R367" s="1">
        <v>88</v>
      </c>
      <c r="S367" s="1">
        <v>75</v>
      </c>
      <c r="T367" s="1">
        <v>0</v>
      </c>
      <c r="U367" s="1">
        <f>Games[[#This Row],[PointsFor]]-Games[[#This Row],[PointsAgainst]]</f>
        <v>13</v>
      </c>
      <c r="V367" s="1">
        <f>IF(Games[[#This Row],[MOV]]&gt;0,1,IF(Games[[#This Row],[MOV]]=0,0.5,0))</f>
        <v>1</v>
      </c>
      <c r="W367" s="4">
        <f>((ABS(Games[[#This Row],[MOV]])+5)^0.6)/(12+0.01*(ABS(Games[[#This Row],[PreGmRate]]-Games[[#This Row],[OppPreGmRate]])))*IF(Games[[#This Row],[OT]]=1,0.9,1)</f>
        <v>0.46143555835489219</v>
      </c>
      <c r="X367" s="7" cm="1">
        <f t="array" ref="X36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7" s="9">
        <f>MAX(kmin, kmax - 0.15 * MIN(Games[[#This Row],[GamesPlayed]], 82))</f>
        <v>71.2</v>
      </c>
      <c r="Z367" s="4">
        <f>Games[[#This Row],[K]]*Games[[#This Row],[POMult]]</f>
        <v>71.2</v>
      </c>
      <c r="AA367" s="4">
        <f>(Games[[#This Row],[Keff]]*Games[[#This Row],[MOVMult]])*(Games[[#This Row],[Result]]-Games[[#This Row],[ExpectedWin%]])</f>
        <v>11.325363280515056</v>
      </c>
      <c r="AB367" s="4">
        <f>Games[[#This Row],[PreGmRate]]+Games[[#This Row],[RatingChange]]</f>
        <v>1734.5967219510189</v>
      </c>
      <c r="AC367" s="2">
        <f>IF(Games[[#This Row],[Type]]="R",IF(Games[[#This Row],[Result]]&gt;0.5,1,0),0)</f>
        <v>1</v>
      </c>
      <c r="AD367" s="2">
        <f>IF(Games[[#This Row],[Type]]="R",IF(Games[[#This Row],[Result]]&lt;0.5,1,0),0)</f>
        <v>0</v>
      </c>
      <c r="AE367" s="2">
        <f>IF(AND(Games[[#This Row],[Type]]="P",Games[[#This Row],[Round]]=1),IF(Games[[#This Row],[Result]]&gt;0.5,1,0),0)</f>
        <v>0</v>
      </c>
      <c r="AF367" s="2">
        <f>IF(AND(Games[[#This Row],[Type]]="P",Games[[#This Row],[Round]]=1),IF(Games[[#This Row],[Result]]&lt;0.5,1,0),0)</f>
        <v>0</v>
      </c>
      <c r="AG367" s="2">
        <f>IF(AND(Games[[#This Row],[Type]]="P",Games[[#This Row],[Round]]=2),IF(Games[[#This Row],[Result]]&gt;0.5,1,0),0)</f>
        <v>0</v>
      </c>
      <c r="AH367" s="2">
        <f>IF(AND(Games[[#This Row],[Type]]="P",Games[[#This Row],[Round]]=2),IF(Games[[#This Row],[Result]]&lt;0.5,1,0),0)</f>
        <v>0</v>
      </c>
      <c r="AI367" s="2">
        <f>IF(AND(Games[[#This Row],[Type]]="P",Games[[#This Row],[Round]]=3),IF(Games[[#This Row],[Result]]&gt;0.5,1,0),0)</f>
        <v>0</v>
      </c>
      <c r="AJ367" s="2">
        <f>IF(AND(Games[[#This Row],[Type]]="P",Games[[#This Row],[Round]]=3),IF(Games[[#This Row],[Result]]&lt;0.5,1,0),0)</f>
        <v>0</v>
      </c>
      <c r="AK367" s="2">
        <f>IF(AND(Games[[#This Row],[Type]]="P",Games[[#This Row],[Round]]=4),IF(Games[[#This Row],[Result]]&gt;0.5,1,0),0)</f>
        <v>0</v>
      </c>
      <c r="AL367" s="2">
        <f>IF(AND(Games[[#This Row],[Type]]="P",Games[[#This Row],[Round]]=4),IF(Games[[#This Row],[Result]]&lt;0.5,1,0),0)</f>
        <v>0</v>
      </c>
    </row>
    <row r="368" spans="1:38" x14ac:dyDescent="0.35">
      <c r="A368" s="10">
        <v>45156</v>
      </c>
      <c r="B368" s="2">
        <v>2023</v>
      </c>
      <c r="C368" s="2">
        <f>COUNTIFS(Games[Team],Games[[#This Row],[Team]],Games[Season],Games[[#This Row],[Season]],Games[Date],"&lt;=" &amp; Games[[#This Row],[Date]])</f>
        <v>31</v>
      </c>
      <c r="D368" s="2" t="s">
        <v>79</v>
      </c>
      <c r="E368" s="2" t="s">
        <v>80</v>
      </c>
      <c r="F368" s="1" t="s">
        <v>75</v>
      </c>
      <c r="G368" s="1" t="s">
        <v>77</v>
      </c>
      <c r="H368" s="1" t="s">
        <v>81</v>
      </c>
      <c r="I368" s="2" cm="1">
        <f t="array" ref="I368">IFERROR(
    Games[[#This Row],[Date]]
    - LOOKUP(
        2,
        1/((Games[Team]=Games[[#This Row],[Team]]) * (Games[Date] &lt; Games[[#This Row],[Date]])),
        Games[Date]
    )
    - 1,
Games[[#This Row],[Date]]-$A$2)</f>
        <v>4</v>
      </c>
      <c r="J368" s="2" cm="1">
        <f t="array" ref="J36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68" s="2">
        <f>Games[[#This Row],[DaysOff]]-Games[[#This Row],[OppDaysOff]]</f>
        <v>0</v>
      </c>
      <c r="L368" s="2">
        <f>Games[[#This Row],[OppDaysOff]]-Games[[#This Row],[DaysOff]]</f>
        <v>0</v>
      </c>
      <c r="M368" s="1">
        <f>MAX(-16, MIN(16, Games[[#This Row],[RestDiff]]*8))</f>
        <v>0</v>
      </c>
      <c r="N368" s="1">
        <f>MAX(-16, MIN(16, Games[[#This Row],[OppRestDiff]]*8))</f>
        <v>0</v>
      </c>
      <c r="O368" s="4" cm="1">
        <f t="array" ref="O3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1455.1331647385402</v>
      </c>
      <c r="P368" s="4" cm="1">
        <f t="array" ref="P3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1470.254470715116</v>
      </c>
      <c r="Q368" s="4">
        <f>1/(1+10^(((Games[[#This Row],[OppPreGmRate]]+IF(Games[[#This Row],[HomeAway]]="A",HCA,0)+Games[[#This Row],[OppRestAdj]])-(Games[[#This Row],[PreGmRate]]+IF(Games[[#This Row],[HomeAway]]="H",HCA,0)+Games[[#This Row],[RestAdj]]))/400))</f>
        <v>0.36110113403434202</v>
      </c>
      <c r="R368" s="1">
        <v>67</v>
      </c>
      <c r="S368" s="1">
        <v>78</v>
      </c>
      <c r="T368" s="1">
        <v>0</v>
      </c>
      <c r="U368" s="1">
        <f>Games[[#This Row],[PointsFor]]-Games[[#This Row],[PointsAgainst]]</f>
        <v>-11</v>
      </c>
      <c r="V368" s="1">
        <f>IF(Games[[#This Row],[MOV]]&gt;0,1,IF(Games[[#This Row],[MOV]]=0,0.5,0))</f>
        <v>0</v>
      </c>
      <c r="W368" s="4">
        <f>((ABS(Games[[#This Row],[MOV]])+5)^0.6)/(12+0.01*(ABS(Games[[#This Row],[PreGmRate]]-Games[[#This Row],[OppPreGmRate]])))*IF(Games[[#This Row],[OT]]=1,0.9,1)</f>
        <v>0.43436252966115985</v>
      </c>
      <c r="X368" s="7" cm="1">
        <f t="array" ref="X36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8" s="9">
        <f>MAX(kmin, kmax - 0.15 * MIN(Games[[#This Row],[GamesPlayed]], 82))</f>
        <v>71.349999999999994</v>
      </c>
      <c r="Z368" s="4">
        <f>Games[[#This Row],[K]]*Games[[#This Row],[POMult]]</f>
        <v>71.349999999999994</v>
      </c>
      <c r="AA368" s="4">
        <f>(Games[[#This Row],[Keff]]*Games[[#This Row],[MOVMult]])*(Games[[#This Row],[Result]]-Games[[#This Row],[ExpectedWin%]])</f>
        <v>-11.191162025744529</v>
      </c>
      <c r="AB368" s="4">
        <f>Games[[#This Row],[PreGmRate]]+Games[[#This Row],[RatingChange]]</f>
        <v>1443.9420027127958</v>
      </c>
      <c r="AC368" s="2">
        <f>IF(Games[[#This Row],[Type]]="R",IF(Games[[#This Row],[Result]]&gt;0.5,1,0),0)</f>
        <v>0</v>
      </c>
      <c r="AD368" s="2">
        <f>IF(Games[[#This Row],[Type]]="R",IF(Games[[#This Row],[Result]]&lt;0.5,1,0),0)</f>
        <v>1</v>
      </c>
      <c r="AE368" s="2">
        <f>IF(AND(Games[[#This Row],[Type]]="P",Games[[#This Row],[Round]]=1),IF(Games[[#This Row],[Result]]&gt;0.5,1,0),0)</f>
        <v>0</v>
      </c>
      <c r="AF368" s="2">
        <f>IF(AND(Games[[#This Row],[Type]]="P",Games[[#This Row],[Round]]=1),IF(Games[[#This Row],[Result]]&lt;0.5,1,0),0)</f>
        <v>0</v>
      </c>
      <c r="AG368" s="2">
        <f>IF(AND(Games[[#This Row],[Type]]="P",Games[[#This Row],[Round]]=2),IF(Games[[#This Row],[Result]]&gt;0.5,1,0),0)</f>
        <v>0</v>
      </c>
      <c r="AH368" s="2">
        <f>IF(AND(Games[[#This Row],[Type]]="P",Games[[#This Row],[Round]]=2),IF(Games[[#This Row],[Result]]&lt;0.5,1,0),0)</f>
        <v>0</v>
      </c>
      <c r="AI368" s="2">
        <f>IF(AND(Games[[#This Row],[Type]]="P",Games[[#This Row],[Round]]=3),IF(Games[[#This Row],[Result]]&gt;0.5,1,0),0)</f>
        <v>0</v>
      </c>
      <c r="AJ368" s="2">
        <f>IF(AND(Games[[#This Row],[Type]]="P",Games[[#This Row],[Round]]=3),IF(Games[[#This Row],[Result]]&lt;0.5,1,0),0)</f>
        <v>0</v>
      </c>
      <c r="AK368" s="2">
        <f>IF(AND(Games[[#This Row],[Type]]="P",Games[[#This Row],[Round]]=4),IF(Games[[#This Row],[Result]]&gt;0.5,1,0),0)</f>
        <v>0</v>
      </c>
      <c r="AL368" s="2">
        <f>IF(AND(Games[[#This Row],[Type]]="P",Games[[#This Row],[Round]]=4),IF(Games[[#This Row],[Result]]&lt;0.5,1,0),0)</f>
        <v>0</v>
      </c>
    </row>
    <row r="369" spans="1:38" x14ac:dyDescent="0.35">
      <c r="A369" s="10">
        <v>45156</v>
      </c>
      <c r="B369" s="2">
        <v>2023</v>
      </c>
      <c r="C369" s="2">
        <f>COUNTIFS(Games[Team],Games[[#This Row],[Team]],Games[Season],Games[[#This Row],[Season]],Games[Date],"&lt;=" &amp; Games[[#This Row],[Date]])</f>
        <v>32</v>
      </c>
      <c r="D369" s="2" t="s">
        <v>79</v>
      </c>
      <c r="E369" s="2" t="s">
        <v>80</v>
      </c>
      <c r="F369" s="1" t="s">
        <v>77</v>
      </c>
      <c r="G369" s="1" t="s">
        <v>75</v>
      </c>
      <c r="H369" s="1" t="s">
        <v>82</v>
      </c>
      <c r="I369" s="2" cm="1">
        <f t="array" ref="I369">IFERROR(
    Games[[#This Row],[Date]]
    - LOOKUP(
        2,
        1/((Games[Team]=Games[[#This Row],[Team]]) * (Games[Date] &lt; Games[[#This Row],[Date]])),
        Games[Date]
    )
    - 1,
Games[[#This Row],[Date]]-$A$2)</f>
        <v>4</v>
      </c>
      <c r="J369" s="2" cm="1">
        <f t="array" ref="J36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69" s="2">
        <f>Games[[#This Row],[DaysOff]]-Games[[#This Row],[OppDaysOff]]</f>
        <v>0</v>
      </c>
      <c r="L369" s="2">
        <f>Games[[#This Row],[OppDaysOff]]-Games[[#This Row],[DaysOff]]</f>
        <v>0</v>
      </c>
      <c r="M369" s="1">
        <f>MAX(-16, MIN(16, Games[[#This Row],[RestDiff]]*8))</f>
        <v>0</v>
      </c>
      <c r="N369" s="1">
        <f>MAX(-16, MIN(16, Games[[#This Row],[OppRestDiff]]*8))</f>
        <v>0</v>
      </c>
      <c r="O369" s="4" cm="1">
        <f t="array" ref="O3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1470.254470715116</v>
      </c>
      <c r="P369" s="4" cm="1">
        <f t="array" ref="P3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1455.1331647385402</v>
      </c>
      <c r="Q369" s="4">
        <f>1/(1+10^(((Games[[#This Row],[OppPreGmRate]]+IF(Games[[#This Row],[HomeAway]]="A",HCA,0)+Games[[#This Row],[OppRestAdj]])-(Games[[#This Row],[PreGmRate]]+IF(Games[[#This Row],[HomeAway]]="H",HCA,0)+Games[[#This Row],[RestAdj]]))/400))</f>
        <v>0.63889886596565804</v>
      </c>
      <c r="R369" s="1">
        <v>78</v>
      </c>
      <c r="S369" s="1">
        <v>67</v>
      </c>
      <c r="T369" s="1">
        <v>0</v>
      </c>
      <c r="U369" s="1">
        <f>Games[[#This Row],[PointsFor]]-Games[[#This Row],[PointsAgainst]]</f>
        <v>11</v>
      </c>
      <c r="V369" s="1">
        <f>IF(Games[[#This Row],[MOV]]&gt;0,1,IF(Games[[#This Row],[MOV]]=0,0.5,0))</f>
        <v>1</v>
      </c>
      <c r="W369" s="4">
        <f>((ABS(Games[[#This Row],[MOV]])+5)^0.6)/(12+0.01*(ABS(Games[[#This Row],[PreGmRate]]-Games[[#This Row],[OppPreGmRate]])))*IF(Games[[#This Row],[OT]]=1,0.9,1)</f>
        <v>0.43436252966115985</v>
      </c>
      <c r="X369" s="7" cm="1">
        <f t="array" ref="X36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9" s="9">
        <f>MAX(kmin, kmax - 0.15 * MIN(Games[[#This Row],[GamesPlayed]], 82))</f>
        <v>71.2</v>
      </c>
      <c r="Z369" s="4">
        <f>Games[[#This Row],[K]]*Games[[#This Row],[POMult]]</f>
        <v>71.2</v>
      </c>
      <c r="AA369" s="4">
        <f>(Games[[#This Row],[Keff]]*Games[[#This Row],[MOVMult]])*(Games[[#This Row],[Result]]-Games[[#This Row],[ExpectedWin%]])</f>
        <v>11.167634705438127</v>
      </c>
      <c r="AB369" s="4">
        <f>Games[[#This Row],[PreGmRate]]+Games[[#This Row],[RatingChange]]</f>
        <v>1481.4221054205541</v>
      </c>
      <c r="AC369" s="2">
        <f>IF(Games[[#This Row],[Type]]="R",IF(Games[[#This Row],[Result]]&gt;0.5,1,0),0)</f>
        <v>1</v>
      </c>
      <c r="AD369" s="2">
        <f>IF(Games[[#This Row],[Type]]="R",IF(Games[[#This Row],[Result]]&lt;0.5,1,0),0)</f>
        <v>0</v>
      </c>
      <c r="AE369" s="2">
        <f>IF(AND(Games[[#This Row],[Type]]="P",Games[[#This Row],[Round]]=1),IF(Games[[#This Row],[Result]]&gt;0.5,1,0),0)</f>
        <v>0</v>
      </c>
      <c r="AF369" s="2">
        <f>IF(AND(Games[[#This Row],[Type]]="P",Games[[#This Row],[Round]]=1),IF(Games[[#This Row],[Result]]&lt;0.5,1,0),0)</f>
        <v>0</v>
      </c>
      <c r="AG369" s="2">
        <f>IF(AND(Games[[#This Row],[Type]]="P",Games[[#This Row],[Round]]=2),IF(Games[[#This Row],[Result]]&gt;0.5,1,0),0)</f>
        <v>0</v>
      </c>
      <c r="AH369" s="2">
        <f>IF(AND(Games[[#This Row],[Type]]="P",Games[[#This Row],[Round]]=2),IF(Games[[#This Row],[Result]]&lt;0.5,1,0),0)</f>
        <v>0</v>
      </c>
      <c r="AI369" s="2">
        <f>IF(AND(Games[[#This Row],[Type]]="P",Games[[#This Row],[Round]]=3),IF(Games[[#This Row],[Result]]&gt;0.5,1,0),0)</f>
        <v>0</v>
      </c>
      <c r="AJ369" s="2">
        <f>IF(AND(Games[[#This Row],[Type]]="P",Games[[#This Row],[Round]]=3),IF(Games[[#This Row],[Result]]&lt;0.5,1,0),0)</f>
        <v>0</v>
      </c>
      <c r="AK369" s="2">
        <f>IF(AND(Games[[#This Row],[Type]]="P",Games[[#This Row],[Round]]=4),IF(Games[[#This Row],[Result]]&gt;0.5,1,0),0)</f>
        <v>0</v>
      </c>
      <c r="AL369" s="2">
        <f>IF(AND(Games[[#This Row],[Type]]="P",Games[[#This Row],[Round]]=4),IF(Games[[#This Row],[Result]]&lt;0.5,1,0),0)</f>
        <v>0</v>
      </c>
    </row>
    <row r="370" spans="1:38" x14ac:dyDescent="0.35">
      <c r="A370" s="10">
        <v>45156</v>
      </c>
      <c r="B370" s="2">
        <v>2023</v>
      </c>
      <c r="C370" s="2">
        <f>COUNTIFS(Games[Team],Games[[#This Row],[Team]],Games[Season],Games[[#This Row],[Season]],Games[Date],"&lt;=" &amp; Games[[#This Row],[Date]])</f>
        <v>31</v>
      </c>
      <c r="D370" s="2" t="s">
        <v>79</v>
      </c>
      <c r="E370" s="2" t="s">
        <v>80</v>
      </c>
      <c r="F370" s="1" t="s">
        <v>85</v>
      </c>
      <c r="G370" s="1" t="s">
        <v>74</v>
      </c>
      <c r="H370" s="1" t="s">
        <v>81</v>
      </c>
      <c r="I370" s="2" cm="1">
        <f t="array" ref="I370">IFERROR(
    Games[[#This Row],[Date]]
    - LOOKUP(
        2,
        1/((Games[Team]=Games[[#This Row],[Team]]) * (Games[Date] &lt; Games[[#This Row],[Date]])),
        Games[Date]
    )
    - 1,
Games[[#This Row],[Date]]-$A$2)</f>
        <v>5</v>
      </c>
      <c r="J370" s="2" cm="1">
        <f t="array" ref="J37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70" s="2">
        <f>Games[[#This Row],[DaysOff]]-Games[[#This Row],[OppDaysOff]]</f>
        <v>0</v>
      </c>
      <c r="L370" s="2">
        <f>Games[[#This Row],[OppDaysOff]]-Games[[#This Row],[DaysOff]]</f>
        <v>0</v>
      </c>
      <c r="M370" s="1">
        <f>MAX(-16, MIN(16, Games[[#This Row],[RestDiff]]*8))</f>
        <v>0</v>
      </c>
      <c r="N370" s="1">
        <f>MAX(-16, MIN(16, Games[[#This Row],[OppRestDiff]]*8))</f>
        <v>0</v>
      </c>
      <c r="O370" s="4" cm="1">
        <f t="array" ref="O3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1537.3739701378838</v>
      </c>
      <c r="P370" s="4" cm="1">
        <f t="array" ref="P3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1635.3037744781459</v>
      </c>
      <c r="Q370" s="4">
        <f>1/(1+10^(((Games[[#This Row],[OppPreGmRate]]+IF(Games[[#This Row],[HomeAway]]="A",HCA,0)+Games[[#This Row],[OppRestAdj]])-(Games[[#This Row],[PreGmRate]]+IF(Games[[#This Row],[HomeAway]]="H",HCA,0)+Games[[#This Row],[RestAdj]]))/400))</f>
        <v>0.25974926902720685</v>
      </c>
      <c r="R370" s="1">
        <v>95</v>
      </c>
      <c r="S370" s="1">
        <v>75</v>
      </c>
      <c r="T370" s="1">
        <v>0</v>
      </c>
      <c r="U370" s="1">
        <f>Games[[#This Row],[PointsFor]]-Games[[#This Row],[PointsAgainst]]</f>
        <v>20</v>
      </c>
      <c r="V370" s="1">
        <f>IF(Games[[#This Row],[MOV]]&gt;0,1,IF(Games[[#This Row],[MOV]]=0,0.5,0))</f>
        <v>1</v>
      </c>
      <c r="W370" s="4">
        <f>((ABS(Games[[#This Row],[MOV]])+5)^0.6)/(12+0.01*(ABS(Games[[#This Row],[PreGmRate]]-Games[[#This Row],[OppPreGmRate]])))*IF(Games[[#This Row],[OT]]=1,0.9,1)</f>
        <v>0.53151166451660747</v>
      </c>
      <c r="X370" s="7" cm="1">
        <f t="array" ref="X37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0" s="9">
        <f>MAX(kmin, kmax - 0.15 * MIN(Games[[#This Row],[GamesPlayed]], 82))</f>
        <v>71.349999999999994</v>
      </c>
      <c r="Z370" s="4">
        <f>Games[[#This Row],[K]]*Games[[#This Row],[POMult]]</f>
        <v>71.349999999999994</v>
      </c>
      <c r="AA370" s="4">
        <f>(Games[[#This Row],[Keff]]*Games[[#This Row],[MOVMult]])*(Games[[#This Row],[Result]]-Games[[#This Row],[ExpectedWin%]])</f>
        <v>28.072792935070552</v>
      </c>
      <c r="AB370" s="4">
        <f>Games[[#This Row],[PreGmRate]]+Games[[#This Row],[RatingChange]]</f>
        <v>1565.4467630729544</v>
      </c>
      <c r="AC370" s="2">
        <f>IF(Games[[#This Row],[Type]]="R",IF(Games[[#This Row],[Result]]&gt;0.5,1,0),0)</f>
        <v>1</v>
      </c>
      <c r="AD370" s="2">
        <f>IF(Games[[#This Row],[Type]]="R",IF(Games[[#This Row],[Result]]&lt;0.5,1,0),0)</f>
        <v>0</v>
      </c>
      <c r="AE370" s="2">
        <f>IF(AND(Games[[#This Row],[Type]]="P",Games[[#This Row],[Round]]=1),IF(Games[[#This Row],[Result]]&gt;0.5,1,0),0)</f>
        <v>0</v>
      </c>
      <c r="AF370" s="2">
        <f>IF(AND(Games[[#This Row],[Type]]="P",Games[[#This Row],[Round]]=1),IF(Games[[#This Row],[Result]]&lt;0.5,1,0),0)</f>
        <v>0</v>
      </c>
      <c r="AG370" s="2">
        <f>IF(AND(Games[[#This Row],[Type]]="P",Games[[#This Row],[Round]]=2),IF(Games[[#This Row],[Result]]&gt;0.5,1,0),0)</f>
        <v>0</v>
      </c>
      <c r="AH370" s="2">
        <f>IF(AND(Games[[#This Row],[Type]]="P",Games[[#This Row],[Round]]=2),IF(Games[[#This Row],[Result]]&lt;0.5,1,0),0)</f>
        <v>0</v>
      </c>
      <c r="AI370" s="2">
        <f>IF(AND(Games[[#This Row],[Type]]="P",Games[[#This Row],[Round]]=3),IF(Games[[#This Row],[Result]]&gt;0.5,1,0),0)</f>
        <v>0</v>
      </c>
      <c r="AJ370" s="2">
        <f>IF(AND(Games[[#This Row],[Type]]="P",Games[[#This Row],[Round]]=3),IF(Games[[#This Row],[Result]]&lt;0.5,1,0),0)</f>
        <v>0</v>
      </c>
      <c r="AK370" s="2">
        <f>IF(AND(Games[[#This Row],[Type]]="P",Games[[#This Row],[Round]]=4),IF(Games[[#This Row],[Result]]&gt;0.5,1,0),0)</f>
        <v>0</v>
      </c>
      <c r="AL370" s="2">
        <f>IF(AND(Games[[#This Row],[Type]]="P",Games[[#This Row],[Round]]=4),IF(Games[[#This Row],[Result]]&lt;0.5,1,0),0)</f>
        <v>0</v>
      </c>
    </row>
    <row r="371" spans="1:38" x14ac:dyDescent="0.35">
      <c r="A371" s="10">
        <v>45156</v>
      </c>
      <c r="B371" s="2">
        <v>2023</v>
      </c>
      <c r="C371" s="2">
        <f>COUNTIFS(Games[Team],Games[[#This Row],[Team]],Games[Season],Games[[#This Row],[Season]],Games[Date],"&lt;=" &amp; Games[[#This Row],[Date]])</f>
        <v>31</v>
      </c>
      <c r="D371" s="2" t="s">
        <v>79</v>
      </c>
      <c r="E371" s="2" t="s">
        <v>80</v>
      </c>
      <c r="F371" s="1" t="s">
        <v>74</v>
      </c>
      <c r="G371" s="1" t="s">
        <v>85</v>
      </c>
      <c r="H371" s="1" t="s">
        <v>82</v>
      </c>
      <c r="I371" s="2" cm="1">
        <f t="array" ref="I371">IFERROR(
    Games[[#This Row],[Date]]
    - LOOKUP(
        2,
        1/((Games[Team]=Games[[#This Row],[Team]]) * (Games[Date] &lt; Games[[#This Row],[Date]])),
        Games[Date]
    )
    - 1,
Games[[#This Row],[Date]]-$A$2)</f>
        <v>5</v>
      </c>
      <c r="J371" s="2" cm="1">
        <f t="array" ref="J37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71" s="2">
        <f>Games[[#This Row],[DaysOff]]-Games[[#This Row],[OppDaysOff]]</f>
        <v>0</v>
      </c>
      <c r="L371" s="2">
        <f>Games[[#This Row],[OppDaysOff]]-Games[[#This Row],[DaysOff]]</f>
        <v>0</v>
      </c>
      <c r="M371" s="1">
        <f>MAX(-16, MIN(16, Games[[#This Row],[RestDiff]]*8))</f>
        <v>0</v>
      </c>
      <c r="N371" s="1">
        <f>MAX(-16, MIN(16, Games[[#This Row],[OppRestDiff]]*8))</f>
        <v>0</v>
      </c>
      <c r="O371" s="4" cm="1">
        <f t="array" ref="O3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1635.3037744781459</v>
      </c>
      <c r="P371" s="4" cm="1">
        <f t="array" ref="P3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1537.3739701378838</v>
      </c>
      <c r="Q371" s="4">
        <f>1/(1+10^(((Games[[#This Row],[OppPreGmRate]]+IF(Games[[#This Row],[HomeAway]]="A",HCA,0)+Games[[#This Row],[OppRestAdj]])-(Games[[#This Row],[PreGmRate]]+IF(Games[[#This Row],[HomeAway]]="H",HCA,0)+Games[[#This Row],[RestAdj]]))/400))</f>
        <v>0.74025073097279326</v>
      </c>
      <c r="R371" s="1">
        <v>75</v>
      </c>
      <c r="S371" s="1">
        <v>95</v>
      </c>
      <c r="T371" s="1">
        <v>0</v>
      </c>
      <c r="U371" s="1">
        <f>Games[[#This Row],[PointsFor]]-Games[[#This Row],[PointsAgainst]]</f>
        <v>-20</v>
      </c>
      <c r="V371" s="1">
        <f>IF(Games[[#This Row],[MOV]]&gt;0,1,IF(Games[[#This Row],[MOV]]=0,0.5,0))</f>
        <v>0</v>
      </c>
      <c r="W371" s="4">
        <f>((ABS(Games[[#This Row],[MOV]])+5)^0.6)/(12+0.01*(ABS(Games[[#This Row],[PreGmRate]]-Games[[#This Row],[OppPreGmRate]])))*IF(Games[[#This Row],[OT]]=1,0.9,1)</f>
        <v>0.53151166451660747</v>
      </c>
      <c r="X371" s="7" cm="1">
        <f t="array" ref="X37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1" s="9">
        <f>MAX(kmin, kmax - 0.15 * MIN(Games[[#This Row],[GamesPlayed]], 82))</f>
        <v>71.349999999999994</v>
      </c>
      <c r="Z371" s="4">
        <f>Games[[#This Row],[K]]*Games[[#This Row],[POMult]]</f>
        <v>71.349999999999994</v>
      </c>
      <c r="AA371" s="4">
        <f>(Games[[#This Row],[Keff]]*Games[[#This Row],[MOVMult]])*(Games[[#This Row],[Result]]-Games[[#This Row],[ExpectedWin%]])</f>
        <v>-28.072792935070556</v>
      </c>
      <c r="AB371" s="4">
        <f>Games[[#This Row],[PreGmRate]]+Games[[#This Row],[RatingChange]]</f>
        <v>1607.2309815430754</v>
      </c>
      <c r="AC371" s="2">
        <f>IF(Games[[#This Row],[Type]]="R",IF(Games[[#This Row],[Result]]&gt;0.5,1,0),0)</f>
        <v>0</v>
      </c>
      <c r="AD371" s="2">
        <f>IF(Games[[#This Row],[Type]]="R",IF(Games[[#This Row],[Result]]&lt;0.5,1,0),0)</f>
        <v>1</v>
      </c>
      <c r="AE371" s="2">
        <f>IF(AND(Games[[#This Row],[Type]]="P",Games[[#This Row],[Round]]=1),IF(Games[[#This Row],[Result]]&gt;0.5,1,0),0)</f>
        <v>0</v>
      </c>
      <c r="AF371" s="2">
        <f>IF(AND(Games[[#This Row],[Type]]="P",Games[[#This Row],[Round]]=1),IF(Games[[#This Row],[Result]]&lt;0.5,1,0),0)</f>
        <v>0</v>
      </c>
      <c r="AG371" s="2">
        <f>IF(AND(Games[[#This Row],[Type]]="P",Games[[#This Row],[Round]]=2),IF(Games[[#This Row],[Result]]&gt;0.5,1,0),0)</f>
        <v>0</v>
      </c>
      <c r="AH371" s="2">
        <f>IF(AND(Games[[#This Row],[Type]]="P",Games[[#This Row],[Round]]=2),IF(Games[[#This Row],[Result]]&lt;0.5,1,0),0)</f>
        <v>0</v>
      </c>
      <c r="AI371" s="2">
        <f>IF(AND(Games[[#This Row],[Type]]="P",Games[[#This Row],[Round]]=3),IF(Games[[#This Row],[Result]]&gt;0.5,1,0),0)</f>
        <v>0</v>
      </c>
      <c r="AJ371" s="2">
        <f>IF(AND(Games[[#This Row],[Type]]="P",Games[[#This Row],[Round]]=3),IF(Games[[#This Row],[Result]]&lt;0.5,1,0),0)</f>
        <v>0</v>
      </c>
      <c r="AK371" s="2">
        <f>IF(AND(Games[[#This Row],[Type]]="P",Games[[#This Row],[Round]]=4),IF(Games[[#This Row],[Result]]&gt;0.5,1,0),0)</f>
        <v>0</v>
      </c>
      <c r="AL371" s="2">
        <f>IF(AND(Games[[#This Row],[Type]]="P",Games[[#This Row],[Round]]=4),IF(Games[[#This Row],[Result]]&lt;0.5,1,0),0)</f>
        <v>0</v>
      </c>
    </row>
    <row r="372" spans="1:38" x14ac:dyDescent="0.35">
      <c r="A372" s="10">
        <v>45156</v>
      </c>
      <c r="B372" s="2">
        <v>2023</v>
      </c>
      <c r="C372" s="2">
        <f>COUNTIFS(Games[Team],Games[[#This Row],[Team]],Games[Season],Games[[#This Row],[Season]],Games[Date],"&lt;=" &amp; Games[[#This Row],[Date]])</f>
        <v>31</v>
      </c>
      <c r="D372" s="2" t="s">
        <v>79</v>
      </c>
      <c r="E372" s="2" t="s">
        <v>80</v>
      </c>
      <c r="F372" s="1" t="s">
        <v>65</v>
      </c>
      <c r="G372" s="1" t="s">
        <v>69</v>
      </c>
      <c r="H372" s="1" t="s">
        <v>81</v>
      </c>
      <c r="I372" s="2" cm="1">
        <f t="array" ref="I372">IFERROR(
    Games[[#This Row],[Date]]
    - LOOKUP(
        2,
        1/((Games[Team]=Games[[#This Row],[Team]]) * (Games[Date] &lt; Games[[#This Row],[Date]])),
        Games[Date]
    )
    - 1,
Games[[#This Row],[Date]]-$A$2)</f>
        <v>4</v>
      </c>
      <c r="J372" s="2" cm="1">
        <f t="array" ref="J37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72" s="2">
        <f>Games[[#This Row],[DaysOff]]-Games[[#This Row],[OppDaysOff]]</f>
        <v>0</v>
      </c>
      <c r="L372" s="2">
        <f>Games[[#This Row],[OppDaysOff]]-Games[[#This Row],[DaysOff]]</f>
        <v>0</v>
      </c>
      <c r="M372" s="1">
        <f>MAX(-16, MIN(16, Games[[#This Row],[RestDiff]]*8))</f>
        <v>0</v>
      </c>
      <c r="N372" s="1">
        <f>MAX(-16, MIN(16, Games[[#This Row],[OppRestDiff]]*8))</f>
        <v>0</v>
      </c>
      <c r="O372" s="4" cm="1">
        <f t="array" ref="O3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1459.3542307881021</v>
      </c>
      <c r="P372" s="4" cm="1">
        <f t="array" ref="P3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1319.6099822228264</v>
      </c>
      <c r="Q372" s="4">
        <f>1/(1+10^(((Games[[#This Row],[OppPreGmRate]]+IF(Games[[#This Row],[HomeAway]]="A",HCA,0)+Games[[#This Row],[OppRestAdj]])-(Games[[#This Row],[PreGmRate]]+IF(Games[[#This Row],[HomeAway]]="H",HCA,0)+Games[[#This Row],[RestAdj]]))/400))</f>
        <v>0.57954106096187896</v>
      </c>
      <c r="R372" s="1">
        <v>83</v>
      </c>
      <c r="S372" s="1">
        <v>79</v>
      </c>
      <c r="T372" s="1">
        <v>0</v>
      </c>
      <c r="U372" s="1">
        <f>Games[[#This Row],[PointsFor]]-Games[[#This Row],[PointsAgainst]]</f>
        <v>4</v>
      </c>
      <c r="V372" s="1">
        <f>IF(Games[[#This Row],[MOV]]&gt;0,1,IF(Games[[#This Row],[MOV]]=0,0.5,0))</f>
        <v>1</v>
      </c>
      <c r="W372" s="4">
        <f>((ABS(Games[[#This Row],[MOV]])+5)^0.6)/(12+0.01*(ABS(Games[[#This Row],[PreGmRate]]-Games[[#This Row],[OppPreGmRate]])))*IF(Games[[#This Row],[OT]]=1,0.9,1)</f>
        <v>0.27894822633862321</v>
      </c>
      <c r="X372" s="7" cm="1">
        <f t="array" ref="X37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2" s="9">
        <f>MAX(kmin, kmax - 0.15 * MIN(Games[[#This Row],[GamesPlayed]], 82))</f>
        <v>71.349999999999994</v>
      </c>
      <c r="Z372" s="4">
        <f>Games[[#This Row],[K]]*Games[[#This Row],[POMult]]</f>
        <v>71.349999999999994</v>
      </c>
      <c r="AA372" s="4">
        <f>(Games[[#This Row],[Keff]]*Games[[#This Row],[MOVMult]])*(Games[[#This Row],[Result]]-Games[[#This Row],[ExpectedWin%]])</f>
        <v>8.3683757421486398</v>
      </c>
      <c r="AB372" s="4">
        <f>Games[[#This Row],[PreGmRate]]+Games[[#This Row],[RatingChange]]</f>
        <v>1467.7226065302507</v>
      </c>
      <c r="AC372" s="2">
        <f>IF(Games[[#This Row],[Type]]="R",IF(Games[[#This Row],[Result]]&gt;0.5,1,0),0)</f>
        <v>1</v>
      </c>
      <c r="AD372" s="2">
        <f>IF(Games[[#This Row],[Type]]="R",IF(Games[[#This Row],[Result]]&lt;0.5,1,0),0)</f>
        <v>0</v>
      </c>
      <c r="AE372" s="2">
        <f>IF(AND(Games[[#This Row],[Type]]="P",Games[[#This Row],[Round]]=1),IF(Games[[#This Row],[Result]]&gt;0.5,1,0),0)</f>
        <v>0</v>
      </c>
      <c r="AF372" s="2">
        <f>IF(AND(Games[[#This Row],[Type]]="P",Games[[#This Row],[Round]]=1),IF(Games[[#This Row],[Result]]&lt;0.5,1,0),0)</f>
        <v>0</v>
      </c>
      <c r="AG372" s="2">
        <f>IF(AND(Games[[#This Row],[Type]]="P",Games[[#This Row],[Round]]=2),IF(Games[[#This Row],[Result]]&gt;0.5,1,0),0)</f>
        <v>0</v>
      </c>
      <c r="AH372" s="2">
        <f>IF(AND(Games[[#This Row],[Type]]="P",Games[[#This Row],[Round]]=2),IF(Games[[#This Row],[Result]]&lt;0.5,1,0),0)</f>
        <v>0</v>
      </c>
      <c r="AI372" s="2">
        <f>IF(AND(Games[[#This Row],[Type]]="P",Games[[#This Row],[Round]]=3),IF(Games[[#This Row],[Result]]&gt;0.5,1,0),0)</f>
        <v>0</v>
      </c>
      <c r="AJ372" s="2">
        <f>IF(AND(Games[[#This Row],[Type]]="P",Games[[#This Row],[Round]]=3),IF(Games[[#This Row],[Result]]&lt;0.5,1,0),0)</f>
        <v>0</v>
      </c>
      <c r="AK372" s="2">
        <f>IF(AND(Games[[#This Row],[Type]]="P",Games[[#This Row],[Round]]=4),IF(Games[[#This Row],[Result]]&gt;0.5,1,0),0)</f>
        <v>0</v>
      </c>
      <c r="AL372" s="2">
        <f>IF(AND(Games[[#This Row],[Type]]="P",Games[[#This Row],[Round]]=4),IF(Games[[#This Row],[Result]]&lt;0.5,1,0),0)</f>
        <v>0</v>
      </c>
    </row>
    <row r="373" spans="1:38" x14ac:dyDescent="0.35">
      <c r="A373" s="10">
        <v>45156</v>
      </c>
      <c r="B373" s="2">
        <v>2023</v>
      </c>
      <c r="C373" s="2">
        <f>COUNTIFS(Games[Team],Games[[#This Row],[Team]],Games[Season],Games[[#This Row],[Season]],Games[Date],"&lt;=" &amp; Games[[#This Row],[Date]])</f>
        <v>32</v>
      </c>
      <c r="D373" s="2" t="s">
        <v>79</v>
      </c>
      <c r="E373" s="2" t="s">
        <v>80</v>
      </c>
      <c r="F373" s="1" t="s">
        <v>69</v>
      </c>
      <c r="G373" s="1" t="s">
        <v>65</v>
      </c>
      <c r="H373" s="1" t="s">
        <v>82</v>
      </c>
      <c r="I373" s="2" cm="1">
        <f t="array" ref="I373">IFERROR(
    Games[[#This Row],[Date]]
    - LOOKUP(
        2,
        1/((Games[Team]=Games[[#This Row],[Team]]) * (Games[Date] &lt; Games[[#This Row],[Date]])),
        Games[Date]
    )
    - 1,
Games[[#This Row],[Date]]-$A$2)</f>
        <v>4</v>
      </c>
      <c r="J373" s="2" cm="1">
        <f t="array" ref="J37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73" s="2">
        <f>Games[[#This Row],[DaysOff]]-Games[[#This Row],[OppDaysOff]]</f>
        <v>0</v>
      </c>
      <c r="L373" s="2">
        <f>Games[[#This Row],[OppDaysOff]]-Games[[#This Row],[DaysOff]]</f>
        <v>0</v>
      </c>
      <c r="M373" s="1">
        <f>MAX(-16, MIN(16, Games[[#This Row],[RestDiff]]*8))</f>
        <v>0</v>
      </c>
      <c r="N373" s="1">
        <f>MAX(-16, MIN(16, Games[[#This Row],[OppRestDiff]]*8))</f>
        <v>0</v>
      </c>
      <c r="O373" s="4" cm="1">
        <f t="array" ref="O3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1319.6099822228264</v>
      </c>
      <c r="P373" s="4" cm="1">
        <f t="array" ref="P3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1459.3542307881021</v>
      </c>
      <c r="Q373" s="4">
        <f>1/(1+10^(((Games[[#This Row],[OppPreGmRate]]+IF(Games[[#This Row],[HomeAway]]="A",HCA,0)+Games[[#This Row],[OppRestAdj]])-(Games[[#This Row],[PreGmRate]]+IF(Games[[#This Row],[HomeAway]]="H",HCA,0)+Games[[#This Row],[RestAdj]]))/400))</f>
        <v>0.42045893903812104</v>
      </c>
      <c r="R373" s="1">
        <v>79</v>
      </c>
      <c r="S373" s="1">
        <v>83</v>
      </c>
      <c r="T373" s="1">
        <v>0</v>
      </c>
      <c r="U373" s="1">
        <f>Games[[#This Row],[PointsFor]]-Games[[#This Row],[PointsAgainst]]</f>
        <v>-4</v>
      </c>
      <c r="V373" s="1">
        <f>IF(Games[[#This Row],[MOV]]&gt;0,1,IF(Games[[#This Row],[MOV]]=0,0.5,0))</f>
        <v>0</v>
      </c>
      <c r="W373" s="4">
        <f>((ABS(Games[[#This Row],[MOV]])+5)^0.6)/(12+0.01*(ABS(Games[[#This Row],[PreGmRate]]-Games[[#This Row],[OppPreGmRate]])))*IF(Games[[#This Row],[OT]]=1,0.9,1)</f>
        <v>0.27894822633862321</v>
      </c>
      <c r="X373" s="7" cm="1">
        <f t="array" ref="X37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3" s="9">
        <f>MAX(kmin, kmax - 0.15 * MIN(Games[[#This Row],[GamesPlayed]], 82))</f>
        <v>71.2</v>
      </c>
      <c r="Z373" s="4">
        <f>Games[[#This Row],[K]]*Games[[#This Row],[POMult]]</f>
        <v>71.2</v>
      </c>
      <c r="AA373" s="4">
        <f>(Games[[#This Row],[Keff]]*Games[[#This Row],[MOVMult]])*(Games[[#This Row],[Result]]-Games[[#This Row],[ExpectedWin%]])</f>
        <v>-8.3507828008547058</v>
      </c>
      <c r="AB373" s="4">
        <f>Games[[#This Row],[PreGmRate]]+Games[[#This Row],[RatingChange]]</f>
        <v>1311.2591994219717</v>
      </c>
      <c r="AC373" s="2">
        <f>IF(Games[[#This Row],[Type]]="R",IF(Games[[#This Row],[Result]]&gt;0.5,1,0),0)</f>
        <v>0</v>
      </c>
      <c r="AD373" s="2">
        <f>IF(Games[[#This Row],[Type]]="R",IF(Games[[#This Row],[Result]]&lt;0.5,1,0),0)</f>
        <v>1</v>
      </c>
      <c r="AE373" s="2">
        <f>IF(AND(Games[[#This Row],[Type]]="P",Games[[#This Row],[Round]]=1),IF(Games[[#This Row],[Result]]&gt;0.5,1,0),0)</f>
        <v>0</v>
      </c>
      <c r="AF373" s="2">
        <f>IF(AND(Games[[#This Row],[Type]]="P",Games[[#This Row],[Round]]=1),IF(Games[[#This Row],[Result]]&lt;0.5,1,0),0)</f>
        <v>0</v>
      </c>
      <c r="AG373" s="2">
        <f>IF(AND(Games[[#This Row],[Type]]="P",Games[[#This Row],[Round]]=2),IF(Games[[#This Row],[Result]]&gt;0.5,1,0),0)</f>
        <v>0</v>
      </c>
      <c r="AH373" s="2">
        <f>IF(AND(Games[[#This Row],[Type]]="P",Games[[#This Row],[Round]]=2),IF(Games[[#This Row],[Result]]&lt;0.5,1,0),0)</f>
        <v>0</v>
      </c>
      <c r="AI373" s="2">
        <f>IF(AND(Games[[#This Row],[Type]]="P",Games[[#This Row],[Round]]=3),IF(Games[[#This Row],[Result]]&gt;0.5,1,0),0)</f>
        <v>0</v>
      </c>
      <c r="AJ373" s="2">
        <f>IF(AND(Games[[#This Row],[Type]]="P",Games[[#This Row],[Round]]=3),IF(Games[[#This Row],[Result]]&lt;0.5,1,0),0)</f>
        <v>0</v>
      </c>
      <c r="AK373" s="2">
        <f>IF(AND(Games[[#This Row],[Type]]="P",Games[[#This Row],[Round]]=4),IF(Games[[#This Row],[Result]]&gt;0.5,1,0),0)</f>
        <v>0</v>
      </c>
      <c r="AL373" s="2">
        <f>IF(AND(Games[[#This Row],[Type]]="P",Games[[#This Row],[Round]]=4),IF(Games[[#This Row],[Result]]&lt;0.5,1,0),0)</f>
        <v>0</v>
      </c>
    </row>
    <row r="374" spans="1:38" x14ac:dyDescent="0.35">
      <c r="A374" s="10">
        <v>45156</v>
      </c>
      <c r="B374" s="2">
        <v>2023</v>
      </c>
      <c r="C374" s="2">
        <f>COUNTIFS(Games[Team],Games[[#This Row],[Team]],Games[Season],Games[[#This Row],[Season]],Games[Date],"&lt;=" &amp; Games[[#This Row],[Date]])</f>
        <v>33</v>
      </c>
      <c r="D374" s="2" t="s">
        <v>79</v>
      </c>
      <c r="E374" s="2" t="s">
        <v>80</v>
      </c>
      <c r="F374" s="1" t="s">
        <v>60</v>
      </c>
      <c r="G374" s="1" t="s">
        <v>40</v>
      </c>
      <c r="H374" s="1" t="s">
        <v>81</v>
      </c>
      <c r="I374" s="2" cm="1">
        <f t="array" ref="I37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74" s="2" cm="1">
        <f t="array" ref="J37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74" s="2">
        <f>Games[[#This Row],[DaysOff]]-Games[[#This Row],[OppDaysOff]]</f>
        <v>-4</v>
      </c>
      <c r="L374" s="2">
        <f>Games[[#This Row],[OppDaysOff]]-Games[[#This Row],[DaysOff]]</f>
        <v>4</v>
      </c>
      <c r="M374" s="1">
        <f>MAX(-16, MIN(16, Games[[#This Row],[RestDiff]]*8))</f>
        <v>-16</v>
      </c>
      <c r="N374" s="1">
        <f>MAX(-16, MIN(16, Games[[#This Row],[OppRestDiff]]*8))</f>
        <v>16</v>
      </c>
      <c r="O374" s="4" cm="1">
        <f t="array" ref="O3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1684.3585316139961</v>
      </c>
      <c r="P374" s="4" cm="1">
        <f t="array" ref="P3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1389.6692875602109</v>
      </c>
      <c r="Q374" s="4">
        <f>1/(1+10^(((Games[[#This Row],[OppPreGmRate]]+IF(Games[[#This Row],[HomeAway]]="A",HCA,0)+Games[[#This Row],[OppRestAdj]])-(Games[[#This Row],[PreGmRate]]+IF(Games[[#This Row],[HomeAway]]="H",HCA,0)+Games[[#This Row],[RestAdj]]))/400))</f>
        <v>0.73664787357011818</v>
      </c>
      <c r="R374" s="1">
        <v>85</v>
      </c>
      <c r="S374" s="1">
        <v>63</v>
      </c>
      <c r="T374" s="1">
        <v>0</v>
      </c>
      <c r="U374" s="1">
        <f>Games[[#This Row],[PointsFor]]-Games[[#This Row],[PointsAgainst]]</f>
        <v>22</v>
      </c>
      <c r="V374" s="1">
        <f>IF(Games[[#This Row],[MOV]]&gt;0,1,IF(Games[[#This Row],[MOV]]=0,0.5,0))</f>
        <v>1</v>
      </c>
      <c r="W374" s="4">
        <f>((ABS(Games[[#This Row],[MOV]])+5)^0.6)/(12+0.01*(ABS(Games[[#This Row],[PreGmRate]]-Games[[#This Row],[OppPreGmRate]])))*IF(Games[[#This Row],[OT]]=1,0.9,1)</f>
        <v>0.48335626181719565</v>
      </c>
      <c r="X374" s="7" cm="1">
        <f t="array" ref="X37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4" s="9">
        <f>MAX(kmin, kmax - 0.15 * MIN(Games[[#This Row],[GamesPlayed]], 82))</f>
        <v>71.05</v>
      </c>
      <c r="Z374" s="4">
        <f>Games[[#This Row],[K]]*Games[[#This Row],[POMult]]</f>
        <v>71.05</v>
      </c>
      <c r="AA374" s="4">
        <f>(Games[[#This Row],[Keff]]*Games[[#This Row],[MOVMult]])*(Games[[#This Row],[Result]]-Games[[#This Row],[ExpectedWin%]])</f>
        <v>9.0441605004343959</v>
      </c>
      <c r="AB374" s="4">
        <f>Games[[#This Row],[PreGmRate]]+Games[[#This Row],[RatingChange]]</f>
        <v>1693.4026921144305</v>
      </c>
      <c r="AC374" s="2">
        <f>IF(Games[[#This Row],[Type]]="R",IF(Games[[#This Row],[Result]]&gt;0.5,1,0),0)</f>
        <v>1</v>
      </c>
      <c r="AD374" s="2">
        <f>IF(Games[[#This Row],[Type]]="R",IF(Games[[#This Row],[Result]]&lt;0.5,1,0),0)</f>
        <v>0</v>
      </c>
      <c r="AE374" s="2">
        <f>IF(AND(Games[[#This Row],[Type]]="P",Games[[#This Row],[Round]]=1),IF(Games[[#This Row],[Result]]&gt;0.5,1,0),0)</f>
        <v>0</v>
      </c>
      <c r="AF374" s="2">
        <f>IF(AND(Games[[#This Row],[Type]]="P",Games[[#This Row],[Round]]=1),IF(Games[[#This Row],[Result]]&lt;0.5,1,0),0)</f>
        <v>0</v>
      </c>
      <c r="AG374" s="2">
        <f>IF(AND(Games[[#This Row],[Type]]="P",Games[[#This Row],[Round]]=2),IF(Games[[#This Row],[Result]]&gt;0.5,1,0),0)</f>
        <v>0</v>
      </c>
      <c r="AH374" s="2">
        <f>IF(AND(Games[[#This Row],[Type]]="P",Games[[#This Row],[Round]]=2),IF(Games[[#This Row],[Result]]&lt;0.5,1,0),0)</f>
        <v>0</v>
      </c>
      <c r="AI374" s="2">
        <f>IF(AND(Games[[#This Row],[Type]]="P",Games[[#This Row],[Round]]=3),IF(Games[[#This Row],[Result]]&gt;0.5,1,0),0)</f>
        <v>0</v>
      </c>
      <c r="AJ374" s="2">
        <f>IF(AND(Games[[#This Row],[Type]]="P",Games[[#This Row],[Round]]=3),IF(Games[[#This Row],[Result]]&lt;0.5,1,0),0)</f>
        <v>0</v>
      </c>
      <c r="AK374" s="2">
        <f>IF(AND(Games[[#This Row],[Type]]="P",Games[[#This Row],[Round]]=4),IF(Games[[#This Row],[Result]]&gt;0.5,1,0),0)</f>
        <v>0</v>
      </c>
      <c r="AL374" s="2">
        <f>IF(AND(Games[[#This Row],[Type]]="P",Games[[#This Row],[Round]]=4),IF(Games[[#This Row],[Result]]&lt;0.5,1,0),0)</f>
        <v>0</v>
      </c>
    </row>
    <row r="375" spans="1:38" x14ac:dyDescent="0.35">
      <c r="A375" s="10">
        <v>45156</v>
      </c>
      <c r="B375" s="2">
        <v>2023</v>
      </c>
      <c r="C375" s="2">
        <f>COUNTIFS(Games[Team],Games[[#This Row],[Team]],Games[Season],Games[[#This Row],[Season]],Games[Date],"&lt;=" &amp; Games[[#This Row],[Date]])</f>
        <v>31</v>
      </c>
      <c r="D375" s="2" t="s">
        <v>79</v>
      </c>
      <c r="E375" s="2" t="s">
        <v>80</v>
      </c>
      <c r="F375" s="1" t="s">
        <v>40</v>
      </c>
      <c r="G375" s="1" t="s">
        <v>60</v>
      </c>
      <c r="H375" s="1" t="s">
        <v>82</v>
      </c>
      <c r="I375" s="2" cm="1">
        <f t="array" ref="I375">IFERROR(
    Games[[#This Row],[Date]]
    - LOOKUP(
        2,
        1/((Games[Team]=Games[[#This Row],[Team]]) * (Games[Date] &lt; Games[[#This Row],[Date]])),
        Games[Date]
    )
    - 1,
Games[[#This Row],[Date]]-$A$2)</f>
        <v>4</v>
      </c>
      <c r="J375" s="2" cm="1">
        <f t="array" ref="J37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75" s="2">
        <f>Games[[#This Row],[DaysOff]]-Games[[#This Row],[OppDaysOff]]</f>
        <v>4</v>
      </c>
      <c r="L375" s="2">
        <f>Games[[#This Row],[OppDaysOff]]-Games[[#This Row],[DaysOff]]</f>
        <v>-4</v>
      </c>
      <c r="M375" s="1">
        <f>MAX(-16, MIN(16, Games[[#This Row],[RestDiff]]*8))</f>
        <v>16</v>
      </c>
      <c r="N375" s="1">
        <f>MAX(-16, MIN(16, Games[[#This Row],[OppRestDiff]]*8))</f>
        <v>-16</v>
      </c>
      <c r="O375" s="4" cm="1">
        <f t="array" ref="O3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1389.6692875602109</v>
      </c>
      <c r="P375" s="4" cm="1">
        <f t="array" ref="P3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1684.3585316139961</v>
      </c>
      <c r="Q375" s="4">
        <f>1/(1+10^(((Games[[#This Row],[OppPreGmRate]]+IF(Games[[#This Row],[HomeAway]]="A",HCA,0)+Games[[#This Row],[OppRestAdj]])-(Games[[#This Row],[PreGmRate]]+IF(Games[[#This Row],[HomeAway]]="H",HCA,0)+Games[[#This Row],[RestAdj]]))/400))</f>
        <v>0.26335212642988176</v>
      </c>
      <c r="R375" s="1">
        <v>63</v>
      </c>
      <c r="S375" s="1">
        <v>85</v>
      </c>
      <c r="T375" s="1">
        <v>0</v>
      </c>
      <c r="U375" s="1">
        <f>Games[[#This Row],[PointsFor]]-Games[[#This Row],[PointsAgainst]]</f>
        <v>-22</v>
      </c>
      <c r="V375" s="1">
        <f>IF(Games[[#This Row],[MOV]]&gt;0,1,IF(Games[[#This Row],[MOV]]=0,0.5,0))</f>
        <v>0</v>
      </c>
      <c r="W375" s="4">
        <f>((ABS(Games[[#This Row],[MOV]])+5)^0.6)/(12+0.01*(ABS(Games[[#This Row],[PreGmRate]]-Games[[#This Row],[OppPreGmRate]])))*IF(Games[[#This Row],[OT]]=1,0.9,1)</f>
        <v>0.48335626181719565</v>
      </c>
      <c r="X375" s="7" cm="1">
        <f t="array" ref="X37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5" s="9">
        <f>MAX(kmin, kmax - 0.15 * MIN(Games[[#This Row],[GamesPlayed]], 82))</f>
        <v>71.349999999999994</v>
      </c>
      <c r="Z375" s="4">
        <f>Games[[#This Row],[K]]*Games[[#This Row],[POMult]]</f>
        <v>71.349999999999994</v>
      </c>
      <c r="AA375" s="4">
        <f>(Games[[#This Row],[Keff]]*Games[[#This Row],[MOVMult]])*(Games[[#This Row],[Result]]-Games[[#This Row],[ExpectedWin%]])</f>
        <v>-9.0823483702462227</v>
      </c>
      <c r="AB375" s="4">
        <f>Games[[#This Row],[PreGmRate]]+Games[[#This Row],[RatingChange]]</f>
        <v>1380.5869391899646</v>
      </c>
      <c r="AC375" s="2">
        <f>IF(Games[[#This Row],[Type]]="R",IF(Games[[#This Row],[Result]]&gt;0.5,1,0),0)</f>
        <v>0</v>
      </c>
      <c r="AD375" s="2">
        <f>IF(Games[[#This Row],[Type]]="R",IF(Games[[#This Row],[Result]]&lt;0.5,1,0),0)</f>
        <v>1</v>
      </c>
      <c r="AE375" s="2">
        <f>IF(AND(Games[[#This Row],[Type]]="P",Games[[#This Row],[Round]]=1),IF(Games[[#This Row],[Result]]&gt;0.5,1,0),0)</f>
        <v>0</v>
      </c>
      <c r="AF375" s="2">
        <f>IF(AND(Games[[#This Row],[Type]]="P",Games[[#This Row],[Round]]=1),IF(Games[[#This Row],[Result]]&lt;0.5,1,0),0)</f>
        <v>0</v>
      </c>
      <c r="AG375" s="2">
        <f>IF(AND(Games[[#This Row],[Type]]="P",Games[[#This Row],[Round]]=2),IF(Games[[#This Row],[Result]]&gt;0.5,1,0),0)</f>
        <v>0</v>
      </c>
      <c r="AH375" s="2">
        <f>IF(AND(Games[[#This Row],[Type]]="P",Games[[#This Row],[Round]]=2),IF(Games[[#This Row],[Result]]&lt;0.5,1,0),0)</f>
        <v>0</v>
      </c>
      <c r="AI375" s="2">
        <f>IF(AND(Games[[#This Row],[Type]]="P",Games[[#This Row],[Round]]=3),IF(Games[[#This Row],[Result]]&gt;0.5,1,0),0)</f>
        <v>0</v>
      </c>
      <c r="AJ375" s="2">
        <f>IF(AND(Games[[#This Row],[Type]]="P",Games[[#This Row],[Round]]=3),IF(Games[[#This Row],[Result]]&lt;0.5,1,0),0)</f>
        <v>0</v>
      </c>
      <c r="AK375" s="2">
        <f>IF(AND(Games[[#This Row],[Type]]="P",Games[[#This Row],[Round]]=4),IF(Games[[#This Row],[Result]]&gt;0.5,1,0),0)</f>
        <v>0</v>
      </c>
      <c r="AL375" s="2">
        <f>IF(AND(Games[[#This Row],[Type]]="P",Games[[#This Row],[Round]]=4),IF(Games[[#This Row],[Result]]&lt;0.5,1,0),0)</f>
        <v>0</v>
      </c>
    </row>
    <row r="376" spans="1:38" x14ac:dyDescent="0.35">
      <c r="A376" s="10">
        <v>45156</v>
      </c>
      <c r="B376" s="2">
        <v>2023</v>
      </c>
      <c r="C376" s="2">
        <f>COUNTIFS(Games[Team],Games[[#This Row],[Team]],Games[Season],Games[[#This Row],[Season]],Games[Date],"&lt;=" &amp; Games[[#This Row],[Date]])</f>
        <v>31</v>
      </c>
      <c r="D376" s="2" t="s">
        <v>79</v>
      </c>
      <c r="E376" s="2" t="s">
        <v>80</v>
      </c>
      <c r="F376" s="1" t="s">
        <v>67</v>
      </c>
      <c r="G376" s="1" t="s">
        <v>71</v>
      </c>
      <c r="H376" s="1" t="s">
        <v>81</v>
      </c>
      <c r="I376" s="2" cm="1">
        <f t="array" ref="I376">IFERROR(
    Games[[#This Row],[Date]]
    - LOOKUP(
        2,
        1/((Games[Team]=Games[[#This Row],[Team]]) * (Games[Date] &lt; Games[[#This Row],[Date]])),
        Games[Date]
    )
    - 1,
Games[[#This Row],[Date]]-$A$2)</f>
        <v>7</v>
      </c>
      <c r="J376" s="2" cm="1">
        <f t="array" ref="J37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76" s="2">
        <f>Games[[#This Row],[DaysOff]]-Games[[#This Row],[OppDaysOff]]</f>
        <v>3</v>
      </c>
      <c r="L376" s="2">
        <f>Games[[#This Row],[OppDaysOff]]-Games[[#This Row],[DaysOff]]</f>
        <v>-3</v>
      </c>
      <c r="M376" s="1">
        <f>MAX(-16, MIN(16, Games[[#This Row],[RestDiff]]*8))</f>
        <v>16</v>
      </c>
      <c r="N376" s="1">
        <f>MAX(-16, MIN(16, Games[[#This Row],[OppRestDiff]]*8))</f>
        <v>-16</v>
      </c>
      <c r="O376" s="4" cm="1">
        <f t="array" ref="O3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1462.8834705905776</v>
      </c>
      <c r="P376" s="4" cm="1">
        <f t="array" ref="P3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1434.8844453140496</v>
      </c>
      <c r="Q376" s="4">
        <f>1/(1+10^(((Games[[#This Row],[OppPreGmRate]]+IF(Games[[#This Row],[HomeAway]]="A",HCA,0)+Games[[#This Row],[OppRestAdj]])-(Games[[#This Row],[PreGmRate]]+IF(Games[[#This Row],[HomeAway]]="H",HCA,0)+Games[[#This Row],[RestAdj]]))/400))</f>
        <v>0.4655146592058334</v>
      </c>
      <c r="R376" s="1">
        <v>78</v>
      </c>
      <c r="S376" s="1">
        <v>70</v>
      </c>
      <c r="T376" s="1">
        <v>0</v>
      </c>
      <c r="U376" s="1">
        <f>Games[[#This Row],[PointsFor]]-Games[[#This Row],[PointsAgainst]]</f>
        <v>8</v>
      </c>
      <c r="V376" s="1">
        <f>IF(Games[[#This Row],[MOV]]&gt;0,1,IF(Games[[#This Row],[MOV]]=0,0.5,0))</f>
        <v>1</v>
      </c>
      <c r="W376" s="4">
        <f>((ABS(Games[[#This Row],[MOV]])+5)^0.6)/(12+0.01*(ABS(Games[[#This Row],[PreGmRate]]-Games[[#This Row],[OppPreGmRate]])))*IF(Games[[#This Row],[OT]]=1,0.9,1)</f>
        <v>0.37946173605363798</v>
      </c>
      <c r="X376" s="7" cm="1">
        <f t="array" ref="X37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6" s="9">
        <f>MAX(kmin, kmax - 0.15 * MIN(Games[[#This Row],[GamesPlayed]], 82))</f>
        <v>71.349999999999994</v>
      </c>
      <c r="Z376" s="4">
        <f>Games[[#This Row],[K]]*Games[[#This Row],[POMult]]</f>
        <v>71.349999999999994</v>
      </c>
      <c r="AA376" s="4">
        <f>(Games[[#This Row],[Keff]]*Games[[#This Row],[MOVMult]])*(Games[[#This Row],[Result]]-Games[[#This Row],[ExpectedWin%]])</f>
        <v>14.470974064580748</v>
      </c>
      <c r="AB376" s="4">
        <f>Games[[#This Row],[PreGmRate]]+Games[[#This Row],[RatingChange]]</f>
        <v>1477.3544446551584</v>
      </c>
      <c r="AC376" s="2">
        <f>IF(Games[[#This Row],[Type]]="R",IF(Games[[#This Row],[Result]]&gt;0.5,1,0),0)</f>
        <v>1</v>
      </c>
      <c r="AD376" s="2">
        <f>IF(Games[[#This Row],[Type]]="R",IF(Games[[#This Row],[Result]]&lt;0.5,1,0),0)</f>
        <v>0</v>
      </c>
      <c r="AE376" s="2">
        <f>IF(AND(Games[[#This Row],[Type]]="P",Games[[#This Row],[Round]]=1),IF(Games[[#This Row],[Result]]&gt;0.5,1,0),0)</f>
        <v>0</v>
      </c>
      <c r="AF376" s="2">
        <f>IF(AND(Games[[#This Row],[Type]]="P",Games[[#This Row],[Round]]=1),IF(Games[[#This Row],[Result]]&lt;0.5,1,0),0)</f>
        <v>0</v>
      </c>
      <c r="AG376" s="2">
        <f>IF(AND(Games[[#This Row],[Type]]="P",Games[[#This Row],[Round]]=2),IF(Games[[#This Row],[Result]]&gt;0.5,1,0),0)</f>
        <v>0</v>
      </c>
      <c r="AH376" s="2">
        <f>IF(AND(Games[[#This Row],[Type]]="P",Games[[#This Row],[Round]]=2),IF(Games[[#This Row],[Result]]&lt;0.5,1,0),0)</f>
        <v>0</v>
      </c>
      <c r="AI376" s="2">
        <f>IF(AND(Games[[#This Row],[Type]]="P",Games[[#This Row],[Round]]=3),IF(Games[[#This Row],[Result]]&gt;0.5,1,0),0)</f>
        <v>0</v>
      </c>
      <c r="AJ376" s="2">
        <f>IF(AND(Games[[#This Row],[Type]]="P",Games[[#This Row],[Round]]=3),IF(Games[[#This Row],[Result]]&lt;0.5,1,0),0)</f>
        <v>0</v>
      </c>
      <c r="AK376" s="2">
        <f>IF(AND(Games[[#This Row],[Type]]="P",Games[[#This Row],[Round]]=4),IF(Games[[#This Row],[Result]]&gt;0.5,1,0),0)</f>
        <v>0</v>
      </c>
      <c r="AL376" s="2">
        <f>IF(AND(Games[[#This Row],[Type]]="P",Games[[#This Row],[Round]]=4),IF(Games[[#This Row],[Result]]&lt;0.5,1,0),0)</f>
        <v>0</v>
      </c>
    </row>
    <row r="377" spans="1:38" x14ac:dyDescent="0.35">
      <c r="A377" s="10">
        <v>45156</v>
      </c>
      <c r="B377" s="2">
        <v>2023</v>
      </c>
      <c r="C377" s="2">
        <f>COUNTIFS(Games[Team],Games[[#This Row],[Team]],Games[Season],Games[[#This Row],[Season]],Games[Date],"&lt;=" &amp; Games[[#This Row],[Date]])</f>
        <v>31</v>
      </c>
      <c r="D377" s="2" t="s">
        <v>79</v>
      </c>
      <c r="E377" s="2" t="s">
        <v>80</v>
      </c>
      <c r="F377" s="1" t="s">
        <v>71</v>
      </c>
      <c r="G377" s="1" t="s">
        <v>67</v>
      </c>
      <c r="H377" s="1" t="s">
        <v>82</v>
      </c>
      <c r="I377" s="2" cm="1">
        <f t="array" ref="I377">IFERROR(
    Games[[#This Row],[Date]]
    - LOOKUP(
        2,
        1/((Games[Team]=Games[[#This Row],[Team]]) * (Games[Date] &lt; Games[[#This Row],[Date]])),
        Games[Date]
    )
    - 1,
Games[[#This Row],[Date]]-$A$2)</f>
        <v>4</v>
      </c>
      <c r="J377" s="2" cm="1">
        <f t="array" ref="J377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377" s="2">
        <f>Games[[#This Row],[DaysOff]]-Games[[#This Row],[OppDaysOff]]</f>
        <v>-3</v>
      </c>
      <c r="L377" s="2">
        <f>Games[[#This Row],[OppDaysOff]]-Games[[#This Row],[DaysOff]]</f>
        <v>3</v>
      </c>
      <c r="M377" s="1">
        <f>MAX(-16, MIN(16, Games[[#This Row],[RestDiff]]*8))</f>
        <v>-16</v>
      </c>
      <c r="N377" s="1">
        <f>MAX(-16, MIN(16, Games[[#This Row],[OppRestDiff]]*8))</f>
        <v>16</v>
      </c>
      <c r="O377" s="4" cm="1">
        <f t="array" ref="O3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1434.8844453140496</v>
      </c>
      <c r="P377" s="4" cm="1">
        <f t="array" ref="P3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1462.8834705905776</v>
      </c>
      <c r="Q377" s="4">
        <f>1/(1+10^(((Games[[#This Row],[OppPreGmRate]]+IF(Games[[#This Row],[HomeAway]]="A",HCA,0)+Games[[#This Row],[OppRestAdj]])-(Games[[#This Row],[PreGmRate]]+IF(Games[[#This Row],[HomeAway]]="H",HCA,0)+Games[[#This Row],[RestAdj]]))/400))</f>
        <v>0.53448534079416665</v>
      </c>
      <c r="R377" s="1">
        <v>70</v>
      </c>
      <c r="S377" s="1">
        <v>78</v>
      </c>
      <c r="T377" s="1">
        <v>0</v>
      </c>
      <c r="U377" s="1">
        <f>Games[[#This Row],[PointsFor]]-Games[[#This Row],[PointsAgainst]]</f>
        <v>-8</v>
      </c>
      <c r="V377" s="1">
        <f>IF(Games[[#This Row],[MOV]]&gt;0,1,IF(Games[[#This Row],[MOV]]=0,0.5,0))</f>
        <v>0</v>
      </c>
      <c r="W377" s="4">
        <f>((ABS(Games[[#This Row],[MOV]])+5)^0.6)/(12+0.01*(ABS(Games[[#This Row],[PreGmRate]]-Games[[#This Row],[OppPreGmRate]])))*IF(Games[[#This Row],[OT]]=1,0.9,1)</f>
        <v>0.37946173605363798</v>
      </c>
      <c r="X377" s="7" cm="1">
        <f t="array" ref="X37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7" s="9">
        <f>MAX(kmin, kmax - 0.15 * MIN(Games[[#This Row],[GamesPlayed]], 82))</f>
        <v>71.349999999999994</v>
      </c>
      <c r="Z377" s="4">
        <f>Games[[#This Row],[K]]*Games[[#This Row],[POMult]]</f>
        <v>71.349999999999994</v>
      </c>
      <c r="AA377" s="4">
        <f>(Games[[#This Row],[Keff]]*Games[[#This Row],[MOVMult]])*(Games[[#This Row],[Result]]-Games[[#This Row],[ExpectedWin%]])</f>
        <v>-14.470974064580751</v>
      </c>
      <c r="AB377" s="4">
        <f>Games[[#This Row],[PreGmRate]]+Games[[#This Row],[RatingChange]]</f>
        <v>1420.4134712494688</v>
      </c>
      <c r="AC377" s="2">
        <f>IF(Games[[#This Row],[Type]]="R",IF(Games[[#This Row],[Result]]&gt;0.5,1,0),0)</f>
        <v>0</v>
      </c>
      <c r="AD377" s="2">
        <f>IF(Games[[#This Row],[Type]]="R",IF(Games[[#This Row],[Result]]&lt;0.5,1,0),0)</f>
        <v>1</v>
      </c>
      <c r="AE377" s="2">
        <f>IF(AND(Games[[#This Row],[Type]]="P",Games[[#This Row],[Round]]=1),IF(Games[[#This Row],[Result]]&gt;0.5,1,0),0)</f>
        <v>0</v>
      </c>
      <c r="AF377" s="2">
        <f>IF(AND(Games[[#This Row],[Type]]="P",Games[[#This Row],[Round]]=1),IF(Games[[#This Row],[Result]]&lt;0.5,1,0),0)</f>
        <v>0</v>
      </c>
      <c r="AG377" s="2">
        <f>IF(AND(Games[[#This Row],[Type]]="P",Games[[#This Row],[Round]]=2),IF(Games[[#This Row],[Result]]&gt;0.5,1,0),0)</f>
        <v>0</v>
      </c>
      <c r="AH377" s="2">
        <f>IF(AND(Games[[#This Row],[Type]]="P",Games[[#This Row],[Round]]=2),IF(Games[[#This Row],[Result]]&lt;0.5,1,0),0)</f>
        <v>0</v>
      </c>
      <c r="AI377" s="2">
        <f>IF(AND(Games[[#This Row],[Type]]="P",Games[[#This Row],[Round]]=3),IF(Games[[#This Row],[Result]]&gt;0.5,1,0),0)</f>
        <v>0</v>
      </c>
      <c r="AJ377" s="2">
        <f>IF(AND(Games[[#This Row],[Type]]="P",Games[[#This Row],[Round]]=3),IF(Games[[#This Row],[Result]]&lt;0.5,1,0),0)</f>
        <v>0</v>
      </c>
      <c r="AK377" s="2">
        <f>IF(AND(Games[[#This Row],[Type]]="P",Games[[#This Row],[Round]]=4),IF(Games[[#This Row],[Result]]&gt;0.5,1,0),0)</f>
        <v>0</v>
      </c>
      <c r="AL377" s="2">
        <f>IF(AND(Games[[#This Row],[Type]]="P",Games[[#This Row],[Round]]=4),IF(Games[[#This Row],[Result]]&lt;0.5,1,0),0)</f>
        <v>0</v>
      </c>
    </row>
    <row r="378" spans="1:38" x14ac:dyDescent="0.35">
      <c r="A378" s="10">
        <v>45157</v>
      </c>
      <c r="B378" s="2">
        <v>2023</v>
      </c>
      <c r="C378" s="2">
        <f>COUNTIFS(Games[Team],Games[[#This Row],[Team]],Games[Season],Games[[#This Row],[Season]],Games[Date],"&lt;=" &amp; Games[[#This Row],[Date]])</f>
        <v>31</v>
      </c>
      <c r="D378" s="2" t="s">
        <v>79</v>
      </c>
      <c r="E378" s="2" t="s">
        <v>80</v>
      </c>
      <c r="F378" s="1" t="s">
        <v>63</v>
      </c>
      <c r="G378" s="1" t="s">
        <v>86</v>
      </c>
      <c r="H378" s="1" t="s">
        <v>81</v>
      </c>
      <c r="I378" s="2" cm="1">
        <f t="array" ref="I378">IFERROR(
    Games[[#This Row],[Date]]
    - LOOKUP(
        2,
        1/((Games[Team]=Games[[#This Row],[Team]]) * (Games[Date] &lt; Games[[#This Row],[Date]])),
        Games[Date]
    )
    - 1,
Games[[#This Row],[Date]]-$A$2)</f>
        <v>6</v>
      </c>
      <c r="J378" s="2" cm="1">
        <f t="array" ref="J3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8" s="2">
        <f>Games[[#This Row],[DaysOff]]-Games[[#This Row],[OppDaysOff]]</f>
        <v>5</v>
      </c>
      <c r="L378" s="2">
        <f>Games[[#This Row],[OppDaysOff]]-Games[[#This Row],[DaysOff]]</f>
        <v>-5</v>
      </c>
      <c r="M378" s="1">
        <f>MAX(-16, MIN(16, Games[[#This Row],[RestDiff]]*8))</f>
        <v>16</v>
      </c>
      <c r="N378" s="1">
        <f>MAX(-16, MIN(16, Games[[#This Row],[OppRestDiff]]*8))</f>
        <v>-16</v>
      </c>
      <c r="O378" s="4" cm="1">
        <f t="array" ref="O3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1417.0948413778228</v>
      </c>
      <c r="P378" s="4" cm="1">
        <f t="array" ref="P3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1734.5967219510189</v>
      </c>
      <c r="Q378" s="4">
        <f>1/(1+10^(((Games[[#This Row],[OppPreGmRate]]+IF(Games[[#This Row],[HomeAway]]="A",HCA,0)+Games[[#This Row],[OppRestAdj]])-(Games[[#This Row],[PreGmRate]]+IF(Games[[#This Row],[HomeAway]]="H",HCA,0)+Games[[#This Row],[RestAdj]]))/400))</f>
        <v>0.1064978631894896</v>
      </c>
      <c r="R378" s="1">
        <v>78</v>
      </c>
      <c r="S378" s="1">
        <v>72</v>
      </c>
      <c r="T378" s="1">
        <v>0</v>
      </c>
      <c r="U378" s="1">
        <f>Games[[#This Row],[PointsFor]]-Games[[#This Row],[PointsAgainst]]</f>
        <v>6</v>
      </c>
      <c r="V378" s="1">
        <f>IF(Games[[#This Row],[MOV]]&gt;0,1,IF(Games[[#This Row],[MOV]]=0,0.5,0))</f>
        <v>1</v>
      </c>
      <c r="W378" s="4">
        <f>((ABS(Games[[#This Row],[MOV]])+5)^0.6)/(12+0.01*(ABS(Games[[#This Row],[PreGmRate]]-Games[[#This Row],[OppPreGmRate]])))*IF(Games[[#This Row],[OT]]=1,0.9,1)</f>
        <v>0.27778345365210727</v>
      </c>
      <c r="X378" s="7" cm="1">
        <f t="array" ref="X37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8" s="9">
        <f>MAX(kmin, kmax - 0.15 * MIN(Games[[#This Row],[GamesPlayed]], 82))</f>
        <v>71.349999999999994</v>
      </c>
      <c r="Z378" s="4">
        <f>Games[[#This Row],[K]]*Games[[#This Row],[POMult]]</f>
        <v>71.349999999999994</v>
      </c>
      <c r="AA378" s="4">
        <f>(Games[[#This Row],[Keff]]*Games[[#This Row],[MOVMult]])*(Games[[#This Row],[Result]]-Games[[#This Row],[ExpectedWin%]])</f>
        <v>17.709077806315111</v>
      </c>
      <c r="AB378" s="4">
        <f>Games[[#This Row],[PreGmRate]]+Games[[#This Row],[RatingChange]]</f>
        <v>1434.8039191841378</v>
      </c>
      <c r="AC378" s="2">
        <f>IF(Games[[#This Row],[Type]]="R",IF(Games[[#This Row],[Result]]&gt;0.5,1,0),0)</f>
        <v>1</v>
      </c>
      <c r="AD378" s="2">
        <f>IF(Games[[#This Row],[Type]]="R",IF(Games[[#This Row],[Result]]&lt;0.5,1,0),0)</f>
        <v>0</v>
      </c>
      <c r="AE378" s="2">
        <f>IF(AND(Games[[#This Row],[Type]]="P",Games[[#This Row],[Round]]=1),IF(Games[[#This Row],[Result]]&gt;0.5,1,0),0)</f>
        <v>0</v>
      </c>
      <c r="AF378" s="2">
        <f>IF(AND(Games[[#This Row],[Type]]="P",Games[[#This Row],[Round]]=1),IF(Games[[#This Row],[Result]]&lt;0.5,1,0),0)</f>
        <v>0</v>
      </c>
      <c r="AG378" s="2">
        <f>IF(AND(Games[[#This Row],[Type]]="P",Games[[#This Row],[Round]]=2),IF(Games[[#This Row],[Result]]&gt;0.5,1,0),0)</f>
        <v>0</v>
      </c>
      <c r="AH378" s="2">
        <f>IF(AND(Games[[#This Row],[Type]]="P",Games[[#This Row],[Round]]=2),IF(Games[[#This Row],[Result]]&lt;0.5,1,0),0)</f>
        <v>0</v>
      </c>
      <c r="AI378" s="2">
        <f>IF(AND(Games[[#This Row],[Type]]="P",Games[[#This Row],[Round]]=3),IF(Games[[#This Row],[Result]]&gt;0.5,1,0),0)</f>
        <v>0</v>
      </c>
      <c r="AJ378" s="2">
        <f>IF(AND(Games[[#This Row],[Type]]="P",Games[[#This Row],[Round]]=3),IF(Games[[#This Row],[Result]]&lt;0.5,1,0),0)</f>
        <v>0</v>
      </c>
      <c r="AK378" s="2">
        <f>IF(AND(Games[[#This Row],[Type]]="P",Games[[#This Row],[Round]]=4),IF(Games[[#This Row],[Result]]&gt;0.5,1,0),0)</f>
        <v>0</v>
      </c>
      <c r="AL378" s="2">
        <f>IF(AND(Games[[#This Row],[Type]]="P",Games[[#This Row],[Round]]=4),IF(Games[[#This Row],[Result]]&lt;0.5,1,0),0)</f>
        <v>0</v>
      </c>
    </row>
    <row r="379" spans="1:38" x14ac:dyDescent="0.35">
      <c r="A379" s="10">
        <v>45157</v>
      </c>
      <c r="B379" s="2">
        <v>2023</v>
      </c>
      <c r="C379" s="2">
        <f>COUNTIFS(Games[Team],Games[[#This Row],[Team]],Games[Season],Games[[#This Row],[Season]],Games[Date],"&lt;=" &amp; Games[[#This Row],[Date]])</f>
        <v>33</v>
      </c>
      <c r="D379" s="2" t="s">
        <v>79</v>
      </c>
      <c r="E379" s="2" t="s">
        <v>80</v>
      </c>
      <c r="F379" s="1" t="s">
        <v>86</v>
      </c>
      <c r="G379" s="1" t="s">
        <v>63</v>
      </c>
      <c r="H379" s="1" t="s">
        <v>82</v>
      </c>
      <c r="I379" s="2" cm="1">
        <f t="array" ref="I3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9" s="2" cm="1">
        <f t="array" ref="J379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79" s="2">
        <f>Games[[#This Row],[DaysOff]]-Games[[#This Row],[OppDaysOff]]</f>
        <v>-5</v>
      </c>
      <c r="L379" s="2">
        <f>Games[[#This Row],[OppDaysOff]]-Games[[#This Row],[DaysOff]]</f>
        <v>5</v>
      </c>
      <c r="M379" s="1">
        <f>MAX(-16, MIN(16, Games[[#This Row],[RestDiff]]*8))</f>
        <v>-16</v>
      </c>
      <c r="N379" s="1">
        <f>MAX(-16, MIN(16, Games[[#This Row],[OppRestDiff]]*8))</f>
        <v>16</v>
      </c>
      <c r="O379" s="4" cm="1">
        <f t="array" ref="O3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1734.5967219510189</v>
      </c>
      <c r="P379" s="4" cm="1">
        <f t="array" ref="P3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1417.0948413778228</v>
      </c>
      <c r="Q379" s="4">
        <f>1/(1+10^(((Games[[#This Row],[OppPreGmRate]]+IF(Games[[#This Row],[HomeAway]]="A",HCA,0)+Games[[#This Row],[OppRestAdj]])-(Games[[#This Row],[PreGmRate]]+IF(Games[[#This Row],[HomeAway]]="H",HCA,0)+Games[[#This Row],[RestAdj]]))/400))</f>
        <v>0.89350213681051038</v>
      </c>
      <c r="R379" s="1">
        <v>72</v>
      </c>
      <c r="S379" s="1">
        <v>78</v>
      </c>
      <c r="T379" s="1">
        <v>0</v>
      </c>
      <c r="U379" s="1">
        <f>Games[[#This Row],[PointsFor]]-Games[[#This Row],[PointsAgainst]]</f>
        <v>-6</v>
      </c>
      <c r="V379" s="1">
        <f>IF(Games[[#This Row],[MOV]]&gt;0,1,IF(Games[[#This Row],[MOV]]=0,0.5,0))</f>
        <v>0</v>
      </c>
      <c r="W379" s="4">
        <f>((ABS(Games[[#This Row],[MOV]])+5)^0.6)/(12+0.01*(ABS(Games[[#This Row],[PreGmRate]]-Games[[#This Row],[OppPreGmRate]])))*IF(Games[[#This Row],[OT]]=1,0.9,1)</f>
        <v>0.27778345365210727</v>
      </c>
      <c r="X379" s="7" cm="1">
        <f t="array" ref="X37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9" s="9">
        <f>MAX(kmin, kmax - 0.15 * MIN(Games[[#This Row],[GamesPlayed]], 82))</f>
        <v>71.05</v>
      </c>
      <c r="Z379" s="4">
        <f>Games[[#This Row],[K]]*Games[[#This Row],[POMult]]</f>
        <v>71.05</v>
      </c>
      <c r="AA379" s="4">
        <f>(Games[[#This Row],[Keff]]*Games[[#This Row],[MOVMult]])*(Games[[#This Row],[Result]]-Games[[#This Row],[ExpectedWin%]])</f>
        <v>-17.634617773492483</v>
      </c>
      <c r="AB379" s="4">
        <f>Games[[#This Row],[PreGmRate]]+Games[[#This Row],[RatingChange]]</f>
        <v>1716.9621041775265</v>
      </c>
      <c r="AC379" s="2">
        <f>IF(Games[[#This Row],[Type]]="R",IF(Games[[#This Row],[Result]]&gt;0.5,1,0),0)</f>
        <v>0</v>
      </c>
      <c r="AD379" s="2">
        <f>IF(Games[[#This Row],[Type]]="R",IF(Games[[#This Row],[Result]]&lt;0.5,1,0),0)</f>
        <v>1</v>
      </c>
      <c r="AE379" s="2">
        <f>IF(AND(Games[[#This Row],[Type]]="P",Games[[#This Row],[Round]]=1),IF(Games[[#This Row],[Result]]&gt;0.5,1,0),0)</f>
        <v>0</v>
      </c>
      <c r="AF379" s="2">
        <f>IF(AND(Games[[#This Row],[Type]]="P",Games[[#This Row],[Round]]=1),IF(Games[[#This Row],[Result]]&lt;0.5,1,0),0)</f>
        <v>0</v>
      </c>
      <c r="AG379" s="2">
        <f>IF(AND(Games[[#This Row],[Type]]="P",Games[[#This Row],[Round]]=2),IF(Games[[#This Row],[Result]]&gt;0.5,1,0),0)</f>
        <v>0</v>
      </c>
      <c r="AH379" s="2">
        <f>IF(AND(Games[[#This Row],[Type]]="P",Games[[#This Row],[Round]]=2),IF(Games[[#This Row],[Result]]&lt;0.5,1,0),0)</f>
        <v>0</v>
      </c>
      <c r="AI379" s="2">
        <f>IF(AND(Games[[#This Row],[Type]]="P",Games[[#This Row],[Round]]=3),IF(Games[[#This Row],[Result]]&gt;0.5,1,0),0)</f>
        <v>0</v>
      </c>
      <c r="AJ379" s="2">
        <f>IF(AND(Games[[#This Row],[Type]]="P",Games[[#This Row],[Round]]=3),IF(Games[[#This Row],[Result]]&lt;0.5,1,0),0)</f>
        <v>0</v>
      </c>
      <c r="AK379" s="2">
        <f>IF(AND(Games[[#This Row],[Type]]="P",Games[[#This Row],[Round]]=4),IF(Games[[#This Row],[Result]]&gt;0.5,1,0),0)</f>
        <v>0</v>
      </c>
      <c r="AL379" s="2">
        <f>IF(AND(Games[[#This Row],[Type]]="P",Games[[#This Row],[Round]]=4),IF(Games[[#This Row],[Result]]&lt;0.5,1,0),0)</f>
        <v>0</v>
      </c>
    </row>
    <row r="380" spans="1:38" x14ac:dyDescent="0.35">
      <c r="A380" s="10">
        <v>45158</v>
      </c>
      <c r="B380" s="2">
        <v>2023</v>
      </c>
      <c r="C380" s="2">
        <f>COUNTIFS(Games[Team],Games[[#This Row],[Team]],Games[Season],Games[[#This Row],[Season]],Games[Date],"&lt;=" &amp; Games[[#This Row],[Date]])</f>
        <v>32</v>
      </c>
      <c r="D380" s="2" t="s">
        <v>79</v>
      </c>
      <c r="E380" s="2" t="s">
        <v>80</v>
      </c>
      <c r="F380" s="1" t="s">
        <v>74</v>
      </c>
      <c r="G380" s="1" t="s">
        <v>75</v>
      </c>
      <c r="H380" s="1" t="s">
        <v>81</v>
      </c>
      <c r="I380" s="2" cm="1">
        <f t="array" ref="I3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0" s="2" cm="1">
        <f t="array" ref="J3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0" s="2">
        <f>Games[[#This Row],[DaysOff]]-Games[[#This Row],[OppDaysOff]]</f>
        <v>0</v>
      </c>
      <c r="L380" s="2">
        <f>Games[[#This Row],[OppDaysOff]]-Games[[#This Row],[DaysOff]]</f>
        <v>0</v>
      </c>
      <c r="M380" s="1">
        <f>MAX(-16, MIN(16, Games[[#This Row],[RestDiff]]*8))</f>
        <v>0</v>
      </c>
      <c r="N380" s="1">
        <f>MAX(-16, MIN(16, Games[[#This Row],[OppRestDiff]]*8))</f>
        <v>0</v>
      </c>
      <c r="O380" s="4" cm="1">
        <f t="array" ref="O3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1607.2309815430754</v>
      </c>
      <c r="P380" s="4" cm="1">
        <f t="array" ref="P3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1443.9420027127958</v>
      </c>
      <c r="Q380" s="4">
        <f>1/(1+10^(((Games[[#This Row],[OppPreGmRate]]+IF(Games[[#This Row],[HomeAway]]="A",HCA,0)+Games[[#This Row],[OppRestAdj]])-(Games[[#This Row],[PreGmRate]]+IF(Games[[#This Row],[HomeAway]]="H",HCA,0)+Games[[#This Row],[RestAdj]]))/400))</f>
        <v>0.61216551974786659</v>
      </c>
      <c r="R380" s="1">
        <v>79</v>
      </c>
      <c r="S380" s="1">
        <v>73</v>
      </c>
      <c r="T380" s="1">
        <v>0</v>
      </c>
      <c r="U380" s="1">
        <f>Games[[#This Row],[PointsFor]]-Games[[#This Row],[PointsAgainst]]</f>
        <v>6</v>
      </c>
      <c r="V380" s="1">
        <f>IF(Games[[#This Row],[MOV]]&gt;0,1,IF(Games[[#This Row],[MOV]]=0,0.5,0))</f>
        <v>1</v>
      </c>
      <c r="W380" s="4">
        <f>((ABS(Games[[#This Row],[MOV]])+5)^0.6)/(12+0.01*(ABS(Games[[#This Row],[PreGmRate]]-Games[[#This Row],[OppPreGmRate]])))*IF(Games[[#This Row],[OT]]=1,0.9,1)</f>
        <v>0.30920583959453291</v>
      </c>
      <c r="X380" s="7" cm="1">
        <f t="array" ref="X38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0" s="9">
        <f>MAX(kmin, kmax - 0.15 * MIN(Games[[#This Row],[GamesPlayed]], 82))</f>
        <v>71.2</v>
      </c>
      <c r="Z380" s="4">
        <f>Games[[#This Row],[K]]*Games[[#This Row],[POMult]]</f>
        <v>71.2</v>
      </c>
      <c r="AA380" s="4">
        <f>(Games[[#This Row],[Keff]]*Games[[#This Row],[MOVMult]])*(Games[[#This Row],[Result]]-Games[[#This Row],[ExpectedWin%]])</f>
        <v>8.5383528496129983</v>
      </c>
      <c r="AB380" s="4">
        <f>Games[[#This Row],[PreGmRate]]+Games[[#This Row],[RatingChange]]</f>
        <v>1615.7693343926883</v>
      </c>
      <c r="AC380" s="2">
        <f>IF(Games[[#This Row],[Type]]="R",IF(Games[[#This Row],[Result]]&gt;0.5,1,0),0)</f>
        <v>1</v>
      </c>
      <c r="AD380" s="2">
        <f>IF(Games[[#This Row],[Type]]="R",IF(Games[[#This Row],[Result]]&lt;0.5,1,0),0)</f>
        <v>0</v>
      </c>
      <c r="AE380" s="2">
        <f>IF(AND(Games[[#This Row],[Type]]="P",Games[[#This Row],[Round]]=1),IF(Games[[#This Row],[Result]]&gt;0.5,1,0),0)</f>
        <v>0</v>
      </c>
      <c r="AF380" s="2">
        <f>IF(AND(Games[[#This Row],[Type]]="P",Games[[#This Row],[Round]]=1),IF(Games[[#This Row],[Result]]&lt;0.5,1,0),0)</f>
        <v>0</v>
      </c>
      <c r="AG380" s="2">
        <f>IF(AND(Games[[#This Row],[Type]]="P",Games[[#This Row],[Round]]=2),IF(Games[[#This Row],[Result]]&gt;0.5,1,0),0)</f>
        <v>0</v>
      </c>
      <c r="AH380" s="2">
        <f>IF(AND(Games[[#This Row],[Type]]="P",Games[[#This Row],[Round]]=2),IF(Games[[#This Row],[Result]]&lt;0.5,1,0),0)</f>
        <v>0</v>
      </c>
      <c r="AI380" s="2">
        <f>IF(AND(Games[[#This Row],[Type]]="P",Games[[#This Row],[Round]]=3),IF(Games[[#This Row],[Result]]&gt;0.5,1,0),0)</f>
        <v>0</v>
      </c>
      <c r="AJ380" s="2">
        <f>IF(AND(Games[[#This Row],[Type]]="P",Games[[#This Row],[Round]]=3),IF(Games[[#This Row],[Result]]&lt;0.5,1,0),0)</f>
        <v>0</v>
      </c>
      <c r="AK380" s="2">
        <f>IF(AND(Games[[#This Row],[Type]]="P",Games[[#This Row],[Round]]=4),IF(Games[[#This Row],[Result]]&gt;0.5,1,0),0)</f>
        <v>0</v>
      </c>
      <c r="AL380" s="2">
        <f>IF(AND(Games[[#This Row],[Type]]="P",Games[[#This Row],[Round]]=4),IF(Games[[#This Row],[Result]]&lt;0.5,1,0),0)</f>
        <v>0</v>
      </c>
    </row>
    <row r="381" spans="1:38" x14ac:dyDescent="0.35">
      <c r="A381" s="10">
        <v>45158</v>
      </c>
      <c r="B381" s="2">
        <v>2023</v>
      </c>
      <c r="C381" s="2">
        <f>COUNTIFS(Games[Team],Games[[#This Row],[Team]],Games[Season],Games[[#This Row],[Season]],Games[Date],"&lt;=" &amp; Games[[#This Row],[Date]])</f>
        <v>32</v>
      </c>
      <c r="D381" s="2" t="s">
        <v>79</v>
      </c>
      <c r="E381" s="2" t="s">
        <v>80</v>
      </c>
      <c r="F381" s="1" t="s">
        <v>75</v>
      </c>
      <c r="G381" s="1" t="s">
        <v>74</v>
      </c>
      <c r="H381" s="1" t="s">
        <v>82</v>
      </c>
      <c r="I381" s="2" cm="1">
        <f t="array" ref="I3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1" s="2" cm="1">
        <f t="array" ref="J3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1" s="2">
        <f>Games[[#This Row],[DaysOff]]-Games[[#This Row],[OppDaysOff]]</f>
        <v>0</v>
      </c>
      <c r="L381" s="2">
        <f>Games[[#This Row],[OppDaysOff]]-Games[[#This Row],[DaysOff]]</f>
        <v>0</v>
      </c>
      <c r="M381" s="1">
        <f>MAX(-16, MIN(16, Games[[#This Row],[RestDiff]]*8))</f>
        <v>0</v>
      </c>
      <c r="N381" s="1">
        <f>MAX(-16, MIN(16, Games[[#This Row],[OppRestDiff]]*8))</f>
        <v>0</v>
      </c>
      <c r="O381" s="4" cm="1">
        <f t="array" ref="O3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1443.9420027127958</v>
      </c>
      <c r="P381" s="4" cm="1">
        <f t="array" ref="P3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1607.2309815430754</v>
      </c>
      <c r="Q381" s="4">
        <f>1/(1+10^(((Games[[#This Row],[OppPreGmRate]]+IF(Games[[#This Row],[HomeAway]]="A",HCA,0)+Games[[#This Row],[OppRestAdj]])-(Games[[#This Row],[PreGmRate]]+IF(Games[[#This Row],[HomeAway]]="H",HCA,0)+Games[[#This Row],[RestAdj]]))/400))</f>
        <v>0.38783448025213346</v>
      </c>
      <c r="R381" s="1">
        <v>73</v>
      </c>
      <c r="S381" s="1">
        <v>79</v>
      </c>
      <c r="T381" s="1">
        <v>0</v>
      </c>
      <c r="U381" s="1">
        <f>Games[[#This Row],[PointsFor]]-Games[[#This Row],[PointsAgainst]]</f>
        <v>-6</v>
      </c>
      <c r="V381" s="1">
        <f>IF(Games[[#This Row],[MOV]]&gt;0,1,IF(Games[[#This Row],[MOV]]=0,0.5,0))</f>
        <v>0</v>
      </c>
      <c r="W381" s="4">
        <f>((ABS(Games[[#This Row],[MOV]])+5)^0.6)/(12+0.01*(ABS(Games[[#This Row],[PreGmRate]]-Games[[#This Row],[OppPreGmRate]])))*IF(Games[[#This Row],[OT]]=1,0.9,1)</f>
        <v>0.30920583959453291</v>
      </c>
      <c r="X381" s="7" cm="1">
        <f t="array" ref="X38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1" s="9">
        <f>MAX(kmin, kmax - 0.15 * MIN(Games[[#This Row],[GamesPlayed]], 82))</f>
        <v>71.2</v>
      </c>
      <c r="Z381" s="4">
        <f>Games[[#This Row],[K]]*Games[[#This Row],[POMult]]</f>
        <v>71.2</v>
      </c>
      <c r="AA381" s="4">
        <f>(Games[[#This Row],[Keff]]*Games[[#This Row],[MOVMult]])*(Games[[#This Row],[Result]]-Games[[#This Row],[ExpectedWin%]])</f>
        <v>-8.5383528496130001</v>
      </c>
      <c r="AB381" s="4">
        <f>Games[[#This Row],[PreGmRate]]+Games[[#This Row],[RatingChange]]</f>
        <v>1435.4036498631829</v>
      </c>
      <c r="AC381" s="2">
        <f>IF(Games[[#This Row],[Type]]="R",IF(Games[[#This Row],[Result]]&gt;0.5,1,0),0)</f>
        <v>0</v>
      </c>
      <c r="AD381" s="2">
        <f>IF(Games[[#This Row],[Type]]="R",IF(Games[[#This Row],[Result]]&lt;0.5,1,0),0)</f>
        <v>1</v>
      </c>
      <c r="AE381" s="2">
        <f>IF(AND(Games[[#This Row],[Type]]="P",Games[[#This Row],[Round]]=1),IF(Games[[#This Row],[Result]]&gt;0.5,1,0),0)</f>
        <v>0</v>
      </c>
      <c r="AF381" s="2">
        <f>IF(AND(Games[[#This Row],[Type]]="P",Games[[#This Row],[Round]]=1),IF(Games[[#This Row],[Result]]&lt;0.5,1,0),0)</f>
        <v>0</v>
      </c>
      <c r="AG381" s="2">
        <f>IF(AND(Games[[#This Row],[Type]]="P",Games[[#This Row],[Round]]=2),IF(Games[[#This Row],[Result]]&gt;0.5,1,0),0)</f>
        <v>0</v>
      </c>
      <c r="AH381" s="2">
        <f>IF(AND(Games[[#This Row],[Type]]="P",Games[[#This Row],[Round]]=2),IF(Games[[#This Row],[Result]]&lt;0.5,1,0),0)</f>
        <v>0</v>
      </c>
      <c r="AI381" s="2">
        <f>IF(AND(Games[[#This Row],[Type]]="P",Games[[#This Row],[Round]]=3),IF(Games[[#This Row],[Result]]&gt;0.5,1,0),0)</f>
        <v>0</v>
      </c>
      <c r="AJ381" s="2">
        <f>IF(AND(Games[[#This Row],[Type]]="P",Games[[#This Row],[Round]]=3),IF(Games[[#This Row],[Result]]&lt;0.5,1,0),0)</f>
        <v>0</v>
      </c>
      <c r="AK381" s="2">
        <f>IF(AND(Games[[#This Row],[Type]]="P",Games[[#This Row],[Round]]=4),IF(Games[[#This Row],[Result]]&gt;0.5,1,0),0)</f>
        <v>0</v>
      </c>
      <c r="AL381" s="2">
        <f>IF(AND(Games[[#This Row],[Type]]="P",Games[[#This Row],[Round]]=4),IF(Games[[#This Row],[Result]]&lt;0.5,1,0),0)</f>
        <v>0</v>
      </c>
    </row>
    <row r="382" spans="1:38" x14ac:dyDescent="0.35">
      <c r="A382" s="10">
        <v>45158</v>
      </c>
      <c r="B382" s="2">
        <v>2023</v>
      </c>
      <c r="C382" s="2">
        <f>COUNTIFS(Games[Team],Games[[#This Row],[Team]],Games[Season],Games[[#This Row],[Season]],Games[Date],"&lt;=" &amp; Games[[#This Row],[Date]])</f>
        <v>32</v>
      </c>
      <c r="D382" s="2" t="s">
        <v>79</v>
      </c>
      <c r="E382" s="2" t="s">
        <v>80</v>
      </c>
      <c r="F382" s="1" t="s">
        <v>71</v>
      </c>
      <c r="G382" s="1" t="s">
        <v>67</v>
      </c>
      <c r="H382" s="1" t="s">
        <v>81</v>
      </c>
      <c r="I382" s="2" cm="1">
        <f t="array" ref="I3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2" s="2" cm="1">
        <f t="array" ref="J3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2" s="2">
        <f>Games[[#This Row],[DaysOff]]-Games[[#This Row],[OppDaysOff]]</f>
        <v>0</v>
      </c>
      <c r="L382" s="2">
        <f>Games[[#This Row],[OppDaysOff]]-Games[[#This Row],[DaysOff]]</f>
        <v>0</v>
      </c>
      <c r="M382" s="1">
        <f>MAX(-16, MIN(16, Games[[#This Row],[RestDiff]]*8))</f>
        <v>0</v>
      </c>
      <c r="N382" s="1">
        <f>MAX(-16, MIN(16, Games[[#This Row],[OppRestDiff]]*8))</f>
        <v>0</v>
      </c>
      <c r="O382" s="4" cm="1">
        <f t="array" ref="O3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1420.4134712494688</v>
      </c>
      <c r="P382" s="4" cm="1">
        <f t="array" ref="P3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1477.3544446551584</v>
      </c>
      <c r="Q382" s="4">
        <f>1/(1+10^(((Games[[#This Row],[OppPreGmRate]]+IF(Games[[#This Row],[HomeAway]]="A",HCA,0)+Games[[#This Row],[OppRestAdj]])-(Games[[#This Row],[PreGmRate]]+IF(Games[[#This Row],[HomeAway]]="H",HCA,0)+Games[[#This Row],[RestAdj]]))/400))</f>
        <v>0.30760897190283254</v>
      </c>
      <c r="R382" s="1">
        <v>88</v>
      </c>
      <c r="S382" s="1">
        <v>74</v>
      </c>
      <c r="T382" s="1">
        <v>0</v>
      </c>
      <c r="U382" s="1">
        <f>Games[[#This Row],[PointsFor]]-Games[[#This Row],[PointsAgainst]]</f>
        <v>14</v>
      </c>
      <c r="V382" s="1">
        <f>IF(Games[[#This Row],[MOV]]&gt;0,1,IF(Games[[#This Row],[MOV]]=0,0.5,0))</f>
        <v>1</v>
      </c>
      <c r="W382" s="4">
        <f>((ABS(Games[[#This Row],[MOV]])+5)^0.6)/(12+0.01*(ABS(Games[[#This Row],[PreGmRate]]-Games[[#This Row],[OppPreGmRate]])))*IF(Games[[#This Row],[OT]]=1,0.9,1)</f>
        <v>0.46551885619219552</v>
      </c>
      <c r="X382" s="7" cm="1">
        <f t="array" ref="X38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2" s="9">
        <f>MAX(kmin, kmax - 0.15 * MIN(Games[[#This Row],[GamesPlayed]], 82))</f>
        <v>71.2</v>
      </c>
      <c r="Z382" s="4">
        <f>Games[[#This Row],[K]]*Games[[#This Row],[POMult]]</f>
        <v>71.2</v>
      </c>
      <c r="AA382" s="4">
        <f>(Games[[#This Row],[Keff]]*Games[[#This Row],[MOVMult]])*(Games[[#This Row],[Result]]-Games[[#This Row],[ExpectedWin%]])</f>
        <v>22.949260855952261</v>
      </c>
      <c r="AB382" s="4">
        <f>Games[[#This Row],[PreGmRate]]+Games[[#This Row],[RatingChange]]</f>
        <v>1443.3627321054209</v>
      </c>
      <c r="AC382" s="2">
        <f>IF(Games[[#This Row],[Type]]="R",IF(Games[[#This Row],[Result]]&gt;0.5,1,0),0)</f>
        <v>1</v>
      </c>
      <c r="AD382" s="2">
        <f>IF(Games[[#This Row],[Type]]="R",IF(Games[[#This Row],[Result]]&lt;0.5,1,0),0)</f>
        <v>0</v>
      </c>
      <c r="AE382" s="2">
        <f>IF(AND(Games[[#This Row],[Type]]="P",Games[[#This Row],[Round]]=1),IF(Games[[#This Row],[Result]]&gt;0.5,1,0),0)</f>
        <v>0</v>
      </c>
      <c r="AF382" s="2">
        <f>IF(AND(Games[[#This Row],[Type]]="P",Games[[#This Row],[Round]]=1),IF(Games[[#This Row],[Result]]&lt;0.5,1,0),0)</f>
        <v>0</v>
      </c>
      <c r="AG382" s="2">
        <f>IF(AND(Games[[#This Row],[Type]]="P",Games[[#This Row],[Round]]=2),IF(Games[[#This Row],[Result]]&gt;0.5,1,0),0)</f>
        <v>0</v>
      </c>
      <c r="AH382" s="2">
        <f>IF(AND(Games[[#This Row],[Type]]="P",Games[[#This Row],[Round]]=2),IF(Games[[#This Row],[Result]]&lt;0.5,1,0),0)</f>
        <v>0</v>
      </c>
      <c r="AI382" s="2">
        <f>IF(AND(Games[[#This Row],[Type]]="P",Games[[#This Row],[Round]]=3),IF(Games[[#This Row],[Result]]&gt;0.5,1,0),0)</f>
        <v>0</v>
      </c>
      <c r="AJ382" s="2">
        <f>IF(AND(Games[[#This Row],[Type]]="P",Games[[#This Row],[Round]]=3),IF(Games[[#This Row],[Result]]&lt;0.5,1,0),0)</f>
        <v>0</v>
      </c>
      <c r="AK382" s="2">
        <f>IF(AND(Games[[#This Row],[Type]]="P",Games[[#This Row],[Round]]=4),IF(Games[[#This Row],[Result]]&gt;0.5,1,0),0)</f>
        <v>0</v>
      </c>
      <c r="AL382" s="2">
        <f>IF(AND(Games[[#This Row],[Type]]="P",Games[[#This Row],[Round]]=4),IF(Games[[#This Row],[Result]]&lt;0.5,1,0),0)</f>
        <v>0</v>
      </c>
    </row>
    <row r="383" spans="1:38" x14ac:dyDescent="0.35">
      <c r="A383" s="10">
        <v>45158</v>
      </c>
      <c r="B383" s="2">
        <v>2023</v>
      </c>
      <c r="C383" s="2">
        <f>COUNTIFS(Games[Team],Games[[#This Row],[Team]],Games[Season],Games[[#This Row],[Season]],Games[Date],"&lt;=" &amp; Games[[#This Row],[Date]])</f>
        <v>32</v>
      </c>
      <c r="D383" s="2" t="s">
        <v>79</v>
      </c>
      <c r="E383" s="2" t="s">
        <v>80</v>
      </c>
      <c r="F383" s="1" t="s">
        <v>67</v>
      </c>
      <c r="G383" s="1" t="s">
        <v>71</v>
      </c>
      <c r="H383" s="1" t="s">
        <v>82</v>
      </c>
      <c r="I383" s="2" cm="1">
        <f t="array" ref="I3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3" s="2" cm="1">
        <f t="array" ref="J3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3" s="2">
        <f>Games[[#This Row],[DaysOff]]-Games[[#This Row],[OppDaysOff]]</f>
        <v>0</v>
      </c>
      <c r="L383" s="2">
        <f>Games[[#This Row],[OppDaysOff]]-Games[[#This Row],[DaysOff]]</f>
        <v>0</v>
      </c>
      <c r="M383" s="1">
        <f>MAX(-16, MIN(16, Games[[#This Row],[RestDiff]]*8))</f>
        <v>0</v>
      </c>
      <c r="N383" s="1">
        <f>MAX(-16, MIN(16, Games[[#This Row],[OppRestDiff]]*8))</f>
        <v>0</v>
      </c>
      <c r="O383" s="4" cm="1">
        <f t="array" ref="O3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1477.3544446551584</v>
      </c>
      <c r="P383" s="4" cm="1">
        <f t="array" ref="P3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1420.4134712494688</v>
      </c>
      <c r="Q383" s="4">
        <f>1/(1+10^(((Games[[#This Row],[OppPreGmRate]]+IF(Games[[#This Row],[HomeAway]]="A",HCA,0)+Games[[#This Row],[OppRestAdj]])-(Games[[#This Row],[PreGmRate]]+IF(Games[[#This Row],[HomeAway]]="H",HCA,0)+Games[[#This Row],[RestAdj]]))/400))</f>
        <v>0.69239102809716757</v>
      </c>
      <c r="R383" s="1">
        <v>74</v>
      </c>
      <c r="S383" s="1">
        <v>88</v>
      </c>
      <c r="T383" s="1">
        <v>0</v>
      </c>
      <c r="U383" s="1">
        <f>Games[[#This Row],[PointsFor]]-Games[[#This Row],[PointsAgainst]]</f>
        <v>-14</v>
      </c>
      <c r="V383" s="1">
        <f>IF(Games[[#This Row],[MOV]]&gt;0,1,IF(Games[[#This Row],[MOV]]=0,0.5,0))</f>
        <v>0</v>
      </c>
      <c r="W383" s="4">
        <f>((ABS(Games[[#This Row],[MOV]])+5)^0.6)/(12+0.01*(ABS(Games[[#This Row],[PreGmRate]]-Games[[#This Row],[OppPreGmRate]])))*IF(Games[[#This Row],[OT]]=1,0.9,1)</f>
        <v>0.46551885619219552</v>
      </c>
      <c r="X383" s="7" cm="1">
        <f t="array" ref="X38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3" s="9">
        <f>MAX(kmin, kmax - 0.15 * MIN(Games[[#This Row],[GamesPlayed]], 82))</f>
        <v>71.2</v>
      </c>
      <c r="Z383" s="4">
        <f>Games[[#This Row],[K]]*Games[[#This Row],[POMult]]</f>
        <v>71.2</v>
      </c>
      <c r="AA383" s="4">
        <f>(Games[[#This Row],[Keff]]*Games[[#This Row],[MOVMult]])*(Games[[#This Row],[Result]]-Games[[#This Row],[ExpectedWin%]])</f>
        <v>-22.949260855952264</v>
      </c>
      <c r="AB383" s="4">
        <f>Games[[#This Row],[PreGmRate]]+Games[[#This Row],[RatingChange]]</f>
        <v>1454.4051837992063</v>
      </c>
      <c r="AC383" s="2">
        <f>IF(Games[[#This Row],[Type]]="R",IF(Games[[#This Row],[Result]]&gt;0.5,1,0),0)</f>
        <v>0</v>
      </c>
      <c r="AD383" s="2">
        <f>IF(Games[[#This Row],[Type]]="R",IF(Games[[#This Row],[Result]]&lt;0.5,1,0),0)</f>
        <v>1</v>
      </c>
      <c r="AE383" s="2">
        <f>IF(AND(Games[[#This Row],[Type]]="P",Games[[#This Row],[Round]]=1),IF(Games[[#This Row],[Result]]&gt;0.5,1,0),0)</f>
        <v>0</v>
      </c>
      <c r="AF383" s="2">
        <f>IF(AND(Games[[#This Row],[Type]]="P",Games[[#This Row],[Round]]=1),IF(Games[[#This Row],[Result]]&lt;0.5,1,0),0)</f>
        <v>0</v>
      </c>
      <c r="AG383" s="2">
        <f>IF(AND(Games[[#This Row],[Type]]="P",Games[[#This Row],[Round]]=2),IF(Games[[#This Row],[Result]]&gt;0.5,1,0),0)</f>
        <v>0</v>
      </c>
      <c r="AH383" s="2">
        <f>IF(AND(Games[[#This Row],[Type]]="P",Games[[#This Row],[Round]]=2),IF(Games[[#This Row],[Result]]&lt;0.5,1,0),0)</f>
        <v>0</v>
      </c>
      <c r="AI383" s="2">
        <f>IF(AND(Games[[#This Row],[Type]]="P",Games[[#This Row],[Round]]=3),IF(Games[[#This Row],[Result]]&gt;0.5,1,0),0)</f>
        <v>0</v>
      </c>
      <c r="AJ383" s="2">
        <f>IF(AND(Games[[#This Row],[Type]]="P",Games[[#This Row],[Round]]=3),IF(Games[[#This Row],[Result]]&lt;0.5,1,0),0)</f>
        <v>0</v>
      </c>
      <c r="AK383" s="2">
        <f>IF(AND(Games[[#This Row],[Type]]="P",Games[[#This Row],[Round]]=4),IF(Games[[#This Row],[Result]]&gt;0.5,1,0),0)</f>
        <v>0</v>
      </c>
      <c r="AL383" s="2">
        <f>IF(AND(Games[[#This Row],[Type]]="P",Games[[#This Row],[Round]]=4),IF(Games[[#This Row],[Result]]&lt;0.5,1,0),0)</f>
        <v>0</v>
      </c>
    </row>
    <row r="384" spans="1:38" x14ac:dyDescent="0.35">
      <c r="A384" s="10">
        <v>45158</v>
      </c>
      <c r="B384" s="2">
        <v>2023</v>
      </c>
      <c r="C384" s="2">
        <f>COUNTIFS(Games[Team],Games[[#This Row],[Team]],Games[Season],Games[[#This Row],[Season]],Games[Date],"&lt;=" &amp; Games[[#This Row],[Date]])</f>
        <v>33</v>
      </c>
      <c r="D384" s="2" t="s">
        <v>79</v>
      </c>
      <c r="E384" s="2" t="s">
        <v>80</v>
      </c>
      <c r="F384" s="1" t="s">
        <v>69</v>
      </c>
      <c r="G384" s="1" t="s">
        <v>40</v>
      </c>
      <c r="H384" s="1" t="s">
        <v>81</v>
      </c>
      <c r="I384" s="2" cm="1">
        <f t="array" ref="I3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4" s="2" cm="1">
        <f t="array" ref="J3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4" s="2">
        <f>Games[[#This Row],[DaysOff]]-Games[[#This Row],[OppDaysOff]]</f>
        <v>0</v>
      </c>
      <c r="L384" s="2">
        <f>Games[[#This Row],[OppDaysOff]]-Games[[#This Row],[DaysOff]]</f>
        <v>0</v>
      </c>
      <c r="M384" s="1">
        <f>MAX(-16, MIN(16, Games[[#This Row],[RestDiff]]*8))</f>
        <v>0</v>
      </c>
      <c r="N384" s="1">
        <f>MAX(-16, MIN(16, Games[[#This Row],[OppRestDiff]]*8))</f>
        <v>0</v>
      </c>
      <c r="O384" s="4" cm="1">
        <f t="array" ref="O3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1311.2591994219717</v>
      </c>
      <c r="P384" s="4" cm="1">
        <f t="array" ref="P3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1380.5869391899646</v>
      </c>
      <c r="Q384" s="4">
        <f>1/(1+10^(((Games[[#This Row],[OppPreGmRate]]+IF(Games[[#This Row],[HomeAway]]="A",HCA,0)+Games[[#This Row],[OppRestAdj]])-(Games[[#This Row],[PreGmRate]]+IF(Games[[#This Row],[HomeAway]]="H",HCA,0)+Games[[#This Row],[RestAdj]]))/400))</f>
        <v>0.29263402298311886</v>
      </c>
      <c r="R384" s="1">
        <v>83</v>
      </c>
      <c r="S384" s="1">
        <v>73</v>
      </c>
      <c r="T384" s="1">
        <v>0</v>
      </c>
      <c r="U384" s="1">
        <f>Games[[#This Row],[PointsFor]]-Games[[#This Row],[PointsAgainst]]</f>
        <v>10</v>
      </c>
      <c r="V384" s="1">
        <f>IF(Games[[#This Row],[MOV]]&gt;0,1,IF(Games[[#This Row],[MOV]]=0,0.5,0))</f>
        <v>1</v>
      </c>
      <c r="W384" s="4">
        <f>((ABS(Games[[#This Row],[MOV]])+5)^0.6)/(12+0.01*(ABS(Games[[#This Row],[PreGmRate]]-Games[[#This Row],[OppPreGmRate]])))*IF(Games[[#This Row],[OT]]=1,0.9,1)</f>
        <v>0.40001933566152748</v>
      </c>
      <c r="X384" s="7" cm="1">
        <f t="array" ref="X38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4" s="9">
        <f>MAX(kmin, kmax - 0.15 * MIN(Games[[#This Row],[GamesPlayed]], 82))</f>
        <v>71.05</v>
      </c>
      <c r="Z384" s="4">
        <f>Games[[#This Row],[K]]*Games[[#This Row],[POMult]]</f>
        <v>71.05</v>
      </c>
      <c r="AA384" s="4">
        <f>(Games[[#This Row],[Keff]]*Games[[#This Row],[MOVMult]])*(Games[[#This Row],[Result]]-Games[[#This Row],[ExpectedWin%]])</f>
        <v>20.10431284531586</v>
      </c>
      <c r="AB384" s="4">
        <f>Games[[#This Row],[PreGmRate]]+Games[[#This Row],[RatingChange]]</f>
        <v>1331.3635122672877</v>
      </c>
      <c r="AC384" s="2">
        <f>IF(Games[[#This Row],[Type]]="R",IF(Games[[#This Row],[Result]]&gt;0.5,1,0),0)</f>
        <v>1</v>
      </c>
      <c r="AD384" s="2">
        <f>IF(Games[[#This Row],[Type]]="R",IF(Games[[#This Row],[Result]]&lt;0.5,1,0),0)</f>
        <v>0</v>
      </c>
      <c r="AE384" s="2">
        <f>IF(AND(Games[[#This Row],[Type]]="P",Games[[#This Row],[Round]]=1),IF(Games[[#This Row],[Result]]&gt;0.5,1,0),0)</f>
        <v>0</v>
      </c>
      <c r="AF384" s="2">
        <f>IF(AND(Games[[#This Row],[Type]]="P",Games[[#This Row],[Round]]=1),IF(Games[[#This Row],[Result]]&lt;0.5,1,0),0)</f>
        <v>0</v>
      </c>
      <c r="AG384" s="2">
        <f>IF(AND(Games[[#This Row],[Type]]="P",Games[[#This Row],[Round]]=2),IF(Games[[#This Row],[Result]]&gt;0.5,1,0),0)</f>
        <v>0</v>
      </c>
      <c r="AH384" s="2">
        <f>IF(AND(Games[[#This Row],[Type]]="P",Games[[#This Row],[Round]]=2),IF(Games[[#This Row],[Result]]&lt;0.5,1,0),0)</f>
        <v>0</v>
      </c>
      <c r="AI384" s="2">
        <f>IF(AND(Games[[#This Row],[Type]]="P",Games[[#This Row],[Round]]=3),IF(Games[[#This Row],[Result]]&gt;0.5,1,0),0)</f>
        <v>0</v>
      </c>
      <c r="AJ384" s="2">
        <f>IF(AND(Games[[#This Row],[Type]]="P",Games[[#This Row],[Round]]=3),IF(Games[[#This Row],[Result]]&lt;0.5,1,0),0)</f>
        <v>0</v>
      </c>
      <c r="AK384" s="2">
        <f>IF(AND(Games[[#This Row],[Type]]="P",Games[[#This Row],[Round]]=4),IF(Games[[#This Row],[Result]]&gt;0.5,1,0),0)</f>
        <v>0</v>
      </c>
      <c r="AL384" s="2">
        <f>IF(AND(Games[[#This Row],[Type]]="P",Games[[#This Row],[Round]]=4),IF(Games[[#This Row],[Result]]&lt;0.5,1,0),0)</f>
        <v>0</v>
      </c>
    </row>
    <row r="385" spans="1:38" x14ac:dyDescent="0.35">
      <c r="A385" s="10">
        <v>45158</v>
      </c>
      <c r="B385" s="2">
        <v>2023</v>
      </c>
      <c r="C385" s="2">
        <f>COUNTIFS(Games[Team],Games[[#This Row],[Team]],Games[Season],Games[[#This Row],[Season]],Games[Date],"&lt;=" &amp; Games[[#This Row],[Date]])</f>
        <v>32</v>
      </c>
      <c r="D385" s="2" t="s">
        <v>79</v>
      </c>
      <c r="E385" s="2" t="s">
        <v>80</v>
      </c>
      <c r="F385" s="1" t="s">
        <v>40</v>
      </c>
      <c r="G385" s="1" t="s">
        <v>69</v>
      </c>
      <c r="H385" s="1" t="s">
        <v>82</v>
      </c>
      <c r="I385" s="2" cm="1">
        <f t="array" ref="I3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5" s="2" cm="1">
        <f t="array" ref="J3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5" s="2">
        <f>Games[[#This Row],[DaysOff]]-Games[[#This Row],[OppDaysOff]]</f>
        <v>0</v>
      </c>
      <c r="L385" s="2">
        <f>Games[[#This Row],[OppDaysOff]]-Games[[#This Row],[DaysOff]]</f>
        <v>0</v>
      </c>
      <c r="M385" s="1">
        <f>MAX(-16, MIN(16, Games[[#This Row],[RestDiff]]*8))</f>
        <v>0</v>
      </c>
      <c r="N385" s="1">
        <f>MAX(-16, MIN(16, Games[[#This Row],[OppRestDiff]]*8))</f>
        <v>0</v>
      </c>
      <c r="O385" s="4" cm="1">
        <f t="array" ref="O3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1380.5869391899646</v>
      </c>
      <c r="P385" s="4" cm="1">
        <f t="array" ref="P3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1311.2591994219717</v>
      </c>
      <c r="Q385" s="4">
        <f>1/(1+10^(((Games[[#This Row],[OppPreGmRate]]+IF(Games[[#This Row],[HomeAway]]="A",HCA,0)+Games[[#This Row],[OppRestAdj]])-(Games[[#This Row],[PreGmRate]]+IF(Games[[#This Row],[HomeAway]]="H",HCA,0)+Games[[#This Row],[RestAdj]]))/400))</f>
        <v>0.70736597701688109</v>
      </c>
      <c r="R385" s="1">
        <v>73</v>
      </c>
      <c r="S385" s="1">
        <v>83</v>
      </c>
      <c r="T385" s="1">
        <v>0</v>
      </c>
      <c r="U385" s="1">
        <f>Games[[#This Row],[PointsFor]]-Games[[#This Row],[PointsAgainst]]</f>
        <v>-10</v>
      </c>
      <c r="V385" s="1">
        <f>IF(Games[[#This Row],[MOV]]&gt;0,1,IF(Games[[#This Row],[MOV]]=0,0.5,0))</f>
        <v>0</v>
      </c>
      <c r="W385" s="4">
        <f>((ABS(Games[[#This Row],[MOV]])+5)^0.6)/(12+0.01*(ABS(Games[[#This Row],[PreGmRate]]-Games[[#This Row],[OppPreGmRate]])))*IF(Games[[#This Row],[OT]]=1,0.9,1)</f>
        <v>0.40001933566152748</v>
      </c>
      <c r="X385" s="7" cm="1">
        <f t="array" ref="X38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5" s="9">
        <f>MAX(kmin, kmax - 0.15 * MIN(Games[[#This Row],[GamesPlayed]], 82))</f>
        <v>71.2</v>
      </c>
      <c r="Z385" s="4">
        <f>Games[[#This Row],[K]]*Games[[#This Row],[POMult]]</f>
        <v>71.2</v>
      </c>
      <c r="AA385" s="4">
        <f>(Games[[#This Row],[Keff]]*Games[[#This Row],[MOVMult]])*(Games[[#This Row],[Result]]-Games[[#This Row],[ExpectedWin%]])</f>
        <v>-20.146756855545238</v>
      </c>
      <c r="AB385" s="4">
        <f>Games[[#This Row],[PreGmRate]]+Games[[#This Row],[RatingChange]]</f>
        <v>1360.4401823344194</v>
      </c>
      <c r="AC385" s="2">
        <f>IF(Games[[#This Row],[Type]]="R",IF(Games[[#This Row],[Result]]&gt;0.5,1,0),0)</f>
        <v>0</v>
      </c>
      <c r="AD385" s="2">
        <f>IF(Games[[#This Row],[Type]]="R",IF(Games[[#This Row],[Result]]&lt;0.5,1,0),0)</f>
        <v>1</v>
      </c>
      <c r="AE385" s="2">
        <f>IF(AND(Games[[#This Row],[Type]]="P",Games[[#This Row],[Round]]=1),IF(Games[[#This Row],[Result]]&gt;0.5,1,0),0)</f>
        <v>0</v>
      </c>
      <c r="AF385" s="2">
        <f>IF(AND(Games[[#This Row],[Type]]="P",Games[[#This Row],[Round]]=1),IF(Games[[#This Row],[Result]]&lt;0.5,1,0),0)</f>
        <v>0</v>
      </c>
      <c r="AG385" s="2">
        <f>IF(AND(Games[[#This Row],[Type]]="P",Games[[#This Row],[Round]]=2),IF(Games[[#This Row],[Result]]&gt;0.5,1,0),0)</f>
        <v>0</v>
      </c>
      <c r="AH385" s="2">
        <f>IF(AND(Games[[#This Row],[Type]]="P",Games[[#This Row],[Round]]=2),IF(Games[[#This Row],[Result]]&lt;0.5,1,0),0)</f>
        <v>0</v>
      </c>
      <c r="AI385" s="2">
        <f>IF(AND(Games[[#This Row],[Type]]="P",Games[[#This Row],[Round]]=3),IF(Games[[#This Row],[Result]]&gt;0.5,1,0),0)</f>
        <v>0</v>
      </c>
      <c r="AJ385" s="2">
        <f>IF(AND(Games[[#This Row],[Type]]="P",Games[[#This Row],[Round]]=3),IF(Games[[#This Row],[Result]]&lt;0.5,1,0),0)</f>
        <v>0</v>
      </c>
      <c r="AK385" s="2">
        <f>IF(AND(Games[[#This Row],[Type]]="P",Games[[#This Row],[Round]]=4),IF(Games[[#This Row],[Result]]&gt;0.5,1,0),0)</f>
        <v>0</v>
      </c>
      <c r="AL385" s="2">
        <f>IF(AND(Games[[#This Row],[Type]]="P",Games[[#This Row],[Round]]=4),IF(Games[[#This Row],[Result]]&lt;0.5,1,0),0)</f>
        <v>0</v>
      </c>
    </row>
    <row r="386" spans="1:38" x14ac:dyDescent="0.35">
      <c r="A386" s="10">
        <v>45158</v>
      </c>
      <c r="B386" s="2">
        <v>2023</v>
      </c>
      <c r="C386" s="2">
        <f>COUNTIFS(Games[Team],Games[[#This Row],[Team]],Games[Season],Games[[#This Row],[Season]],Games[Date],"&lt;=" &amp; Games[[#This Row],[Date]])</f>
        <v>32</v>
      </c>
      <c r="D386" s="2" t="s">
        <v>79</v>
      </c>
      <c r="E386" s="2" t="s">
        <v>80</v>
      </c>
      <c r="F386" s="1" t="s">
        <v>85</v>
      </c>
      <c r="G386" s="1" t="s">
        <v>65</v>
      </c>
      <c r="H386" s="1" t="s">
        <v>81</v>
      </c>
      <c r="I386" s="2" cm="1">
        <f t="array" ref="I3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6" s="2" cm="1">
        <f t="array" ref="J3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6" s="2">
        <f>Games[[#This Row],[DaysOff]]-Games[[#This Row],[OppDaysOff]]</f>
        <v>0</v>
      </c>
      <c r="L386" s="2">
        <f>Games[[#This Row],[OppDaysOff]]-Games[[#This Row],[DaysOff]]</f>
        <v>0</v>
      </c>
      <c r="M386" s="1">
        <f>MAX(-16, MIN(16, Games[[#This Row],[RestDiff]]*8))</f>
        <v>0</v>
      </c>
      <c r="N386" s="1">
        <f>MAX(-16, MIN(16, Games[[#This Row],[OppRestDiff]]*8))</f>
        <v>0</v>
      </c>
      <c r="O386" s="4" cm="1">
        <f t="array" ref="O3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1565.4467630729544</v>
      </c>
      <c r="P386" s="4" cm="1">
        <f t="array" ref="P3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1467.7226065302507</v>
      </c>
      <c r="Q386" s="4">
        <f>1/(1+10^(((Games[[#This Row],[OppPreGmRate]]+IF(Games[[#This Row],[HomeAway]]="A",HCA,0)+Games[[#This Row],[OppRestAdj]])-(Games[[#This Row],[PreGmRate]]+IF(Games[[#This Row],[HomeAway]]="H",HCA,0)+Games[[#This Row],[RestAdj]]))/400))</f>
        <v>0.51974038266741562</v>
      </c>
      <c r="R386" s="1">
        <v>97</v>
      </c>
      <c r="S386" s="1">
        <v>84</v>
      </c>
      <c r="T386" s="1">
        <v>0</v>
      </c>
      <c r="U386" s="1">
        <f>Games[[#This Row],[PointsFor]]-Games[[#This Row],[PointsAgainst]]</f>
        <v>13</v>
      </c>
      <c r="V386" s="1">
        <f>IF(Games[[#This Row],[MOV]]&gt;0,1,IF(Games[[#This Row],[MOV]]=0,0.5,0))</f>
        <v>1</v>
      </c>
      <c r="W386" s="4">
        <f>((ABS(Games[[#This Row],[MOV]])+5)^0.6)/(12+0.01*(ABS(Games[[#This Row],[PreGmRate]]-Games[[#This Row],[OppPreGmRate]])))*IF(Games[[#This Row],[OT]]=1,0.9,1)</f>
        <v>0.4364968502135616</v>
      </c>
      <c r="X386" s="7" cm="1">
        <f t="array" ref="X38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6" s="9">
        <f>MAX(kmin, kmax - 0.15 * MIN(Games[[#This Row],[GamesPlayed]], 82))</f>
        <v>71.2</v>
      </c>
      <c r="Z386" s="4">
        <f>Games[[#This Row],[K]]*Games[[#This Row],[POMult]]</f>
        <v>71.2</v>
      </c>
      <c r="AA386" s="4">
        <f>(Games[[#This Row],[Keff]]*Games[[#This Row],[MOVMult]])*(Games[[#This Row],[Result]]-Games[[#This Row],[ExpectedWin%]])</f>
        <v>14.925784889831577</v>
      </c>
      <c r="AB386" s="4">
        <f>Games[[#This Row],[PreGmRate]]+Games[[#This Row],[RatingChange]]</f>
        <v>1580.372547962786</v>
      </c>
      <c r="AC386" s="2">
        <f>IF(Games[[#This Row],[Type]]="R",IF(Games[[#This Row],[Result]]&gt;0.5,1,0),0)</f>
        <v>1</v>
      </c>
      <c r="AD386" s="2">
        <f>IF(Games[[#This Row],[Type]]="R",IF(Games[[#This Row],[Result]]&lt;0.5,1,0),0)</f>
        <v>0</v>
      </c>
      <c r="AE386" s="2">
        <f>IF(AND(Games[[#This Row],[Type]]="P",Games[[#This Row],[Round]]=1),IF(Games[[#This Row],[Result]]&gt;0.5,1,0),0)</f>
        <v>0</v>
      </c>
      <c r="AF386" s="2">
        <f>IF(AND(Games[[#This Row],[Type]]="P",Games[[#This Row],[Round]]=1),IF(Games[[#This Row],[Result]]&lt;0.5,1,0),0)</f>
        <v>0</v>
      </c>
      <c r="AG386" s="2">
        <f>IF(AND(Games[[#This Row],[Type]]="P",Games[[#This Row],[Round]]=2),IF(Games[[#This Row],[Result]]&gt;0.5,1,0),0)</f>
        <v>0</v>
      </c>
      <c r="AH386" s="2">
        <f>IF(AND(Games[[#This Row],[Type]]="P",Games[[#This Row],[Round]]=2),IF(Games[[#This Row],[Result]]&lt;0.5,1,0),0)</f>
        <v>0</v>
      </c>
      <c r="AI386" s="2">
        <f>IF(AND(Games[[#This Row],[Type]]="P",Games[[#This Row],[Round]]=3),IF(Games[[#This Row],[Result]]&gt;0.5,1,0),0)</f>
        <v>0</v>
      </c>
      <c r="AJ386" s="2">
        <f>IF(AND(Games[[#This Row],[Type]]="P",Games[[#This Row],[Round]]=3),IF(Games[[#This Row],[Result]]&lt;0.5,1,0),0)</f>
        <v>0</v>
      </c>
      <c r="AK386" s="2">
        <f>IF(AND(Games[[#This Row],[Type]]="P",Games[[#This Row],[Round]]=4),IF(Games[[#This Row],[Result]]&gt;0.5,1,0),0)</f>
        <v>0</v>
      </c>
      <c r="AL386" s="2">
        <f>IF(AND(Games[[#This Row],[Type]]="P",Games[[#This Row],[Round]]=4),IF(Games[[#This Row],[Result]]&lt;0.5,1,0),0)</f>
        <v>0</v>
      </c>
    </row>
    <row r="387" spans="1:38" x14ac:dyDescent="0.35">
      <c r="A387" s="10">
        <v>45158</v>
      </c>
      <c r="B387" s="2">
        <v>2023</v>
      </c>
      <c r="C387" s="2">
        <f>COUNTIFS(Games[Team],Games[[#This Row],[Team]],Games[Season],Games[[#This Row],[Season]],Games[Date],"&lt;=" &amp; Games[[#This Row],[Date]])</f>
        <v>32</v>
      </c>
      <c r="D387" s="2" t="s">
        <v>79</v>
      </c>
      <c r="E387" s="2" t="s">
        <v>80</v>
      </c>
      <c r="F387" s="1" t="s">
        <v>65</v>
      </c>
      <c r="G387" s="1" t="s">
        <v>85</v>
      </c>
      <c r="H387" s="1" t="s">
        <v>82</v>
      </c>
      <c r="I387" s="2" cm="1">
        <f t="array" ref="I3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7" s="2" cm="1">
        <f t="array" ref="J3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7" s="2">
        <f>Games[[#This Row],[DaysOff]]-Games[[#This Row],[OppDaysOff]]</f>
        <v>0</v>
      </c>
      <c r="L387" s="2">
        <f>Games[[#This Row],[OppDaysOff]]-Games[[#This Row],[DaysOff]]</f>
        <v>0</v>
      </c>
      <c r="M387" s="1">
        <f>MAX(-16, MIN(16, Games[[#This Row],[RestDiff]]*8))</f>
        <v>0</v>
      </c>
      <c r="N387" s="1">
        <f>MAX(-16, MIN(16, Games[[#This Row],[OppRestDiff]]*8))</f>
        <v>0</v>
      </c>
      <c r="O387" s="4" cm="1">
        <f t="array" ref="O3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1467.7226065302507</v>
      </c>
      <c r="P387" s="4" cm="1">
        <f t="array" ref="P3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1565.4467630729544</v>
      </c>
      <c r="Q387" s="4">
        <f>1/(1+10^(((Games[[#This Row],[OppPreGmRate]]+IF(Games[[#This Row],[HomeAway]]="A",HCA,0)+Games[[#This Row],[OppRestAdj]])-(Games[[#This Row],[PreGmRate]]+IF(Games[[#This Row],[HomeAway]]="H",HCA,0)+Games[[#This Row],[RestAdj]]))/400))</f>
        <v>0.48025961733258427</v>
      </c>
      <c r="R387" s="1">
        <v>84</v>
      </c>
      <c r="S387" s="1">
        <v>97</v>
      </c>
      <c r="T387" s="1">
        <v>0</v>
      </c>
      <c r="U387" s="1">
        <f>Games[[#This Row],[PointsFor]]-Games[[#This Row],[PointsAgainst]]</f>
        <v>-13</v>
      </c>
      <c r="V387" s="1">
        <f>IF(Games[[#This Row],[MOV]]&gt;0,1,IF(Games[[#This Row],[MOV]]=0,0.5,0))</f>
        <v>0</v>
      </c>
      <c r="W387" s="4">
        <f>((ABS(Games[[#This Row],[MOV]])+5)^0.6)/(12+0.01*(ABS(Games[[#This Row],[PreGmRate]]-Games[[#This Row],[OppPreGmRate]])))*IF(Games[[#This Row],[OT]]=1,0.9,1)</f>
        <v>0.4364968502135616</v>
      </c>
      <c r="X387" s="7" cm="1">
        <f t="array" ref="X38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7" s="9">
        <f>MAX(kmin, kmax - 0.15 * MIN(Games[[#This Row],[GamesPlayed]], 82))</f>
        <v>71.2</v>
      </c>
      <c r="Z387" s="4">
        <f>Games[[#This Row],[K]]*Games[[#This Row],[POMult]]</f>
        <v>71.2</v>
      </c>
      <c r="AA387" s="4">
        <f>(Games[[#This Row],[Keff]]*Games[[#This Row],[MOVMult]])*(Games[[#This Row],[Result]]-Games[[#This Row],[ExpectedWin%]])</f>
        <v>-14.925784889831574</v>
      </c>
      <c r="AB387" s="4">
        <f>Games[[#This Row],[PreGmRate]]+Games[[#This Row],[RatingChange]]</f>
        <v>1452.796821640419</v>
      </c>
      <c r="AC387" s="2">
        <f>IF(Games[[#This Row],[Type]]="R",IF(Games[[#This Row],[Result]]&gt;0.5,1,0),0)</f>
        <v>0</v>
      </c>
      <c r="AD387" s="2">
        <f>IF(Games[[#This Row],[Type]]="R",IF(Games[[#This Row],[Result]]&lt;0.5,1,0),0)</f>
        <v>1</v>
      </c>
      <c r="AE387" s="2">
        <f>IF(AND(Games[[#This Row],[Type]]="P",Games[[#This Row],[Round]]=1),IF(Games[[#This Row],[Result]]&gt;0.5,1,0),0)</f>
        <v>0</v>
      </c>
      <c r="AF387" s="2">
        <f>IF(AND(Games[[#This Row],[Type]]="P",Games[[#This Row],[Round]]=1),IF(Games[[#This Row],[Result]]&lt;0.5,1,0),0)</f>
        <v>0</v>
      </c>
      <c r="AG387" s="2">
        <f>IF(AND(Games[[#This Row],[Type]]="P",Games[[#This Row],[Round]]=2),IF(Games[[#This Row],[Result]]&gt;0.5,1,0),0)</f>
        <v>0</v>
      </c>
      <c r="AH387" s="2">
        <f>IF(AND(Games[[#This Row],[Type]]="P",Games[[#This Row],[Round]]=2),IF(Games[[#This Row],[Result]]&lt;0.5,1,0),0)</f>
        <v>0</v>
      </c>
      <c r="AI387" s="2">
        <f>IF(AND(Games[[#This Row],[Type]]="P",Games[[#This Row],[Round]]=3),IF(Games[[#This Row],[Result]]&gt;0.5,1,0),0)</f>
        <v>0</v>
      </c>
      <c r="AJ387" s="2">
        <f>IF(AND(Games[[#This Row],[Type]]="P",Games[[#This Row],[Round]]=3),IF(Games[[#This Row],[Result]]&lt;0.5,1,0),0)</f>
        <v>0</v>
      </c>
      <c r="AK387" s="2">
        <f>IF(AND(Games[[#This Row],[Type]]="P",Games[[#This Row],[Round]]=4),IF(Games[[#This Row],[Result]]&gt;0.5,1,0),0)</f>
        <v>0</v>
      </c>
      <c r="AL387" s="2">
        <f>IF(AND(Games[[#This Row],[Type]]="P",Games[[#This Row],[Round]]=4),IF(Games[[#This Row],[Result]]&lt;0.5,1,0),0)</f>
        <v>0</v>
      </c>
    </row>
    <row r="388" spans="1:38" x14ac:dyDescent="0.35">
      <c r="A388" s="10">
        <v>45160</v>
      </c>
      <c r="B388" s="2">
        <v>2023</v>
      </c>
      <c r="C388" s="2">
        <f>COUNTIFS(Games[Team],Games[[#This Row],[Team]],Games[Season],Games[[#This Row],[Season]],Games[Date],"&lt;=" &amp; Games[[#This Row],[Date]])</f>
        <v>34</v>
      </c>
      <c r="D388" s="2" t="s">
        <v>79</v>
      </c>
      <c r="E388" s="2" t="s">
        <v>80</v>
      </c>
      <c r="F388" s="1" t="s">
        <v>86</v>
      </c>
      <c r="G388" s="1" t="s">
        <v>77</v>
      </c>
      <c r="H388" s="1" t="s">
        <v>81</v>
      </c>
      <c r="I388" s="2" cm="1">
        <f t="array" ref="I3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8" s="2" cm="1">
        <f t="array" ref="J38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8" s="2">
        <f>Games[[#This Row],[DaysOff]]-Games[[#This Row],[OppDaysOff]]</f>
        <v>-1</v>
      </c>
      <c r="L388" s="2">
        <f>Games[[#This Row],[OppDaysOff]]-Games[[#This Row],[DaysOff]]</f>
        <v>1</v>
      </c>
      <c r="M388" s="1">
        <f>MAX(-16, MIN(16, Games[[#This Row],[RestDiff]]*8))</f>
        <v>-8</v>
      </c>
      <c r="N388" s="1">
        <f>MAX(-16, MIN(16, Games[[#This Row],[OppRestDiff]]*8))</f>
        <v>8</v>
      </c>
      <c r="O388" s="4" cm="1">
        <f t="array" ref="O3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1716.9621041775265</v>
      </c>
      <c r="P388" s="4" cm="1">
        <f t="array" ref="P3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1481.4221054205541</v>
      </c>
      <c r="Q388" s="4">
        <f>1/(1+10^(((Games[[#This Row],[OppPreGmRate]]+IF(Games[[#This Row],[HomeAway]]="A",HCA,0)+Games[[#This Row],[OppRestAdj]])-(Games[[#This Row],[PreGmRate]]+IF(Games[[#This Row],[HomeAway]]="H",HCA,0)+Games[[#This Row],[RestAdj]]))/400))</f>
        <v>0.68572988716230965</v>
      </c>
      <c r="R388" s="1">
        <v>112</v>
      </c>
      <c r="S388" s="1">
        <v>100</v>
      </c>
      <c r="T388" s="1">
        <v>0</v>
      </c>
      <c r="U388" s="1">
        <f>Games[[#This Row],[PointsFor]]-Games[[#This Row],[PointsAgainst]]</f>
        <v>12</v>
      </c>
      <c r="V388" s="1">
        <f>IF(Games[[#This Row],[MOV]]&gt;0,1,IF(Games[[#This Row],[MOV]]=0,0.5,0))</f>
        <v>1</v>
      </c>
      <c r="W388" s="4">
        <f>((ABS(Games[[#This Row],[MOV]])+5)^0.6)/(12+0.01*(ABS(Games[[#This Row],[PreGmRate]]-Games[[#This Row],[OppPreGmRate]])))*IF(Games[[#This Row],[OT]]=1,0.9,1)</f>
        <v>0.38128880572175028</v>
      </c>
      <c r="X388" s="7" cm="1">
        <f t="array" ref="X38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8" s="9">
        <f>MAX(kmin, kmax - 0.15 * MIN(Games[[#This Row],[GamesPlayed]], 82))</f>
        <v>70.900000000000006</v>
      </c>
      <c r="Z388" s="4">
        <f>Games[[#This Row],[K]]*Games[[#This Row],[POMult]]</f>
        <v>70.900000000000006</v>
      </c>
      <c r="AA388" s="4">
        <f>(Games[[#This Row],[Keff]]*Games[[#This Row],[MOVMult]])*(Games[[#This Row],[Result]]-Games[[#This Row],[ExpectedWin%]])</f>
        <v>8.4957822282527165</v>
      </c>
      <c r="AB388" s="4">
        <f>Games[[#This Row],[PreGmRate]]+Games[[#This Row],[RatingChange]]</f>
        <v>1725.4578864057792</v>
      </c>
      <c r="AC388" s="2">
        <f>IF(Games[[#This Row],[Type]]="R",IF(Games[[#This Row],[Result]]&gt;0.5,1,0),0)</f>
        <v>1</v>
      </c>
      <c r="AD388" s="2">
        <f>IF(Games[[#This Row],[Type]]="R",IF(Games[[#This Row],[Result]]&lt;0.5,1,0),0)</f>
        <v>0</v>
      </c>
      <c r="AE388" s="2">
        <f>IF(AND(Games[[#This Row],[Type]]="P",Games[[#This Row],[Round]]=1),IF(Games[[#This Row],[Result]]&gt;0.5,1,0),0)</f>
        <v>0</v>
      </c>
      <c r="AF388" s="2">
        <f>IF(AND(Games[[#This Row],[Type]]="P",Games[[#This Row],[Round]]=1),IF(Games[[#This Row],[Result]]&lt;0.5,1,0),0)</f>
        <v>0</v>
      </c>
      <c r="AG388" s="2">
        <f>IF(AND(Games[[#This Row],[Type]]="P",Games[[#This Row],[Round]]=2),IF(Games[[#This Row],[Result]]&gt;0.5,1,0),0)</f>
        <v>0</v>
      </c>
      <c r="AH388" s="2">
        <f>IF(AND(Games[[#This Row],[Type]]="P",Games[[#This Row],[Round]]=2),IF(Games[[#This Row],[Result]]&lt;0.5,1,0),0)</f>
        <v>0</v>
      </c>
      <c r="AI388" s="2">
        <f>IF(AND(Games[[#This Row],[Type]]="P",Games[[#This Row],[Round]]=3),IF(Games[[#This Row],[Result]]&gt;0.5,1,0),0)</f>
        <v>0</v>
      </c>
      <c r="AJ388" s="2">
        <f>IF(AND(Games[[#This Row],[Type]]="P",Games[[#This Row],[Round]]=3),IF(Games[[#This Row],[Result]]&lt;0.5,1,0),0)</f>
        <v>0</v>
      </c>
      <c r="AK388" s="2">
        <f>IF(AND(Games[[#This Row],[Type]]="P",Games[[#This Row],[Round]]=4),IF(Games[[#This Row],[Result]]&gt;0.5,1,0),0)</f>
        <v>0</v>
      </c>
      <c r="AL388" s="2">
        <f>IF(AND(Games[[#This Row],[Type]]="P",Games[[#This Row],[Round]]=4),IF(Games[[#This Row],[Result]]&lt;0.5,1,0),0)</f>
        <v>0</v>
      </c>
    </row>
    <row r="389" spans="1:38" x14ac:dyDescent="0.35">
      <c r="A389" s="10">
        <v>45160</v>
      </c>
      <c r="B389" s="2">
        <v>2023</v>
      </c>
      <c r="C389" s="2">
        <f>COUNTIFS(Games[Team],Games[[#This Row],[Team]],Games[Season],Games[[#This Row],[Season]],Games[Date],"&lt;=" &amp; Games[[#This Row],[Date]])</f>
        <v>33</v>
      </c>
      <c r="D389" s="2" t="s">
        <v>79</v>
      </c>
      <c r="E389" s="2" t="s">
        <v>80</v>
      </c>
      <c r="F389" s="1" t="s">
        <v>77</v>
      </c>
      <c r="G389" s="1" t="s">
        <v>86</v>
      </c>
      <c r="H389" s="1" t="s">
        <v>82</v>
      </c>
      <c r="I389" s="2" cm="1">
        <f t="array" ref="I389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9" s="2" cm="1">
        <f t="array" ref="J3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9" s="2">
        <f>Games[[#This Row],[DaysOff]]-Games[[#This Row],[OppDaysOff]]</f>
        <v>1</v>
      </c>
      <c r="L389" s="2">
        <f>Games[[#This Row],[OppDaysOff]]-Games[[#This Row],[DaysOff]]</f>
        <v>-1</v>
      </c>
      <c r="M389" s="1">
        <f>MAX(-16, MIN(16, Games[[#This Row],[RestDiff]]*8))</f>
        <v>8</v>
      </c>
      <c r="N389" s="1">
        <f>MAX(-16, MIN(16, Games[[#This Row],[OppRestDiff]]*8))</f>
        <v>-8</v>
      </c>
      <c r="O389" s="4" cm="1">
        <f t="array" ref="O3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1481.4221054205541</v>
      </c>
      <c r="P389" s="4" cm="1">
        <f t="array" ref="P3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1716.9621041775265</v>
      </c>
      <c r="Q389" s="4">
        <f>1/(1+10^(((Games[[#This Row],[OppPreGmRate]]+IF(Games[[#This Row],[HomeAway]]="A",HCA,0)+Games[[#This Row],[OppRestAdj]])-(Games[[#This Row],[PreGmRate]]+IF(Games[[#This Row],[HomeAway]]="H",HCA,0)+Games[[#This Row],[RestAdj]]))/400))</f>
        <v>0.31427011283769035</v>
      </c>
      <c r="R389" s="1">
        <v>100</v>
      </c>
      <c r="S389" s="1">
        <v>112</v>
      </c>
      <c r="T389" s="1">
        <v>0</v>
      </c>
      <c r="U389" s="1">
        <f>Games[[#This Row],[PointsFor]]-Games[[#This Row],[PointsAgainst]]</f>
        <v>-12</v>
      </c>
      <c r="V389" s="1">
        <f>IF(Games[[#This Row],[MOV]]&gt;0,1,IF(Games[[#This Row],[MOV]]=0,0.5,0))</f>
        <v>0</v>
      </c>
      <c r="W389" s="4">
        <f>((ABS(Games[[#This Row],[MOV]])+5)^0.6)/(12+0.01*(ABS(Games[[#This Row],[PreGmRate]]-Games[[#This Row],[OppPreGmRate]])))*IF(Games[[#This Row],[OT]]=1,0.9,1)</f>
        <v>0.38128880572175028</v>
      </c>
      <c r="X389" s="7" cm="1">
        <f t="array" ref="X38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9" s="9">
        <f>MAX(kmin, kmax - 0.15 * MIN(Games[[#This Row],[GamesPlayed]], 82))</f>
        <v>71.05</v>
      </c>
      <c r="Z389" s="4">
        <f>Games[[#This Row],[K]]*Games[[#This Row],[POMult]]</f>
        <v>71.05</v>
      </c>
      <c r="AA389" s="4">
        <f>(Games[[#This Row],[Keff]]*Games[[#This Row],[MOVMult]])*(Games[[#This Row],[Result]]-Games[[#This Row],[ExpectedWin%]])</f>
        <v>-8.5137563796524045</v>
      </c>
      <c r="AB389" s="4">
        <f>Games[[#This Row],[PreGmRate]]+Games[[#This Row],[RatingChange]]</f>
        <v>1472.9083490409016</v>
      </c>
      <c r="AC389" s="2">
        <f>IF(Games[[#This Row],[Type]]="R",IF(Games[[#This Row],[Result]]&gt;0.5,1,0),0)</f>
        <v>0</v>
      </c>
      <c r="AD389" s="2">
        <f>IF(Games[[#This Row],[Type]]="R",IF(Games[[#This Row],[Result]]&lt;0.5,1,0),0)</f>
        <v>1</v>
      </c>
      <c r="AE389" s="2">
        <f>IF(AND(Games[[#This Row],[Type]]="P",Games[[#This Row],[Round]]=1),IF(Games[[#This Row],[Result]]&gt;0.5,1,0),0)</f>
        <v>0</v>
      </c>
      <c r="AF389" s="2">
        <f>IF(AND(Games[[#This Row],[Type]]="P",Games[[#This Row],[Round]]=1),IF(Games[[#This Row],[Result]]&lt;0.5,1,0),0)</f>
        <v>0</v>
      </c>
      <c r="AG389" s="2">
        <f>IF(AND(Games[[#This Row],[Type]]="P",Games[[#This Row],[Round]]=2),IF(Games[[#This Row],[Result]]&gt;0.5,1,0),0)</f>
        <v>0</v>
      </c>
      <c r="AH389" s="2">
        <f>IF(AND(Games[[#This Row],[Type]]="P",Games[[#This Row],[Round]]=2),IF(Games[[#This Row],[Result]]&lt;0.5,1,0),0)</f>
        <v>0</v>
      </c>
      <c r="AI389" s="2">
        <f>IF(AND(Games[[#This Row],[Type]]="P",Games[[#This Row],[Round]]=3),IF(Games[[#This Row],[Result]]&gt;0.5,1,0),0)</f>
        <v>0</v>
      </c>
      <c r="AJ389" s="2">
        <f>IF(AND(Games[[#This Row],[Type]]="P",Games[[#This Row],[Round]]=3),IF(Games[[#This Row],[Result]]&lt;0.5,1,0),0)</f>
        <v>0</v>
      </c>
      <c r="AK389" s="2">
        <f>IF(AND(Games[[#This Row],[Type]]="P",Games[[#This Row],[Round]]=4),IF(Games[[#This Row],[Result]]&gt;0.5,1,0),0)</f>
        <v>0</v>
      </c>
      <c r="AL389" s="2">
        <f>IF(AND(Games[[#This Row],[Type]]="P",Games[[#This Row],[Round]]=4),IF(Games[[#This Row],[Result]]&lt;0.5,1,0),0)</f>
        <v>0</v>
      </c>
    </row>
    <row r="390" spans="1:38" x14ac:dyDescent="0.35">
      <c r="A390" s="10">
        <v>45160</v>
      </c>
      <c r="B390" s="2">
        <v>2023</v>
      </c>
      <c r="C390" s="2">
        <f>COUNTIFS(Games[Team],Games[[#This Row],[Team]],Games[Season],Games[[#This Row],[Season]],Games[Date],"&lt;=" &amp; Games[[#This Row],[Date]])</f>
        <v>33</v>
      </c>
      <c r="D390" s="2" t="s">
        <v>79</v>
      </c>
      <c r="E390" s="2" t="s">
        <v>80</v>
      </c>
      <c r="F390" s="1" t="s">
        <v>71</v>
      </c>
      <c r="G390" s="1" t="s">
        <v>75</v>
      </c>
      <c r="H390" s="1" t="s">
        <v>81</v>
      </c>
      <c r="I390" s="2" cm="1">
        <f t="array" ref="I3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0" s="2" cm="1">
        <f t="array" ref="J3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0" s="2">
        <f>Games[[#This Row],[DaysOff]]-Games[[#This Row],[OppDaysOff]]</f>
        <v>0</v>
      </c>
      <c r="L390" s="2">
        <f>Games[[#This Row],[OppDaysOff]]-Games[[#This Row],[DaysOff]]</f>
        <v>0</v>
      </c>
      <c r="M390" s="1">
        <f>MAX(-16, MIN(16, Games[[#This Row],[RestDiff]]*8))</f>
        <v>0</v>
      </c>
      <c r="N390" s="1">
        <f>MAX(-16, MIN(16, Games[[#This Row],[OppRestDiff]]*8))</f>
        <v>0</v>
      </c>
      <c r="O390" s="4" cm="1">
        <f t="array" ref="O3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1443.3627321054209</v>
      </c>
      <c r="P390" s="4" cm="1">
        <f t="array" ref="P3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1435.4036498631829</v>
      </c>
      <c r="Q390" s="4">
        <f>1/(1+10^(((Games[[#This Row],[OppPreGmRate]]+IF(Games[[#This Row],[HomeAway]]="A",HCA,0)+Games[[#This Row],[OppRestAdj]])-(Games[[#This Row],[PreGmRate]]+IF(Games[[#This Row],[HomeAway]]="H",HCA,0)+Games[[#This Row],[RestAdj]]))/400))</f>
        <v>0.39228278205015044</v>
      </c>
      <c r="R390" s="1">
        <v>79</v>
      </c>
      <c r="S390" s="1">
        <v>102</v>
      </c>
      <c r="T390" s="1">
        <v>0</v>
      </c>
      <c r="U390" s="1">
        <f>Games[[#This Row],[PointsFor]]-Games[[#This Row],[PointsAgainst]]</f>
        <v>-23</v>
      </c>
      <c r="V390" s="1">
        <f>IF(Games[[#This Row],[MOV]]&gt;0,1,IF(Games[[#This Row],[MOV]]=0,0.5,0))</f>
        <v>0</v>
      </c>
      <c r="W390" s="4">
        <f>((ABS(Games[[#This Row],[MOV]])+5)^0.6)/(12+0.01*(ABS(Games[[#This Row],[PreGmRate]]-Games[[#This Row],[OppPreGmRate]])))*IF(Games[[#This Row],[OT]]=1,0.9,1)</f>
        <v>0.6112833902483511</v>
      </c>
      <c r="X390" s="7" cm="1">
        <f t="array" ref="X39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0" s="9">
        <f>MAX(kmin, kmax - 0.15 * MIN(Games[[#This Row],[GamesPlayed]], 82))</f>
        <v>71.05</v>
      </c>
      <c r="Z390" s="4">
        <f>Games[[#This Row],[K]]*Games[[#This Row],[POMult]]</f>
        <v>71.05</v>
      </c>
      <c r="AA390" s="4">
        <f>(Games[[#This Row],[Keff]]*Games[[#This Row],[MOVMult]])*(Games[[#This Row],[Result]]-Games[[#This Row],[ExpectedWin%]])</f>
        <v>-17.037502172732022</v>
      </c>
      <c r="AB390" s="4">
        <f>Games[[#This Row],[PreGmRate]]+Games[[#This Row],[RatingChange]]</f>
        <v>1426.3252299326889</v>
      </c>
      <c r="AC390" s="2">
        <f>IF(Games[[#This Row],[Type]]="R",IF(Games[[#This Row],[Result]]&gt;0.5,1,0),0)</f>
        <v>0</v>
      </c>
      <c r="AD390" s="2">
        <f>IF(Games[[#This Row],[Type]]="R",IF(Games[[#This Row],[Result]]&lt;0.5,1,0),0)</f>
        <v>1</v>
      </c>
      <c r="AE390" s="2">
        <f>IF(AND(Games[[#This Row],[Type]]="P",Games[[#This Row],[Round]]=1),IF(Games[[#This Row],[Result]]&gt;0.5,1,0),0)</f>
        <v>0</v>
      </c>
      <c r="AF390" s="2">
        <f>IF(AND(Games[[#This Row],[Type]]="P",Games[[#This Row],[Round]]=1),IF(Games[[#This Row],[Result]]&lt;0.5,1,0),0)</f>
        <v>0</v>
      </c>
      <c r="AG390" s="2">
        <f>IF(AND(Games[[#This Row],[Type]]="P",Games[[#This Row],[Round]]=2),IF(Games[[#This Row],[Result]]&gt;0.5,1,0),0)</f>
        <v>0</v>
      </c>
      <c r="AH390" s="2">
        <f>IF(AND(Games[[#This Row],[Type]]="P",Games[[#This Row],[Round]]=2),IF(Games[[#This Row],[Result]]&lt;0.5,1,0),0)</f>
        <v>0</v>
      </c>
      <c r="AI390" s="2">
        <f>IF(AND(Games[[#This Row],[Type]]="P",Games[[#This Row],[Round]]=3),IF(Games[[#This Row],[Result]]&gt;0.5,1,0),0)</f>
        <v>0</v>
      </c>
      <c r="AJ390" s="2">
        <f>IF(AND(Games[[#This Row],[Type]]="P",Games[[#This Row],[Round]]=3),IF(Games[[#This Row],[Result]]&lt;0.5,1,0),0)</f>
        <v>0</v>
      </c>
      <c r="AK390" s="2">
        <f>IF(AND(Games[[#This Row],[Type]]="P",Games[[#This Row],[Round]]=4),IF(Games[[#This Row],[Result]]&gt;0.5,1,0),0)</f>
        <v>0</v>
      </c>
      <c r="AL390" s="2">
        <f>IF(AND(Games[[#This Row],[Type]]="P",Games[[#This Row],[Round]]=4),IF(Games[[#This Row],[Result]]&lt;0.5,1,0),0)</f>
        <v>0</v>
      </c>
    </row>
    <row r="391" spans="1:38" x14ac:dyDescent="0.35">
      <c r="A391" s="10">
        <v>45160</v>
      </c>
      <c r="B391" s="2">
        <v>2023</v>
      </c>
      <c r="C391" s="2">
        <f>COUNTIFS(Games[Team],Games[[#This Row],[Team]],Games[Season],Games[[#This Row],[Season]],Games[Date],"&lt;=" &amp; Games[[#This Row],[Date]])</f>
        <v>33</v>
      </c>
      <c r="D391" s="2" t="s">
        <v>79</v>
      </c>
      <c r="E391" s="2" t="s">
        <v>80</v>
      </c>
      <c r="F391" s="1" t="s">
        <v>75</v>
      </c>
      <c r="G391" s="1" t="s">
        <v>71</v>
      </c>
      <c r="H391" s="1" t="s">
        <v>82</v>
      </c>
      <c r="I391" s="2" cm="1">
        <f t="array" ref="I3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1" s="2" cm="1">
        <f t="array" ref="J3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1" s="2">
        <f>Games[[#This Row],[DaysOff]]-Games[[#This Row],[OppDaysOff]]</f>
        <v>0</v>
      </c>
      <c r="L391" s="2">
        <f>Games[[#This Row],[OppDaysOff]]-Games[[#This Row],[DaysOff]]</f>
        <v>0</v>
      </c>
      <c r="M391" s="1">
        <f>MAX(-16, MIN(16, Games[[#This Row],[RestDiff]]*8))</f>
        <v>0</v>
      </c>
      <c r="N391" s="1">
        <f>MAX(-16, MIN(16, Games[[#This Row],[OppRestDiff]]*8))</f>
        <v>0</v>
      </c>
      <c r="O391" s="4" cm="1">
        <f t="array" ref="O3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1435.4036498631829</v>
      </c>
      <c r="P391" s="4" cm="1">
        <f t="array" ref="P3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1443.3627321054209</v>
      </c>
      <c r="Q391" s="4">
        <f>1/(1+10^(((Games[[#This Row],[OppPreGmRate]]+IF(Games[[#This Row],[HomeAway]]="A",HCA,0)+Games[[#This Row],[OppRestAdj]])-(Games[[#This Row],[PreGmRate]]+IF(Games[[#This Row],[HomeAway]]="H",HCA,0)+Games[[#This Row],[RestAdj]]))/400))</f>
        <v>0.60771721794984956</v>
      </c>
      <c r="R391" s="1">
        <v>102</v>
      </c>
      <c r="S391" s="1">
        <v>79</v>
      </c>
      <c r="T391" s="1">
        <v>0</v>
      </c>
      <c r="U391" s="1">
        <f>Games[[#This Row],[PointsFor]]-Games[[#This Row],[PointsAgainst]]</f>
        <v>23</v>
      </c>
      <c r="V391" s="1">
        <f>IF(Games[[#This Row],[MOV]]&gt;0,1,IF(Games[[#This Row],[MOV]]=0,0.5,0))</f>
        <v>1</v>
      </c>
      <c r="W391" s="4">
        <f>((ABS(Games[[#This Row],[MOV]])+5)^0.6)/(12+0.01*(ABS(Games[[#This Row],[PreGmRate]]-Games[[#This Row],[OppPreGmRate]])))*IF(Games[[#This Row],[OT]]=1,0.9,1)</f>
        <v>0.6112833902483511</v>
      </c>
      <c r="X391" s="7" cm="1">
        <f t="array" ref="X39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1" s="9">
        <f>MAX(kmin, kmax - 0.15 * MIN(Games[[#This Row],[GamesPlayed]], 82))</f>
        <v>71.05</v>
      </c>
      <c r="Z391" s="4">
        <f>Games[[#This Row],[K]]*Games[[#This Row],[POMult]]</f>
        <v>71.05</v>
      </c>
      <c r="AA391" s="4">
        <f>(Games[[#This Row],[Keff]]*Games[[#This Row],[MOVMult]])*(Games[[#This Row],[Result]]-Games[[#This Row],[ExpectedWin%]])</f>
        <v>17.037502172732022</v>
      </c>
      <c r="AB391" s="4">
        <f>Games[[#This Row],[PreGmRate]]+Games[[#This Row],[RatingChange]]</f>
        <v>1452.4411520359149</v>
      </c>
      <c r="AC391" s="2">
        <f>IF(Games[[#This Row],[Type]]="R",IF(Games[[#This Row],[Result]]&gt;0.5,1,0),0)</f>
        <v>1</v>
      </c>
      <c r="AD391" s="2">
        <f>IF(Games[[#This Row],[Type]]="R",IF(Games[[#This Row],[Result]]&lt;0.5,1,0),0)</f>
        <v>0</v>
      </c>
      <c r="AE391" s="2">
        <f>IF(AND(Games[[#This Row],[Type]]="P",Games[[#This Row],[Round]]=1),IF(Games[[#This Row],[Result]]&gt;0.5,1,0),0)</f>
        <v>0</v>
      </c>
      <c r="AF391" s="2">
        <f>IF(AND(Games[[#This Row],[Type]]="P",Games[[#This Row],[Round]]=1),IF(Games[[#This Row],[Result]]&lt;0.5,1,0),0)</f>
        <v>0</v>
      </c>
      <c r="AG391" s="2">
        <f>IF(AND(Games[[#This Row],[Type]]="P",Games[[#This Row],[Round]]=2),IF(Games[[#This Row],[Result]]&gt;0.5,1,0),0)</f>
        <v>0</v>
      </c>
      <c r="AH391" s="2">
        <f>IF(AND(Games[[#This Row],[Type]]="P",Games[[#This Row],[Round]]=2),IF(Games[[#This Row],[Result]]&lt;0.5,1,0),0)</f>
        <v>0</v>
      </c>
      <c r="AI391" s="2">
        <f>IF(AND(Games[[#This Row],[Type]]="P",Games[[#This Row],[Round]]=3),IF(Games[[#This Row],[Result]]&gt;0.5,1,0),0)</f>
        <v>0</v>
      </c>
      <c r="AJ391" s="2">
        <f>IF(AND(Games[[#This Row],[Type]]="P",Games[[#This Row],[Round]]=3),IF(Games[[#This Row],[Result]]&lt;0.5,1,0),0)</f>
        <v>0</v>
      </c>
      <c r="AK391" s="2">
        <f>IF(AND(Games[[#This Row],[Type]]="P",Games[[#This Row],[Round]]=4),IF(Games[[#This Row],[Result]]&gt;0.5,1,0),0)</f>
        <v>0</v>
      </c>
      <c r="AL391" s="2">
        <f>IF(AND(Games[[#This Row],[Type]]="P",Games[[#This Row],[Round]]=4),IF(Games[[#This Row],[Result]]&lt;0.5,1,0),0)</f>
        <v>0</v>
      </c>
    </row>
    <row r="392" spans="1:38" x14ac:dyDescent="0.35">
      <c r="A392" s="10">
        <v>45160</v>
      </c>
      <c r="B392" s="2">
        <v>2023</v>
      </c>
      <c r="C392" s="2">
        <f>COUNTIFS(Games[Team],Games[[#This Row],[Team]],Games[Season],Games[[#This Row],[Season]],Games[Date],"&lt;=" &amp; Games[[#This Row],[Date]])</f>
        <v>33</v>
      </c>
      <c r="D392" s="2" t="s">
        <v>79</v>
      </c>
      <c r="E392" s="2" t="s">
        <v>80</v>
      </c>
      <c r="F392" s="1" t="s">
        <v>85</v>
      </c>
      <c r="G392" s="1" t="s">
        <v>67</v>
      </c>
      <c r="H392" s="1" t="s">
        <v>81</v>
      </c>
      <c r="I392" s="2" cm="1">
        <f t="array" ref="I3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2" s="2" cm="1">
        <f t="array" ref="J3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2" s="2">
        <f>Games[[#This Row],[DaysOff]]-Games[[#This Row],[OppDaysOff]]</f>
        <v>0</v>
      </c>
      <c r="L392" s="2">
        <f>Games[[#This Row],[OppDaysOff]]-Games[[#This Row],[DaysOff]]</f>
        <v>0</v>
      </c>
      <c r="M392" s="1">
        <f>MAX(-16, MIN(16, Games[[#This Row],[RestDiff]]*8))</f>
        <v>0</v>
      </c>
      <c r="N392" s="1">
        <f>MAX(-16, MIN(16, Games[[#This Row],[OppRestDiff]]*8))</f>
        <v>0</v>
      </c>
      <c r="O392" s="4" cm="1">
        <f t="array" ref="O3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1580.372547962786</v>
      </c>
      <c r="P392" s="4" cm="1">
        <f t="array" ref="P3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1454.4051837992063</v>
      </c>
      <c r="Q392" s="4">
        <f>1/(1+10^(((Games[[#This Row],[OppPreGmRate]]+IF(Games[[#This Row],[HomeAway]]="A",HCA,0)+Games[[#This Row],[OppRestAdj]])-(Games[[#This Row],[PreGmRate]]+IF(Games[[#This Row],[HomeAway]]="H",HCA,0)+Games[[#This Row],[RestAdj]]))/400))</f>
        <v>0.56010385767518389</v>
      </c>
      <c r="R392" s="1">
        <v>86</v>
      </c>
      <c r="S392" s="1">
        <v>91</v>
      </c>
      <c r="T392" s="1">
        <v>0</v>
      </c>
      <c r="U392" s="1">
        <f>Games[[#This Row],[PointsFor]]-Games[[#This Row],[PointsAgainst]]</f>
        <v>-5</v>
      </c>
      <c r="V392" s="1">
        <f>IF(Games[[#This Row],[MOV]]&gt;0,1,IF(Games[[#This Row],[MOV]]=0,0.5,0))</f>
        <v>0</v>
      </c>
      <c r="W392" s="4">
        <f>((ABS(Games[[#This Row],[MOV]])+5)^0.6)/(12+0.01*(ABS(Games[[#This Row],[PreGmRate]]-Games[[#This Row],[OppPreGmRate]])))*IF(Games[[#This Row],[OT]]=1,0.9,1)</f>
        <v>0.30023904155787673</v>
      </c>
      <c r="X392" s="7" cm="1">
        <f t="array" ref="X39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2" s="9">
        <f>MAX(kmin, kmax - 0.15 * MIN(Games[[#This Row],[GamesPlayed]], 82))</f>
        <v>71.05</v>
      </c>
      <c r="Z392" s="4">
        <f>Games[[#This Row],[K]]*Games[[#This Row],[POMult]]</f>
        <v>71.05</v>
      </c>
      <c r="AA392" s="4">
        <f>(Games[[#This Row],[Keff]]*Games[[#This Row],[MOVMult]])*(Games[[#This Row],[Result]]-Games[[#This Row],[ExpectedWin%]])</f>
        <v>-11.948126475759993</v>
      </c>
      <c r="AB392" s="4">
        <f>Games[[#This Row],[PreGmRate]]+Games[[#This Row],[RatingChange]]</f>
        <v>1568.4244214870259</v>
      </c>
      <c r="AC392" s="2">
        <f>IF(Games[[#This Row],[Type]]="R",IF(Games[[#This Row],[Result]]&gt;0.5,1,0),0)</f>
        <v>0</v>
      </c>
      <c r="AD392" s="2">
        <f>IF(Games[[#This Row],[Type]]="R",IF(Games[[#This Row],[Result]]&lt;0.5,1,0),0)</f>
        <v>1</v>
      </c>
      <c r="AE392" s="2">
        <f>IF(AND(Games[[#This Row],[Type]]="P",Games[[#This Row],[Round]]=1),IF(Games[[#This Row],[Result]]&gt;0.5,1,0),0)</f>
        <v>0</v>
      </c>
      <c r="AF392" s="2">
        <f>IF(AND(Games[[#This Row],[Type]]="P",Games[[#This Row],[Round]]=1),IF(Games[[#This Row],[Result]]&lt;0.5,1,0),0)</f>
        <v>0</v>
      </c>
      <c r="AG392" s="2">
        <f>IF(AND(Games[[#This Row],[Type]]="P",Games[[#This Row],[Round]]=2),IF(Games[[#This Row],[Result]]&gt;0.5,1,0),0)</f>
        <v>0</v>
      </c>
      <c r="AH392" s="2">
        <f>IF(AND(Games[[#This Row],[Type]]="P",Games[[#This Row],[Round]]=2),IF(Games[[#This Row],[Result]]&lt;0.5,1,0),0)</f>
        <v>0</v>
      </c>
      <c r="AI392" s="2">
        <f>IF(AND(Games[[#This Row],[Type]]="P",Games[[#This Row],[Round]]=3),IF(Games[[#This Row],[Result]]&gt;0.5,1,0),0)</f>
        <v>0</v>
      </c>
      <c r="AJ392" s="2">
        <f>IF(AND(Games[[#This Row],[Type]]="P",Games[[#This Row],[Round]]=3),IF(Games[[#This Row],[Result]]&lt;0.5,1,0),0)</f>
        <v>0</v>
      </c>
      <c r="AK392" s="2">
        <f>IF(AND(Games[[#This Row],[Type]]="P",Games[[#This Row],[Round]]=4),IF(Games[[#This Row],[Result]]&gt;0.5,1,0),0)</f>
        <v>0</v>
      </c>
      <c r="AL392" s="2">
        <f>IF(AND(Games[[#This Row],[Type]]="P",Games[[#This Row],[Round]]=4),IF(Games[[#This Row],[Result]]&lt;0.5,1,0),0)</f>
        <v>0</v>
      </c>
    </row>
    <row r="393" spans="1:38" x14ac:dyDescent="0.35">
      <c r="A393" s="10">
        <v>45160</v>
      </c>
      <c r="B393" s="2">
        <v>2023</v>
      </c>
      <c r="C393" s="2">
        <f>COUNTIFS(Games[Team],Games[[#This Row],[Team]],Games[Season],Games[[#This Row],[Season]],Games[Date],"&lt;=" &amp; Games[[#This Row],[Date]])</f>
        <v>33</v>
      </c>
      <c r="D393" s="2" t="s">
        <v>79</v>
      </c>
      <c r="E393" s="2" t="s">
        <v>80</v>
      </c>
      <c r="F393" s="1" t="s">
        <v>67</v>
      </c>
      <c r="G393" s="1" t="s">
        <v>85</v>
      </c>
      <c r="H393" s="1" t="s">
        <v>82</v>
      </c>
      <c r="I393" s="2" cm="1">
        <f t="array" ref="I3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3" s="2" cm="1">
        <f t="array" ref="J3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3" s="2">
        <f>Games[[#This Row],[DaysOff]]-Games[[#This Row],[OppDaysOff]]</f>
        <v>0</v>
      </c>
      <c r="L393" s="2">
        <f>Games[[#This Row],[OppDaysOff]]-Games[[#This Row],[DaysOff]]</f>
        <v>0</v>
      </c>
      <c r="M393" s="1">
        <f>MAX(-16, MIN(16, Games[[#This Row],[RestDiff]]*8))</f>
        <v>0</v>
      </c>
      <c r="N393" s="1">
        <f>MAX(-16, MIN(16, Games[[#This Row],[OppRestDiff]]*8))</f>
        <v>0</v>
      </c>
      <c r="O393" s="4" cm="1">
        <f t="array" ref="O3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1454.4051837992063</v>
      </c>
      <c r="P393" s="4" cm="1">
        <f t="array" ref="P3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1580.372547962786</v>
      </c>
      <c r="Q393" s="4">
        <f>1/(1+10^(((Games[[#This Row],[OppPreGmRate]]+IF(Games[[#This Row],[HomeAway]]="A",HCA,0)+Games[[#This Row],[OppRestAdj]])-(Games[[#This Row],[PreGmRate]]+IF(Games[[#This Row],[HomeAway]]="H",HCA,0)+Games[[#This Row],[RestAdj]]))/400))</f>
        <v>0.43989614232481616</v>
      </c>
      <c r="R393" s="1">
        <v>91</v>
      </c>
      <c r="S393" s="1">
        <v>86</v>
      </c>
      <c r="T393" s="1">
        <v>0</v>
      </c>
      <c r="U393" s="1">
        <f>Games[[#This Row],[PointsFor]]-Games[[#This Row],[PointsAgainst]]</f>
        <v>5</v>
      </c>
      <c r="V393" s="1">
        <f>IF(Games[[#This Row],[MOV]]&gt;0,1,IF(Games[[#This Row],[MOV]]=0,0.5,0))</f>
        <v>1</v>
      </c>
      <c r="W393" s="4">
        <f>((ABS(Games[[#This Row],[MOV]])+5)^0.6)/(12+0.01*(ABS(Games[[#This Row],[PreGmRate]]-Games[[#This Row],[OppPreGmRate]])))*IF(Games[[#This Row],[OT]]=1,0.9,1)</f>
        <v>0.30023904155787673</v>
      </c>
      <c r="X393" s="7" cm="1">
        <f t="array" ref="X39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3" s="9">
        <f>MAX(kmin, kmax - 0.15 * MIN(Games[[#This Row],[GamesPlayed]], 82))</f>
        <v>71.05</v>
      </c>
      <c r="Z393" s="4">
        <f>Games[[#This Row],[K]]*Games[[#This Row],[POMult]]</f>
        <v>71.05</v>
      </c>
      <c r="AA393" s="4">
        <f>(Games[[#This Row],[Keff]]*Games[[#This Row],[MOVMult]])*(Games[[#This Row],[Result]]-Games[[#This Row],[ExpectedWin%]])</f>
        <v>11.94812647575999</v>
      </c>
      <c r="AB393" s="4">
        <f>Games[[#This Row],[PreGmRate]]+Games[[#This Row],[RatingChange]]</f>
        <v>1466.3533102749664</v>
      </c>
      <c r="AC393" s="2">
        <f>IF(Games[[#This Row],[Type]]="R",IF(Games[[#This Row],[Result]]&gt;0.5,1,0),0)</f>
        <v>1</v>
      </c>
      <c r="AD393" s="2">
        <f>IF(Games[[#This Row],[Type]]="R",IF(Games[[#This Row],[Result]]&lt;0.5,1,0),0)</f>
        <v>0</v>
      </c>
      <c r="AE393" s="2">
        <f>IF(AND(Games[[#This Row],[Type]]="P",Games[[#This Row],[Round]]=1),IF(Games[[#This Row],[Result]]&gt;0.5,1,0),0)</f>
        <v>0</v>
      </c>
      <c r="AF393" s="2">
        <f>IF(AND(Games[[#This Row],[Type]]="P",Games[[#This Row],[Round]]=1),IF(Games[[#This Row],[Result]]&lt;0.5,1,0),0)</f>
        <v>0</v>
      </c>
      <c r="AG393" s="2">
        <f>IF(AND(Games[[#This Row],[Type]]="P",Games[[#This Row],[Round]]=2),IF(Games[[#This Row],[Result]]&gt;0.5,1,0),0)</f>
        <v>0</v>
      </c>
      <c r="AH393" s="2">
        <f>IF(AND(Games[[#This Row],[Type]]="P",Games[[#This Row],[Round]]=2),IF(Games[[#This Row],[Result]]&lt;0.5,1,0),0)</f>
        <v>0</v>
      </c>
      <c r="AI393" s="2">
        <f>IF(AND(Games[[#This Row],[Type]]="P",Games[[#This Row],[Round]]=3),IF(Games[[#This Row],[Result]]&gt;0.5,1,0),0)</f>
        <v>0</v>
      </c>
      <c r="AJ393" s="2">
        <f>IF(AND(Games[[#This Row],[Type]]="P",Games[[#This Row],[Round]]=3),IF(Games[[#This Row],[Result]]&lt;0.5,1,0),0)</f>
        <v>0</v>
      </c>
      <c r="AK393" s="2">
        <f>IF(AND(Games[[#This Row],[Type]]="P",Games[[#This Row],[Round]]=4),IF(Games[[#This Row],[Result]]&gt;0.5,1,0),0)</f>
        <v>0</v>
      </c>
      <c r="AL393" s="2">
        <f>IF(AND(Games[[#This Row],[Type]]="P",Games[[#This Row],[Round]]=4),IF(Games[[#This Row],[Result]]&lt;0.5,1,0),0)</f>
        <v>0</v>
      </c>
    </row>
    <row r="394" spans="1:38" x14ac:dyDescent="0.35">
      <c r="A394" s="10">
        <v>45160</v>
      </c>
      <c r="B394" s="2">
        <v>2023</v>
      </c>
      <c r="C394" s="2">
        <f>COUNTIFS(Games[Team],Games[[#This Row],[Team]],Games[Season],Games[[#This Row],[Season]],Games[Date],"&lt;=" &amp; Games[[#This Row],[Date]])</f>
        <v>33</v>
      </c>
      <c r="D394" s="2" t="s">
        <v>79</v>
      </c>
      <c r="E394" s="2" t="s">
        <v>80</v>
      </c>
      <c r="F394" s="1" t="s">
        <v>74</v>
      </c>
      <c r="G394" s="1" t="s">
        <v>65</v>
      </c>
      <c r="H394" s="1" t="s">
        <v>81</v>
      </c>
      <c r="I394" s="2" cm="1">
        <f t="array" ref="I3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4" s="2" cm="1">
        <f t="array" ref="J3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4" s="2">
        <f>Games[[#This Row],[DaysOff]]-Games[[#This Row],[OppDaysOff]]</f>
        <v>0</v>
      </c>
      <c r="L394" s="2">
        <f>Games[[#This Row],[OppDaysOff]]-Games[[#This Row],[DaysOff]]</f>
        <v>0</v>
      </c>
      <c r="M394" s="1">
        <f>MAX(-16, MIN(16, Games[[#This Row],[RestDiff]]*8))</f>
        <v>0</v>
      </c>
      <c r="N394" s="1">
        <f>MAX(-16, MIN(16, Games[[#This Row],[OppRestDiff]]*8))</f>
        <v>0</v>
      </c>
      <c r="O394" s="4" cm="1">
        <f t="array" ref="O3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1615.7693343926883</v>
      </c>
      <c r="P394" s="4" cm="1">
        <f t="array" ref="P3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1452.796821640419</v>
      </c>
      <c r="Q394" s="4">
        <f>1/(1+10^(((Games[[#This Row],[OppPreGmRate]]+IF(Games[[#This Row],[HomeAway]]="A",HCA,0)+Games[[#This Row],[OppRestAdj]])-(Games[[#This Row],[PreGmRate]]+IF(Games[[#This Row],[HomeAway]]="H",HCA,0)+Games[[#This Row],[RestAdj]]))/400))</f>
        <v>0.61173291948987207</v>
      </c>
      <c r="R394" s="1">
        <v>68</v>
      </c>
      <c r="S394" s="1">
        <v>64</v>
      </c>
      <c r="T394" s="1">
        <v>0</v>
      </c>
      <c r="U394" s="1">
        <f>Games[[#This Row],[PointsFor]]-Games[[#This Row],[PointsAgainst]]</f>
        <v>4</v>
      </c>
      <c r="V394" s="1">
        <f>IF(Games[[#This Row],[MOV]]&gt;0,1,IF(Games[[#This Row],[MOV]]=0,0.5,0))</f>
        <v>1</v>
      </c>
      <c r="W394" s="4">
        <f>((ABS(Games[[#This Row],[MOV]])+5)^0.6)/(12+0.01*(ABS(Games[[#This Row],[PreGmRate]]-Games[[#This Row],[OppPreGmRate]])))*IF(Games[[#This Row],[OT]]=1,0.9,1)</f>
        <v>0.27419429107194443</v>
      </c>
      <c r="X394" s="7" cm="1">
        <f t="array" ref="X39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4" s="9">
        <f>MAX(kmin, kmax - 0.15 * MIN(Games[[#This Row],[GamesPlayed]], 82))</f>
        <v>71.05</v>
      </c>
      <c r="Z394" s="4">
        <f>Games[[#This Row],[K]]*Games[[#This Row],[POMult]]</f>
        <v>71.05</v>
      </c>
      <c r="AA394" s="4">
        <f>(Games[[#This Row],[Keff]]*Games[[#This Row],[MOVMult]])*(Games[[#This Row],[Result]]-Games[[#This Row],[ExpectedWin%]])</f>
        <v>7.5640268298247673</v>
      </c>
      <c r="AB394" s="4">
        <f>Games[[#This Row],[PreGmRate]]+Games[[#This Row],[RatingChange]]</f>
        <v>1623.3333612225131</v>
      </c>
      <c r="AC394" s="2">
        <f>IF(Games[[#This Row],[Type]]="R",IF(Games[[#This Row],[Result]]&gt;0.5,1,0),0)</f>
        <v>1</v>
      </c>
      <c r="AD394" s="2">
        <f>IF(Games[[#This Row],[Type]]="R",IF(Games[[#This Row],[Result]]&lt;0.5,1,0),0)</f>
        <v>0</v>
      </c>
      <c r="AE394" s="2">
        <f>IF(AND(Games[[#This Row],[Type]]="P",Games[[#This Row],[Round]]=1),IF(Games[[#This Row],[Result]]&gt;0.5,1,0),0)</f>
        <v>0</v>
      </c>
      <c r="AF394" s="2">
        <f>IF(AND(Games[[#This Row],[Type]]="P",Games[[#This Row],[Round]]=1),IF(Games[[#This Row],[Result]]&lt;0.5,1,0),0)</f>
        <v>0</v>
      </c>
      <c r="AG394" s="2">
        <f>IF(AND(Games[[#This Row],[Type]]="P",Games[[#This Row],[Round]]=2),IF(Games[[#This Row],[Result]]&gt;0.5,1,0),0)</f>
        <v>0</v>
      </c>
      <c r="AH394" s="2">
        <f>IF(AND(Games[[#This Row],[Type]]="P",Games[[#This Row],[Round]]=2),IF(Games[[#This Row],[Result]]&lt;0.5,1,0),0)</f>
        <v>0</v>
      </c>
      <c r="AI394" s="2">
        <f>IF(AND(Games[[#This Row],[Type]]="P",Games[[#This Row],[Round]]=3),IF(Games[[#This Row],[Result]]&gt;0.5,1,0),0)</f>
        <v>0</v>
      </c>
      <c r="AJ394" s="2">
        <f>IF(AND(Games[[#This Row],[Type]]="P",Games[[#This Row],[Round]]=3),IF(Games[[#This Row],[Result]]&lt;0.5,1,0),0)</f>
        <v>0</v>
      </c>
      <c r="AK394" s="2">
        <f>IF(AND(Games[[#This Row],[Type]]="P",Games[[#This Row],[Round]]=4),IF(Games[[#This Row],[Result]]&gt;0.5,1,0),0)</f>
        <v>0</v>
      </c>
      <c r="AL394" s="2">
        <f>IF(AND(Games[[#This Row],[Type]]="P",Games[[#This Row],[Round]]=4),IF(Games[[#This Row],[Result]]&lt;0.5,1,0),0)</f>
        <v>0</v>
      </c>
    </row>
    <row r="395" spans="1:38" x14ac:dyDescent="0.35">
      <c r="A395" s="10">
        <v>45160</v>
      </c>
      <c r="B395" s="2">
        <v>2023</v>
      </c>
      <c r="C395" s="2">
        <f>COUNTIFS(Games[Team],Games[[#This Row],[Team]],Games[Season],Games[[#This Row],[Season]],Games[Date],"&lt;=" &amp; Games[[#This Row],[Date]])</f>
        <v>33</v>
      </c>
      <c r="D395" s="2" t="s">
        <v>79</v>
      </c>
      <c r="E395" s="2" t="s">
        <v>80</v>
      </c>
      <c r="F395" s="1" t="s">
        <v>65</v>
      </c>
      <c r="G395" s="1" t="s">
        <v>74</v>
      </c>
      <c r="H395" s="1" t="s">
        <v>82</v>
      </c>
      <c r="I395" s="2" cm="1">
        <f t="array" ref="I3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5" s="2" cm="1">
        <f t="array" ref="J3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5" s="2">
        <f>Games[[#This Row],[DaysOff]]-Games[[#This Row],[OppDaysOff]]</f>
        <v>0</v>
      </c>
      <c r="L395" s="2">
        <f>Games[[#This Row],[OppDaysOff]]-Games[[#This Row],[DaysOff]]</f>
        <v>0</v>
      </c>
      <c r="M395" s="1">
        <f>MAX(-16, MIN(16, Games[[#This Row],[RestDiff]]*8))</f>
        <v>0</v>
      </c>
      <c r="N395" s="1">
        <f>MAX(-16, MIN(16, Games[[#This Row],[OppRestDiff]]*8))</f>
        <v>0</v>
      </c>
      <c r="O395" s="4" cm="1">
        <f t="array" ref="O3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1452.796821640419</v>
      </c>
      <c r="P395" s="4" cm="1">
        <f t="array" ref="P3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1615.7693343926883</v>
      </c>
      <c r="Q395" s="4">
        <f>1/(1+10^(((Games[[#This Row],[OppPreGmRate]]+IF(Games[[#This Row],[HomeAway]]="A",HCA,0)+Games[[#This Row],[OppRestAdj]])-(Games[[#This Row],[PreGmRate]]+IF(Games[[#This Row],[HomeAway]]="H",HCA,0)+Games[[#This Row],[RestAdj]]))/400))</f>
        <v>0.38826708051012787</v>
      </c>
      <c r="R395" s="1">
        <v>64</v>
      </c>
      <c r="S395" s="1">
        <v>68</v>
      </c>
      <c r="T395" s="1">
        <v>0</v>
      </c>
      <c r="U395" s="1">
        <f>Games[[#This Row],[PointsFor]]-Games[[#This Row],[PointsAgainst]]</f>
        <v>-4</v>
      </c>
      <c r="V395" s="1">
        <f>IF(Games[[#This Row],[MOV]]&gt;0,1,IF(Games[[#This Row],[MOV]]=0,0.5,0))</f>
        <v>0</v>
      </c>
      <c r="W395" s="4">
        <f>((ABS(Games[[#This Row],[MOV]])+5)^0.6)/(12+0.01*(ABS(Games[[#This Row],[PreGmRate]]-Games[[#This Row],[OppPreGmRate]])))*IF(Games[[#This Row],[OT]]=1,0.9,1)</f>
        <v>0.27419429107194443</v>
      </c>
      <c r="X395" s="7" cm="1">
        <f t="array" ref="X39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5" s="9">
        <f>MAX(kmin, kmax - 0.15 * MIN(Games[[#This Row],[GamesPlayed]], 82))</f>
        <v>71.05</v>
      </c>
      <c r="Z395" s="4">
        <f>Games[[#This Row],[K]]*Games[[#This Row],[POMult]]</f>
        <v>71.05</v>
      </c>
      <c r="AA395" s="4">
        <f>(Games[[#This Row],[Keff]]*Games[[#This Row],[MOVMult]])*(Games[[#This Row],[Result]]-Games[[#This Row],[ExpectedWin%]])</f>
        <v>-7.5640268298247664</v>
      </c>
      <c r="AB395" s="4">
        <f>Games[[#This Row],[PreGmRate]]+Games[[#This Row],[RatingChange]]</f>
        <v>1445.2327948105942</v>
      </c>
      <c r="AC395" s="2">
        <f>IF(Games[[#This Row],[Type]]="R",IF(Games[[#This Row],[Result]]&gt;0.5,1,0),0)</f>
        <v>0</v>
      </c>
      <c r="AD395" s="2">
        <f>IF(Games[[#This Row],[Type]]="R",IF(Games[[#This Row],[Result]]&lt;0.5,1,0),0)</f>
        <v>1</v>
      </c>
      <c r="AE395" s="2">
        <f>IF(AND(Games[[#This Row],[Type]]="P",Games[[#This Row],[Round]]=1),IF(Games[[#This Row],[Result]]&gt;0.5,1,0),0)</f>
        <v>0</v>
      </c>
      <c r="AF395" s="2">
        <f>IF(AND(Games[[#This Row],[Type]]="P",Games[[#This Row],[Round]]=1),IF(Games[[#This Row],[Result]]&lt;0.5,1,0),0)</f>
        <v>0</v>
      </c>
      <c r="AG395" s="2">
        <f>IF(AND(Games[[#This Row],[Type]]="P",Games[[#This Row],[Round]]=2),IF(Games[[#This Row],[Result]]&gt;0.5,1,0),0)</f>
        <v>0</v>
      </c>
      <c r="AH395" s="2">
        <f>IF(AND(Games[[#This Row],[Type]]="P",Games[[#This Row],[Round]]=2),IF(Games[[#This Row],[Result]]&lt;0.5,1,0),0)</f>
        <v>0</v>
      </c>
      <c r="AI395" s="2">
        <f>IF(AND(Games[[#This Row],[Type]]="P",Games[[#This Row],[Round]]=3),IF(Games[[#This Row],[Result]]&gt;0.5,1,0),0)</f>
        <v>0</v>
      </c>
      <c r="AJ395" s="2">
        <f>IF(AND(Games[[#This Row],[Type]]="P",Games[[#This Row],[Round]]=3),IF(Games[[#This Row],[Result]]&lt;0.5,1,0),0)</f>
        <v>0</v>
      </c>
      <c r="AK395" s="2">
        <f>IF(AND(Games[[#This Row],[Type]]="P",Games[[#This Row],[Round]]=4),IF(Games[[#This Row],[Result]]&gt;0.5,1,0),0)</f>
        <v>0</v>
      </c>
      <c r="AL395" s="2">
        <f>IF(AND(Games[[#This Row],[Type]]="P",Games[[#This Row],[Round]]=4),IF(Games[[#This Row],[Result]]&lt;0.5,1,0),0)</f>
        <v>0</v>
      </c>
    </row>
    <row r="396" spans="1:38" x14ac:dyDescent="0.35">
      <c r="A396" s="10">
        <v>45161</v>
      </c>
      <c r="B396" s="2">
        <v>2023</v>
      </c>
      <c r="C396" s="2">
        <f>COUNTIFS(Games[Team],Games[[#This Row],[Team]],Games[Season],Games[[#This Row],[Season]],Games[Date],"&lt;=" &amp; Games[[#This Row],[Date]])</f>
        <v>33</v>
      </c>
      <c r="D396" s="2" t="s">
        <v>79</v>
      </c>
      <c r="E396" s="2" t="s">
        <v>80</v>
      </c>
      <c r="F396" s="1" t="s">
        <v>40</v>
      </c>
      <c r="G396" s="1" t="s">
        <v>63</v>
      </c>
      <c r="H396" s="1" t="s">
        <v>81</v>
      </c>
      <c r="I396" s="2" cm="1">
        <f t="array" ref="I39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6" s="2" cm="1">
        <f t="array" ref="J39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96" s="2">
        <f>Games[[#This Row],[DaysOff]]-Games[[#This Row],[OppDaysOff]]</f>
        <v>-1</v>
      </c>
      <c r="L396" s="2">
        <f>Games[[#This Row],[OppDaysOff]]-Games[[#This Row],[DaysOff]]</f>
        <v>1</v>
      </c>
      <c r="M396" s="1">
        <f>MAX(-16, MIN(16, Games[[#This Row],[RestDiff]]*8))</f>
        <v>-8</v>
      </c>
      <c r="N396" s="1">
        <f>MAX(-16, MIN(16, Games[[#This Row],[OppRestDiff]]*8))</f>
        <v>8</v>
      </c>
      <c r="O396" s="4" cm="1">
        <f t="array" ref="O3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1360.4401823344194</v>
      </c>
      <c r="P396" s="4" cm="1">
        <f t="array" ref="P3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1434.8039191841378</v>
      </c>
      <c r="Q396" s="4">
        <f>1/(1+10^(((Games[[#This Row],[OppPreGmRate]]+IF(Games[[#This Row],[HomeAway]]="A",HCA,0)+Games[[#This Row],[OppRestAdj]])-(Games[[#This Row],[PreGmRate]]+IF(Games[[#This Row],[HomeAway]]="H",HCA,0)+Games[[#This Row],[RestAdj]]))/400))</f>
        <v>0.26821097719209186</v>
      </c>
      <c r="R396" s="1">
        <v>62</v>
      </c>
      <c r="S396" s="1">
        <v>91</v>
      </c>
      <c r="T396" s="1">
        <v>0</v>
      </c>
      <c r="U396" s="1">
        <f>Games[[#This Row],[PointsFor]]-Games[[#This Row],[PointsAgainst]]</f>
        <v>-29</v>
      </c>
      <c r="V396" s="1">
        <f>IF(Games[[#This Row],[MOV]]&gt;0,1,IF(Games[[#This Row],[MOV]]=0,0.5,0))</f>
        <v>0</v>
      </c>
      <c r="W396" s="4">
        <f>((ABS(Games[[#This Row],[MOV]])+5)^0.6)/(12+0.01*(ABS(Games[[#This Row],[PreGmRate]]-Games[[#This Row],[OppPreGmRate]])))*IF(Games[[#This Row],[OT]]=1,0.9,1)</f>
        <v>0.65101942249551426</v>
      </c>
      <c r="X396" s="7" cm="1">
        <f t="array" ref="X39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6" s="9">
        <f>MAX(kmin, kmax - 0.15 * MIN(Games[[#This Row],[GamesPlayed]], 82))</f>
        <v>71.05</v>
      </c>
      <c r="Z396" s="4">
        <f>Games[[#This Row],[K]]*Games[[#This Row],[POMult]]</f>
        <v>71.05</v>
      </c>
      <c r="AA396" s="4">
        <f>(Games[[#This Row],[Keff]]*Games[[#This Row],[MOVMult]])*(Games[[#This Row],[Result]]-Games[[#This Row],[ExpectedWin%]])</f>
        <v>-12.406079966751204</v>
      </c>
      <c r="AB396" s="4">
        <f>Games[[#This Row],[PreGmRate]]+Games[[#This Row],[RatingChange]]</f>
        <v>1348.0341023676683</v>
      </c>
      <c r="AC396" s="2">
        <f>IF(Games[[#This Row],[Type]]="R",IF(Games[[#This Row],[Result]]&gt;0.5,1,0),0)</f>
        <v>0</v>
      </c>
      <c r="AD396" s="2">
        <f>IF(Games[[#This Row],[Type]]="R",IF(Games[[#This Row],[Result]]&lt;0.5,1,0),0)</f>
        <v>1</v>
      </c>
      <c r="AE396" s="2">
        <f>IF(AND(Games[[#This Row],[Type]]="P",Games[[#This Row],[Round]]=1),IF(Games[[#This Row],[Result]]&gt;0.5,1,0),0)</f>
        <v>0</v>
      </c>
      <c r="AF396" s="2">
        <f>IF(AND(Games[[#This Row],[Type]]="P",Games[[#This Row],[Round]]=1),IF(Games[[#This Row],[Result]]&lt;0.5,1,0),0)</f>
        <v>0</v>
      </c>
      <c r="AG396" s="2">
        <f>IF(AND(Games[[#This Row],[Type]]="P",Games[[#This Row],[Round]]=2),IF(Games[[#This Row],[Result]]&gt;0.5,1,0),0)</f>
        <v>0</v>
      </c>
      <c r="AH396" s="2">
        <f>IF(AND(Games[[#This Row],[Type]]="P",Games[[#This Row],[Round]]=2),IF(Games[[#This Row],[Result]]&lt;0.5,1,0),0)</f>
        <v>0</v>
      </c>
      <c r="AI396" s="2">
        <f>IF(AND(Games[[#This Row],[Type]]="P",Games[[#This Row],[Round]]=3),IF(Games[[#This Row],[Result]]&gt;0.5,1,0),0)</f>
        <v>0</v>
      </c>
      <c r="AJ396" s="2">
        <f>IF(AND(Games[[#This Row],[Type]]="P",Games[[#This Row],[Round]]=3),IF(Games[[#This Row],[Result]]&lt;0.5,1,0),0)</f>
        <v>0</v>
      </c>
      <c r="AK396" s="2">
        <f>IF(AND(Games[[#This Row],[Type]]="P",Games[[#This Row],[Round]]=4),IF(Games[[#This Row],[Result]]&gt;0.5,1,0),0)</f>
        <v>0</v>
      </c>
      <c r="AL396" s="2">
        <f>IF(AND(Games[[#This Row],[Type]]="P",Games[[#This Row],[Round]]=4),IF(Games[[#This Row],[Result]]&lt;0.5,1,0),0)</f>
        <v>0</v>
      </c>
    </row>
    <row r="397" spans="1:38" x14ac:dyDescent="0.35">
      <c r="A397" s="10">
        <v>45161</v>
      </c>
      <c r="B397" s="2">
        <v>2023</v>
      </c>
      <c r="C397" s="2">
        <f>COUNTIFS(Games[Team],Games[[#This Row],[Team]],Games[Season],Games[[#This Row],[Season]],Games[Date],"&lt;=" &amp; Games[[#This Row],[Date]])</f>
        <v>32</v>
      </c>
      <c r="D397" s="2" t="s">
        <v>79</v>
      </c>
      <c r="E397" s="2" t="s">
        <v>80</v>
      </c>
      <c r="F397" s="1" t="s">
        <v>63</v>
      </c>
      <c r="G397" s="1" t="s">
        <v>40</v>
      </c>
      <c r="H397" s="1" t="s">
        <v>82</v>
      </c>
      <c r="I397" s="2" cm="1">
        <f t="array" ref="I397">IFERROR(
    Games[[#This Row],[Date]]
    - LOOKUP(
        2,
        1/((Games[Team]=Games[[#This Row],[Team]]) * (Games[Date] &lt; Games[[#This Row],[Date]])),
        Games[Date]
    )
    - 1,
Games[[#This Row],[Date]]-$A$2)</f>
        <v>3</v>
      </c>
      <c r="J397" s="2" cm="1">
        <f t="array" ref="J39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7" s="2">
        <f>Games[[#This Row],[DaysOff]]-Games[[#This Row],[OppDaysOff]]</f>
        <v>1</v>
      </c>
      <c r="L397" s="2">
        <f>Games[[#This Row],[OppDaysOff]]-Games[[#This Row],[DaysOff]]</f>
        <v>-1</v>
      </c>
      <c r="M397" s="1">
        <f>MAX(-16, MIN(16, Games[[#This Row],[RestDiff]]*8))</f>
        <v>8</v>
      </c>
      <c r="N397" s="1">
        <f>MAX(-16, MIN(16, Games[[#This Row],[OppRestDiff]]*8))</f>
        <v>-8</v>
      </c>
      <c r="O397" s="4" cm="1">
        <f t="array" ref="O3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1434.8039191841378</v>
      </c>
      <c r="P397" s="4" cm="1">
        <f t="array" ref="P3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1360.4401823344194</v>
      </c>
      <c r="Q397" s="4">
        <f>1/(1+10^(((Games[[#This Row],[OppPreGmRate]]+IF(Games[[#This Row],[HomeAway]]="A",HCA,0)+Games[[#This Row],[OppRestAdj]])-(Games[[#This Row],[PreGmRate]]+IF(Games[[#This Row],[HomeAway]]="H",HCA,0)+Games[[#This Row],[RestAdj]]))/400))</f>
        <v>0.73178902280790814</v>
      </c>
      <c r="R397" s="1">
        <v>91</v>
      </c>
      <c r="S397" s="1">
        <v>62</v>
      </c>
      <c r="T397" s="1">
        <v>0</v>
      </c>
      <c r="U397" s="1">
        <f>Games[[#This Row],[PointsFor]]-Games[[#This Row],[PointsAgainst]]</f>
        <v>29</v>
      </c>
      <c r="V397" s="1">
        <f>IF(Games[[#This Row],[MOV]]&gt;0,1,IF(Games[[#This Row],[MOV]]=0,0.5,0))</f>
        <v>1</v>
      </c>
      <c r="W397" s="4">
        <f>((ABS(Games[[#This Row],[MOV]])+5)^0.6)/(12+0.01*(ABS(Games[[#This Row],[PreGmRate]]-Games[[#This Row],[OppPreGmRate]])))*IF(Games[[#This Row],[OT]]=1,0.9,1)</f>
        <v>0.65101942249551426</v>
      </c>
      <c r="X397" s="7" cm="1">
        <f t="array" ref="X39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7" s="9">
        <f>MAX(kmin, kmax - 0.15 * MIN(Games[[#This Row],[GamesPlayed]], 82))</f>
        <v>71.2</v>
      </c>
      <c r="Z397" s="4">
        <f>Games[[#This Row],[K]]*Games[[#This Row],[POMult]]</f>
        <v>71.2</v>
      </c>
      <c r="AA397" s="4">
        <f>(Games[[#This Row],[Keff]]*Games[[#This Row],[MOVMult]])*(Games[[#This Row],[Result]]-Games[[#This Row],[ExpectedWin%]])</f>
        <v>12.432271550072988</v>
      </c>
      <c r="AB397" s="4">
        <f>Games[[#This Row],[PreGmRate]]+Games[[#This Row],[RatingChange]]</f>
        <v>1447.2361907342108</v>
      </c>
      <c r="AC397" s="2">
        <f>IF(Games[[#This Row],[Type]]="R",IF(Games[[#This Row],[Result]]&gt;0.5,1,0),0)</f>
        <v>1</v>
      </c>
      <c r="AD397" s="2">
        <f>IF(Games[[#This Row],[Type]]="R",IF(Games[[#This Row],[Result]]&lt;0.5,1,0),0)</f>
        <v>0</v>
      </c>
      <c r="AE397" s="2">
        <f>IF(AND(Games[[#This Row],[Type]]="P",Games[[#This Row],[Round]]=1),IF(Games[[#This Row],[Result]]&gt;0.5,1,0),0)</f>
        <v>0</v>
      </c>
      <c r="AF397" s="2">
        <f>IF(AND(Games[[#This Row],[Type]]="P",Games[[#This Row],[Round]]=1),IF(Games[[#This Row],[Result]]&lt;0.5,1,0),0)</f>
        <v>0</v>
      </c>
      <c r="AG397" s="2">
        <f>IF(AND(Games[[#This Row],[Type]]="P",Games[[#This Row],[Round]]=2),IF(Games[[#This Row],[Result]]&gt;0.5,1,0),0)</f>
        <v>0</v>
      </c>
      <c r="AH397" s="2">
        <f>IF(AND(Games[[#This Row],[Type]]="P",Games[[#This Row],[Round]]=2),IF(Games[[#This Row],[Result]]&lt;0.5,1,0),0)</f>
        <v>0</v>
      </c>
      <c r="AI397" s="2">
        <f>IF(AND(Games[[#This Row],[Type]]="P",Games[[#This Row],[Round]]=3),IF(Games[[#This Row],[Result]]&gt;0.5,1,0),0)</f>
        <v>0</v>
      </c>
      <c r="AJ397" s="2">
        <f>IF(AND(Games[[#This Row],[Type]]="P",Games[[#This Row],[Round]]=3),IF(Games[[#This Row],[Result]]&lt;0.5,1,0),0)</f>
        <v>0</v>
      </c>
      <c r="AK397" s="2">
        <f>IF(AND(Games[[#This Row],[Type]]="P",Games[[#This Row],[Round]]=4),IF(Games[[#This Row],[Result]]&gt;0.5,1,0),0)</f>
        <v>0</v>
      </c>
      <c r="AL397" s="2">
        <f>IF(AND(Games[[#This Row],[Type]]="P",Games[[#This Row],[Round]]=4),IF(Games[[#This Row],[Result]]&lt;0.5,1,0),0)</f>
        <v>0</v>
      </c>
    </row>
    <row r="398" spans="1:38" x14ac:dyDescent="0.35">
      <c r="A398" s="10">
        <v>45162</v>
      </c>
      <c r="B398" s="2">
        <v>2023</v>
      </c>
      <c r="C398" s="2">
        <f>COUNTIFS(Games[Team],Games[[#This Row],[Team]],Games[Season],Games[[#This Row],[Season]],Games[Date],"&lt;=" &amp; Games[[#This Row],[Date]])</f>
        <v>35</v>
      </c>
      <c r="D398" s="2" t="s">
        <v>79</v>
      </c>
      <c r="E398" s="2" t="s">
        <v>80</v>
      </c>
      <c r="F398" s="1" t="s">
        <v>86</v>
      </c>
      <c r="G398" s="1" t="s">
        <v>75</v>
      </c>
      <c r="H398" s="1" t="s">
        <v>81</v>
      </c>
      <c r="I398" s="2" cm="1">
        <f t="array" ref="I3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8" s="2" cm="1">
        <f t="array" ref="J3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8" s="2">
        <f>Games[[#This Row],[DaysOff]]-Games[[#This Row],[OppDaysOff]]</f>
        <v>0</v>
      </c>
      <c r="L398" s="2">
        <f>Games[[#This Row],[OppDaysOff]]-Games[[#This Row],[DaysOff]]</f>
        <v>0</v>
      </c>
      <c r="M398" s="1">
        <f>MAX(-16, MIN(16, Games[[#This Row],[RestDiff]]*8))</f>
        <v>0</v>
      </c>
      <c r="N398" s="1">
        <f>MAX(-16, MIN(16, Games[[#This Row],[OppRestDiff]]*8))</f>
        <v>0</v>
      </c>
      <c r="O398" s="4" cm="1">
        <f t="array" ref="O3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1725.4578864057792</v>
      </c>
      <c r="P398" s="4" cm="1">
        <f t="array" ref="P3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1452.4411520359149</v>
      </c>
      <c r="Q398" s="4">
        <f>1/(1+10^(((Games[[#This Row],[OppPreGmRate]]+IF(Games[[#This Row],[HomeAway]]="A",HCA,0)+Games[[#This Row],[OppRestAdj]])-(Games[[#This Row],[PreGmRate]]+IF(Games[[#This Row],[HomeAway]]="H",HCA,0)+Games[[#This Row],[RestAdj]]))/400))</f>
        <v>0.74801769875022073</v>
      </c>
      <c r="R398" s="1">
        <v>94</v>
      </c>
      <c r="S398" s="1">
        <v>87</v>
      </c>
      <c r="T398" s="1">
        <v>0</v>
      </c>
      <c r="U398" s="1">
        <f>Games[[#This Row],[PointsFor]]-Games[[#This Row],[PointsAgainst]]</f>
        <v>7</v>
      </c>
      <c r="V398" s="1">
        <f>IF(Games[[#This Row],[MOV]]&gt;0,1,IF(Games[[#This Row],[MOV]]=0,0.5,0))</f>
        <v>1</v>
      </c>
      <c r="W398" s="4">
        <f>((ABS(Games[[#This Row],[MOV]])+5)^0.6)/(12+0.01*(ABS(Games[[#This Row],[PreGmRate]]-Games[[#This Row],[OppPreGmRate]])))*IF(Games[[#This Row],[OT]]=1,0.9,1)</f>
        <v>0.30150954610476705</v>
      </c>
      <c r="X398" s="7" cm="1">
        <f t="array" ref="X39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8" s="9">
        <f>MAX(kmin, kmax - 0.15 * MIN(Games[[#This Row],[GamesPlayed]], 82))</f>
        <v>70.75</v>
      </c>
      <c r="Z398" s="4">
        <f>Games[[#This Row],[K]]*Games[[#This Row],[POMult]]</f>
        <v>70.75</v>
      </c>
      <c r="AA398" s="4">
        <f>(Games[[#This Row],[Keff]]*Games[[#This Row],[MOVMult]])*(Games[[#This Row],[Result]]-Games[[#This Row],[ExpectedWin%]])</f>
        <v>5.375236151295085</v>
      </c>
      <c r="AB398" s="4">
        <f>Games[[#This Row],[PreGmRate]]+Games[[#This Row],[RatingChange]]</f>
        <v>1730.8331225570741</v>
      </c>
      <c r="AC398" s="2">
        <f>IF(Games[[#This Row],[Type]]="R",IF(Games[[#This Row],[Result]]&gt;0.5,1,0),0)</f>
        <v>1</v>
      </c>
      <c r="AD398" s="2">
        <f>IF(Games[[#This Row],[Type]]="R",IF(Games[[#This Row],[Result]]&lt;0.5,1,0),0)</f>
        <v>0</v>
      </c>
      <c r="AE398" s="2">
        <f>IF(AND(Games[[#This Row],[Type]]="P",Games[[#This Row],[Round]]=1),IF(Games[[#This Row],[Result]]&gt;0.5,1,0),0)</f>
        <v>0</v>
      </c>
      <c r="AF398" s="2">
        <f>IF(AND(Games[[#This Row],[Type]]="P",Games[[#This Row],[Round]]=1),IF(Games[[#This Row],[Result]]&lt;0.5,1,0),0)</f>
        <v>0</v>
      </c>
      <c r="AG398" s="2">
        <f>IF(AND(Games[[#This Row],[Type]]="P",Games[[#This Row],[Round]]=2),IF(Games[[#This Row],[Result]]&gt;0.5,1,0),0)</f>
        <v>0</v>
      </c>
      <c r="AH398" s="2">
        <f>IF(AND(Games[[#This Row],[Type]]="P",Games[[#This Row],[Round]]=2),IF(Games[[#This Row],[Result]]&lt;0.5,1,0),0)</f>
        <v>0</v>
      </c>
      <c r="AI398" s="2">
        <f>IF(AND(Games[[#This Row],[Type]]="P",Games[[#This Row],[Round]]=3),IF(Games[[#This Row],[Result]]&gt;0.5,1,0),0)</f>
        <v>0</v>
      </c>
      <c r="AJ398" s="2">
        <f>IF(AND(Games[[#This Row],[Type]]="P",Games[[#This Row],[Round]]=3),IF(Games[[#This Row],[Result]]&lt;0.5,1,0),0)</f>
        <v>0</v>
      </c>
      <c r="AK398" s="2">
        <f>IF(AND(Games[[#This Row],[Type]]="P",Games[[#This Row],[Round]]=4),IF(Games[[#This Row],[Result]]&gt;0.5,1,0),0)</f>
        <v>0</v>
      </c>
      <c r="AL398" s="2">
        <f>IF(AND(Games[[#This Row],[Type]]="P",Games[[#This Row],[Round]]=4),IF(Games[[#This Row],[Result]]&lt;0.5,1,0),0)</f>
        <v>0</v>
      </c>
    </row>
    <row r="399" spans="1:38" x14ac:dyDescent="0.35">
      <c r="A399" s="10">
        <v>45162</v>
      </c>
      <c r="B399" s="2">
        <v>2023</v>
      </c>
      <c r="C399" s="2">
        <f>COUNTIFS(Games[Team],Games[[#This Row],[Team]],Games[Season],Games[[#This Row],[Season]],Games[Date],"&lt;=" &amp; Games[[#This Row],[Date]])</f>
        <v>34</v>
      </c>
      <c r="D399" s="2" t="s">
        <v>79</v>
      </c>
      <c r="E399" s="2" t="s">
        <v>80</v>
      </c>
      <c r="F399" s="1" t="s">
        <v>75</v>
      </c>
      <c r="G399" s="1" t="s">
        <v>86</v>
      </c>
      <c r="H399" s="1" t="s">
        <v>82</v>
      </c>
      <c r="I399" s="2" cm="1">
        <f t="array" ref="I3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9" s="2" cm="1">
        <f t="array" ref="J3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9" s="2">
        <f>Games[[#This Row],[DaysOff]]-Games[[#This Row],[OppDaysOff]]</f>
        <v>0</v>
      </c>
      <c r="L399" s="2">
        <f>Games[[#This Row],[OppDaysOff]]-Games[[#This Row],[DaysOff]]</f>
        <v>0</v>
      </c>
      <c r="M399" s="1">
        <f>MAX(-16, MIN(16, Games[[#This Row],[RestDiff]]*8))</f>
        <v>0</v>
      </c>
      <c r="N399" s="1">
        <f>MAX(-16, MIN(16, Games[[#This Row],[OppRestDiff]]*8))</f>
        <v>0</v>
      </c>
      <c r="O399" s="4" cm="1">
        <f t="array" ref="O3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1452.4411520359149</v>
      </c>
      <c r="P399" s="4" cm="1">
        <f t="array" ref="P3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1725.4578864057792</v>
      </c>
      <c r="Q399" s="4">
        <f>1/(1+10^(((Games[[#This Row],[OppPreGmRate]]+IF(Games[[#This Row],[HomeAway]]="A",HCA,0)+Games[[#This Row],[OppRestAdj]])-(Games[[#This Row],[PreGmRate]]+IF(Games[[#This Row],[HomeAway]]="H",HCA,0)+Games[[#This Row],[RestAdj]]))/400))</f>
        <v>0.25198230124977922</v>
      </c>
      <c r="R399" s="1">
        <v>87</v>
      </c>
      <c r="S399" s="1">
        <v>94</v>
      </c>
      <c r="T399" s="1">
        <v>0</v>
      </c>
      <c r="U399" s="1">
        <f>Games[[#This Row],[PointsFor]]-Games[[#This Row],[PointsAgainst]]</f>
        <v>-7</v>
      </c>
      <c r="V399" s="1">
        <f>IF(Games[[#This Row],[MOV]]&gt;0,1,IF(Games[[#This Row],[MOV]]=0,0.5,0))</f>
        <v>0</v>
      </c>
      <c r="W399" s="4">
        <f>((ABS(Games[[#This Row],[MOV]])+5)^0.6)/(12+0.01*(ABS(Games[[#This Row],[PreGmRate]]-Games[[#This Row],[OppPreGmRate]])))*IF(Games[[#This Row],[OT]]=1,0.9,1)</f>
        <v>0.30150954610476705</v>
      </c>
      <c r="X399" s="7" cm="1">
        <f t="array" ref="X39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9" s="9">
        <f>MAX(kmin, kmax - 0.15 * MIN(Games[[#This Row],[GamesPlayed]], 82))</f>
        <v>70.900000000000006</v>
      </c>
      <c r="Z399" s="4">
        <f>Games[[#This Row],[K]]*Games[[#This Row],[POMult]]</f>
        <v>70.900000000000006</v>
      </c>
      <c r="AA399" s="4">
        <f>(Games[[#This Row],[Keff]]*Games[[#This Row],[MOVMult]])*(Games[[#This Row],[Result]]-Games[[#This Row],[ExpectedWin%]])</f>
        <v>-5.3866324116865227</v>
      </c>
      <c r="AB399" s="4">
        <f>Games[[#This Row],[PreGmRate]]+Games[[#This Row],[RatingChange]]</f>
        <v>1447.0545196242283</v>
      </c>
      <c r="AC399" s="2">
        <f>IF(Games[[#This Row],[Type]]="R",IF(Games[[#This Row],[Result]]&gt;0.5,1,0),0)</f>
        <v>0</v>
      </c>
      <c r="AD399" s="2">
        <f>IF(Games[[#This Row],[Type]]="R",IF(Games[[#This Row],[Result]]&lt;0.5,1,0),0)</f>
        <v>1</v>
      </c>
      <c r="AE399" s="2">
        <f>IF(AND(Games[[#This Row],[Type]]="P",Games[[#This Row],[Round]]=1),IF(Games[[#This Row],[Result]]&gt;0.5,1,0),0)</f>
        <v>0</v>
      </c>
      <c r="AF399" s="2">
        <f>IF(AND(Games[[#This Row],[Type]]="P",Games[[#This Row],[Round]]=1),IF(Games[[#This Row],[Result]]&lt;0.5,1,0),0)</f>
        <v>0</v>
      </c>
      <c r="AG399" s="2">
        <f>IF(AND(Games[[#This Row],[Type]]="P",Games[[#This Row],[Round]]=2),IF(Games[[#This Row],[Result]]&gt;0.5,1,0),0)</f>
        <v>0</v>
      </c>
      <c r="AH399" s="2">
        <f>IF(AND(Games[[#This Row],[Type]]="P",Games[[#This Row],[Round]]=2),IF(Games[[#This Row],[Result]]&lt;0.5,1,0),0)</f>
        <v>0</v>
      </c>
      <c r="AI399" s="2">
        <f>IF(AND(Games[[#This Row],[Type]]="P",Games[[#This Row],[Round]]=3),IF(Games[[#This Row],[Result]]&gt;0.5,1,0),0)</f>
        <v>0</v>
      </c>
      <c r="AJ399" s="2">
        <f>IF(AND(Games[[#This Row],[Type]]="P",Games[[#This Row],[Round]]=3),IF(Games[[#This Row],[Result]]&lt;0.5,1,0),0)</f>
        <v>0</v>
      </c>
      <c r="AK399" s="2">
        <f>IF(AND(Games[[#This Row],[Type]]="P",Games[[#This Row],[Round]]=4),IF(Games[[#This Row],[Result]]&gt;0.5,1,0),0)</f>
        <v>0</v>
      </c>
      <c r="AL399" s="2">
        <f>IF(AND(Games[[#This Row],[Type]]="P",Games[[#This Row],[Round]]=4),IF(Games[[#This Row],[Result]]&lt;0.5,1,0),0)</f>
        <v>0</v>
      </c>
    </row>
    <row r="400" spans="1:38" x14ac:dyDescent="0.35">
      <c r="A400" s="10">
        <v>45162</v>
      </c>
      <c r="B400" s="2">
        <v>2023</v>
      </c>
      <c r="C400" s="2">
        <f>COUNTIFS(Games[Team],Games[[#This Row],[Team]],Games[Season],Games[[#This Row],[Season]],Games[Date],"&lt;=" &amp; Games[[#This Row],[Date]])</f>
        <v>34</v>
      </c>
      <c r="D400" s="2" t="s">
        <v>79</v>
      </c>
      <c r="E400" s="2" t="s">
        <v>80</v>
      </c>
      <c r="F400" s="1" t="s">
        <v>60</v>
      </c>
      <c r="G400" s="1" t="s">
        <v>74</v>
      </c>
      <c r="H400" s="1" t="s">
        <v>81</v>
      </c>
      <c r="I400" s="2" cm="1">
        <f t="array" ref="I400">IFERROR(
    Games[[#This Row],[Date]]
    - LOOKUP(
        2,
        1/((Games[Team]=Games[[#This Row],[Team]]) * (Games[Date] &lt; Games[[#This Row],[Date]])),
        Games[Date]
    )
    - 1,
Games[[#This Row],[Date]]-$A$2)</f>
        <v>5</v>
      </c>
      <c r="J400" s="2" cm="1">
        <f t="array" ref="J4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0" s="2">
        <f>Games[[#This Row],[DaysOff]]-Games[[#This Row],[OppDaysOff]]</f>
        <v>4</v>
      </c>
      <c r="L400" s="2">
        <f>Games[[#This Row],[OppDaysOff]]-Games[[#This Row],[DaysOff]]</f>
        <v>-4</v>
      </c>
      <c r="M400" s="1">
        <f>MAX(-16, MIN(16, Games[[#This Row],[RestDiff]]*8))</f>
        <v>16</v>
      </c>
      <c r="N400" s="1">
        <f>MAX(-16, MIN(16, Games[[#This Row],[OppRestDiff]]*8))</f>
        <v>-16</v>
      </c>
      <c r="O400" s="4" cm="1">
        <f t="array" ref="O4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1693.4026921144305</v>
      </c>
      <c r="P400" s="4" cm="1">
        <f t="array" ref="P4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1623.3333612225131</v>
      </c>
      <c r="Q400" s="4">
        <f>1/(1+10^(((Games[[#This Row],[OppPreGmRate]]+IF(Games[[#This Row],[HomeAway]]="A",HCA,0)+Games[[#This Row],[OppRestAdj]])-(Games[[#This Row],[PreGmRate]]+IF(Games[[#This Row],[HomeAway]]="H",HCA,0)+Games[[#This Row],[RestAdj]]))/400))</f>
        <v>0.52598043770925673</v>
      </c>
      <c r="R400" s="1">
        <v>95</v>
      </c>
      <c r="S400" s="1">
        <v>90</v>
      </c>
      <c r="T400" s="1">
        <v>1</v>
      </c>
      <c r="U400" s="1">
        <f>Games[[#This Row],[PointsFor]]-Games[[#This Row],[PointsAgainst]]</f>
        <v>5</v>
      </c>
      <c r="V400" s="1">
        <f>IF(Games[[#This Row],[MOV]]&gt;0,1,IF(Games[[#This Row],[MOV]]=0,0.5,0))</f>
        <v>1</v>
      </c>
      <c r="W400" s="4">
        <f>((ABS(Games[[#This Row],[MOV]])+5)^0.6)/(12+0.01*(ABS(Games[[#This Row],[PreGmRate]]-Games[[#This Row],[OppPreGmRate]])))*IF(Games[[#This Row],[OT]]=1,0.9,1)</f>
        <v>0.28210779111289203</v>
      </c>
      <c r="X400" s="7" cm="1">
        <f t="array" ref="X40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0" s="9">
        <f>MAX(kmin, kmax - 0.15 * MIN(Games[[#This Row],[GamesPlayed]], 82))</f>
        <v>70.900000000000006</v>
      </c>
      <c r="Z400" s="4">
        <f>Games[[#This Row],[K]]*Games[[#This Row],[POMult]]</f>
        <v>70.900000000000006</v>
      </c>
      <c r="AA400" s="4">
        <f>(Games[[#This Row],[Keff]]*Games[[#This Row],[MOVMult]])*(Games[[#This Row],[Result]]-Games[[#This Row],[ExpectedWin%]])</f>
        <v>9.4810749668458332</v>
      </c>
      <c r="AB400" s="4">
        <f>Games[[#This Row],[PreGmRate]]+Games[[#This Row],[RatingChange]]</f>
        <v>1702.8837670812763</v>
      </c>
      <c r="AC400" s="2">
        <f>IF(Games[[#This Row],[Type]]="R",IF(Games[[#This Row],[Result]]&gt;0.5,1,0),0)</f>
        <v>1</v>
      </c>
      <c r="AD400" s="2">
        <f>IF(Games[[#This Row],[Type]]="R",IF(Games[[#This Row],[Result]]&lt;0.5,1,0),0)</f>
        <v>0</v>
      </c>
      <c r="AE400" s="2">
        <f>IF(AND(Games[[#This Row],[Type]]="P",Games[[#This Row],[Round]]=1),IF(Games[[#This Row],[Result]]&gt;0.5,1,0),0)</f>
        <v>0</v>
      </c>
      <c r="AF400" s="2">
        <f>IF(AND(Games[[#This Row],[Type]]="P",Games[[#This Row],[Round]]=1),IF(Games[[#This Row],[Result]]&lt;0.5,1,0),0)</f>
        <v>0</v>
      </c>
      <c r="AG400" s="2">
        <f>IF(AND(Games[[#This Row],[Type]]="P",Games[[#This Row],[Round]]=2),IF(Games[[#This Row],[Result]]&gt;0.5,1,0),0)</f>
        <v>0</v>
      </c>
      <c r="AH400" s="2">
        <f>IF(AND(Games[[#This Row],[Type]]="P",Games[[#This Row],[Round]]=2),IF(Games[[#This Row],[Result]]&lt;0.5,1,0),0)</f>
        <v>0</v>
      </c>
      <c r="AI400" s="2">
        <f>IF(AND(Games[[#This Row],[Type]]="P",Games[[#This Row],[Round]]=3),IF(Games[[#This Row],[Result]]&gt;0.5,1,0),0)</f>
        <v>0</v>
      </c>
      <c r="AJ400" s="2">
        <f>IF(AND(Games[[#This Row],[Type]]="P",Games[[#This Row],[Round]]=3),IF(Games[[#This Row],[Result]]&lt;0.5,1,0),0)</f>
        <v>0</v>
      </c>
      <c r="AK400" s="2">
        <f>IF(AND(Games[[#This Row],[Type]]="P",Games[[#This Row],[Round]]=4),IF(Games[[#This Row],[Result]]&gt;0.5,1,0),0)</f>
        <v>0</v>
      </c>
      <c r="AL400" s="2">
        <f>IF(AND(Games[[#This Row],[Type]]="P",Games[[#This Row],[Round]]=4),IF(Games[[#This Row],[Result]]&lt;0.5,1,0),0)</f>
        <v>0</v>
      </c>
    </row>
    <row r="401" spans="1:38" x14ac:dyDescent="0.35">
      <c r="A401" s="10">
        <v>45162</v>
      </c>
      <c r="B401" s="2">
        <v>2023</v>
      </c>
      <c r="C401" s="2">
        <f>COUNTIFS(Games[Team],Games[[#This Row],[Team]],Games[Season],Games[[#This Row],[Season]],Games[Date],"&lt;=" &amp; Games[[#This Row],[Date]])</f>
        <v>34</v>
      </c>
      <c r="D401" s="2" t="s">
        <v>79</v>
      </c>
      <c r="E401" s="2" t="s">
        <v>80</v>
      </c>
      <c r="F401" s="1" t="s">
        <v>74</v>
      </c>
      <c r="G401" s="1" t="s">
        <v>60</v>
      </c>
      <c r="H401" s="1" t="s">
        <v>82</v>
      </c>
      <c r="I401" s="2" cm="1">
        <f t="array" ref="I4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1" s="2" cm="1">
        <f t="array" ref="J40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01" s="2">
        <f>Games[[#This Row],[DaysOff]]-Games[[#This Row],[OppDaysOff]]</f>
        <v>-4</v>
      </c>
      <c r="L401" s="2">
        <f>Games[[#This Row],[OppDaysOff]]-Games[[#This Row],[DaysOff]]</f>
        <v>4</v>
      </c>
      <c r="M401" s="1">
        <f>MAX(-16, MIN(16, Games[[#This Row],[RestDiff]]*8))</f>
        <v>-16</v>
      </c>
      <c r="N401" s="1">
        <f>MAX(-16, MIN(16, Games[[#This Row],[OppRestDiff]]*8))</f>
        <v>16</v>
      </c>
      <c r="O401" s="4" cm="1">
        <f t="array" ref="O4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1623.3333612225131</v>
      </c>
      <c r="P401" s="4" cm="1">
        <f t="array" ref="P4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1693.4026921144305</v>
      </c>
      <c r="Q401" s="4">
        <f>1/(1+10^(((Games[[#This Row],[OppPreGmRate]]+IF(Games[[#This Row],[HomeAway]]="A",HCA,0)+Games[[#This Row],[OppRestAdj]])-(Games[[#This Row],[PreGmRate]]+IF(Games[[#This Row],[HomeAway]]="H",HCA,0)+Games[[#This Row],[RestAdj]]))/400))</f>
        <v>0.47401956229074332</v>
      </c>
      <c r="R401" s="1">
        <v>90</v>
      </c>
      <c r="S401" s="1">
        <v>95</v>
      </c>
      <c r="T401" s="1">
        <v>1</v>
      </c>
      <c r="U401" s="1">
        <f>Games[[#This Row],[PointsFor]]-Games[[#This Row],[PointsAgainst]]</f>
        <v>-5</v>
      </c>
      <c r="V401" s="1">
        <f>IF(Games[[#This Row],[MOV]]&gt;0,1,IF(Games[[#This Row],[MOV]]=0,0.5,0))</f>
        <v>0</v>
      </c>
      <c r="W401" s="4">
        <f>((ABS(Games[[#This Row],[MOV]])+5)^0.6)/(12+0.01*(ABS(Games[[#This Row],[PreGmRate]]-Games[[#This Row],[OppPreGmRate]])))*IF(Games[[#This Row],[OT]]=1,0.9,1)</f>
        <v>0.28210779111289203</v>
      </c>
      <c r="X401" s="7" cm="1">
        <f t="array" ref="X40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1" s="9">
        <f>MAX(kmin, kmax - 0.15 * MIN(Games[[#This Row],[GamesPlayed]], 82))</f>
        <v>70.900000000000006</v>
      </c>
      <c r="Z401" s="4">
        <f>Games[[#This Row],[K]]*Games[[#This Row],[POMult]]</f>
        <v>70.900000000000006</v>
      </c>
      <c r="AA401" s="4">
        <f>(Games[[#This Row],[Keff]]*Games[[#This Row],[MOVMult]])*(Games[[#This Row],[Result]]-Games[[#This Row],[ExpectedWin%]])</f>
        <v>-9.481074966845835</v>
      </c>
      <c r="AB401" s="4">
        <f>Games[[#This Row],[PreGmRate]]+Games[[#This Row],[RatingChange]]</f>
        <v>1613.8522862556672</v>
      </c>
      <c r="AC401" s="2">
        <f>IF(Games[[#This Row],[Type]]="R",IF(Games[[#This Row],[Result]]&gt;0.5,1,0),0)</f>
        <v>0</v>
      </c>
      <c r="AD401" s="2">
        <f>IF(Games[[#This Row],[Type]]="R",IF(Games[[#This Row],[Result]]&lt;0.5,1,0),0)</f>
        <v>1</v>
      </c>
      <c r="AE401" s="2">
        <f>IF(AND(Games[[#This Row],[Type]]="P",Games[[#This Row],[Round]]=1),IF(Games[[#This Row],[Result]]&gt;0.5,1,0),0)</f>
        <v>0</v>
      </c>
      <c r="AF401" s="2">
        <f>IF(AND(Games[[#This Row],[Type]]="P",Games[[#This Row],[Round]]=1),IF(Games[[#This Row],[Result]]&lt;0.5,1,0),0)</f>
        <v>0</v>
      </c>
      <c r="AG401" s="2">
        <f>IF(AND(Games[[#This Row],[Type]]="P",Games[[#This Row],[Round]]=2),IF(Games[[#This Row],[Result]]&gt;0.5,1,0),0)</f>
        <v>0</v>
      </c>
      <c r="AH401" s="2">
        <f>IF(AND(Games[[#This Row],[Type]]="P",Games[[#This Row],[Round]]=2),IF(Games[[#This Row],[Result]]&lt;0.5,1,0),0)</f>
        <v>0</v>
      </c>
      <c r="AI401" s="2">
        <f>IF(AND(Games[[#This Row],[Type]]="P",Games[[#This Row],[Round]]=3),IF(Games[[#This Row],[Result]]&gt;0.5,1,0),0)</f>
        <v>0</v>
      </c>
      <c r="AJ401" s="2">
        <f>IF(AND(Games[[#This Row],[Type]]="P",Games[[#This Row],[Round]]=3),IF(Games[[#This Row],[Result]]&lt;0.5,1,0),0)</f>
        <v>0</v>
      </c>
      <c r="AK401" s="2">
        <f>IF(AND(Games[[#This Row],[Type]]="P",Games[[#This Row],[Round]]=4),IF(Games[[#This Row],[Result]]&gt;0.5,1,0),0)</f>
        <v>0</v>
      </c>
      <c r="AL401" s="2">
        <f>IF(AND(Games[[#This Row],[Type]]="P",Games[[#This Row],[Round]]=4),IF(Games[[#This Row],[Result]]&lt;0.5,1,0),0)</f>
        <v>0</v>
      </c>
    </row>
    <row r="402" spans="1:38" x14ac:dyDescent="0.35">
      <c r="A402" s="10">
        <v>45162</v>
      </c>
      <c r="B402" s="2">
        <v>2023</v>
      </c>
      <c r="C402" s="2">
        <f>COUNTIFS(Games[Team],Games[[#This Row],[Team]],Games[Season],Games[[#This Row],[Season]],Games[Date],"&lt;=" &amp; Games[[#This Row],[Date]])</f>
        <v>34</v>
      </c>
      <c r="D402" s="2" t="s">
        <v>79</v>
      </c>
      <c r="E402" s="2" t="s">
        <v>80</v>
      </c>
      <c r="F402" s="1" t="s">
        <v>67</v>
      </c>
      <c r="G402" s="1" t="s">
        <v>85</v>
      </c>
      <c r="H402" s="1" t="s">
        <v>81</v>
      </c>
      <c r="I402" s="2" cm="1">
        <f t="array" ref="I4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2" s="2" cm="1">
        <f t="array" ref="J4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2" s="2">
        <f>Games[[#This Row],[DaysOff]]-Games[[#This Row],[OppDaysOff]]</f>
        <v>0</v>
      </c>
      <c r="L402" s="2">
        <f>Games[[#This Row],[OppDaysOff]]-Games[[#This Row],[DaysOff]]</f>
        <v>0</v>
      </c>
      <c r="M402" s="1">
        <f>MAX(-16, MIN(16, Games[[#This Row],[RestDiff]]*8))</f>
        <v>0</v>
      </c>
      <c r="N402" s="1">
        <f>MAX(-16, MIN(16, Games[[#This Row],[OppRestDiff]]*8))</f>
        <v>0</v>
      </c>
      <c r="O402" s="4" cm="1">
        <f t="array" ref="O4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1466.3533102749664</v>
      </c>
      <c r="P402" s="4" cm="1">
        <f t="array" ref="P4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1568.4244214870259</v>
      </c>
      <c r="Q402" s="4">
        <f>1/(1+10^(((Games[[#This Row],[OppPreGmRate]]+IF(Games[[#This Row],[HomeAway]]="A",HCA,0)+Games[[#This Row],[OppRestAdj]])-(Games[[#This Row],[PreGmRate]]+IF(Games[[#This Row],[HomeAway]]="H",HCA,0)+Games[[#This Row],[RestAdj]]))/400))</f>
        <v>0.25519178080151683</v>
      </c>
      <c r="R402" s="1">
        <v>90</v>
      </c>
      <c r="S402" s="1">
        <v>81</v>
      </c>
      <c r="T402" s="1">
        <v>0</v>
      </c>
      <c r="U402" s="1">
        <f>Games[[#This Row],[PointsFor]]-Games[[#This Row],[PointsAgainst]]</f>
        <v>9</v>
      </c>
      <c r="V402" s="1">
        <f>IF(Games[[#This Row],[MOV]]&gt;0,1,IF(Games[[#This Row],[MOV]]=0,0.5,0))</f>
        <v>1</v>
      </c>
      <c r="W402" s="4">
        <f>((ABS(Games[[#This Row],[MOV]])+5)^0.6)/(12+0.01*(ABS(Games[[#This Row],[PreGmRate]]-Games[[#This Row],[OppPreGmRate]])))*IF(Games[[#This Row],[OT]]=1,0.9,1)</f>
        <v>0.37414687138185798</v>
      </c>
      <c r="X402" s="7" cm="1">
        <f t="array" ref="X40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2" s="9">
        <f>MAX(kmin, kmax - 0.15 * MIN(Games[[#This Row],[GamesPlayed]], 82))</f>
        <v>70.900000000000006</v>
      </c>
      <c r="Z402" s="4">
        <f>Games[[#This Row],[K]]*Games[[#This Row],[POMult]]</f>
        <v>70.900000000000006</v>
      </c>
      <c r="AA402" s="4">
        <f>(Games[[#This Row],[Keff]]*Games[[#This Row],[MOVMult]])*(Games[[#This Row],[Result]]-Games[[#This Row],[ExpectedWin%]])</f>
        <v>19.757537447975736</v>
      </c>
      <c r="AB402" s="4">
        <f>Games[[#This Row],[PreGmRate]]+Games[[#This Row],[RatingChange]]</f>
        <v>1486.110847722942</v>
      </c>
      <c r="AC402" s="2">
        <f>IF(Games[[#This Row],[Type]]="R",IF(Games[[#This Row],[Result]]&gt;0.5,1,0),0)</f>
        <v>1</v>
      </c>
      <c r="AD402" s="2">
        <f>IF(Games[[#This Row],[Type]]="R",IF(Games[[#This Row],[Result]]&lt;0.5,1,0),0)</f>
        <v>0</v>
      </c>
      <c r="AE402" s="2">
        <f>IF(AND(Games[[#This Row],[Type]]="P",Games[[#This Row],[Round]]=1),IF(Games[[#This Row],[Result]]&gt;0.5,1,0),0)</f>
        <v>0</v>
      </c>
      <c r="AF402" s="2">
        <f>IF(AND(Games[[#This Row],[Type]]="P",Games[[#This Row],[Round]]=1),IF(Games[[#This Row],[Result]]&lt;0.5,1,0),0)</f>
        <v>0</v>
      </c>
      <c r="AG402" s="2">
        <f>IF(AND(Games[[#This Row],[Type]]="P",Games[[#This Row],[Round]]=2),IF(Games[[#This Row],[Result]]&gt;0.5,1,0),0)</f>
        <v>0</v>
      </c>
      <c r="AH402" s="2">
        <f>IF(AND(Games[[#This Row],[Type]]="P",Games[[#This Row],[Round]]=2),IF(Games[[#This Row],[Result]]&lt;0.5,1,0),0)</f>
        <v>0</v>
      </c>
      <c r="AI402" s="2">
        <f>IF(AND(Games[[#This Row],[Type]]="P",Games[[#This Row],[Round]]=3),IF(Games[[#This Row],[Result]]&gt;0.5,1,0),0)</f>
        <v>0</v>
      </c>
      <c r="AJ402" s="2">
        <f>IF(AND(Games[[#This Row],[Type]]="P",Games[[#This Row],[Round]]=3),IF(Games[[#This Row],[Result]]&lt;0.5,1,0),0)</f>
        <v>0</v>
      </c>
      <c r="AK402" s="2">
        <f>IF(AND(Games[[#This Row],[Type]]="P",Games[[#This Row],[Round]]=4),IF(Games[[#This Row],[Result]]&gt;0.5,1,0),0)</f>
        <v>0</v>
      </c>
      <c r="AL402" s="2">
        <f>IF(AND(Games[[#This Row],[Type]]="P",Games[[#This Row],[Round]]=4),IF(Games[[#This Row],[Result]]&lt;0.5,1,0),0)</f>
        <v>0</v>
      </c>
    </row>
    <row r="403" spans="1:38" x14ac:dyDescent="0.35">
      <c r="A403" s="10">
        <v>45162</v>
      </c>
      <c r="B403" s="2">
        <v>2023</v>
      </c>
      <c r="C403" s="2">
        <f>COUNTIFS(Games[Team],Games[[#This Row],[Team]],Games[Season],Games[[#This Row],[Season]],Games[Date],"&lt;=" &amp; Games[[#This Row],[Date]])</f>
        <v>34</v>
      </c>
      <c r="D403" s="2" t="s">
        <v>79</v>
      </c>
      <c r="E403" s="2" t="s">
        <v>80</v>
      </c>
      <c r="F403" s="1" t="s">
        <v>85</v>
      </c>
      <c r="G403" s="1" t="s">
        <v>67</v>
      </c>
      <c r="H403" s="1" t="s">
        <v>82</v>
      </c>
      <c r="I403" s="2" cm="1">
        <f t="array" ref="I4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3" s="2" cm="1">
        <f t="array" ref="J4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3" s="2">
        <f>Games[[#This Row],[DaysOff]]-Games[[#This Row],[OppDaysOff]]</f>
        <v>0</v>
      </c>
      <c r="L403" s="2">
        <f>Games[[#This Row],[OppDaysOff]]-Games[[#This Row],[DaysOff]]</f>
        <v>0</v>
      </c>
      <c r="M403" s="1">
        <f>MAX(-16, MIN(16, Games[[#This Row],[RestDiff]]*8))</f>
        <v>0</v>
      </c>
      <c r="N403" s="1">
        <f>MAX(-16, MIN(16, Games[[#This Row],[OppRestDiff]]*8))</f>
        <v>0</v>
      </c>
      <c r="O403" s="4" cm="1">
        <f t="array" ref="O4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1568.4244214870259</v>
      </c>
      <c r="P403" s="4" cm="1">
        <f t="array" ref="P4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1466.3533102749664</v>
      </c>
      <c r="Q403" s="4">
        <f>1/(1+10^(((Games[[#This Row],[OppPreGmRate]]+IF(Games[[#This Row],[HomeAway]]="A",HCA,0)+Games[[#This Row],[OppRestAdj]])-(Games[[#This Row],[PreGmRate]]+IF(Games[[#This Row],[HomeAway]]="H",HCA,0)+Games[[#This Row],[RestAdj]]))/400))</f>
        <v>0.74480821919848317</v>
      </c>
      <c r="R403" s="1">
        <v>81</v>
      </c>
      <c r="S403" s="1">
        <v>90</v>
      </c>
      <c r="T403" s="1">
        <v>0</v>
      </c>
      <c r="U403" s="1">
        <f>Games[[#This Row],[PointsFor]]-Games[[#This Row],[PointsAgainst]]</f>
        <v>-9</v>
      </c>
      <c r="V403" s="1">
        <f>IF(Games[[#This Row],[MOV]]&gt;0,1,IF(Games[[#This Row],[MOV]]=0,0.5,0))</f>
        <v>0</v>
      </c>
      <c r="W403" s="4">
        <f>((ABS(Games[[#This Row],[MOV]])+5)^0.6)/(12+0.01*(ABS(Games[[#This Row],[PreGmRate]]-Games[[#This Row],[OppPreGmRate]])))*IF(Games[[#This Row],[OT]]=1,0.9,1)</f>
        <v>0.37414687138185798</v>
      </c>
      <c r="X403" s="7" cm="1">
        <f t="array" ref="X40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3" s="9">
        <f>MAX(kmin, kmax - 0.15 * MIN(Games[[#This Row],[GamesPlayed]], 82))</f>
        <v>70.900000000000006</v>
      </c>
      <c r="Z403" s="4">
        <f>Games[[#This Row],[K]]*Games[[#This Row],[POMult]]</f>
        <v>70.900000000000006</v>
      </c>
      <c r="AA403" s="4">
        <f>(Games[[#This Row],[Keff]]*Games[[#This Row],[MOVMult]])*(Games[[#This Row],[Result]]-Games[[#This Row],[ExpectedWin%]])</f>
        <v>-19.757537447975736</v>
      </c>
      <c r="AB403" s="4">
        <f>Games[[#This Row],[PreGmRate]]+Games[[#This Row],[RatingChange]]</f>
        <v>1548.6668840390503</v>
      </c>
      <c r="AC403" s="2">
        <f>IF(Games[[#This Row],[Type]]="R",IF(Games[[#This Row],[Result]]&gt;0.5,1,0),0)</f>
        <v>0</v>
      </c>
      <c r="AD403" s="2">
        <f>IF(Games[[#This Row],[Type]]="R",IF(Games[[#This Row],[Result]]&lt;0.5,1,0),0)</f>
        <v>1</v>
      </c>
      <c r="AE403" s="2">
        <f>IF(AND(Games[[#This Row],[Type]]="P",Games[[#This Row],[Round]]=1),IF(Games[[#This Row],[Result]]&gt;0.5,1,0),0)</f>
        <v>0</v>
      </c>
      <c r="AF403" s="2">
        <f>IF(AND(Games[[#This Row],[Type]]="P",Games[[#This Row],[Round]]=1),IF(Games[[#This Row],[Result]]&lt;0.5,1,0),0)</f>
        <v>0</v>
      </c>
      <c r="AG403" s="2">
        <f>IF(AND(Games[[#This Row],[Type]]="P",Games[[#This Row],[Round]]=2),IF(Games[[#This Row],[Result]]&gt;0.5,1,0),0)</f>
        <v>0</v>
      </c>
      <c r="AH403" s="2">
        <f>IF(AND(Games[[#This Row],[Type]]="P",Games[[#This Row],[Round]]=2),IF(Games[[#This Row],[Result]]&lt;0.5,1,0),0)</f>
        <v>0</v>
      </c>
      <c r="AI403" s="2">
        <f>IF(AND(Games[[#This Row],[Type]]="P",Games[[#This Row],[Round]]=3),IF(Games[[#This Row],[Result]]&gt;0.5,1,0),0)</f>
        <v>0</v>
      </c>
      <c r="AJ403" s="2">
        <f>IF(AND(Games[[#This Row],[Type]]="P",Games[[#This Row],[Round]]=3),IF(Games[[#This Row],[Result]]&lt;0.5,1,0),0)</f>
        <v>0</v>
      </c>
      <c r="AK403" s="2">
        <f>IF(AND(Games[[#This Row],[Type]]="P",Games[[#This Row],[Round]]=4),IF(Games[[#This Row],[Result]]&gt;0.5,1,0),0)</f>
        <v>0</v>
      </c>
      <c r="AL403" s="2">
        <f>IF(AND(Games[[#This Row],[Type]]="P",Games[[#This Row],[Round]]=4),IF(Games[[#This Row],[Result]]&lt;0.5,1,0),0)</f>
        <v>0</v>
      </c>
    </row>
    <row r="404" spans="1:38" x14ac:dyDescent="0.35">
      <c r="A404" s="10">
        <v>45162</v>
      </c>
      <c r="B404" s="2">
        <v>2023</v>
      </c>
      <c r="C404" s="2">
        <f>COUNTIFS(Games[Team],Games[[#This Row],[Team]],Games[Season],Games[[#This Row],[Season]],Games[Date],"&lt;=" &amp; Games[[#This Row],[Date]])</f>
        <v>34</v>
      </c>
      <c r="D404" s="2" t="s">
        <v>79</v>
      </c>
      <c r="E404" s="2" t="s">
        <v>80</v>
      </c>
      <c r="F404" s="1" t="s">
        <v>71</v>
      </c>
      <c r="G404" s="1" t="s">
        <v>69</v>
      </c>
      <c r="H404" s="1" t="s">
        <v>81</v>
      </c>
      <c r="I404" s="2" cm="1">
        <f t="array" ref="I4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4" s="2" cm="1">
        <f t="array" ref="J40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04" s="2">
        <f>Games[[#This Row],[DaysOff]]-Games[[#This Row],[OppDaysOff]]</f>
        <v>-2</v>
      </c>
      <c r="L404" s="2">
        <f>Games[[#This Row],[OppDaysOff]]-Games[[#This Row],[DaysOff]]</f>
        <v>2</v>
      </c>
      <c r="M404" s="1">
        <f>MAX(-16, MIN(16, Games[[#This Row],[RestDiff]]*8))</f>
        <v>-16</v>
      </c>
      <c r="N404" s="1">
        <f>MAX(-16, MIN(16, Games[[#This Row],[OppRestDiff]]*8))</f>
        <v>16</v>
      </c>
      <c r="O404" s="4" cm="1">
        <f t="array" ref="O4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1426.3252299326889</v>
      </c>
      <c r="P404" s="4" cm="1">
        <f t="array" ref="P4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1331.3635122672877</v>
      </c>
      <c r="Q404" s="4">
        <f>1/(1+10^(((Games[[#This Row],[OppPreGmRate]]+IF(Games[[#This Row],[HomeAway]]="A",HCA,0)+Games[[#This Row],[OppRestAdj]])-(Games[[#This Row],[PreGmRate]]+IF(Games[[#This Row],[HomeAway]]="H",HCA,0)+Games[[#This Row],[RestAdj]]))/400))</f>
        <v>0.46976042843649207</v>
      </c>
      <c r="R404" s="1">
        <v>86</v>
      </c>
      <c r="S404" s="1">
        <v>90</v>
      </c>
      <c r="T404" s="1">
        <v>0</v>
      </c>
      <c r="U404" s="1">
        <f>Games[[#This Row],[PointsFor]]-Games[[#This Row],[PointsAgainst]]</f>
        <v>-4</v>
      </c>
      <c r="V404" s="1">
        <f>IF(Games[[#This Row],[MOV]]&gt;0,1,IF(Games[[#This Row],[MOV]]=0,0.5,0))</f>
        <v>0</v>
      </c>
      <c r="W404" s="4">
        <f>((ABS(Games[[#This Row],[MOV]])+5)^0.6)/(12+0.01*(ABS(Games[[#This Row],[PreGmRate]]-Games[[#This Row],[OppPreGmRate]])))*IF(Games[[#This Row],[OT]]=1,0.9,1)</f>
        <v>0.28859484939709912</v>
      </c>
      <c r="X404" s="7" cm="1">
        <f t="array" ref="X40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4" s="9">
        <f>MAX(kmin, kmax - 0.15 * MIN(Games[[#This Row],[GamesPlayed]], 82))</f>
        <v>70.900000000000006</v>
      </c>
      <c r="Z404" s="4">
        <f>Games[[#This Row],[K]]*Games[[#This Row],[POMult]]</f>
        <v>70.900000000000006</v>
      </c>
      <c r="AA404" s="4">
        <f>(Games[[#This Row],[Keff]]*Games[[#This Row],[MOVMult]])*(Games[[#This Row],[Result]]-Games[[#This Row],[ExpectedWin%]])</f>
        <v>-9.611944202901844</v>
      </c>
      <c r="AB404" s="4">
        <f>Games[[#This Row],[PreGmRate]]+Games[[#This Row],[RatingChange]]</f>
        <v>1416.713285729787</v>
      </c>
      <c r="AC404" s="2">
        <f>IF(Games[[#This Row],[Type]]="R",IF(Games[[#This Row],[Result]]&gt;0.5,1,0),0)</f>
        <v>0</v>
      </c>
      <c r="AD404" s="2">
        <f>IF(Games[[#This Row],[Type]]="R",IF(Games[[#This Row],[Result]]&lt;0.5,1,0),0)</f>
        <v>1</v>
      </c>
      <c r="AE404" s="2">
        <f>IF(AND(Games[[#This Row],[Type]]="P",Games[[#This Row],[Round]]=1),IF(Games[[#This Row],[Result]]&gt;0.5,1,0),0)</f>
        <v>0</v>
      </c>
      <c r="AF404" s="2">
        <f>IF(AND(Games[[#This Row],[Type]]="P",Games[[#This Row],[Round]]=1),IF(Games[[#This Row],[Result]]&lt;0.5,1,0),0)</f>
        <v>0</v>
      </c>
      <c r="AG404" s="2">
        <f>IF(AND(Games[[#This Row],[Type]]="P",Games[[#This Row],[Round]]=2),IF(Games[[#This Row],[Result]]&gt;0.5,1,0),0)</f>
        <v>0</v>
      </c>
      <c r="AH404" s="2">
        <f>IF(AND(Games[[#This Row],[Type]]="P",Games[[#This Row],[Round]]=2),IF(Games[[#This Row],[Result]]&lt;0.5,1,0),0)</f>
        <v>0</v>
      </c>
      <c r="AI404" s="2">
        <f>IF(AND(Games[[#This Row],[Type]]="P",Games[[#This Row],[Round]]=3),IF(Games[[#This Row],[Result]]&gt;0.5,1,0),0)</f>
        <v>0</v>
      </c>
      <c r="AJ404" s="2">
        <f>IF(AND(Games[[#This Row],[Type]]="P",Games[[#This Row],[Round]]=3),IF(Games[[#This Row],[Result]]&lt;0.5,1,0),0)</f>
        <v>0</v>
      </c>
      <c r="AK404" s="2">
        <f>IF(AND(Games[[#This Row],[Type]]="P",Games[[#This Row],[Round]]=4),IF(Games[[#This Row],[Result]]&gt;0.5,1,0),0)</f>
        <v>0</v>
      </c>
      <c r="AL404" s="2">
        <f>IF(AND(Games[[#This Row],[Type]]="P",Games[[#This Row],[Round]]=4),IF(Games[[#This Row],[Result]]&lt;0.5,1,0),0)</f>
        <v>0</v>
      </c>
    </row>
    <row r="405" spans="1:38" x14ac:dyDescent="0.35">
      <c r="A405" s="10">
        <v>45162</v>
      </c>
      <c r="B405" s="2">
        <v>2023</v>
      </c>
      <c r="C405" s="2">
        <f>COUNTIFS(Games[Team],Games[[#This Row],[Team]],Games[Season],Games[[#This Row],[Season]],Games[Date],"&lt;=" &amp; Games[[#This Row],[Date]])</f>
        <v>34</v>
      </c>
      <c r="D405" s="2" t="s">
        <v>79</v>
      </c>
      <c r="E405" s="2" t="s">
        <v>80</v>
      </c>
      <c r="F405" s="1" t="s">
        <v>69</v>
      </c>
      <c r="G405" s="1" t="s">
        <v>71</v>
      </c>
      <c r="H405" s="1" t="s">
        <v>82</v>
      </c>
      <c r="I405" s="2" cm="1">
        <f t="array" ref="I405">IFERROR(
    Games[[#This Row],[Date]]
    - LOOKUP(
        2,
        1/((Games[Team]=Games[[#This Row],[Team]]) * (Games[Date] &lt; Games[[#This Row],[Date]])),
        Games[Date]
    )
    - 1,
Games[[#This Row],[Date]]-$A$2)</f>
        <v>3</v>
      </c>
      <c r="J405" s="2" cm="1">
        <f t="array" ref="J4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5" s="2">
        <f>Games[[#This Row],[DaysOff]]-Games[[#This Row],[OppDaysOff]]</f>
        <v>2</v>
      </c>
      <c r="L405" s="2">
        <f>Games[[#This Row],[OppDaysOff]]-Games[[#This Row],[DaysOff]]</f>
        <v>-2</v>
      </c>
      <c r="M405" s="1">
        <f>MAX(-16, MIN(16, Games[[#This Row],[RestDiff]]*8))</f>
        <v>16</v>
      </c>
      <c r="N405" s="1">
        <f>MAX(-16, MIN(16, Games[[#This Row],[OppRestDiff]]*8))</f>
        <v>-16</v>
      </c>
      <c r="O405" s="4" cm="1">
        <f t="array" ref="O4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1331.3635122672877</v>
      </c>
      <c r="P405" s="4" cm="1">
        <f t="array" ref="P4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1426.3252299326889</v>
      </c>
      <c r="Q405" s="4">
        <f>1/(1+10^(((Games[[#This Row],[OppPreGmRate]]+IF(Games[[#This Row],[HomeAway]]="A",HCA,0)+Games[[#This Row],[OppRestAdj]])-(Games[[#This Row],[PreGmRate]]+IF(Games[[#This Row],[HomeAway]]="H",HCA,0)+Games[[#This Row],[RestAdj]]))/400))</f>
        <v>0.53023957156350798</v>
      </c>
      <c r="R405" s="1">
        <v>90</v>
      </c>
      <c r="S405" s="1">
        <v>86</v>
      </c>
      <c r="T405" s="1">
        <v>0</v>
      </c>
      <c r="U405" s="1">
        <f>Games[[#This Row],[PointsFor]]-Games[[#This Row],[PointsAgainst]]</f>
        <v>4</v>
      </c>
      <c r="V405" s="1">
        <f>IF(Games[[#This Row],[MOV]]&gt;0,1,IF(Games[[#This Row],[MOV]]=0,0.5,0))</f>
        <v>1</v>
      </c>
      <c r="W405" s="4">
        <f>((ABS(Games[[#This Row],[MOV]])+5)^0.6)/(12+0.01*(ABS(Games[[#This Row],[PreGmRate]]-Games[[#This Row],[OppPreGmRate]])))*IF(Games[[#This Row],[OT]]=1,0.9,1)</f>
        <v>0.28859484939709912</v>
      </c>
      <c r="X405" s="7" cm="1">
        <f t="array" ref="X40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5" s="9">
        <f>MAX(kmin, kmax - 0.15 * MIN(Games[[#This Row],[GamesPlayed]], 82))</f>
        <v>70.900000000000006</v>
      </c>
      <c r="Z405" s="4">
        <f>Games[[#This Row],[K]]*Games[[#This Row],[POMult]]</f>
        <v>70.900000000000006</v>
      </c>
      <c r="AA405" s="4">
        <f>(Games[[#This Row],[Keff]]*Games[[#This Row],[MOVMult]])*(Games[[#This Row],[Result]]-Games[[#This Row],[ExpectedWin%]])</f>
        <v>9.611944202901844</v>
      </c>
      <c r="AB405" s="4">
        <f>Games[[#This Row],[PreGmRate]]+Games[[#This Row],[RatingChange]]</f>
        <v>1340.9754564701896</v>
      </c>
      <c r="AC405" s="2">
        <f>IF(Games[[#This Row],[Type]]="R",IF(Games[[#This Row],[Result]]&gt;0.5,1,0),0)</f>
        <v>1</v>
      </c>
      <c r="AD405" s="2">
        <f>IF(Games[[#This Row],[Type]]="R",IF(Games[[#This Row],[Result]]&lt;0.5,1,0),0)</f>
        <v>0</v>
      </c>
      <c r="AE405" s="2">
        <f>IF(AND(Games[[#This Row],[Type]]="P",Games[[#This Row],[Round]]=1),IF(Games[[#This Row],[Result]]&gt;0.5,1,0),0)</f>
        <v>0</v>
      </c>
      <c r="AF405" s="2">
        <f>IF(AND(Games[[#This Row],[Type]]="P",Games[[#This Row],[Round]]=1),IF(Games[[#This Row],[Result]]&lt;0.5,1,0),0)</f>
        <v>0</v>
      </c>
      <c r="AG405" s="2">
        <f>IF(AND(Games[[#This Row],[Type]]="P",Games[[#This Row],[Round]]=2),IF(Games[[#This Row],[Result]]&gt;0.5,1,0),0)</f>
        <v>0</v>
      </c>
      <c r="AH405" s="2">
        <f>IF(AND(Games[[#This Row],[Type]]="P",Games[[#This Row],[Round]]=2),IF(Games[[#This Row],[Result]]&lt;0.5,1,0),0)</f>
        <v>0</v>
      </c>
      <c r="AI405" s="2">
        <f>IF(AND(Games[[#This Row],[Type]]="P",Games[[#This Row],[Round]]=3),IF(Games[[#This Row],[Result]]&gt;0.5,1,0),0)</f>
        <v>0</v>
      </c>
      <c r="AJ405" s="2">
        <f>IF(AND(Games[[#This Row],[Type]]="P",Games[[#This Row],[Round]]=3),IF(Games[[#This Row],[Result]]&lt;0.5,1,0),0)</f>
        <v>0</v>
      </c>
      <c r="AK405" s="2">
        <f>IF(AND(Games[[#This Row],[Type]]="P",Games[[#This Row],[Round]]=4),IF(Games[[#This Row],[Result]]&gt;0.5,1,0),0)</f>
        <v>0</v>
      </c>
      <c r="AL405" s="2">
        <f>IF(AND(Games[[#This Row],[Type]]="P",Games[[#This Row],[Round]]=4),IF(Games[[#This Row],[Result]]&lt;0.5,1,0),0)</f>
        <v>0</v>
      </c>
    </row>
    <row r="406" spans="1:38" x14ac:dyDescent="0.35">
      <c r="A406" s="10">
        <v>45163</v>
      </c>
      <c r="B406" s="2">
        <v>2023</v>
      </c>
      <c r="C406" s="2">
        <f>COUNTIFS(Games[Team],Games[[#This Row],[Team]],Games[Season],Games[[#This Row],[Season]],Games[Date],"&lt;=" &amp; Games[[#This Row],[Date]])</f>
        <v>33</v>
      </c>
      <c r="D406" s="2" t="s">
        <v>79</v>
      </c>
      <c r="E406" s="2" t="s">
        <v>80</v>
      </c>
      <c r="F406" s="1" t="s">
        <v>63</v>
      </c>
      <c r="G406" s="1" t="s">
        <v>77</v>
      </c>
      <c r="H406" s="1" t="s">
        <v>81</v>
      </c>
      <c r="I406" s="2" cm="1">
        <f t="array" ref="I4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6" s="2" cm="1">
        <f t="array" ref="J4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6" s="2">
        <f>Games[[#This Row],[DaysOff]]-Games[[#This Row],[OppDaysOff]]</f>
        <v>-1</v>
      </c>
      <c r="L406" s="2">
        <f>Games[[#This Row],[OppDaysOff]]-Games[[#This Row],[DaysOff]]</f>
        <v>1</v>
      </c>
      <c r="M406" s="1">
        <f>MAX(-16, MIN(16, Games[[#This Row],[RestDiff]]*8))</f>
        <v>-8</v>
      </c>
      <c r="N406" s="1">
        <f>MAX(-16, MIN(16, Games[[#This Row],[OppRestDiff]]*8))</f>
        <v>8</v>
      </c>
      <c r="O406" s="4" cm="1">
        <f t="array" ref="O4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1447.2361907342108</v>
      </c>
      <c r="P406" s="4" cm="1">
        <f t="array" ref="P4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1472.9083490409016</v>
      </c>
      <c r="Q406" s="4">
        <f>1/(1+10^(((Games[[#This Row],[OppPreGmRate]]+IF(Games[[#This Row],[HomeAway]]="A",HCA,0)+Games[[#This Row],[OppRestAdj]])-(Games[[#This Row],[PreGmRate]]+IF(Games[[#This Row],[HomeAway]]="H",HCA,0)+Games[[#This Row],[RestAdj]]))/400))</f>
        <v>0.32663875996339353</v>
      </c>
      <c r="R406" s="1">
        <v>83</v>
      </c>
      <c r="S406" s="1">
        <v>78</v>
      </c>
      <c r="T406" s="1">
        <v>0</v>
      </c>
      <c r="U406" s="1">
        <f>Games[[#This Row],[PointsFor]]-Games[[#This Row],[PointsAgainst]]</f>
        <v>5</v>
      </c>
      <c r="V406" s="1">
        <f>IF(Games[[#This Row],[MOV]]&gt;0,1,IF(Games[[#This Row],[MOV]]=0,0.5,0))</f>
        <v>1</v>
      </c>
      <c r="W406" s="4">
        <f>((ABS(Games[[#This Row],[MOV]])+5)^0.6)/(12+0.01*(ABS(Games[[#This Row],[PreGmRate]]-Games[[#This Row],[OppPreGmRate]])))*IF(Games[[#This Row],[OT]]=1,0.9,1)</f>
        <v>0.32480722341241425</v>
      </c>
      <c r="X406" s="7" cm="1">
        <f t="array" ref="X40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6" s="9">
        <f>MAX(kmin, kmax - 0.15 * MIN(Games[[#This Row],[GamesPlayed]], 82))</f>
        <v>71.05</v>
      </c>
      <c r="Z406" s="4">
        <f>Games[[#This Row],[K]]*Games[[#This Row],[POMult]]</f>
        <v>71.05</v>
      </c>
      <c r="AA406" s="4">
        <f>(Games[[#This Row],[Keff]]*Games[[#This Row],[MOVMult]])*(Games[[#This Row],[Result]]-Games[[#This Row],[ExpectedWin%]])</f>
        <v>15.539529855554445</v>
      </c>
      <c r="AB406" s="4">
        <f>Games[[#This Row],[PreGmRate]]+Games[[#This Row],[RatingChange]]</f>
        <v>1462.7757205897653</v>
      </c>
      <c r="AC406" s="2">
        <f>IF(Games[[#This Row],[Type]]="R",IF(Games[[#This Row],[Result]]&gt;0.5,1,0),0)</f>
        <v>1</v>
      </c>
      <c r="AD406" s="2">
        <f>IF(Games[[#This Row],[Type]]="R",IF(Games[[#This Row],[Result]]&lt;0.5,1,0),0)</f>
        <v>0</v>
      </c>
      <c r="AE406" s="2">
        <f>IF(AND(Games[[#This Row],[Type]]="P",Games[[#This Row],[Round]]=1),IF(Games[[#This Row],[Result]]&gt;0.5,1,0),0)</f>
        <v>0</v>
      </c>
      <c r="AF406" s="2">
        <f>IF(AND(Games[[#This Row],[Type]]="P",Games[[#This Row],[Round]]=1),IF(Games[[#This Row],[Result]]&lt;0.5,1,0),0)</f>
        <v>0</v>
      </c>
      <c r="AG406" s="2">
        <f>IF(AND(Games[[#This Row],[Type]]="P",Games[[#This Row],[Round]]=2),IF(Games[[#This Row],[Result]]&gt;0.5,1,0),0)</f>
        <v>0</v>
      </c>
      <c r="AH406" s="2">
        <f>IF(AND(Games[[#This Row],[Type]]="P",Games[[#This Row],[Round]]=2),IF(Games[[#This Row],[Result]]&lt;0.5,1,0),0)</f>
        <v>0</v>
      </c>
      <c r="AI406" s="2">
        <f>IF(AND(Games[[#This Row],[Type]]="P",Games[[#This Row],[Round]]=3),IF(Games[[#This Row],[Result]]&gt;0.5,1,0),0)</f>
        <v>0</v>
      </c>
      <c r="AJ406" s="2">
        <f>IF(AND(Games[[#This Row],[Type]]="P",Games[[#This Row],[Round]]=3),IF(Games[[#This Row],[Result]]&lt;0.5,1,0),0)</f>
        <v>0</v>
      </c>
      <c r="AK406" s="2">
        <f>IF(AND(Games[[#This Row],[Type]]="P",Games[[#This Row],[Round]]=4),IF(Games[[#This Row],[Result]]&gt;0.5,1,0),0)</f>
        <v>0</v>
      </c>
      <c r="AL406" s="2">
        <f>IF(AND(Games[[#This Row],[Type]]="P",Games[[#This Row],[Round]]=4),IF(Games[[#This Row],[Result]]&lt;0.5,1,0),0)</f>
        <v>0</v>
      </c>
    </row>
    <row r="407" spans="1:38" x14ac:dyDescent="0.35">
      <c r="A407" s="10">
        <v>45163</v>
      </c>
      <c r="B407" s="2">
        <v>2023</v>
      </c>
      <c r="C407" s="2">
        <f>COUNTIFS(Games[Team],Games[[#This Row],[Team]],Games[Season],Games[[#This Row],[Season]],Games[Date],"&lt;=" &amp; Games[[#This Row],[Date]])</f>
        <v>34</v>
      </c>
      <c r="D407" s="2" t="s">
        <v>79</v>
      </c>
      <c r="E407" s="2" t="s">
        <v>80</v>
      </c>
      <c r="F407" s="1" t="s">
        <v>77</v>
      </c>
      <c r="G407" s="1" t="s">
        <v>63</v>
      </c>
      <c r="H407" s="1" t="s">
        <v>82</v>
      </c>
      <c r="I407" s="2" cm="1">
        <f t="array" ref="I4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7" s="2" cm="1">
        <f t="array" ref="J4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7" s="2">
        <f>Games[[#This Row],[DaysOff]]-Games[[#This Row],[OppDaysOff]]</f>
        <v>1</v>
      </c>
      <c r="L407" s="2">
        <f>Games[[#This Row],[OppDaysOff]]-Games[[#This Row],[DaysOff]]</f>
        <v>-1</v>
      </c>
      <c r="M407" s="1">
        <f>MAX(-16, MIN(16, Games[[#This Row],[RestDiff]]*8))</f>
        <v>8</v>
      </c>
      <c r="N407" s="1">
        <f>MAX(-16, MIN(16, Games[[#This Row],[OppRestDiff]]*8))</f>
        <v>-8</v>
      </c>
      <c r="O407" s="4" cm="1">
        <f t="array" ref="O4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1472.9083490409016</v>
      </c>
      <c r="P407" s="4" cm="1">
        <f t="array" ref="P4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1447.2361907342108</v>
      </c>
      <c r="Q407" s="4">
        <f>1/(1+10^(((Games[[#This Row],[OppPreGmRate]]+IF(Games[[#This Row],[HomeAway]]="A",HCA,0)+Games[[#This Row],[OppRestAdj]])-(Games[[#This Row],[PreGmRate]]+IF(Games[[#This Row],[HomeAway]]="H",HCA,0)+Games[[#This Row],[RestAdj]]))/400))</f>
        <v>0.67336124003660647</v>
      </c>
      <c r="R407" s="1">
        <v>78</v>
      </c>
      <c r="S407" s="1">
        <v>83</v>
      </c>
      <c r="T407" s="1">
        <v>0</v>
      </c>
      <c r="U407" s="1">
        <f>Games[[#This Row],[PointsFor]]-Games[[#This Row],[PointsAgainst]]</f>
        <v>-5</v>
      </c>
      <c r="V407" s="1">
        <f>IF(Games[[#This Row],[MOV]]&gt;0,1,IF(Games[[#This Row],[MOV]]=0,0.5,0))</f>
        <v>0</v>
      </c>
      <c r="W407" s="4">
        <f>((ABS(Games[[#This Row],[MOV]])+5)^0.6)/(12+0.01*(ABS(Games[[#This Row],[PreGmRate]]-Games[[#This Row],[OppPreGmRate]])))*IF(Games[[#This Row],[OT]]=1,0.9,1)</f>
        <v>0.32480722341241425</v>
      </c>
      <c r="X407" s="7" cm="1">
        <f t="array" ref="X40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7" s="9">
        <f>MAX(kmin, kmax - 0.15 * MIN(Games[[#This Row],[GamesPlayed]], 82))</f>
        <v>70.900000000000006</v>
      </c>
      <c r="Z407" s="4">
        <f>Games[[#This Row],[K]]*Games[[#This Row],[POMult]]</f>
        <v>70.900000000000006</v>
      </c>
      <c r="AA407" s="4">
        <f>(Games[[#This Row],[Keff]]*Games[[#This Row],[MOVMult]])*(Games[[#This Row],[Result]]-Games[[#This Row],[ExpectedWin%]])</f>
        <v>-15.506722966344972</v>
      </c>
      <c r="AB407" s="4">
        <f>Games[[#This Row],[PreGmRate]]+Games[[#This Row],[RatingChange]]</f>
        <v>1457.4016260745566</v>
      </c>
      <c r="AC407" s="2">
        <f>IF(Games[[#This Row],[Type]]="R",IF(Games[[#This Row],[Result]]&gt;0.5,1,0),0)</f>
        <v>0</v>
      </c>
      <c r="AD407" s="2">
        <f>IF(Games[[#This Row],[Type]]="R",IF(Games[[#This Row],[Result]]&lt;0.5,1,0),0)</f>
        <v>1</v>
      </c>
      <c r="AE407" s="2">
        <f>IF(AND(Games[[#This Row],[Type]]="P",Games[[#This Row],[Round]]=1),IF(Games[[#This Row],[Result]]&gt;0.5,1,0),0)</f>
        <v>0</v>
      </c>
      <c r="AF407" s="2">
        <f>IF(AND(Games[[#This Row],[Type]]="P",Games[[#This Row],[Round]]=1),IF(Games[[#This Row],[Result]]&lt;0.5,1,0),0)</f>
        <v>0</v>
      </c>
      <c r="AG407" s="2">
        <f>IF(AND(Games[[#This Row],[Type]]="P",Games[[#This Row],[Round]]=2),IF(Games[[#This Row],[Result]]&gt;0.5,1,0),0)</f>
        <v>0</v>
      </c>
      <c r="AH407" s="2">
        <f>IF(AND(Games[[#This Row],[Type]]="P",Games[[#This Row],[Round]]=2),IF(Games[[#This Row],[Result]]&lt;0.5,1,0),0)</f>
        <v>0</v>
      </c>
      <c r="AI407" s="2">
        <f>IF(AND(Games[[#This Row],[Type]]="P",Games[[#This Row],[Round]]=3),IF(Games[[#This Row],[Result]]&gt;0.5,1,0),0)</f>
        <v>0</v>
      </c>
      <c r="AJ407" s="2">
        <f>IF(AND(Games[[#This Row],[Type]]="P",Games[[#This Row],[Round]]=3),IF(Games[[#This Row],[Result]]&lt;0.5,1,0),0)</f>
        <v>0</v>
      </c>
      <c r="AK407" s="2">
        <f>IF(AND(Games[[#This Row],[Type]]="P",Games[[#This Row],[Round]]=4),IF(Games[[#This Row],[Result]]&gt;0.5,1,0),0)</f>
        <v>0</v>
      </c>
      <c r="AL407" s="2">
        <f>IF(AND(Games[[#This Row],[Type]]="P",Games[[#This Row],[Round]]=4),IF(Games[[#This Row],[Result]]&lt;0.5,1,0),0)</f>
        <v>0</v>
      </c>
    </row>
    <row r="408" spans="1:38" x14ac:dyDescent="0.35">
      <c r="A408" s="10">
        <v>45164</v>
      </c>
      <c r="B408" s="2">
        <v>2023</v>
      </c>
      <c r="C408" s="2">
        <f>COUNTIFS(Games[Team],Games[[#This Row],[Team]],Games[Season],Games[[#This Row],[Season]],Games[Date],"&lt;=" &amp; Games[[#This Row],[Date]])</f>
        <v>35</v>
      </c>
      <c r="D408" s="2" t="s">
        <v>79</v>
      </c>
      <c r="E408" s="2" t="s">
        <v>80</v>
      </c>
      <c r="F408" s="1" t="s">
        <v>60</v>
      </c>
      <c r="G408" s="1" t="s">
        <v>67</v>
      </c>
      <c r="H408" s="1" t="s">
        <v>81</v>
      </c>
      <c r="I408" s="2" cm="1">
        <f t="array" ref="I4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8" s="2" cm="1">
        <f t="array" ref="J4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8" s="2">
        <f>Games[[#This Row],[DaysOff]]-Games[[#This Row],[OppDaysOff]]</f>
        <v>0</v>
      </c>
      <c r="L408" s="2">
        <f>Games[[#This Row],[OppDaysOff]]-Games[[#This Row],[DaysOff]]</f>
        <v>0</v>
      </c>
      <c r="M408" s="1">
        <f>MAX(-16, MIN(16, Games[[#This Row],[RestDiff]]*8))</f>
        <v>0</v>
      </c>
      <c r="N408" s="1">
        <f>MAX(-16, MIN(16, Games[[#This Row],[OppRestDiff]]*8))</f>
        <v>0</v>
      </c>
      <c r="O408" s="4" cm="1">
        <f t="array" ref="O4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1702.8837670812763</v>
      </c>
      <c r="P408" s="4" cm="1">
        <f t="array" ref="P4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1486.110847722942</v>
      </c>
      <c r="Q408" s="4">
        <f>1/(1+10^(((Games[[#This Row],[OppPreGmRate]]+IF(Games[[#This Row],[HomeAway]]="A",HCA,0)+Games[[#This Row],[OppRestAdj]])-(Games[[#This Row],[PreGmRate]]+IF(Games[[#This Row],[HomeAway]]="H",HCA,0)+Games[[#This Row],[RestAdj]]))/400))</f>
        <v>0.68228709348840844</v>
      </c>
      <c r="R408" s="1">
        <v>111</v>
      </c>
      <c r="S408" s="1">
        <v>76</v>
      </c>
      <c r="T408" s="1">
        <v>0</v>
      </c>
      <c r="U408" s="1">
        <f>Games[[#This Row],[PointsFor]]-Games[[#This Row],[PointsAgainst]]</f>
        <v>35</v>
      </c>
      <c r="V408" s="1">
        <f>IF(Games[[#This Row],[MOV]]&gt;0,1,IF(Games[[#This Row],[MOV]]=0,0.5,0))</f>
        <v>1</v>
      </c>
      <c r="W408" s="4">
        <f>((ABS(Games[[#This Row],[MOV]])+5)^0.6)/(12+0.01*(ABS(Games[[#This Row],[PreGmRate]]-Games[[#This Row],[OppPreGmRate]])))*IF(Games[[#This Row],[OT]]=1,0.9,1)</f>
        <v>0.64555871400258369</v>
      </c>
      <c r="X408" s="7" cm="1">
        <f t="array" ref="X40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8" s="9">
        <f>MAX(kmin, kmax - 0.15 * MIN(Games[[#This Row],[GamesPlayed]], 82))</f>
        <v>70.75</v>
      </c>
      <c r="Z408" s="4">
        <f>Games[[#This Row],[K]]*Games[[#This Row],[POMult]]</f>
        <v>70.75</v>
      </c>
      <c r="AA408" s="4">
        <f>(Games[[#This Row],[Keff]]*Games[[#This Row],[MOVMult]])*(Games[[#This Row],[Result]]-Games[[#This Row],[ExpectedWin%]])</f>
        <v>14.510990225987465</v>
      </c>
      <c r="AB408" s="4">
        <f>Games[[#This Row],[PreGmRate]]+Games[[#This Row],[RatingChange]]</f>
        <v>1717.3947573072637</v>
      </c>
      <c r="AC408" s="2">
        <f>IF(Games[[#This Row],[Type]]="R",IF(Games[[#This Row],[Result]]&gt;0.5,1,0),0)</f>
        <v>1</v>
      </c>
      <c r="AD408" s="2">
        <f>IF(Games[[#This Row],[Type]]="R",IF(Games[[#This Row],[Result]]&lt;0.5,1,0),0)</f>
        <v>0</v>
      </c>
      <c r="AE408" s="2">
        <f>IF(AND(Games[[#This Row],[Type]]="P",Games[[#This Row],[Round]]=1),IF(Games[[#This Row],[Result]]&gt;0.5,1,0),0)</f>
        <v>0</v>
      </c>
      <c r="AF408" s="2">
        <f>IF(AND(Games[[#This Row],[Type]]="P",Games[[#This Row],[Round]]=1),IF(Games[[#This Row],[Result]]&lt;0.5,1,0),0)</f>
        <v>0</v>
      </c>
      <c r="AG408" s="2">
        <f>IF(AND(Games[[#This Row],[Type]]="P",Games[[#This Row],[Round]]=2),IF(Games[[#This Row],[Result]]&gt;0.5,1,0),0)</f>
        <v>0</v>
      </c>
      <c r="AH408" s="2">
        <f>IF(AND(Games[[#This Row],[Type]]="P",Games[[#This Row],[Round]]=2),IF(Games[[#This Row],[Result]]&lt;0.5,1,0),0)</f>
        <v>0</v>
      </c>
      <c r="AI408" s="2">
        <f>IF(AND(Games[[#This Row],[Type]]="P",Games[[#This Row],[Round]]=3),IF(Games[[#This Row],[Result]]&gt;0.5,1,0),0)</f>
        <v>0</v>
      </c>
      <c r="AJ408" s="2">
        <f>IF(AND(Games[[#This Row],[Type]]="P",Games[[#This Row],[Round]]=3),IF(Games[[#This Row],[Result]]&lt;0.5,1,0),0)</f>
        <v>0</v>
      </c>
      <c r="AK408" s="2">
        <f>IF(AND(Games[[#This Row],[Type]]="P",Games[[#This Row],[Round]]=4),IF(Games[[#This Row],[Result]]&gt;0.5,1,0),0)</f>
        <v>0</v>
      </c>
      <c r="AL408" s="2">
        <f>IF(AND(Games[[#This Row],[Type]]="P",Games[[#This Row],[Round]]=4),IF(Games[[#This Row],[Result]]&lt;0.5,1,0),0)</f>
        <v>0</v>
      </c>
    </row>
    <row r="409" spans="1:38" x14ac:dyDescent="0.35">
      <c r="A409" s="10">
        <v>45164</v>
      </c>
      <c r="B409" s="2">
        <v>2023</v>
      </c>
      <c r="C409" s="2">
        <f>COUNTIFS(Games[Team],Games[[#This Row],[Team]],Games[Season],Games[[#This Row],[Season]],Games[Date],"&lt;=" &amp; Games[[#This Row],[Date]])</f>
        <v>35</v>
      </c>
      <c r="D409" s="2" t="s">
        <v>79</v>
      </c>
      <c r="E409" s="2" t="s">
        <v>80</v>
      </c>
      <c r="F409" s="1" t="s">
        <v>67</v>
      </c>
      <c r="G409" s="1" t="s">
        <v>60</v>
      </c>
      <c r="H409" s="1" t="s">
        <v>82</v>
      </c>
      <c r="I409" s="2" cm="1">
        <f t="array" ref="I4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9" s="2" cm="1">
        <f t="array" ref="J4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9" s="2">
        <f>Games[[#This Row],[DaysOff]]-Games[[#This Row],[OppDaysOff]]</f>
        <v>0</v>
      </c>
      <c r="L409" s="2">
        <f>Games[[#This Row],[OppDaysOff]]-Games[[#This Row],[DaysOff]]</f>
        <v>0</v>
      </c>
      <c r="M409" s="1">
        <f>MAX(-16, MIN(16, Games[[#This Row],[RestDiff]]*8))</f>
        <v>0</v>
      </c>
      <c r="N409" s="1">
        <f>MAX(-16, MIN(16, Games[[#This Row],[OppRestDiff]]*8))</f>
        <v>0</v>
      </c>
      <c r="O409" s="4" cm="1">
        <f t="array" ref="O4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1486.110847722942</v>
      </c>
      <c r="P409" s="4" cm="1">
        <f t="array" ref="P4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1702.8837670812763</v>
      </c>
      <c r="Q409" s="4">
        <f>1/(1+10^(((Games[[#This Row],[OppPreGmRate]]+IF(Games[[#This Row],[HomeAway]]="A",HCA,0)+Games[[#This Row],[OppRestAdj]])-(Games[[#This Row],[PreGmRate]]+IF(Games[[#This Row],[HomeAway]]="H",HCA,0)+Games[[#This Row],[RestAdj]]))/400))</f>
        <v>0.31771290651159156</v>
      </c>
      <c r="R409" s="1">
        <v>76</v>
      </c>
      <c r="S409" s="1">
        <v>111</v>
      </c>
      <c r="T409" s="1">
        <v>0</v>
      </c>
      <c r="U409" s="1">
        <f>Games[[#This Row],[PointsFor]]-Games[[#This Row],[PointsAgainst]]</f>
        <v>-35</v>
      </c>
      <c r="V409" s="1">
        <f>IF(Games[[#This Row],[MOV]]&gt;0,1,IF(Games[[#This Row],[MOV]]=0,0.5,0))</f>
        <v>0</v>
      </c>
      <c r="W409" s="4">
        <f>((ABS(Games[[#This Row],[MOV]])+5)^0.6)/(12+0.01*(ABS(Games[[#This Row],[PreGmRate]]-Games[[#This Row],[OppPreGmRate]])))*IF(Games[[#This Row],[OT]]=1,0.9,1)</f>
        <v>0.64555871400258369</v>
      </c>
      <c r="X409" s="7" cm="1">
        <f t="array" ref="X40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9" s="9">
        <f>MAX(kmin, kmax - 0.15 * MIN(Games[[#This Row],[GamesPlayed]], 82))</f>
        <v>70.75</v>
      </c>
      <c r="Z409" s="4">
        <f>Games[[#This Row],[K]]*Games[[#This Row],[POMult]]</f>
        <v>70.75</v>
      </c>
      <c r="AA409" s="4">
        <f>(Games[[#This Row],[Keff]]*Games[[#This Row],[MOVMult]])*(Games[[#This Row],[Result]]-Games[[#This Row],[ExpectedWin%]])</f>
        <v>-14.510990225987465</v>
      </c>
      <c r="AB409" s="4">
        <f>Games[[#This Row],[PreGmRate]]+Games[[#This Row],[RatingChange]]</f>
        <v>1471.5998574969547</v>
      </c>
      <c r="AC409" s="2">
        <f>IF(Games[[#This Row],[Type]]="R",IF(Games[[#This Row],[Result]]&gt;0.5,1,0),0)</f>
        <v>0</v>
      </c>
      <c r="AD409" s="2">
        <f>IF(Games[[#This Row],[Type]]="R",IF(Games[[#This Row],[Result]]&lt;0.5,1,0),0)</f>
        <v>1</v>
      </c>
      <c r="AE409" s="2">
        <f>IF(AND(Games[[#This Row],[Type]]="P",Games[[#This Row],[Round]]=1),IF(Games[[#This Row],[Result]]&gt;0.5,1,0),0)</f>
        <v>0</v>
      </c>
      <c r="AF409" s="2">
        <f>IF(AND(Games[[#This Row],[Type]]="P",Games[[#This Row],[Round]]=1),IF(Games[[#This Row],[Result]]&lt;0.5,1,0),0)</f>
        <v>0</v>
      </c>
      <c r="AG409" s="2">
        <f>IF(AND(Games[[#This Row],[Type]]="P",Games[[#This Row],[Round]]=2),IF(Games[[#This Row],[Result]]&gt;0.5,1,0),0)</f>
        <v>0</v>
      </c>
      <c r="AH409" s="2">
        <f>IF(AND(Games[[#This Row],[Type]]="P",Games[[#This Row],[Round]]=2),IF(Games[[#This Row],[Result]]&lt;0.5,1,0),0)</f>
        <v>0</v>
      </c>
      <c r="AI409" s="2">
        <f>IF(AND(Games[[#This Row],[Type]]="P",Games[[#This Row],[Round]]=3),IF(Games[[#This Row],[Result]]&gt;0.5,1,0),0)</f>
        <v>0</v>
      </c>
      <c r="AJ409" s="2">
        <f>IF(AND(Games[[#This Row],[Type]]="P",Games[[#This Row],[Round]]=3),IF(Games[[#This Row],[Result]]&lt;0.5,1,0),0)</f>
        <v>0</v>
      </c>
      <c r="AK409" s="2">
        <f>IF(AND(Games[[#This Row],[Type]]="P",Games[[#This Row],[Round]]=4),IF(Games[[#This Row],[Result]]&gt;0.5,1,0),0)</f>
        <v>0</v>
      </c>
      <c r="AL409" s="2">
        <f>IF(AND(Games[[#This Row],[Type]]="P",Games[[#This Row],[Round]]=4),IF(Games[[#This Row],[Result]]&lt;0.5,1,0),0)</f>
        <v>0</v>
      </c>
    </row>
    <row r="410" spans="1:38" x14ac:dyDescent="0.35">
      <c r="A410" s="10">
        <v>45164</v>
      </c>
      <c r="B410" s="2">
        <v>2023</v>
      </c>
      <c r="C410" s="2">
        <f>COUNTIFS(Games[Team],Games[[#This Row],[Team]],Games[Season],Games[[#This Row],[Season]],Games[Date],"&lt;=" &amp; Games[[#This Row],[Date]])</f>
        <v>36</v>
      </c>
      <c r="D410" s="2" t="s">
        <v>79</v>
      </c>
      <c r="E410" s="2" t="s">
        <v>80</v>
      </c>
      <c r="F410" s="1" t="s">
        <v>86</v>
      </c>
      <c r="G410" s="1" t="s">
        <v>65</v>
      </c>
      <c r="H410" s="1" t="s">
        <v>81</v>
      </c>
      <c r="I410" s="2" cm="1">
        <f t="array" ref="I4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0" s="2" cm="1">
        <f t="array" ref="J41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0" s="2">
        <f>Games[[#This Row],[DaysOff]]-Games[[#This Row],[OppDaysOff]]</f>
        <v>-2</v>
      </c>
      <c r="L410" s="2">
        <f>Games[[#This Row],[OppDaysOff]]-Games[[#This Row],[DaysOff]]</f>
        <v>2</v>
      </c>
      <c r="M410" s="1">
        <f>MAX(-16, MIN(16, Games[[#This Row],[RestDiff]]*8))</f>
        <v>-16</v>
      </c>
      <c r="N410" s="1">
        <f>MAX(-16, MIN(16, Games[[#This Row],[OppRestDiff]]*8))</f>
        <v>16</v>
      </c>
      <c r="O410" s="4" cm="1">
        <f t="array" ref="O4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1730.8331225570741</v>
      </c>
      <c r="P410" s="4" cm="1">
        <f t="array" ref="P4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1445.2327948105942</v>
      </c>
      <c r="Q410" s="4">
        <f>1/(1+10^(((Games[[#This Row],[OppPreGmRate]]+IF(Games[[#This Row],[HomeAway]]="A",HCA,0)+Games[[#This Row],[OppRestAdj]])-(Games[[#This Row],[PreGmRate]]+IF(Games[[#This Row],[HomeAway]]="H",HCA,0)+Games[[#This Row],[RestAdj]]))/400))</f>
        <v>0.72637303462059699</v>
      </c>
      <c r="R410" s="1">
        <v>62</v>
      </c>
      <c r="S410" s="1">
        <v>78</v>
      </c>
      <c r="T410" s="1">
        <v>0</v>
      </c>
      <c r="U410" s="1">
        <f>Games[[#This Row],[PointsFor]]-Games[[#This Row],[PointsAgainst]]</f>
        <v>-16</v>
      </c>
      <c r="V410" s="1">
        <f>IF(Games[[#This Row],[MOV]]&gt;0,1,IF(Games[[#This Row],[MOV]]=0,0.5,0))</f>
        <v>0</v>
      </c>
      <c r="W410" s="4">
        <f>((ABS(Games[[#This Row],[MOV]])+5)^0.6)/(12+0.01*(ABS(Games[[#This Row],[PreGmRate]]-Games[[#This Row],[OppPreGmRate]])))*IF(Games[[#This Row],[OT]]=1,0.9,1)</f>
        <v>0.41824387564493559</v>
      </c>
      <c r="X410" s="7" cm="1">
        <f t="array" ref="X41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0" s="9">
        <f>MAX(kmin, kmax - 0.15 * MIN(Games[[#This Row],[GamesPlayed]], 82))</f>
        <v>70.599999999999994</v>
      </c>
      <c r="Z410" s="4">
        <f>Games[[#This Row],[K]]*Games[[#This Row],[POMult]]</f>
        <v>70.599999999999994</v>
      </c>
      <c r="AA410" s="4">
        <f>(Games[[#This Row],[Keff]]*Games[[#This Row],[MOVMult]])*(Games[[#This Row],[Result]]-Games[[#This Row],[ExpectedWin%]])</f>
        <v>-21.448355765356613</v>
      </c>
      <c r="AB410" s="4">
        <f>Games[[#This Row],[PreGmRate]]+Games[[#This Row],[RatingChange]]</f>
        <v>1709.3847667917175</v>
      </c>
      <c r="AC410" s="2">
        <f>IF(Games[[#This Row],[Type]]="R",IF(Games[[#This Row],[Result]]&gt;0.5,1,0),0)</f>
        <v>0</v>
      </c>
      <c r="AD410" s="2">
        <f>IF(Games[[#This Row],[Type]]="R",IF(Games[[#This Row],[Result]]&lt;0.5,1,0),0)</f>
        <v>1</v>
      </c>
      <c r="AE410" s="2">
        <f>IF(AND(Games[[#This Row],[Type]]="P",Games[[#This Row],[Round]]=1),IF(Games[[#This Row],[Result]]&gt;0.5,1,0),0)</f>
        <v>0</v>
      </c>
      <c r="AF410" s="2">
        <f>IF(AND(Games[[#This Row],[Type]]="P",Games[[#This Row],[Round]]=1),IF(Games[[#This Row],[Result]]&lt;0.5,1,0),0)</f>
        <v>0</v>
      </c>
      <c r="AG410" s="2">
        <f>IF(AND(Games[[#This Row],[Type]]="P",Games[[#This Row],[Round]]=2),IF(Games[[#This Row],[Result]]&gt;0.5,1,0),0)</f>
        <v>0</v>
      </c>
      <c r="AH410" s="2">
        <f>IF(AND(Games[[#This Row],[Type]]="P",Games[[#This Row],[Round]]=2),IF(Games[[#This Row],[Result]]&lt;0.5,1,0),0)</f>
        <v>0</v>
      </c>
      <c r="AI410" s="2">
        <f>IF(AND(Games[[#This Row],[Type]]="P",Games[[#This Row],[Round]]=3),IF(Games[[#This Row],[Result]]&gt;0.5,1,0),0)</f>
        <v>0</v>
      </c>
      <c r="AJ410" s="2">
        <f>IF(AND(Games[[#This Row],[Type]]="P",Games[[#This Row],[Round]]=3),IF(Games[[#This Row],[Result]]&lt;0.5,1,0),0)</f>
        <v>0</v>
      </c>
      <c r="AK410" s="2">
        <f>IF(AND(Games[[#This Row],[Type]]="P",Games[[#This Row],[Round]]=4),IF(Games[[#This Row],[Result]]&gt;0.5,1,0),0)</f>
        <v>0</v>
      </c>
      <c r="AL410" s="2">
        <f>IF(AND(Games[[#This Row],[Type]]="P",Games[[#This Row],[Round]]=4),IF(Games[[#This Row],[Result]]&lt;0.5,1,0),0)</f>
        <v>0</v>
      </c>
    </row>
    <row r="411" spans="1:38" x14ac:dyDescent="0.35">
      <c r="A411" s="10">
        <v>45164</v>
      </c>
      <c r="B411" s="2">
        <v>2023</v>
      </c>
      <c r="C411" s="2">
        <f>COUNTIFS(Games[Team],Games[[#This Row],[Team]],Games[Season],Games[[#This Row],[Season]],Games[Date],"&lt;=" &amp; Games[[#This Row],[Date]])</f>
        <v>34</v>
      </c>
      <c r="D411" s="2" t="s">
        <v>79</v>
      </c>
      <c r="E411" s="2" t="s">
        <v>80</v>
      </c>
      <c r="F411" s="1" t="s">
        <v>65</v>
      </c>
      <c r="G411" s="1" t="s">
        <v>86</v>
      </c>
      <c r="H411" s="1" t="s">
        <v>82</v>
      </c>
      <c r="I411" s="2" cm="1">
        <f t="array" ref="I41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1" s="2" cm="1">
        <f t="array" ref="J4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1" s="2">
        <f>Games[[#This Row],[DaysOff]]-Games[[#This Row],[OppDaysOff]]</f>
        <v>2</v>
      </c>
      <c r="L411" s="2">
        <f>Games[[#This Row],[OppDaysOff]]-Games[[#This Row],[DaysOff]]</f>
        <v>-2</v>
      </c>
      <c r="M411" s="1">
        <f>MAX(-16, MIN(16, Games[[#This Row],[RestDiff]]*8))</f>
        <v>16</v>
      </c>
      <c r="N411" s="1">
        <f>MAX(-16, MIN(16, Games[[#This Row],[OppRestDiff]]*8))</f>
        <v>-16</v>
      </c>
      <c r="O411" s="4" cm="1">
        <f t="array" ref="O4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1445.2327948105942</v>
      </c>
      <c r="P411" s="4" cm="1">
        <f t="array" ref="P4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1730.8331225570741</v>
      </c>
      <c r="Q411" s="4">
        <f>1/(1+10^(((Games[[#This Row],[OppPreGmRate]]+IF(Games[[#This Row],[HomeAway]]="A",HCA,0)+Games[[#This Row],[OppRestAdj]])-(Games[[#This Row],[PreGmRate]]+IF(Games[[#This Row],[HomeAway]]="H",HCA,0)+Games[[#This Row],[RestAdj]]))/400))</f>
        <v>0.27362696537940301</v>
      </c>
      <c r="R411" s="1">
        <v>78</v>
      </c>
      <c r="S411" s="1">
        <v>62</v>
      </c>
      <c r="T411" s="1">
        <v>0</v>
      </c>
      <c r="U411" s="1">
        <f>Games[[#This Row],[PointsFor]]-Games[[#This Row],[PointsAgainst]]</f>
        <v>16</v>
      </c>
      <c r="V411" s="1">
        <f>IF(Games[[#This Row],[MOV]]&gt;0,1,IF(Games[[#This Row],[MOV]]=0,0.5,0))</f>
        <v>1</v>
      </c>
      <c r="W411" s="4">
        <f>((ABS(Games[[#This Row],[MOV]])+5)^0.6)/(12+0.01*(ABS(Games[[#This Row],[PreGmRate]]-Games[[#This Row],[OppPreGmRate]])))*IF(Games[[#This Row],[OT]]=1,0.9,1)</f>
        <v>0.41824387564493559</v>
      </c>
      <c r="X411" s="7" cm="1">
        <f t="array" ref="X41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1" s="9">
        <f>MAX(kmin, kmax - 0.15 * MIN(Games[[#This Row],[GamesPlayed]], 82))</f>
        <v>70.900000000000006</v>
      </c>
      <c r="Z411" s="4">
        <f>Games[[#This Row],[K]]*Games[[#This Row],[POMult]]</f>
        <v>70.900000000000006</v>
      </c>
      <c r="AA411" s="4">
        <f>(Games[[#This Row],[Keff]]*Games[[#This Row],[MOVMult]])*(Games[[#This Row],[Result]]-Games[[#This Row],[ExpectedWin%]])</f>
        <v>21.539496087305729</v>
      </c>
      <c r="AB411" s="4">
        <f>Games[[#This Row],[PreGmRate]]+Games[[#This Row],[RatingChange]]</f>
        <v>1466.7722908978999</v>
      </c>
      <c r="AC411" s="2">
        <f>IF(Games[[#This Row],[Type]]="R",IF(Games[[#This Row],[Result]]&gt;0.5,1,0),0)</f>
        <v>1</v>
      </c>
      <c r="AD411" s="2">
        <f>IF(Games[[#This Row],[Type]]="R",IF(Games[[#This Row],[Result]]&lt;0.5,1,0),0)</f>
        <v>0</v>
      </c>
      <c r="AE411" s="2">
        <f>IF(AND(Games[[#This Row],[Type]]="P",Games[[#This Row],[Round]]=1),IF(Games[[#This Row],[Result]]&gt;0.5,1,0),0)</f>
        <v>0</v>
      </c>
      <c r="AF411" s="2">
        <f>IF(AND(Games[[#This Row],[Type]]="P",Games[[#This Row],[Round]]=1),IF(Games[[#This Row],[Result]]&lt;0.5,1,0),0)</f>
        <v>0</v>
      </c>
      <c r="AG411" s="2">
        <f>IF(AND(Games[[#This Row],[Type]]="P",Games[[#This Row],[Round]]=2),IF(Games[[#This Row],[Result]]&gt;0.5,1,0),0)</f>
        <v>0</v>
      </c>
      <c r="AH411" s="2">
        <f>IF(AND(Games[[#This Row],[Type]]="P",Games[[#This Row],[Round]]=2),IF(Games[[#This Row],[Result]]&lt;0.5,1,0),0)</f>
        <v>0</v>
      </c>
      <c r="AI411" s="2">
        <f>IF(AND(Games[[#This Row],[Type]]="P",Games[[#This Row],[Round]]=3),IF(Games[[#This Row],[Result]]&gt;0.5,1,0),0)</f>
        <v>0</v>
      </c>
      <c r="AJ411" s="2">
        <f>IF(AND(Games[[#This Row],[Type]]="P",Games[[#This Row],[Round]]=3),IF(Games[[#This Row],[Result]]&lt;0.5,1,0),0)</f>
        <v>0</v>
      </c>
      <c r="AK411" s="2">
        <f>IF(AND(Games[[#This Row],[Type]]="P",Games[[#This Row],[Round]]=4),IF(Games[[#This Row],[Result]]&gt;0.5,1,0),0)</f>
        <v>0</v>
      </c>
      <c r="AL411" s="2">
        <f>IF(AND(Games[[#This Row],[Type]]="P",Games[[#This Row],[Round]]=4),IF(Games[[#This Row],[Result]]&lt;0.5,1,0),0)</f>
        <v>0</v>
      </c>
    </row>
    <row r="412" spans="1:38" x14ac:dyDescent="0.35">
      <c r="A412" s="10">
        <v>45165</v>
      </c>
      <c r="B412" s="2">
        <v>2023</v>
      </c>
      <c r="C412" s="2">
        <f>COUNTIFS(Games[Team],Games[[#This Row],[Team]],Games[Season],Games[[#This Row],[Season]],Games[Date],"&lt;=" &amp; Games[[#This Row],[Date]])</f>
        <v>34</v>
      </c>
      <c r="D412" s="2" t="s">
        <v>79</v>
      </c>
      <c r="E412" s="2" t="s">
        <v>80</v>
      </c>
      <c r="F412" s="1" t="s">
        <v>63</v>
      </c>
      <c r="G412" s="1" t="s">
        <v>74</v>
      </c>
      <c r="H412" s="1" t="s">
        <v>81</v>
      </c>
      <c r="I412" s="2" cm="1">
        <f t="array" ref="I4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2" s="2" cm="1">
        <f t="array" ref="J4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2" s="2">
        <f>Games[[#This Row],[DaysOff]]-Games[[#This Row],[OppDaysOff]]</f>
        <v>-1</v>
      </c>
      <c r="L412" s="2">
        <f>Games[[#This Row],[OppDaysOff]]-Games[[#This Row],[DaysOff]]</f>
        <v>1</v>
      </c>
      <c r="M412" s="1">
        <f>MAX(-16, MIN(16, Games[[#This Row],[RestDiff]]*8))</f>
        <v>-8</v>
      </c>
      <c r="N412" s="1">
        <f>MAX(-16, MIN(16, Games[[#This Row],[OppRestDiff]]*8))</f>
        <v>8</v>
      </c>
      <c r="O412" s="4" cm="1">
        <f t="array" ref="O4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1462.7757205897653</v>
      </c>
      <c r="P412" s="4" cm="1">
        <f t="array" ref="P4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1613.8522862556672</v>
      </c>
      <c r="Q412" s="4">
        <f>1/(1+10^(((Games[[#This Row],[OppPreGmRate]]+IF(Games[[#This Row],[HomeAway]]="A",HCA,0)+Games[[#This Row],[OppRestAdj]])-(Games[[#This Row],[PreGmRate]]+IF(Games[[#This Row],[HomeAway]]="H",HCA,0)+Games[[#This Row],[RestAdj]]))/400))</f>
        <v>0.19072396461360003</v>
      </c>
      <c r="R412" s="1">
        <v>68</v>
      </c>
      <c r="S412" s="1">
        <v>83</v>
      </c>
      <c r="T412" s="1">
        <v>0</v>
      </c>
      <c r="U412" s="1">
        <f>Games[[#This Row],[PointsFor]]-Games[[#This Row],[PointsAgainst]]</f>
        <v>-15</v>
      </c>
      <c r="V412" s="1">
        <f>IF(Games[[#This Row],[MOV]]&gt;0,1,IF(Games[[#This Row],[MOV]]=0,0.5,0))</f>
        <v>0</v>
      </c>
      <c r="W412" s="4">
        <f>((ABS(Games[[#This Row],[MOV]])+5)^0.6)/(12+0.01*(ABS(Games[[#This Row],[PreGmRate]]-Games[[#This Row],[OppPreGmRate]])))*IF(Games[[#This Row],[OT]]=1,0.9,1)</f>
        <v>0.44661986521623309</v>
      </c>
      <c r="X412" s="7" cm="1">
        <f t="array" ref="X41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2" s="9">
        <f>MAX(kmin, kmax - 0.15 * MIN(Games[[#This Row],[GamesPlayed]], 82))</f>
        <v>70.900000000000006</v>
      </c>
      <c r="Z412" s="4">
        <f>Games[[#This Row],[K]]*Games[[#This Row],[POMult]]</f>
        <v>70.900000000000006</v>
      </c>
      <c r="AA412" s="4">
        <f>(Games[[#This Row],[Keff]]*Games[[#This Row],[MOVMult]])*(Games[[#This Row],[Result]]-Games[[#This Row],[ExpectedWin%]])</f>
        <v>-6.039340796078525</v>
      </c>
      <c r="AB412" s="4">
        <f>Games[[#This Row],[PreGmRate]]+Games[[#This Row],[RatingChange]]</f>
        <v>1456.7363797936869</v>
      </c>
      <c r="AC412" s="2">
        <f>IF(Games[[#This Row],[Type]]="R",IF(Games[[#This Row],[Result]]&gt;0.5,1,0),0)</f>
        <v>0</v>
      </c>
      <c r="AD412" s="2">
        <f>IF(Games[[#This Row],[Type]]="R",IF(Games[[#This Row],[Result]]&lt;0.5,1,0),0)</f>
        <v>1</v>
      </c>
      <c r="AE412" s="2">
        <f>IF(AND(Games[[#This Row],[Type]]="P",Games[[#This Row],[Round]]=1),IF(Games[[#This Row],[Result]]&gt;0.5,1,0),0)</f>
        <v>0</v>
      </c>
      <c r="AF412" s="2">
        <f>IF(AND(Games[[#This Row],[Type]]="P",Games[[#This Row],[Round]]=1),IF(Games[[#This Row],[Result]]&lt;0.5,1,0),0)</f>
        <v>0</v>
      </c>
      <c r="AG412" s="2">
        <f>IF(AND(Games[[#This Row],[Type]]="P",Games[[#This Row],[Round]]=2),IF(Games[[#This Row],[Result]]&gt;0.5,1,0),0)</f>
        <v>0</v>
      </c>
      <c r="AH412" s="2">
        <f>IF(AND(Games[[#This Row],[Type]]="P",Games[[#This Row],[Round]]=2),IF(Games[[#This Row],[Result]]&lt;0.5,1,0),0)</f>
        <v>0</v>
      </c>
      <c r="AI412" s="2">
        <f>IF(AND(Games[[#This Row],[Type]]="P",Games[[#This Row],[Round]]=3),IF(Games[[#This Row],[Result]]&gt;0.5,1,0),0)</f>
        <v>0</v>
      </c>
      <c r="AJ412" s="2">
        <f>IF(AND(Games[[#This Row],[Type]]="P",Games[[#This Row],[Round]]=3),IF(Games[[#This Row],[Result]]&lt;0.5,1,0),0)</f>
        <v>0</v>
      </c>
      <c r="AK412" s="2">
        <f>IF(AND(Games[[#This Row],[Type]]="P",Games[[#This Row],[Round]]=4),IF(Games[[#This Row],[Result]]&gt;0.5,1,0),0)</f>
        <v>0</v>
      </c>
      <c r="AL412" s="2">
        <f>IF(AND(Games[[#This Row],[Type]]="P",Games[[#This Row],[Round]]=4),IF(Games[[#This Row],[Result]]&lt;0.5,1,0),0)</f>
        <v>0</v>
      </c>
    </row>
    <row r="413" spans="1:38" x14ac:dyDescent="0.35">
      <c r="A413" s="10">
        <v>45165</v>
      </c>
      <c r="B413" s="2">
        <v>2023</v>
      </c>
      <c r="C413" s="2">
        <f>COUNTIFS(Games[Team],Games[[#This Row],[Team]],Games[Season],Games[[#This Row],[Season]],Games[Date],"&lt;=" &amp; Games[[#This Row],[Date]])</f>
        <v>35</v>
      </c>
      <c r="D413" s="2" t="s">
        <v>79</v>
      </c>
      <c r="E413" s="2" t="s">
        <v>80</v>
      </c>
      <c r="F413" s="1" t="s">
        <v>74</v>
      </c>
      <c r="G413" s="1" t="s">
        <v>63</v>
      </c>
      <c r="H413" s="1" t="s">
        <v>82</v>
      </c>
      <c r="I413" s="2" cm="1">
        <f t="array" ref="I4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3" s="2" cm="1">
        <f t="array" ref="J4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3" s="2">
        <f>Games[[#This Row],[DaysOff]]-Games[[#This Row],[OppDaysOff]]</f>
        <v>1</v>
      </c>
      <c r="L413" s="2">
        <f>Games[[#This Row],[OppDaysOff]]-Games[[#This Row],[DaysOff]]</f>
        <v>-1</v>
      </c>
      <c r="M413" s="1">
        <f>MAX(-16, MIN(16, Games[[#This Row],[RestDiff]]*8))</f>
        <v>8</v>
      </c>
      <c r="N413" s="1">
        <f>MAX(-16, MIN(16, Games[[#This Row],[OppRestDiff]]*8))</f>
        <v>-8</v>
      </c>
      <c r="O413" s="4" cm="1">
        <f t="array" ref="O4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1613.8522862556672</v>
      </c>
      <c r="P413" s="4" cm="1">
        <f t="array" ref="P4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1462.7757205897653</v>
      </c>
      <c r="Q413" s="4">
        <f>1/(1+10^(((Games[[#This Row],[OppPreGmRate]]+IF(Games[[#This Row],[HomeAway]]="A",HCA,0)+Games[[#This Row],[OppRestAdj]])-(Games[[#This Row],[PreGmRate]]+IF(Games[[#This Row],[HomeAway]]="H",HCA,0)+Games[[#This Row],[RestAdj]]))/400))</f>
        <v>0.80927603538639992</v>
      </c>
      <c r="R413" s="1">
        <v>83</v>
      </c>
      <c r="S413" s="1">
        <v>68</v>
      </c>
      <c r="T413" s="1">
        <v>0</v>
      </c>
      <c r="U413" s="1">
        <f>Games[[#This Row],[PointsFor]]-Games[[#This Row],[PointsAgainst]]</f>
        <v>15</v>
      </c>
      <c r="V413" s="1">
        <f>IF(Games[[#This Row],[MOV]]&gt;0,1,IF(Games[[#This Row],[MOV]]=0,0.5,0))</f>
        <v>1</v>
      </c>
      <c r="W413" s="4">
        <f>((ABS(Games[[#This Row],[MOV]])+5)^0.6)/(12+0.01*(ABS(Games[[#This Row],[PreGmRate]]-Games[[#This Row],[OppPreGmRate]])))*IF(Games[[#This Row],[OT]]=1,0.9,1)</f>
        <v>0.44661986521623309</v>
      </c>
      <c r="X413" s="7" cm="1">
        <f t="array" ref="X41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3" s="9">
        <f>MAX(kmin, kmax - 0.15 * MIN(Games[[#This Row],[GamesPlayed]], 82))</f>
        <v>70.75</v>
      </c>
      <c r="Z413" s="4">
        <f>Games[[#This Row],[K]]*Games[[#This Row],[POMult]]</f>
        <v>70.75</v>
      </c>
      <c r="AA413" s="4">
        <f>(Games[[#This Row],[Keff]]*Games[[#This Row],[MOVMult]])*(Games[[#This Row],[Result]]-Games[[#This Row],[ExpectedWin%]])</f>
        <v>6.0265636293731415</v>
      </c>
      <c r="AB413" s="4">
        <f>Games[[#This Row],[PreGmRate]]+Games[[#This Row],[RatingChange]]</f>
        <v>1619.8788498850404</v>
      </c>
      <c r="AC413" s="2">
        <f>IF(Games[[#This Row],[Type]]="R",IF(Games[[#This Row],[Result]]&gt;0.5,1,0),0)</f>
        <v>1</v>
      </c>
      <c r="AD413" s="2">
        <f>IF(Games[[#This Row],[Type]]="R",IF(Games[[#This Row],[Result]]&lt;0.5,1,0),0)</f>
        <v>0</v>
      </c>
      <c r="AE413" s="2">
        <f>IF(AND(Games[[#This Row],[Type]]="P",Games[[#This Row],[Round]]=1),IF(Games[[#This Row],[Result]]&gt;0.5,1,0),0)</f>
        <v>0</v>
      </c>
      <c r="AF413" s="2">
        <f>IF(AND(Games[[#This Row],[Type]]="P",Games[[#This Row],[Round]]=1),IF(Games[[#This Row],[Result]]&lt;0.5,1,0),0)</f>
        <v>0</v>
      </c>
      <c r="AG413" s="2">
        <f>IF(AND(Games[[#This Row],[Type]]="P",Games[[#This Row],[Round]]=2),IF(Games[[#This Row],[Result]]&gt;0.5,1,0),0)</f>
        <v>0</v>
      </c>
      <c r="AH413" s="2">
        <f>IF(AND(Games[[#This Row],[Type]]="P",Games[[#This Row],[Round]]=2),IF(Games[[#This Row],[Result]]&lt;0.5,1,0),0)</f>
        <v>0</v>
      </c>
      <c r="AI413" s="2">
        <f>IF(AND(Games[[#This Row],[Type]]="P",Games[[#This Row],[Round]]=3),IF(Games[[#This Row],[Result]]&gt;0.5,1,0),0)</f>
        <v>0</v>
      </c>
      <c r="AJ413" s="2">
        <f>IF(AND(Games[[#This Row],[Type]]="P",Games[[#This Row],[Round]]=3),IF(Games[[#This Row],[Result]]&lt;0.5,1,0),0)</f>
        <v>0</v>
      </c>
      <c r="AK413" s="2">
        <f>IF(AND(Games[[#This Row],[Type]]="P",Games[[#This Row],[Round]]=4),IF(Games[[#This Row],[Result]]&gt;0.5,1,0),0)</f>
        <v>0</v>
      </c>
      <c r="AL413" s="2">
        <f>IF(AND(Games[[#This Row],[Type]]="P",Games[[#This Row],[Round]]=4),IF(Games[[#This Row],[Result]]&lt;0.5,1,0),0)</f>
        <v>0</v>
      </c>
    </row>
    <row r="414" spans="1:38" x14ac:dyDescent="0.35">
      <c r="A414" s="10">
        <v>45165</v>
      </c>
      <c r="B414" s="2">
        <v>2023</v>
      </c>
      <c r="C414" s="2">
        <f>COUNTIFS(Games[Team],Games[[#This Row],[Team]],Games[Season],Games[[#This Row],[Season]],Games[Date],"&lt;=" &amp; Games[[#This Row],[Date]])</f>
        <v>35</v>
      </c>
      <c r="D414" s="2" t="s">
        <v>79</v>
      </c>
      <c r="E414" s="2" t="s">
        <v>80</v>
      </c>
      <c r="F414" s="1" t="s">
        <v>77</v>
      </c>
      <c r="G414" s="1" t="s">
        <v>69</v>
      </c>
      <c r="H414" s="1" t="s">
        <v>81</v>
      </c>
      <c r="I414" s="2" cm="1">
        <f t="array" ref="I4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4" s="2" cm="1">
        <f t="array" ref="J4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4" s="2">
        <f>Games[[#This Row],[DaysOff]]-Games[[#This Row],[OppDaysOff]]</f>
        <v>-1</v>
      </c>
      <c r="L414" s="2">
        <f>Games[[#This Row],[OppDaysOff]]-Games[[#This Row],[DaysOff]]</f>
        <v>1</v>
      </c>
      <c r="M414" s="1">
        <f>MAX(-16, MIN(16, Games[[#This Row],[RestDiff]]*8))</f>
        <v>-8</v>
      </c>
      <c r="N414" s="1">
        <f>MAX(-16, MIN(16, Games[[#This Row],[OppRestDiff]]*8))</f>
        <v>8</v>
      </c>
      <c r="O414" s="4" cm="1">
        <f t="array" ref="O4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1457.4016260745566</v>
      </c>
      <c r="P414" s="4" cm="1">
        <f t="array" ref="P4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1340.9754564701896</v>
      </c>
      <c r="Q414" s="4">
        <f>1/(1+10^(((Games[[#This Row],[OppPreGmRate]]+IF(Games[[#This Row],[HomeAway]]="A",HCA,0)+Games[[#This Row],[OppRestAdj]])-(Games[[#This Row],[PreGmRate]]+IF(Games[[#This Row],[HomeAway]]="H",HCA,0)+Games[[#This Row],[RestAdj]]))/400))</f>
        <v>0.5236215609668744</v>
      </c>
      <c r="R414" s="1">
        <v>80</v>
      </c>
      <c r="S414" s="1">
        <v>83</v>
      </c>
      <c r="T414" s="1">
        <v>0</v>
      </c>
      <c r="U414" s="1">
        <f>Games[[#This Row],[PointsFor]]-Games[[#This Row],[PointsAgainst]]</f>
        <v>-3</v>
      </c>
      <c r="V414" s="1">
        <f>IF(Games[[#This Row],[MOV]]&gt;0,1,IF(Games[[#This Row],[MOV]]=0,0.5,0))</f>
        <v>0</v>
      </c>
      <c r="W414" s="4">
        <f>((ABS(Games[[#This Row],[MOV]])+5)^0.6)/(12+0.01*(ABS(Games[[#This Row],[PreGmRate]]-Games[[#This Row],[OppPreGmRate]])))*IF(Games[[#This Row],[OT]]=1,0.9,1)</f>
        <v>0.26451937325364949</v>
      </c>
      <c r="X414" s="7" cm="1">
        <f t="array" ref="X41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4" s="9">
        <f>MAX(kmin, kmax - 0.15 * MIN(Games[[#This Row],[GamesPlayed]], 82))</f>
        <v>70.75</v>
      </c>
      <c r="Z414" s="4">
        <f>Games[[#This Row],[K]]*Games[[#This Row],[POMult]]</f>
        <v>70.75</v>
      </c>
      <c r="AA414" s="4">
        <f>(Games[[#This Row],[Keff]]*Games[[#This Row],[MOVMult]])*(Games[[#This Row],[Result]]-Games[[#This Row],[ExpectedWin%]])</f>
        <v>-9.7994443343806577</v>
      </c>
      <c r="AB414" s="4">
        <f>Games[[#This Row],[PreGmRate]]+Games[[#This Row],[RatingChange]]</f>
        <v>1447.6021817401759</v>
      </c>
      <c r="AC414" s="2">
        <f>IF(Games[[#This Row],[Type]]="R",IF(Games[[#This Row],[Result]]&gt;0.5,1,0),0)</f>
        <v>0</v>
      </c>
      <c r="AD414" s="2">
        <f>IF(Games[[#This Row],[Type]]="R",IF(Games[[#This Row],[Result]]&lt;0.5,1,0),0)</f>
        <v>1</v>
      </c>
      <c r="AE414" s="2">
        <f>IF(AND(Games[[#This Row],[Type]]="P",Games[[#This Row],[Round]]=1),IF(Games[[#This Row],[Result]]&gt;0.5,1,0),0)</f>
        <v>0</v>
      </c>
      <c r="AF414" s="2">
        <f>IF(AND(Games[[#This Row],[Type]]="P",Games[[#This Row],[Round]]=1),IF(Games[[#This Row],[Result]]&lt;0.5,1,0),0)</f>
        <v>0</v>
      </c>
      <c r="AG414" s="2">
        <f>IF(AND(Games[[#This Row],[Type]]="P",Games[[#This Row],[Round]]=2),IF(Games[[#This Row],[Result]]&gt;0.5,1,0),0)</f>
        <v>0</v>
      </c>
      <c r="AH414" s="2">
        <f>IF(AND(Games[[#This Row],[Type]]="P",Games[[#This Row],[Round]]=2),IF(Games[[#This Row],[Result]]&lt;0.5,1,0),0)</f>
        <v>0</v>
      </c>
      <c r="AI414" s="2">
        <f>IF(AND(Games[[#This Row],[Type]]="P",Games[[#This Row],[Round]]=3),IF(Games[[#This Row],[Result]]&gt;0.5,1,0),0)</f>
        <v>0</v>
      </c>
      <c r="AJ414" s="2">
        <f>IF(AND(Games[[#This Row],[Type]]="P",Games[[#This Row],[Round]]=3),IF(Games[[#This Row],[Result]]&lt;0.5,1,0),0)</f>
        <v>0</v>
      </c>
      <c r="AK414" s="2">
        <f>IF(AND(Games[[#This Row],[Type]]="P",Games[[#This Row],[Round]]=4),IF(Games[[#This Row],[Result]]&gt;0.5,1,0),0)</f>
        <v>0</v>
      </c>
      <c r="AL414" s="2">
        <f>IF(AND(Games[[#This Row],[Type]]="P",Games[[#This Row],[Round]]=4),IF(Games[[#This Row],[Result]]&lt;0.5,1,0),0)</f>
        <v>0</v>
      </c>
    </row>
    <row r="415" spans="1:38" x14ac:dyDescent="0.35">
      <c r="A415" s="10">
        <v>45165</v>
      </c>
      <c r="B415" s="2">
        <v>2023</v>
      </c>
      <c r="C415" s="2">
        <f>COUNTIFS(Games[Team],Games[[#This Row],[Team]],Games[Season],Games[[#This Row],[Season]],Games[Date],"&lt;=" &amp; Games[[#This Row],[Date]])</f>
        <v>35</v>
      </c>
      <c r="D415" s="2" t="s">
        <v>79</v>
      </c>
      <c r="E415" s="2" t="s">
        <v>80</v>
      </c>
      <c r="F415" s="1" t="s">
        <v>69</v>
      </c>
      <c r="G415" s="1" t="s">
        <v>77</v>
      </c>
      <c r="H415" s="1" t="s">
        <v>82</v>
      </c>
      <c r="I415" s="2" cm="1">
        <f t="array" ref="I4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5" s="2" cm="1">
        <f t="array" ref="J4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5" s="2">
        <f>Games[[#This Row],[DaysOff]]-Games[[#This Row],[OppDaysOff]]</f>
        <v>1</v>
      </c>
      <c r="L415" s="2">
        <f>Games[[#This Row],[OppDaysOff]]-Games[[#This Row],[DaysOff]]</f>
        <v>-1</v>
      </c>
      <c r="M415" s="1">
        <f>MAX(-16, MIN(16, Games[[#This Row],[RestDiff]]*8))</f>
        <v>8</v>
      </c>
      <c r="N415" s="1">
        <f>MAX(-16, MIN(16, Games[[#This Row],[OppRestDiff]]*8))</f>
        <v>-8</v>
      </c>
      <c r="O415" s="4" cm="1">
        <f t="array" ref="O4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1340.9754564701896</v>
      </c>
      <c r="P415" s="4" cm="1">
        <f t="array" ref="P4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1457.4016260745566</v>
      </c>
      <c r="Q415" s="4">
        <f>1/(1+10^(((Games[[#This Row],[OppPreGmRate]]+IF(Games[[#This Row],[HomeAway]]="A",HCA,0)+Games[[#This Row],[OppRestAdj]])-(Games[[#This Row],[PreGmRate]]+IF(Games[[#This Row],[HomeAway]]="H",HCA,0)+Games[[#This Row],[RestAdj]]))/400))</f>
        <v>0.47637843903312554</v>
      </c>
      <c r="R415" s="1">
        <v>83</v>
      </c>
      <c r="S415" s="1">
        <v>80</v>
      </c>
      <c r="T415" s="1">
        <v>0</v>
      </c>
      <c r="U415" s="1">
        <f>Games[[#This Row],[PointsFor]]-Games[[#This Row],[PointsAgainst]]</f>
        <v>3</v>
      </c>
      <c r="V415" s="1">
        <f>IF(Games[[#This Row],[MOV]]&gt;0,1,IF(Games[[#This Row],[MOV]]=0,0.5,0))</f>
        <v>1</v>
      </c>
      <c r="W415" s="4">
        <f>((ABS(Games[[#This Row],[MOV]])+5)^0.6)/(12+0.01*(ABS(Games[[#This Row],[PreGmRate]]-Games[[#This Row],[OppPreGmRate]])))*IF(Games[[#This Row],[OT]]=1,0.9,1)</f>
        <v>0.26451937325364949</v>
      </c>
      <c r="X415" s="7" cm="1">
        <f t="array" ref="X41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5" s="9">
        <f>MAX(kmin, kmax - 0.15 * MIN(Games[[#This Row],[GamesPlayed]], 82))</f>
        <v>70.75</v>
      </c>
      <c r="Z415" s="4">
        <f>Games[[#This Row],[K]]*Games[[#This Row],[POMult]]</f>
        <v>70.75</v>
      </c>
      <c r="AA415" s="4">
        <f>(Games[[#This Row],[Keff]]*Games[[#This Row],[MOVMult]])*(Games[[#This Row],[Result]]-Games[[#This Row],[ExpectedWin%]])</f>
        <v>9.7994443343806577</v>
      </c>
      <c r="AB415" s="4">
        <f>Games[[#This Row],[PreGmRate]]+Games[[#This Row],[RatingChange]]</f>
        <v>1350.7749008045703</v>
      </c>
      <c r="AC415" s="2">
        <f>IF(Games[[#This Row],[Type]]="R",IF(Games[[#This Row],[Result]]&gt;0.5,1,0),0)</f>
        <v>1</v>
      </c>
      <c r="AD415" s="2">
        <f>IF(Games[[#This Row],[Type]]="R",IF(Games[[#This Row],[Result]]&lt;0.5,1,0),0)</f>
        <v>0</v>
      </c>
      <c r="AE415" s="2">
        <f>IF(AND(Games[[#This Row],[Type]]="P",Games[[#This Row],[Round]]=1),IF(Games[[#This Row],[Result]]&gt;0.5,1,0),0)</f>
        <v>0</v>
      </c>
      <c r="AF415" s="2">
        <f>IF(AND(Games[[#This Row],[Type]]="P",Games[[#This Row],[Round]]=1),IF(Games[[#This Row],[Result]]&lt;0.5,1,0),0)</f>
        <v>0</v>
      </c>
      <c r="AG415" s="2">
        <f>IF(AND(Games[[#This Row],[Type]]="P",Games[[#This Row],[Round]]=2),IF(Games[[#This Row],[Result]]&gt;0.5,1,0),0)</f>
        <v>0</v>
      </c>
      <c r="AH415" s="2">
        <f>IF(AND(Games[[#This Row],[Type]]="P",Games[[#This Row],[Round]]=2),IF(Games[[#This Row],[Result]]&lt;0.5,1,0),0)</f>
        <v>0</v>
      </c>
      <c r="AI415" s="2">
        <f>IF(AND(Games[[#This Row],[Type]]="P",Games[[#This Row],[Round]]=3),IF(Games[[#This Row],[Result]]&gt;0.5,1,0),0)</f>
        <v>0</v>
      </c>
      <c r="AJ415" s="2">
        <f>IF(AND(Games[[#This Row],[Type]]="P",Games[[#This Row],[Round]]=3),IF(Games[[#This Row],[Result]]&lt;0.5,1,0),0)</f>
        <v>0</v>
      </c>
      <c r="AK415" s="2">
        <f>IF(AND(Games[[#This Row],[Type]]="P",Games[[#This Row],[Round]]=4),IF(Games[[#This Row],[Result]]&gt;0.5,1,0),0)</f>
        <v>0</v>
      </c>
      <c r="AL415" s="2">
        <f>IF(AND(Games[[#This Row],[Type]]="P",Games[[#This Row],[Round]]=4),IF(Games[[#This Row],[Result]]&lt;0.5,1,0),0)</f>
        <v>0</v>
      </c>
    </row>
    <row r="416" spans="1:38" x14ac:dyDescent="0.35">
      <c r="A416" s="10">
        <v>45165</v>
      </c>
      <c r="B416" s="2">
        <v>2023</v>
      </c>
      <c r="C416" s="2">
        <f>COUNTIFS(Games[Team],Games[[#This Row],[Team]],Games[Season],Games[[#This Row],[Season]],Games[Date],"&lt;=" &amp; Games[[#This Row],[Date]])</f>
        <v>35</v>
      </c>
      <c r="D416" s="2" t="s">
        <v>79</v>
      </c>
      <c r="E416" s="2" t="s">
        <v>80</v>
      </c>
      <c r="F416" s="1" t="s">
        <v>85</v>
      </c>
      <c r="G416" s="1" t="s">
        <v>40</v>
      </c>
      <c r="H416" s="1" t="s">
        <v>81</v>
      </c>
      <c r="I416" s="2" cm="1">
        <f t="array" ref="I4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6" s="2" cm="1">
        <f t="array" ref="J41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6" s="2">
        <f>Games[[#This Row],[DaysOff]]-Games[[#This Row],[OppDaysOff]]</f>
        <v>-1</v>
      </c>
      <c r="L416" s="2">
        <f>Games[[#This Row],[OppDaysOff]]-Games[[#This Row],[DaysOff]]</f>
        <v>1</v>
      </c>
      <c r="M416" s="1">
        <f>MAX(-16, MIN(16, Games[[#This Row],[RestDiff]]*8))</f>
        <v>-8</v>
      </c>
      <c r="N416" s="1">
        <f>MAX(-16, MIN(16, Games[[#This Row],[OppRestDiff]]*8))</f>
        <v>8</v>
      </c>
      <c r="O416" s="4" cm="1">
        <f t="array" ref="O4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1548.6668840390503</v>
      </c>
      <c r="P416" s="4" cm="1">
        <f t="array" ref="P4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1348.0341023676683</v>
      </c>
      <c r="Q416" s="4">
        <f>1/(1+10^(((Games[[#This Row],[OppPreGmRate]]+IF(Games[[#This Row],[HomeAway]]="A",HCA,0)+Games[[#This Row],[OppRestAdj]])-(Games[[#This Row],[PreGmRate]]+IF(Games[[#This Row],[HomeAway]]="H",HCA,0)+Games[[#This Row],[RestAdj]]))/400))</f>
        <v>0.64090375601179528</v>
      </c>
      <c r="R416" s="1">
        <v>77</v>
      </c>
      <c r="S416" s="1">
        <v>74</v>
      </c>
      <c r="T416" s="1">
        <v>0</v>
      </c>
      <c r="U416" s="1">
        <f>Games[[#This Row],[PointsFor]]-Games[[#This Row],[PointsAgainst]]</f>
        <v>3</v>
      </c>
      <c r="V416" s="1">
        <f>IF(Games[[#This Row],[MOV]]&gt;0,1,IF(Games[[#This Row],[MOV]]=0,0.5,0))</f>
        <v>1</v>
      </c>
      <c r="W416" s="4">
        <f>((ABS(Games[[#This Row],[MOV]])+5)^0.6)/(12+0.01*(ABS(Games[[#This Row],[PreGmRate]]-Games[[#This Row],[OppPreGmRate]])))*IF(Games[[#This Row],[OT]]=1,0.9,1)</f>
        <v>0.24861636102998869</v>
      </c>
      <c r="X416" s="7" cm="1">
        <f t="array" ref="X41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6" s="9">
        <f>MAX(kmin, kmax - 0.15 * MIN(Games[[#This Row],[GamesPlayed]], 82))</f>
        <v>70.75</v>
      </c>
      <c r="Z416" s="4">
        <f>Games[[#This Row],[K]]*Games[[#This Row],[POMult]]</f>
        <v>70.75</v>
      </c>
      <c r="AA416" s="4">
        <f>(Games[[#This Row],[Keff]]*Games[[#This Row],[MOVMult]])*(Games[[#This Row],[Result]]-Games[[#This Row],[ExpectedWin%]])</f>
        <v>6.3163620018718225</v>
      </c>
      <c r="AB416" s="4">
        <f>Games[[#This Row],[PreGmRate]]+Games[[#This Row],[RatingChange]]</f>
        <v>1554.983246040922</v>
      </c>
      <c r="AC416" s="2">
        <f>IF(Games[[#This Row],[Type]]="R",IF(Games[[#This Row],[Result]]&gt;0.5,1,0),0)</f>
        <v>1</v>
      </c>
      <c r="AD416" s="2">
        <f>IF(Games[[#This Row],[Type]]="R",IF(Games[[#This Row],[Result]]&lt;0.5,1,0),0)</f>
        <v>0</v>
      </c>
      <c r="AE416" s="2">
        <f>IF(AND(Games[[#This Row],[Type]]="P",Games[[#This Row],[Round]]=1),IF(Games[[#This Row],[Result]]&gt;0.5,1,0),0)</f>
        <v>0</v>
      </c>
      <c r="AF416" s="2">
        <f>IF(AND(Games[[#This Row],[Type]]="P",Games[[#This Row],[Round]]=1),IF(Games[[#This Row],[Result]]&lt;0.5,1,0),0)</f>
        <v>0</v>
      </c>
      <c r="AG416" s="2">
        <f>IF(AND(Games[[#This Row],[Type]]="P",Games[[#This Row],[Round]]=2),IF(Games[[#This Row],[Result]]&gt;0.5,1,0),0)</f>
        <v>0</v>
      </c>
      <c r="AH416" s="2">
        <f>IF(AND(Games[[#This Row],[Type]]="P",Games[[#This Row],[Round]]=2),IF(Games[[#This Row],[Result]]&lt;0.5,1,0),0)</f>
        <v>0</v>
      </c>
      <c r="AI416" s="2">
        <f>IF(AND(Games[[#This Row],[Type]]="P",Games[[#This Row],[Round]]=3),IF(Games[[#This Row],[Result]]&gt;0.5,1,0),0)</f>
        <v>0</v>
      </c>
      <c r="AJ416" s="2">
        <f>IF(AND(Games[[#This Row],[Type]]="P",Games[[#This Row],[Round]]=3),IF(Games[[#This Row],[Result]]&lt;0.5,1,0),0)</f>
        <v>0</v>
      </c>
      <c r="AK416" s="2">
        <f>IF(AND(Games[[#This Row],[Type]]="P",Games[[#This Row],[Round]]=4),IF(Games[[#This Row],[Result]]&gt;0.5,1,0),0)</f>
        <v>0</v>
      </c>
      <c r="AL416" s="2">
        <f>IF(AND(Games[[#This Row],[Type]]="P",Games[[#This Row],[Round]]=4),IF(Games[[#This Row],[Result]]&lt;0.5,1,0),0)</f>
        <v>0</v>
      </c>
    </row>
    <row r="417" spans="1:38" x14ac:dyDescent="0.35">
      <c r="A417" s="10">
        <v>45165</v>
      </c>
      <c r="B417" s="2">
        <v>2023</v>
      </c>
      <c r="C417" s="2">
        <f>COUNTIFS(Games[Team],Games[[#This Row],[Team]],Games[Season],Games[[#This Row],[Season]],Games[Date],"&lt;=" &amp; Games[[#This Row],[Date]])</f>
        <v>34</v>
      </c>
      <c r="D417" s="2" t="s">
        <v>79</v>
      </c>
      <c r="E417" s="2" t="s">
        <v>80</v>
      </c>
      <c r="F417" s="1" t="s">
        <v>40</v>
      </c>
      <c r="G417" s="1" t="s">
        <v>85</v>
      </c>
      <c r="H417" s="1" t="s">
        <v>82</v>
      </c>
      <c r="I417" s="2" cm="1">
        <f t="array" ref="I417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7" s="2" cm="1">
        <f t="array" ref="J4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7" s="2">
        <f>Games[[#This Row],[DaysOff]]-Games[[#This Row],[OppDaysOff]]</f>
        <v>1</v>
      </c>
      <c r="L417" s="2">
        <f>Games[[#This Row],[OppDaysOff]]-Games[[#This Row],[DaysOff]]</f>
        <v>-1</v>
      </c>
      <c r="M417" s="1">
        <f>MAX(-16, MIN(16, Games[[#This Row],[RestDiff]]*8))</f>
        <v>8</v>
      </c>
      <c r="N417" s="1">
        <f>MAX(-16, MIN(16, Games[[#This Row],[OppRestDiff]]*8))</f>
        <v>-8</v>
      </c>
      <c r="O417" s="4" cm="1">
        <f t="array" ref="O4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1348.0341023676683</v>
      </c>
      <c r="P417" s="4" cm="1">
        <f t="array" ref="P4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1548.6668840390503</v>
      </c>
      <c r="Q417" s="4">
        <f>1/(1+10^(((Games[[#This Row],[OppPreGmRate]]+IF(Games[[#This Row],[HomeAway]]="A",HCA,0)+Games[[#This Row],[OppRestAdj]])-(Games[[#This Row],[PreGmRate]]+IF(Games[[#This Row],[HomeAway]]="H",HCA,0)+Games[[#This Row],[RestAdj]]))/400))</f>
        <v>0.35909624398820472</v>
      </c>
      <c r="R417" s="1">
        <v>74</v>
      </c>
      <c r="S417" s="1">
        <v>77</v>
      </c>
      <c r="T417" s="1">
        <v>0</v>
      </c>
      <c r="U417" s="1">
        <f>Games[[#This Row],[PointsFor]]-Games[[#This Row],[PointsAgainst]]</f>
        <v>-3</v>
      </c>
      <c r="V417" s="1">
        <f>IF(Games[[#This Row],[MOV]]&gt;0,1,IF(Games[[#This Row],[MOV]]=0,0.5,0))</f>
        <v>0</v>
      </c>
      <c r="W417" s="4">
        <f>((ABS(Games[[#This Row],[MOV]])+5)^0.6)/(12+0.01*(ABS(Games[[#This Row],[PreGmRate]]-Games[[#This Row],[OppPreGmRate]])))*IF(Games[[#This Row],[OT]]=1,0.9,1)</f>
        <v>0.24861636102998869</v>
      </c>
      <c r="X417" s="7" cm="1">
        <f t="array" ref="X41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7" s="9">
        <f>MAX(kmin, kmax - 0.15 * MIN(Games[[#This Row],[GamesPlayed]], 82))</f>
        <v>70.900000000000006</v>
      </c>
      <c r="Z417" s="4">
        <f>Games[[#This Row],[K]]*Games[[#This Row],[POMult]]</f>
        <v>70.900000000000006</v>
      </c>
      <c r="AA417" s="4">
        <f>(Games[[#This Row],[Keff]]*Games[[#This Row],[MOVMult]])*(Games[[#This Row],[Result]]-Games[[#This Row],[ExpectedWin%]])</f>
        <v>-6.3297535820878057</v>
      </c>
      <c r="AB417" s="4">
        <f>Games[[#This Row],[PreGmRate]]+Games[[#This Row],[RatingChange]]</f>
        <v>1341.7043487855806</v>
      </c>
      <c r="AC417" s="2">
        <f>IF(Games[[#This Row],[Type]]="R",IF(Games[[#This Row],[Result]]&gt;0.5,1,0),0)</f>
        <v>0</v>
      </c>
      <c r="AD417" s="2">
        <f>IF(Games[[#This Row],[Type]]="R",IF(Games[[#This Row],[Result]]&lt;0.5,1,0),0)</f>
        <v>1</v>
      </c>
      <c r="AE417" s="2">
        <f>IF(AND(Games[[#This Row],[Type]]="P",Games[[#This Row],[Round]]=1),IF(Games[[#This Row],[Result]]&gt;0.5,1,0),0)</f>
        <v>0</v>
      </c>
      <c r="AF417" s="2">
        <f>IF(AND(Games[[#This Row],[Type]]="P",Games[[#This Row],[Round]]=1),IF(Games[[#This Row],[Result]]&lt;0.5,1,0),0)</f>
        <v>0</v>
      </c>
      <c r="AG417" s="2">
        <f>IF(AND(Games[[#This Row],[Type]]="P",Games[[#This Row],[Round]]=2),IF(Games[[#This Row],[Result]]&gt;0.5,1,0),0)</f>
        <v>0</v>
      </c>
      <c r="AH417" s="2">
        <f>IF(AND(Games[[#This Row],[Type]]="P",Games[[#This Row],[Round]]=2),IF(Games[[#This Row],[Result]]&lt;0.5,1,0),0)</f>
        <v>0</v>
      </c>
      <c r="AI417" s="2">
        <f>IF(AND(Games[[#This Row],[Type]]="P",Games[[#This Row],[Round]]=3),IF(Games[[#This Row],[Result]]&gt;0.5,1,0),0)</f>
        <v>0</v>
      </c>
      <c r="AJ417" s="2">
        <f>IF(AND(Games[[#This Row],[Type]]="P",Games[[#This Row],[Round]]=3),IF(Games[[#This Row],[Result]]&lt;0.5,1,0),0)</f>
        <v>0</v>
      </c>
      <c r="AK417" s="2">
        <f>IF(AND(Games[[#This Row],[Type]]="P",Games[[#This Row],[Round]]=4),IF(Games[[#This Row],[Result]]&gt;0.5,1,0),0)</f>
        <v>0</v>
      </c>
      <c r="AL417" s="2">
        <f>IF(AND(Games[[#This Row],[Type]]="P",Games[[#This Row],[Round]]=4),IF(Games[[#This Row],[Result]]&lt;0.5,1,0),0)</f>
        <v>0</v>
      </c>
    </row>
    <row r="418" spans="1:38" x14ac:dyDescent="0.35">
      <c r="A418" s="10">
        <v>45165</v>
      </c>
      <c r="B418" s="2">
        <v>2023</v>
      </c>
      <c r="C418" s="2">
        <f>COUNTIFS(Games[Team],Games[[#This Row],[Team]],Games[Season],Games[[#This Row],[Season]],Games[Date],"&lt;=" &amp; Games[[#This Row],[Date]])</f>
        <v>35</v>
      </c>
      <c r="D418" s="2" t="s">
        <v>79</v>
      </c>
      <c r="E418" s="2" t="s">
        <v>80</v>
      </c>
      <c r="F418" s="1" t="s">
        <v>75</v>
      </c>
      <c r="G418" s="1" t="s">
        <v>71</v>
      </c>
      <c r="H418" s="1" t="s">
        <v>81</v>
      </c>
      <c r="I418" s="2" cm="1">
        <f t="array" ref="I4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8" s="2" cm="1">
        <f t="array" ref="J41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8" s="2">
        <f>Games[[#This Row],[DaysOff]]-Games[[#This Row],[OppDaysOff]]</f>
        <v>0</v>
      </c>
      <c r="L418" s="2">
        <f>Games[[#This Row],[OppDaysOff]]-Games[[#This Row],[DaysOff]]</f>
        <v>0</v>
      </c>
      <c r="M418" s="1">
        <f>MAX(-16, MIN(16, Games[[#This Row],[RestDiff]]*8))</f>
        <v>0</v>
      </c>
      <c r="N418" s="1">
        <f>MAX(-16, MIN(16, Games[[#This Row],[OppRestDiff]]*8))</f>
        <v>0</v>
      </c>
      <c r="O418" s="4" cm="1">
        <f t="array" ref="O4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1447.0545196242283</v>
      </c>
      <c r="P418" s="4" cm="1">
        <f t="array" ref="P4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1416.713285729787</v>
      </c>
      <c r="Q418" s="4">
        <f>1/(1+10^(((Games[[#This Row],[OppPreGmRate]]+IF(Games[[#This Row],[HomeAway]]="A",HCA,0)+Games[[#This Row],[OppRestAdj]])-(Games[[#This Row],[PreGmRate]]+IF(Games[[#This Row],[HomeAway]]="H",HCA,0)+Games[[#This Row],[RestAdj]]))/400))</f>
        <v>0.42338699735074725</v>
      </c>
      <c r="R418" s="1">
        <v>90</v>
      </c>
      <c r="S418" s="1">
        <v>85</v>
      </c>
      <c r="T418" s="1">
        <v>0</v>
      </c>
      <c r="U418" s="1">
        <f>Games[[#This Row],[PointsFor]]-Games[[#This Row],[PointsAgainst]]</f>
        <v>5</v>
      </c>
      <c r="V418" s="1">
        <f>IF(Games[[#This Row],[MOV]]&gt;0,1,IF(Games[[#This Row],[MOV]]=0,0.5,0))</f>
        <v>1</v>
      </c>
      <c r="W418" s="4">
        <f>((ABS(Games[[#This Row],[MOV]])+5)^0.6)/(12+0.01*(ABS(Games[[#This Row],[PreGmRate]]-Games[[#This Row],[OppPreGmRate]])))*IF(Games[[#This Row],[OT]]=1,0.9,1)</f>
        <v>0.32357459831965069</v>
      </c>
      <c r="X418" s="7" cm="1">
        <f t="array" ref="X41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8" s="9">
        <f>MAX(kmin, kmax - 0.15 * MIN(Games[[#This Row],[GamesPlayed]], 82))</f>
        <v>70.75</v>
      </c>
      <c r="Z418" s="4">
        <f>Games[[#This Row],[K]]*Games[[#This Row],[POMult]]</f>
        <v>70.75</v>
      </c>
      <c r="AA418" s="4">
        <f>(Games[[#This Row],[Keff]]*Games[[#This Row],[MOVMult]])*(Games[[#This Row],[Result]]-Games[[#This Row],[ExpectedWin%]])</f>
        <v>13.200345440806965</v>
      </c>
      <c r="AB418" s="4">
        <f>Games[[#This Row],[PreGmRate]]+Games[[#This Row],[RatingChange]]</f>
        <v>1460.2548650650353</v>
      </c>
      <c r="AC418" s="2">
        <f>IF(Games[[#This Row],[Type]]="R",IF(Games[[#This Row],[Result]]&gt;0.5,1,0),0)</f>
        <v>1</v>
      </c>
      <c r="AD418" s="2">
        <f>IF(Games[[#This Row],[Type]]="R",IF(Games[[#This Row],[Result]]&lt;0.5,1,0),0)</f>
        <v>0</v>
      </c>
      <c r="AE418" s="2">
        <f>IF(AND(Games[[#This Row],[Type]]="P",Games[[#This Row],[Round]]=1),IF(Games[[#This Row],[Result]]&gt;0.5,1,0),0)</f>
        <v>0</v>
      </c>
      <c r="AF418" s="2">
        <f>IF(AND(Games[[#This Row],[Type]]="P",Games[[#This Row],[Round]]=1),IF(Games[[#This Row],[Result]]&lt;0.5,1,0),0)</f>
        <v>0</v>
      </c>
      <c r="AG418" s="2">
        <f>IF(AND(Games[[#This Row],[Type]]="P",Games[[#This Row],[Round]]=2),IF(Games[[#This Row],[Result]]&gt;0.5,1,0),0)</f>
        <v>0</v>
      </c>
      <c r="AH418" s="2">
        <f>IF(AND(Games[[#This Row],[Type]]="P",Games[[#This Row],[Round]]=2),IF(Games[[#This Row],[Result]]&lt;0.5,1,0),0)</f>
        <v>0</v>
      </c>
      <c r="AI418" s="2">
        <f>IF(AND(Games[[#This Row],[Type]]="P",Games[[#This Row],[Round]]=3),IF(Games[[#This Row],[Result]]&gt;0.5,1,0),0)</f>
        <v>0</v>
      </c>
      <c r="AJ418" s="2">
        <f>IF(AND(Games[[#This Row],[Type]]="P",Games[[#This Row],[Round]]=3),IF(Games[[#This Row],[Result]]&lt;0.5,1,0),0)</f>
        <v>0</v>
      </c>
      <c r="AK418" s="2">
        <f>IF(AND(Games[[#This Row],[Type]]="P",Games[[#This Row],[Round]]=4),IF(Games[[#This Row],[Result]]&gt;0.5,1,0),0)</f>
        <v>0</v>
      </c>
      <c r="AL418" s="2">
        <f>IF(AND(Games[[#This Row],[Type]]="P",Games[[#This Row],[Round]]=4),IF(Games[[#This Row],[Result]]&lt;0.5,1,0),0)</f>
        <v>0</v>
      </c>
    </row>
    <row r="419" spans="1:38" x14ac:dyDescent="0.35">
      <c r="A419" s="10">
        <v>45165</v>
      </c>
      <c r="B419" s="2">
        <v>2023</v>
      </c>
      <c r="C419" s="2">
        <f>COUNTIFS(Games[Team],Games[[#This Row],[Team]],Games[Season],Games[[#This Row],[Season]],Games[Date],"&lt;=" &amp; Games[[#This Row],[Date]])</f>
        <v>35</v>
      </c>
      <c r="D419" s="2" t="s">
        <v>79</v>
      </c>
      <c r="E419" s="2" t="s">
        <v>80</v>
      </c>
      <c r="F419" s="1" t="s">
        <v>71</v>
      </c>
      <c r="G419" s="1" t="s">
        <v>75</v>
      </c>
      <c r="H419" s="1" t="s">
        <v>82</v>
      </c>
      <c r="I419" s="2" cm="1">
        <f t="array" ref="I41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9" s="2" cm="1">
        <f t="array" ref="J4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9" s="2">
        <f>Games[[#This Row],[DaysOff]]-Games[[#This Row],[OppDaysOff]]</f>
        <v>0</v>
      </c>
      <c r="L419" s="2">
        <f>Games[[#This Row],[OppDaysOff]]-Games[[#This Row],[DaysOff]]</f>
        <v>0</v>
      </c>
      <c r="M419" s="1">
        <f>MAX(-16, MIN(16, Games[[#This Row],[RestDiff]]*8))</f>
        <v>0</v>
      </c>
      <c r="N419" s="1">
        <f>MAX(-16, MIN(16, Games[[#This Row],[OppRestDiff]]*8))</f>
        <v>0</v>
      </c>
      <c r="O419" s="4" cm="1">
        <f t="array" ref="O4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1416.713285729787</v>
      </c>
      <c r="P419" s="4" cm="1">
        <f t="array" ref="P4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1447.0545196242283</v>
      </c>
      <c r="Q419" s="4">
        <f>1/(1+10^(((Games[[#This Row],[OppPreGmRate]]+IF(Games[[#This Row],[HomeAway]]="A",HCA,0)+Games[[#This Row],[OppRestAdj]])-(Games[[#This Row],[PreGmRate]]+IF(Games[[#This Row],[HomeAway]]="H",HCA,0)+Games[[#This Row],[RestAdj]]))/400))</f>
        <v>0.57661300264925286</v>
      </c>
      <c r="R419" s="1">
        <v>85</v>
      </c>
      <c r="S419" s="1">
        <v>90</v>
      </c>
      <c r="T419" s="1">
        <v>0</v>
      </c>
      <c r="U419" s="1">
        <f>Games[[#This Row],[PointsFor]]-Games[[#This Row],[PointsAgainst]]</f>
        <v>-5</v>
      </c>
      <c r="V419" s="1">
        <f>IF(Games[[#This Row],[MOV]]&gt;0,1,IF(Games[[#This Row],[MOV]]=0,0.5,0))</f>
        <v>0</v>
      </c>
      <c r="W419" s="4">
        <f>((ABS(Games[[#This Row],[MOV]])+5)^0.6)/(12+0.01*(ABS(Games[[#This Row],[PreGmRate]]-Games[[#This Row],[OppPreGmRate]])))*IF(Games[[#This Row],[OT]]=1,0.9,1)</f>
        <v>0.32357459831965069</v>
      </c>
      <c r="X419" s="7" cm="1">
        <f t="array" ref="X41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9" s="9">
        <f>MAX(kmin, kmax - 0.15 * MIN(Games[[#This Row],[GamesPlayed]], 82))</f>
        <v>70.75</v>
      </c>
      <c r="Z419" s="4">
        <f>Games[[#This Row],[K]]*Games[[#This Row],[POMult]]</f>
        <v>70.75</v>
      </c>
      <c r="AA419" s="4">
        <f>(Games[[#This Row],[Keff]]*Games[[#This Row],[MOVMult]])*(Games[[#This Row],[Result]]-Games[[#This Row],[ExpectedWin%]])</f>
        <v>-13.200345440806966</v>
      </c>
      <c r="AB419" s="4">
        <f>Games[[#This Row],[PreGmRate]]+Games[[#This Row],[RatingChange]]</f>
        <v>1403.51294028898</v>
      </c>
      <c r="AC419" s="2">
        <f>IF(Games[[#This Row],[Type]]="R",IF(Games[[#This Row],[Result]]&gt;0.5,1,0),0)</f>
        <v>0</v>
      </c>
      <c r="AD419" s="2">
        <f>IF(Games[[#This Row],[Type]]="R",IF(Games[[#This Row],[Result]]&lt;0.5,1,0),0)</f>
        <v>1</v>
      </c>
      <c r="AE419" s="2">
        <f>IF(AND(Games[[#This Row],[Type]]="P",Games[[#This Row],[Round]]=1),IF(Games[[#This Row],[Result]]&gt;0.5,1,0),0)</f>
        <v>0</v>
      </c>
      <c r="AF419" s="2">
        <f>IF(AND(Games[[#This Row],[Type]]="P",Games[[#This Row],[Round]]=1),IF(Games[[#This Row],[Result]]&lt;0.5,1,0),0)</f>
        <v>0</v>
      </c>
      <c r="AG419" s="2">
        <f>IF(AND(Games[[#This Row],[Type]]="P",Games[[#This Row],[Round]]=2),IF(Games[[#This Row],[Result]]&gt;0.5,1,0),0)</f>
        <v>0</v>
      </c>
      <c r="AH419" s="2">
        <f>IF(AND(Games[[#This Row],[Type]]="P",Games[[#This Row],[Round]]=2),IF(Games[[#This Row],[Result]]&lt;0.5,1,0),0)</f>
        <v>0</v>
      </c>
      <c r="AI419" s="2">
        <f>IF(AND(Games[[#This Row],[Type]]="P",Games[[#This Row],[Round]]=3),IF(Games[[#This Row],[Result]]&gt;0.5,1,0),0)</f>
        <v>0</v>
      </c>
      <c r="AJ419" s="2">
        <f>IF(AND(Games[[#This Row],[Type]]="P",Games[[#This Row],[Round]]=3),IF(Games[[#This Row],[Result]]&lt;0.5,1,0),0)</f>
        <v>0</v>
      </c>
      <c r="AK419" s="2">
        <f>IF(AND(Games[[#This Row],[Type]]="P",Games[[#This Row],[Round]]=4),IF(Games[[#This Row],[Result]]&gt;0.5,1,0),0)</f>
        <v>0</v>
      </c>
      <c r="AL419" s="2">
        <f>IF(AND(Games[[#This Row],[Type]]="P",Games[[#This Row],[Round]]=4),IF(Games[[#This Row],[Result]]&lt;0.5,1,0),0)</f>
        <v>0</v>
      </c>
    </row>
    <row r="420" spans="1:38" x14ac:dyDescent="0.35">
      <c r="A420" s="10">
        <v>45166</v>
      </c>
      <c r="B420" s="2">
        <v>2023</v>
      </c>
      <c r="C420" s="2">
        <f>COUNTIFS(Games[Team],Games[[#This Row],[Team]],Games[Season],Games[[#This Row],[Season]],Games[Date],"&lt;=" &amp; Games[[#This Row],[Date]])</f>
        <v>37</v>
      </c>
      <c r="D420" s="2" t="s">
        <v>79</v>
      </c>
      <c r="E420" s="2" t="s">
        <v>80</v>
      </c>
      <c r="F420" s="1" t="s">
        <v>86</v>
      </c>
      <c r="G420" s="1" t="s">
        <v>60</v>
      </c>
      <c r="H420" s="1" t="s">
        <v>81</v>
      </c>
      <c r="I420" s="2" cm="1">
        <f t="array" ref="I4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0" s="2" cm="1">
        <f t="array" ref="J4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0" s="2">
        <f>Games[[#This Row],[DaysOff]]-Games[[#This Row],[OppDaysOff]]</f>
        <v>0</v>
      </c>
      <c r="L420" s="2">
        <f>Games[[#This Row],[OppDaysOff]]-Games[[#This Row],[DaysOff]]</f>
        <v>0</v>
      </c>
      <c r="M420" s="1">
        <f>MAX(-16, MIN(16, Games[[#This Row],[RestDiff]]*8))</f>
        <v>0</v>
      </c>
      <c r="N420" s="1">
        <f>MAX(-16, MIN(16, Games[[#This Row],[OppRestDiff]]*8))</f>
        <v>0</v>
      </c>
      <c r="O420" s="4" cm="1">
        <f t="array" ref="O4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1709.3847667917175</v>
      </c>
      <c r="P420" s="4" cm="1">
        <f t="array" ref="P4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1717.3947573072637</v>
      </c>
      <c r="Q420" s="4">
        <f>1/(1+10^(((Games[[#This Row],[OppPreGmRate]]+IF(Games[[#This Row],[HomeAway]]="A",HCA,0)+Games[[#This Row],[OppRestAdj]])-(Games[[#This Row],[PreGmRate]]+IF(Games[[#This Row],[HomeAway]]="H",HCA,0)+Games[[#This Row],[RestAdj]]))/400))</f>
        <v>0.37059803817291831</v>
      </c>
      <c r="R420" s="1">
        <v>85</v>
      </c>
      <c r="S420" s="1">
        <v>94</v>
      </c>
      <c r="T420" s="1">
        <v>0</v>
      </c>
      <c r="U420" s="1">
        <f>Games[[#This Row],[PointsFor]]-Games[[#This Row],[PointsAgainst]]</f>
        <v>-9</v>
      </c>
      <c r="V420" s="1">
        <f>IF(Games[[#This Row],[MOV]]&gt;0,1,IF(Games[[#This Row],[MOV]]=0,0.5,0))</f>
        <v>0</v>
      </c>
      <c r="W420" s="4">
        <f>((ABS(Games[[#This Row],[MOV]])+5)^0.6)/(12+0.01*(ABS(Games[[#This Row],[PreGmRate]]-Games[[#This Row],[OppPreGmRate]])))*IF(Games[[#This Row],[OT]]=1,0.9,1)</f>
        <v>0.40327963874601908</v>
      </c>
      <c r="X420" s="7" cm="1">
        <f t="array" ref="X42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0" s="9">
        <f>MAX(kmin, kmax - 0.15 * MIN(Games[[#This Row],[GamesPlayed]], 82))</f>
        <v>70.45</v>
      </c>
      <c r="Z420" s="4">
        <f>Games[[#This Row],[K]]*Games[[#This Row],[POMult]]</f>
        <v>70.45</v>
      </c>
      <c r="AA420" s="4">
        <f>(Games[[#This Row],[Keff]]*Games[[#This Row],[MOVMult]])*(Games[[#This Row],[Result]]-Games[[#This Row],[ExpectedWin%]])</f>
        <v>-10.529079596134514</v>
      </c>
      <c r="AB420" s="4">
        <f>Games[[#This Row],[PreGmRate]]+Games[[#This Row],[RatingChange]]</f>
        <v>1698.855687195583</v>
      </c>
      <c r="AC420" s="2">
        <f>IF(Games[[#This Row],[Type]]="R",IF(Games[[#This Row],[Result]]&gt;0.5,1,0),0)</f>
        <v>0</v>
      </c>
      <c r="AD420" s="2">
        <f>IF(Games[[#This Row],[Type]]="R",IF(Games[[#This Row],[Result]]&lt;0.5,1,0),0)</f>
        <v>1</v>
      </c>
      <c r="AE420" s="2">
        <f>IF(AND(Games[[#This Row],[Type]]="P",Games[[#This Row],[Round]]=1),IF(Games[[#This Row],[Result]]&gt;0.5,1,0),0)</f>
        <v>0</v>
      </c>
      <c r="AF420" s="2">
        <f>IF(AND(Games[[#This Row],[Type]]="P",Games[[#This Row],[Round]]=1),IF(Games[[#This Row],[Result]]&lt;0.5,1,0),0)</f>
        <v>0</v>
      </c>
      <c r="AG420" s="2">
        <f>IF(AND(Games[[#This Row],[Type]]="P",Games[[#This Row],[Round]]=2),IF(Games[[#This Row],[Result]]&gt;0.5,1,0),0)</f>
        <v>0</v>
      </c>
      <c r="AH420" s="2">
        <f>IF(AND(Games[[#This Row],[Type]]="P",Games[[#This Row],[Round]]=2),IF(Games[[#This Row],[Result]]&lt;0.5,1,0),0)</f>
        <v>0</v>
      </c>
      <c r="AI420" s="2">
        <f>IF(AND(Games[[#This Row],[Type]]="P",Games[[#This Row],[Round]]=3),IF(Games[[#This Row],[Result]]&gt;0.5,1,0),0)</f>
        <v>0</v>
      </c>
      <c r="AJ420" s="2">
        <f>IF(AND(Games[[#This Row],[Type]]="P",Games[[#This Row],[Round]]=3),IF(Games[[#This Row],[Result]]&lt;0.5,1,0),0)</f>
        <v>0</v>
      </c>
      <c r="AK420" s="2">
        <f>IF(AND(Games[[#This Row],[Type]]="P",Games[[#This Row],[Round]]=4),IF(Games[[#This Row],[Result]]&gt;0.5,1,0),0)</f>
        <v>0</v>
      </c>
      <c r="AL420" s="2">
        <f>IF(AND(Games[[#This Row],[Type]]="P",Games[[#This Row],[Round]]=4),IF(Games[[#This Row],[Result]]&lt;0.5,1,0),0)</f>
        <v>0</v>
      </c>
    </row>
    <row r="421" spans="1:38" x14ac:dyDescent="0.35">
      <c r="A421" s="10">
        <v>45166</v>
      </c>
      <c r="B421" s="2">
        <v>2023</v>
      </c>
      <c r="C421" s="2">
        <f>COUNTIFS(Games[Team],Games[[#This Row],[Team]],Games[Season],Games[[#This Row],[Season]],Games[Date],"&lt;=" &amp; Games[[#This Row],[Date]])</f>
        <v>36</v>
      </c>
      <c r="D421" s="2" t="s">
        <v>79</v>
      </c>
      <c r="E421" s="2" t="s">
        <v>80</v>
      </c>
      <c r="F421" s="1" t="s">
        <v>60</v>
      </c>
      <c r="G421" s="1" t="s">
        <v>86</v>
      </c>
      <c r="H421" s="1" t="s">
        <v>82</v>
      </c>
      <c r="I421" s="2" cm="1">
        <f t="array" ref="I4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1" s="2" cm="1">
        <f t="array" ref="J4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1" s="2">
        <f>Games[[#This Row],[DaysOff]]-Games[[#This Row],[OppDaysOff]]</f>
        <v>0</v>
      </c>
      <c r="L421" s="2">
        <f>Games[[#This Row],[OppDaysOff]]-Games[[#This Row],[DaysOff]]</f>
        <v>0</v>
      </c>
      <c r="M421" s="1">
        <f>MAX(-16, MIN(16, Games[[#This Row],[RestDiff]]*8))</f>
        <v>0</v>
      </c>
      <c r="N421" s="1">
        <f>MAX(-16, MIN(16, Games[[#This Row],[OppRestDiff]]*8))</f>
        <v>0</v>
      </c>
      <c r="O421" s="4" cm="1">
        <f t="array" ref="O4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1717.3947573072637</v>
      </c>
      <c r="P421" s="4" cm="1">
        <f t="array" ref="P4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1709.3847667917175</v>
      </c>
      <c r="Q421" s="4">
        <f>1/(1+10^(((Games[[#This Row],[OppPreGmRate]]+IF(Games[[#This Row],[HomeAway]]="A",HCA,0)+Games[[#This Row],[OppRestAdj]])-(Games[[#This Row],[PreGmRate]]+IF(Games[[#This Row],[HomeAway]]="H",HCA,0)+Games[[#This Row],[RestAdj]]))/400))</f>
        <v>0.62940196182708175</v>
      </c>
      <c r="R421" s="1">
        <v>94</v>
      </c>
      <c r="S421" s="1">
        <v>85</v>
      </c>
      <c r="T421" s="1">
        <v>0</v>
      </c>
      <c r="U421" s="1">
        <f>Games[[#This Row],[PointsFor]]-Games[[#This Row],[PointsAgainst]]</f>
        <v>9</v>
      </c>
      <c r="V421" s="1">
        <f>IF(Games[[#This Row],[MOV]]&gt;0,1,IF(Games[[#This Row],[MOV]]=0,0.5,0))</f>
        <v>1</v>
      </c>
      <c r="W421" s="4">
        <f>((ABS(Games[[#This Row],[MOV]])+5)^0.6)/(12+0.01*(ABS(Games[[#This Row],[PreGmRate]]-Games[[#This Row],[OppPreGmRate]])))*IF(Games[[#This Row],[OT]]=1,0.9,1)</f>
        <v>0.40327963874601908</v>
      </c>
      <c r="X421" s="7" cm="1">
        <f t="array" ref="X42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1" s="9">
        <f>MAX(kmin, kmax - 0.15 * MIN(Games[[#This Row],[GamesPlayed]], 82))</f>
        <v>70.599999999999994</v>
      </c>
      <c r="Z421" s="4">
        <f>Games[[#This Row],[K]]*Games[[#This Row],[POMult]]</f>
        <v>70.599999999999994</v>
      </c>
      <c r="AA421" s="4">
        <f>(Games[[#This Row],[Keff]]*Games[[#This Row],[MOVMult]])*(Games[[#This Row],[Result]]-Games[[#This Row],[ExpectedWin%]])</f>
        <v>10.551497792577665</v>
      </c>
      <c r="AB421" s="4">
        <f>Games[[#This Row],[PreGmRate]]+Games[[#This Row],[RatingChange]]</f>
        <v>1727.9462550998414</v>
      </c>
      <c r="AC421" s="2">
        <f>IF(Games[[#This Row],[Type]]="R",IF(Games[[#This Row],[Result]]&gt;0.5,1,0),0)</f>
        <v>1</v>
      </c>
      <c r="AD421" s="2">
        <f>IF(Games[[#This Row],[Type]]="R",IF(Games[[#This Row],[Result]]&lt;0.5,1,0),0)</f>
        <v>0</v>
      </c>
      <c r="AE421" s="2">
        <f>IF(AND(Games[[#This Row],[Type]]="P",Games[[#This Row],[Round]]=1),IF(Games[[#This Row],[Result]]&gt;0.5,1,0),0)</f>
        <v>0</v>
      </c>
      <c r="AF421" s="2">
        <f>IF(AND(Games[[#This Row],[Type]]="P",Games[[#This Row],[Round]]=1),IF(Games[[#This Row],[Result]]&lt;0.5,1,0),0)</f>
        <v>0</v>
      </c>
      <c r="AG421" s="2">
        <f>IF(AND(Games[[#This Row],[Type]]="P",Games[[#This Row],[Round]]=2),IF(Games[[#This Row],[Result]]&gt;0.5,1,0),0)</f>
        <v>0</v>
      </c>
      <c r="AH421" s="2">
        <f>IF(AND(Games[[#This Row],[Type]]="P",Games[[#This Row],[Round]]=2),IF(Games[[#This Row],[Result]]&lt;0.5,1,0),0)</f>
        <v>0</v>
      </c>
      <c r="AI421" s="2">
        <f>IF(AND(Games[[#This Row],[Type]]="P",Games[[#This Row],[Round]]=3),IF(Games[[#This Row],[Result]]&gt;0.5,1,0),0)</f>
        <v>0</v>
      </c>
      <c r="AJ421" s="2">
        <f>IF(AND(Games[[#This Row],[Type]]="P",Games[[#This Row],[Round]]=3),IF(Games[[#This Row],[Result]]&lt;0.5,1,0),0)</f>
        <v>0</v>
      </c>
      <c r="AK421" s="2">
        <f>IF(AND(Games[[#This Row],[Type]]="P",Games[[#This Row],[Round]]=4),IF(Games[[#This Row],[Result]]&gt;0.5,1,0),0)</f>
        <v>0</v>
      </c>
      <c r="AL421" s="2">
        <f>IF(AND(Games[[#This Row],[Type]]="P",Games[[#This Row],[Round]]=4),IF(Games[[#This Row],[Result]]&lt;0.5,1,0),0)</f>
        <v>0</v>
      </c>
    </row>
    <row r="422" spans="1:38" x14ac:dyDescent="0.35">
      <c r="A422" s="10">
        <v>45167</v>
      </c>
      <c r="B422" s="2">
        <v>2023</v>
      </c>
      <c r="C422" s="2">
        <f>COUNTIFS(Games[Team],Games[[#This Row],[Team]],Games[Season],Games[[#This Row],[Season]],Games[Date],"&lt;=" &amp; Games[[#This Row],[Date]])</f>
        <v>35</v>
      </c>
      <c r="D422" s="2" t="s">
        <v>79</v>
      </c>
      <c r="E422" s="2" t="s">
        <v>80</v>
      </c>
      <c r="F422" s="1" t="s">
        <v>40</v>
      </c>
      <c r="G422" s="1" t="s">
        <v>77</v>
      </c>
      <c r="H422" s="1" t="s">
        <v>81</v>
      </c>
      <c r="I422" s="2" cm="1">
        <f t="array" ref="I4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2" s="2" cm="1">
        <f t="array" ref="J4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2" s="2">
        <f>Games[[#This Row],[DaysOff]]-Games[[#This Row],[OppDaysOff]]</f>
        <v>0</v>
      </c>
      <c r="L422" s="2">
        <f>Games[[#This Row],[OppDaysOff]]-Games[[#This Row],[DaysOff]]</f>
        <v>0</v>
      </c>
      <c r="M422" s="1">
        <f>MAX(-16, MIN(16, Games[[#This Row],[RestDiff]]*8))</f>
        <v>0</v>
      </c>
      <c r="N422" s="1">
        <f>MAX(-16, MIN(16, Games[[#This Row],[OppRestDiff]]*8))</f>
        <v>0</v>
      </c>
      <c r="O422" s="4" cm="1">
        <f t="array" ref="O4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1341.7043487855806</v>
      </c>
      <c r="P422" s="4" cm="1">
        <f t="array" ref="P4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1447.6021817401759</v>
      </c>
      <c r="Q422" s="4">
        <f>1/(1+10^(((Games[[#This Row],[OppPreGmRate]]+IF(Games[[#This Row],[HomeAway]]="A",HCA,0)+Games[[#This Row],[OppRestAdj]])-(Games[[#This Row],[PreGmRate]]+IF(Games[[#This Row],[HomeAway]]="H",HCA,0)+Games[[#This Row],[RestAdj]]))/400))</f>
        <v>0.25102749510343952</v>
      </c>
      <c r="R422" s="1">
        <v>76</v>
      </c>
      <c r="S422" s="1">
        <v>94</v>
      </c>
      <c r="T422" s="1">
        <v>0</v>
      </c>
      <c r="U422" s="1">
        <f>Games[[#This Row],[PointsFor]]-Games[[#This Row],[PointsAgainst]]</f>
        <v>-18</v>
      </c>
      <c r="V422" s="1">
        <f>IF(Games[[#This Row],[MOV]]&gt;0,1,IF(Games[[#This Row],[MOV]]=0,0.5,0))</f>
        <v>0</v>
      </c>
      <c r="W422" s="4">
        <f>((ABS(Games[[#This Row],[MOV]])+5)^0.6)/(12+0.01*(ABS(Games[[#This Row],[PreGmRate]]-Games[[#This Row],[OppPreGmRate]])))*IF(Games[[#This Row],[OT]]=1,0.9,1)</f>
        <v>0.50249008918785831</v>
      </c>
      <c r="X422" s="7" cm="1">
        <f t="array" ref="X42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2" s="9">
        <f>MAX(kmin, kmax - 0.15 * MIN(Games[[#This Row],[GamesPlayed]], 82))</f>
        <v>70.75</v>
      </c>
      <c r="Z422" s="4">
        <f>Games[[#This Row],[K]]*Games[[#This Row],[POMult]]</f>
        <v>70.75</v>
      </c>
      <c r="AA422" s="4">
        <f>(Games[[#This Row],[Keff]]*Games[[#This Row],[MOVMult]])*(Games[[#This Row],[Result]]-Games[[#This Row],[ExpectedWin%]])</f>
        <v>-8.9243221095215883</v>
      </c>
      <c r="AB422" s="4">
        <f>Games[[#This Row],[PreGmRate]]+Games[[#This Row],[RatingChange]]</f>
        <v>1332.7800266760589</v>
      </c>
      <c r="AC422" s="2">
        <f>IF(Games[[#This Row],[Type]]="R",IF(Games[[#This Row],[Result]]&gt;0.5,1,0),0)</f>
        <v>0</v>
      </c>
      <c r="AD422" s="2">
        <f>IF(Games[[#This Row],[Type]]="R",IF(Games[[#This Row],[Result]]&lt;0.5,1,0),0)</f>
        <v>1</v>
      </c>
      <c r="AE422" s="2">
        <f>IF(AND(Games[[#This Row],[Type]]="P",Games[[#This Row],[Round]]=1),IF(Games[[#This Row],[Result]]&gt;0.5,1,0),0)</f>
        <v>0</v>
      </c>
      <c r="AF422" s="2">
        <f>IF(AND(Games[[#This Row],[Type]]="P",Games[[#This Row],[Round]]=1),IF(Games[[#This Row],[Result]]&lt;0.5,1,0),0)</f>
        <v>0</v>
      </c>
      <c r="AG422" s="2">
        <f>IF(AND(Games[[#This Row],[Type]]="P",Games[[#This Row],[Round]]=2),IF(Games[[#This Row],[Result]]&gt;0.5,1,0),0)</f>
        <v>0</v>
      </c>
      <c r="AH422" s="2">
        <f>IF(AND(Games[[#This Row],[Type]]="P",Games[[#This Row],[Round]]=2),IF(Games[[#This Row],[Result]]&lt;0.5,1,0),0)</f>
        <v>0</v>
      </c>
      <c r="AI422" s="2">
        <f>IF(AND(Games[[#This Row],[Type]]="P",Games[[#This Row],[Round]]=3),IF(Games[[#This Row],[Result]]&gt;0.5,1,0),0)</f>
        <v>0</v>
      </c>
      <c r="AJ422" s="2">
        <f>IF(AND(Games[[#This Row],[Type]]="P",Games[[#This Row],[Round]]=3),IF(Games[[#This Row],[Result]]&lt;0.5,1,0),0)</f>
        <v>0</v>
      </c>
      <c r="AK422" s="2">
        <f>IF(AND(Games[[#This Row],[Type]]="P",Games[[#This Row],[Round]]=4),IF(Games[[#This Row],[Result]]&gt;0.5,1,0),0)</f>
        <v>0</v>
      </c>
      <c r="AL422" s="2">
        <f>IF(AND(Games[[#This Row],[Type]]="P",Games[[#This Row],[Round]]=4),IF(Games[[#This Row],[Result]]&lt;0.5,1,0),0)</f>
        <v>0</v>
      </c>
    </row>
    <row r="423" spans="1:38" x14ac:dyDescent="0.35">
      <c r="A423" s="10">
        <v>45167</v>
      </c>
      <c r="B423" s="2">
        <v>2023</v>
      </c>
      <c r="C423" s="2">
        <f>COUNTIFS(Games[Team],Games[[#This Row],[Team]],Games[Season],Games[[#This Row],[Season]],Games[Date],"&lt;=" &amp; Games[[#This Row],[Date]])</f>
        <v>36</v>
      </c>
      <c r="D423" s="2" t="s">
        <v>79</v>
      </c>
      <c r="E423" s="2" t="s">
        <v>80</v>
      </c>
      <c r="F423" s="1" t="s">
        <v>77</v>
      </c>
      <c r="G423" s="1" t="s">
        <v>40</v>
      </c>
      <c r="H423" s="1" t="s">
        <v>82</v>
      </c>
      <c r="I423" s="2" cm="1">
        <f t="array" ref="I4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3" s="2" cm="1">
        <f t="array" ref="J4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3" s="2">
        <f>Games[[#This Row],[DaysOff]]-Games[[#This Row],[OppDaysOff]]</f>
        <v>0</v>
      </c>
      <c r="L423" s="2">
        <f>Games[[#This Row],[OppDaysOff]]-Games[[#This Row],[DaysOff]]</f>
        <v>0</v>
      </c>
      <c r="M423" s="1">
        <f>MAX(-16, MIN(16, Games[[#This Row],[RestDiff]]*8))</f>
        <v>0</v>
      </c>
      <c r="N423" s="1">
        <f>MAX(-16, MIN(16, Games[[#This Row],[OppRestDiff]]*8))</f>
        <v>0</v>
      </c>
      <c r="O423" s="4" cm="1">
        <f t="array" ref="O4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1447.6021817401759</v>
      </c>
      <c r="P423" s="4" cm="1">
        <f t="array" ref="P4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1341.7043487855806</v>
      </c>
      <c r="Q423" s="4">
        <f>1/(1+10^(((Games[[#This Row],[OppPreGmRate]]+IF(Games[[#This Row],[HomeAway]]="A",HCA,0)+Games[[#This Row],[OppRestAdj]])-(Games[[#This Row],[PreGmRate]]+IF(Games[[#This Row],[HomeAway]]="H",HCA,0)+Games[[#This Row],[RestAdj]]))/400))</f>
        <v>0.74897250489656042</v>
      </c>
      <c r="R423" s="1">
        <v>94</v>
      </c>
      <c r="S423" s="1">
        <v>76</v>
      </c>
      <c r="T423" s="1">
        <v>0</v>
      </c>
      <c r="U423" s="1">
        <f>Games[[#This Row],[PointsFor]]-Games[[#This Row],[PointsAgainst]]</f>
        <v>18</v>
      </c>
      <c r="V423" s="1">
        <f>IF(Games[[#This Row],[MOV]]&gt;0,1,IF(Games[[#This Row],[MOV]]=0,0.5,0))</f>
        <v>1</v>
      </c>
      <c r="W423" s="4">
        <f>((ABS(Games[[#This Row],[MOV]])+5)^0.6)/(12+0.01*(ABS(Games[[#This Row],[PreGmRate]]-Games[[#This Row],[OppPreGmRate]])))*IF(Games[[#This Row],[OT]]=1,0.9,1)</f>
        <v>0.50249008918785831</v>
      </c>
      <c r="X423" s="7" cm="1">
        <f t="array" ref="X42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3" s="9">
        <f>MAX(kmin, kmax - 0.15 * MIN(Games[[#This Row],[GamesPlayed]], 82))</f>
        <v>70.599999999999994</v>
      </c>
      <c r="Z423" s="4">
        <f>Games[[#This Row],[K]]*Games[[#This Row],[POMult]]</f>
        <v>70.599999999999994</v>
      </c>
      <c r="AA423" s="4">
        <f>(Games[[#This Row],[Keff]]*Games[[#This Row],[MOVMult]])*(Games[[#This Row],[Result]]-Games[[#This Row],[ExpectedWin%]])</f>
        <v>8.9054012852611208</v>
      </c>
      <c r="AB423" s="4">
        <f>Games[[#This Row],[PreGmRate]]+Games[[#This Row],[RatingChange]]</f>
        <v>1456.507583025437</v>
      </c>
      <c r="AC423" s="2">
        <f>IF(Games[[#This Row],[Type]]="R",IF(Games[[#This Row],[Result]]&gt;0.5,1,0),0)</f>
        <v>1</v>
      </c>
      <c r="AD423" s="2">
        <f>IF(Games[[#This Row],[Type]]="R",IF(Games[[#This Row],[Result]]&lt;0.5,1,0),0)</f>
        <v>0</v>
      </c>
      <c r="AE423" s="2">
        <f>IF(AND(Games[[#This Row],[Type]]="P",Games[[#This Row],[Round]]=1),IF(Games[[#This Row],[Result]]&gt;0.5,1,0),0)</f>
        <v>0</v>
      </c>
      <c r="AF423" s="2">
        <f>IF(AND(Games[[#This Row],[Type]]="P",Games[[#This Row],[Round]]=1),IF(Games[[#This Row],[Result]]&lt;0.5,1,0),0)</f>
        <v>0</v>
      </c>
      <c r="AG423" s="2">
        <f>IF(AND(Games[[#This Row],[Type]]="P",Games[[#This Row],[Round]]=2),IF(Games[[#This Row],[Result]]&gt;0.5,1,0),0)</f>
        <v>0</v>
      </c>
      <c r="AH423" s="2">
        <f>IF(AND(Games[[#This Row],[Type]]="P",Games[[#This Row],[Round]]=2),IF(Games[[#This Row],[Result]]&lt;0.5,1,0),0)</f>
        <v>0</v>
      </c>
      <c r="AI423" s="2">
        <f>IF(AND(Games[[#This Row],[Type]]="P",Games[[#This Row],[Round]]=3),IF(Games[[#This Row],[Result]]&gt;0.5,1,0),0)</f>
        <v>0</v>
      </c>
      <c r="AJ423" s="2">
        <f>IF(AND(Games[[#This Row],[Type]]="P",Games[[#This Row],[Round]]=3),IF(Games[[#This Row],[Result]]&lt;0.5,1,0),0)</f>
        <v>0</v>
      </c>
      <c r="AK423" s="2">
        <f>IF(AND(Games[[#This Row],[Type]]="P",Games[[#This Row],[Round]]=4),IF(Games[[#This Row],[Result]]&gt;0.5,1,0),0)</f>
        <v>0</v>
      </c>
      <c r="AL423" s="2">
        <f>IF(AND(Games[[#This Row],[Type]]="P",Games[[#This Row],[Round]]=4),IF(Games[[#This Row],[Result]]&lt;0.5,1,0),0)</f>
        <v>0</v>
      </c>
    </row>
    <row r="424" spans="1:38" x14ac:dyDescent="0.35">
      <c r="A424" s="10">
        <v>45167</v>
      </c>
      <c r="B424" s="2">
        <v>2023</v>
      </c>
      <c r="C424" s="2">
        <f>COUNTIFS(Games[Team],Games[[#This Row],[Team]],Games[Season],Games[[#This Row],[Season]],Games[Date],"&lt;=" &amp; Games[[#This Row],[Date]])</f>
        <v>36</v>
      </c>
      <c r="D424" s="2" t="s">
        <v>79</v>
      </c>
      <c r="E424" s="2" t="s">
        <v>80</v>
      </c>
      <c r="F424" s="1" t="s">
        <v>75</v>
      </c>
      <c r="G424" s="1" t="s">
        <v>63</v>
      </c>
      <c r="H424" s="1" t="s">
        <v>81</v>
      </c>
      <c r="I424" s="2" cm="1">
        <f t="array" ref="I4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4" s="2" cm="1">
        <f t="array" ref="J4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4" s="2">
        <f>Games[[#This Row],[DaysOff]]-Games[[#This Row],[OppDaysOff]]</f>
        <v>0</v>
      </c>
      <c r="L424" s="2">
        <f>Games[[#This Row],[OppDaysOff]]-Games[[#This Row],[DaysOff]]</f>
        <v>0</v>
      </c>
      <c r="M424" s="1">
        <f>MAX(-16, MIN(16, Games[[#This Row],[RestDiff]]*8))</f>
        <v>0</v>
      </c>
      <c r="N424" s="1">
        <f>MAX(-16, MIN(16, Games[[#This Row],[OppRestDiff]]*8))</f>
        <v>0</v>
      </c>
      <c r="O424" s="4" cm="1">
        <f t="array" ref="O4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1460.2548650650353</v>
      </c>
      <c r="P424" s="4" cm="1">
        <f t="array" ref="P4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1456.7363797936869</v>
      </c>
      <c r="Q424" s="4">
        <f>1/(1+10^(((Games[[#This Row],[OppPreGmRate]]+IF(Games[[#This Row],[HomeAway]]="A",HCA,0)+Games[[#This Row],[OppRestAdj]])-(Games[[#This Row],[PreGmRate]]+IF(Games[[#This Row],[HomeAway]]="H",HCA,0)+Games[[#This Row],[RestAdj]]))/400))</f>
        <v>0.38620591013682193</v>
      </c>
      <c r="R424" s="1">
        <v>76</v>
      </c>
      <c r="S424" s="1">
        <v>75</v>
      </c>
      <c r="T424" s="1">
        <v>0</v>
      </c>
      <c r="U424" s="1">
        <f>Games[[#This Row],[PointsFor]]-Games[[#This Row],[PointsAgainst]]</f>
        <v>1</v>
      </c>
      <c r="V424" s="1">
        <f>IF(Games[[#This Row],[MOV]]&gt;0,1,IF(Games[[#This Row],[MOV]]=0,0.5,0))</f>
        <v>1</v>
      </c>
      <c r="W424" s="4">
        <f>((ABS(Games[[#This Row],[MOV]])+5)^0.6)/(12+0.01*(ABS(Games[[#This Row],[PreGmRate]]-Games[[#This Row],[OppPreGmRate]])))*IF(Games[[#This Row],[OT]]=1,0.9,1)</f>
        <v>0.2434658119042418</v>
      </c>
      <c r="X424" s="7" cm="1">
        <f t="array" ref="X42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4" s="9">
        <f>MAX(kmin, kmax - 0.15 * MIN(Games[[#This Row],[GamesPlayed]], 82))</f>
        <v>70.599999999999994</v>
      </c>
      <c r="Z424" s="4">
        <f>Games[[#This Row],[K]]*Games[[#This Row],[POMult]]</f>
        <v>70.599999999999994</v>
      </c>
      <c r="AA424" s="4">
        <f>(Games[[#This Row],[Keff]]*Games[[#This Row],[MOVMult]])*(Games[[#This Row],[Result]]-Games[[#This Row],[ExpectedWin%]])</f>
        <v>10.550314075997804</v>
      </c>
      <c r="AB424" s="4">
        <f>Games[[#This Row],[PreGmRate]]+Games[[#This Row],[RatingChange]]</f>
        <v>1470.8051791410332</v>
      </c>
      <c r="AC424" s="2">
        <f>IF(Games[[#This Row],[Type]]="R",IF(Games[[#This Row],[Result]]&gt;0.5,1,0),0)</f>
        <v>1</v>
      </c>
      <c r="AD424" s="2">
        <f>IF(Games[[#This Row],[Type]]="R",IF(Games[[#This Row],[Result]]&lt;0.5,1,0),0)</f>
        <v>0</v>
      </c>
      <c r="AE424" s="2">
        <f>IF(AND(Games[[#This Row],[Type]]="P",Games[[#This Row],[Round]]=1),IF(Games[[#This Row],[Result]]&gt;0.5,1,0),0)</f>
        <v>0</v>
      </c>
      <c r="AF424" s="2">
        <f>IF(AND(Games[[#This Row],[Type]]="P",Games[[#This Row],[Round]]=1),IF(Games[[#This Row],[Result]]&lt;0.5,1,0),0)</f>
        <v>0</v>
      </c>
      <c r="AG424" s="2">
        <f>IF(AND(Games[[#This Row],[Type]]="P",Games[[#This Row],[Round]]=2),IF(Games[[#This Row],[Result]]&gt;0.5,1,0),0)</f>
        <v>0</v>
      </c>
      <c r="AH424" s="2">
        <f>IF(AND(Games[[#This Row],[Type]]="P",Games[[#This Row],[Round]]=2),IF(Games[[#This Row],[Result]]&lt;0.5,1,0),0)</f>
        <v>0</v>
      </c>
      <c r="AI424" s="2">
        <f>IF(AND(Games[[#This Row],[Type]]="P",Games[[#This Row],[Round]]=3),IF(Games[[#This Row],[Result]]&gt;0.5,1,0),0)</f>
        <v>0</v>
      </c>
      <c r="AJ424" s="2">
        <f>IF(AND(Games[[#This Row],[Type]]="P",Games[[#This Row],[Round]]=3),IF(Games[[#This Row],[Result]]&lt;0.5,1,0),0)</f>
        <v>0</v>
      </c>
      <c r="AK424" s="2">
        <f>IF(AND(Games[[#This Row],[Type]]="P",Games[[#This Row],[Round]]=4),IF(Games[[#This Row],[Result]]&gt;0.5,1,0),0)</f>
        <v>0</v>
      </c>
      <c r="AL424" s="2">
        <f>IF(AND(Games[[#This Row],[Type]]="P",Games[[#This Row],[Round]]=4),IF(Games[[#This Row],[Result]]&lt;0.5,1,0),0)</f>
        <v>0</v>
      </c>
    </row>
    <row r="425" spans="1:38" x14ac:dyDescent="0.35">
      <c r="A425" s="10">
        <v>45167</v>
      </c>
      <c r="B425" s="2">
        <v>2023</v>
      </c>
      <c r="C425" s="2">
        <f>COUNTIFS(Games[Team],Games[[#This Row],[Team]],Games[Season],Games[[#This Row],[Season]],Games[Date],"&lt;=" &amp; Games[[#This Row],[Date]])</f>
        <v>35</v>
      </c>
      <c r="D425" s="2" t="s">
        <v>79</v>
      </c>
      <c r="E425" s="2" t="s">
        <v>80</v>
      </c>
      <c r="F425" s="1" t="s">
        <v>63</v>
      </c>
      <c r="G425" s="1" t="s">
        <v>75</v>
      </c>
      <c r="H425" s="1" t="s">
        <v>82</v>
      </c>
      <c r="I425" s="2" cm="1">
        <f t="array" ref="I4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5" s="2" cm="1">
        <f t="array" ref="J4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5" s="2">
        <f>Games[[#This Row],[DaysOff]]-Games[[#This Row],[OppDaysOff]]</f>
        <v>0</v>
      </c>
      <c r="L425" s="2">
        <f>Games[[#This Row],[OppDaysOff]]-Games[[#This Row],[DaysOff]]</f>
        <v>0</v>
      </c>
      <c r="M425" s="1">
        <f>MAX(-16, MIN(16, Games[[#This Row],[RestDiff]]*8))</f>
        <v>0</v>
      </c>
      <c r="N425" s="1">
        <f>MAX(-16, MIN(16, Games[[#This Row],[OppRestDiff]]*8))</f>
        <v>0</v>
      </c>
      <c r="O425" s="4" cm="1">
        <f t="array" ref="O4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1456.7363797936869</v>
      </c>
      <c r="P425" s="4" cm="1">
        <f t="array" ref="P4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1460.2548650650353</v>
      </c>
      <c r="Q425" s="4">
        <f>1/(1+10^(((Games[[#This Row],[OppPreGmRate]]+IF(Games[[#This Row],[HomeAway]]="A",HCA,0)+Games[[#This Row],[OppRestAdj]])-(Games[[#This Row],[PreGmRate]]+IF(Games[[#This Row],[HomeAway]]="H",HCA,0)+Games[[#This Row],[RestAdj]]))/400))</f>
        <v>0.61379408986317807</v>
      </c>
      <c r="R425" s="1">
        <v>75</v>
      </c>
      <c r="S425" s="1">
        <v>76</v>
      </c>
      <c r="T425" s="1">
        <v>0</v>
      </c>
      <c r="U425" s="1">
        <f>Games[[#This Row],[PointsFor]]-Games[[#This Row],[PointsAgainst]]</f>
        <v>-1</v>
      </c>
      <c r="V425" s="1">
        <f>IF(Games[[#This Row],[MOV]]&gt;0,1,IF(Games[[#This Row],[MOV]]=0,0.5,0))</f>
        <v>0</v>
      </c>
      <c r="W425" s="4">
        <f>((ABS(Games[[#This Row],[MOV]])+5)^0.6)/(12+0.01*(ABS(Games[[#This Row],[PreGmRate]]-Games[[#This Row],[OppPreGmRate]])))*IF(Games[[#This Row],[OT]]=1,0.9,1)</f>
        <v>0.2434658119042418</v>
      </c>
      <c r="X425" s="7" cm="1">
        <f t="array" ref="X42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5" s="9">
        <f>MAX(kmin, kmax - 0.15 * MIN(Games[[#This Row],[GamesPlayed]], 82))</f>
        <v>70.75</v>
      </c>
      <c r="Z425" s="4">
        <f>Games[[#This Row],[K]]*Games[[#This Row],[POMult]]</f>
        <v>70.75</v>
      </c>
      <c r="AA425" s="4">
        <f>(Games[[#This Row],[Keff]]*Games[[#This Row],[MOVMult]])*(Games[[#This Row],[Result]]-Games[[#This Row],[ExpectedWin%]])</f>
        <v>-10.57272975746239</v>
      </c>
      <c r="AB425" s="4">
        <f>Games[[#This Row],[PreGmRate]]+Games[[#This Row],[RatingChange]]</f>
        <v>1446.1636500362245</v>
      </c>
      <c r="AC425" s="2">
        <f>IF(Games[[#This Row],[Type]]="R",IF(Games[[#This Row],[Result]]&gt;0.5,1,0),0)</f>
        <v>0</v>
      </c>
      <c r="AD425" s="2">
        <f>IF(Games[[#This Row],[Type]]="R",IF(Games[[#This Row],[Result]]&lt;0.5,1,0),0)</f>
        <v>1</v>
      </c>
      <c r="AE425" s="2">
        <f>IF(AND(Games[[#This Row],[Type]]="P",Games[[#This Row],[Round]]=1),IF(Games[[#This Row],[Result]]&gt;0.5,1,0),0)</f>
        <v>0</v>
      </c>
      <c r="AF425" s="2">
        <f>IF(AND(Games[[#This Row],[Type]]="P",Games[[#This Row],[Round]]=1),IF(Games[[#This Row],[Result]]&lt;0.5,1,0),0)</f>
        <v>0</v>
      </c>
      <c r="AG425" s="2">
        <f>IF(AND(Games[[#This Row],[Type]]="P",Games[[#This Row],[Round]]=2),IF(Games[[#This Row],[Result]]&gt;0.5,1,0),0)</f>
        <v>0</v>
      </c>
      <c r="AH425" s="2">
        <f>IF(AND(Games[[#This Row],[Type]]="P",Games[[#This Row],[Round]]=2),IF(Games[[#This Row],[Result]]&lt;0.5,1,0),0)</f>
        <v>0</v>
      </c>
      <c r="AI425" s="2">
        <f>IF(AND(Games[[#This Row],[Type]]="P",Games[[#This Row],[Round]]=3),IF(Games[[#This Row],[Result]]&gt;0.5,1,0),0)</f>
        <v>0</v>
      </c>
      <c r="AJ425" s="2">
        <f>IF(AND(Games[[#This Row],[Type]]="P",Games[[#This Row],[Round]]=3),IF(Games[[#This Row],[Result]]&lt;0.5,1,0),0)</f>
        <v>0</v>
      </c>
      <c r="AK425" s="2">
        <f>IF(AND(Games[[#This Row],[Type]]="P",Games[[#This Row],[Round]]=4),IF(Games[[#This Row],[Result]]&gt;0.5,1,0),0)</f>
        <v>0</v>
      </c>
      <c r="AL425" s="2">
        <f>IF(AND(Games[[#This Row],[Type]]="P",Games[[#This Row],[Round]]=4),IF(Games[[#This Row],[Result]]&lt;0.5,1,0),0)</f>
        <v>0</v>
      </c>
    </row>
    <row r="426" spans="1:38" x14ac:dyDescent="0.35">
      <c r="A426" s="10">
        <v>45167</v>
      </c>
      <c r="B426" s="2">
        <v>2023</v>
      </c>
      <c r="C426" s="2">
        <f>COUNTIFS(Games[Team],Games[[#This Row],[Team]],Games[Season],Games[[#This Row],[Season]],Games[Date],"&lt;=" &amp; Games[[#This Row],[Date]])</f>
        <v>36</v>
      </c>
      <c r="D426" s="2" t="s">
        <v>79</v>
      </c>
      <c r="E426" s="2" t="s">
        <v>80</v>
      </c>
      <c r="F426" s="1" t="s">
        <v>67</v>
      </c>
      <c r="G426" s="1" t="s">
        <v>65</v>
      </c>
      <c r="H426" s="1" t="s">
        <v>81</v>
      </c>
      <c r="I426" s="2" cm="1">
        <f t="array" ref="I4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6" s="2" cm="1">
        <f t="array" ref="J4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6" s="2">
        <f>Games[[#This Row],[DaysOff]]-Games[[#This Row],[OppDaysOff]]</f>
        <v>0</v>
      </c>
      <c r="L426" s="2">
        <f>Games[[#This Row],[OppDaysOff]]-Games[[#This Row],[DaysOff]]</f>
        <v>0</v>
      </c>
      <c r="M426" s="1">
        <f>MAX(-16, MIN(16, Games[[#This Row],[RestDiff]]*8))</f>
        <v>0</v>
      </c>
      <c r="N426" s="1">
        <f>MAX(-16, MIN(16, Games[[#This Row],[OppRestDiff]]*8))</f>
        <v>0</v>
      </c>
      <c r="O426" s="4" cm="1">
        <f t="array" ref="O4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1471.5998574969547</v>
      </c>
      <c r="P426" s="4" cm="1">
        <f t="array" ref="P4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1466.7722908978999</v>
      </c>
      <c r="Q426" s="4">
        <f>1/(1+10^(((Games[[#This Row],[OppPreGmRate]]+IF(Games[[#This Row],[HomeAway]]="A",HCA,0)+Games[[#This Row],[OppRestAdj]])-(Games[[#This Row],[PreGmRate]]+IF(Games[[#This Row],[HomeAway]]="H",HCA,0)+Games[[#This Row],[RestAdj]]))/400))</f>
        <v>0.38799377405882152</v>
      </c>
      <c r="R426" s="1">
        <v>72</v>
      </c>
      <c r="S426" s="1">
        <v>83</v>
      </c>
      <c r="T426" s="1">
        <v>0</v>
      </c>
      <c r="U426" s="1">
        <f>Games[[#This Row],[PointsFor]]-Games[[#This Row],[PointsAgainst]]</f>
        <v>-11</v>
      </c>
      <c r="V426" s="1">
        <f>IF(Games[[#This Row],[MOV]]&gt;0,1,IF(Games[[#This Row],[MOV]]=0,0.5,0))</f>
        <v>0</v>
      </c>
      <c r="W426" s="4">
        <f>((ABS(Games[[#This Row],[MOV]])+5)^0.6)/(12+0.01*(ABS(Games[[#This Row],[PreGmRate]]-Games[[#This Row],[OppPreGmRate]])))*IF(Games[[#This Row],[OT]]=1,0.9,1)</f>
        <v>0.43807361230870739</v>
      </c>
      <c r="X426" s="7" cm="1">
        <f t="array" ref="X42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6" s="9">
        <f>MAX(kmin, kmax - 0.15 * MIN(Games[[#This Row],[GamesPlayed]], 82))</f>
        <v>70.599999999999994</v>
      </c>
      <c r="Z426" s="4">
        <f>Games[[#This Row],[K]]*Games[[#This Row],[POMult]]</f>
        <v>70.599999999999994</v>
      </c>
      <c r="AA426" s="4">
        <f>(Games[[#This Row],[Keff]]*Games[[#This Row],[MOVMult]])*(Games[[#This Row],[Result]]-Games[[#This Row],[ExpectedWin%]])</f>
        <v>-11.999870291359688</v>
      </c>
      <c r="AB426" s="4">
        <f>Games[[#This Row],[PreGmRate]]+Games[[#This Row],[RatingChange]]</f>
        <v>1459.599987205595</v>
      </c>
      <c r="AC426" s="2">
        <f>IF(Games[[#This Row],[Type]]="R",IF(Games[[#This Row],[Result]]&gt;0.5,1,0),0)</f>
        <v>0</v>
      </c>
      <c r="AD426" s="2">
        <f>IF(Games[[#This Row],[Type]]="R",IF(Games[[#This Row],[Result]]&lt;0.5,1,0),0)</f>
        <v>1</v>
      </c>
      <c r="AE426" s="2">
        <f>IF(AND(Games[[#This Row],[Type]]="P",Games[[#This Row],[Round]]=1),IF(Games[[#This Row],[Result]]&gt;0.5,1,0),0)</f>
        <v>0</v>
      </c>
      <c r="AF426" s="2">
        <f>IF(AND(Games[[#This Row],[Type]]="P",Games[[#This Row],[Round]]=1),IF(Games[[#This Row],[Result]]&lt;0.5,1,0),0)</f>
        <v>0</v>
      </c>
      <c r="AG426" s="2">
        <f>IF(AND(Games[[#This Row],[Type]]="P",Games[[#This Row],[Round]]=2),IF(Games[[#This Row],[Result]]&gt;0.5,1,0),0)</f>
        <v>0</v>
      </c>
      <c r="AH426" s="2">
        <f>IF(AND(Games[[#This Row],[Type]]="P",Games[[#This Row],[Round]]=2),IF(Games[[#This Row],[Result]]&lt;0.5,1,0),0)</f>
        <v>0</v>
      </c>
      <c r="AI426" s="2">
        <f>IF(AND(Games[[#This Row],[Type]]="P",Games[[#This Row],[Round]]=3),IF(Games[[#This Row],[Result]]&gt;0.5,1,0),0)</f>
        <v>0</v>
      </c>
      <c r="AJ426" s="2">
        <f>IF(AND(Games[[#This Row],[Type]]="P",Games[[#This Row],[Round]]=3),IF(Games[[#This Row],[Result]]&lt;0.5,1,0),0)</f>
        <v>0</v>
      </c>
      <c r="AK426" s="2">
        <f>IF(AND(Games[[#This Row],[Type]]="P",Games[[#This Row],[Round]]=4),IF(Games[[#This Row],[Result]]&gt;0.5,1,0),0)</f>
        <v>0</v>
      </c>
      <c r="AL426" s="2">
        <f>IF(AND(Games[[#This Row],[Type]]="P",Games[[#This Row],[Round]]=4),IF(Games[[#This Row],[Result]]&lt;0.5,1,0),0)</f>
        <v>0</v>
      </c>
    </row>
    <row r="427" spans="1:38" x14ac:dyDescent="0.35">
      <c r="A427" s="10">
        <v>45167</v>
      </c>
      <c r="B427" s="2">
        <v>2023</v>
      </c>
      <c r="C427" s="2">
        <f>COUNTIFS(Games[Team],Games[[#This Row],[Team]],Games[Season],Games[[#This Row],[Season]],Games[Date],"&lt;=" &amp; Games[[#This Row],[Date]])</f>
        <v>35</v>
      </c>
      <c r="D427" s="2" t="s">
        <v>79</v>
      </c>
      <c r="E427" s="2" t="s">
        <v>80</v>
      </c>
      <c r="F427" s="1" t="s">
        <v>65</v>
      </c>
      <c r="G427" s="1" t="s">
        <v>67</v>
      </c>
      <c r="H427" s="1" t="s">
        <v>82</v>
      </c>
      <c r="I427" s="2" cm="1">
        <f t="array" ref="I4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7" s="2" cm="1">
        <f t="array" ref="J4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7" s="2">
        <f>Games[[#This Row],[DaysOff]]-Games[[#This Row],[OppDaysOff]]</f>
        <v>0</v>
      </c>
      <c r="L427" s="2">
        <f>Games[[#This Row],[OppDaysOff]]-Games[[#This Row],[DaysOff]]</f>
        <v>0</v>
      </c>
      <c r="M427" s="1">
        <f>MAX(-16, MIN(16, Games[[#This Row],[RestDiff]]*8))</f>
        <v>0</v>
      </c>
      <c r="N427" s="1">
        <f>MAX(-16, MIN(16, Games[[#This Row],[OppRestDiff]]*8))</f>
        <v>0</v>
      </c>
      <c r="O427" s="4" cm="1">
        <f t="array" ref="O4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1466.7722908978999</v>
      </c>
      <c r="P427" s="4" cm="1">
        <f t="array" ref="P4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1471.5998574969547</v>
      </c>
      <c r="Q427" s="4">
        <f>1/(1+10^(((Games[[#This Row],[OppPreGmRate]]+IF(Games[[#This Row],[HomeAway]]="A",HCA,0)+Games[[#This Row],[OppRestAdj]])-(Games[[#This Row],[PreGmRate]]+IF(Games[[#This Row],[HomeAway]]="H",HCA,0)+Games[[#This Row],[RestAdj]]))/400))</f>
        <v>0.61200622594117859</v>
      </c>
      <c r="R427" s="1">
        <v>83</v>
      </c>
      <c r="S427" s="1">
        <v>72</v>
      </c>
      <c r="T427" s="1">
        <v>0</v>
      </c>
      <c r="U427" s="1">
        <f>Games[[#This Row],[PointsFor]]-Games[[#This Row],[PointsAgainst]]</f>
        <v>11</v>
      </c>
      <c r="V427" s="1">
        <f>IF(Games[[#This Row],[MOV]]&gt;0,1,IF(Games[[#This Row],[MOV]]=0,0.5,0))</f>
        <v>1</v>
      </c>
      <c r="W427" s="4">
        <f>((ABS(Games[[#This Row],[MOV]])+5)^0.6)/(12+0.01*(ABS(Games[[#This Row],[PreGmRate]]-Games[[#This Row],[OppPreGmRate]])))*IF(Games[[#This Row],[OT]]=1,0.9,1)</f>
        <v>0.43807361230870739</v>
      </c>
      <c r="X427" s="7" cm="1">
        <f t="array" ref="X42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7" s="9">
        <f>MAX(kmin, kmax - 0.15 * MIN(Games[[#This Row],[GamesPlayed]], 82))</f>
        <v>70.75</v>
      </c>
      <c r="Z427" s="4">
        <f>Games[[#This Row],[K]]*Games[[#This Row],[POMult]]</f>
        <v>70.75</v>
      </c>
      <c r="AA427" s="4">
        <f>(Games[[#This Row],[Keff]]*Games[[#This Row],[MOVMult]])*(Games[[#This Row],[Result]]-Games[[#This Row],[ExpectedWin%]])</f>
        <v>12.025365766482972</v>
      </c>
      <c r="AB427" s="4">
        <f>Games[[#This Row],[PreGmRate]]+Games[[#This Row],[RatingChange]]</f>
        <v>1478.7976566643829</v>
      </c>
      <c r="AC427" s="2">
        <f>IF(Games[[#This Row],[Type]]="R",IF(Games[[#This Row],[Result]]&gt;0.5,1,0),0)</f>
        <v>1</v>
      </c>
      <c r="AD427" s="2">
        <f>IF(Games[[#This Row],[Type]]="R",IF(Games[[#This Row],[Result]]&lt;0.5,1,0),0)</f>
        <v>0</v>
      </c>
      <c r="AE427" s="2">
        <f>IF(AND(Games[[#This Row],[Type]]="P",Games[[#This Row],[Round]]=1),IF(Games[[#This Row],[Result]]&gt;0.5,1,0),0)</f>
        <v>0</v>
      </c>
      <c r="AF427" s="2">
        <f>IF(AND(Games[[#This Row],[Type]]="P",Games[[#This Row],[Round]]=1),IF(Games[[#This Row],[Result]]&lt;0.5,1,0),0)</f>
        <v>0</v>
      </c>
      <c r="AG427" s="2">
        <f>IF(AND(Games[[#This Row],[Type]]="P",Games[[#This Row],[Round]]=2),IF(Games[[#This Row],[Result]]&gt;0.5,1,0),0)</f>
        <v>0</v>
      </c>
      <c r="AH427" s="2">
        <f>IF(AND(Games[[#This Row],[Type]]="P",Games[[#This Row],[Round]]=2),IF(Games[[#This Row],[Result]]&lt;0.5,1,0),0)</f>
        <v>0</v>
      </c>
      <c r="AI427" s="2">
        <f>IF(AND(Games[[#This Row],[Type]]="P",Games[[#This Row],[Round]]=3),IF(Games[[#This Row],[Result]]&gt;0.5,1,0),0)</f>
        <v>0</v>
      </c>
      <c r="AJ427" s="2">
        <f>IF(AND(Games[[#This Row],[Type]]="P",Games[[#This Row],[Round]]=3),IF(Games[[#This Row],[Result]]&lt;0.5,1,0),0)</f>
        <v>0</v>
      </c>
      <c r="AK427" s="2">
        <f>IF(AND(Games[[#This Row],[Type]]="P",Games[[#This Row],[Round]]=4),IF(Games[[#This Row],[Result]]&gt;0.5,1,0),0)</f>
        <v>0</v>
      </c>
      <c r="AL427" s="2">
        <f>IF(AND(Games[[#This Row],[Type]]="P",Games[[#This Row],[Round]]=4),IF(Games[[#This Row],[Result]]&lt;0.5,1,0),0)</f>
        <v>0</v>
      </c>
    </row>
    <row r="428" spans="1:38" x14ac:dyDescent="0.35">
      <c r="A428" s="10">
        <v>45169</v>
      </c>
      <c r="B428" s="2">
        <v>2023</v>
      </c>
      <c r="C428" s="2">
        <f>COUNTIFS(Games[Team],Games[[#This Row],[Team]],Games[Season],Games[[#This Row],[Season]],Games[Date],"&lt;=" &amp; Games[[#This Row],[Date]])</f>
        <v>36</v>
      </c>
      <c r="D428" s="2" t="s">
        <v>79</v>
      </c>
      <c r="E428" s="2" t="s">
        <v>80</v>
      </c>
      <c r="F428" s="1" t="s">
        <v>40</v>
      </c>
      <c r="G428" s="1" t="s">
        <v>74</v>
      </c>
      <c r="H428" s="1" t="s">
        <v>81</v>
      </c>
      <c r="I428" s="2" cm="1">
        <f t="array" ref="I4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8" s="2" cm="1">
        <f t="array" ref="J42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28" s="2">
        <f>Games[[#This Row],[DaysOff]]-Games[[#This Row],[OppDaysOff]]</f>
        <v>-2</v>
      </c>
      <c r="L428" s="2">
        <f>Games[[#This Row],[OppDaysOff]]-Games[[#This Row],[DaysOff]]</f>
        <v>2</v>
      </c>
      <c r="M428" s="1">
        <f>MAX(-16, MIN(16, Games[[#This Row],[RestDiff]]*8))</f>
        <v>-16</v>
      </c>
      <c r="N428" s="1">
        <f>MAX(-16, MIN(16, Games[[#This Row],[OppRestDiff]]*8))</f>
        <v>16</v>
      </c>
      <c r="O428" s="4" cm="1">
        <f t="array" ref="O4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1332.7800266760589</v>
      </c>
      <c r="P428" s="4" cm="1">
        <f t="array" ref="P4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1619.8788498850404</v>
      </c>
      <c r="Q428" s="4">
        <f>1/(1+10^(((Games[[#This Row],[OppPreGmRate]]+IF(Games[[#This Row],[HomeAway]]="A",HCA,0)+Games[[#This Row],[OppRestAdj]])-(Games[[#This Row],[PreGmRate]]+IF(Games[[#This Row],[HomeAway]]="H",HCA,0)+Games[[#This Row],[RestAdj]]))/400))</f>
        <v>8.944557330309845E-2</v>
      </c>
      <c r="R428" s="1">
        <v>74</v>
      </c>
      <c r="S428" s="1">
        <v>84</v>
      </c>
      <c r="T428" s="1">
        <v>0</v>
      </c>
      <c r="U428" s="1">
        <f>Games[[#This Row],[PointsFor]]-Games[[#This Row],[PointsAgainst]]</f>
        <v>-10</v>
      </c>
      <c r="V428" s="1">
        <f>IF(Games[[#This Row],[MOV]]&gt;0,1,IF(Games[[#This Row],[MOV]]=0,0.5,0))</f>
        <v>0</v>
      </c>
      <c r="W428" s="4">
        <f>((ABS(Games[[#This Row],[MOV]])+5)^0.6)/(12+0.01*(ABS(Games[[#This Row],[PreGmRate]]-Games[[#This Row],[OppPreGmRate]])))*IF(Games[[#This Row],[OT]]=1,0.9,1)</f>
        <v>0.34144041490333826</v>
      </c>
      <c r="X428" s="7" cm="1">
        <f t="array" ref="X42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8" s="9">
        <f>MAX(kmin, kmax - 0.15 * MIN(Games[[#This Row],[GamesPlayed]], 82))</f>
        <v>70.599999999999994</v>
      </c>
      <c r="Z428" s="4">
        <f>Games[[#This Row],[K]]*Games[[#This Row],[POMult]]</f>
        <v>70.599999999999994</v>
      </c>
      <c r="AA428" s="4">
        <f>(Games[[#This Row],[Keff]]*Games[[#This Row],[MOVMult]])*(Games[[#This Row],[Result]]-Games[[#This Row],[ExpectedWin%]])</f>
        <v>-2.1561475563873085</v>
      </c>
      <c r="AB428" s="4">
        <f>Games[[#This Row],[PreGmRate]]+Games[[#This Row],[RatingChange]]</f>
        <v>1330.6238791196715</v>
      </c>
      <c r="AC428" s="2">
        <f>IF(Games[[#This Row],[Type]]="R",IF(Games[[#This Row],[Result]]&gt;0.5,1,0),0)</f>
        <v>0</v>
      </c>
      <c r="AD428" s="2">
        <f>IF(Games[[#This Row],[Type]]="R",IF(Games[[#This Row],[Result]]&lt;0.5,1,0),0)</f>
        <v>1</v>
      </c>
      <c r="AE428" s="2">
        <f>IF(AND(Games[[#This Row],[Type]]="P",Games[[#This Row],[Round]]=1),IF(Games[[#This Row],[Result]]&gt;0.5,1,0),0)</f>
        <v>0</v>
      </c>
      <c r="AF428" s="2">
        <f>IF(AND(Games[[#This Row],[Type]]="P",Games[[#This Row],[Round]]=1),IF(Games[[#This Row],[Result]]&lt;0.5,1,0),0)</f>
        <v>0</v>
      </c>
      <c r="AG428" s="2">
        <f>IF(AND(Games[[#This Row],[Type]]="P",Games[[#This Row],[Round]]=2),IF(Games[[#This Row],[Result]]&gt;0.5,1,0),0)</f>
        <v>0</v>
      </c>
      <c r="AH428" s="2">
        <f>IF(AND(Games[[#This Row],[Type]]="P",Games[[#This Row],[Round]]=2),IF(Games[[#This Row],[Result]]&lt;0.5,1,0),0)</f>
        <v>0</v>
      </c>
      <c r="AI428" s="2">
        <f>IF(AND(Games[[#This Row],[Type]]="P",Games[[#This Row],[Round]]=3),IF(Games[[#This Row],[Result]]&gt;0.5,1,0),0)</f>
        <v>0</v>
      </c>
      <c r="AJ428" s="2">
        <f>IF(AND(Games[[#This Row],[Type]]="P",Games[[#This Row],[Round]]=3),IF(Games[[#This Row],[Result]]&lt;0.5,1,0),0)</f>
        <v>0</v>
      </c>
      <c r="AK428" s="2">
        <f>IF(AND(Games[[#This Row],[Type]]="P",Games[[#This Row],[Round]]=4),IF(Games[[#This Row],[Result]]&gt;0.5,1,0),0)</f>
        <v>0</v>
      </c>
      <c r="AL428" s="2">
        <f>IF(AND(Games[[#This Row],[Type]]="P",Games[[#This Row],[Round]]=4),IF(Games[[#This Row],[Result]]&lt;0.5,1,0),0)</f>
        <v>0</v>
      </c>
    </row>
    <row r="429" spans="1:38" x14ac:dyDescent="0.35">
      <c r="A429" s="10">
        <v>45169</v>
      </c>
      <c r="B429" s="2">
        <v>2023</v>
      </c>
      <c r="C429" s="2">
        <f>COUNTIFS(Games[Team],Games[[#This Row],[Team]],Games[Season],Games[[#This Row],[Season]],Games[Date],"&lt;=" &amp; Games[[#This Row],[Date]])</f>
        <v>36</v>
      </c>
      <c r="D429" s="2" t="s">
        <v>79</v>
      </c>
      <c r="E429" s="2" t="s">
        <v>80</v>
      </c>
      <c r="F429" s="1" t="s">
        <v>74</v>
      </c>
      <c r="G429" s="1" t="s">
        <v>40</v>
      </c>
      <c r="H429" s="1" t="s">
        <v>82</v>
      </c>
      <c r="I429" s="2" cm="1">
        <f t="array" ref="I429">IFERROR(
    Games[[#This Row],[Date]]
    - LOOKUP(
        2,
        1/((Games[Team]=Games[[#This Row],[Team]]) * (Games[Date] &lt; Games[[#This Row],[Date]])),
        Games[Date]
    )
    - 1,
Games[[#This Row],[Date]]-$A$2)</f>
        <v>3</v>
      </c>
      <c r="J429" s="2" cm="1">
        <f t="array" ref="J4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9" s="2">
        <f>Games[[#This Row],[DaysOff]]-Games[[#This Row],[OppDaysOff]]</f>
        <v>2</v>
      </c>
      <c r="L429" s="2">
        <f>Games[[#This Row],[OppDaysOff]]-Games[[#This Row],[DaysOff]]</f>
        <v>-2</v>
      </c>
      <c r="M429" s="1">
        <f>MAX(-16, MIN(16, Games[[#This Row],[RestDiff]]*8))</f>
        <v>16</v>
      </c>
      <c r="N429" s="1">
        <f>MAX(-16, MIN(16, Games[[#This Row],[OppRestDiff]]*8))</f>
        <v>-16</v>
      </c>
      <c r="O429" s="4" cm="1">
        <f t="array" ref="O4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1619.8788498850404</v>
      </c>
      <c r="P429" s="4" cm="1">
        <f t="array" ref="P4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1332.7800266760589</v>
      </c>
      <c r="Q429" s="4">
        <f>1/(1+10^(((Games[[#This Row],[OppPreGmRate]]+IF(Games[[#This Row],[HomeAway]]="A",HCA,0)+Games[[#This Row],[OppRestAdj]])-(Games[[#This Row],[PreGmRate]]+IF(Games[[#This Row],[HomeAway]]="H",HCA,0)+Games[[#This Row],[RestAdj]]))/400))</f>
        <v>0.91055442669690145</v>
      </c>
      <c r="R429" s="1">
        <v>84</v>
      </c>
      <c r="S429" s="1">
        <v>74</v>
      </c>
      <c r="T429" s="1">
        <v>0</v>
      </c>
      <c r="U429" s="1">
        <f>Games[[#This Row],[PointsFor]]-Games[[#This Row],[PointsAgainst]]</f>
        <v>10</v>
      </c>
      <c r="V429" s="1">
        <f>IF(Games[[#This Row],[MOV]]&gt;0,1,IF(Games[[#This Row],[MOV]]=0,0.5,0))</f>
        <v>1</v>
      </c>
      <c r="W429" s="4">
        <f>((ABS(Games[[#This Row],[MOV]])+5)^0.6)/(12+0.01*(ABS(Games[[#This Row],[PreGmRate]]-Games[[#This Row],[OppPreGmRate]])))*IF(Games[[#This Row],[OT]]=1,0.9,1)</f>
        <v>0.34144041490333826</v>
      </c>
      <c r="X429" s="7" cm="1">
        <f t="array" ref="X42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9" s="9">
        <f>MAX(kmin, kmax - 0.15 * MIN(Games[[#This Row],[GamesPlayed]], 82))</f>
        <v>70.599999999999994</v>
      </c>
      <c r="Z429" s="4">
        <f>Games[[#This Row],[K]]*Games[[#This Row],[POMult]]</f>
        <v>70.599999999999994</v>
      </c>
      <c r="AA429" s="4">
        <f>(Games[[#This Row],[Keff]]*Games[[#This Row],[MOVMult]])*(Games[[#This Row],[Result]]-Games[[#This Row],[ExpectedWin%]])</f>
        <v>2.1561475563873107</v>
      </c>
      <c r="AB429" s="4">
        <f>Games[[#This Row],[PreGmRate]]+Games[[#This Row],[RatingChange]]</f>
        <v>1622.0349974414278</v>
      </c>
      <c r="AC429" s="2">
        <f>IF(Games[[#This Row],[Type]]="R",IF(Games[[#This Row],[Result]]&gt;0.5,1,0),0)</f>
        <v>1</v>
      </c>
      <c r="AD429" s="2">
        <f>IF(Games[[#This Row],[Type]]="R",IF(Games[[#This Row],[Result]]&lt;0.5,1,0),0)</f>
        <v>0</v>
      </c>
      <c r="AE429" s="2">
        <f>IF(AND(Games[[#This Row],[Type]]="P",Games[[#This Row],[Round]]=1),IF(Games[[#This Row],[Result]]&gt;0.5,1,0),0)</f>
        <v>0</v>
      </c>
      <c r="AF429" s="2">
        <f>IF(AND(Games[[#This Row],[Type]]="P",Games[[#This Row],[Round]]=1),IF(Games[[#This Row],[Result]]&lt;0.5,1,0),0)</f>
        <v>0</v>
      </c>
      <c r="AG429" s="2">
        <f>IF(AND(Games[[#This Row],[Type]]="P",Games[[#This Row],[Round]]=2),IF(Games[[#This Row],[Result]]&gt;0.5,1,0),0)</f>
        <v>0</v>
      </c>
      <c r="AH429" s="2">
        <f>IF(AND(Games[[#This Row],[Type]]="P",Games[[#This Row],[Round]]=2),IF(Games[[#This Row],[Result]]&lt;0.5,1,0),0)</f>
        <v>0</v>
      </c>
      <c r="AI429" s="2">
        <f>IF(AND(Games[[#This Row],[Type]]="P",Games[[#This Row],[Round]]=3),IF(Games[[#This Row],[Result]]&gt;0.5,1,0),0)</f>
        <v>0</v>
      </c>
      <c r="AJ429" s="2">
        <f>IF(AND(Games[[#This Row],[Type]]="P",Games[[#This Row],[Round]]=3),IF(Games[[#This Row],[Result]]&lt;0.5,1,0),0)</f>
        <v>0</v>
      </c>
      <c r="AK429" s="2">
        <f>IF(AND(Games[[#This Row],[Type]]="P",Games[[#This Row],[Round]]=4),IF(Games[[#This Row],[Result]]&gt;0.5,1,0),0)</f>
        <v>0</v>
      </c>
      <c r="AL429" s="2">
        <f>IF(AND(Games[[#This Row],[Type]]="P",Games[[#This Row],[Round]]=4),IF(Games[[#This Row],[Result]]&lt;0.5,1,0),0)</f>
        <v>0</v>
      </c>
    </row>
    <row r="430" spans="1:38" x14ac:dyDescent="0.35">
      <c r="A430" s="10">
        <v>45169</v>
      </c>
      <c r="B430" s="2">
        <v>2023</v>
      </c>
      <c r="C430" s="2">
        <f>COUNTIFS(Games[Team],Games[[#This Row],[Team]],Games[Season],Games[[#This Row],[Season]],Games[Date],"&lt;=" &amp; Games[[#This Row],[Date]])</f>
        <v>36</v>
      </c>
      <c r="D430" s="2" t="s">
        <v>79</v>
      </c>
      <c r="E430" s="2" t="s">
        <v>80</v>
      </c>
      <c r="F430" s="1" t="s">
        <v>71</v>
      </c>
      <c r="G430" s="1" t="s">
        <v>63</v>
      </c>
      <c r="H430" s="1" t="s">
        <v>81</v>
      </c>
      <c r="I430" s="2" cm="1">
        <f t="array" ref="I430">IFERROR(
    Games[[#This Row],[Date]]
    - LOOKUP(
        2,
        1/((Games[Team]=Games[[#This Row],[Team]]) * (Games[Date] &lt; Games[[#This Row],[Date]])),
        Games[Date]
    )
    - 1,
Games[[#This Row],[Date]]-$A$2)</f>
        <v>3</v>
      </c>
      <c r="J430" s="2" cm="1">
        <f t="array" ref="J4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0" s="2">
        <f>Games[[#This Row],[DaysOff]]-Games[[#This Row],[OppDaysOff]]</f>
        <v>2</v>
      </c>
      <c r="L430" s="2">
        <f>Games[[#This Row],[OppDaysOff]]-Games[[#This Row],[DaysOff]]</f>
        <v>-2</v>
      </c>
      <c r="M430" s="1">
        <f>MAX(-16, MIN(16, Games[[#This Row],[RestDiff]]*8))</f>
        <v>16</v>
      </c>
      <c r="N430" s="1">
        <f>MAX(-16, MIN(16, Games[[#This Row],[OppRestDiff]]*8))</f>
        <v>-16</v>
      </c>
      <c r="O430" s="4" cm="1">
        <f t="array" ref="O4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1403.51294028898</v>
      </c>
      <c r="P430" s="4" cm="1">
        <f t="array" ref="P4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1446.1636500362245</v>
      </c>
      <c r="Q430" s="4">
        <f>1/(1+10^(((Games[[#This Row],[OppPreGmRate]]+IF(Games[[#This Row],[HomeAway]]="A",HCA,0)+Games[[#This Row],[OppRestAdj]])-(Games[[#This Row],[PreGmRate]]+IF(Games[[#This Row],[HomeAway]]="H",HCA,0)+Games[[#This Row],[RestAdj]]))/400))</f>
        <v>0.36705930888058758</v>
      </c>
      <c r="R430" s="1">
        <v>72</v>
      </c>
      <c r="S430" s="1">
        <v>61</v>
      </c>
      <c r="T430" s="1">
        <v>0</v>
      </c>
      <c r="U430" s="1">
        <f>Games[[#This Row],[PointsFor]]-Games[[#This Row],[PointsAgainst]]</f>
        <v>11</v>
      </c>
      <c r="V430" s="1">
        <f>IF(Games[[#This Row],[MOV]]&gt;0,1,IF(Games[[#This Row],[MOV]]=0,0.5,0))</f>
        <v>1</v>
      </c>
      <c r="W430" s="4">
        <f>((ABS(Games[[#This Row],[MOV]])+5)^0.6)/(12+0.01*(ABS(Games[[#This Row],[PreGmRate]]-Games[[#This Row],[OppPreGmRate]])))*IF(Games[[#This Row],[OT]]=1,0.9,1)</f>
        <v>0.42473976007023967</v>
      </c>
      <c r="X430" s="7" cm="1">
        <f t="array" ref="X43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0" s="9">
        <f>MAX(kmin, kmax - 0.15 * MIN(Games[[#This Row],[GamesPlayed]], 82))</f>
        <v>70.599999999999994</v>
      </c>
      <c r="Z430" s="4">
        <f>Games[[#This Row],[K]]*Games[[#This Row],[POMult]]</f>
        <v>70.599999999999994</v>
      </c>
      <c r="AA430" s="4">
        <f>(Games[[#This Row],[Keff]]*Games[[#This Row],[MOVMult]])*(Games[[#This Row],[Result]]-Games[[#This Row],[ExpectedWin%]])</f>
        <v>18.979756456303413</v>
      </c>
      <c r="AB430" s="4">
        <f>Games[[#This Row],[PreGmRate]]+Games[[#This Row],[RatingChange]]</f>
        <v>1422.4926967452834</v>
      </c>
      <c r="AC430" s="2">
        <f>IF(Games[[#This Row],[Type]]="R",IF(Games[[#This Row],[Result]]&gt;0.5,1,0),0)</f>
        <v>1</v>
      </c>
      <c r="AD430" s="2">
        <f>IF(Games[[#This Row],[Type]]="R",IF(Games[[#This Row],[Result]]&lt;0.5,1,0),0)</f>
        <v>0</v>
      </c>
      <c r="AE430" s="2">
        <f>IF(AND(Games[[#This Row],[Type]]="P",Games[[#This Row],[Round]]=1),IF(Games[[#This Row],[Result]]&gt;0.5,1,0),0)</f>
        <v>0</v>
      </c>
      <c r="AF430" s="2">
        <f>IF(AND(Games[[#This Row],[Type]]="P",Games[[#This Row],[Round]]=1),IF(Games[[#This Row],[Result]]&lt;0.5,1,0),0)</f>
        <v>0</v>
      </c>
      <c r="AG430" s="2">
        <f>IF(AND(Games[[#This Row],[Type]]="P",Games[[#This Row],[Round]]=2),IF(Games[[#This Row],[Result]]&gt;0.5,1,0),0)</f>
        <v>0</v>
      </c>
      <c r="AH430" s="2">
        <f>IF(AND(Games[[#This Row],[Type]]="P",Games[[#This Row],[Round]]=2),IF(Games[[#This Row],[Result]]&lt;0.5,1,0),0)</f>
        <v>0</v>
      </c>
      <c r="AI430" s="2">
        <f>IF(AND(Games[[#This Row],[Type]]="P",Games[[#This Row],[Round]]=3),IF(Games[[#This Row],[Result]]&gt;0.5,1,0),0)</f>
        <v>0</v>
      </c>
      <c r="AJ430" s="2">
        <f>IF(AND(Games[[#This Row],[Type]]="P",Games[[#This Row],[Round]]=3),IF(Games[[#This Row],[Result]]&lt;0.5,1,0),0)</f>
        <v>0</v>
      </c>
      <c r="AK430" s="2">
        <f>IF(AND(Games[[#This Row],[Type]]="P",Games[[#This Row],[Round]]=4),IF(Games[[#This Row],[Result]]&gt;0.5,1,0),0)</f>
        <v>0</v>
      </c>
      <c r="AL430" s="2">
        <f>IF(AND(Games[[#This Row],[Type]]="P",Games[[#This Row],[Round]]=4),IF(Games[[#This Row],[Result]]&lt;0.5,1,0),0)</f>
        <v>0</v>
      </c>
    </row>
    <row r="431" spans="1:38" x14ac:dyDescent="0.35">
      <c r="A431" s="10">
        <v>45169</v>
      </c>
      <c r="B431" s="2">
        <v>2023</v>
      </c>
      <c r="C431" s="2">
        <f>COUNTIFS(Games[Team],Games[[#This Row],[Team]],Games[Season],Games[[#This Row],[Season]],Games[Date],"&lt;=" &amp; Games[[#This Row],[Date]])</f>
        <v>36</v>
      </c>
      <c r="D431" s="2" t="s">
        <v>79</v>
      </c>
      <c r="E431" s="2" t="s">
        <v>80</v>
      </c>
      <c r="F431" s="1" t="s">
        <v>63</v>
      </c>
      <c r="G431" s="1" t="s">
        <v>71</v>
      </c>
      <c r="H431" s="1" t="s">
        <v>82</v>
      </c>
      <c r="I431" s="2" cm="1">
        <f t="array" ref="I4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1" s="2" cm="1">
        <f t="array" ref="J43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31" s="2">
        <f>Games[[#This Row],[DaysOff]]-Games[[#This Row],[OppDaysOff]]</f>
        <v>-2</v>
      </c>
      <c r="L431" s="2">
        <f>Games[[#This Row],[OppDaysOff]]-Games[[#This Row],[DaysOff]]</f>
        <v>2</v>
      </c>
      <c r="M431" s="1">
        <f>MAX(-16, MIN(16, Games[[#This Row],[RestDiff]]*8))</f>
        <v>-16</v>
      </c>
      <c r="N431" s="1">
        <f>MAX(-16, MIN(16, Games[[#This Row],[OppRestDiff]]*8))</f>
        <v>16</v>
      </c>
      <c r="O431" s="4" cm="1">
        <f t="array" ref="O4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1446.1636500362245</v>
      </c>
      <c r="P431" s="4" cm="1">
        <f t="array" ref="P4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1403.51294028898</v>
      </c>
      <c r="Q431" s="4">
        <f>1/(1+10^(((Games[[#This Row],[OppPreGmRate]]+IF(Games[[#This Row],[HomeAway]]="A",HCA,0)+Games[[#This Row],[OppRestAdj]])-(Games[[#This Row],[PreGmRate]]+IF(Games[[#This Row],[HomeAway]]="H",HCA,0)+Games[[#This Row],[RestAdj]]))/400))</f>
        <v>0.63294069111941242</v>
      </c>
      <c r="R431" s="1">
        <v>61</v>
      </c>
      <c r="S431" s="1">
        <v>72</v>
      </c>
      <c r="T431" s="1">
        <v>0</v>
      </c>
      <c r="U431" s="1">
        <f>Games[[#This Row],[PointsFor]]-Games[[#This Row],[PointsAgainst]]</f>
        <v>-11</v>
      </c>
      <c r="V431" s="1">
        <f>IF(Games[[#This Row],[MOV]]&gt;0,1,IF(Games[[#This Row],[MOV]]=0,0.5,0))</f>
        <v>0</v>
      </c>
      <c r="W431" s="4">
        <f>((ABS(Games[[#This Row],[MOV]])+5)^0.6)/(12+0.01*(ABS(Games[[#This Row],[PreGmRate]]-Games[[#This Row],[OppPreGmRate]])))*IF(Games[[#This Row],[OT]]=1,0.9,1)</f>
        <v>0.42473976007023967</v>
      </c>
      <c r="X431" s="7" cm="1">
        <f t="array" ref="X43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1" s="9">
        <f>MAX(kmin, kmax - 0.15 * MIN(Games[[#This Row],[GamesPlayed]], 82))</f>
        <v>70.599999999999994</v>
      </c>
      <c r="Z431" s="4">
        <f>Games[[#This Row],[K]]*Games[[#This Row],[POMult]]</f>
        <v>70.599999999999994</v>
      </c>
      <c r="AA431" s="4">
        <f>(Games[[#This Row],[Keff]]*Games[[#This Row],[MOVMult]])*(Games[[#This Row],[Result]]-Games[[#This Row],[ExpectedWin%]])</f>
        <v>-18.979756456303413</v>
      </c>
      <c r="AB431" s="4">
        <f>Games[[#This Row],[PreGmRate]]+Games[[#This Row],[RatingChange]]</f>
        <v>1427.183893579921</v>
      </c>
      <c r="AC431" s="2">
        <f>IF(Games[[#This Row],[Type]]="R",IF(Games[[#This Row],[Result]]&gt;0.5,1,0),0)</f>
        <v>0</v>
      </c>
      <c r="AD431" s="2">
        <f>IF(Games[[#This Row],[Type]]="R",IF(Games[[#This Row],[Result]]&lt;0.5,1,0),0)</f>
        <v>1</v>
      </c>
      <c r="AE431" s="2">
        <f>IF(AND(Games[[#This Row],[Type]]="P",Games[[#This Row],[Round]]=1),IF(Games[[#This Row],[Result]]&gt;0.5,1,0),0)</f>
        <v>0</v>
      </c>
      <c r="AF431" s="2">
        <f>IF(AND(Games[[#This Row],[Type]]="P",Games[[#This Row],[Round]]=1),IF(Games[[#This Row],[Result]]&lt;0.5,1,0),0)</f>
        <v>0</v>
      </c>
      <c r="AG431" s="2">
        <f>IF(AND(Games[[#This Row],[Type]]="P",Games[[#This Row],[Round]]=2),IF(Games[[#This Row],[Result]]&gt;0.5,1,0),0)</f>
        <v>0</v>
      </c>
      <c r="AH431" s="2">
        <f>IF(AND(Games[[#This Row],[Type]]="P",Games[[#This Row],[Round]]=2),IF(Games[[#This Row],[Result]]&lt;0.5,1,0),0)</f>
        <v>0</v>
      </c>
      <c r="AI431" s="2">
        <f>IF(AND(Games[[#This Row],[Type]]="P",Games[[#This Row],[Round]]=3),IF(Games[[#This Row],[Result]]&gt;0.5,1,0),0)</f>
        <v>0</v>
      </c>
      <c r="AJ431" s="2">
        <f>IF(AND(Games[[#This Row],[Type]]="P",Games[[#This Row],[Round]]=3),IF(Games[[#This Row],[Result]]&lt;0.5,1,0),0)</f>
        <v>0</v>
      </c>
      <c r="AK431" s="2">
        <f>IF(AND(Games[[#This Row],[Type]]="P",Games[[#This Row],[Round]]=4),IF(Games[[#This Row],[Result]]&gt;0.5,1,0),0)</f>
        <v>0</v>
      </c>
      <c r="AL431" s="2">
        <f>IF(AND(Games[[#This Row],[Type]]="P",Games[[#This Row],[Round]]=4),IF(Games[[#This Row],[Result]]&lt;0.5,1,0),0)</f>
        <v>0</v>
      </c>
    </row>
    <row r="432" spans="1:38" x14ac:dyDescent="0.35">
      <c r="A432" s="10">
        <v>45169</v>
      </c>
      <c r="B432" s="2">
        <v>2023</v>
      </c>
      <c r="C432" s="2">
        <f>COUNTIFS(Games[Team],Games[[#This Row],[Team]],Games[Season],Games[[#This Row],[Season]],Games[Date],"&lt;=" &amp; Games[[#This Row],[Date]])</f>
        <v>36</v>
      </c>
      <c r="D432" s="2" t="s">
        <v>79</v>
      </c>
      <c r="E432" s="2" t="s">
        <v>80</v>
      </c>
      <c r="F432" s="1" t="s">
        <v>65</v>
      </c>
      <c r="G432" s="1" t="s">
        <v>86</v>
      </c>
      <c r="H432" s="1" t="s">
        <v>81</v>
      </c>
      <c r="I432" s="2" cm="1">
        <f t="array" ref="I4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2" s="2" cm="1">
        <f t="array" ref="J4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2" s="2">
        <f>Games[[#This Row],[DaysOff]]-Games[[#This Row],[OppDaysOff]]</f>
        <v>-1</v>
      </c>
      <c r="L432" s="2">
        <f>Games[[#This Row],[OppDaysOff]]-Games[[#This Row],[DaysOff]]</f>
        <v>1</v>
      </c>
      <c r="M432" s="1">
        <f>MAX(-16, MIN(16, Games[[#This Row],[RestDiff]]*8))</f>
        <v>-8</v>
      </c>
      <c r="N432" s="1">
        <f>MAX(-16, MIN(16, Games[[#This Row],[OppRestDiff]]*8))</f>
        <v>8</v>
      </c>
      <c r="O432" s="4" cm="1">
        <f t="array" ref="O4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1478.7976566643829</v>
      </c>
      <c r="P432" s="4" cm="1">
        <f t="array" ref="P4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1698.855687195583</v>
      </c>
      <c r="Q432" s="4">
        <f>1/(1+10^(((Games[[#This Row],[OppPreGmRate]]+IF(Games[[#This Row],[HomeAway]]="A",HCA,0)+Games[[#This Row],[OppRestAdj]])-(Games[[#This Row],[PreGmRate]]+IF(Games[[#This Row],[HomeAway]]="H",HCA,0)+Games[[#This Row],[RestAdj]]))/400))</f>
        <v>0.13676744509969904</v>
      </c>
      <c r="R432" s="1">
        <v>75</v>
      </c>
      <c r="S432" s="1">
        <v>84</v>
      </c>
      <c r="T432" s="1">
        <v>0</v>
      </c>
      <c r="U432" s="1">
        <f>Games[[#This Row],[PointsFor]]-Games[[#This Row],[PointsAgainst]]</f>
        <v>-9</v>
      </c>
      <c r="V432" s="1">
        <f>IF(Games[[#This Row],[MOV]]&gt;0,1,IF(Games[[#This Row],[MOV]]=0,0.5,0))</f>
        <v>0</v>
      </c>
      <c r="W432" s="4">
        <f>((ABS(Games[[#This Row],[MOV]])+5)^0.6)/(12+0.01*(ABS(Games[[#This Row],[PreGmRate]]-Games[[#This Row],[OppPreGmRate]])))*IF(Games[[#This Row],[OT]]=1,0.9,1)</f>
        <v>0.34306051027679313</v>
      </c>
      <c r="X432" s="7" cm="1">
        <f t="array" ref="X43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2" s="9">
        <f>MAX(kmin, kmax - 0.15 * MIN(Games[[#This Row],[GamesPlayed]], 82))</f>
        <v>70.599999999999994</v>
      </c>
      <c r="Z432" s="4">
        <f>Games[[#This Row],[K]]*Games[[#This Row],[POMult]]</f>
        <v>70.599999999999994</v>
      </c>
      <c r="AA432" s="4">
        <f>(Games[[#This Row],[Keff]]*Games[[#This Row],[MOVMult]])*(Games[[#This Row],[Result]]-Games[[#This Row],[ExpectedWin%]])</f>
        <v>-3.3125173710640166</v>
      </c>
      <c r="AB432" s="4">
        <f>Games[[#This Row],[PreGmRate]]+Games[[#This Row],[RatingChange]]</f>
        <v>1475.485139293319</v>
      </c>
      <c r="AC432" s="2">
        <f>IF(Games[[#This Row],[Type]]="R",IF(Games[[#This Row],[Result]]&gt;0.5,1,0),0)</f>
        <v>0</v>
      </c>
      <c r="AD432" s="2">
        <f>IF(Games[[#This Row],[Type]]="R",IF(Games[[#This Row],[Result]]&lt;0.5,1,0),0)</f>
        <v>1</v>
      </c>
      <c r="AE432" s="2">
        <f>IF(AND(Games[[#This Row],[Type]]="P",Games[[#This Row],[Round]]=1),IF(Games[[#This Row],[Result]]&gt;0.5,1,0),0)</f>
        <v>0</v>
      </c>
      <c r="AF432" s="2">
        <f>IF(AND(Games[[#This Row],[Type]]="P",Games[[#This Row],[Round]]=1),IF(Games[[#This Row],[Result]]&lt;0.5,1,0),0)</f>
        <v>0</v>
      </c>
      <c r="AG432" s="2">
        <f>IF(AND(Games[[#This Row],[Type]]="P",Games[[#This Row],[Round]]=2),IF(Games[[#This Row],[Result]]&gt;0.5,1,0),0)</f>
        <v>0</v>
      </c>
      <c r="AH432" s="2">
        <f>IF(AND(Games[[#This Row],[Type]]="P",Games[[#This Row],[Round]]=2),IF(Games[[#This Row],[Result]]&lt;0.5,1,0),0)</f>
        <v>0</v>
      </c>
      <c r="AI432" s="2">
        <f>IF(AND(Games[[#This Row],[Type]]="P",Games[[#This Row],[Round]]=3),IF(Games[[#This Row],[Result]]&gt;0.5,1,0),0)</f>
        <v>0</v>
      </c>
      <c r="AJ432" s="2">
        <f>IF(AND(Games[[#This Row],[Type]]="P",Games[[#This Row],[Round]]=3),IF(Games[[#This Row],[Result]]&lt;0.5,1,0),0)</f>
        <v>0</v>
      </c>
      <c r="AK432" s="2">
        <f>IF(AND(Games[[#This Row],[Type]]="P",Games[[#This Row],[Round]]=4),IF(Games[[#This Row],[Result]]&gt;0.5,1,0),0)</f>
        <v>0</v>
      </c>
      <c r="AL432" s="2">
        <f>IF(AND(Games[[#This Row],[Type]]="P",Games[[#This Row],[Round]]=4),IF(Games[[#This Row],[Result]]&lt;0.5,1,0),0)</f>
        <v>0</v>
      </c>
    </row>
    <row r="433" spans="1:38" x14ac:dyDescent="0.35">
      <c r="A433" s="10">
        <v>45169</v>
      </c>
      <c r="B433" s="2">
        <v>2023</v>
      </c>
      <c r="C433" s="2">
        <f>COUNTIFS(Games[Team],Games[[#This Row],[Team]],Games[Season],Games[[#This Row],[Season]],Games[Date],"&lt;=" &amp; Games[[#This Row],[Date]])</f>
        <v>38</v>
      </c>
      <c r="D433" s="2" t="s">
        <v>79</v>
      </c>
      <c r="E433" s="2" t="s">
        <v>80</v>
      </c>
      <c r="F433" s="1" t="s">
        <v>86</v>
      </c>
      <c r="G433" s="1" t="s">
        <v>65</v>
      </c>
      <c r="H433" s="1" t="s">
        <v>82</v>
      </c>
      <c r="I433" s="2" cm="1">
        <f t="array" ref="I4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3" s="2" cm="1">
        <f t="array" ref="J4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3" s="2">
        <f>Games[[#This Row],[DaysOff]]-Games[[#This Row],[OppDaysOff]]</f>
        <v>1</v>
      </c>
      <c r="L433" s="2">
        <f>Games[[#This Row],[OppDaysOff]]-Games[[#This Row],[DaysOff]]</f>
        <v>-1</v>
      </c>
      <c r="M433" s="1">
        <f>MAX(-16, MIN(16, Games[[#This Row],[RestDiff]]*8))</f>
        <v>8</v>
      </c>
      <c r="N433" s="1">
        <f>MAX(-16, MIN(16, Games[[#This Row],[OppRestDiff]]*8))</f>
        <v>-8</v>
      </c>
      <c r="O433" s="4" cm="1">
        <f t="array" ref="O4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1698.855687195583</v>
      </c>
      <c r="P433" s="4" cm="1">
        <f t="array" ref="P4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1478.7976566643829</v>
      </c>
      <c r="Q433" s="4">
        <f>1/(1+10^(((Games[[#This Row],[OppPreGmRate]]+IF(Games[[#This Row],[HomeAway]]="A",HCA,0)+Games[[#This Row],[OppRestAdj]])-(Games[[#This Row],[PreGmRate]]+IF(Games[[#This Row],[HomeAway]]="H",HCA,0)+Games[[#This Row],[RestAdj]]))/400))</f>
        <v>0.86323255490030093</v>
      </c>
      <c r="R433" s="1">
        <v>84</v>
      </c>
      <c r="S433" s="1">
        <v>75</v>
      </c>
      <c r="T433" s="1">
        <v>0</v>
      </c>
      <c r="U433" s="1">
        <f>Games[[#This Row],[PointsFor]]-Games[[#This Row],[PointsAgainst]]</f>
        <v>9</v>
      </c>
      <c r="V433" s="1">
        <f>IF(Games[[#This Row],[MOV]]&gt;0,1,IF(Games[[#This Row],[MOV]]=0,0.5,0))</f>
        <v>1</v>
      </c>
      <c r="W433" s="4">
        <f>((ABS(Games[[#This Row],[MOV]])+5)^0.6)/(12+0.01*(ABS(Games[[#This Row],[PreGmRate]]-Games[[#This Row],[OppPreGmRate]])))*IF(Games[[#This Row],[OT]]=1,0.9,1)</f>
        <v>0.34306051027679313</v>
      </c>
      <c r="X433" s="7" cm="1">
        <f t="array" ref="X43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3" s="9">
        <f>MAX(kmin, kmax - 0.15 * MIN(Games[[#This Row],[GamesPlayed]], 82))</f>
        <v>70.3</v>
      </c>
      <c r="Z433" s="4">
        <f>Games[[#This Row],[K]]*Games[[#This Row],[POMult]]</f>
        <v>70.3</v>
      </c>
      <c r="AA433" s="4">
        <f>(Games[[#This Row],[Keff]]*Games[[#This Row],[MOVMult]])*(Games[[#This Row],[Result]]-Games[[#This Row],[ExpectedWin%]])</f>
        <v>3.2984415182124702</v>
      </c>
      <c r="AB433" s="4">
        <f>Games[[#This Row],[PreGmRate]]+Games[[#This Row],[RatingChange]]</f>
        <v>1702.1541287137954</v>
      </c>
      <c r="AC433" s="2">
        <f>IF(Games[[#This Row],[Type]]="R",IF(Games[[#This Row],[Result]]&gt;0.5,1,0),0)</f>
        <v>1</v>
      </c>
      <c r="AD433" s="2">
        <f>IF(Games[[#This Row],[Type]]="R",IF(Games[[#This Row],[Result]]&lt;0.5,1,0),0)</f>
        <v>0</v>
      </c>
      <c r="AE433" s="2">
        <f>IF(AND(Games[[#This Row],[Type]]="P",Games[[#This Row],[Round]]=1),IF(Games[[#This Row],[Result]]&gt;0.5,1,0),0)</f>
        <v>0</v>
      </c>
      <c r="AF433" s="2">
        <f>IF(AND(Games[[#This Row],[Type]]="P",Games[[#This Row],[Round]]=1),IF(Games[[#This Row],[Result]]&lt;0.5,1,0),0)</f>
        <v>0</v>
      </c>
      <c r="AG433" s="2">
        <f>IF(AND(Games[[#This Row],[Type]]="P",Games[[#This Row],[Round]]=2),IF(Games[[#This Row],[Result]]&gt;0.5,1,0),0)</f>
        <v>0</v>
      </c>
      <c r="AH433" s="2">
        <f>IF(AND(Games[[#This Row],[Type]]="P",Games[[#This Row],[Round]]=2),IF(Games[[#This Row],[Result]]&lt;0.5,1,0),0)</f>
        <v>0</v>
      </c>
      <c r="AI433" s="2">
        <f>IF(AND(Games[[#This Row],[Type]]="P",Games[[#This Row],[Round]]=3),IF(Games[[#This Row],[Result]]&gt;0.5,1,0),0)</f>
        <v>0</v>
      </c>
      <c r="AJ433" s="2">
        <f>IF(AND(Games[[#This Row],[Type]]="P",Games[[#This Row],[Round]]=3),IF(Games[[#This Row],[Result]]&lt;0.5,1,0),0)</f>
        <v>0</v>
      </c>
      <c r="AK433" s="2">
        <f>IF(AND(Games[[#This Row],[Type]]="P",Games[[#This Row],[Round]]=4),IF(Games[[#This Row],[Result]]&gt;0.5,1,0),0)</f>
        <v>0</v>
      </c>
      <c r="AL433" s="2">
        <f>IF(AND(Games[[#This Row],[Type]]="P",Games[[#This Row],[Round]]=4),IF(Games[[#This Row],[Result]]&lt;0.5,1,0),0)</f>
        <v>0</v>
      </c>
    </row>
    <row r="434" spans="1:38" x14ac:dyDescent="0.35">
      <c r="A434" s="10">
        <v>45170</v>
      </c>
      <c r="B434" s="2">
        <v>2023</v>
      </c>
      <c r="C434" s="2">
        <f>COUNTIFS(Games[Team],Games[[#This Row],[Team]],Games[Season],Games[[#This Row],[Season]],Games[Date],"&lt;=" &amp; Games[[#This Row],[Date]])</f>
        <v>36</v>
      </c>
      <c r="D434" s="2" t="s">
        <v>79</v>
      </c>
      <c r="E434" s="2" t="s">
        <v>80</v>
      </c>
      <c r="F434" s="1" t="s">
        <v>85</v>
      </c>
      <c r="G434" s="1" t="s">
        <v>69</v>
      </c>
      <c r="H434" s="1" t="s">
        <v>81</v>
      </c>
      <c r="I434" s="2" cm="1">
        <f t="array" ref="I434">IFERROR(
    Games[[#This Row],[Date]]
    - LOOKUP(
        2,
        1/((Games[Team]=Games[[#This Row],[Team]]) * (Games[Date] &lt; Games[[#This Row],[Date]])),
        Games[Date]
    )
    - 1,
Games[[#This Row],[Date]]-$A$2)</f>
        <v>4</v>
      </c>
      <c r="J434" s="2" cm="1">
        <f t="array" ref="J43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34" s="2">
        <f>Games[[#This Row],[DaysOff]]-Games[[#This Row],[OppDaysOff]]</f>
        <v>0</v>
      </c>
      <c r="L434" s="2">
        <f>Games[[#This Row],[OppDaysOff]]-Games[[#This Row],[DaysOff]]</f>
        <v>0</v>
      </c>
      <c r="M434" s="1">
        <f>MAX(-16, MIN(16, Games[[#This Row],[RestDiff]]*8))</f>
        <v>0</v>
      </c>
      <c r="N434" s="1">
        <f>MAX(-16, MIN(16, Games[[#This Row],[OppRestDiff]]*8))</f>
        <v>0</v>
      </c>
      <c r="O434" s="4" cm="1">
        <f t="array" ref="O4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1554.983246040922</v>
      </c>
      <c r="P434" s="4" cm="1">
        <f t="array" ref="P4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1350.7749008045703</v>
      </c>
      <c r="Q434" s="4">
        <f>1/(1+10^(((Games[[#This Row],[OppPreGmRate]]+IF(Games[[#This Row],[HomeAway]]="A",HCA,0)+Games[[#This Row],[OppRestAdj]])-(Games[[#This Row],[PreGmRate]]+IF(Games[[#This Row],[HomeAway]]="H",HCA,0)+Games[[#This Row],[RestAdj]]))/400))</f>
        <v>0.66640609999116773</v>
      </c>
      <c r="R434" s="1">
        <v>110</v>
      </c>
      <c r="S434" s="1">
        <v>100</v>
      </c>
      <c r="T434" s="1">
        <v>0</v>
      </c>
      <c r="U434" s="1">
        <f>Games[[#This Row],[PointsFor]]-Games[[#This Row],[PointsAgainst]]</f>
        <v>10</v>
      </c>
      <c r="V434" s="1">
        <f>IF(Games[[#This Row],[MOV]]&gt;0,1,IF(Games[[#This Row],[MOV]]=0,0.5,0))</f>
        <v>1</v>
      </c>
      <c r="W434" s="4">
        <f>((ABS(Games[[#This Row],[MOV]])+5)^0.6)/(12+0.01*(ABS(Games[[#This Row],[PreGmRate]]-Games[[#This Row],[OppPreGmRate]])))*IF(Games[[#This Row],[OT]]=1,0.9,1)</f>
        <v>0.36159565702714647</v>
      </c>
      <c r="X434" s="7" cm="1">
        <f t="array" ref="X43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4" s="9">
        <f>MAX(kmin, kmax - 0.15 * MIN(Games[[#This Row],[GamesPlayed]], 82))</f>
        <v>70.599999999999994</v>
      </c>
      <c r="Z434" s="4">
        <f>Games[[#This Row],[K]]*Games[[#This Row],[POMult]]</f>
        <v>70.599999999999994</v>
      </c>
      <c r="AA434" s="4">
        <f>(Games[[#This Row],[Keff]]*Games[[#This Row],[MOVMult]])*(Games[[#This Row],[Result]]-Games[[#This Row],[ExpectedWin%]])</f>
        <v>8.5162030450482984</v>
      </c>
      <c r="AB434" s="4">
        <f>Games[[#This Row],[PreGmRate]]+Games[[#This Row],[RatingChange]]</f>
        <v>1563.4994490859704</v>
      </c>
      <c r="AC434" s="2">
        <f>IF(Games[[#This Row],[Type]]="R",IF(Games[[#This Row],[Result]]&gt;0.5,1,0),0)</f>
        <v>1</v>
      </c>
      <c r="AD434" s="2">
        <f>IF(Games[[#This Row],[Type]]="R",IF(Games[[#This Row],[Result]]&lt;0.5,1,0),0)</f>
        <v>0</v>
      </c>
      <c r="AE434" s="2">
        <f>IF(AND(Games[[#This Row],[Type]]="P",Games[[#This Row],[Round]]=1),IF(Games[[#This Row],[Result]]&gt;0.5,1,0),0)</f>
        <v>0</v>
      </c>
      <c r="AF434" s="2">
        <f>IF(AND(Games[[#This Row],[Type]]="P",Games[[#This Row],[Round]]=1),IF(Games[[#This Row],[Result]]&lt;0.5,1,0),0)</f>
        <v>0</v>
      </c>
      <c r="AG434" s="2">
        <f>IF(AND(Games[[#This Row],[Type]]="P",Games[[#This Row],[Round]]=2),IF(Games[[#This Row],[Result]]&gt;0.5,1,0),0)</f>
        <v>0</v>
      </c>
      <c r="AH434" s="2">
        <f>IF(AND(Games[[#This Row],[Type]]="P",Games[[#This Row],[Round]]=2),IF(Games[[#This Row],[Result]]&lt;0.5,1,0),0)</f>
        <v>0</v>
      </c>
      <c r="AI434" s="2">
        <f>IF(AND(Games[[#This Row],[Type]]="P",Games[[#This Row],[Round]]=3),IF(Games[[#This Row],[Result]]&gt;0.5,1,0),0)</f>
        <v>0</v>
      </c>
      <c r="AJ434" s="2">
        <f>IF(AND(Games[[#This Row],[Type]]="P",Games[[#This Row],[Round]]=3),IF(Games[[#This Row],[Result]]&lt;0.5,1,0),0)</f>
        <v>0</v>
      </c>
      <c r="AK434" s="2">
        <f>IF(AND(Games[[#This Row],[Type]]="P",Games[[#This Row],[Round]]=4),IF(Games[[#This Row],[Result]]&gt;0.5,1,0),0)</f>
        <v>0</v>
      </c>
      <c r="AL434" s="2">
        <f>IF(AND(Games[[#This Row],[Type]]="P",Games[[#This Row],[Round]]=4),IF(Games[[#This Row],[Result]]&lt;0.5,1,0),0)</f>
        <v>0</v>
      </c>
    </row>
    <row r="435" spans="1:38" x14ac:dyDescent="0.35">
      <c r="A435" s="10">
        <v>45170</v>
      </c>
      <c r="B435" s="2">
        <v>2023</v>
      </c>
      <c r="C435" s="2">
        <f>COUNTIFS(Games[Team],Games[[#This Row],[Team]],Games[Season],Games[[#This Row],[Season]],Games[Date],"&lt;=" &amp; Games[[#This Row],[Date]])</f>
        <v>36</v>
      </c>
      <c r="D435" s="2" t="s">
        <v>79</v>
      </c>
      <c r="E435" s="2" t="s">
        <v>80</v>
      </c>
      <c r="F435" s="1" t="s">
        <v>69</v>
      </c>
      <c r="G435" s="1" t="s">
        <v>85</v>
      </c>
      <c r="H435" s="1" t="s">
        <v>82</v>
      </c>
      <c r="I435" s="2" cm="1">
        <f t="array" ref="I435">IFERROR(
    Games[[#This Row],[Date]]
    - LOOKUP(
        2,
        1/((Games[Team]=Games[[#This Row],[Team]]) * (Games[Date] &lt; Games[[#This Row],[Date]])),
        Games[Date]
    )
    - 1,
Games[[#This Row],[Date]]-$A$2)</f>
        <v>4</v>
      </c>
      <c r="J435" s="2" cm="1">
        <f t="array" ref="J43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35" s="2">
        <f>Games[[#This Row],[DaysOff]]-Games[[#This Row],[OppDaysOff]]</f>
        <v>0</v>
      </c>
      <c r="L435" s="2">
        <f>Games[[#This Row],[OppDaysOff]]-Games[[#This Row],[DaysOff]]</f>
        <v>0</v>
      </c>
      <c r="M435" s="1">
        <f>MAX(-16, MIN(16, Games[[#This Row],[RestDiff]]*8))</f>
        <v>0</v>
      </c>
      <c r="N435" s="1">
        <f>MAX(-16, MIN(16, Games[[#This Row],[OppRestDiff]]*8))</f>
        <v>0</v>
      </c>
      <c r="O435" s="4" cm="1">
        <f t="array" ref="O4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1350.7749008045703</v>
      </c>
      <c r="P435" s="4" cm="1">
        <f t="array" ref="P4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1554.983246040922</v>
      </c>
      <c r="Q435" s="4">
        <f>1/(1+10^(((Games[[#This Row],[OppPreGmRate]]+IF(Games[[#This Row],[HomeAway]]="A",HCA,0)+Games[[#This Row],[OppRestAdj]])-(Games[[#This Row],[PreGmRate]]+IF(Games[[#This Row],[HomeAway]]="H",HCA,0)+Games[[#This Row],[RestAdj]]))/400))</f>
        <v>0.33359390000883232</v>
      </c>
      <c r="R435" s="1">
        <v>100</v>
      </c>
      <c r="S435" s="1">
        <v>110</v>
      </c>
      <c r="T435" s="1">
        <v>0</v>
      </c>
      <c r="U435" s="1">
        <f>Games[[#This Row],[PointsFor]]-Games[[#This Row],[PointsAgainst]]</f>
        <v>-10</v>
      </c>
      <c r="V435" s="1">
        <f>IF(Games[[#This Row],[MOV]]&gt;0,1,IF(Games[[#This Row],[MOV]]=0,0.5,0))</f>
        <v>0</v>
      </c>
      <c r="W435" s="4">
        <f>((ABS(Games[[#This Row],[MOV]])+5)^0.6)/(12+0.01*(ABS(Games[[#This Row],[PreGmRate]]-Games[[#This Row],[OppPreGmRate]])))*IF(Games[[#This Row],[OT]]=1,0.9,1)</f>
        <v>0.36159565702714647</v>
      </c>
      <c r="X435" s="7" cm="1">
        <f t="array" ref="X43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5" s="9">
        <f>MAX(kmin, kmax - 0.15 * MIN(Games[[#This Row],[GamesPlayed]], 82))</f>
        <v>70.599999999999994</v>
      </c>
      <c r="Z435" s="4">
        <f>Games[[#This Row],[K]]*Games[[#This Row],[POMult]]</f>
        <v>70.599999999999994</v>
      </c>
      <c r="AA435" s="4">
        <f>(Games[[#This Row],[Keff]]*Games[[#This Row],[MOVMult]])*(Games[[#This Row],[Result]]-Games[[#This Row],[ExpectedWin%]])</f>
        <v>-8.5162030450482984</v>
      </c>
      <c r="AB435" s="4">
        <f>Games[[#This Row],[PreGmRate]]+Games[[#This Row],[RatingChange]]</f>
        <v>1342.258697759522</v>
      </c>
      <c r="AC435" s="2">
        <f>IF(Games[[#This Row],[Type]]="R",IF(Games[[#This Row],[Result]]&gt;0.5,1,0),0)</f>
        <v>0</v>
      </c>
      <c r="AD435" s="2">
        <f>IF(Games[[#This Row],[Type]]="R",IF(Games[[#This Row],[Result]]&lt;0.5,1,0),0)</f>
        <v>1</v>
      </c>
      <c r="AE435" s="2">
        <f>IF(AND(Games[[#This Row],[Type]]="P",Games[[#This Row],[Round]]=1),IF(Games[[#This Row],[Result]]&gt;0.5,1,0),0)</f>
        <v>0</v>
      </c>
      <c r="AF435" s="2">
        <f>IF(AND(Games[[#This Row],[Type]]="P",Games[[#This Row],[Round]]=1),IF(Games[[#This Row],[Result]]&lt;0.5,1,0),0)</f>
        <v>0</v>
      </c>
      <c r="AG435" s="2">
        <f>IF(AND(Games[[#This Row],[Type]]="P",Games[[#This Row],[Round]]=2),IF(Games[[#This Row],[Result]]&gt;0.5,1,0),0)</f>
        <v>0</v>
      </c>
      <c r="AH435" s="2">
        <f>IF(AND(Games[[#This Row],[Type]]="P",Games[[#This Row],[Round]]=2),IF(Games[[#This Row],[Result]]&lt;0.5,1,0),0)</f>
        <v>0</v>
      </c>
      <c r="AI435" s="2">
        <f>IF(AND(Games[[#This Row],[Type]]="P",Games[[#This Row],[Round]]=3),IF(Games[[#This Row],[Result]]&gt;0.5,1,0),0)</f>
        <v>0</v>
      </c>
      <c r="AJ435" s="2">
        <f>IF(AND(Games[[#This Row],[Type]]="P",Games[[#This Row],[Round]]=3),IF(Games[[#This Row],[Result]]&lt;0.5,1,0),0)</f>
        <v>0</v>
      </c>
      <c r="AK435" s="2">
        <f>IF(AND(Games[[#This Row],[Type]]="P",Games[[#This Row],[Round]]=4),IF(Games[[#This Row],[Result]]&gt;0.5,1,0),0)</f>
        <v>0</v>
      </c>
      <c r="AL435" s="2">
        <f>IF(AND(Games[[#This Row],[Type]]="P",Games[[#This Row],[Round]]=4),IF(Games[[#This Row],[Result]]&lt;0.5,1,0),0)</f>
        <v>0</v>
      </c>
    </row>
    <row r="436" spans="1:38" x14ac:dyDescent="0.35">
      <c r="A436" s="10">
        <v>45170</v>
      </c>
      <c r="B436" s="2">
        <v>2023</v>
      </c>
      <c r="C436" s="2">
        <f>COUNTIFS(Games[Team],Games[[#This Row],[Team]],Games[Season],Games[[#This Row],[Season]],Games[Date],"&lt;=" &amp; Games[[#This Row],[Date]])</f>
        <v>37</v>
      </c>
      <c r="D436" s="2" t="s">
        <v>79</v>
      </c>
      <c r="E436" s="2" t="s">
        <v>80</v>
      </c>
      <c r="F436" s="1" t="s">
        <v>77</v>
      </c>
      <c r="G436" s="1" t="s">
        <v>67</v>
      </c>
      <c r="H436" s="1" t="s">
        <v>81</v>
      </c>
      <c r="I436" s="2" cm="1">
        <f t="array" ref="I4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6" s="2" cm="1">
        <f t="array" ref="J4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6" s="2">
        <f>Games[[#This Row],[DaysOff]]-Games[[#This Row],[OppDaysOff]]</f>
        <v>0</v>
      </c>
      <c r="L436" s="2">
        <f>Games[[#This Row],[OppDaysOff]]-Games[[#This Row],[DaysOff]]</f>
        <v>0</v>
      </c>
      <c r="M436" s="1">
        <f>MAX(-16, MIN(16, Games[[#This Row],[RestDiff]]*8))</f>
        <v>0</v>
      </c>
      <c r="N436" s="1">
        <f>MAX(-16, MIN(16, Games[[#This Row],[OppRestDiff]]*8))</f>
        <v>0</v>
      </c>
      <c r="O436" s="4" cm="1">
        <f t="array" ref="O4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1456.507583025437</v>
      </c>
      <c r="P436" s="4" cm="1">
        <f t="array" ref="P4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1459.599987205595</v>
      </c>
      <c r="Q436" s="4">
        <f>1/(1+10^(((Games[[#This Row],[OppPreGmRate]]+IF(Games[[#This Row],[HomeAway]]="A",HCA,0)+Games[[#This Row],[OppRestAdj]])-(Games[[#This Row],[PreGmRate]]+IF(Games[[#This Row],[HomeAway]]="H",HCA,0)+Games[[#This Row],[RestAdj]]))/400))</f>
        <v>0.37722483379235183</v>
      </c>
      <c r="R436" s="1">
        <v>85</v>
      </c>
      <c r="S436" s="1">
        <v>91</v>
      </c>
      <c r="T436" s="1">
        <v>1</v>
      </c>
      <c r="U436" s="1">
        <f>Games[[#This Row],[PointsFor]]-Games[[#This Row],[PointsAgainst]]</f>
        <v>-6</v>
      </c>
      <c r="V436" s="1">
        <f>IF(Games[[#This Row],[MOV]]&gt;0,1,IF(Games[[#This Row],[MOV]]=0,0.5,0))</f>
        <v>0</v>
      </c>
      <c r="W436" s="4">
        <f>((ABS(Games[[#This Row],[MOV]])+5)^0.6)/(12+0.01*(ABS(Games[[#This Row],[PreGmRate]]-Games[[#This Row],[OppPreGmRate]])))*IF(Games[[#This Row],[OT]]=1,0.9,1)</f>
        <v>0.31534005256794884</v>
      </c>
      <c r="X436" s="7" cm="1">
        <f t="array" ref="X43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6" s="9">
        <f>MAX(kmin, kmax - 0.15 * MIN(Games[[#This Row],[GamesPlayed]], 82))</f>
        <v>70.45</v>
      </c>
      <c r="Z436" s="4">
        <f>Games[[#This Row],[K]]*Games[[#This Row],[POMult]]</f>
        <v>70.45</v>
      </c>
      <c r="AA436" s="4">
        <f>(Games[[#This Row],[Keff]]*Games[[#This Row],[MOVMult]])*(Games[[#This Row],[Result]]-Games[[#This Row],[ExpectedWin%]])</f>
        <v>-8.3803162687742265</v>
      </c>
      <c r="AB436" s="4">
        <f>Games[[#This Row],[PreGmRate]]+Games[[#This Row],[RatingChange]]</f>
        <v>1448.1272667566627</v>
      </c>
      <c r="AC436" s="2">
        <f>IF(Games[[#This Row],[Type]]="R",IF(Games[[#This Row],[Result]]&gt;0.5,1,0),0)</f>
        <v>0</v>
      </c>
      <c r="AD436" s="2">
        <f>IF(Games[[#This Row],[Type]]="R",IF(Games[[#This Row],[Result]]&lt;0.5,1,0),0)</f>
        <v>1</v>
      </c>
      <c r="AE436" s="2">
        <f>IF(AND(Games[[#This Row],[Type]]="P",Games[[#This Row],[Round]]=1),IF(Games[[#This Row],[Result]]&gt;0.5,1,0),0)</f>
        <v>0</v>
      </c>
      <c r="AF436" s="2">
        <f>IF(AND(Games[[#This Row],[Type]]="P",Games[[#This Row],[Round]]=1),IF(Games[[#This Row],[Result]]&lt;0.5,1,0),0)</f>
        <v>0</v>
      </c>
      <c r="AG436" s="2">
        <f>IF(AND(Games[[#This Row],[Type]]="P",Games[[#This Row],[Round]]=2),IF(Games[[#This Row],[Result]]&gt;0.5,1,0),0)</f>
        <v>0</v>
      </c>
      <c r="AH436" s="2">
        <f>IF(AND(Games[[#This Row],[Type]]="P",Games[[#This Row],[Round]]=2),IF(Games[[#This Row],[Result]]&lt;0.5,1,0),0)</f>
        <v>0</v>
      </c>
      <c r="AI436" s="2">
        <f>IF(AND(Games[[#This Row],[Type]]="P",Games[[#This Row],[Round]]=3),IF(Games[[#This Row],[Result]]&gt;0.5,1,0),0)</f>
        <v>0</v>
      </c>
      <c r="AJ436" s="2">
        <f>IF(AND(Games[[#This Row],[Type]]="P",Games[[#This Row],[Round]]=3),IF(Games[[#This Row],[Result]]&lt;0.5,1,0),0)</f>
        <v>0</v>
      </c>
      <c r="AK436" s="2">
        <f>IF(AND(Games[[#This Row],[Type]]="P",Games[[#This Row],[Round]]=4),IF(Games[[#This Row],[Result]]&gt;0.5,1,0),0)</f>
        <v>0</v>
      </c>
      <c r="AL436" s="2">
        <f>IF(AND(Games[[#This Row],[Type]]="P",Games[[#This Row],[Round]]=4),IF(Games[[#This Row],[Result]]&lt;0.5,1,0),0)</f>
        <v>0</v>
      </c>
    </row>
    <row r="437" spans="1:38" x14ac:dyDescent="0.35">
      <c r="A437" s="10">
        <v>45170</v>
      </c>
      <c r="B437" s="2">
        <v>2023</v>
      </c>
      <c r="C437" s="2">
        <f>COUNTIFS(Games[Team],Games[[#This Row],[Team]],Games[Season],Games[[#This Row],[Season]],Games[Date],"&lt;=" &amp; Games[[#This Row],[Date]])</f>
        <v>37</v>
      </c>
      <c r="D437" s="2" t="s">
        <v>79</v>
      </c>
      <c r="E437" s="2" t="s">
        <v>80</v>
      </c>
      <c r="F437" s="1" t="s">
        <v>67</v>
      </c>
      <c r="G437" s="1" t="s">
        <v>77</v>
      </c>
      <c r="H437" s="1" t="s">
        <v>82</v>
      </c>
      <c r="I437" s="2" cm="1">
        <f t="array" ref="I4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7" s="2" cm="1">
        <f t="array" ref="J4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7" s="2">
        <f>Games[[#This Row],[DaysOff]]-Games[[#This Row],[OppDaysOff]]</f>
        <v>0</v>
      </c>
      <c r="L437" s="2">
        <f>Games[[#This Row],[OppDaysOff]]-Games[[#This Row],[DaysOff]]</f>
        <v>0</v>
      </c>
      <c r="M437" s="1">
        <f>MAX(-16, MIN(16, Games[[#This Row],[RestDiff]]*8))</f>
        <v>0</v>
      </c>
      <c r="N437" s="1">
        <f>MAX(-16, MIN(16, Games[[#This Row],[OppRestDiff]]*8))</f>
        <v>0</v>
      </c>
      <c r="O437" s="4" cm="1">
        <f t="array" ref="O4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1459.599987205595</v>
      </c>
      <c r="P437" s="4" cm="1">
        <f t="array" ref="P4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1456.507583025437</v>
      </c>
      <c r="Q437" s="4">
        <f>1/(1+10^(((Games[[#This Row],[OppPreGmRate]]+IF(Games[[#This Row],[HomeAway]]="A",HCA,0)+Games[[#This Row],[OppRestAdj]])-(Games[[#This Row],[PreGmRate]]+IF(Games[[#This Row],[HomeAway]]="H",HCA,0)+Games[[#This Row],[RestAdj]]))/400))</f>
        <v>0.62277516620764817</v>
      </c>
      <c r="R437" s="1">
        <v>91</v>
      </c>
      <c r="S437" s="1">
        <v>85</v>
      </c>
      <c r="T437" s="1">
        <v>1</v>
      </c>
      <c r="U437" s="1">
        <f>Games[[#This Row],[PointsFor]]-Games[[#This Row],[PointsAgainst]]</f>
        <v>6</v>
      </c>
      <c r="V437" s="1">
        <f>IF(Games[[#This Row],[MOV]]&gt;0,1,IF(Games[[#This Row],[MOV]]=0,0.5,0))</f>
        <v>1</v>
      </c>
      <c r="W437" s="4">
        <f>((ABS(Games[[#This Row],[MOV]])+5)^0.6)/(12+0.01*(ABS(Games[[#This Row],[PreGmRate]]-Games[[#This Row],[OppPreGmRate]])))*IF(Games[[#This Row],[OT]]=1,0.9,1)</f>
        <v>0.31534005256794884</v>
      </c>
      <c r="X437" s="7" cm="1">
        <f t="array" ref="X43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7" s="9">
        <f>MAX(kmin, kmax - 0.15 * MIN(Games[[#This Row],[GamesPlayed]], 82))</f>
        <v>70.45</v>
      </c>
      <c r="Z437" s="4">
        <f>Games[[#This Row],[K]]*Games[[#This Row],[POMult]]</f>
        <v>70.45</v>
      </c>
      <c r="AA437" s="4">
        <f>(Games[[#This Row],[Keff]]*Games[[#This Row],[MOVMult]])*(Games[[#This Row],[Result]]-Games[[#This Row],[ExpectedWin%]])</f>
        <v>8.3803162687742265</v>
      </c>
      <c r="AB437" s="4">
        <f>Games[[#This Row],[PreGmRate]]+Games[[#This Row],[RatingChange]]</f>
        <v>1467.9803034743693</v>
      </c>
      <c r="AC437" s="2">
        <f>IF(Games[[#This Row],[Type]]="R",IF(Games[[#This Row],[Result]]&gt;0.5,1,0),0)</f>
        <v>1</v>
      </c>
      <c r="AD437" s="2">
        <f>IF(Games[[#This Row],[Type]]="R",IF(Games[[#This Row],[Result]]&lt;0.5,1,0),0)</f>
        <v>0</v>
      </c>
      <c r="AE437" s="2">
        <f>IF(AND(Games[[#This Row],[Type]]="P",Games[[#This Row],[Round]]=1),IF(Games[[#This Row],[Result]]&gt;0.5,1,0),0)</f>
        <v>0</v>
      </c>
      <c r="AF437" s="2">
        <f>IF(AND(Games[[#This Row],[Type]]="P",Games[[#This Row],[Round]]=1),IF(Games[[#This Row],[Result]]&lt;0.5,1,0),0)</f>
        <v>0</v>
      </c>
      <c r="AG437" s="2">
        <f>IF(AND(Games[[#This Row],[Type]]="P",Games[[#This Row],[Round]]=2),IF(Games[[#This Row],[Result]]&gt;0.5,1,0),0)</f>
        <v>0</v>
      </c>
      <c r="AH437" s="2">
        <f>IF(AND(Games[[#This Row],[Type]]="P",Games[[#This Row],[Round]]=2),IF(Games[[#This Row],[Result]]&lt;0.5,1,0),0)</f>
        <v>0</v>
      </c>
      <c r="AI437" s="2">
        <f>IF(AND(Games[[#This Row],[Type]]="P",Games[[#This Row],[Round]]=3),IF(Games[[#This Row],[Result]]&gt;0.5,1,0),0)</f>
        <v>0</v>
      </c>
      <c r="AJ437" s="2">
        <f>IF(AND(Games[[#This Row],[Type]]="P",Games[[#This Row],[Round]]=3),IF(Games[[#This Row],[Result]]&lt;0.5,1,0),0)</f>
        <v>0</v>
      </c>
      <c r="AK437" s="2">
        <f>IF(AND(Games[[#This Row],[Type]]="P",Games[[#This Row],[Round]]=4),IF(Games[[#This Row],[Result]]&gt;0.5,1,0),0)</f>
        <v>0</v>
      </c>
      <c r="AL437" s="2">
        <f>IF(AND(Games[[#This Row],[Type]]="P",Games[[#This Row],[Round]]=4),IF(Games[[#This Row],[Result]]&lt;0.5,1,0),0)</f>
        <v>0</v>
      </c>
    </row>
    <row r="438" spans="1:38" x14ac:dyDescent="0.35">
      <c r="A438" s="10">
        <v>45170</v>
      </c>
      <c r="B438" s="2">
        <v>2023</v>
      </c>
      <c r="C438" s="2">
        <f>COUNTIFS(Games[Team],Games[[#This Row],[Team]],Games[Season],Games[[#This Row],[Season]],Games[Date],"&lt;=" &amp; Games[[#This Row],[Date]])</f>
        <v>37</v>
      </c>
      <c r="D438" s="2" t="s">
        <v>79</v>
      </c>
      <c r="E438" s="2" t="s">
        <v>80</v>
      </c>
      <c r="F438" s="1" t="s">
        <v>74</v>
      </c>
      <c r="G438" s="1" t="s">
        <v>60</v>
      </c>
      <c r="H438" s="1" t="s">
        <v>81</v>
      </c>
      <c r="I438" s="2" cm="1">
        <f t="array" ref="I438">IFERROR(
    Games[[#This Row],[Date]]
    - LOOKUP(
        2,
        1/((Games[Team]=Games[[#This Row],[Team]]) * (Games[Date] &lt; Games[[#This Row],[Date]])),
        Games[Date]
    )
    - 1,
Games[[#This Row],[Date]]-$A$2)</f>
        <v>0</v>
      </c>
      <c r="J438" s="2" cm="1">
        <f t="array" ref="J43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38" s="2">
        <f>Games[[#This Row],[DaysOff]]-Games[[#This Row],[OppDaysOff]]</f>
        <v>-3</v>
      </c>
      <c r="L438" s="2">
        <f>Games[[#This Row],[OppDaysOff]]-Games[[#This Row],[DaysOff]]</f>
        <v>3</v>
      </c>
      <c r="M438" s="1">
        <f>MAX(-16, MIN(16, Games[[#This Row],[RestDiff]]*8))</f>
        <v>-16</v>
      </c>
      <c r="N438" s="1">
        <f>MAX(-16, MIN(16, Games[[#This Row],[OppRestDiff]]*8))</f>
        <v>16</v>
      </c>
      <c r="O438" s="4" cm="1">
        <f t="array" ref="O4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1622.0349974414278</v>
      </c>
      <c r="P438" s="4" cm="1">
        <f t="array" ref="P4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1727.9462550998414</v>
      </c>
      <c r="Q438" s="4">
        <f>1/(1+10^(((Games[[#This Row],[OppPreGmRate]]+IF(Games[[#This Row],[HomeAway]]="A",HCA,0)+Games[[#This Row],[OppRestAdj]])-(Games[[#This Row],[PreGmRate]]+IF(Games[[#This Row],[HomeAway]]="H",HCA,0)+Games[[#This Row],[RestAdj]]))/400))</f>
        <v>0.21798905446724809</v>
      </c>
      <c r="R438" s="1">
        <v>58</v>
      </c>
      <c r="S438" s="1">
        <v>89</v>
      </c>
      <c r="T438" s="1">
        <v>0</v>
      </c>
      <c r="U438" s="1">
        <f>Games[[#This Row],[PointsFor]]-Games[[#This Row],[PointsAgainst]]</f>
        <v>-31</v>
      </c>
      <c r="V438" s="1">
        <f>IF(Games[[#This Row],[MOV]]&gt;0,1,IF(Games[[#This Row],[MOV]]=0,0.5,0))</f>
        <v>0</v>
      </c>
      <c r="W438" s="4">
        <f>((ABS(Games[[#This Row],[MOV]])+5)^0.6)/(12+0.01*(ABS(Games[[#This Row],[PreGmRate]]-Games[[#This Row],[OppPreGmRate]])))*IF(Games[[#This Row],[OT]]=1,0.9,1)</f>
        <v>0.65745772817874859</v>
      </c>
      <c r="X438" s="7" cm="1">
        <f t="array" ref="X43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8" s="9">
        <f>MAX(kmin, kmax - 0.15 * MIN(Games[[#This Row],[GamesPlayed]], 82))</f>
        <v>70.45</v>
      </c>
      <c r="Z438" s="4">
        <f>Games[[#This Row],[K]]*Games[[#This Row],[POMult]]</f>
        <v>70.45</v>
      </c>
      <c r="AA438" s="4">
        <f>(Games[[#This Row],[Keff]]*Games[[#This Row],[MOVMult]])*(Games[[#This Row],[Result]]-Games[[#This Row],[ExpectedWin%]])</f>
        <v>-10.096794561083971</v>
      </c>
      <c r="AB438" s="4">
        <f>Games[[#This Row],[PreGmRate]]+Games[[#This Row],[RatingChange]]</f>
        <v>1611.9382028803439</v>
      </c>
      <c r="AC438" s="2">
        <f>IF(Games[[#This Row],[Type]]="R",IF(Games[[#This Row],[Result]]&gt;0.5,1,0),0)</f>
        <v>0</v>
      </c>
      <c r="AD438" s="2">
        <f>IF(Games[[#This Row],[Type]]="R",IF(Games[[#This Row],[Result]]&lt;0.5,1,0),0)</f>
        <v>1</v>
      </c>
      <c r="AE438" s="2">
        <f>IF(AND(Games[[#This Row],[Type]]="P",Games[[#This Row],[Round]]=1),IF(Games[[#This Row],[Result]]&gt;0.5,1,0),0)</f>
        <v>0</v>
      </c>
      <c r="AF438" s="2">
        <f>IF(AND(Games[[#This Row],[Type]]="P",Games[[#This Row],[Round]]=1),IF(Games[[#This Row],[Result]]&lt;0.5,1,0),0)</f>
        <v>0</v>
      </c>
      <c r="AG438" s="2">
        <f>IF(AND(Games[[#This Row],[Type]]="P",Games[[#This Row],[Round]]=2),IF(Games[[#This Row],[Result]]&gt;0.5,1,0),0)</f>
        <v>0</v>
      </c>
      <c r="AH438" s="2">
        <f>IF(AND(Games[[#This Row],[Type]]="P",Games[[#This Row],[Round]]=2),IF(Games[[#This Row],[Result]]&lt;0.5,1,0),0)</f>
        <v>0</v>
      </c>
      <c r="AI438" s="2">
        <f>IF(AND(Games[[#This Row],[Type]]="P",Games[[#This Row],[Round]]=3),IF(Games[[#This Row],[Result]]&gt;0.5,1,0),0)</f>
        <v>0</v>
      </c>
      <c r="AJ438" s="2">
        <f>IF(AND(Games[[#This Row],[Type]]="P",Games[[#This Row],[Round]]=3),IF(Games[[#This Row],[Result]]&lt;0.5,1,0),0)</f>
        <v>0</v>
      </c>
      <c r="AK438" s="2">
        <f>IF(AND(Games[[#This Row],[Type]]="P",Games[[#This Row],[Round]]=4),IF(Games[[#This Row],[Result]]&gt;0.5,1,0),0)</f>
        <v>0</v>
      </c>
      <c r="AL438" s="2">
        <f>IF(AND(Games[[#This Row],[Type]]="P",Games[[#This Row],[Round]]=4),IF(Games[[#This Row],[Result]]&lt;0.5,1,0),0)</f>
        <v>0</v>
      </c>
    </row>
    <row r="439" spans="1:38" x14ac:dyDescent="0.35">
      <c r="A439" s="10">
        <v>45170</v>
      </c>
      <c r="B439" s="2">
        <v>2023</v>
      </c>
      <c r="C439" s="2">
        <f>COUNTIFS(Games[Team],Games[[#This Row],[Team]],Games[Season],Games[[#This Row],[Season]],Games[Date],"&lt;=" &amp; Games[[#This Row],[Date]])</f>
        <v>37</v>
      </c>
      <c r="D439" s="2" t="s">
        <v>79</v>
      </c>
      <c r="E439" s="2" t="s">
        <v>80</v>
      </c>
      <c r="F439" s="1" t="s">
        <v>60</v>
      </c>
      <c r="G439" s="1" t="s">
        <v>74</v>
      </c>
      <c r="H439" s="1" t="s">
        <v>82</v>
      </c>
      <c r="I439" s="2" cm="1">
        <f t="array" ref="I439">IFERROR(
    Games[[#This Row],[Date]]
    - LOOKUP(
        2,
        1/((Games[Team]=Games[[#This Row],[Team]]) * (Games[Date] &lt; Games[[#This Row],[Date]])),
        Games[Date]
    )
    - 1,
Games[[#This Row],[Date]]-$A$2)</f>
        <v>3</v>
      </c>
      <c r="J439" s="2" cm="1">
        <f t="array" ref="J43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39" s="2">
        <f>Games[[#This Row],[DaysOff]]-Games[[#This Row],[OppDaysOff]]</f>
        <v>3</v>
      </c>
      <c r="L439" s="2">
        <f>Games[[#This Row],[OppDaysOff]]-Games[[#This Row],[DaysOff]]</f>
        <v>-3</v>
      </c>
      <c r="M439" s="1">
        <f>MAX(-16, MIN(16, Games[[#This Row],[RestDiff]]*8))</f>
        <v>16</v>
      </c>
      <c r="N439" s="1">
        <f>MAX(-16, MIN(16, Games[[#This Row],[OppRestDiff]]*8))</f>
        <v>-16</v>
      </c>
      <c r="O439" s="4" cm="1">
        <f t="array" ref="O4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1727.9462550998414</v>
      </c>
      <c r="P439" s="4" cm="1">
        <f t="array" ref="P4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1622.0349974414278</v>
      </c>
      <c r="Q439" s="4">
        <f>1/(1+10^(((Games[[#This Row],[OppPreGmRate]]+IF(Games[[#This Row],[HomeAway]]="A",HCA,0)+Games[[#This Row],[OppRestAdj]])-(Games[[#This Row],[PreGmRate]]+IF(Games[[#This Row],[HomeAway]]="H",HCA,0)+Games[[#This Row],[RestAdj]]))/400))</f>
        <v>0.78201094553275186</v>
      </c>
      <c r="R439" s="1">
        <v>89</v>
      </c>
      <c r="S439" s="1">
        <v>58</v>
      </c>
      <c r="T439" s="1">
        <v>0</v>
      </c>
      <c r="U439" s="1">
        <f>Games[[#This Row],[PointsFor]]-Games[[#This Row],[PointsAgainst]]</f>
        <v>31</v>
      </c>
      <c r="V439" s="1">
        <f>IF(Games[[#This Row],[MOV]]&gt;0,1,IF(Games[[#This Row],[MOV]]=0,0.5,0))</f>
        <v>1</v>
      </c>
      <c r="W439" s="4">
        <f>((ABS(Games[[#This Row],[MOV]])+5)^0.6)/(12+0.01*(ABS(Games[[#This Row],[PreGmRate]]-Games[[#This Row],[OppPreGmRate]])))*IF(Games[[#This Row],[OT]]=1,0.9,1)</f>
        <v>0.65745772817874859</v>
      </c>
      <c r="X439" s="7" cm="1">
        <f t="array" ref="X43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9" s="9">
        <f>MAX(kmin, kmax - 0.15 * MIN(Games[[#This Row],[GamesPlayed]], 82))</f>
        <v>70.45</v>
      </c>
      <c r="Z439" s="4">
        <f>Games[[#This Row],[K]]*Games[[#This Row],[POMult]]</f>
        <v>70.45</v>
      </c>
      <c r="AA439" s="4">
        <f>(Games[[#This Row],[Keff]]*Games[[#This Row],[MOVMult]])*(Games[[#This Row],[Result]]-Games[[#This Row],[ExpectedWin%]])</f>
        <v>10.096794561083973</v>
      </c>
      <c r="AB439" s="4">
        <f>Games[[#This Row],[PreGmRate]]+Games[[#This Row],[RatingChange]]</f>
        <v>1738.0430496609254</v>
      </c>
      <c r="AC439" s="2">
        <f>IF(Games[[#This Row],[Type]]="R",IF(Games[[#This Row],[Result]]&gt;0.5,1,0),0)</f>
        <v>1</v>
      </c>
      <c r="AD439" s="2">
        <f>IF(Games[[#This Row],[Type]]="R",IF(Games[[#This Row],[Result]]&lt;0.5,1,0),0)</f>
        <v>0</v>
      </c>
      <c r="AE439" s="2">
        <f>IF(AND(Games[[#This Row],[Type]]="P",Games[[#This Row],[Round]]=1),IF(Games[[#This Row],[Result]]&gt;0.5,1,0),0)</f>
        <v>0</v>
      </c>
      <c r="AF439" s="2">
        <f>IF(AND(Games[[#This Row],[Type]]="P",Games[[#This Row],[Round]]=1),IF(Games[[#This Row],[Result]]&lt;0.5,1,0),0)</f>
        <v>0</v>
      </c>
      <c r="AG439" s="2">
        <f>IF(AND(Games[[#This Row],[Type]]="P",Games[[#This Row],[Round]]=2),IF(Games[[#This Row],[Result]]&gt;0.5,1,0),0)</f>
        <v>0</v>
      </c>
      <c r="AH439" s="2">
        <f>IF(AND(Games[[#This Row],[Type]]="P",Games[[#This Row],[Round]]=2),IF(Games[[#This Row],[Result]]&lt;0.5,1,0),0)</f>
        <v>0</v>
      </c>
      <c r="AI439" s="2">
        <f>IF(AND(Games[[#This Row],[Type]]="P",Games[[#This Row],[Round]]=3),IF(Games[[#This Row],[Result]]&gt;0.5,1,0),0)</f>
        <v>0</v>
      </c>
      <c r="AJ439" s="2">
        <f>IF(AND(Games[[#This Row],[Type]]="P",Games[[#This Row],[Round]]=3),IF(Games[[#This Row],[Result]]&lt;0.5,1,0),0)</f>
        <v>0</v>
      </c>
      <c r="AK439" s="2">
        <f>IF(AND(Games[[#This Row],[Type]]="P",Games[[#This Row],[Round]]=4),IF(Games[[#This Row],[Result]]&gt;0.5,1,0),0)</f>
        <v>0</v>
      </c>
      <c r="AL439" s="2">
        <f>IF(AND(Games[[#This Row],[Type]]="P",Games[[#This Row],[Round]]=4),IF(Games[[#This Row],[Result]]&lt;0.5,1,0),0)</f>
        <v>0</v>
      </c>
    </row>
    <row r="440" spans="1:38" x14ac:dyDescent="0.35">
      <c r="A440" s="10">
        <v>45171</v>
      </c>
      <c r="B440" s="2">
        <v>2023</v>
      </c>
      <c r="C440" s="2">
        <f>COUNTIFS(Games[Team],Games[[#This Row],[Team]],Games[Season],Games[[#This Row],[Season]],Games[Date],"&lt;=" &amp; Games[[#This Row],[Date]])</f>
        <v>37</v>
      </c>
      <c r="D440" s="2" t="s">
        <v>79</v>
      </c>
      <c r="E440" s="2" t="s">
        <v>80</v>
      </c>
      <c r="F440" s="1" t="s">
        <v>71</v>
      </c>
      <c r="G440" s="1" t="s">
        <v>86</v>
      </c>
      <c r="H440" s="1" t="s">
        <v>81</v>
      </c>
      <c r="I440" s="2" cm="1">
        <f t="array" ref="I4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0" s="2" cm="1">
        <f t="array" ref="J4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0" s="2">
        <f>Games[[#This Row],[DaysOff]]-Games[[#This Row],[OppDaysOff]]</f>
        <v>0</v>
      </c>
      <c r="L440" s="2">
        <f>Games[[#This Row],[OppDaysOff]]-Games[[#This Row],[DaysOff]]</f>
        <v>0</v>
      </c>
      <c r="M440" s="1">
        <f>MAX(-16, MIN(16, Games[[#This Row],[RestDiff]]*8))</f>
        <v>0</v>
      </c>
      <c r="N440" s="1">
        <f>MAX(-16, MIN(16, Games[[#This Row],[OppRestDiff]]*8))</f>
        <v>0</v>
      </c>
      <c r="O440" s="4" cm="1">
        <f t="array" ref="O4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1422.4926967452834</v>
      </c>
      <c r="P440" s="4" cm="1">
        <f t="array" ref="P4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1702.1541287137954</v>
      </c>
      <c r="Q440" s="4">
        <f>1/(1+10^(((Games[[#This Row],[OppPreGmRate]]+IF(Games[[#This Row],[HomeAway]]="A",HCA,0)+Games[[#This Row],[OppRestAdj]])-(Games[[#This Row],[PreGmRate]]+IF(Games[[#This Row],[HomeAway]]="H",HCA,0)+Games[[#This Row],[RestAdj]]))/400))</f>
        <v>0.10973962317245327</v>
      </c>
      <c r="R440" s="1">
        <v>77</v>
      </c>
      <c r="S440" s="1">
        <v>103</v>
      </c>
      <c r="T440" s="1">
        <v>0</v>
      </c>
      <c r="U440" s="1">
        <f>Games[[#This Row],[PointsFor]]-Games[[#This Row],[PointsAgainst]]</f>
        <v>-26</v>
      </c>
      <c r="V440" s="1">
        <f>IF(Games[[#This Row],[MOV]]&gt;0,1,IF(Games[[#This Row],[MOV]]=0,0.5,0))</f>
        <v>0</v>
      </c>
      <c r="W440" s="4">
        <f>((ABS(Games[[#This Row],[MOV]])+5)^0.6)/(12+0.01*(ABS(Games[[#This Row],[PreGmRate]]-Games[[#This Row],[OppPreGmRate]])))*IF(Games[[#This Row],[OT]]=1,0.9,1)</f>
        <v>0.53046246909063621</v>
      </c>
      <c r="X440" s="7" cm="1">
        <f t="array" ref="X44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0" s="9">
        <f>MAX(kmin, kmax - 0.15 * MIN(Games[[#This Row],[GamesPlayed]], 82))</f>
        <v>70.45</v>
      </c>
      <c r="Z440" s="4">
        <f>Games[[#This Row],[K]]*Games[[#This Row],[POMult]]</f>
        <v>70.45</v>
      </c>
      <c r="AA440" s="4">
        <f>(Games[[#This Row],[Keff]]*Games[[#This Row],[MOVMult]])*(Games[[#This Row],[Result]]-Games[[#This Row],[ExpectedWin%]])</f>
        <v>-4.1010883407188006</v>
      </c>
      <c r="AB440" s="4">
        <f>Games[[#This Row],[PreGmRate]]+Games[[#This Row],[RatingChange]]</f>
        <v>1418.3916084045645</v>
      </c>
      <c r="AC440" s="2">
        <f>IF(Games[[#This Row],[Type]]="R",IF(Games[[#This Row],[Result]]&gt;0.5,1,0),0)</f>
        <v>0</v>
      </c>
      <c r="AD440" s="2">
        <f>IF(Games[[#This Row],[Type]]="R",IF(Games[[#This Row],[Result]]&lt;0.5,1,0),0)</f>
        <v>1</v>
      </c>
      <c r="AE440" s="2">
        <f>IF(AND(Games[[#This Row],[Type]]="P",Games[[#This Row],[Round]]=1),IF(Games[[#This Row],[Result]]&gt;0.5,1,0),0)</f>
        <v>0</v>
      </c>
      <c r="AF440" s="2">
        <f>IF(AND(Games[[#This Row],[Type]]="P",Games[[#This Row],[Round]]=1),IF(Games[[#This Row],[Result]]&lt;0.5,1,0),0)</f>
        <v>0</v>
      </c>
      <c r="AG440" s="2">
        <f>IF(AND(Games[[#This Row],[Type]]="P",Games[[#This Row],[Round]]=2),IF(Games[[#This Row],[Result]]&gt;0.5,1,0),0)</f>
        <v>0</v>
      </c>
      <c r="AH440" s="2">
        <f>IF(AND(Games[[#This Row],[Type]]="P",Games[[#This Row],[Round]]=2),IF(Games[[#This Row],[Result]]&lt;0.5,1,0),0)</f>
        <v>0</v>
      </c>
      <c r="AI440" s="2">
        <f>IF(AND(Games[[#This Row],[Type]]="P",Games[[#This Row],[Round]]=3),IF(Games[[#This Row],[Result]]&gt;0.5,1,0),0)</f>
        <v>0</v>
      </c>
      <c r="AJ440" s="2">
        <f>IF(AND(Games[[#This Row],[Type]]="P",Games[[#This Row],[Round]]=3),IF(Games[[#This Row],[Result]]&lt;0.5,1,0),0)</f>
        <v>0</v>
      </c>
      <c r="AK440" s="2">
        <f>IF(AND(Games[[#This Row],[Type]]="P",Games[[#This Row],[Round]]=4),IF(Games[[#This Row],[Result]]&gt;0.5,1,0),0)</f>
        <v>0</v>
      </c>
      <c r="AL440" s="2">
        <f>IF(AND(Games[[#This Row],[Type]]="P",Games[[#This Row],[Round]]=4),IF(Games[[#This Row],[Result]]&lt;0.5,1,0),0)</f>
        <v>0</v>
      </c>
    </row>
    <row r="441" spans="1:38" x14ac:dyDescent="0.35">
      <c r="A441" s="10">
        <v>45171</v>
      </c>
      <c r="B441" s="2">
        <v>2023</v>
      </c>
      <c r="C441" s="2">
        <f>COUNTIFS(Games[Team],Games[[#This Row],[Team]],Games[Season],Games[[#This Row],[Season]],Games[Date],"&lt;=" &amp; Games[[#This Row],[Date]])</f>
        <v>39</v>
      </c>
      <c r="D441" s="2" t="s">
        <v>79</v>
      </c>
      <c r="E441" s="2" t="s">
        <v>80</v>
      </c>
      <c r="F441" s="1" t="s">
        <v>86</v>
      </c>
      <c r="G441" s="1" t="s">
        <v>71</v>
      </c>
      <c r="H441" s="1" t="s">
        <v>82</v>
      </c>
      <c r="I441" s="2" cm="1">
        <f t="array" ref="I4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1" s="2" cm="1">
        <f t="array" ref="J4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1" s="2">
        <f>Games[[#This Row],[DaysOff]]-Games[[#This Row],[OppDaysOff]]</f>
        <v>0</v>
      </c>
      <c r="L441" s="2">
        <f>Games[[#This Row],[OppDaysOff]]-Games[[#This Row],[DaysOff]]</f>
        <v>0</v>
      </c>
      <c r="M441" s="1">
        <f>MAX(-16, MIN(16, Games[[#This Row],[RestDiff]]*8))</f>
        <v>0</v>
      </c>
      <c r="N441" s="1">
        <f>MAX(-16, MIN(16, Games[[#This Row],[OppRestDiff]]*8))</f>
        <v>0</v>
      </c>
      <c r="O441" s="4" cm="1">
        <f t="array" ref="O4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1702.1541287137954</v>
      </c>
      <c r="P441" s="4" cm="1">
        <f t="array" ref="P4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1422.4926967452834</v>
      </c>
      <c r="Q441" s="4">
        <f>1/(1+10^(((Games[[#This Row],[OppPreGmRate]]+IF(Games[[#This Row],[HomeAway]]="A",HCA,0)+Games[[#This Row],[OppRestAdj]])-(Games[[#This Row],[PreGmRate]]+IF(Games[[#This Row],[HomeAway]]="H",HCA,0)+Games[[#This Row],[RestAdj]]))/400))</f>
        <v>0.89026037682754666</v>
      </c>
      <c r="R441" s="1">
        <v>103</v>
      </c>
      <c r="S441" s="1">
        <v>77</v>
      </c>
      <c r="T441" s="1">
        <v>0</v>
      </c>
      <c r="U441" s="1">
        <f>Games[[#This Row],[PointsFor]]-Games[[#This Row],[PointsAgainst]]</f>
        <v>26</v>
      </c>
      <c r="V441" s="1">
        <f>IF(Games[[#This Row],[MOV]]&gt;0,1,IF(Games[[#This Row],[MOV]]=0,0.5,0))</f>
        <v>1</v>
      </c>
      <c r="W441" s="4">
        <f>((ABS(Games[[#This Row],[MOV]])+5)^0.6)/(12+0.01*(ABS(Games[[#This Row],[PreGmRate]]-Games[[#This Row],[OppPreGmRate]])))*IF(Games[[#This Row],[OT]]=1,0.9,1)</f>
        <v>0.53046246909063621</v>
      </c>
      <c r="X441" s="7" cm="1">
        <f t="array" ref="X44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1" s="9">
        <f>MAX(kmin, kmax - 0.15 * MIN(Games[[#This Row],[GamesPlayed]], 82))</f>
        <v>70.150000000000006</v>
      </c>
      <c r="Z441" s="4">
        <f>Games[[#This Row],[K]]*Games[[#This Row],[POMult]]</f>
        <v>70.150000000000006</v>
      </c>
      <c r="AA441" s="4">
        <f>(Games[[#This Row],[Keff]]*Games[[#This Row],[MOVMult]])*(Games[[#This Row],[Result]]-Games[[#This Row],[ExpectedWin%]])</f>
        <v>4.0836245152792623</v>
      </c>
      <c r="AB441" s="4">
        <f>Games[[#This Row],[PreGmRate]]+Games[[#This Row],[RatingChange]]</f>
        <v>1706.2377532290748</v>
      </c>
      <c r="AC441" s="2">
        <f>IF(Games[[#This Row],[Type]]="R",IF(Games[[#This Row],[Result]]&gt;0.5,1,0),0)</f>
        <v>1</v>
      </c>
      <c r="AD441" s="2">
        <f>IF(Games[[#This Row],[Type]]="R",IF(Games[[#This Row],[Result]]&lt;0.5,1,0),0)</f>
        <v>0</v>
      </c>
      <c r="AE441" s="2">
        <f>IF(AND(Games[[#This Row],[Type]]="P",Games[[#This Row],[Round]]=1),IF(Games[[#This Row],[Result]]&gt;0.5,1,0),0)</f>
        <v>0</v>
      </c>
      <c r="AF441" s="2">
        <f>IF(AND(Games[[#This Row],[Type]]="P",Games[[#This Row],[Round]]=1),IF(Games[[#This Row],[Result]]&lt;0.5,1,0),0)</f>
        <v>0</v>
      </c>
      <c r="AG441" s="2">
        <f>IF(AND(Games[[#This Row],[Type]]="P",Games[[#This Row],[Round]]=2),IF(Games[[#This Row],[Result]]&gt;0.5,1,0),0)</f>
        <v>0</v>
      </c>
      <c r="AH441" s="2">
        <f>IF(AND(Games[[#This Row],[Type]]="P",Games[[#This Row],[Round]]=2),IF(Games[[#This Row],[Result]]&lt;0.5,1,0),0)</f>
        <v>0</v>
      </c>
      <c r="AI441" s="2">
        <f>IF(AND(Games[[#This Row],[Type]]="P",Games[[#This Row],[Round]]=3),IF(Games[[#This Row],[Result]]&gt;0.5,1,0),0)</f>
        <v>0</v>
      </c>
      <c r="AJ441" s="2">
        <f>IF(AND(Games[[#This Row],[Type]]="P",Games[[#This Row],[Round]]=3),IF(Games[[#This Row],[Result]]&lt;0.5,1,0),0)</f>
        <v>0</v>
      </c>
      <c r="AK441" s="2">
        <f>IF(AND(Games[[#This Row],[Type]]="P",Games[[#This Row],[Round]]=4),IF(Games[[#This Row],[Result]]&gt;0.5,1,0),0)</f>
        <v>0</v>
      </c>
      <c r="AL441" s="2">
        <f>IF(AND(Games[[#This Row],[Type]]="P",Games[[#This Row],[Round]]=4),IF(Games[[#This Row],[Result]]&lt;0.5,1,0),0)</f>
        <v>0</v>
      </c>
    </row>
    <row r="442" spans="1:38" x14ac:dyDescent="0.35">
      <c r="A442" s="10">
        <v>45172</v>
      </c>
      <c r="B442" s="2">
        <v>2023</v>
      </c>
      <c r="C442" s="2">
        <f>COUNTIFS(Games[Team],Games[[#This Row],[Team]],Games[Season],Games[[#This Row],[Season]],Games[Date],"&lt;=" &amp; Games[[#This Row],[Date]])</f>
        <v>38</v>
      </c>
      <c r="D442" s="2" t="s">
        <v>79</v>
      </c>
      <c r="E442" s="2" t="s">
        <v>80</v>
      </c>
      <c r="F442" s="1" t="s">
        <v>60</v>
      </c>
      <c r="G442" s="1" t="s">
        <v>75</v>
      </c>
      <c r="H442" s="1" t="s">
        <v>81</v>
      </c>
      <c r="I442" s="2" cm="1">
        <f t="array" ref="I4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2" s="2" cm="1">
        <f t="array" ref="J44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42" s="2">
        <f>Games[[#This Row],[DaysOff]]-Games[[#This Row],[OppDaysOff]]</f>
        <v>-3</v>
      </c>
      <c r="L442" s="2">
        <f>Games[[#This Row],[OppDaysOff]]-Games[[#This Row],[DaysOff]]</f>
        <v>3</v>
      </c>
      <c r="M442" s="1">
        <f>MAX(-16, MIN(16, Games[[#This Row],[RestDiff]]*8))</f>
        <v>-16</v>
      </c>
      <c r="N442" s="1">
        <f>MAX(-16, MIN(16, Games[[#This Row],[OppRestDiff]]*8))</f>
        <v>16</v>
      </c>
      <c r="O442" s="4" cm="1">
        <f t="array" ref="O4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1738.0430496609254</v>
      </c>
      <c r="P442" s="4" cm="1">
        <f t="array" ref="P4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1470.8051791410332</v>
      </c>
      <c r="Q442" s="4">
        <f>1/(1+10^(((Games[[#This Row],[OppPreGmRate]]+IF(Games[[#This Row],[HomeAway]]="A",HCA,0)+Games[[#This Row],[OppRestAdj]])-(Games[[#This Row],[PreGmRate]]+IF(Games[[#This Row],[HomeAway]]="H",HCA,0)+Games[[#This Row],[RestAdj]]))/400))</f>
        <v>0.704869524442581</v>
      </c>
      <c r="R442" s="1">
        <v>86</v>
      </c>
      <c r="S442" s="1">
        <v>69</v>
      </c>
      <c r="T442" s="1">
        <v>0</v>
      </c>
      <c r="U442" s="1">
        <f>Games[[#This Row],[PointsFor]]-Games[[#This Row],[PointsAgainst]]</f>
        <v>17</v>
      </c>
      <c r="V442" s="1">
        <f>IF(Games[[#This Row],[MOV]]&gt;0,1,IF(Games[[#This Row],[MOV]]=0,0.5,0))</f>
        <v>1</v>
      </c>
      <c r="W442" s="4">
        <f>((ABS(Games[[#This Row],[MOV]])+5)^0.6)/(12+0.01*(ABS(Games[[#This Row],[PreGmRate]]-Games[[#This Row],[OppPreGmRate]])))*IF(Games[[#This Row],[OT]]=1,0.9,1)</f>
        <v>0.4354648252583625</v>
      </c>
      <c r="X442" s="7" cm="1">
        <f t="array" ref="X44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2" s="9">
        <f>MAX(kmin, kmax - 0.15 * MIN(Games[[#This Row],[GamesPlayed]], 82))</f>
        <v>70.3</v>
      </c>
      <c r="Z442" s="4">
        <f>Games[[#This Row],[K]]*Games[[#This Row],[POMult]]</f>
        <v>70.3</v>
      </c>
      <c r="AA442" s="4">
        <f>(Games[[#This Row],[Keff]]*Games[[#This Row],[MOVMult]])*(Games[[#This Row],[Result]]-Games[[#This Row],[ExpectedWin%]])</f>
        <v>9.0348815499821313</v>
      </c>
      <c r="AB442" s="4">
        <f>Games[[#This Row],[PreGmRate]]+Games[[#This Row],[RatingChange]]</f>
        <v>1747.0779312109075</v>
      </c>
      <c r="AC442" s="2">
        <f>IF(Games[[#This Row],[Type]]="R",IF(Games[[#This Row],[Result]]&gt;0.5,1,0),0)</f>
        <v>1</v>
      </c>
      <c r="AD442" s="2">
        <f>IF(Games[[#This Row],[Type]]="R",IF(Games[[#This Row],[Result]]&lt;0.5,1,0),0)</f>
        <v>0</v>
      </c>
      <c r="AE442" s="2">
        <f>IF(AND(Games[[#This Row],[Type]]="P",Games[[#This Row],[Round]]=1),IF(Games[[#This Row],[Result]]&gt;0.5,1,0),0)</f>
        <v>0</v>
      </c>
      <c r="AF442" s="2">
        <f>IF(AND(Games[[#This Row],[Type]]="P",Games[[#This Row],[Round]]=1),IF(Games[[#This Row],[Result]]&lt;0.5,1,0),0)</f>
        <v>0</v>
      </c>
      <c r="AG442" s="2">
        <f>IF(AND(Games[[#This Row],[Type]]="P",Games[[#This Row],[Round]]=2),IF(Games[[#This Row],[Result]]&gt;0.5,1,0),0)</f>
        <v>0</v>
      </c>
      <c r="AH442" s="2">
        <f>IF(AND(Games[[#This Row],[Type]]="P",Games[[#This Row],[Round]]=2),IF(Games[[#This Row],[Result]]&lt;0.5,1,0),0)</f>
        <v>0</v>
      </c>
      <c r="AI442" s="2">
        <f>IF(AND(Games[[#This Row],[Type]]="P",Games[[#This Row],[Round]]=3),IF(Games[[#This Row],[Result]]&gt;0.5,1,0),0)</f>
        <v>0</v>
      </c>
      <c r="AJ442" s="2">
        <f>IF(AND(Games[[#This Row],[Type]]="P",Games[[#This Row],[Round]]=3),IF(Games[[#This Row],[Result]]&lt;0.5,1,0),0)</f>
        <v>0</v>
      </c>
      <c r="AK442" s="2">
        <f>IF(AND(Games[[#This Row],[Type]]="P",Games[[#This Row],[Round]]=4),IF(Games[[#This Row],[Result]]&gt;0.5,1,0),0)</f>
        <v>0</v>
      </c>
      <c r="AL442" s="2">
        <f>IF(AND(Games[[#This Row],[Type]]="P",Games[[#This Row],[Round]]=4),IF(Games[[#This Row],[Result]]&lt;0.5,1,0),0)</f>
        <v>0</v>
      </c>
    </row>
    <row r="443" spans="1:38" x14ac:dyDescent="0.35">
      <c r="A443" s="10">
        <v>45172</v>
      </c>
      <c r="B443" s="2">
        <v>2023</v>
      </c>
      <c r="C443" s="2">
        <f>COUNTIFS(Games[Team],Games[[#This Row],[Team]],Games[Season],Games[[#This Row],[Season]],Games[Date],"&lt;=" &amp; Games[[#This Row],[Date]])</f>
        <v>37</v>
      </c>
      <c r="D443" s="2" t="s">
        <v>79</v>
      </c>
      <c r="E443" s="2" t="s">
        <v>80</v>
      </c>
      <c r="F443" s="1" t="s">
        <v>75</v>
      </c>
      <c r="G443" s="1" t="s">
        <v>60</v>
      </c>
      <c r="H443" s="1" t="s">
        <v>82</v>
      </c>
      <c r="I443" s="2" cm="1">
        <f t="array" ref="I443">IFERROR(
    Games[[#This Row],[Date]]
    - LOOKUP(
        2,
        1/((Games[Team]=Games[[#This Row],[Team]]) * (Games[Date] &lt; Games[[#This Row],[Date]])),
        Games[Date]
    )
    - 1,
Games[[#This Row],[Date]]-$A$2)</f>
        <v>4</v>
      </c>
      <c r="J443" s="2" cm="1">
        <f t="array" ref="J4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3" s="2">
        <f>Games[[#This Row],[DaysOff]]-Games[[#This Row],[OppDaysOff]]</f>
        <v>3</v>
      </c>
      <c r="L443" s="2">
        <f>Games[[#This Row],[OppDaysOff]]-Games[[#This Row],[DaysOff]]</f>
        <v>-3</v>
      </c>
      <c r="M443" s="1">
        <f>MAX(-16, MIN(16, Games[[#This Row],[RestDiff]]*8))</f>
        <v>16</v>
      </c>
      <c r="N443" s="1">
        <f>MAX(-16, MIN(16, Games[[#This Row],[OppRestDiff]]*8))</f>
        <v>-16</v>
      </c>
      <c r="O443" s="4" cm="1">
        <f t="array" ref="O4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1470.8051791410332</v>
      </c>
      <c r="P443" s="4" cm="1">
        <f t="array" ref="P4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1738.0430496609254</v>
      </c>
      <c r="Q443" s="4">
        <f>1/(1+10^(((Games[[#This Row],[OppPreGmRate]]+IF(Games[[#This Row],[HomeAway]]="A",HCA,0)+Games[[#This Row],[OppRestAdj]])-(Games[[#This Row],[PreGmRate]]+IF(Games[[#This Row],[HomeAway]]="H",HCA,0)+Games[[#This Row],[RestAdj]]))/400))</f>
        <v>0.29513047555741906</v>
      </c>
      <c r="R443" s="1">
        <v>69</v>
      </c>
      <c r="S443" s="1">
        <v>86</v>
      </c>
      <c r="T443" s="1">
        <v>0</v>
      </c>
      <c r="U443" s="1">
        <f>Games[[#This Row],[PointsFor]]-Games[[#This Row],[PointsAgainst]]</f>
        <v>-17</v>
      </c>
      <c r="V443" s="1">
        <f>IF(Games[[#This Row],[MOV]]&gt;0,1,IF(Games[[#This Row],[MOV]]=0,0.5,0))</f>
        <v>0</v>
      </c>
      <c r="W443" s="4">
        <f>((ABS(Games[[#This Row],[MOV]])+5)^0.6)/(12+0.01*(ABS(Games[[#This Row],[PreGmRate]]-Games[[#This Row],[OppPreGmRate]])))*IF(Games[[#This Row],[OT]]=1,0.9,1)</f>
        <v>0.4354648252583625</v>
      </c>
      <c r="X443" s="7" cm="1">
        <f t="array" ref="X44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3" s="9">
        <f>MAX(kmin, kmax - 0.15 * MIN(Games[[#This Row],[GamesPlayed]], 82))</f>
        <v>70.45</v>
      </c>
      <c r="Z443" s="4">
        <f>Games[[#This Row],[K]]*Games[[#This Row],[POMult]]</f>
        <v>70.45</v>
      </c>
      <c r="AA443" s="4">
        <f>(Games[[#This Row],[Keff]]*Games[[#This Row],[MOVMult]])*(Games[[#This Row],[Result]]-Games[[#This Row],[ExpectedWin%]])</f>
        <v>-9.0541593911271878</v>
      </c>
      <c r="AB443" s="4">
        <f>Games[[#This Row],[PreGmRate]]+Games[[#This Row],[RatingChange]]</f>
        <v>1461.7510197499062</v>
      </c>
      <c r="AC443" s="2">
        <f>IF(Games[[#This Row],[Type]]="R",IF(Games[[#This Row],[Result]]&gt;0.5,1,0),0)</f>
        <v>0</v>
      </c>
      <c r="AD443" s="2">
        <f>IF(Games[[#This Row],[Type]]="R",IF(Games[[#This Row],[Result]]&lt;0.5,1,0),0)</f>
        <v>1</v>
      </c>
      <c r="AE443" s="2">
        <f>IF(AND(Games[[#This Row],[Type]]="P",Games[[#This Row],[Round]]=1),IF(Games[[#This Row],[Result]]&gt;0.5,1,0),0)</f>
        <v>0</v>
      </c>
      <c r="AF443" s="2">
        <f>IF(AND(Games[[#This Row],[Type]]="P",Games[[#This Row],[Round]]=1),IF(Games[[#This Row],[Result]]&lt;0.5,1,0),0)</f>
        <v>0</v>
      </c>
      <c r="AG443" s="2">
        <f>IF(AND(Games[[#This Row],[Type]]="P",Games[[#This Row],[Round]]=2),IF(Games[[#This Row],[Result]]&gt;0.5,1,0),0)</f>
        <v>0</v>
      </c>
      <c r="AH443" s="2">
        <f>IF(AND(Games[[#This Row],[Type]]="P",Games[[#This Row],[Round]]=2),IF(Games[[#This Row],[Result]]&lt;0.5,1,0),0)</f>
        <v>0</v>
      </c>
      <c r="AI443" s="2">
        <f>IF(AND(Games[[#This Row],[Type]]="P",Games[[#This Row],[Round]]=3),IF(Games[[#This Row],[Result]]&gt;0.5,1,0),0)</f>
        <v>0</v>
      </c>
      <c r="AJ443" s="2">
        <f>IF(AND(Games[[#This Row],[Type]]="P",Games[[#This Row],[Round]]=3),IF(Games[[#This Row],[Result]]&lt;0.5,1,0),0)</f>
        <v>0</v>
      </c>
      <c r="AK443" s="2">
        <f>IF(AND(Games[[#This Row],[Type]]="P",Games[[#This Row],[Round]]=4),IF(Games[[#This Row],[Result]]&gt;0.5,1,0),0)</f>
        <v>0</v>
      </c>
      <c r="AL443" s="2">
        <f>IF(AND(Games[[#This Row],[Type]]="P",Games[[#This Row],[Round]]=4),IF(Games[[#This Row],[Result]]&lt;0.5,1,0),0)</f>
        <v>0</v>
      </c>
    </row>
    <row r="444" spans="1:38" x14ac:dyDescent="0.35">
      <c r="A444" s="10">
        <v>45172</v>
      </c>
      <c r="B444" s="2">
        <v>2023</v>
      </c>
      <c r="C444" s="2">
        <f>COUNTIFS(Games[Team],Games[[#This Row],[Team]],Games[Season],Games[[#This Row],[Season]],Games[Date],"&lt;=" &amp; Games[[#This Row],[Date]])</f>
        <v>37</v>
      </c>
      <c r="D444" s="2" t="s">
        <v>79</v>
      </c>
      <c r="E444" s="2" t="s">
        <v>80</v>
      </c>
      <c r="F444" s="1" t="s">
        <v>69</v>
      </c>
      <c r="G444" s="1" t="s">
        <v>85</v>
      </c>
      <c r="H444" s="1" t="s">
        <v>81</v>
      </c>
      <c r="I444" s="2" cm="1">
        <f t="array" ref="I4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4" s="2" cm="1">
        <f t="array" ref="J4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4" s="2">
        <f>Games[[#This Row],[DaysOff]]-Games[[#This Row],[OppDaysOff]]</f>
        <v>0</v>
      </c>
      <c r="L444" s="2">
        <f>Games[[#This Row],[OppDaysOff]]-Games[[#This Row],[DaysOff]]</f>
        <v>0</v>
      </c>
      <c r="M444" s="1">
        <f>MAX(-16, MIN(16, Games[[#This Row],[RestDiff]]*8))</f>
        <v>0</v>
      </c>
      <c r="N444" s="1">
        <f>MAX(-16, MIN(16, Games[[#This Row],[OppRestDiff]]*8))</f>
        <v>0</v>
      </c>
      <c r="O444" s="4" cm="1">
        <f t="array" ref="O4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1342.258697759522</v>
      </c>
      <c r="P444" s="4" cm="1">
        <f t="array" ref="P4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1563.4994490859704</v>
      </c>
      <c r="Q444" s="4">
        <f>1/(1+10^(((Games[[#This Row],[OppPreGmRate]]+IF(Games[[#This Row],[HomeAway]]="A",HCA,0)+Games[[#This Row],[OppRestAdj]])-(Games[[#This Row],[PreGmRate]]+IF(Games[[#This Row],[HomeAway]]="H",HCA,0)+Games[[#This Row],[RestAdj]]))/400))</f>
        <v>0.14715303679446906</v>
      </c>
      <c r="R444" s="1">
        <v>97</v>
      </c>
      <c r="S444" s="1">
        <v>84</v>
      </c>
      <c r="T444" s="1">
        <v>1</v>
      </c>
      <c r="U444" s="1">
        <f>Games[[#This Row],[PointsFor]]-Games[[#This Row],[PointsAgainst]]</f>
        <v>13</v>
      </c>
      <c r="V444" s="1">
        <f>IF(Games[[#This Row],[MOV]]&gt;0,1,IF(Games[[#This Row],[MOV]]=0,0.5,0))</f>
        <v>1</v>
      </c>
      <c r="W444" s="4">
        <f>((ABS(Games[[#This Row],[MOV]])+5)^0.6)/(12+0.01*(ABS(Games[[#This Row],[PreGmRate]]-Games[[#This Row],[OppPreGmRate]])))*IF(Games[[#This Row],[OT]]=1,0.9,1)</f>
        <v>0.35870576862044118</v>
      </c>
      <c r="X444" s="7" cm="1">
        <f t="array" ref="X44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4" s="9">
        <f>MAX(kmin, kmax - 0.15 * MIN(Games[[#This Row],[GamesPlayed]], 82))</f>
        <v>70.45</v>
      </c>
      <c r="Z444" s="4">
        <f>Games[[#This Row],[K]]*Games[[#This Row],[POMult]]</f>
        <v>70.45</v>
      </c>
      <c r="AA444" s="4">
        <f>(Games[[#This Row],[Keff]]*Games[[#This Row],[MOVMult]])*(Games[[#This Row],[Result]]-Games[[#This Row],[ExpectedWin%]])</f>
        <v>21.552143288110948</v>
      </c>
      <c r="AB444" s="4">
        <f>Games[[#This Row],[PreGmRate]]+Games[[#This Row],[RatingChange]]</f>
        <v>1363.8108410476329</v>
      </c>
      <c r="AC444" s="2">
        <f>IF(Games[[#This Row],[Type]]="R",IF(Games[[#This Row],[Result]]&gt;0.5,1,0),0)</f>
        <v>1</v>
      </c>
      <c r="AD444" s="2">
        <f>IF(Games[[#This Row],[Type]]="R",IF(Games[[#This Row],[Result]]&lt;0.5,1,0),0)</f>
        <v>0</v>
      </c>
      <c r="AE444" s="2">
        <f>IF(AND(Games[[#This Row],[Type]]="P",Games[[#This Row],[Round]]=1),IF(Games[[#This Row],[Result]]&gt;0.5,1,0),0)</f>
        <v>0</v>
      </c>
      <c r="AF444" s="2">
        <f>IF(AND(Games[[#This Row],[Type]]="P",Games[[#This Row],[Round]]=1),IF(Games[[#This Row],[Result]]&lt;0.5,1,0),0)</f>
        <v>0</v>
      </c>
      <c r="AG444" s="2">
        <f>IF(AND(Games[[#This Row],[Type]]="P",Games[[#This Row],[Round]]=2),IF(Games[[#This Row],[Result]]&gt;0.5,1,0),0)</f>
        <v>0</v>
      </c>
      <c r="AH444" s="2">
        <f>IF(AND(Games[[#This Row],[Type]]="P",Games[[#This Row],[Round]]=2),IF(Games[[#This Row],[Result]]&lt;0.5,1,0),0)</f>
        <v>0</v>
      </c>
      <c r="AI444" s="2">
        <f>IF(AND(Games[[#This Row],[Type]]="P",Games[[#This Row],[Round]]=3),IF(Games[[#This Row],[Result]]&gt;0.5,1,0),0)</f>
        <v>0</v>
      </c>
      <c r="AJ444" s="2">
        <f>IF(AND(Games[[#This Row],[Type]]="P",Games[[#This Row],[Round]]=3),IF(Games[[#This Row],[Result]]&lt;0.5,1,0),0)</f>
        <v>0</v>
      </c>
      <c r="AK444" s="2">
        <f>IF(AND(Games[[#This Row],[Type]]="P",Games[[#This Row],[Round]]=4),IF(Games[[#This Row],[Result]]&gt;0.5,1,0),0)</f>
        <v>0</v>
      </c>
      <c r="AL444" s="2">
        <f>IF(AND(Games[[#This Row],[Type]]="P",Games[[#This Row],[Round]]=4),IF(Games[[#This Row],[Result]]&lt;0.5,1,0),0)</f>
        <v>0</v>
      </c>
    </row>
    <row r="445" spans="1:38" x14ac:dyDescent="0.35">
      <c r="A445" s="10">
        <v>45172</v>
      </c>
      <c r="B445" s="2">
        <v>2023</v>
      </c>
      <c r="C445" s="2">
        <f>COUNTIFS(Games[Team],Games[[#This Row],[Team]],Games[Season],Games[[#This Row],[Season]],Games[Date],"&lt;=" &amp; Games[[#This Row],[Date]])</f>
        <v>37</v>
      </c>
      <c r="D445" s="2" t="s">
        <v>79</v>
      </c>
      <c r="E445" s="2" t="s">
        <v>80</v>
      </c>
      <c r="F445" s="1" t="s">
        <v>85</v>
      </c>
      <c r="G445" s="1" t="s">
        <v>69</v>
      </c>
      <c r="H445" s="1" t="s">
        <v>82</v>
      </c>
      <c r="I445" s="2" cm="1">
        <f t="array" ref="I4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5" s="2" cm="1">
        <f t="array" ref="J4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5" s="2">
        <f>Games[[#This Row],[DaysOff]]-Games[[#This Row],[OppDaysOff]]</f>
        <v>0</v>
      </c>
      <c r="L445" s="2">
        <f>Games[[#This Row],[OppDaysOff]]-Games[[#This Row],[DaysOff]]</f>
        <v>0</v>
      </c>
      <c r="M445" s="1">
        <f>MAX(-16, MIN(16, Games[[#This Row],[RestDiff]]*8))</f>
        <v>0</v>
      </c>
      <c r="N445" s="1">
        <f>MAX(-16, MIN(16, Games[[#This Row],[OppRestDiff]]*8))</f>
        <v>0</v>
      </c>
      <c r="O445" s="4" cm="1">
        <f t="array" ref="O4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1563.4994490859704</v>
      </c>
      <c r="P445" s="4" cm="1">
        <f t="array" ref="P4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1342.258697759522</v>
      </c>
      <c r="Q445" s="4">
        <f>1/(1+10^(((Games[[#This Row],[OppPreGmRate]]+IF(Games[[#This Row],[HomeAway]]="A",HCA,0)+Games[[#This Row],[OppRestAdj]])-(Games[[#This Row],[PreGmRate]]+IF(Games[[#This Row],[HomeAway]]="H",HCA,0)+Games[[#This Row],[RestAdj]]))/400))</f>
        <v>0.85284696320553099</v>
      </c>
      <c r="R445" s="1">
        <v>84</v>
      </c>
      <c r="S445" s="1">
        <v>97</v>
      </c>
      <c r="T445" s="1">
        <v>1</v>
      </c>
      <c r="U445" s="1">
        <f>Games[[#This Row],[PointsFor]]-Games[[#This Row],[PointsAgainst]]</f>
        <v>-13</v>
      </c>
      <c r="V445" s="1">
        <f>IF(Games[[#This Row],[MOV]]&gt;0,1,IF(Games[[#This Row],[MOV]]=0,0.5,0))</f>
        <v>0</v>
      </c>
      <c r="W445" s="4">
        <f>((ABS(Games[[#This Row],[MOV]])+5)^0.6)/(12+0.01*(ABS(Games[[#This Row],[PreGmRate]]-Games[[#This Row],[OppPreGmRate]])))*IF(Games[[#This Row],[OT]]=1,0.9,1)</f>
        <v>0.35870576862044118</v>
      </c>
      <c r="X445" s="7" cm="1">
        <f t="array" ref="X44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5" s="9">
        <f>MAX(kmin, kmax - 0.15 * MIN(Games[[#This Row],[GamesPlayed]], 82))</f>
        <v>70.45</v>
      </c>
      <c r="Z445" s="4">
        <f>Games[[#This Row],[K]]*Games[[#This Row],[POMult]]</f>
        <v>70.45</v>
      </c>
      <c r="AA445" s="4">
        <f>(Games[[#This Row],[Keff]]*Games[[#This Row],[MOVMult]])*(Games[[#This Row],[Result]]-Games[[#This Row],[ExpectedWin%]])</f>
        <v>-21.552143288110951</v>
      </c>
      <c r="AB445" s="4">
        <f>Games[[#This Row],[PreGmRate]]+Games[[#This Row],[RatingChange]]</f>
        <v>1541.9473057978594</v>
      </c>
      <c r="AC445" s="2">
        <f>IF(Games[[#This Row],[Type]]="R",IF(Games[[#This Row],[Result]]&gt;0.5,1,0),0)</f>
        <v>0</v>
      </c>
      <c r="AD445" s="2">
        <f>IF(Games[[#This Row],[Type]]="R",IF(Games[[#This Row],[Result]]&lt;0.5,1,0),0)</f>
        <v>1</v>
      </c>
      <c r="AE445" s="2">
        <f>IF(AND(Games[[#This Row],[Type]]="P",Games[[#This Row],[Round]]=1),IF(Games[[#This Row],[Result]]&gt;0.5,1,0),0)</f>
        <v>0</v>
      </c>
      <c r="AF445" s="2">
        <f>IF(AND(Games[[#This Row],[Type]]="P",Games[[#This Row],[Round]]=1),IF(Games[[#This Row],[Result]]&lt;0.5,1,0),0)</f>
        <v>0</v>
      </c>
      <c r="AG445" s="2">
        <f>IF(AND(Games[[#This Row],[Type]]="P",Games[[#This Row],[Round]]=2),IF(Games[[#This Row],[Result]]&gt;0.5,1,0),0)</f>
        <v>0</v>
      </c>
      <c r="AH445" s="2">
        <f>IF(AND(Games[[#This Row],[Type]]="P",Games[[#This Row],[Round]]=2),IF(Games[[#This Row],[Result]]&lt;0.5,1,0),0)</f>
        <v>0</v>
      </c>
      <c r="AI445" s="2">
        <f>IF(AND(Games[[#This Row],[Type]]="P",Games[[#This Row],[Round]]=3),IF(Games[[#This Row],[Result]]&gt;0.5,1,0),0)</f>
        <v>0</v>
      </c>
      <c r="AJ445" s="2">
        <f>IF(AND(Games[[#This Row],[Type]]="P",Games[[#This Row],[Round]]=3),IF(Games[[#This Row],[Result]]&lt;0.5,1,0),0)</f>
        <v>0</v>
      </c>
      <c r="AK445" s="2">
        <f>IF(AND(Games[[#This Row],[Type]]="P",Games[[#This Row],[Round]]=4),IF(Games[[#This Row],[Result]]&gt;0.5,1,0),0)</f>
        <v>0</v>
      </c>
      <c r="AL445" s="2">
        <f>IF(AND(Games[[#This Row],[Type]]="P",Games[[#This Row],[Round]]=4),IF(Games[[#This Row],[Result]]&lt;0.5,1,0),0)</f>
        <v>0</v>
      </c>
    </row>
    <row r="446" spans="1:38" x14ac:dyDescent="0.35">
      <c r="A446" s="10">
        <v>45172</v>
      </c>
      <c r="B446" s="2">
        <v>2023</v>
      </c>
      <c r="C446" s="2">
        <f>COUNTIFS(Games[Team],Games[[#This Row],[Team]],Games[Season],Games[[#This Row],[Season]],Games[Date],"&lt;=" &amp; Games[[#This Row],[Date]])</f>
        <v>37</v>
      </c>
      <c r="D446" s="2" t="s">
        <v>79</v>
      </c>
      <c r="E446" s="2" t="s">
        <v>80</v>
      </c>
      <c r="F446" s="1" t="s">
        <v>65</v>
      </c>
      <c r="G446" s="1" t="s">
        <v>63</v>
      </c>
      <c r="H446" s="1" t="s">
        <v>81</v>
      </c>
      <c r="I446" s="2" cm="1">
        <f t="array" ref="I4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6" s="2" cm="1">
        <f t="array" ref="J4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6" s="2">
        <f>Games[[#This Row],[DaysOff]]-Games[[#This Row],[OppDaysOff]]</f>
        <v>0</v>
      </c>
      <c r="L446" s="2">
        <f>Games[[#This Row],[OppDaysOff]]-Games[[#This Row],[DaysOff]]</f>
        <v>0</v>
      </c>
      <c r="M446" s="1">
        <f>MAX(-16, MIN(16, Games[[#This Row],[RestDiff]]*8))</f>
        <v>0</v>
      </c>
      <c r="N446" s="1">
        <f>MAX(-16, MIN(16, Games[[#This Row],[OppRestDiff]]*8))</f>
        <v>0</v>
      </c>
      <c r="O446" s="4" cm="1">
        <f t="array" ref="O4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1475.485139293319</v>
      </c>
      <c r="P446" s="4" cm="1">
        <f t="array" ref="P4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1427.183893579921</v>
      </c>
      <c r="Q446" s="4">
        <f>1/(1+10^(((Games[[#This Row],[OppPreGmRate]]+IF(Games[[#This Row],[HomeAway]]="A",HCA,0)+Games[[#This Row],[OppRestAdj]])-(Games[[#This Row],[PreGmRate]]+IF(Games[[#This Row],[HomeAway]]="H",HCA,0)+Games[[#This Row],[RestAdj]]))/400))</f>
        <v>0.44880539702547945</v>
      </c>
      <c r="R446" s="1">
        <v>64</v>
      </c>
      <c r="S446" s="1">
        <v>72</v>
      </c>
      <c r="T446" s="1">
        <v>0</v>
      </c>
      <c r="U446" s="1">
        <f>Games[[#This Row],[PointsFor]]-Games[[#This Row],[PointsAgainst]]</f>
        <v>-8</v>
      </c>
      <c r="V446" s="1">
        <f>IF(Games[[#This Row],[MOV]]&gt;0,1,IF(Games[[#This Row],[MOV]]=0,0.5,0))</f>
        <v>0</v>
      </c>
      <c r="W446" s="4">
        <f>((ABS(Games[[#This Row],[MOV]])+5)^0.6)/(12+0.01*(ABS(Games[[#This Row],[PreGmRate]]-Games[[#This Row],[OppPreGmRate]])))*IF(Games[[#This Row],[OT]]=1,0.9,1)</f>
        <v>0.37329021628693654</v>
      </c>
      <c r="X446" s="7" cm="1">
        <f t="array" ref="X44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6" s="9">
        <f>MAX(kmin, kmax - 0.15 * MIN(Games[[#This Row],[GamesPlayed]], 82))</f>
        <v>70.45</v>
      </c>
      <c r="Z446" s="4">
        <f>Games[[#This Row],[K]]*Games[[#This Row],[POMult]]</f>
        <v>70.45</v>
      </c>
      <c r="AA446" s="4">
        <f>(Games[[#This Row],[Keff]]*Games[[#This Row],[MOVMult]])*(Games[[#This Row],[Result]]-Games[[#This Row],[ExpectedWin%]])</f>
        <v>-11.80281705952387</v>
      </c>
      <c r="AB446" s="4">
        <f>Games[[#This Row],[PreGmRate]]+Games[[#This Row],[RatingChange]]</f>
        <v>1463.682322233795</v>
      </c>
      <c r="AC446" s="2">
        <f>IF(Games[[#This Row],[Type]]="R",IF(Games[[#This Row],[Result]]&gt;0.5,1,0),0)</f>
        <v>0</v>
      </c>
      <c r="AD446" s="2">
        <f>IF(Games[[#This Row],[Type]]="R",IF(Games[[#This Row],[Result]]&lt;0.5,1,0),0)</f>
        <v>1</v>
      </c>
      <c r="AE446" s="2">
        <f>IF(AND(Games[[#This Row],[Type]]="P",Games[[#This Row],[Round]]=1),IF(Games[[#This Row],[Result]]&gt;0.5,1,0),0)</f>
        <v>0</v>
      </c>
      <c r="AF446" s="2">
        <f>IF(AND(Games[[#This Row],[Type]]="P",Games[[#This Row],[Round]]=1),IF(Games[[#This Row],[Result]]&lt;0.5,1,0),0)</f>
        <v>0</v>
      </c>
      <c r="AG446" s="2">
        <f>IF(AND(Games[[#This Row],[Type]]="P",Games[[#This Row],[Round]]=2),IF(Games[[#This Row],[Result]]&gt;0.5,1,0),0)</f>
        <v>0</v>
      </c>
      <c r="AH446" s="2">
        <f>IF(AND(Games[[#This Row],[Type]]="P",Games[[#This Row],[Round]]=2),IF(Games[[#This Row],[Result]]&lt;0.5,1,0),0)</f>
        <v>0</v>
      </c>
      <c r="AI446" s="2">
        <f>IF(AND(Games[[#This Row],[Type]]="P",Games[[#This Row],[Round]]=3),IF(Games[[#This Row],[Result]]&gt;0.5,1,0),0)</f>
        <v>0</v>
      </c>
      <c r="AJ446" s="2">
        <f>IF(AND(Games[[#This Row],[Type]]="P",Games[[#This Row],[Round]]=3),IF(Games[[#This Row],[Result]]&lt;0.5,1,0),0)</f>
        <v>0</v>
      </c>
      <c r="AK446" s="2">
        <f>IF(AND(Games[[#This Row],[Type]]="P",Games[[#This Row],[Round]]=4),IF(Games[[#This Row],[Result]]&gt;0.5,1,0),0)</f>
        <v>0</v>
      </c>
      <c r="AL446" s="2">
        <f>IF(AND(Games[[#This Row],[Type]]="P",Games[[#This Row],[Round]]=4),IF(Games[[#This Row],[Result]]&lt;0.5,1,0),0)</f>
        <v>0</v>
      </c>
    </row>
    <row r="447" spans="1:38" x14ac:dyDescent="0.35">
      <c r="A447" s="10">
        <v>45172</v>
      </c>
      <c r="B447" s="2">
        <v>2023</v>
      </c>
      <c r="C447" s="2">
        <f>COUNTIFS(Games[Team],Games[[#This Row],[Team]],Games[Season],Games[[#This Row],[Season]],Games[Date],"&lt;=" &amp; Games[[#This Row],[Date]])</f>
        <v>37</v>
      </c>
      <c r="D447" s="2" t="s">
        <v>79</v>
      </c>
      <c r="E447" s="2" t="s">
        <v>80</v>
      </c>
      <c r="F447" s="1" t="s">
        <v>63</v>
      </c>
      <c r="G447" s="1" t="s">
        <v>65</v>
      </c>
      <c r="H447" s="1" t="s">
        <v>82</v>
      </c>
      <c r="I447" s="2" cm="1">
        <f t="array" ref="I4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7" s="2" cm="1">
        <f t="array" ref="J4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7" s="2">
        <f>Games[[#This Row],[DaysOff]]-Games[[#This Row],[OppDaysOff]]</f>
        <v>0</v>
      </c>
      <c r="L447" s="2">
        <f>Games[[#This Row],[OppDaysOff]]-Games[[#This Row],[DaysOff]]</f>
        <v>0</v>
      </c>
      <c r="M447" s="1">
        <f>MAX(-16, MIN(16, Games[[#This Row],[RestDiff]]*8))</f>
        <v>0</v>
      </c>
      <c r="N447" s="1">
        <f>MAX(-16, MIN(16, Games[[#This Row],[OppRestDiff]]*8))</f>
        <v>0</v>
      </c>
      <c r="O447" s="4" cm="1">
        <f t="array" ref="O4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1427.183893579921</v>
      </c>
      <c r="P447" s="4" cm="1">
        <f t="array" ref="P4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1475.485139293319</v>
      </c>
      <c r="Q447" s="4">
        <f>1/(1+10^(((Games[[#This Row],[OppPreGmRate]]+IF(Games[[#This Row],[HomeAway]]="A",HCA,0)+Games[[#This Row],[OppRestAdj]])-(Games[[#This Row],[PreGmRate]]+IF(Games[[#This Row],[HomeAway]]="H",HCA,0)+Games[[#This Row],[RestAdj]]))/400))</f>
        <v>0.5511946029745205</v>
      </c>
      <c r="R447" s="1">
        <v>72</v>
      </c>
      <c r="S447" s="1">
        <v>64</v>
      </c>
      <c r="T447" s="1">
        <v>0</v>
      </c>
      <c r="U447" s="1">
        <f>Games[[#This Row],[PointsFor]]-Games[[#This Row],[PointsAgainst]]</f>
        <v>8</v>
      </c>
      <c r="V447" s="1">
        <f>IF(Games[[#This Row],[MOV]]&gt;0,1,IF(Games[[#This Row],[MOV]]=0,0.5,0))</f>
        <v>1</v>
      </c>
      <c r="W447" s="4">
        <f>((ABS(Games[[#This Row],[MOV]])+5)^0.6)/(12+0.01*(ABS(Games[[#This Row],[PreGmRate]]-Games[[#This Row],[OppPreGmRate]])))*IF(Games[[#This Row],[OT]]=1,0.9,1)</f>
        <v>0.37329021628693654</v>
      </c>
      <c r="X447" s="7" cm="1">
        <f t="array" ref="X44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7" s="9">
        <f>MAX(kmin, kmax - 0.15 * MIN(Games[[#This Row],[GamesPlayed]], 82))</f>
        <v>70.45</v>
      </c>
      <c r="Z447" s="4">
        <f>Games[[#This Row],[K]]*Games[[#This Row],[POMult]]</f>
        <v>70.45</v>
      </c>
      <c r="AA447" s="4">
        <f>(Games[[#This Row],[Keff]]*Games[[#This Row],[MOVMult]])*(Games[[#This Row],[Result]]-Games[[#This Row],[ExpectedWin%]])</f>
        <v>11.802817059523871</v>
      </c>
      <c r="AB447" s="4">
        <f>Games[[#This Row],[PreGmRate]]+Games[[#This Row],[RatingChange]]</f>
        <v>1438.9867106394449</v>
      </c>
      <c r="AC447" s="2">
        <f>IF(Games[[#This Row],[Type]]="R",IF(Games[[#This Row],[Result]]&gt;0.5,1,0),0)</f>
        <v>1</v>
      </c>
      <c r="AD447" s="2">
        <f>IF(Games[[#This Row],[Type]]="R",IF(Games[[#This Row],[Result]]&lt;0.5,1,0),0)</f>
        <v>0</v>
      </c>
      <c r="AE447" s="2">
        <f>IF(AND(Games[[#This Row],[Type]]="P",Games[[#This Row],[Round]]=1),IF(Games[[#This Row],[Result]]&gt;0.5,1,0),0)</f>
        <v>0</v>
      </c>
      <c r="AF447" s="2">
        <f>IF(AND(Games[[#This Row],[Type]]="P",Games[[#This Row],[Round]]=1),IF(Games[[#This Row],[Result]]&lt;0.5,1,0),0)</f>
        <v>0</v>
      </c>
      <c r="AG447" s="2">
        <f>IF(AND(Games[[#This Row],[Type]]="P",Games[[#This Row],[Round]]=2),IF(Games[[#This Row],[Result]]&gt;0.5,1,0),0)</f>
        <v>0</v>
      </c>
      <c r="AH447" s="2">
        <f>IF(AND(Games[[#This Row],[Type]]="P",Games[[#This Row],[Round]]=2),IF(Games[[#This Row],[Result]]&lt;0.5,1,0),0)</f>
        <v>0</v>
      </c>
      <c r="AI447" s="2">
        <f>IF(AND(Games[[#This Row],[Type]]="P",Games[[#This Row],[Round]]=3),IF(Games[[#This Row],[Result]]&gt;0.5,1,0),0)</f>
        <v>0</v>
      </c>
      <c r="AJ447" s="2">
        <f>IF(AND(Games[[#This Row],[Type]]="P",Games[[#This Row],[Round]]=3),IF(Games[[#This Row],[Result]]&lt;0.5,1,0),0)</f>
        <v>0</v>
      </c>
      <c r="AK447" s="2">
        <f>IF(AND(Games[[#This Row],[Type]]="P",Games[[#This Row],[Round]]=4),IF(Games[[#This Row],[Result]]&gt;0.5,1,0),0)</f>
        <v>0</v>
      </c>
      <c r="AL447" s="2">
        <f>IF(AND(Games[[#This Row],[Type]]="P",Games[[#This Row],[Round]]=4),IF(Games[[#This Row],[Result]]&lt;0.5,1,0),0)</f>
        <v>0</v>
      </c>
    </row>
    <row r="448" spans="1:38" x14ac:dyDescent="0.35">
      <c r="A448" s="10">
        <v>45172</v>
      </c>
      <c r="B448" s="2">
        <v>2023</v>
      </c>
      <c r="C448" s="2">
        <f>COUNTIFS(Games[Team],Games[[#This Row],[Team]],Games[Season],Games[[#This Row],[Season]],Games[Date],"&lt;=" &amp; Games[[#This Row],[Date]])</f>
        <v>37</v>
      </c>
      <c r="D448" s="2" t="s">
        <v>79</v>
      </c>
      <c r="E448" s="2" t="s">
        <v>80</v>
      </c>
      <c r="F448" s="1" t="s">
        <v>40</v>
      </c>
      <c r="G448" s="1" t="s">
        <v>67</v>
      </c>
      <c r="H448" s="1" t="s">
        <v>81</v>
      </c>
      <c r="I448" s="2" cm="1">
        <f t="array" ref="I4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8" s="2" cm="1">
        <f t="array" ref="J4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8" s="2">
        <f>Games[[#This Row],[DaysOff]]-Games[[#This Row],[OppDaysOff]]</f>
        <v>1</v>
      </c>
      <c r="L448" s="2">
        <f>Games[[#This Row],[OppDaysOff]]-Games[[#This Row],[DaysOff]]</f>
        <v>-1</v>
      </c>
      <c r="M448" s="1">
        <f>MAX(-16, MIN(16, Games[[#This Row],[RestDiff]]*8))</f>
        <v>8</v>
      </c>
      <c r="N448" s="1">
        <f>MAX(-16, MIN(16, Games[[#This Row],[OppRestDiff]]*8))</f>
        <v>-8</v>
      </c>
      <c r="O448" s="4" cm="1">
        <f t="array" ref="O4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1330.6238791196715</v>
      </c>
      <c r="P448" s="4" cm="1">
        <f t="array" ref="P4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1467.9803034743693</v>
      </c>
      <c r="Q448" s="4">
        <f>1/(1+10^(((Games[[#This Row],[OppPreGmRate]]+IF(Games[[#This Row],[HomeAway]]="A",HCA,0)+Games[[#This Row],[OppRestAdj]])-(Games[[#This Row],[PreGmRate]]+IF(Games[[#This Row],[HomeAway]]="H",HCA,0)+Games[[#This Row],[RestAdj]]))/400))</f>
        <v>0.23467004270033984</v>
      </c>
      <c r="R448" s="1">
        <v>73</v>
      </c>
      <c r="S448" s="1">
        <v>86</v>
      </c>
      <c r="T448" s="1">
        <v>0</v>
      </c>
      <c r="U448" s="1">
        <f>Games[[#This Row],[PointsFor]]-Games[[#This Row],[PointsAgainst]]</f>
        <v>-13</v>
      </c>
      <c r="V448" s="1">
        <f>IF(Games[[#This Row],[MOV]]&gt;0,1,IF(Games[[#This Row],[MOV]]=0,0.5,0))</f>
        <v>0</v>
      </c>
      <c r="W448" s="4">
        <f>((ABS(Games[[#This Row],[MOV]])+5)^0.6)/(12+0.01*(ABS(Games[[#This Row],[PreGmRate]]-Games[[#This Row],[OppPreGmRate]])))*IF(Games[[#This Row],[OT]]=1,0.9,1)</f>
        <v>0.42356136065242755</v>
      </c>
      <c r="X448" s="7" cm="1">
        <f t="array" ref="X44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8" s="9">
        <f>MAX(kmin, kmax - 0.15 * MIN(Games[[#This Row],[GamesPlayed]], 82))</f>
        <v>70.45</v>
      </c>
      <c r="Z448" s="4">
        <f>Games[[#This Row],[K]]*Games[[#This Row],[POMult]]</f>
        <v>70.45</v>
      </c>
      <c r="AA448" s="4">
        <f>(Games[[#This Row],[Keff]]*Games[[#This Row],[MOVMult]])*(Games[[#This Row],[Result]]-Games[[#This Row],[ExpectedWin%]])</f>
        <v>-7.0025301045020791</v>
      </c>
      <c r="AB448" s="4">
        <f>Games[[#This Row],[PreGmRate]]+Games[[#This Row],[RatingChange]]</f>
        <v>1323.6213490151695</v>
      </c>
      <c r="AC448" s="2">
        <f>IF(Games[[#This Row],[Type]]="R",IF(Games[[#This Row],[Result]]&gt;0.5,1,0),0)</f>
        <v>0</v>
      </c>
      <c r="AD448" s="2">
        <f>IF(Games[[#This Row],[Type]]="R",IF(Games[[#This Row],[Result]]&lt;0.5,1,0),0)</f>
        <v>1</v>
      </c>
      <c r="AE448" s="2">
        <f>IF(AND(Games[[#This Row],[Type]]="P",Games[[#This Row],[Round]]=1),IF(Games[[#This Row],[Result]]&gt;0.5,1,0),0)</f>
        <v>0</v>
      </c>
      <c r="AF448" s="2">
        <f>IF(AND(Games[[#This Row],[Type]]="P",Games[[#This Row],[Round]]=1),IF(Games[[#This Row],[Result]]&lt;0.5,1,0),0)</f>
        <v>0</v>
      </c>
      <c r="AG448" s="2">
        <f>IF(AND(Games[[#This Row],[Type]]="P",Games[[#This Row],[Round]]=2),IF(Games[[#This Row],[Result]]&gt;0.5,1,0),0)</f>
        <v>0</v>
      </c>
      <c r="AH448" s="2">
        <f>IF(AND(Games[[#This Row],[Type]]="P",Games[[#This Row],[Round]]=2),IF(Games[[#This Row],[Result]]&lt;0.5,1,0),0)</f>
        <v>0</v>
      </c>
      <c r="AI448" s="2">
        <f>IF(AND(Games[[#This Row],[Type]]="P",Games[[#This Row],[Round]]=3),IF(Games[[#This Row],[Result]]&gt;0.5,1,0),0)</f>
        <v>0</v>
      </c>
      <c r="AJ448" s="2">
        <f>IF(AND(Games[[#This Row],[Type]]="P",Games[[#This Row],[Round]]=3),IF(Games[[#This Row],[Result]]&lt;0.5,1,0),0)</f>
        <v>0</v>
      </c>
      <c r="AK448" s="2">
        <f>IF(AND(Games[[#This Row],[Type]]="P",Games[[#This Row],[Round]]=4),IF(Games[[#This Row],[Result]]&gt;0.5,1,0),0)</f>
        <v>0</v>
      </c>
      <c r="AL448" s="2">
        <f>IF(AND(Games[[#This Row],[Type]]="P",Games[[#This Row],[Round]]=4),IF(Games[[#This Row],[Result]]&lt;0.5,1,0),0)</f>
        <v>0</v>
      </c>
    </row>
    <row r="449" spans="1:38" x14ac:dyDescent="0.35">
      <c r="A449" s="10">
        <v>45172</v>
      </c>
      <c r="B449" s="2">
        <v>2023</v>
      </c>
      <c r="C449" s="2">
        <f>COUNTIFS(Games[Team],Games[[#This Row],[Team]],Games[Season],Games[[#This Row],[Season]],Games[Date],"&lt;=" &amp; Games[[#This Row],[Date]])</f>
        <v>38</v>
      </c>
      <c r="D449" s="2" t="s">
        <v>79</v>
      </c>
      <c r="E449" s="2" t="s">
        <v>80</v>
      </c>
      <c r="F449" s="1" t="s">
        <v>67</v>
      </c>
      <c r="G449" s="1" t="s">
        <v>40</v>
      </c>
      <c r="H449" s="1" t="s">
        <v>82</v>
      </c>
      <c r="I449" s="2" cm="1">
        <f t="array" ref="I4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9" s="2" cm="1">
        <f t="array" ref="J4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9" s="2">
        <f>Games[[#This Row],[DaysOff]]-Games[[#This Row],[OppDaysOff]]</f>
        <v>-1</v>
      </c>
      <c r="L449" s="2">
        <f>Games[[#This Row],[OppDaysOff]]-Games[[#This Row],[DaysOff]]</f>
        <v>1</v>
      </c>
      <c r="M449" s="1">
        <f>MAX(-16, MIN(16, Games[[#This Row],[RestDiff]]*8))</f>
        <v>-8</v>
      </c>
      <c r="N449" s="1">
        <f>MAX(-16, MIN(16, Games[[#This Row],[OppRestDiff]]*8))</f>
        <v>8</v>
      </c>
      <c r="O449" s="4" cm="1">
        <f t="array" ref="O4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1467.9803034743693</v>
      </c>
      <c r="P449" s="4" cm="1">
        <f t="array" ref="P4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1330.6238791196715</v>
      </c>
      <c r="Q449" s="4">
        <f>1/(1+10^(((Games[[#This Row],[OppPreGmRate]]+IF(Games[[#This Row],[HomeAway]]="A",HCA,0)+Games[[#This Row],[OppRestAdj]])-(Games[[#This Row],[PreGmRate]]+IF(Games[[#This Row],[HomeAway]]="H",HCA,0)+Games[[#This Row],[RestAdj]]))/400))</f>
        <v>0.76532995729966014</v>
      </c>
      <c r="R449" s="1">
        <v>86</v>
      </c>
      <c r="S449" s="1">
        <v>73</v>
      </c>
      <c r="T449" s="1">
        <v>0</v>
      </c>
      <c r="U449" s="1">
        <f>Games[[#This Row],[PointsFor]]-Games[[#This Row],[PointsAgainst]]</f>
        <v>13</v>
      </c>
      <c r="V449" s="1">
        <f>IF(Games[[#This Row],[MOV]]&gt;0,1,IF(Games[[#This Row],[MOV]]=0,0.5,0))</f>
        <v>1</v>
      </c>
      <c r="W449" s="4">
        <f>((ABS(Games[[#This Row],[MOV]])+5)^0.6)/(12+0.01*(ABS(Games[[#This Row],[PreGmRate]]-Games[[#This Row],[OppPreGmRate]])))*IF(Games[[#This Row],[OT]]=1,0.9,1)</f>
        <v>0.42356136065242755</v>
      </c>
      <c r="X449" s="7" cm="1">
        <f t="array" ref="X44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9" s="9">
        <f>MAX(kmin, kmax - 0.15 * MIN(Games[[#This Row],[GamesPlayed]], 82))</f>
        <v>70.3</v>
      </c>
      <c r="Z449" s="4">
        <f>Games[[#This Row],[K]]*Games[[#This Row],[POMult]]</f>
        <v>70.3</v>
      </c>
      <c r="AA449" s="4">
        <f>(Games[[#This Row],[Keff]]*Games[[#This Row],[MOVMult]])*(Games[[#This Row],[Result]]-Games[[#This Row],[ExpectedWin%]])</f>
        <v>6.9876205301135013</v>
      </c>
      <c r="AB449" s="4">
        <f>Games[[#This Row],[PreGmRate]]+Games[[#This Row],[RatingChange]]</f>
        <v>1474.9679240044827</v>
      </c>
      <c r="AC449" s="2">
        <f>IF(Games[[#This Row],[Type]]="R",IF(Games[[#This Row],[Result]]&gt;0.5,1,0),0)</f>
        <v>1</v>
      </c>
      <c r="AD449" s="2">
        <f>IF(Games[[#This Row],[Type]]="R",IF(Games[[#This Row],[Result]]&lt;0.5,1,0),0)</f>
        <v>0</v>
      </c>
      <c r="AE449" s="2">
        <f>IF(AND(Games[[#This Row],[Type]]="P",Games[[#This Row],[Round]]=1),IF(Games[[#This Row],[Result]]&gt;0.5,1,0),0)</f>
        <v>0</v>
      </c>
      <c r="AF449" s="2">
        <f>IF(AND(Games[[#This Row],[Type]]="P",Games[[#This Row],[Round]]=1),IF(Games[[#This Row],[Result]]&lt;0.5,1,0),0)</f>
        <v>0</v>
      </c>
      <c r="AG449" s="2">
        <f>IF(AND(Games[[#This Row],[Type]]="P",Games[[#This Row],[Round]]=2),IF(Games[[#This Row],[Result]]&gt;0.5,1,0),0)</f>
        <v>0</v>
      </c>
      <c r="AH449" s="2">
        <f>IF(AND(Games[[#This Row],[Type]]="P",Games[[#This Row],[Round]]=2),IF(Games[[#This Row],[Result]]&lt;0.5,1,0),0)</f>
        <v>0</v>
      </c>
      <c r="AI449" s="2">
        <f>IF(AND(Games[[#This Row],[Type]]="P",Games[[#This Row],[Round]]=3),IF(Games[[#This Row],[Result]]&gt;0.5,1,0),0)</f>
        <v>0</v>
      </c>
      <c r="AJ449" s="2">
        <f>IF(AND(Games[[#This Row],[Type]]="P",Games[[#This Row],[Round]]=3),IF(Games[[#This Row],[Result]]&lt;0.5,1,0),0)</f>
        <v>0</v>
      </c>
      <c r="AK449" s="2">
        <f>IF(AND(Games[[#This Row],[Type]]="P",Games[[#This Row],[Round]]=4),IF(Games[[#This Row],[Result]]&gt;0.5,1,0),0)</f>
        <v>0</v>
      </c>
      <c r="AL449" s="2">
        <f>IF(AND(Games[[#This Row],[Type]]="P",Games[[#This Row],[Round]]=4),IF(Games[[#This Row],[Result]]&lt;0.5,1,0),0)</f>
        <v>0</v>
      </c>
    </row>
    <row r="450" spans="1:38" x14ac:dyDescent="0.35">
      <c r="A450" s="10">
        <v>45174</v>
      </c>
      <c r="B450" s="2">
        <v>2023</v>
      </c>
      <c r="C450" s="2">
        <f>COUNTIFS(Games[Team],Games[[#This Row],[Team]],Games[Season],Games[[#This Row],[Season]],Games[Date],"&lt;=" &amp; Games[[#This Row],[Date]])</f>
        <v>38</v>
      </c>
      <c r="D450" s="2" t="s">
        <v>79</v>
      </c>
      <c r="E450" s="2" t="s">
        <v>80</v>
      </c>
      <c r="F450" s="1" t="s">
        <v>63</v>
      </c>
      <c r="G450" s="1" t="s">
        <v>74</v>
      </c>
      <c r="H450" s="1" t="s">
        <v>81</v>
      </c>
      <c r="I450" s="2" cm="1">
        <f t="array" ref="I4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0" s="2" cm="1">
        <f t="array" ref="J45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50" s="2">
        <f>Games[[#This Row],[DaysOff]]-Games[[#This Row],[OppDaysOff]]</f>
        <v>-2</v>
      </c>
      <c r="L450" s="2">
        <f>Games[[#This Row],[OppDaysOff]]-Games[[#This Row],[DaysOff]]</f>
        <v>2</v>
      </c>
      <c r="M450" s="1">
        <f>MAX(-16, MIN(16, Games[[#This Row],[RestDiff]]*8))</f>
        <v>-16</v>
      </c>
      <c r="N450" s="1">
        <f>MAX(-16, MIN(16, Games[[#This Row],[OppRestDiff]]*8))</f>
        <v>16</v>
      </c>
      <c r="O450" s="4" cm="1">
        <f t="array" ref="O4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1438.9867106394449</v>
      </c>
      <c r="P450" s="4" cm="1">
        <f t="array" ref="P4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1611.9382028803439</v>
      </c>
      <c r="Q450" s="4">
        <f>1/(1+10^(((Games[[#This Row],[OppPreGmRate]]+IF(Games[[#This Row],[HomeAway]]="A",HCA,0)+Games[[#This Row],[OppRestAdj]])-(Games[[#This Row],[PreGmRate]]+IF(Games[[#This Row],[HomeAway]]="H",HCA,0)+Games[[#This Row],[RestAdj]]))/400))</f>
        <v>0.15931435238935254</v>
      </c>
      <c r="R450" s="1">
        <v>76</v>
      </c>
      <c r="S450" s="1">
        <v>90</v>
      </c>
      <c r="T450" s="1">
        <v>0</v>
      </c>
      <c r="U450" s="1">
        <f>Games[[#This Row],[PointsFor]]-Games[[#This Row],[PointsAgainst]]</f>
        <v>-14</v>
      </c>
      <c r="V450" s="1">
        <f>IF(Games[[#This Row],[MOV]]&gt;0,1,IF(Games[[#This Row],[MOV]]=0,0.5,0))</f>
        <v>0</v>
      </c>
      <c r="W450" s="4">
        <f>((ABS(Games[[#This Row],[MOV]])+5)^0.6)/(12+0.01*(ABS(Games[[#This Row],[PreGmRate]]-Games[[#This Row],[OppPreGmRate]])))*IF(Games[[#This Row],[OT]]=1,0.9,1)</f>
        <v>0.42618382917949027</v>
      </c>
      <c r="X450" s="7" cm="1">
        <f t="array" ref="X45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0" s="9">
        <f>MAX(kmin, kmax - 0.15 * MIN(Games[[#This Row],[GamesPlayed]], 82))</f>
        <v>70.3</v>
      </c>
      <c r="Z450" s="4">
        <f>Games[[#This Row],[K]]*Games[[#This Row],[POMult]]</f>
        <v>70.3</v>
      </c>
      <c r="AA450" s="4">
        <f>(Games[[#This Row],[Keff]]*Games[[#This Row],[MOVMult]])*(Games[[#This Row],[Result]]-Games[[#This Row],[ExpectedWin%]])</f>
        <v>-4.7731732123415096</v>
      </c>
      <c r="AB450" s="4">
        <f>Games[[#This Row],[PreGmRate]]+Games[[#This Row],[RatingChange]]</f>
        <v>1434.2135374271033</v>
      </c>
      <c r="AC450" s="2">
        <f>IF(Games[[#This Row],[Type]]="R",IF(Games[[#This Row],[Result]]&gt;0.5,1,0),0)</f>
        <v>0</v>
      </c>
      <c r="AD450" s="2">
        <f>IF(Games[[#This Row],[Type]]="R",IF(Games[[#This Row],[Result]]&lt;0.5,1,0),0)</f>
        <v>1</v>
      </c>
      <c r="AE450" s="2">
        <f>IF(AND(Games[[#This Row],[Type]]="P",Games[[#This Row],[Round]]=1),IF(Games[[#This Row],[Result]]&gt;0.5,1,0),0)</f>
        <v>0</v>
      </c>
      <c r="AF450" s="2">
        <f>IF(AND(Games[[#This Row],[Type]]="P",Games[[#This Row],[Round]]=1),IF(Games[[#This Row],[Result]]&lt;0.5,1,0),0)</f>
        <v>0</v>
      </c>
      <c r="AG450" s="2">
        <f>IF(AND(Games[[#This Row],[Type]]="P",Games[[#This Row],[Round]]=2),IF(Games[[#This Row],[Result]]&gt;0.5,1,0),0)</f>
        <v>0</v>
      </c>
      <c r="AH450" s="2">
        <f>IF(AND(Games[[#This Row],[Type]]="P",Games[[#This Row],[Round]]=2),IF(Games[[#This Row],[Result]]&lt;0.5,1,0),0)</f>
        <v>0</v>
      </c>
      <c r="AI450" s="2">
        <f>IF(AND(Games[[#This Row],[Type]]="P",Games[[#This Row],[Round]]=3),IF(Games[[#This Row],[Result]]&gt;0.5,1,0),0)</f>
        <v>0</v>
      </c>
      <c r="AJ450" s="2">
        <f>IF(AND(Games[[#This Row],[Type]]="P",Games[[#This Row],[Round]]=3),IF(Games[[#This Row],[Result]]&lt;0.5,1,0),0)</f>
        <v>0</v>
      </c>
      <c r="AK450" s="2">
        <f>IF(AND(Games[[#This Row],[Type]]="P",Games[[#This Row],[Round]]=4),IF(Games[[#This Row],[Result]]&gt;0.5,1,0),0)</f>
        <v>0</v>
      </c>
      <c r="AL450" s="2">
        <f>IF(AND(Games[[#This Row],[Type]]="P",Games[[#This Row],[Round]]=4),IF(Games[[#This Row],[Result]]&lt;0.5,1,0),0)</f>
        <v>0</v>
      </c>
    </row>
    <row r="451" spans="1:38" x14ac:dyDescent="0.35">
      <c r="A451" s="10">
        <v>45174</v>
      </c>
      <c r="B451" s="2">
        <v>2023</v>
      </c>
      <c r="C451" s="2">
        <f>COUNTIFS(Games[Team],Games[[#This Row],[Team]],Games[Season],Games[[#This Row],[Season]],Games[Date],"&lt;=" &amp; Games[[#This Row],[Date]])</f>
        <v>38</v>
      </c>
      <c r="D451" s="2" t="s">
        <v>79</v>
      </c>
      <c r="E451" s="2" t="s">
        <v>80</v>
      </c>
      <c r="F451" s="1" t="s">
        <v>74</v>
      </c>
      <c r="G451" s="1" t="s">
        <v>63</v>
      </c>
      <c r="H451" s="1" t="s">
        <v>82</v>
      </c>
      <c r="I451" s="2" cm="1">
        <f t="array" ref="I45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51" s="2" cm="1">
        <f t="array" ref="J4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1" s="2">
        <f>Games[[#This Row],[DaysOff]]-Games[[#This Row],[OppDaysOff]]</f>
        <v>2</v>
      </c>
      <c r="L451" s="2">
        <f>Games[[#This Row],[OppDaysOff]]-Games[[#This Row],[DaysOff]]</f>
        <v>-2</v>
      </c>
      <c r="M451" s="1">
        <f>MAX(-16, MIN(16, Games[[#This Row],[RestDiff]]*8))</f>
        <v>16</v>
      </c>
      <c r="N451" s="1">
        <f>MAX(-16, MIN(16, Games[[#This Row],[OppRestDiff]]*8))</f>
        <v>-16</v>
      </c>
      <c r="O451" s="4" cm="1">
        <f t="array" ref="O4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1611.9382028803439</v>
      </c>
      <c r="P451" s="4" cm="1">
        <f t="array" ref="P4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1438.9867106394449</v>
      </c>
      <c r="Q451" s="4">
        <f>1/(1+10^(((Games[[#This Row],[OppPreGmRate]]+IF(Games[[#This Row],[HomeAway]]="A",HCA,0)+Games[[#This Row],[OppRestAdj]])-(Games[[#This Row],[PreGmRate]]+IF(Games[[#This Row],[HomeAway]]="H",HCA,0)+Games[[#This Row],[RestAdj]]))/400))</f>
        <v>0.84068564761064746</v>
      </c>
      <c r="R451" s="1">
        <v>90</v>
      </c>
      <c r="S451" s="1">
        <v>76</v>
      </c>
      <c r="T451" s="1">
        <v>0</v>
      </c>
      <c r="U451" s="1">
        <f>Games[[#This Row],[PointsFor]]-Games[[#This Row],[PointsAgainst]]</f>
        <v>14</v>
      </c>
      <c r="V451" s="1">
        <f>IF(Games[[#This Row],[MOV]]&gt;0,1,IF(Games[[#This Row],[MOV]]=0,0.5,0))</f>
        <v>1</v>
      </c>
      <c r="W451" s="4">
        <f>((ABS(Games[[#This Row],[MOV]])+5)^0.6)/(12+0.01*(ABS(Games[[#This Row],[PreGmRate]]-Games[[#This Row],[OppPreGmRate]])))*IF(Games[[#This Row],[OT]]=1,0.9,1)</f>
        <v>0.42618382917949027</v>
      </c>
      <c r="X451" s="7" cm="1">
        <f t="array" ref="X45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1" s="9">
        <f>MAX(kmin, kmax - 0.15 * MIN(Games[[#This Row],[GamesPlayed]], 82))</f>
        <v>70.3</v>
      </c>
      <c r="Z451" s="4">
        <f>Games[[#This Row],[K]]*Games[[#This Row],[POMult]]</f>
        <v>70.3</v>
      </c>
      <c r="AA451" s="4">
        <f>(Games[[#This Row],[Keff]]*Games[[#This Row],[MOVMult]])*(Games[[#This Row],[Result]]-Games[[#This Row],[ExpectedWin%]])</f>
        <v>4.7731732123415096</v>
      </c>
      <c r="AB451" s="4">
        <f>Games[[#This Row],[PreGmRate]]+Games[[#This Row],[RatingChange]]</f>
        <v>1616.7113760926854</v>
      </c>
      <c r="AC451" s="2">
        <f>IF(Games[[#This Row],[Type]]="R",IF(Games[[#This Row],[Result]]&gt;0.5,1,0),0)</f>
        <v>1</v>
      </c>
      <c r="AD451" s="2">
        <f>IF(Games[[#This Row],[Type]]="R",IF(Games[[#This Row],[Result]]&lt;0.5,1,0),0)</f>
        <v>0</v>
      </c>
      <c r="AE451" s="2">
        <f>IF(AND(Games[[#This Row],[Type]]="P",Games[[#This Row],[Round]]=1),IF(Games[[#This Row],[Result]]&gt;0.5,1,0),0)</f>
        <v>0</v>
      </c>
      <c r="AF451" s="2">
        <f>IF(AND(Games[[#This Row],[Type]]="P",Games[[#This Row],[Round]]=1),IF(Games[[#This Row],[Result]]&lt;0.5,1,0),0)</f>
        <v>0</v>
      </c>
      <c r="AG451" s="2">
        <f>IF(AND(Games[[#This Row],[Type]]="P",Games[[#This Row],[Round]]=2),IF(Games[[#This Row],[Result]]&gt;0.5,1,0),0)</f>
        <v>0</v>
      </c>
      <c r="AH451" s="2">
        <f>IF(AND(Games[[#This Row],[Type]]="P",Games[[#This Row],[Round]]=2),IF(Games[[#This Row],[Result]]&lt;0.5,1,0),0)</f>
        <v>0</v>
      </c>
      <c r="AI451" s="2">
        <f>IF(AND(Games[[#This Row],[Type]]="P",Games[[#This Row],[Round]]=3),IF(Games[[#This Row],[Result]]&gt;0.5,1,0),0)</f>
        <v>0</v>
      </c>
      <c r="AJ451" s="2">
        <f>IF(AND(Games[[#This Row],[Type]]="P",Games[[#This Row],[Round]]=3),IF(Games[[#This Row],[Result]]&lt;0.5,1,0),0)</f>
        <v>0</v>
      </c>
      <c r="AK451" s="2">
        <f>IF(AND(Games[[#This Row],[Type]]="P",Games[[#This Row],[Round]]=4),IF(Games[[#This Row],[Result]]&gt;0.5,1,0),0)</f>
        <v>0</v>
      </c>
      <c r="AL451" s="2">
        <f>IF(AND(Games[[#This Row],[Type]]="P",Games[[#This Row],[Round]]=4),IF(Games[[#This Row],[Result]]&lt;0.5,1,0),0)</f>
        <v>0</v>
      </c>
    </row>
    <row r="452" spans="1:38" x14ac:dyDescent="0.35">
      <c r="A452" s="10">
        <v>45174</v>
      </c>
      <c r="B452" s="2">
        <v>2023</v>
      </c>
      <c r="C452" s="2">
        <f>COUNTIFS(Games[Team],Games[[#This Row],[Team]],Games[Season],Games[[#This Row],[Season]],Games[Date],"&lt;=" &amp; Games[[#This Row],[Date]])</f>
        <v>39</v>
      </c>
      <c r="D452" s="2" t="s">
        <v>79</v>
      </c>
      <c r="E452" s="2" t="s">
        <v>80</v>
      </c>
      <c r="F452" s="1" t="s">
        <v>60</v>
      </c>
      <c r="G452" s="1" t="s">
        <v>85</v>
      </c>
      <c r="H452" s="1" t="s">
        <v>81</v>
      </c>
      <c r="I452" s="2" cm="1">
        <f t="array" ref="I4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2" s="2" cm="1">
        <f t="array" ref="J4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2" s="2">
        <f>Games[[#This Row],[DaysOff]]-Games[[#This Row],[OppDaysOff]]</f>
        <v>0</v>
      </c>
      <c r="L452" s="2">
        <f>Games[[#This Row],[OppDaysOff]]-Games[[#This Row],[DaysOff]]</f>
        <v>0</v>
      </c>
      <c r="M452" s="1">
        <f>MAX(-16, MIN(16, Games[[#This Row],[RestDiff]]*8))</f>
        <v>0</v>
      </c>
      <c r="N452" s="1">
        <f>MAX(-16, MIN(16, Games[[#This Row],[OppRestDiff]]*8))</f>
        <v>0</v>
      </c>
      <c r="O452" s="4" cm="1">
        <f t="array" ref="O4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1747.0779312109075</v>
      </c>
      <c r="P452" s="4" cm="1">
        <f t="array" ref="P4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1541.9473057978594</v>
      </c>
      <c r="Q452" s="4">
        <f>1/(1+10^(((Games[[#This Row],[OppPreGmRate]]+IF(Games[[#This Row],[HomeAway]]="A",HCA,0)+Games[[#This Row],[OppRestAdj]])-(Games[[#This Row],[PreGmRate]]+IF(Games[[#This Row],[HomeAway]]="H",HCA,0)+Games[[#This Row],[RestAdj]]))/400))</f>
        <v>0.6675853098554505</v>
      </c>
      <c r="R452" s="1">
        <v>94</v>
      </c>
      <c r="S452" s="1">
        <v>93</v>
      </c>
      <c r="T452" s="1">
        <v>0</v>
      </c>
      <c r="U452" s="1">
        <f>Games[[#This Row],[PointsFor]]-Games[[#This Row],[PointsAgainst]]</f>
        <v>1</v>
      </c>
      <c r="V452" s="1">
        <f>IF(Games[[#This Row],[MOV]]&gt;0,1,IF(Games[[#This Row],[MOV]]=0,0.5,0))</f>
        <v>1</v>
      </c>
      <c r="W452" s="4">
        <f>((ABS(Games[[#This Row],[MOV]])+5)^0.6)/(12+0.01*(ABS(Games[[#This Row],[PreGmRate]]-Games[[#This Row],[OppPreGmRate]])))*IF(Games[[#This Row],[OT]]=1,0.9,1)</f>
        <v>0.20853264448080625</v>
      </c>
      <c r="X452" s="7" cm="1">
        <f t="array" ref="X45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2" s="9">
        <f>MAX(kmin, kmax - 0.15 * MIN(Games[[#This Row],[GamesPlayed]], 82))</f>
        <v>70.150000000000006</v>
      </c>
      <c r="Z452" s="4">
        <f>Games[[#This Row],[K]]*Games[[#This Row],[POMult]]</f>
        <v>70.150000000000006</v>
      </c>
      <c r="AA452" s="4">
        <f>(Games[[#This Row],[Keff]]*Games[[#This Row],[MOVMult]])*(Games[[#This Row],[Result]]-Games[[#This Row],[ExpectedWin%]])</f>
        <v>4.8627499051677665</v>
      </c>
      <c r="AB452" s="4">
        <f>Games[[#This Row],[PreGmRate]]+Games[[#This Row],[RatingChange]]</f>
        <v>1751.9406811160752</v>
      </c>
      <c r="AC452" s="2">
        <f>IF(Games[[#This Row],[Type]]="R",IF(Games[[#This Row],[Result]]&gt;0.5,1,0),0)</f>
        <v>1</v>
      </c>
      <c r="AD452" s="2">
        <f>IF(Games[[#This Row],[Type]]="R",IF(Games[[#This Row],[Result]]&lt;0.5,1,0),0)</f>
        <v>0</v>
      </c>
      <c r="AE452" s="2">
        <f>IF(AND(Games[[#This Row],[Type]]="P",Games[[#This Row],[Round]]=1),IF(Games[[#This Row],[Result]]&gt;0.5,1,0),0)</f>
        <v>0</v>
      </c>
      <c r="AF452" s="2">
        <f>IF(AND(Games[[#This Row],[Type]]="P",Games[[#This Row],[Round]]=1),IF(Games[[#This Row],[Result]]&lt;0.5,1,0),0)</f>
        <v>0</v>
      </c>
      <c r="AG452" s="2">
        <f>IF(AND(Games[[#This Row],[Type]]="P",Games[[#This Row],[Round]]=2),IF(Games[[#This Row],[Result]]&gt;0.5,1,0),0)</f>
        <v>0</v>
      </c>
      <c r="AH452" s="2">
        <f>IF(AND(Games[[#This Row],[Type]]="P",Games[[#This Row],[Round]]=2),IF(Games[[#This Row],[Result]]&lt;0.5,1,0),0)</f>
        <v>0</v>
      </c>
      <c r="AI452" s="2">
        <f>IF(AND(Games[[#This Row],[Type]]="P",Games[[#This Row],[Round]]=3),IF(Games[[#This Row],[Result]]&gt;0.5,1,0),0)</f>
        <v>0</v>
      </c>
      <c r="AJ452" s="2">
        <f>IF(AND(Games[[#This Row],[Type]]="P",Games[[#This Row],[Round]]=3),IF(Games[[#This Row],[Result]]&lt;0.5,1,0),0)</f>
        <v>0</v>
      </c>
      <c r="AK452" s="2">
        <f>IF(AND(Games[[#This Row],[Type]]="P",Games[[#This Row],[Round]]=4),IF(Games[[#This Row],[Result]]&gt;0.5,1,0),0)</f>
        <v>0</v>
      </c>
      <c r="AL452" s="2">
        <f>IF(AND(Games[[#This Row],[Type]]="P",Games[[#This Row],[Round]]=4),IF(Games[[#This Row],[Result]]&lt;0.5,1,0),0)</f>
        <v>0</v>
      </c>
    </row>
    <row r="453" spans="1:38" x14ac:dyDescent="0.35">
      <c r="A453" s="10">
        <v>45174</v>
      </c>
      <c r="B453" s="2">
        <v>2023</v>
      </c>
      <c r="C453" s="2">
        <f>COUNTIFS(Games[Team],Games[[#This Row],[Team]],Games[Season],Games[[#This Row],[Season]],Games[Date],"&lt;=" &amp; Games[[#This Row],[Date]])</f>
        <v>38</v>
      </c>
      <c r="D453" s="2" t="s">
        <v>79</v>
      </c>
      <c r="E453" s="2" t="s">
        <v>80</v>
      </c>
      <c r="F453" s="1" t="s">
        <v>85</v>
      </c>
      <c r="G453" s="1" t="s">
        <v>60</v>
      </c>
      <c r="H453" s="1" t="s">
        <v>82</v>
      </c>
      <c r="I453" s="2" cm="1">
        <f t="array" ref="I4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3" s="2" cm="1">
        <f t="array" ref="J4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3" s="2">
        <f>Games[[#This Row],[DaysOff]]-Games[[#This Row],[OppDaysOff]]</f>
        <v>0</v>
      </c>
      <c r="L453" s="2">
        <f>Games[[#This Row],[OppDaysOff]]-Games[[#This Row],[DaysOff]]</f>
        <v>0</v>
      </c>
      <c r="M453" s="1">
        <f>MAX(-16, MIN(16, Games[[#This Row],[RestDiff]]*8))</f>
        <v>0</v>
      </c>
      <c r="N453" s="1">
        <f>MAX(-16, MIN(16, Games[[#This Row],[OppRestDiff]]*8))</f>
        <v>0</v>
      </c>
      <c r="O453" s="4" cm="1">
        <f t="array" ref="O4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1541.9473057978594</v>
      </c>
      <c r="P453" s="4" cm="1">
        <f t="array" ref="P4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1747.0779312109075</v>
      </c>
      <c r="Q453" s="4">
        <f>1/(1+10^(((Games[[#This Row],[OppPreGmRate]]+IF(Games[[#This Row],[HomeAway]]="A",HCA,0)+Games[[#This Row],[OppRestAdj]])-(Games[[#This Row],[PreGmRate]]+IF(Games[[#This Row],[HomeAway]]="H",HCA,0)+Games[[#This Row],[RestAdj]]))/400))</f>
        <v>0.33241469014454944</v>
      </c>
      <c r="R453" s="1">
        <v>93</v>
      </c>
      <c r="S453" s="1">
        <v>94</v>
      </c>
      <c r="T453" s="1">
        <v>0</v>
      </c>
      <c r="U453" s="1">
        <f>Games[[#This Row],[PointsFor]]-Games[[#This Row],[PointsAgainst]]</f>
        <v>-1</v>
      </c>
      <c r="V453" s="1">
        <f>IF(Games[[#This Row],[MOV]]&gt;0,1,IF(Games[[#This Row],[MOV]]=0,0.5,0))</f>
        <v>0</v>
      </c>
      <c r="W453" s="4">
        <f>((ABS(Games[[#This Row],[MOV]])+5)^0.6)/(12+0.01*(ABS(Games[[#This Row],[PreGmRate]]-Games[[#This Row],[OppPreGmRate]])))*IF(Games[[#This Row],[OT]]=1,0.9,1)</f>
        <v>0.20853264448080625</v>
      </c>
      <c r="X453" s="7" cm="1">
        <f t="array" ref="X45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3" s="9">
        <f>MAX(kmin, kmax - 0.15 * MIN(Games[[#This Row],[GamesPlayed]], 82))</f>
        <v>70.3</v>
      </c>
      <c r="Z453" s="4">
        <f>Games[[#This Row],[K]]*Games[[#This Row],[POMult]]</f>
        <v>70.3</v>
      </c>
      <c r="AA453" s="4">
        <f>(Games[[#This Row],[Keff]]*Games[[#This Row],[MOVMult]])*(Games[[#This Row],[Result]]-Games[[#This Row],[ExpectedWin%]])</f>
        <v>-4.8731478023277814</v>
      </c>
      <c r="AB453" s="4">
        <f>Games[[#This Row],[PreGmRate]]+Games[[#This Row],[RatingChange]]</f>
        <v>1537.0741579955316</v>
      </c>
      <c r="AC453" s="2">
        <f>IF(Games[[#This Row],[Type]]="R",IF(Games[[#This Row],[Result]]&gt;0.5,1,0),0)</f>
        <v>0</v>
      </c>
      <c r="AD453" s="2">
        <f>IF(Games[[#This Row],[Type]]="R",IF(Games[[#This Row],[Result]]&lt;0.5,1,0),0)</f>
        <v>1</v>
      </c>
      <c r="AE453" s="2">
        <f>IF(AND(Games[[#This Row],[Type]]="P",Games[[#This Row],[Round]]=1),IF(Games[[#This Row],[Result]]&gt;0.5,1,0),0)</f>
        <v>0</v>
      </c>
      <c r="AF453" s="2">
        <f>IF(AND(Games[[#This Row],[Type]]="P",Games[[#This Row],[Round]]=1),IF(Games[[#This Row],[Result]]&lt;0.5,1,0),0)</f>
        <v>0</v>
      </c>
      <c r="AG453" s="2">
        <f>IF(AND(Games[[#This Row],[Type]]="P",Games[[#This Row],[Round]]=2),IF(Games[[#This Row],[Result]]&gt;0.5,1,0),0)</f>
        <v>0</v>
      </c>
      <c r="AH453" s="2">
        <f>IF(AND(Games[[#This Row],[Type]]="P",Games[[#This Row],[Round]]=2),IF(Games[[#This Row],[Result]]&lt;0.5,1,0),0)</f>
        <v>0</v>
      </c>
      <c r="AI453" s="2">
        <f>IF(AND(Games[[#This Row],[Type]]="P",Games[[#This Row],[Round]]=3),IF(Games[[#This Row],[Result]]&gt;0.5,1,0),0)</f>
        <v>0</v>
      </c>
      <c r="AJ453" s="2">
        <f>IF(AND(Games[[#This Row],[Type]]="P",Games[[#This Row],[Round]]=3),IF(Games[[#This Row],[Result]]&lt;0.5,1,0),0)</f>
        <v>0</v>
      </c>
      <c r="AK453" s="2">
        <f>IF(AND(Games[[#This Row],[Type]]="P",Games[[#This Row],[Round]]=4),IF(Games[[#This Row],[Result]]&gt;0.5,1,0),0)</f>
        <v>0</v>
      </c>
      <c r="AL453" s="2">
        <f>IF(AND(Games[[#This Row],[Type]]="P",Games[[#This Row],[Round]]=4),IF(Games[[#This Row],[Result]]&lt;0.5,1,0),0)</f>
        <v>0</v>
      </c>
    </row>
    <row r="454" spans="1:38" x14ac:dyDescent="0.35">
      <c r="A454" s="10">
        <v>45174</v>
      </c>
      <c r="B454" s="2">
        <v>2023</v>
      </c>
      <c r="C454" s="2">
        <f>COUNTIFS(Games[Team],Games[[#This Row],[Team]],Games[Season],Games[[#This Row],[Season]],Games[Date],"&lt;=" &amp; Games[[#This Row],[Date]])</f>
        <v>38</v>
      </c>
      <c r="D454" s="2" t="s">
        <v>79</v>
      </c>
      <c r="E454" s="2" t="s">
        <v>80</v>
      </c>
      <c r="F454" s="1" t="s">
        <v>75</v>
      </c>
      <c r="G454" s="1" t="s">
        <v>69</v>
      </c>
      <c r="H454" s="1" t="s">
        <v>81</v>
      </c>
      <c r="I454" s="2" cm="1">
        <f t="array" ref="I4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4" s="2" cm="1">
        <f t="array" ref="J4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4" s="2">
        <f>Games[[#This Row],[DaysOff]]-Games[[#This Row],[OppDaysOff]]</f>
        <v>0</v>
      </c>
      <c r="L454" s="2">
        <f>Games[[#This Row],[OppDaysOff]]-Games[[#This Row],[DaysOff]]</f>
        <v>0</v>
      </c>
      <c r="M454" s="1">
        <f>MAX(-16, MIN(16, Games[[#This Row],[RestDiff]]*8))</f>
        <v>0</v>
      </c>
      <c r="N454" s="1">
        <f>MAX(-16, MIN(16, Games[[#This Row],[OppRestDiff]]*8))</f>
        <v>0</v>
      </c>
      <c r="O454" s="4" cm="1">
        <f t="array" ref="O4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1461.7510197499062</v>
      </c>
      <c r="P454" s="4" cm="1">
        <f t="array" ref="P4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1363.8108410476329</v>
      </c>
      <c r="Q454" s="4">
        <f>1/(1+10^(((Games[[#This Row],[OppPreGmRate]]+IF(Games[[#This Row],[HomeAway]]="A",HCA,0)+Games[[#This Row],[OppRestAdj]])-(Games[[#This Row],[PreGmRate]]+IF(Games[[#This Row],[HomeAway]]="H",HCA,0)+Games[[#This Row],[RestAdj]]))/400))</f>
        <v>0.52005077130624189</v>
      </c>
      <c r="R454" s="1">
        <v>96</v>
      </c>
      <c r="S454" s="1">
        <v>69</v>
      </c>
      <c r="T454" s="1">
        <v>0</v>
      </c>
      <c r="U454" s="1">
        <f>Games[[#This Row],[PointsFor]]-Games[[#This Row],[PointsAgainst]]</f>
        <v>27</v>
      </c>
      <c r="V454" s="1">
        <f>IF(Games[[#This Row],[MOV]]&gt;0,1,IF(Games[[#This Row],[MOV]]=0,0.5,0))</f>
        <v>1</v>
      </c>
      <c r="W454" s="4">
        <f>((ABS(Games[[#This Row],[MOV]])+5)^0.6)/(12+0.01*(ABS(Games[[#This Row],[PreGmRate]]-Games[[#This Row],[OppPreGmRate]])))*IF(Games[[#This Row],[OT]]=1,0.9,1)</f>
        <v>0.61636122613899536</v>
      </c>
      <c r="X454" s="7" cm="1">
        <f t="array" ref="X45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4" s="9">
        <f>MAX(kmin, kmax - 0.15 * MIN(Games[[#This Row],[GamesPlayed]], 82))</f>
        <v>70.3</v>
      </c>
      <c r="Z454" s="4">
        <f>Games[[#This Row],[K]]*Games[[#This Row],[POMult]]</f>
        <v>70.3</v>
      </c>
      <c r="AA454" s="4">
        <f>(Games[[#This Row],[Keff]]*Games[[#This Row],[MOVMult]])*(Games[[#This Row],[Result]]-Games[[#This Row],[ExpectedWin%]])</f>
        <v>20.796293284275134</v>
      </c>
      <c r="AB454" s="4">
        <f>Games[[#This Row],[PreGmRate]]+Games[[#This Row],[RatingChange]]</f>
        <v>1482.5473130341813</v>
      </c>
      <c r="AC454" s="2">
        <f>IF(Games[[#This Row],[Type]]="R",IF(Games[[#This Row],[Result]]&gt;0.5,1,0),0)</f>
        <v>1</v>
      </c>
      <c r="AD454" s="2">
        <f>IF(Games[[#This Row],[Type]]="R",IF(Games[[#This Row],[Result]]&lt;0.5,1,0),0)</f>
        <v>0</v>
      </c>
      <c r="AE454" s="2">
        <f>IF(AND(Games[[#This Row],[Type]]="P",Games[[#This Row],[Round]]=1),IF(Games[[#This Row],[Result]]&gt;0.5,1,0),0)</f>
        <v>0</v>
      </c>
      <c r="AF454" s="2">
        <f>IF(AND(Games[[#This Row],[Type]]="P",Games[[#This Row],[Round]]=1),IF(Games[[#This Row],[Result]]&lt;0.5,1,0),0)</f>
        <v>0</v>
      </c>
      <c r="AG454" s="2">
        <f>IF(AND(Games[[#This Row],[Type]]="P",Games[[#This Row],[Round]]=2),IF(Games[[#This Row],[Result]]&gt;0.5,1,0),0)</f>
        <v>0</v>
      </c>
      <c r="AH454" s="2">
        <f>IF(AND(Games[[#This Row],[Type]]="P",Games[[#This Row],[Round]]=2),IF(Games[[#This Row],[Result]]&lt;0.5,1,0),0)</f>
        <v>0</v>
      </c>
      <c r="AI454" s="2">
        <f>IF(AND(Games[[#This Row],[Type]]="P",Games[[#This Row],[Round]]=3),IF(Games[[#This Row],[Result]]&gt;0.5,1,0),0)</f>
        <v>0</v>
      </c>
      <c r="AJ454" s="2">
        <f>IF(AND(Games[[#This Row],[Type]]="P",Games[[#This Row],[Round]]=3),IF(Games[[#This Row],[Result]]&lt;0.5,1,0),0)</f>
        <v>0</v>
      </c>
      <c r="AK454" s="2">
        <f>IF(AND(Games[[#This Row],[Type]]="P",Games[[#This Row],[Round]]=4),IF(Games[[#This Row],[Result]]&gt;0.5,1,0),0)</f>
        <v>0</v>
      </c>
      <c r="AL454" s="2">
        <f>IF(AND(Games[[#This Row],[Type]]="P",Games[[#This Row],[Round]]=4),IF(Games[[#This Row],[Result]]&lt;0.5,1,0),0)</f>
        <v>0</v>
      </c>
    </row>
    <row r="455" spans="1:38" x14ac:dyDescent="0.35">
      <c r="A455" s="10">
        <v>45174</v>
      </c>
      <c r="B455" s="2">
        <v>2023</v>
      </c>
      <c r="C455" s="2">
        <f>COUNTIFS(Games[Team],Games[[#This Row],[Team]],Games[Season],Games[[#This Row],[Season]],Games[Date],"&lt;=" &amp; Games[[#This Row],[Date]])</f>
        <v>38</v>
      </c>
      <c r="D455" s="2" t="s">
        <v>79</v>
      </c>
      <c r="E455" s="2" t="s">
        <v>80</v>
      </c>
      <c r="F455" s="1" t="s">
        <v>69</v>
      </c>
      <c r="G455" s="1" t="s">
        <v>75</v>
      </c>
      <c r="H455" s="1" t="s">
        <v>82</v>
      </c>
      <c r="I455" s="2" cm="1">
        <f t="array" ref="I4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5" s="2" cm="1">
        <f t="array" ref="J4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5" s="2">
        <f>Games[[#This Row],[DaysOff]]-Games[[#This Row],[OppDaysOff]]</f>
        <v>0</v>
      </c>
      <c r="L455" s="2">
        <f>Games[[#This Row],[OppDaysOff]]-Games[[#This Row],[DaysOff]]</f>
        <v>0</v>
      </c>
      <c r="M455" s="1">
        <f>MAX(-16, MIN(16, Games[[#This Row],[RestDiff]]*8))</f>
        <v>0</v>
      </c>
      <c r="N455" s="1">
        <f>MAX(-16, MIN(16, Games[[#This Row],[OppRestDiff]]*8))</f>
        <v>0</v>
      </c>
      <c r="O455" s="4" cm="1">
        <f t="array" ref="O4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1363.8108410476329</v>
      </c>
      <c r="P455" s="4" cm="1">
        <f t="array" ref="P4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1461.7510197499062</v>
      </c>
      <c r="Q455" s="4">
        <f>1/(1+10^(((Games[[#This Row],[OppPreGmRate]]+IF(Games[[#This Row],[HomeAway]]="A",HCA,0)+Games[[#This Row],[OppRestAdj]])-(Games[[#This Row],[PreGmRate]]+IF(Games[[#This Row],[HomeAway]]="H",HCA,0)+Games[[#This Row],[RestAdj]]))/400))</f>
        <v>0.47994922869375811</v>
      </c>
      <c r="R455" s="1">
        <v>69</v>
      </c>
      <c r="S455" s="1">
        <v>96</v>
      </c>
      <c r="T455" s="1">
        <v>0</v>
      </c>
      <c r="U455" s="1">
        <f>Games[[#This Row],[PointsFor]]-Games[[#This Row],[PointsAgainst]]</f>
        <v>-27</v>
      </c>
      <c r="V455" s="1">
        <f>IF(Games[[#This Row],[MOV]]&gt;0,1,IF(Games[[#This Row],[MOV]]=0,0.5,0))</f>
        <v>0</v>
      </c>
      <c r="W455" s="4">
        <f>((ABS(Games[[#This Row],[MOV]])+5)^0.6)/(12+0.01*(ABS(Games[[#This Row],[PreGmRate]]-Games[[#This Row],[OppPreGmRate]])))*IF(Games[[#This Row],[OT]]=1,0.9,1)</f>
        <v>0.61636122613899536</v>
      </c>
      <c r="X455" s="7" cm="1">
        <f t="array" ref="X45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5" s="9">
        <f>MAX(kmin, kmax - 0.15 * MIN(Games[[#This Row],[GamesPlayed]], 82))</f>
        <v>70.3</v>
      </c>
      <c r="Z455" s="4">
        <f>Games[[#This Row],[K]]*Games[[#This Row],[POMult]]</f>
        <v>70.3</v>
      </c>
      <c r="AA455" s="4">
        <f>(Games[[#This Row],[Keff]]*Games[[#This Row],[MOVMult]])*(Games[[#This Row],[Result]]-Games[[#This Row],[ExpectedWin%]])</f>
        <v>-20.796293284275134</v>
      </c>
      <c r="AB455" s="4">
        <f>Games[[#This Row],[PreGmRate]]+Games[[#This Row],[RatingChange]]</f>
        <v>1343.0145477633578</v>
      </c>
      <c r="AC455" s="2">
        <f>IF(Games[[#This Row],[Type]]="R",IF(Games[[#This Row],[Result]]&gt;0.5,1,0),0)</f>
        <v>0</v>
      </c>
      <c r="AD455" s="2">
        <f>IF(Games[[#This Row],[Type]]="R",IF(Games[[#This Row],[Result]]&lt;0.5,1,0),0)</f>
        <v>1</v>
      </c>
      <c r="AE455" s="2">
        <f>IF(AND(Games[[#This Row],[Type]]="P",Games[[#This Row],[Round]]=1),IF(Games[[#This Row],[Result]]&gt;0.5,1,0),0)</f>
        <v>0</v>
      </c>
      <c r="AF455" s="2">
        <f>IF(AND(Games[[#This Row],[Type]]="P",Games[[#This Row],[Round]]=1),IF(Games[[#This Row],[Result]]&lt;0.5,1,0),0)</f>
        <v>0</v>
      </c>
      <c r="AG455" s="2">
        <f>IF(AND(Games[[#This Row],[Type]]="P",Games[[#This Row],[Round]]=2),IF(Games[[#This Row],[Result]]&gt;0.5,1,0),0)</f>
        <v>0</v>
      </c>
      <c r="AH455" s="2">
        <f>IF(AND(Games[[#This Row],[Type]]="P",Games[[#This Row],[Round]]=2),IF(Games[[#This Row],[Result]]&lt;0.5,1,0),0)</f>
        <v>0</v>
      </c>
      <c r="AI455" s="2">
        <f>IF(AND(Games[[#This Row],[Type]]="P",Games[[#This Row],[Round]]=3),IF(Games[[#This Row],[Result]]&gt;0.5,1,0),0)</f>
        <v>0</v>
      </c>
      <c r="AJ455" s="2">
        <f>IF(AND(Games[[#This Row],[Type]]="P",Games[[#This Row],[Round]]=3),IF(Games[[#This Row],[Result]]&lt;0.5,1,0),0)</f>
        <v>0</v>
      </c>
      <c r="AK455" s="2">
        <f>IF(AND(Games[[#This Row],[Type]]="P",Games[[#This Row],[Round]]=4),IF(Games[[#This Row],[Result]]&gt;0.5,1,0),0)</f>
        <v>0</v>
      </c>
      <c r="AL455" s="2">
        <f>IF(AND(Games[[#This Row],[Type]]="P",Games[[#This Row],[Round]]=4),IF(Games[[#This Row],[Result]]&lt;0.5,1,0),0)</f>
        <v>0</v>
      </c>
    </row>
    <row r="456" spans="1:38" x14ac:dyDescent="0.35">
      <c r="A456" s="10">
        <v>45174</v>
      </c>
      <c r="B456" s="2">
        <v>2023</v>
      </c>
      <c r="C456" s="2">
        <f>COUNTIFS(Games[Team],Games[[#This Row],[Team]],Games[Season],Games[[#This Row],[Season]],Games[Date],"&lt;=" &amp; Games[[#This Row],[Date]])</f>
        <v>38</v>
      </c>
      <c r="D456" s="2" t="s">
        <v>79</v>
      </c>
      <c r="E456" s="2" t="s">
        <v>80</v>
      </c>
      <c r="F456" s="1" t="s">
        <v>65</v>
      </c>
      <c r="G456" s="1" t="s">
        <v>40</v>
      </c>
      <c r="H456" s="1" t="s">
        <v>81</v>
      </c>
      <c r="I456" s="2" cm="1">
        <f t="array" ref="I4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6" s="2" cm="1">
        <f t="array" ref="J4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6" s="2">
        <f>Games[[#This Row],[DaysOff]]-Games[[#This Row],[OppDaysOff]]</f>
        <v>0</v>
      </c>
      <c r="L456" s="2">
        <f>Games[[#This Row],[OppDaysOff]]-Games[[#This Row],[DaysOff]]</f>
        <v>0</v>
      </c>
      <c r="M456" s="1">
        <f>MAX(-16, MIN(16, Games[[#This Row],[RestDiff]]*8))</f>
        <v>0</v>
      </c>
      <c r="N456" s="1">
        <f>MAX(-16, MIN(16, Games[[#This Row],[OppRestDiff]]*8))</f>
        <v>0</v>
      </c>
      <c r="O456" s="4" cm="1">
        <f t="array" ref="O4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1463.682322233795</v>
      </c>
      <c r="P456" s="4" cm="1">
        <f t="array" ref="P4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1323.6213490151695</v>
      </c>
      <c r="Q456" s="4">
        <f>1/(1+10^(((Games[[#This Row],[OppPreGmRate]]+IF(Games[[#This Row],[HomeAway]]="A",HCA,0)+Games[[#This Row],[OppRestAdj]])-(Games[[#This Row],[PreGmRate]]+IF(Games[[#This Row],[HomeAway]]="H",HCA,0)+Games[[#This Row],[RestAdj]]))/400))</f>
        <v>0.5799852647636744</v>
      </c>
      <c r="R456" s="1">
        <v>100</v>
      </c>
      <c r="S456" s="1">
        <v>77</v>
      </c>
      <c r="T456" s="1">
        <v>0</v>
      </c>
      <c r="U456" s="1">
        <f>Games[[#This Row],[PointsFor]]-Games[[#This Row],[PointsAgainst]]</f>
        <v>23</v>
      </c>
      <c r="V456" s="1">
        <f>IF(Games[[#This Row],[MOV]]&gt;0,1,IF(Games[[#This Row],[MOV]]=0,0.5,0))</f>
        <v>1</v>
      </c>
      <c r="W456" s="4">
        <f>((ABS(Games[[#This Row],[MOV]])+5)^0.6)/(12+0.01*(ABS(Games[[#This Row],[PreGmRate]]-Games[[#This Row],[OppPreGmRate]])))*IF(Games[[#This Row],[OT]]=1,0.9,1)</f>
        <v>0.55102367566214783</v>
      </c>
      <c r="X456" s="7" cm="1">
        <f t="array" ref="X45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6" s="9">
        <f>MAX(kmin, kmax - 0.15 * MIN(Games[[#This Row],[GamesPlayed]], 82))</f>
        <v>70.3</v>
      </c>
      <c r="Z456" s="4">
        <f>Games[[#This Row],[K]]*Games[[#This Row],[POMult]]</f>
        <v>70.3</v>
      </c>
      <c r="AA456" s="4">
        <f>(Games[[#This Row],[Keff]]*Games[[#This Row],[MOVMult]])*(Games[[#This Row],[Result]]-Games[[#This Row],[ExpectedWin%]])</f>
        <v>16.270095845925532</v>
      </c>
      <c r="AB456" s="4">
        <f>Games[[#This Row],[PreGmRate]]+Games[[#This Row],[RatingChange]]</f>
        <v>1479.9524180797205</v>
      </c>
      <c r="AC456" s="2">
        <f>IF(Games[[#This Row],[Type]]="R",IF(Games[[#This Row],[Result]]&gt;0.5,1,0),0)</f>
        <v>1</v>
      </c>
      <c r="AD456" s="2">
        <f>IF(Games[[#This Row],[Type]]="R",IF(Games[[#This Row],[Result]]&lt;0.5,1,0),0)</f>
        <v>0</v>
      </c>
      <c r="AE456" s="2">
        <f>IF(AND(Games[[#This Row],[Type]]="P",Games[[#This Row],[Round]]=1),IF(Games[[#This Row],[Result]]&gt;0.5,1,0),0)</f>
        <v>0</v>
      </c>
      <c r="AF456" s="2">
        <f>IF(AND(Games[[#This Row],[Type]]="P",Games[[#This Row],[Round]]=1),IF(Games[[#This Row],[Result]]&lt;0.5,1,0),0)</f>
        <v>0</v>
      </c>
      <c r="AG456" s="2">
        <f>IF(AND(Games[[#This Row],[Type]]="P",Games[[#This Row],[Round]]=2),IF(Games[[#This Row],[Result]]&gt;0.5,1,0),0)</f>
        <v>0</v>
      </c>
      <c r="AH456" s="2">
        <f>IF(AND(Games[[#This Row],[Type]]="P",Games[[#This Row],[Round]]=2),IF(Games[[#This Row],[Result]]&lt;0.5,1,0),0)</f>
        <v>0</v>
      </c>
      <c r="AI456" s="2">
        <f>IF(AND(Games[[#This Row],[Type]]="P",Games[[#This Row],[Round]]=3),IF(Games[[#This Row],[Result]]&gt;0.5,1,0),0)</f>
        <v>0</v>
      </c>
      <c r="AJ456" s="2">
        <f>IF(AND(Games[[#This Row],[Type]]="P",Games[[#This Row],[Round]]=3),IF(Games[[#This Row],[Result]]&lt;0.5,1,0),0)</f>
        <v>0</v>
      </c>
      <c r="AK456" s="2">
        <f>IF(AND(Games[[#This Row],[Type]]="P",Games[[#This Row],[Round]]=4),IF(Games[[#This Row],[Result]]&gt;0.5,1,0),0)</f>
        <v>0</v>
      </c>
      <c r="AL456" s="2">
        <f>IF(AND(Games[[#This Row],[Type]]="P",Games[[#This Row],[Round]]=4),IF(Games[[#This Row],[Result]]&lt;0.5,1,0),0)</f>
        <v>0</v>
      </c>
    </row>
    <row r="457" spans="1:38" x14ac:dyDescent="0.35">
      <c r="A457" s="10">
        <v>45174</v>
      </c>
      <c r="B457" s="2">
        <v>2023</v>
      </c>
      <c r="C457" s="2">
        <f>COUNTIFS(Games[Team],Games[[#This Row],[Team]],Games[Season],Games[[#This Row],[Season]],Games[Date],"&lt;=" &amp; Games[[#This Row],[Date]])</f>
        <v>38</v>
      </c>
      <c r="D457" s="2" t="s">
        <v>79</v>
      </c>
      <c r="E457" s="2" t="s">
        <v>80</v>
      </c>
      <c r="F457" s="1" t="s">
        <v>40</v>
      </c>
      <c r="G457" s="1" t="s">
        <v>65</v>
      </c>
      <c r="H457" s="1" t="s">
        <v>82</v>
      </c>
      <c r="I457" s="2" cm="1">
        <f t="array" ref="I4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7" s="2" cm="1">
        <f t="array" ref="J4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7" s="2">
        <f>Games[[#This Row],[DaysOff]]-Games[[#This Row],[OppDaysOff]]</f>
        <v>0</v>
      </c>
      <c r="L457" s="2">
        <f>Games[[#This Row],[OppDaysOff]]-Games[[#This Row],[DaysOff]]</f>
        <v>0</v>
      </c>
      <c r="M457" s="1">
        <f>MAX(-16, MIN(16, Games[[#This Row],[RestDiff]]*8))</f>
        <v>0</v>
      </c>
      <c r="N457" s="1">
        <f>MAX(-16, MIN(16, Games[[#This Row],[OppRestDiff]]*8))</f>
        <v>0</v>
      </c>
      <c r="O457" s="4" cm="1">
        <f t="array" ref="O4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1323.6213490151695</v>
      </c>
      <c r="P457" s="4" cm="1">
        <f t="array" ref="P4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1463.682322233795</v>
      </c>
      <c r="Q457" s="4">
        <f>1/(1+10^(((Games[[#This Row],[OppPreGmRate]]+IF(Games[[#This Row],[HomeAway]]="A",HCA,0)+Games[[#This Row],[OppRestAdj]])-(Games[[#This Row],[PreGmRate]]+IF(Games[[#This Row],[HomeAway]]="H",HCA,0)+Games[[#This Row],[RestAdj]]))/400))</f>
        <v>0.42001473523632554</v>
      </c>
      <c r="R457" s="1">
        <v>77</v>
      </c>
      <c r="S457" s="1">
        <v>100</v>
      </c>
      <c r="T457" s="1">
        <v>0</v>
      </c>
      <c r="U457" s="1">
        <f>Games[[#This Row],[PointsFor]]-Games[[#This Row],[PointsAgainst]]</f>
        <v>-23</v>
      </c>
      <c r="V457" s="1">
        <f>IF(Games[[#This Row],[MOV]]&gt;0,1,IF(Games[[#This Row],[MOV]]=0,0.5,0))</f>
        <v>0</v>
      </c>
      <c r="W457" s="4">
        <f>((ABS(Games[[#This Row],[MOV]])+5)^0.6)/(12+0.01*(ABS(Games[[#This Row],[PreGmRate]]-Games[[#This Row],[OppPreGmRate]])))*IF(Games[[#This Row],[OT]]=1,0.9,1)</f>
        <v>0.55102367566214783</v>
      </c>
      <c r="X457" s="7" cm="1">
        <f t="array" ref="X45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7" s="9">
        <f>MAX(kmin, kmax - 0.15 * MIN(Games[[#This Row],[GamesPlayed]], 82))</f>
        <v>70.3</v>
      </c>
      <c r="Z457" s="4">
        <f>Games[[#This Row],[K]]*Games[[#This Row],[POMult]]</f>
        <v>70.3</v>
      </c>
      <c r="AA457" s="4">
        <f>(Games[[#This Row],[Keff]]*Games[[#This Row],[MOVMult]])*(Games[[#This Row],[Result]]-Games[[#This Row],[ExpectedWin%]])</f>
        <v>-16.270095845925532</v>
      </c>
      <c r="AB457" s="4">
        <f>Games[[#This Row],[PreGmRate]]+Games[[#This Row],[RatingChange]]</f>
        <v>1307.351253169244</v>
      </c>
      <c r="AC457" s="2">
        <f>IF(Games[[#This Row],[Type]]="R",IF(Games[[#This Row],[Result]]&gt;0.5,1,0),0)</f>
        <v>0</v>
      </c>
      <c r="AD457" s="2">
        <f>IF(Games[[#This Row],[Type]]="R",IF(Games[[#This Row],[Result]]&lt;0.5,1,0),0)</f>
        <v>1</v>
      </c>
      <c r="AE457" s="2">
        <f>IF(AND(Games[[#This Row],[Type]]="P",Games[[#This Row],[Round]]=1),IF(Games[[#This Row],[Result]]&gt;0.5,1,0),0)</f>
        <v>0</v>
      </c>
      <c r="AF457" s="2">
        <f>IF(AND(Games[[#This Row],[Type]]="P",Games[[#This Row],[Round]]=1),IF(Games[[#This Row],[Result]]&lt;0.5,1,0),0)</f>
        <v>0</v>
      </c>
      <c r="AG457" s="2">
        <f>IF(AND(Games[[#This Row],[Type]]="P",Games[[#This Row],[Round]]=2),IF(Games[[#This Row],[Result]]&gt;0.5,1,0),0)</f>
        <v>0</v>
      </c>
      <c r="AH457" s="2">
        <f>IF(AND(Games[[#This Row],[Type]]="P",Games[[#This Row],[Round]]=2),IF(Games[[#This Row],[Result]]&lt;0.5,1,0),0)</f>
        <v>0</v>
      </c>
      <c r="AI457" s="2">
        <f>IF(AND(Games[[#This Row],[Type]]="P",Games[[#This Row],[Round]]=3),IF(Games[[#This Row],[Result]]&gt;0.5,1,0),0)</f>
        <v>0</v>
      </c>
      <c r="AJ457" s="2">
        <f>IF(AND(Games[[#This Row],[Type]]="P",Games[[#This Row],[Round]]=3),IF(Games[[#This Row],[Result]]&lt;0.5,1,0),0)</f>
        <v>0</v>
      </c>
      <c r="AK457" s="2">
        <f>IF(AND(Games[[#This Row],[Type]]="P",Games[[#This Row],[Round]]=4),IF(Games[[#This Row],[Result]]&gt;0.5,1,0),0)</f>
        <v>0</v>
      </c>
      <c r="AL457" s="2">
        <f>IF(AND(Games[[#This Row],[Type]]="P",Games[[#This Row],[Round]]=4),IF(Games[[#This Row],[Result]]&lt;0.5,1,0),0)</f>
        <v>0</v>
      </c>
    </row>
    <row r="458" spans="1:38" x14ac:dyDescent="0.35">
      <c r="A458" s="10">
        <v>45175</v>
      </c>
      <c r="B458" s="2">
        <v>2023</v>
      </c>
      <c r="C458" s="2">
        <f>COUNTIFS(Games[Team],Games[[#This Row],[Team]],Games[Season],Games[[#This Row],[Season]],Games[Date],"&lt;=" &amp; Games[[#This Row],[Date]])</f>
        <v>38</v>
      </c>
      <c r="D458" s="2" t="s">
        <v>79</v>
      </c>
      <c r="E458" s="2" t="s">
        <v>80</v>
      </c>
      <c r="F458" s="1" t="s">
        <v>71</v>
      </c>
      <c r="G458" s="1" t="s">
        <v>77</v>
      </c>
      <c r="H458" s="1" t="s">
        <v>81</v>
      </c>
      <c r="I458" s="2" cm="1">
        <f t="array" ref="I458">IFERROR(
    Games[[#This Row],[Date]]
    - LOOKUP(
        2,
        1/((Games[Team]=Games[[#This Row],[Team]]) * (Games[Date] &lt; Games[[#This Row],[Date]])),
        Games[Date]
    )
    - 1,
Games[[#This Row],[Date]]-$A$2)</f>
        <v>3</v>
      </c>
      <c r="J458" s="2" cm="1">
        <f t="array" ref="J45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58" s="2">
        <f>Games[[#This Row],[DaysOff]]-Games[[#This Row],[OppDaysOff]]</f>
        <v>-1</v>
      </c>
      <c r="L458" s="2">
        <f>Games[[#This Row],[OppDaysOff]]-Games[[#This Row],[DaysOff]]</f>
        <v>1</v>
      </c>
      <c r="M458" s="1">
        <f>MAX(-16, MIN(16, Games[[#This Row],[RestDiff]]*8))</f>
        <v>-8</v>
      </c>
      <c r="N458" s="1">
        <f>MAX(-16, MIN(16, Games[[#This Row],[OppRestDiff]]*8))</f>
        <v>8</v>
      </c>
      <c r="O458" s="4" cm="1">
        <f t="array" ref="O4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1418.3916084045645</v>
      </c>
      <c r="P458" s="4" cm="1">
        <f t="array" ref="P4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1448.1272667566627</v>
      </c>
      <c r="Q458" s="4">
        <f>1/(1+10^(((Games[[#This Row],[OppPreGmRate]]+IF(Games[[#This Row],[HomeAway]]="A",HCA,0)+Games[[#This Row],[OppRestAdj]])-(Games[[#This Row],[PreGmRate]]+IF(Games[[#This Row],[HomeAway]]="H",HCA,0)+Games[[#This Row],[RestAdj]]))/400))</f>
        <v>0.32151493241361939</v>
      </c>
      <c r="R458" s="1">
        <v>68</v>
      </c>
      <c r="S458" s="1">
        <v>79</v>
      </c>
      <c r="T458" s="1">
        <v>0</v>
      </c>
      <c r="U458" s="1">
        <f>Games[[#This Row],[PointsFor]]-Games[[#This Row],[PointsAgainst]]</f>
        <v>-11</v>
      </c>
      <c r="V458" s="1">
        <f>IF(Games[[#This Row],[MOV]]&gt;0,1,IF(Games[[#This Row],[MOV]]=0,0.5,0))</f>
        <v>0</v>
      </c>
      <c r="W458" s="4">
        <f>((ABS(Games[[#This Row],[MOV]])+5)^0.6)/(12+0.01*(ABS(Games[[#This Row],[PreGmRate]]-Games[[#This Row],[OppPreGmRate]])))*IF(Games[[#This Row],[OT]]=1,0.9,1)</f>
        <v>0.42920050396557419</v>
      </c>
      <c r="X458" s="7" cm="1">
        <f t="array" ref="X45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8" s="9">
        <f>MAX(kmin, kmax - 0.15 * MIN(Games[[#This Row],[GamesPlayed]], 82))</f>
        <v>70.3</v>
      </c>
      <c r="Z458" s="4">
        <f>Games[[#This Row],[K]]*Games[[#This Row],[POMult]]</f>
        <v>70.3</v>
      </c>
      <c r="AA458" s="4">
        <f>(Games[[#This Row],[Keff]]*Games[[#This Row],[MOVMult]])*(Games[[#This Row],[Result]]-Games[[#This Row],[ExpectedWin%]])</f>
        <v>-9.7010042830141217</v>
      </c>
      <c r="AB458" s="4">
        <f>Games[[#This Row],[PreGmRate]]+Games[[#This Row],[RatingChange]]</f>
        <v>1408.6906041215505</v>
      </c>
      <c r="AC458" s="2">
        <f>IF(Games[[#This Row],[Type]]="R",IF(Games[[#This Row],[Result]]&gt;0.5,1,0),0)</f>
        <v>0</v>
      </c>
      <c r="AD458" s="2">
        <f>IF(Games[[#This Row],[Type]]="R",IF(Games[[#This Row],[Result]]&lt;0.5,1,0),0)</f>
        <v>1</v>
      </c>
      <c r="AE458" s="2">
        <f>IF(AND(Games[[#This Row],[Type]]="P",Games[[#This Row],[Round]]=1),IF(Games[[#This Row],[Result]]&gt;0.5,1,0),0)</f>
        <v>0</v>
      </c>
      <c r="AF458" s="2">
        <f>IF(AND(Games[[#This Row],[Type]]="P",Games[[#This Row],[Round]]=1),IF(Games[[#This Row],[Result]]&lt;0.5,1,0),0)</f>
        <v>0</v>
      </c>
      <c r="AG458" s="2">
        <f>IF(AND(Games[[#This Row],[Type]]="P",Games[[#This Row],[Round]]=2),IF(Games[[#This Row],[Result]]&gt;0.5,1,0),0)</f>
        <v>0</v>
      </c>
      <c r="AH458" s="2">
        <f>IF(AND(Games[[#This Row],[Type]]="P",Games[[#This Row],[Round]]=2),IF(Games[[#This Row],[Result]]&lt;0.5,1,0),0)</f>
        <v>0</v>
      </c>
      <c r="AI458" s="2">
        <f>IF(AND(Games[[#This Row],[Type]]="P",Games[[#This Row],[Round]]=3),IF(Games[[#This Row],[Result]]&gt;0.5,1,0),0)</f>
        <v>0</v>
      </c>
      <c r="AJ458" s="2">
        <f>IF(AND(Games[[#This Row],[Type]]="P",Games[[#This Row],[Round]]=3),IF(Games[[#This Row],[Result]]&lt;0.5,1,0),0)</f>
        <v>0</v>
      </c>
      <c r="AK458" s="2">
        <f>IF(AND(Games[[#This Row],[Type]]="P",Games[[#This Row],[Round]]=4),IF(Games[[#This Row],[Result]]&gt;0.5,1,0),0)</f>
        <v>0</v>
      </c>
      <c r="AL458" s="2">
        <f>IF(AND(Games[[#This Row],[Type]]="P",Games[[#This Row],[Round]]=4),IF(Games[[#This Row],[Result]]&lt;0.5,1,0),0)</f>
        <v>0</v>
      </c>
    </row>
    <row r="459" spans="1:38" x14ac:dyDescent="0.35">
      <c r="A459" s="10">
        <v>45175</v>
      </c>
      <c r="B459" s="2">
        <v>2023</v>
      </c>
      <c r="C459" s="2">
        <f>COUNTIFS(Games[Team],Games[[#This Row],[Team]],Games[Season],Games[[#This Row],[Season]],Games[Date],"&lt;=" &amp; Games[[#This Row],[Date]])</f>
        <v>38</v>
      </c>
      <c r="D459" s="2" t="s">
        <v>79</v>
      </c>
      <c r="E459" s="2" t="s">
        <v>80</v>
      </c>
      <c r="F459" s="1" t="s">
        <v>77</v>
      </c>
      <c r="G459" s="1" t="s">
        <v>71</v>
      </c>
      <c r="H459" s="1" t="s">
        <v>82</v>
      </c>
      <c r="I459" s="2" cm="1">
        <f t="array" ref="I459">IFERROR(
    Games[[#This Row],[Date]]
    - LOOKUP(
        2,
        1/((Games[Team]=Games[[#This Row],[Team]]) * (Games[Date] &lt; Games[[#This Row],[Date]])),
        Games[Date]
    )
    - 1,
Games[[#This Row],[Date]]-$A$2)</f>
        <v>4</v>
      </c>
      <c r="J459" s="2" cm="1">
        <f t="array" ref="J45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59" s="2">
        <f>Games[[#This Row],[DaysOff]]-Games[[#This Row],[OppDaysOff]]</f>
        <v>1</v>
      </c>
      <c r="L459" s="2">
        <f>Games[[#This Row],[OppDaysOff]]-Games[[#This Row],[DaysOff]]</f>
        <v>-1</v>
      </c>
      <c r="M459" s="1">
        <f>MAX(-16, MIN(16, Games[[#This Row],[RestDiff]]*8))</f>
        <v>8</v>
      </c>
      <c r="N459" s="1">
        <f>MAX(-16, MIN(16, Games[[#This Row],[OppRestDiff]]*8))</f>
        <v>-8</v>
      </c>
      <c r="O459" s="4" cm="1">
        <f t="array" ref="O4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1448.1272667566627</v>
      </c>
      <c r="P459" s="4" cm="1">
        <f t="array" ref="P4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1418.3916084045645</v>
      </c>
      <c r="Q459" s="4">
        <f>1/(1+10^(((Games[[#This Row],[OppPreGmRate]]+IF(Games[[#This Row],[HomeAway]]="A",HCA,0)+Games[[#This Row],[OppRestAdj]])-(Games[[#This Row],[PreGmRate]]+IF(Games[[#This Row],[HomeAway]]="H",HCA,0)+Games[[#This Row],[RestAdj]]))/400))</f>
        <v>0.67848506758638061</v>
      </c>
      <c r="R459" s="1">
        <v>79</v>
      </c>
      <c r="S459" s="1">
        <v>68</v>
      </c>
      <c r="T459" s="1">
        <v>0</v>
      </c>
      <c r="U459" s="1">
        <f>Games[[#This Row],[PointsFor]]-Games[[#This Row],[PointsAgainst]]</f>
        <v>11</v>
      </c>
      <c r="V459" s="1">
        <f>IF(Games[[#This Row],[MOV]]&gt;0,1,IF(Games[[#This Row],[MOV]]=0,0.5,0))</f>
        <v>1</v>
      </c>
      <c r="W459" s="4">
        <f>((ABS(Games[[#This Row],[MOV]])+5)^0.6)/(12+0.01*(ABS(Games[[#This Row],[PreGmRate]]-Games[[#This Row],[OppPreGmRate]])))*IF(Games[[#This Row],[OT]]=1,0.9,1)</f>
        <v>0.42920050396557419</v>
      </c>
      <c r="X459" s="7" cm="1">
        <f t="array" ref="X45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9" s="9">
        <f>MAX(kmin, kmax - 0.15 * MIN(Games[[#This Row],[GamesPlayed]], 82))</f>
        <v>70.3</v>
      </c>
      <c r="Z459" s="4">
        <f>Games[[#This Row],[K]]*Games[[#This Row],[POMult]]</f>
        <v>70.3</v>
      </c>
      <c r="AA459" s="4">
        <f>(Games[[#This Row],[Keff]]*Games[[#This Row],[MOVMult]])*(Games[[#This Row],[Result]]-Games[[#This Row],[ExpectedWin%]])</f>
        <v>9.7010042830141217</v>
      </c>
      <c r="AB459" s="4">
        <f>Games[[#This Row],[PreGmRate]]+Games[[#This Row],[RatingChange]]</f>
        <v>1457.8282710396768</v>
      </c>
      <c r="AC459" s="2">
        <f>IF(Games[[#This Row],[Type]]="R",IF(Games[[#This Row],[Result]]&gt;0.5,1,0),0)</f>
        <v>1</v>
      </c>
      <c r="AD459" s="2">
        <f>IF(Games[[#This Row],[Type]]="R",IF(Games[[#This Row],[Result]]&lt;0.5,1,0),0)</f>
        <v>0</v>
      </c>
      <c r="AE459" s="2">
        <f>IF(AND(Games[[#This Row],[Type]]="P",Games[[#This Row],[Round]]=1),IF(Games[[#This Row],[Result]]&gt;0.5,1,0),0)</f>
        <v>0</v>
      </c>
      <c r="AF459" s="2">
        <f>IF(AND(Games[[#This Row],[Type]]="P",Games[[#This Row],[Round]]=1),IF(Games[[#This Row],[Result]]&lt;0.5,1,0),0)</f>
        <v>0</v>
      </c>
      <c r="AG459" s="2">
        <f>IF(AND(Games[[#This Row],[Type]]="P",Games[[#This Row],[Round]]=2),IF(Games[[#This Row],[Result]]&gt;0.5,1,0),0)</f>
        <v>0</v>
      </c>
      <c r="AH459" s="2">
        <f>IF(AND(Games[[#This Row],[Type]]="P",Games[[#This Row],[Round]]=2),IF(Games[[#This Row],[Result]]&lt;0.5,1,0),0)</f>
        <v>0</v>
      </c>
      <c r="AI459" s="2">
        <f>IF(AND(Games[[#This Row],[Type]]="P",Games[[#This Row],[Round]]=3),IF(Games[[#This Row],[Result]]&gt;0.5,1,0),0)</f>
        <v>0</v>
      </c>
      <c r="AJ459" s="2">
        <f>IF(AND(Games[[#This Row],[Type]]="P",Games[[#This Row],[Round]]=3),IF(Games[[#This Row],[Result]]&lt;0.5,1,0),0)</f>
        <v>0</v>
      </c>
      <c r="AK459" s="2">
        <f>IF(AND(Games[[#This Row],[Type]]="P",Games[[#This Row],[Round]]=4),IF(Games[[#This Row],[Result]]&gt;0.5,1,0),0)</f>
        <v>0</v>
      </c>
      <c r="AL459" s="2">
        <f>IF(AND(Games[[#This Row],[Type]]="P",Games[[#This Row],[Round]]=4),IF(Games[[#This Row],[Result]]&lt;0.5,1,0),0)</f>
        <v>0</v>
      </c>
    </row>
    <row r="460" spans="1:38" x14ac:dyDescent="0.35">
      <c r="A460" s="10">
        <v>45176</v>
      </c>
      <c r="B460" s="2">
        <v>2023</v>
      </c>
      <c r="C460" s="2">
        <f>COUNTIFS(Games[Team],Games[[#This Row],[Team]],Games[Season],Games[[#This Row],[Season]],Games[Date],"&lt;=" &amp; Games[[#This Row],[Date]])</f>
        <v>39</v>
      </c>
      <c r="D460" s="2" t="s">
        <v>79</v>
      </c>
      <c r="E460" s="2" t="s">
        <v>80</v>
      </c>
      <c r="F460" s="1" t="s">
        <v>63</v>
      </c>
      <c r="G460" s="1" t="s">
        <v>60</v>
      </c>
      <c r="H460" s="1" t="s">
        <v>81</v>
      </c>
      <c r="I460" s="2" cm="1">
        <f t="array" ref="I4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0" s="2" cm="1">
        <f t="array" ref="J4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0" s="2">
        <f>Games[[#This Row],[DaysOff]]-Games[[#This Row],[OppDaysOff]]</f>
        <v>0</v>
      </c>
      <c r="L460" s="2">
        <f>Games[[#This Row],[OppDaysOff]]-Games[[#This Row],[DaysOff]]</f>
        <v>0</v>
      </c>
      <c r="M460" s="1">
        <f>MAX(-16, MIN(16, Games[[#This Row],[RestDiff]]*8))</f>
        <v>0</v>
      </c>
      <c r="N460" s="1">
        <f>MAX(-16, MIN(16, Games[[#This Row],[OppRestDiff]]*8))</f>
        <v>0</v>
      </c>
      <c r="O460" s="4" cm="1">
        <f t="array" ref="O4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1434.2135374271033</v>
      </c>
      <c r="P460" s="4" cm="1">
        <f t="array" ref="P4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1751.9406811160752</v>
      </c>
      <c r="Q460" s="4">
        <f>1/(1+10^(((Games[[#This Row],[OppPreGmRate]]+IF(Games[[#This Row],[HomeAway]]="A",HCA,0)+Games[[#This Row],[OppRestAdj]])-(Games[[#This Row],[PreGmRate]]+IF(Games[[#This Row],[HomeAway]]="H",HCA,0)+Games[[#This Row],[RestAdj]]))/400))</f>
        <v>9.0090753471861656E-2</v>
      </c>
      <c r="R460" s="1">
        <v>89</v>
      </c>
      <c r="S460" s="1">
        <v>96</v>
      </c>
      <c r="T460" s="1">
        <v>0</v>
      </c>
      <c r="U460" s="1">
        <f>Games[[#This Row],[PointsFor]]-Games[[#This Row],[PointsAgainst]]</f>
        <v>-7</v>
      </c>
      <c r="V460" s="1">
        <f>IF(Games[[#This Row],[MOV]]&gt;0,1,IF(Games[[#This Row],[MOV]]=0,0.5,0))</f>
        <v>0</v>
      </c>
      <c r="W460" s="4">
        <f>((ABS(Games[[#This Row],[MOV]])+5)^0.6)/(12+0.01*(ABS(Games[[#This Row],[PreGmRate]]-Games[[#This Row],[OppPreGmRate]])))*IF(Games[[#This Row],[OT]]=1,0.9,1)</f>
        <v>0.29262743888541759</v>
      </c>
      <c r="X460" s="7" cm="1">
        <f t="array" ref="X46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0" s="9">
        <f>MAX(kmin, kmax - 0.15 * MIN(Games[[#This Row],[GamesPlayed]], 82))</f>
        <v>70.150000000000006</v>
      </c>
      <c r="Z460" s="4">
        <f>Games[[#This Row],[K]]*Games[[#This Row],[POMult]]</f>
        <v>70.150000000000006</v>
      </c>
      <c r="AA460" s="4">
        <f>(Games[[#This Row],[Keff]]*Games[[#This Row],[MOVMult]])*(Games[[#This Row],[Result]]-Games[[#This Row],[ExpectedWin%]])</f>
        <v>-1.8493663058693488</v>
      </c>
      <c r="AB460" s="4">
        <f>Games[[#This Row],[PreGmRate]]+Games[[#This Row],[RatingChange]]</f>
        <v>1432.364171121234</v>
      </c>
      <c r="AC460" s="2">
        <f>IF(Games[[#This Row],[Type]]="R",IF(Games[[#This Row],[Result]]&gt;0.5,1,0),0)</f>
        <v>0</v>
      </c>
      <c r="AD460" s="2">
        <f>IF(Games[[#This Row],[Type]]="R",IF(Games[[#This Row],[Result]]&lt;0.5,1,0),0)</f>
        <v>1</v>
      </c>
      <c r="AE460" s="2">
        <f>IF(AND(Games[[#This Row],[Type]]="P",Games[[#This Row],[Round]]=1),IF(Games[[#This Row],[Result]]&gt;0.5,1,0),0)</f>
        <v>0</v>
      </c>
      <c r="AF460" s="2">
        <f>IF(AND(Games[[#This Row],[Type]]="P",Games[[#This Row],[Round]]=1),IF(Games[[#This Row],[Result]]&lt;0.5,1,0),0)</f>
        <v>0</v>
      </c>
      <c r="AG460" s="2">
        <f>IF(AND(Games[[#This Row],[Type]]="P",Games[[#This Row],[Round]]=2),IF(Games[[#This Row],[Result]]&gt;0.5,1,0),0)</f>
        <v>0</v>
      </c>
      <c r="AH460" s="2">
        <f>IF(AND(Games[[#This Row],[Type]]="P",Games[[#This Row],[Round]]=2),IF(Games[[#This Row],[Result]]&lt;0.5,1,0),0)</f>
        <v>0</v>
      </c>
      <c r="AI460" s="2">
        <f>IF(AND(Games[[#This Row],[Type]]="P",Games[[#This Row],[Round]]=3),IF(Games[[#This Row],[Result]]&gt;0.5,1,0),0)</f>
        <v>0</v>
      </c>
      <c r="AJ460" s="2">
        <f>IF(AND(Games[[#This Row],[Type]]="P",Games[[#This Row],[Round]]=3),IF(Games[[#This Row],[Result]]&lt;0.5,1,0),0)</f>
        <v>0</v>
      </c>
      <c r="AK460" s="2">
        <f>IF(AND(Games[[#This Row],[Type]]="P",Games[[#This Row],[Round]]=4),IF(Games[[#This Row],[Result]]&gt;0.5,1,0),0)</f>
        <v>0</v>
      </c>
      <c r="AL460" s="2">
        <f>IF(AND(Games[[#This Row],[Type]]="P",Games[[#This Row],[Round]]=4),IF(Games[[#This Row],[Result]]&lt;0.5,1,0),0)</f>
        <v>0</v>
      </c>
    </row>
    <row r="461" spans="1:38" x14ac:dyDescent="0.35">
      <c r="A461" s="10">
        <v>45176</v>
      </c>
      <c r="B461" s="2">
        <v>2023</v>
      </c>
      <c r="C461" s="2">
        <f>COUNTIFS(Games[Team],Games[[#This Row],[Team]],Games[Season],Games[[#This Row],[Season]],Games[Date],"&lt;=" &amp; Games[[#This Row],[Date]])</f>
        <v>40</v>
      </c>
      <c r="D461" s="2" t="s">
        <v>79</v>
      </c>
      <c r="E461" s="2" t="s">
        <v>80</v>
      </c>
      <c r="F461" s="1" t="s">
        <v>60</v>
      </c>
      <c r="G461" s="1" t="s">
        <v>63</v>
      </c>
      <c r="H461" s="1" t="s">
        <v>82</v>
      </c>
      <c r="I461" s="2" cm="1">
        <f t="array" ref="I4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1" s="2" cm="1">
        <f t="array" ref="J4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1" s="2">
        <f>Games[[#This Row],[DaysOff]]-Games[[#This Row],[OppDaysOff]]</f>
        <v>0</v>
      </c>
      <c r="L461" s="2">
        <f>Games[[#This Row],[OppDaysOff]]-Games[[#This Row],[DaysOff]]</f>
        <v>0</v>
      </c>
      <c r="M461" s="1">
        <f>MAX(-16, MIN(16, Games[[#This Row],[RestDiff]]*8))</f>
        <v>0</v>
      </c>
      <c r="N461" s="1">
        <f>MAX(-16, MIN(16, Games[[#This Row],[OppRestDiff]]*8))</f>
        <v>0</v>
      </c>
      <c r="O461" s="4" cm="1">
        <f t="array" ref="O4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1751.9406811160752</v>
      </c>
      <c r="P461" s="4" cm="1">
        <f t="array" ref="P4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1434.2135374271033</v>
      </c>
      <c r="Q461" s="4">
        <f>1/(1+10^(((Games[[#This Row],[OppPreGmRate]]+IF(Games[[#This Row],[HomeAway]]="A",HCA,0)+Games[[#This Row],[OppRestAdj]])-(Games[[#This Row],[PreGmRate]]+IF(Games[[#This Row],[HomeAway]]="H",HCA,0)+Games[[#This Row],[RestAdj]]))/400))</f>
        <v>0.90990924652813832</v>
      </c>
      <c r="R461" s="1">
        <v>96</v>
      </c>
      <c r="S461" s="1">
        <v>89</v>
      </c>
      <c r="T461" s="1">
        <v>0</v>
      </c>
      <c r="U461" s="1">
        <f>Games[[#This Row],[PointsFor]]-Games[[#This Row],[PointsAgainst]]</f>
        <v>7</v>
      </c>
      <c r="V461" s="1">
        <f>IF(Games[[#This Row],[MOV]]&gt;0,1,IF(Games[[#This Row],[MOV]]=0,0.5,0))</f>
        <v>1</v>
      </c>
      <c r="W461" s="4">
        <f>((ABS(Games[[#This Row],[MOV]])+5)^0.6)/(12+0.01*(ABS(Games[[#This Row],[PreGmRate]]-Games[[#This Row],[OppPreGmRate]])))*IF(Games[[#This Row],[OT]]=1,0.9,1)</f>
        <v>0.29262743888541759</v>
      </c>
      <c r="X461" s="7" cm="1">
        <f t="array" ref="X46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1" s="9">
        <f>MAX(kmin, kmax - 0.15 * MIN(Games[[#This Row],[GamesPlayed]], 82))</f>
        <v>70</v>
      </c>
      <c r="Z461" s="4">
        <f>Games[[#This Row],[K]]*Games[[#This Row],[POMult]]</f>
        <v>70</v>
      </c>
      <c r="AA461" s="4">
        <f>(Games[[#This Row],[Keff]]*Games[[#This Row],[MOVMult]])*(Games[[#This Row],[Result]]-Games[[#This Row],[ExpectedWin%]])</f>
        <v>1.8454118519009899</v>
      </c>
      <c r="AB461" s="4">
        <f>Games[[#This Row],[PreGmRate]]+Games[[#This Row],[RatingChange]]</f>
        <v>1753.7860929679762</v>
      </c>
      <c r="AC461" s="2">
        <f>IF(Games[[#This Row],[Type]]="R",IF(Games[[#This Row],[Result]]&gt;0.5,1,0),0)</f>
        <v>1</v>
      </c>
      <c r="AD461" s="2">
        <f>IF(Games[[#This Row],[Type]]="R",IF(Games[[#This Row],[Result]]&lt;0.5,1,0),0)</f>
        <v>0</v>
      </c>
      <c r="AE461" s="2">
        <f>IF(AND(Games[[#This Row],[Type]]="P",Games[[#This Row],[Round]]=1),IF(Games[[#This Row],[Result]]&gt;0.5,1,0),0)</f>
        <v>0</v>
      </c>
      <c r="AF461" s="2">
        <f>IF(AND(Games[[#This Row],[Type]]="P",Games[[#This Row],[Round]]=1),IF(Games[[#This Row],[Result]]&lt;0.5,1,0),0)</f>
        <v>0</v>
      </c>
      <c r="AG461" s="2">
        <f>IF(AND(Games[[#This Row],[Type]]="P",Games[[#This Row],[Round]]=2),IF(Games[[#This Row],[Result]]&gt;0.5,1,0),0)</f>
        <v>0</v>
      </c>
      <c r="AH461" s="2">
        <f>IF(AND(Games[[#This Row],[Type]]="P",Games[[#This Row],[Round]]=2),IF(Games[[#This Row],[Result]]&lt;0.5,1,0),0)</f>
        <v>0</v>
      </c>
      <c r="AI461" s="2">
        <f>IF(AND(Games[[#This Row],[Type]]="P",Games[[#This Row],[Round]]=3),IF(Games[[#This Row],[Result]]&gt;0.5,1,0),0)</f>
        <v>0</v>
      </c>
      <c r="AJ461" s="2">
        <f>IF(AND(Games[[#This Row],[Type]]="P",Games[[#This Row],[Round]]=3),IF(Games[[#This Row],[Result]]&lt;0.5,1,0),0)</f>
        <v>0</v>
      </c>
      <c r="AK461" s="2">
        <f>IF(AND(Games[[#This Row],[Type]]="P",Games[[#This Row],[Round]]=4),IF(Games[[#This Row],[Result]]&gt;0.5,1,0),0)</f>
        <v>0</v>
      </c>
      <c r="AL461" s="2">
        <f>IF(AND(Games[[#This Row],[Type]]="P",Games[[#This Row],[Round]]=4),IF(Games[[#This Row],[Result]]&lt;0.5,1,0),0)</f>
        <v>0</v>
      </c>
    </row>
    <row r="462" spans="1:38" x14ac:dyDescent="0.35">
      <c r="A462" s="10">
        <v>45177</v>
      </c>
      <c r="B462" s="2">
        <v>2023</v>
      </c>
      <c r="C462" s="2">
        <f>COUNTIFS(Games[Team],Games[[#This Row],[Team]],Games[Season],Games[[#This Row],[Season]],Games[Date],"&lt;=" &amp; Games[[#This Row],[Date]])</f>
        <v>39</v>
      </c>
      <c r="D462" s="2" t="s">
        <v>79</v>
      </c>
      <c r="E462" s="2" t="s">
        <v>80</v>
      </c>
      <c r="F462" s="1" t="s">
        <v>67</v>
      </c>
      <c r="G462" s="1" t="s">
        <v>75</v>
      </c>
      <c r="H462" s="1" t="s">
        <v>81</v>
      </c>
      <c r="I462" s="2" cm="1">
        <f t="array" ref="I462">IFERROR(
    Games[[#This Row],[Date]]
    - LOOKUP(
        2,
        1/((Games[Team]=Games[[#This Row],[Team]]) * (Games[Date] &lt; Games[[#This Row],[Date]])),
        Games[Date]
    )
    - 1,
Games[[#This Row],[Date]]-$A$2)</f>
        <v>4</v>
      </c>
      <c r="J462" s="2" cm="1">
        <f t="array" ref="J46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62" s="2">
        <f>Games[[#This Row],[DaysOff]]-Games[[#This Row],[OppDaysOff]]</f>
        <v>2</v>
      </c>
      <c r="L462" s="2">
        <f>Games[[#This Row],[OppDaysOff]]-Games[[#This Row],[DaysOff]]</f>
        <v>-2</v>
      </c>
      <c r="M462" s="1">
        <f>MAX(-16, MIN(16, Games[[#This Row],[RestDiff]]*8))</f>
        <v>16</v>
      </c>
      <c r="N462" s="1">
        <f>MAX(-16, MIN(16, Games[[#This Row],[OppRestDiff]]*8))</f>
        <v>-16</v>
      </c>
      <c r="O462" s="4" cm="1">
        <f t="array" ref="O4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1474.9679240044827</v>
      </c>
      <c r="P462" s="4" cm="1">
        <f t="array" ref="P4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1482.5473130341813</v>
      </c>
      <c r="Q462" s="4">
        <f>1/(1+10^(((Games[[#This Row],[OppPreGmRate]]+IF(Games[[#This Row],[HomeAway]]="A",HCA,0)+Games[[#This Row],[OppRestAdj]])-(Games[[#This Row],[PreGmRate]]+IF(Games[[#This Row],[HomeAway]]="H",HCA,0)+Games[[#This Row],[RestAdj]]))/400))</f>
        <v>0.41508905129252854</v>
      </c>
      <c r="R462" s="1">
        <v>87</v>
      </c>
      <c r="S462" s="1">
        <v>92</v>
      </c>
      <c r="T462" s="1">
        <v>0</v>
      </c>
      <c r="U462" s="1">
        <f>Games[[#This Row],[PointsFor]]-Games[[#This Row],[PointsAgainst]]</f>
        <v>-5</v>
      </c>
      <c r="V462" s="1">
        <f>IF(Games[[#This Row],[MOV]]&gt;0,1,IF(Games[[#This Row],[MOV]]=0,0.5,0))</f>
        <v>0</v>
      </c>
      <c r="W462" s="4">
        <f>((ABS(Games[[#This Row],[MOV]])+5)^0.6)/(12+0.01*(ABS(Games[[#This Row],[PreGmRate]]-Games[[#This Row],[OppPreGmRate]])))*IF(Games[[#This Row],[OT]]=1,0.9,1)</f>
        <v>0.32967370441241145</v>
      </c>
      <c r="X462" s="7" cm="1">
        <f t="array" ref="X46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2" s="9">
        <f>MAX(kmin, kmax - 0.15 * MIN(Games[[#This Row],[GamesPlayed]], 82))</f>
        <v>70.150000000000006</v>
      </c>
      <c r="Z462" s="4">
        <f>Games[[#This Row],[K]]*Games[[#This Row],[POMult]]</f>
        <v>70.150000000000006</v>
      </c>
      <c r="AA462" s="4">
        <f>(Games[[#This Row],[Keff]]*Games[[#This Row],[MOVMult]])*(Games[[#This Row],[Result]]-Games[[#This Row],[ExpectedWin%]])</f>
        <v>-9.5996027558249928</v>
      </c>
      <c r="AB462" s="4">
        <f>Games[[#This Row],[PreGmRate]]+Games[[#This Row],[RatingChange]]</f>
        <v>1465.3683212486578</v>
      </c>
      <c r="AC462" s="2">
        <f>IF(Games[[#This Row],[Type]]="R",IF(Games[[#This Row],[Result]]&gt;0.5,1,0),0)</f>
        <v>0</v>
      </c>
      <c r="AD462" s="2">
        <f>IF(Games[[#This Row],[Type]]="R",IF(Games[[#This Row],[Result]]&lt;0.5,1,0),0)</f>
        <v>1</v>
      </c>
      <c r="AE462" s="2">
        <f>IF(AND(Games[[#This Row],[Type]]="P",Games[[#This Row],[Round]]=1),IF(Games[[#This Row],[Result]]&gt;0.5,1,0),0)</f>
        <v>0</v>
      </c>
      <c r="AF462" s="2">
        <f>IF(AND(Games[[#This Row],[Type]]="P",Games[[#This Row],[Round]]=1),IF(Games[[#This Row],[Result]]&lt;0.5,1,0),0)</f>
        <v>0</v>
      </c>
      <c r="AG462" s="2">
        <f>IF(AND(Games[[#This Row],[Type]]="P",Games[[#This Row],[Round]]=2),IF(Games[[#This Row],[Result]]&gt;0.5,1,0),0)</f>
        <v>0</v>
      </c>
      <c r="AH462" s="2">
        <f>IF(AND(Games[[#This Row],[Type]]="P",Games[[#This Row],[Round]]=2),IF(Games[[#This Row],[Result]]&lt;0.5,1,0),0)</f>
        <v>0</v>
      </c>
      <c r="AI462" s="2">
        <f>IF(AND(Games[[#This Row],[Type]]="P",Games[[#This Row],[Round]]=3),IF(Games[[#This Row],[Result]]&gt;0.5,1,0),0)</f>
        <v>0</v>
      </c>
      <c r="AJ462" s="2">
        <f>IF(AND(Games[[#This Row],[Type]]="P",Games[[#This Row],[Round]]=3),IF(Games[[#This Row],[Result]]&lt;0.5,1,0),0)</f>
        <v>0</v>
      </c>
      <c r="AK462" s="2">
        <f>IF(AND(Games[[#This Row],[Type]]="P",Games[[#This Row],[Round]]=4),IF(Games[[#This Row],[Result]]&gt;0.5,1,0),0)</f>
        <v>0</v>
      </c>
      <c r="AL462" s="2">
        <f>IF(AND(Games[[#This Row],[Type]]="P",Games[[#This Row],[Round]]=4),IF(Games[[#This Row],[Result]]&lt;0.5,1,0),0)</f>
        <v>0</v>
      </c>
    </row>
    <row r="463" spans="1:38" x14ac:dyDescent="0.35">
      <c r="A463" s="10">
        <v>45177</v>
      </c>
      <c r="B463" s="2">
        <v>2023</v>
      </c>
      <c r="C463" s="2">
        <f>COUNTIFS(Games[Team],Games[[#This Row],[Team]],Games[Season],Games[[#This Row],[Season]],Games[Date],"&lt;=" &amp; Games[[#This Row],[Date]])</f>
        <v>39</v>
      </c>
      <c r="D463" s="2" t="s">
        <v>79</v>
      </c>
      <c r="E463" s="2" t="s">
        <v>80</v>
      </c>
      <c r="F463" s="1" t="s">
        <v>75</v>
      </c>
      <c r="G463" s="1" t="s">
        <v>67</v>
      </c>
      <c r="H463" s="1" t="s">
        <v>82</v>
      </c>
      <c r="I463" s="2" cm="1">
        <f t="array" ref="I46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3" s="2" cm="1">
        <f t="array" ref="J46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63" s="2">
        <f>Games[[#This Row],[DaysOff]]-Games[[#This Row],[OppDaysOff]]</f>
        <v>-2</v>
      </c>
      <c r="L463" s="2">
        <f>Games[[#This Row],[OppDaysOff]]-Games[[#This Row],[DaysOff]]</f>
        <v>2</v>
      </c>
      <c r="M463" s="1">
        <f>MAX(-16, MIN(16, Games[[#This Row],[RestDiff]]*8))</f>
        <v>-16</v>
      </c>
      <c r="N463" s="1">
        <f>MAX(-16, MIN(16, Games[[#This Row],[OppRestDiff]]*8))</f>
        <v>16</v>
      </c>
      <c r="O463" s="4" cm="1">
        <f t="array" ref="O4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1482.5473130341813</v>
      </c>
      <c r="P463" s="4" cm="1">
        <f t="array" ref="P4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1474.9679240044827</v>
      </c>
      <c r="Q463" s="4">
        <f>1/(1+10^(((Games[[#This Row],[OppPreGmRate]]+IF(Games[[#This Row],[HomeAway]]="A",HCA,0)+Games[[#This Row],[OppRestAdj]])-(Games[[#This Row],[PreGmRate]]+IF(Games[[#This Row],[HomeAway]]="H",HCA,0)+Games[[#This Row],[RestAdj]]))/400))</f>
        <v>0.5849109487074714</v>
      </c>
      <c r="R463" s="1">
        <v>92</v>
      </c>
      <c r="S463" s="1">
        <v>87</v>
      </c>
      <c r="T463" s="1">
        <v>0</v>
      </c>
      <c r="U463" s="1">
        <f>Games[[#This Row],[PointsFor]]-Games[[#This Row],[PointsAgainst]]</f>
        <v>5</v>
      </c>
      <c r="V463" s="1">
        <f>IF(Games[[#This Row],[MOV]]&gt;0,1,IF(Games[[#This Row],[MOV]]=0,0.5,0))</f>
        <v>1</v>
      </c>
      <c r="W463" s="4">
        <f>((ABS(Games[[#This Row],[MOV]])+5)^0.6)/(12+0.01*(ABS(Games[[#This Row],[PreGmRate]]-Games[[#This Row],[OppPreGmRate]])))*IF(Games[[#This Row],[OT]]=1,0.9,1)</f>
        <v>0.32967370441241145</v>
      </c>
      <c r="X463" s="7" cm="1">
        <f t="array" ref="X46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3" s="9">
        <f>MAX(kmin, kmax - 0.15 * MIN(Games[[#This Row],[GamesPlayed]], 82))</f>
        <v>70.150000000000006</v>
      </c>
      <c r="Z463" s="4">
        <f>Games[[#This Row],[K]]*Games[[#This Row],[POMult]]</f>
        <v>70.150000000000006</v>
      </c>
      <c r="AA463" s="4">
        <f>(Games[[#This Row],[Keff]]*Games[[#This Row],[MOVMult]])*(Games[[#This Row],[Result]]-Games[[#This Row],[ExpectedWin%]])</f>
        <v>9.5996027558249928</v>
      </c>
      <c r="AB463" s="4">
        <f>Games[[#This Row],[PreGmRate]]+Games[[#This Row],[RatingChange]]</f>
        <v>1492.1469157900062</v>
      </c>
      <c r="AC463" s="2">
        <f>IF(Games[[#This Row],[Type]]="R",IF(Games[[#This Row],[Result]]&gt;0.5,1,0),0)</f>
        <v>1</v>
      </c>
      <c r="AD463" s="2">
        <f>IF(Games[[#This Row],[Type]]="R",IF(Games[[#This Row],[Result]]&lt;0.5,1,0),0)</f>
        <v>0</v>
      </c>
      <c r="AE463" s="2">
        <f>IF(AND(Games[[#This Row],[Type]]="P",Games[[#This Row],[Round]]=1),IF(Games[[#This Row],[Result]]&gt;0.5,1,0),0)</f>
        <v>0</v>
      </c>
      <c r="AF463" s="2">
        <f>IF(AND(Games[[#This Row],[Type]]="P",Games[[#This Row],[Round]]=1),IF(Games[[#This Row],[Result]]&lt;0.5,1,0),0)</f>
        <v>0</v>
      </c>
      <c r="AG463" s="2">
        <f>IF(AND(Games[[#This Row],[Type]]="P",Games[[#This Row],[Round]]=2),IF(Games[[#This Row],[Result]]&gt;0.5,1,0),0)</f>
        <v>0</v>
      </c>
      <c r="AH463" s="2">
        <f>IF(AND(Games[[#This Row],[Type]]="P",Games[[#This Row],[Round]]=2),IF(Games[[#This Row],[Result]]&lt;0.5,1,0),0)</f>
        <v>0</v>
      </c>
      <c r="AI463" s="2">
        <f>IF(AND(Games[[#This Row],[Type]]="P",Games[[#This Row],[Round]]=3),IF(Games[[#This Row],[Result]]&gt;0.5,1,0),0)</f>
        <v>0</v>
      </c>
      <c r="AJ463" s="2">
        <f>IF(AND(Games[[#This Row],[Type]]="P",Games[[#This Row],[Round]]=3),IF(Games[[#This Row],[Result]]&lt;0.5,1,0),0)</f>
        <v>0</v>
      </c>
      <c r="AK463" s="2">
        <f>IF(AND(Games[[#This Row],[Type]]="P",Games[[#This Row],[Round]]=4),IF(Games[[#This Row],[Result]]&gt;0.5,1,0),0)</f>
        <v>0</v>
      </c>
      <c r="AL463" s="2">
        <f>IF(AND(Games[[#This Row],[Type]]="P",Games[[#This Row],[Round]]=4),IF(Games[[#This Row],[Result]]&lt;0.5,1,0),0)</f>
        <v>0</v>
      </c>
    </row>
    <row r="464" spans="1:38" x14ac:dyDescent="0.35">
      <c r="A464" s="10">
        <v>45177</v>
      </c>
      <c r="B464" s="2">
        <v>2023</v>
      </c>
      <c r="C464" s="2">
        <f>COUNTIFS(Games[Team],Games[[#This Row],[Team]],Games[Season],Games[[#This Row],[Season]],Games[Date],"&lt;=" &amp; Games[[#This Row],[Date]])</f>
        <v>39</v>
      </c>
      <c r="D464" s="2" t="s">
        <v>79</v>
      </c>
      <c r="E464" s="2" t="s">
        <v>80</v>
      </c>
      <c r="F464" s="1" t="s">
        <v>69</v>
      </c>
      <c r="G464" s="1" t="s">
        <v>74</v>
      </c>
      <c r="H464" s="1" t="s">
        <v>81</v>
      </c>
      <c r="I464" s="2" cm="1">
        <f t="array" ref="I4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4" s="2" cm="1">
        <f t="array" ref="J4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64" s="2">
        <f>Games[[#This Row],[DaysOff]]-Games[[#This Row],[OppDaysOff]]</f>
        <v>0</v>
      </c>
      <c r="L464" s="2">
        <f>Games[[#This Row],[OppDaysOff]]-Games[[#This Row],[DaysOff]]</f>
        <v>0</v>
      </c>
      <c r="M464" s="1">
        <f>MAX(-16, MIN(16, Games[[#This Row],[RestDiff]]*8))</f>
        <v>0</v>
      </c>
      <c r="N464" s="1">
        <f>MAX(-16, MIN(16, Games[[#This Row],[OppRestDiff]]*8))</f>
        <v>0</v>
      </c>
      <c r="O464" s="4" cm="1">
        <f t="array" ref="O4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1343.0145477633578</v>
      </c>
      <c r="P464" s="4" cm="1">
        <f t="array" ref="P4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1616.7113760926854</v>
      </c>
      <c r="Q464" s="4">
        <f>1/(1+10^(((Games[[#This Row],[OppPreGmRate]]+IF(Games[[#This Row],[HomeAway]]="A",HCA,0)+Games[[#This Row],[OppRestAdj]])-(Games[[#This Row],[PreGmRate]]+IF(Games[[#This Row],[HomeAway]]="H",HCA,0)+Games[[#This Row],[RestAdj]]))/400))</f>
        <v>0.11313926579214605</v>
      </c>
      <c r="R464" s="1">
        <v>59</v>
      </c>
      <c r="S464" s="1">
        <v>76</v>
      </c>
      <c r="T464" s="1">
        <v>0</v>
      </c>
      <c r="U464" s="1">
        <f>Games[[#This Row],[PointsFor]]-Games[[#This Row],[PointsAgainst]]</f>
        <v>-17</v>
      </c>
      <c r="V464" s="1">
        <f>IF(Games[[#This Row],[MOV]]&gt;0,1,IF(Games[[#This Row],[MOV]]=0,0.5,0))</f>
        <v>0</v>
      </c>
      <c r="W464" s="4">
        <f>((ABS(Games[[#This Row],[MOV]])+5)^0.6)/(12+0.01*(ABS(Games[[#This Row],[PreGmRate]]-Games[[#This Row],[OppPreGmRate]])))*IF(Games[[#This Row],[OT]]=1,0.9,1)</f>
        <v>0.43355625839456224</v>
      </c>
      <c r="X464" s="7" cm="1">
        <f t="array" ref="X46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4" s="9">
        <f>MAX(kmin, kmax - 0.15 * MIN(Games[[#This Row],[GamesPlayed]], 82))</f>
        <v>70.150000000000006</v>
      </c>
      <c r="Z464" s="4">
        <f>Games[[#This Row],[K]]*Games[[#This Row],[POMult]]</f>
        <v>70.150000000000006</v>
      </c>
      <c r="AA464" s="4">
        <f>(Games[[#This Row],[Keff]]*Games[[#This Row],[MOVMult]])*(Games[[#This Row],[Result]]-Games[[#This Row],[ExpectedWin%]])</f>
        <v>-3.4410144083177037</v>
      </c>
      <c r="AB464" s="4">
        <f>Games[[#This Row],[PreGmRate]]+Games[[#This Row],[RatingChange]]</f>
        <v>1339.5735333550401</v>
      </c>
      <c r="AC464" s="2">
        <f>IF(Games[[#This Row],[Type]]="R",IF(Games[[#This Row],[Result]]&gt;0.5,1,0),0)</f>
        <v>0</v>
      </c>
      <c r="AD464" s="2">
        <f>IF(Games[[#This Row],[Type]]="R",IF(Games[[#This Row],[Result]]&lt;0.5,1,0),0)</f>
        <v>1</v>
      </c>
      <c r="AE464" s="2">
        <f>IF(AND(Games[[#This Row],[Type]]="P",Games[[#This Row],[Round]]=1),IF(Games[[#This Row],[Result]]&gt;0.5,1,0),0)</f>
        <v>0</v>
      </c>
      <c r="AF464" s="2">
        <f>IF(AND(Games[[#This Row],[Type]]="P",Games[[#This Row],[Round]]=1),IF(Games[[#This Row],[Result]]&lt;0.5,1,0),0)</f>
        <v>0</v>
      </c>
      <c r="AG464" s="2">
        <f>IF(AND(Games[[#This Row],[Type]]="P",Games[[#This Row],[Round]]=2),IF(Games[[#This Row],[Result]]&gt;0.5,1,0),0)</f>
        <v>0</v>
      </c>
      <c r="AH464" s="2">
        <f>IF(AND(Games[[#This Row],[Type]]="P",Games[[#This Row],[Round]]=2),IF(Games[[#This Row],[Result]]&lt;0.5,1,0),0)</f>
        <v>0</v>
      </c>
      <c r="AI464" s="2">
        <f>IF(AND(Games[[#This Row],[Type]]="P",Games[[#This Row],[Round]]=3),IF(Games[[#This Row],[Result]]&gt;0.5,1,0),0)</f>
        <v>0</v>
      </c>
      <c r="AJ464" s="2">
        <f>IF(AND(Games[[#This Row],[Type]]="P",Games[[#This Row],[Round]]=3),IF(Games[[#This Row],[Result]]&lt;0.5,1,0),0)</f>
        <v>0</v>
      </c>
      <c r="AK464" s="2">
        <f>IF(AND(Games[[#This Row],[Type]]="P",Games[[#This Row],[Round]]=4),IF(Games[[#This Row],[Result]]&gt;0.5,1,0),0)</f>
        <v>0</v>
      </c>
      <c r="AL464" s="2">
        <f>IF(AND(Games[[#This Row],[Type]]="P",Games[[#This Row],[Round]]=4),IF(Games[[#This Row],[Result]]&lt;0.5,1,0),0)</f>
        <v>0</v>
      </c>
    </row>
    <row r="465" spans="1:38" x14ac:dyDescent="0.35">
      <c r="A465" s="10">
        <v>45177</v>
      </c>
      <c r="B465" s="2">
        <v>2023</v>
      </c>
      <c r="C465" s="2">
        <f>COUNTIFS(Games[Team],Games[[#This Row],[Team]],Games[Season],Games[[#This Row],[Season]],Games[Date],"&lt;=" &amp; Games[[#This Row],[Date]])</f>
        <v>39</v>
      </c>
      <c r="D465" s="2" t="s">
        <v>79</v>
      </c>
      <c r="E465" s="2" t="s">
        <v>80</v>
      </c>
      <c r="F465" s="1" t="s">
        <v>74</v>
      </c>
      <c r="G465" s="1" t="s">
        <v>69</v>
      </c>
      <c r="H465" s="1" t="s">
        <v>82</v>
      </c>
      <c r="I465" s="2" cm="1">
        <f t="array" ref="I4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5" s="2" cm="1">
        <f t="array" ref="J4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65" s="2">
        <f>Games[[#This Row],[DaysOff]]-Games[[#This Row],[OppDaysOff]]</f>
        <v>0</v>
      </c>
      <c r="L465" s="2">
        <f>Games[[#This Row],[OppDaysOff]]-Games[[#This Row],[DaysOff]]</f>
        <v>0</v>
      </c>
      <c r="M465" s="1">
        <f>MAX(-16, MIN(16, Games[[#This Row],[RestDiff]]*8))</f>
        <v>0</v>
      </c>
      <c r="N465" s="1">
        <f>MAX(-16, MIN(16, Games[[#This Row],[OppRestDiff]]*8))</f>
        <v>0</v>
      </c>
      <c r="O465" s="4" cm="1">
        <f t="array" ref="O4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1616.7113760926854</v>
      </c>
      <c r="P465" s="4" cm="1">
        <f t="array" ref="P4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1343.0145477633578</v>
      </c>
      <c r="Q465" s="4">
        <f>1/(1+10^(((Games[[#This Row],[OppPreGmRate]]+IF(Games[[#This Row],[HomeAway]]="A",HCA,0)+Games[[#This Row],[OppRestAdj]])-(Games[[#This Row],[PreGmRate]]+IF(Games[[#This Row],[HomeAway]]="H",HCA,0)+Games[[#This Row],[RestAdj]]))/400))</f>
        <v>0.88686073420785394</v>
      </c>
      <c r="R465" s="1">
        <v>76</v>
      </c>
      <c r="S465" s="1">
        <v>59</v>
      </c>
      <c r="T465" s="1">
        <v>0</v>
      </c>
      <c r="U465" s="1">
        <f>Games[[#This Row],[PointsFor]]-Games[[#This Row],[PointsAgainst]]</f>
        <v>17</v>
      </c>
      <c r="V465" s="1">
        <f>IF(Games[[#This Row],[MOV]]&gt;0,1,IF(Games[[#This Row],[MOV]]=0,0.5,0))</f>
        <v>1</v>
      </c>
      <c r="W465" s="4">
        <f>((ABS(Games[[#This Row],[MOV]])+5)^0.6)/(12+0.01*(ABS(Games[[#This Row],[PreGmRate]]-Games[[#This Row],[OppPreGmRate]])))*IF(Games[[#This Row],[OT]]=1,0.9,1)</f>
        <v>0.43355625839456224</v>
      </c>
      <c r="X465" s="7" cm="1">
        <f t="array" ref="X46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5" s="9">
        <f>MAX(kmin, kmax - 0.15 * MIN(Games[[#This Row],[GamesPlayed]], 82))</f>
        <v>70.150000000000006</v>
      </c>
      <c r="Z465" s="4">
        <f>Games[[#This Row],[K]]*Games[[#This Row],[POMult]]</f>
        <v>70.150000000000006</v>
      </c>
      <c r="AA465" s="4">
        <f>(Games[[#This Row],[Keff]]*Games[[#This Row],[MOVMult]])*(Games[[#This Row],[Result]]-Games[[#This Row],[ExpectedWin%]])</f>
        <v>3.4410144083177041</v>
      </c>
      <c r="AB465" s="4">
        <f>Games[[#This Row],[PreGmRate]]+Games[[#This Row],[RatingChange]]</f>
        <v>1620.1523905010031</v>
      </c>
      <c r="AC465" s="2">
        <f>IF(Games[[#This Row],[Type]]="R",IF(Games[[#This Row],[Result]]&gt;0.5,1,0),0)</f>
        <v>1</v>
      </c>
      <c r="AD465" s="2">
        <f>IF(Games[[#This Row],[Type]]="R",IF(Games[[#This Row],[Result]]&lt;0.5,1,0),0)</f>
        <v>0</v>
      </c>
      <c r="AE465" s="2">
        <f>IF(AND(Games[[#This Row],[Type]]="P",Games[[#This Row],[Round]]=1),IF(Games[[#This Row],[Result]]&gt;0.5,1,0),0)</f>
        <v>0</v>
      </c>
      <c r="AF465" s="2">
        <f>IF(AND(Games[[#This Row],[Type]]="P",Games[[#This Row],[Round]]=1),IF(Games[[#This Row],[Result]]&lt;0.5,1,0),0)</f>
        <v>0</v>
      </c>
      <c r="AG465" s="2">
        <f>IF(AND(Games[[#This Row],[Type]]="P",Games[[#This Row],[Round]]=2),IF(Games[[#This Row],[Result]]&gt;0.5,1,0),0)</f>
        <v>0</v>
      </c>
      <c r="AH465" s="2">
        <f>IF(AND(Games[[#This Row],[Type]]="P",Games[[#This Row],[Round]]=2),IF(Games[[#This Row],[Result]]&lt;0.5,1,0),0)</f>
        <v>0</v>
      </c>
      <c r="AI465" s="2">
        <f>IF(AND(Games[[#This Row],[Type]]="P",Games[[#This Row],[Round]]=3),IF(Games[[#This Row],[Result]]&gt;0.5,1,0),0)</f>
        <v>0</v>
      </c>
      <c r="AJ465" s="2">
        <f>IF(AND(Games[[#This Row],[Type]]="P",Games[[#This Row],[Round]]=3),IF(Games[[#This Row],[Result]]&lt;0.5,1,0),0)</f>
        <v>0</v>
      </c>
      <c r="AK465" s="2">
        <f>IF(AND(Games[[#This Row],[Type]]="P",Games[[#This Row],[Round]]=4),IF(Games[[#This Row],[Result]]&gt;0.5,1,0),0)</f>
        <v>0</v>
      </c>
      <c r="AL465" s="2">
        <f>IF(AND(Games[[#This Row],[Type]]="P",Games[[#This Row],[Round]]=4),IF(Games[[#This Row],[Result]]&lt;0.5,1,0),0)</f>
        <v>0</v>
      </c>
    </row>
    <row r="466" spans="1:38" x14ac:dyDescent="0.35">
      <c r="A466" s="10">
        <v>45177</v>
      </c>
      <c r="B466" s="2">
        <v>2023</v>
      </c>
      <c r="C466" s="2">
        <f>COUNTIFS(Games[Team],Games[[#This Row],[Team]],Games[Season],Games[[#This Row],[Season]],Games[Date],"&lt;=" &amp; Games[[#This Row],[Date]])</f>
        <v>39</v>
      </c>
      <c r="D466" s="2" t="s">
        <v>79</v>
      </c>
      <c r="E466" s="2" t="s">
        <v>80</v>
      </c>
      <c r="F466" s="1" t="s">
        <v>71</v>
      </c>
      <c r="G466" s="1" t="s">
        <v>85</v>
      </c>
      <c r="H466" s="1" t="s">
        <v>81</v>
      </c>
      <c r="I466" s="2" cm="1">
        <f t="array" ref="I4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6" s="2" cm="1">
        <f t="array" ref="J4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66" s="2">
        <f>Games[[#This Row],[DaysOff]]-Games[[#This Row],[OppDaysOff]]</f>
        <v>-1</v>
      </c>
      <c r="L466" s="2">
        <f>Games[[#This Row],[OppDaysOff]]-Games[[#This Row],[DaysOff]]</f>
        <v>1</v>
      </c>
      <c r="M466" s="1">
        <f>MAX(-16, MIN(16, Games[[#This Row],[RestDiff]]*8))</f>
        <v>-8</v>
      </c>
      <c r="N466" s="1">
        <f>MAX(-16, MIN(16, Games[[#This Row],[OppRestDiff]]*8))</f>
        <v>8</v>
      </c>
      <c r="O466" s="4" cm="1">
        <f t="array" ref="O4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1408.6906041215505</v>
      </c>
      <c r="P466" s="4" cm="1">
        <f t="array" ref="P4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1537.0741579955316</v>
      </c>
      <c r="Q466" s="4">
        <f>1/(1+10^(((Games[[#This Row],[OppPreGmRate]]+IF(Games[[#This Row],[HomeAway]]="A",HCA,0)+Games[[#This Row],[OppRestAdj]])-(Games[[#This Row],[PreGmRate]]+IF(Games[[#This Row],[HomeAway]]="H",HCA,0)+Games[[#This Row],[RestAdj]]))/400))</f>
        <v>0.21170452813107854</v>
      </c>
      <c r="R466" s="1">
        <v>91</v>
      </c>
      <c r="S466" s="1">
        <v>106</v>
      </c>
      <c r="T466" s="1">
        <v>0</v>
      </c>
      <c r="U466" s="1">
        <f>Games[[#This Row],[PointsFor]]-Games[[#This Row],[PointsAgainst]]</f>
        <v>-15</v>
      </c>
      <c r="V466" s="1">
        <f>IF(Games[[#This Row],[MOV]]&gt;0,1,IF(Games[[#This Row],[MOV]]=0,0.5,0))</f>
        <v>0</v>
      </c>
      <c r="W466" s="4">
        <f>((ABS(Games[[#This Row],[MOV]])+5)^0.6)/(12+0.01*(ABS(Games[[#This Row],[PreGmRate]]-Games[[#This Row],[OppPreGmRate]])))*IF(Games[[#This Row],[OT]]=1,0.9,1)</f>
        <v>0.45424955156570707</v>
      </c>
      <c r="X466" s="7" cm="1">
        <f t="array" ref="X46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6" s="9">
        <f>MAX(kmin, kmax - 0.15 * MIN(Games[[#This Row],[GamesPlayed]], 82))</f>
        <v>70.150000000000006</v>
      </c>
      <c r="Z466" s="4">
        <f>Games[[#This Row],[K]]*Games[[#This Row],[POMult]]</f>
        <v>70.150000000000006</v>
      </c>
      <c r="AA466" s="4">
        <f>(Games[[#This Row],[Keff]]*Games[[#This Row],[MOVMult]])*(Games[[#This Row],[Result]]-Games[[#This Row],[ExpectedWin%]])</f>
        <v>-6.7460930908032388</v>
      </c>
      <c r="AB466" s="4">
        <f>Games[[#This Row],[PreGmRate]]+Games[[#This Row],[RatingChange]]</f>
        <v>1401.9445110307472</v>
      </c>
      <c r="AC466" s="2">
        <f>IF(Games[[#This Row],[Type]]="R",IF(Games[[#This Row],[Result]]&gt;0.5,1,0),0)</f>
        <v>0</v>
      </c>
      <c r="AD466" s="2">
        <f>IF(Games[[#This Row],[Type]]="R",IF(Games[[#This Row],[Result]]&lt;0.5,1,0),0)</f>
        <v>1</v>
      </c>
      <c r="AE466" s="2">
        <f>IF(AND(Games[[#This Row],[Type]]="P",Games[[#This Row],[Round]]=1),IF(Games[[#This Row],[Result]]&gt;0.5,1,0),0)</f>
        <v>0</v>
      </c>
      <c r="AF466" s="2">
        <f>IF(AND(Games[[#This Row],[Type]]="P",Games[[#This Row],[Round]]=1),IF(Games[[#This Row],[Result]]&lt;0.5,1,0),0)</f>
        <v>0</v>
      </c>
      <c r="AG466" s="2">
        <f>IF(AND(Games[[#This Row],[Type]]="P",Games[[#This Row],[Round]]=2),IF(Games[[#This Row],[Result]]&gt;0.5,1,0),0)</f>
        <v>0</v>
      </c>
      <c r="AH466" s="2">
        <f>IF(AND(Games[[#This Row],[Type]]="P",Games[[#This Row],[Round]]=2),IF(Games[[#This Row],[Result]]&lt;0.5,1,0),0)</f>
        <v>0</v>
      </c>
      <c r="AI466" s="2">
        <f>IF(AND(Games[[#This Row],[Type]]="P",Games[[#This Row],[Round]]=3),IF(Games[[#This Row],[Result]]&gt;0.5,1,0),0)</f>
        <v>0</v>
      </c>
      <c r="AJ466" s="2">
        <f>IF(AND(Games[[#This Row],[Type]]="P",Games[[#This Row],[Round]]=3),IF(Games[[#This Row],[Result]]&lt;0.5,1,0),0)</f>
        <v>0</v>
      </c>
      <c r="AK466" s="2">
        <f>IF(AND(Games[[#This Row],[Type]]="P",Games[[#This Row],[Round]]=4),IF(Games[[#This Row],[Result]]&gt;0.5,1,0),0)</f>
        <v>0</v>
      </c>
      <c r="AL466" s="2">
        <f>IF(AND(Games[[#This Row],[Type]]="P",Games[[#This Row],[Round]]=4),IF(Games[[#This Row],[Result]]&lt;0.5,1,0),0)</f>
        <v>0</v>
      </c>
    </row>
    <row r="467" spans="1:38" x14ac:dyDescent="0.35">
      <c r="A467" s="10">
        <v>45177</v>
      </c>
      <c r="B467" s="2">
        <v>2023</v>
      </c>
      <c r="C467" s="2">
        <f>COUNTIFS(Games[Team],Games[[#This Row],[Team]],Games[Season],Games[[#This Row],[Season]],Games[Date],"&lt;=" &amp; Games[[#This Row],[Date]])</f>
        <v>39</v>
      </c>
      <c r="D467" s="2" t="s">
        <v>79</v>
      </c>
      <c r="E467" s="2" t="s">
        <v>80</v>
      </c>
      <c r="F467" s="1" t="s">
        <v>85</v>
      </c>
      <c r="G467" s="1" t="s">
        <v>71</v>
      </c>
      <c r="H467" s="1" t="s">
        <v>82</v>
      </c>
      <c r="I467" s="2" cm="1">
        <f t="array" ref="I4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7" s="2" cm="1">
        <f t="array" ref="J4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7" s="2">
        <f>Games[[#This Row],[DaysOff]]-Games[[#This Row],[OppDaysOff]]</f>
        <v>1</v>
      </c>
      <c r="L467" s="2">
        <f>Games[[#This Row],[OppDaysOff]]-Games[[#This Row],[DaysOff]]</f>
        <v>-1</v>
      </c>
      <c r="M467" s="1">
        <f>MAX(-16, MIN(16, Games[[#This Row],[RestDiff]]*8))</f>
        <v>8</v>
      </c>
      <c r="N467" s="1">
        <f>MAX(-16, MIN(16, Games[[#This Row],[OppRestDiff]]*8))</f>
        <v>-8</v>
      </c>
      <c r="O467" s="4" cm="1">
        <f t="array" ref="O4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1537.0741579955316</v>
      </c>
      <c r="P467" s="4" cm="1">
        <f t="array" ref="P4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1408.6906041215505</v>
      </c>
      <c r="Q467" s="4">
        <f>1/(1+10^(((Games[[#This Row],[OppPreGmRate]]+IF(Games[[#This Row],[HomeAway]]="A",HCA,0)+Games[[#This Row],[OppRestAdj]])-(Games[[#This Row],[PreGmRate]]+IF(Games[[#This Row],[HomeAway]]="H",HCA,0)+Games[[#This Row],[RestAdj]]))/400))</f>
        <v>0.78829547186892146</v>
      </c>
      <c r="R467" s="1">
        <v>106</v>
      </c>
      <c r="S467" s="1">
        <v>91</v>
      </c>
      <c r="T467" s="1">
        <v>0</v>
      </c>
      <c r="U467" s="1">
        <f>Games[[#This Row],[PointsFor]]-Games[[#This Row],[PointsAgainst]]</f>
        <v>15</v>
      </c>
      <c r="V467" s="1">
        <f>IF(Games[[#This Row],[MOV]]&gt;0,1,IF(Games[[#This Row],[MOV]]=0,0.5,0))</f>
        <v>1</v>
      </c>
      <c r="W467" s="4">
        <f>((ABS(Games[[#This Row],[MOV]])+5)^0.6)/(12+0.01*(ABS(Games[[#This Row],[PreGmRate]]-Games[[#This Row],[OppPreGmRate]])))*IF(Games[[#This Row],[OT]]=1,0.9,1)</f>
        <v>0.45424955156570707</v>
      </c>
      <c r="X467" s="7" cm="1">
        <f t="array" ref="X46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7" s="9">
        <f>MAX(kmin, kmax - 0.15 * MIN(Games[[#This Row],[GamesPlayed]], 82))</f>
        <v>70.150000000000006</v>
      </c>
      <c r="Z467" s="4">
        <f>Games[[#This Row],[K]]*Games[[#This Row],[POMult]]</f>
        <v>70.150000000000006</v>
      </c>
      <c r="AA467" s="4">
        <f>(Games[[#This Row],[Keff]]*Games[[#This Row],[MOVMult]])*(Games[[#This Row],[Result]]-Games[[#This Row],[ExpectedWin%]])</f>
        <v>6.7460930908032388</v>
      </c>
      <c r="AB467" s="4">
        <f>Games[[#This Row],[PreGmRate]]+Games[[#This Row],[RatingChange]]</f>
        <v>1543.8202510863348</v>
      </c>
      <c r="AC467" s="2">
        <f>IF(Games[[#This Row],[Type]]="R",IF(Games[[#This Row],[Result]]&gt;0.5,1,0),0)</f>
        <v>1</v>
      </c>
      <c r="AD467" s="2">
        <f>IF(Games[[#This Row],[Type]]="R",IF(Games[[#This Row],[Result]]&lt;0.5,1,0),0)</f>
        <v>0</v>
      </c>
      <c r="AE467" s="2">
        <f>IF(AND(Games[[#This Row],[Type]]="P",Games[[#This Row],[Round]]=1),IF(Games[[#This Row],[Result]]&gt;0.5,1,0),0)</f>
        <v>0</v>
      </c>
      <c r="AF467" s="2">
        <f>IF(AND(Games[[#This Row],[Type]]="P",Games[[#This Row],[Round]]=1),IF(Games[[#This Row],[Result]]&lt;0.5,1,0),0)</f>
        <v>0</v>
      </c>
      <c r="AG467" s="2">
        <f>IF(AND(Games[[#This Row],[Type]]="P",Games[[#This Row],[Round]]=2),IF(Games[[#This Row],[Result]]&gt;0.5,1,0),0)</f>
        <v>0</v>
      </c>
      <c r="AH467" s="2">
        <f>IF(AND(Games[[#This Row],[Type]]="P",Games[[#This Row],[Round]]=2),IF(Games[[#This Row],[Result]]&lt;0.5,1,0),0)</f>
        <v>0</v>
      </c>
      <c r="AI467" s="2">
        <f>IF(AND(Games[[#This Row],[Type]]="P",Games[[#This Row],[Round]]=3),IF(Games[[#This Row],[Result]]&gt;0.5,1,0),0)</f>
        <v>0</v>
      </c>
      <c r="AJ467" s="2">
        <f>IF(AND(Games[[#This Row],[Type]]="P",Games[[#This Row],[Round]]=3),IF(Games[[#This Row],[Result]]&lt;0.5,1,0),0)</f>
        <v>0</v>
      </c>
      <c r="AK467" s="2">
        <f>IF(AND(Games[[#This Row],[Type]]="P",Games[[#This Row],[Round]]=4),IF(Games[[#This Row],[Result]]&gt;0.5,1,0),0)</f>
        <v>0</v>
      </c>
      <c r="AL467" s="2">
        <f>IF(AND(Games[[#This Row],[Type]]="P",Games[[#This Row],[Round]]=4),IF(Games[[#This Row],[Result]]&lt;0.5,1,0),0)</f>
        <v>0</v>
      </c>
    </row>
    <row r="468" spans="1:38" x14ac:dyDescent="0.35">
      <c r="A468" s="10">
        <v>45177</v>
      </c>
      <c r="B468" s="2">
        <v>2023</v>
      </c>
      <c r="C468" s="2">
        <f>COUNTIFS(Games[Team],Games[[#This Row],[Team]],Games[Season],Games[[#This Row],[Season]],Games[Date],"&lt;=" &amp; Games[[#This Row],[Date]])</f>
        <v>40</v>
      </c>
      <c r="D468" s="2" t="s">
        <v>79</v>
      </c>
      <c r="E468" s="2" t="s">
        <v>80</v>
      </c>
      <c r="F468" s="1" t="s">
        <v>86</v>
      </c>
      <c r="G468" s="1" t="s">
        <v>40</v>
      </c>
      <c r="H468" s="1" t="s">
        <v>81</v>
      </c>
      <c r="I468" s="2" cm="1">
        <f t="array" ref="I468">IFERROR(
    Games[[#This Row],[Date]]
    - LOOKUP(
        2,
        1/((Games[Team]=Games[[#This Row],[Team]]) * (Games[Date] &lt; Games[[#This Row],[Date]])),
        Games[Date]
    )
    - 1,
Games[[#This Row],[Date]]-$A$2)</f>
        <v>5</v>
      </c>
      <c r="J468" s="2" cm="1">
        <f t="array" ref="J46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68" s="2">
        <f>Games[[#This Row],[DaysOff]]-Games[[#This Row],[OppDaysOff]]</f>
        <v>3</v>
      </c>
      <c r="L468" s="2">
        <f>Games[[#This Row],[OppDaysOff]]-Games[[#This Row],[DaysOff]]</f>
        <v>-3</v>
      </c>
      <c r="M468" s="1">
        <f>MAX(-16, MIN(16, Games[[#This Row],[RestDiff]]*8))</f>
        <v>16</v>
      </c>
      <c r="N468" s="1">
        <f>MAX(-16, MIN(16, Games[[#This Row],[OppRestDiff]]*8))</f>
        <v>-16</v>
      </c>
      <c r="O468" s="4" cm="1">
        <f t="array" ref="O4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1706.2377532290748</v>
      </c>
      <c r="P468" s="4" cm="1">
        <f t="array" ref="P4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1307.351253169244</v>
      </c>
      <c r="Q468" s="4">
        <f>1/(1+10^(((Games[[#This Row],[OppPreGmRate]]+IF(Games[[#This Row],[HomeAway]]="A",HCA,0)+Games[[#This Row],[OppRestAdj]])-(Games[[#This Row],[PreGmRate]]+IF(Games[[#This Row],[HomeAway]]="H",HCA,0)+Games[[#This Row],[RestAdj]]))/400))</f>
        <v>0.88046481566190882</v>
      </c>
      <c r="R468" s="1">
        <v>94</v>
      </c>
      <c r="S468" s="1">
        <v>73</v>
      </c>
      <c r="T468" s="1">
        <v>0</v>
      </c>
      <c r="U468" s="1">
        <f>Games[[#This Row],[PointsFor]]-Games[[#This Row],[PointsAgainst]]</f>
        <v>21</v>
      </c>
      <c r="V468" s="1">
        <f>IF(Games[[#This Row],[MOV]]&gt;0,1,IF(Games[[#This Row],[MOV]]=0,0.5,0))</f>
        <v>1</v>
      </c>
      <c r="W468" s="4">
        <f>((ABS(Games[[#This Row],[MOV]])+5)^0.6)/(12+0.01*(ABS(Games[[#This Row],[PreGmRate]]-Games[[#This Row],[OppPreGmRate]])))*IF(Games[[#This Row],[OT]]=1,0.9,1)</f>
        <v>0.44173964024241552</v>
      </c>
      <c r="X468" s="7" cm="1">
        <f t="array" ref="X46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8" s="9">
        <f>MAX(kmin, kmax - 0.15 * MIN(Games[[#This Row],[GamesPlayed]], 82))</f>
        <v>70</v>
      </c>
      <c r="Z468" s="4">
        <f>Games[[#This Row],[K]]*Games[[#This Row],[POMult]]</f>
        <v>70</v>
      </c>
      <c r="AA468" s="4">
        <f>(Games[[#This Row],[Keff]]*Games[[#This Row],[MOVMult]])*(Games[[#This Row],[Result]]-Games[[#This Row],[ExpectedWin%]])</f>
        <v>3.6962400528073456</v>
      </c>
      <c r="AB468" s="4">
        <f>Games[[#This Row],[PreGmRate]]+Games[[#This Row],[RatingChange]]</f>
        <v>1709.9339932818821</v>
      </c>
      <c r="AC468" s="2">
        <f>IF(Games[[#This Row],[Type]]="R",IF(Games[[#This Row],[Result]]&gt;0.5,1,0),0)</f>
        <v>1</v>
      </c>
      <c r="AD468" s="2">
        <f>IF(Games[[#This Row],[Type]]="R",IF(Games[[#This Row],[Result]]&lt;0.5,1,0),0)</f>
        <v>0</v>
      </c>
      <c r="AE468" s="2">
        <f>IF(AND(Games[[#This Row],[Type]]="P",Games[[#This Row],[Round]]=1),IF(Games[[#This Row],[Result]]&gt;0.5,1,0),0)</f>
        <v>0</v>
      </c>
      <c r="AF468" s="2">
        <f>IF(AND(Games[[#This Row],[Type]]="P",Games[[#This Row],[Round]]=1),IF(Games[[#This Row],[Result]]&lt;0.5,1,0),0)</f>
        <v>0</v>
      </c>
      <c r="AG468" s="2">
        <f>IF(AND(Games[[#This Row],[Type]]="P",Games[[#This Row],[Round]]=2),IF(Games[[#This Row],[Result]]&gt;0.5,1,0),0)</f>
        <v>0</v>
      </c>
      <c r="AH468" s="2">
        <f>IF(AND(Games[[#This Row],[Type]]="P",Games[[#This Row],[Round]]=2),IF(Games[[#This Row],[Result]]&lt;0.5,1,0),0)</f>
        <v>0</v>
      </c>
      <c r="AI468" s="2">
        <f>IF(AND(Games[[#This Row],[Type]]="P",Games[[#This Row],[Round]]=3),IF(Games[[#This Row],[Result]]&gt;0.5,1,0),0)</f>
        <v>0</v>
      </c>
      <c r="AJ468" s="2">
        <f>IF(AND(Games[[#This Row],[Type]]="P",Games[[#This Row],[Round]]=3),IF(Games[[#This Row],[Result]]&lt;0.5,1,0),0)</f>
        <v>0</v>
      </c>
      <c r="AK468" s="2">
        <f>IF(AND(Games[[#This Row],[Type]]="P",Games[[#This Row],[Round]]=4),IF(Games[[#This Row],[Result]]&gt;0.5,1,0),0)</f>
        <v>0</v>
      </c>
      <c r="AL468" s="2">
        <f>IF(AND(Games[[#This Row],[Type]]="P",Games[[#This Row],[Round]]=4),IF(Games[[#This Row],[Result]]&lt;0.5,1,0),0)</f>
        <v>0</v>
      </c>
    </row>
    <row r="469" spans="1:38" x14ac:dyDescent="0.35">
      <c r="A469" s="10">
        <v>45177</v>
      </c>
      <c r="B469" s="2">
        <v>2023</v>
      </c>
      <c r="C469" s="2">
        <f>COUNTIFS(Games[Team],Games[[#This Row],[Team]],Games[Season],Games[[#This Row],[Season]],Games[Date],"&lt;=" &amp; Games[[#This Row],[Date]])</f>
        <v>39</v>
      </c>
      <c r="D469" s="2" t="s">
        <v>79</v>
      </c>
      <c r="E469" s="2" t="s">
        <v>80</v>
      </c>
      <c r="F469" s="1" t="s">
        <v>40</v>
      </c>
      <c r="G469" s="1" t="s">
        <v>86</v>
      </c>
      <c r="H469" s="1" t="s">
        <v>82</v>
      </c>
      <c r="I469" s="2" cm="1">
        <f t="array" ref="I46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9" s="2" cm="1">
        <f t="array" ref="J46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69" s="2">
        <f>Games[[#This Row],[DaysOff]]-Games[[#This Row],[OppDaysOff]]</f>
        <v>-3</v>
      </c>
      <c r="L469" s="2">
        <f>Games[[#This Row],[OppDaysOff]]-Games[[#This Row],[DaysOff]]</f>
        <v>3</v>
      </c>
      <c r="M469" s="1">
        <f>MAX(-16, MIN(16, Games[[#This Row],[RestDiff]]*8))</f>
        <v>-16</v>
      </c>
      <c r="N469" s="1">
        <f>MAX(-16, MIN(16, Games[[#This Row],[OppRestDiff]]*8))</f>
        <v>16</v>
      </c>
      <c r="O469" s="4" cm="1">
        <f t="array" ref="O4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1307.351253169244</v>
      </c>
      <c r="P469" s="4" cm="1">
        <f t="array" ref="P4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1706.2377532290748</v>
      </c>
      <c r="Q469" s="4">
        <f>1/(1+10^(((Games[[#This Row],[OppPreGmRate]]+IF(Games[[#This Row],[HomeAway]]="A",HCA,0)+Games[[#This Row],[OppRestAdj]])-(Games[[#This Row],[PreGmRate]]+IF(Games[[#This Row],[HomeAway]]="H",HCA,0)+Games[[#This Row],[RestAdj]]))/400))</f>
        <v>0.11953518433809114</v>
      </c>
      <c r="R469" s="1">
        <v>73</v>
      </c>
      <c r="S469" s="1">
        <v>94</v>
      </c>
      <c r="T469" s="1">
        <v>0</v>
      </c>
      <c r="U469" s="1">
        <f>Games[[#This Row],[PointsFor]]-Games[[#This Row],[PointsAgainst]]</f>
        <v>-21</v>
      </c>
      <c r="V469" s="1">
        <f>IF(Games[[#This Row],[MOV]]&gt;0,1,IF(Games[[#This Row],[MOV]]=0,0.5,0))</f>
        <v>0</v>
      </c>
      <c r="W469" s="4">
        <f>((ABS(Games[[#This Row],[MOV]])+5)^0.6)/(12+0.01*(ABS(Games[[#This Row],[PreGmRate]]-Games[[#This Row],[OppPreGmRate]])))*IF(Games[[#This Row],[OT]]=1,0.9,1)</f>
        <v>0.44173964024241552</v>
      </c>
      <c r="X469" s="7" cm="1">
        <f t="array" ref="X46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9" s="9">
        <f>MAX(kmin, kmax - 0.15 * MIN(Games[[#This Row],[GamesPlayed]], 82))</f>
        <v>70.150000000000006</v>
      </c>
      <c r="Z469" s="4">
        <f>Games[[#This Row],[K]]*Games[[#This Row],[POMult]]</f>
        <v>70.150000000000006</v>
      </c>
      <c r="AA469" s="4">
        <f>(Games[[#This Row],[Keff]]*Games[[#This Row],[MOVMult]])*(Games[[#This Row],[Result]]-Games[[#This Row],[ExpectedWin%]])</f>
        <v>-3.7041605672062174</v>
      </c>
      <c r="AB469" s="4">
        <f>Games[[#This Row],[PreGmRate]]+Games[[#This Row],[RatingChange]]</f>
        <v>1303.6470926020379</v>
      </c>
      <c r="AC469" s="2">
        <f>IF(Games[[#This Row],[Type]]="R",IF(Games[[#This Row],[Result]]&gt;0.5,1,0),0)</f>
        <v>0</v>
      </c>
      <c r="AD469" s="2">
        <f>IF(Games[[#This Row],[Type]]="R",IF(Games[[#This Row],[Result]]&lt;0.5,1,0),0)</f>
        <v>1</v>
      </c>
      <c r="AE469" s="2">
        <f>IF(AND(Games[[#This Row],[Type]]="P",Games[[#This Row],[Round]]=1),IF(Games[[#This Row],[Result]]&gt;0.5,1,0),0)</f>
        <v>0</v>
      </c>
      <c r="AF469" s="2">
        <f>IF(AND(Games[[#This Row],[Type]]="P",Games[[#This Row],[Round]]=1),IF(Games[[#This Row],[Result]]&lt;0.5,1,0),0)</f>
        <v>0</v>
      </c>
      <c r="AG469" s="2">
        <f>IF(AND(Games[[#This Row],[Type]]="P",Games[[#This Row],[Round]]=2),IF(Games[[#This Row],[Result]]&gt;0.5,1,0),0)</f>
        <v>0</v>
      </c>
      <c r="AH469" s="2">
        <f>IF(AND(Games[[#This Row],[Type]]="P",Games[[#This Row],[Round]]=2),IF(Games[[#This Row],[Result]]&lt;0.5,1,0),0)</f>
        <v>0</v>
      </c>
      <c r="AI469" s="2">
        <f>IF(AND(Games[[#This Row],[Type]]="P",Games[[#This Row],[Round]]=3),IF(Games[[#This Row],[Result]]&gt;0.5,1,0),0)</f>
        <v>0</v>
      </c>
      <c r="AJ469" s="2">
        <f>IF(AND(Games[[#This Row],[Type]]="P",Games[[#This Row],[Round]]=3),IF(Games[[#This Row],[Result]]&lt;0.5,1,0),0)</f>
        <v>0</v>
      </c>
      <c r="AK469" s="2">
        <f>IF(AND(Games[[#This Row],[Type]]="P",Games[[#This Row],[Round]]=4),IF(Games[[#This Row],[Result]]&gt;0.5,1,0),0)</f>
        <v>0</v>
      </c>
      <c r="AL469" s="2">
        <f>IF(AND(Games[[#This Row],[Type]]="P",Games[[#This Row],[Round]]=4),IF(Games[[#This Row],[Result]]&lt;0.5,1,0),0)</f>
        <v>0</v>
      </c>
    </row>
    <row r="470" spans="1:38" x14ac:dyDescent="0.35">
      <c r="A470" s="10">
        <v>45177</v>
      </c>
      <c r="B470" s="2">
        <v>2023</v>
      </c>
      <c r="C470" s="2">
        <f>COUNTIFS(Games[Team],Games[[#This Row],[Team]],Games[Season],Games[[#This Row],[Season]],Games[Date],"&lt;=" &amp; Games[[#This Row],[Date]])</f>
        <v>39</v>
      </c>
      <c r="D470" s="2" t="s">
        <v>79</v>
      </c>
      <c r="E470" s="2" t="s">
        <v>80</v>
      </c>
      <c r="F470" s="1" t="s">
        <v>77</v>
      </c>
      <c r="G470" s="1" t="s">
        <v>65</v>
      </c>
      <c r="H470" s="1" t="s">
        <v>81</v>
      </c>
      <c r="I470" s="2" cm="1">
        <f t="array" ref="I4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0" s="2" cm="1">
        <f t="array" ref="J47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0" s="2">
        <f>Games[[#This Row],[DaysOff]]-Games[[#This Row],[OppDaysOff]]</f>
        <v>-1</v>
      </c>
      <c r="L470" s="2">
        <f>Games[[#This Row],[OppDaysOff]]-Games[[#This Row],[DaysOff]]</f>
        <v>1</v>
      </c>
      <c r="M470" s="1">
        <f>MAX(-16, MIN(16, Games[[#This Row],[RestDiff]]*8))</f>
        <v>-8</v>
      </c>
      <c r="N470" s="1">
        <f>MAX(-16, MIN(16, Games[[#This Row],[OppRestDiff]]*8))</f>
        <v>8</v>
      </c>
      <c r="O470" s="4" cm="1">
        <f t="array" ref="O4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1457.8282710396768</v>
      </c>
      <c r="P470" s="4" cm="1">
        <f t="array" ref="P4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1479.9524180797205</v>
      </c>
      <c r="Q470" s="4">
        <f>1/(1+10^(((Games[[#This Row],[OppPreGmRate]]+IF(Games[[#This Row],[HomeAway]]="A",HCA,0)+Games[[#This Row],[OppRestAdj]])-(Games[[#This Row],[PreGmRate]]+IF(Games[[#This Row],[HomeAway]]="H",HCA,0)+Games[[#This Row],[RestAdj]]))/400))</f>
        <v>0.33114673827095431</v>
      </c>
      <c r="R470" s="1">
        <v>80</v>
      </c>
      <c r="S470" s="1">
        <v>75</v>
      </c>
      <c r="T470" s="1">
        <v>0</v>
      </c>
      <c r="U470" s="1">
        <f>Games[[#This Row],[PointsFor]]-Games[[#This Row],[PointsAgainst]]</f>
        <v>5</v>
      </c>
      <c r="V470" s="1">
        <f>IF(Games[[#This Row],[MOV]]&gt;0,1,IF(Games[[#This Row],[MOV]]=0,0.5,0))</f>
        <v>1</v>
      </c>
      <c r="W470" s="4">
        <f>((ABS(Games[[#This Row],[MOV]])+5)^0.6)/(12+0.01*(ABS(Games[[#This Row],[PreGmRate]]-Games[[#This Row],[OppPreGmRate]])))*IF(Games[[#This Row],[OT]]=1,0.9,1)</f>
        <v>0.32575018791479049</v>
      </c>
      <c r="X470" s="7" cm="1">
        <f t="array" ref="X47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0" s="9">
        <f>MAX(kmin, kmax - 0.15 * MIN(Games[[#This Row],[GamesPlayed]], 82))</f>
        <v>70.150000000000006</v>
      </c>
      <c r="Z470" s="4">
        <f>Games[[#This Row],[K]]*Games[[#This Row],[POMult]]</f>
        <v>70.150000000000006</v>
      </c>
      <c r="AA470" s="4">
        <f>(Games[[#This Row],[Keff]]*Games[[#This Row],[MOVMult]])*(Games[[#This Row],[Result]]-Games[[#This Row],[ExpectedWin%]])</f>
        <v>15.284217160050352</v>
      </c>
      <c r="AB470" s="4">
        <f>Games[[#This Row],[PreGmRate]]+Games[[#This Row],[RatingChange]]</f>
        <v>1473.1124881997271</v>
      </c>
      <c r="AC470" s="2">
        <f>IF(Games[[#This Row],[Type]]="R",IF(Games[[#This Row],[Result]]&gt;0.5,1,0),0)</f>
        <v>1</v>
      </c>
      <c r="AD470" s="2">
        <f>IF(Games[[#This Row],[Type]]="R",IF(Games[[#This Row],[Result]]&lt;0.5,1,0),0)</f>
        <v>0</v>
      </c>
      <c r="AE470" s="2">
        <f>IF(AND(Games[[#This Row],[Type]]="P",Games[[#This Row],[Round]]=1),IF(Games[[#This Row],[Result]]&gt;0.5,1,0),0)</f>
        <v>0</v>
      </c>
      <c r="AF470" s="2">
        <f>IF(AND(Games[[#This Row],[Type]]="P",Games[[#This Row],[Round]]=1),IF(Games[[#This Row],[Result]]&lt;0.5,1,0),0)</f>
        <v>0</v>
      </c>
      <c r="AG470" s="2">
        <f>IF(AND(Games[[#This Row],[Type]]="P",Games[[#This Row],[Round]]=2),IF(Games[[#This Row],[Result]]&gt;0.5,1,0),0)</f>
        <v>0</v>
      </c>
      <c r="AH470" s="2">
        <f>IF(AND(Games[[#This Row],[Type]]="P",Games[[#This Row],[Round]]=2),IF(Games[[#This Row],[Result]]&lt;0.5,1,0),0)</f>
        <v>0</v>
      </c>
      <c r="AI470" s="2">
        <f>IF(AND(Games[[#This Row],[Type]]="P",Games[[#This Row],[Round]]=3),IF(Games[[#This Row],[Result]]&gt;0.5,1,0),0)</f>
        <v>0</v>
      </c>
      <c r="AJ470" s="2">
        <f>IF(AND(Games[[#This Row],[Type]]="P",Games[[#This Row],[Round]]=3),IF(Games[[#This Row],[Result]]&lt;0.5,1,0),0)</f>
        <v>0</v>
      </c>
      <c r="AK470" s="2">
        <f>IF(AND(Games[[#This Row],[Type]]="P",Games[[#This Row],[Round]]=4),IF(Games[[#This Row],[Result]]&gt;0.5,1,0),0)</f>
        <v>0</v>
      </c>
      <c r="AL470" s="2">
        <f>IF(AND(Games[[#This Row],[Type]]="P",Games[[#This Row],[Round]]=4),IF(Games[[#This Row],[Result]]&lt;0.5,1,0),0)</f>
        <v>0</v>
      </c>
    </row>
    <row r="471" spans="1:38" x14ac:dyDescent="0.35">
      <c r="A471" s="10">
        <v>45177</v>
      </c>
      <c r="B471" s="2">
        <v>2023</v>
      </c>
      <c r="C471" s="2">
        <f>COUNTIFS(Games[Team],Games[[#This Row],[Team]],Games[Season],Games[[#This Row],[Season]],Games[Date],"&lt;=" &amp; Games[[#This Row],[Date]])</f>
        <v>39</v>
      </c>
      <c r="D471" s="2" t="s">
        <v>79</v>
      </c>
      <c r="E471" s="2" t="s">
        <v>80</v>
      </c>
      <c r="F471" s="1" t="s">
        <v>65</v>
      </c>
      <c r="G471" s="1" t="s">
        <v>77</v>
      </c>
      <c r="H471" s="1" t="s">
        <v>82</v>
      </c>
      <c r="I471" s="2" cm="1">
        <f t="array" ref="I47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1" s="2" cm="1">
        <f t="array" ref="J4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1" s="2">
        <f>Games[[#This Row],[DaysOff]]-Games[[#This Row],[OppDaysOff]]</f>
        <v>1</v>
      </c>
      <c r="L471" s="2">
        <f>Games[[#This Row],[OppDaysOff]]-Games[[#This Row],[DaysOff]]</f>
        <v>-1</v>
      </c>
      <c r="M471" s="1">
        <f>MAX(-16, MIN(16, Games[[#This Row],[RestDiff]]*8))</f>
        <v>8</v>
      </c>
      <c r="N471" s="1">
        <f>MAX(-16, MIN(16, Games[[#This Row],[OppRestDiff]]*8))</f>
        <v>-8</v>
      </c>
      <c r="O471" s="4" cm="1">
        <f t="array" ref="O4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1479.9524180797205</v>
      </c>
      <c r="P471" s="4" cm="1">
        <f t="array" ref="P4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1457.8282710396768</v>
      </c>
      <c r="Q471" s="4">
        <f>1/(1+10^(((Games[[#This Row],[OppPreGmRate]]+IF(Games[[#This Row],[HomeAway]]="A",HCA,0)+Games[[#This Row],[OppRestAdj]])-(Games[[#This Row],[PreGmRate]]+IF(Games[[#This Row],[HomeAway]]="H",HCA,0)+Games[[#This Row],[RestAdj]]))/400))</f>
        <v>0.66885326172904569</v>
      </c>
      <c r="R471" s="1">
        <v>75</v>
      </c>
      <c r="S471" s="1">
        <v>80</v>
      </c>
      <c r="T471" s="1">
        <v>0</v>
      </c>
      <c r="U471" s="1">
        <f>Games[[#This Row],[PointsFor]]-Games[[#This Row],[PointsAgainst]]</f>
        <v>-5</v>
      </c>
      <c r="V471" s="1">
        <f>IF(Games[[#This Row],[MOV]]&gt;0,1,IF(Games[[#This Row],[MOV]]=0,0.5,0))</f>
        <v>0</v>
      </c>
      <c r="W471" s="4">
        <f>((ABS(Games[[#This Row],[MOV]])+5)^0.6)/(12+0.01*(ABS(Games[[#This Row],[PreGmRate]]-Games[[#This Row],[OppPreGmRate]])))*IF(Games[[#This Row],[OT]]=1,0.9,1)</f>
        <v>0.32575018791479049</v>
      </c>
      <c r="X471" s="7" cm="1">
        <f t="array" ref="X47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1" s="9">
        <f>MAX(kmin, kmax - 0.15 * MIN(Games[[#This Row],[GamesPlayed]], 82))</f>
        <v>70.150000000000006</v>
      </c>
      <c r="Z471" s="4">
        <f>Games[[#This Row],[K]]*Games[[#This Row],[POMult]]</f>
        <v>70.150000000000006</v>
      </c>
      <c r="AA471" s="4">
        <f>(Games[[#This Row],[Keff]]*Games[[#This Row],[MOVMult]])*(Games[[#This Row],[Result]]-Games[[#This Row],[ExpectedWin%]])</f>
        <v>-15.284217160050352</v>
      </c>
      <c r="AB471" s="4">
        <f>Games[[#This Row],[PreGmRate]]+Games[[#This Row],[RatingChange]]</f>
        <v>1464.6682009196702</v>
      </c>
      <c r="AC471" s="2">
        <f>IF(Games[[#This Row],[Type]]="R",IF(Games[[#This Row],[Result]]&gt;0.5,1,0),0)</f>
        <v>0</v>
      </c>
      <c r="AD471" s="2">
        <f>IF(Games[[#This Row],[Type]]="R",IF(Games[[#This Row],[Result]]&lt;0.5,1,0),0)</f>
        <v>1</v>
      </c>
      <c r="AE471" s="2">
        <f>IF(AND(Games[[#This Row],[Type]]="P",Games[[#This Row],[Round]]=1),IF(Games[[#This Row],[Result]]&gt;0.5,1,0),0)</f>
        <v>0</v>
      </c>
      <c r="AF471" s="2">
        <f>IF(AND(Games[[#This Row],[Type]]="P",Games[[#This Row],[Round]]=1),IF(Games[[#This Row],[Result]]&lt;0.5,1,0),0)</f>
        <v>0</v>
      </c>
      <c r="AG471" s="2">
        <f>IF(AND(Games[[#This Row],[Type]]="P",Games[[#This Row],[Round]]=2),IF(Games[[#This Row],[Result]]&gt;0.5,1,0),0)</f>
        <v>0</v>
      </c>
      <c r="AH471" s="2">
        <f>IF(AND(Games[[#This Row],[Type]]="P",Games[[#This Row],[Round]]=2),IF(Games[[#This Row],[Result]]&lt;0.5,1,0),0)</f>
        <v>0</v>
      </c>
      <c r="AI471" s="2">
        <f>IF(AND(Games[[#This Row],[Type]]="P",Games[[#This Row],[Round]]=3),IF(Games[[#This Row],[Result]]&gt;0.5,1,0),0)</f>
        <v>0</v>
      </c>
      <c r="AJ471" s="2">
        <f>IF(AND(Games[[#This Row],[Type]]="P",Games[[#This Row],[Round]]=3),IF(Games[[#This Row],[Result]]&lt;0.5,1,0),0)</f>
        <v>0</v>
      </c>
      <c r="AK471" s="2">
        <f>IF(AND(Games[[#This Row],[Type]]="P",Games[[#This Row],[Round]]=4),IF(Games[[#This Row],[Result]]&gt;0.5,1,0),0)</f>
        <v>0</v>
      </c>
      <c r="AL471" s="2">
        <f>IF(AND(Games[[#This Row],[Type]]="P",Games[[#This Row],[Round]]=4),IF(Games[[#This Row],[Result]]&lt;0.5,1,0),0)</f>
        <v>0</v>
      </c>
    </row>
    <row r="472" spans="1:38" x14ac:dyDescent="0.35">
      <c r="A472" s="10">
        <v>45179</v>
      </c>
      <c r="B472" s="2">
        <v>2023</v>
      </c>
      <c r="C472" s="2">
        <f>COUNTIFS(Games[Team],Games[[#This Row],[Team]],Games[Season],Games[[#This Row],[Season]],Games[Date],"&lt;=" &amp; Games[[#This Row],[Date]])</f>
        <v>40</v>
      </c>
      <c r="D472" s="2" t="s">
        <v>79</v>
      </c>
      <c r="E472" s="2" t="s">
        <v>80</v>
      </c>
      <c r="F472" s="1" t="s">
        <v>85</v>
      </c>
      <c r="G472" s="1" t="s">
        <v>77</v>
      </c>
      <c r="H472" s="1" t="s">
        <v>81</v>
      </c>
      <c r="I472" s="2" cm="1">
        <f t="array" ref="I4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2" s="2" cm="1">
        <f t="array" ref="J4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2" s="2">
        <f>Games[[#This Row],[DaysOff]]-Games[[#This Row],[OppDaysOff]]</f>
        <v>0</v>
      </c>
      <c r="L472" s="2">
        <f>Games[[#This Row],[OppDaysOff]]-Games[[#This Row],[DaysOff]]</f>
        <v>0</v>
      </c>
      <c r="M472" s="1">
        <f>MAX(-16, MIN(16, Games[[#This Row],[RestDiff]]*8))</f>
        <v>0</v>
      </c>
      <c r="N472" s="1">
        <f>MAX(-16, MIN(16, Games[[#This Row],[OppRestDiff]]*8))</f>
        <v>0</v>
      </c>
      <c r="O472" s="4" cm="1">
        <f t="array" ref="O4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1543.8202510863348</v>
      </c>
      <c r="P472" s="4" cm="1">
        <f t="array" ref="P4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1473.1124881997271</v>
      </c>
      <c r="Q472" s="4">
        <f>1/(1+10^(((Games[[#This Row],[OppPreGmRate]]+IF(Games[[#This Row],[HomeAway]]="A",HCA,0)+Games[[#This Row],[OppRestAdj]])-(Games[[#This Row],[PreGmRate]]+IF(Games[[#This Row],[HomeAway]]="H",HCA,0)+Games[[#This Row],[RestAdj]]))/400))</f>
        <v>0.48088026062019495</v>
      </c>
      <c r="R472" s="1">
        <v>94</v>
      </c>
      <c r="S472" s="1">
        <v>77</v>
      </c>
      <c r="T472" s="1">
        <v>0</v>
      </c>
      <c r="U472" s="1">
        <f>Games[[#This Row],[PointsFor]]-Games[[#This Row],[PointsAgainst]]</f>
        <v>17</v>
      </c>
      <c r="V472" s="1">
        <f>IF(Games[[#This Row],[MOV]]&gt;0,1,IF(Games[[#This Row],[MOV]]=0,0.5,0))</f>
        <v>1</v>
      </c>
      <c r="W472" s="4">
        <f>((ABS(Games[[#This Row],[MOV]])+5)^0.6)/(12+0.01*(ABS(Games[[#This Row],[PreGmRate]]-Games[[#This Row],[OppPreGmRate]])))*IF(Games[[#This Row],[OT]]=1,0.9,1)</f>
        <v>0.50281465303003114</v>
      </c>
      <c r="X472" s="7" cm="1">
        <f t="array" ref="X47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2" s="9">
        <f>MAX(kmin, kmax - 0.15 * MIN(Games[[#This Row],[GamesPlayed]], 82))</f>
        <v>70</v>
      </c>
      <c r="Z472" s="4">
        <f>Games[[#This Row],[K]]*Games[[#This Row],[POMult]]</f>
        <v>70</v>
      </c>
      <c r="AA472" s="4">
        <f>(Games[[#This Row],[Keff]]*Games[[#This Row],[MOVMult]])*(Games[[#This Row],[Result]]-Games[[#This Row],[ExpectedWin%]])</f>
        <v>18.271470814610783</v>
      </c>
      <c r="AB472" s="4">
        <f>Games[[#This Row],[PreGmRate]]+Games[[#This Row],[RatingChange]]</f>
        <v>1562.0917219009457</v>
      </c>
      <c r="AC472" s="2">
        <f>IF(Games[[#This Row],[Type]]="R",IF(Games[[#This Row],[Result]]&gt;0.5,1,0),0)</f>
        <v>1</v>
      </c>
      <c r="AD472" s="2">
        <f>IF(Games[[#This Row],[Type]]="R",IF(Games[[#This Row],[Result]]&lt;0.5,1,0),0)</f>
        <v>0</v>
      </c>
      <c r="AE472" s="2">
        <f>IF(AND(Games[[#This Row],[Type]]="P",Games[[#This Row],[Round]]=1),IF(Games[[#This Row],[Result]]&gt;0.5,1,0),0)</f>
        <v>0</v>
      </c>
      <c r="AF472" s="2">
        <f>IF(AND(Games[[#This Row],[Type]]="P",Games[[#This Row],[Round]]=1),IF(Games[[#This Row],[Result]]&lt;0.5,1,0),0)</f>
        <v>0</v>
      </c>
      <c r="AG472" s="2">
        <f>IF(AND(Games[[#This Row],[Type]]="P",Games[[#This Row],[Round]]=2),IF(Games[[#This Row],[Result]]&gt;0.5,1,0),0)</f>
        <v>0</v>
      </c>
      <c r="AH472" s="2">
        <f>IF(AND(Games[[#This Row],[Type]]="P",Games[[#This Row],[Round]]=2),IF(Games[[#This Row],[Result]]&lt;0.5,1,0),0)</f>
        <v>0</v>
      </c>
      <c r="AI472" s="2">
        <f>IF(AND(Games[[#This Row],[Type]]="P",Games[[#This Row],[Round]]=3),IF(Games[[#This Row],[Result]]&gt;0.5,1,0),0)</f>
        <v>0</v>
      </c>
      <c r="AJ472" s="2">
        <f>IF(AND(Games[[#This Row],[Type]]="P",Games[[#This Row],[Round]]=3),IF(Games[[#This Row],[Result]]&lt;0.5,1,0),0)</f>
        <v>0</v>
      </c>
      <c r="AK472" s="2">
        <f>IF(AND(Games[[#This Row],[Type]]="P",Games[[#This Row],[Round]]=4),IF(Games[[#This Row],[Result]]&gt;0.5,1,0),0)</f>
        <v>0</v>
      </c>
      <c r="AL472" s="2">
        <f>IF(AND(Games[[#This Row],[Type]]="P",Games[[#This Row],[Round]]=4),IF(Games[[#This Row],[Result]]&lt;0.5,1,0),0)</f>
        <v>0</v>
      </c>
    </row>
    <row r="473" spans="1:38" x14ac:dyDescent="0.35">
      <c r="A473" s="10">
        <v>45179</v>
      </c>
      <c r="B473" s="2">
        <v>2023</v>
      </c>
      <c r="C473" s="2">
        <f>COUNTIFS(Games[Team],Games[[#This Row],[Team]],Games[Season],Games[[#This Row],[Season]],Games[Date],"&lt;=" &amp; Games[[#This Row],[Date]])</f>
        <v>40</v>
      </c>
      <c r="D473" s="2" t="s">
        <v>79</v>
      </c>
      <c r="E473" s="2" t="s">
        <v>80</v>
      </c>
      <c r="F473" s="1" t="s">
        <v>77</v>
      </c>
      <c r="G473" s="1" t="s">
        <v>85</v>
      </c>
      <c r="H473" s="1" t="s">
        <v>82</v>
      </c>
      <c r="I473" s="2" cm="1">
        <f t="array" ref="I4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3" s="2" cm="1">
        <f t="array" ref="J4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3" s="2">
        <f>Games[[#This Row],[DaysOff]]-Games[[#This Row],[OppDaysOff]]</f>
        <v>0</v>
      </c>
      <c r="L473" s="2">
        <f>Games[[#This Row],[OppDaysOff]]-Games[[#This Row],[DaysOff]]</f>
        <v>0</v>
      </c>
      <c r="M473" s="1">
        <f>MAX(-16, MIN(16, Games[[#This Row],[RestDiff]]*8))</f>
        <v>0</v>
      </c>
      <c r="N473" s="1">
        <f>MAX(-16, MIN(16, Games[[#This Row],[OppRestDiff]]*8))</f>
        <v>0</v>
      </c>
      <c r="O473" s="4" cm="1">
        <f t="array" ref="O4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1473.1124881997271</v>
      </c>
      <c r="P473" s="4" cm="1">
        <f t="array" ref="P4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1543.8202510863348</v>
      </c>
      <c r="Q473" s="4">
        <f>1/(1+10^(((Games[[#This Row],[OppPreGmRate]]+IF(Games[[#This Row],[HomeAway]]="A",HCA,0)+Games[[#This Row],[OppRestAdj]])-(Games[[#This Row],[PreGmRate]]+IF(Games[[#This Row],[HomeAway]]="H",HCA,0)+Games[[#This Row],[RestAdj]]))/400))</f>
        <v>0.51911973937980516</v>
      </c>
      <c r="R473" s="1">
        <v>77</v>
      </c>
      <c r="S473" s="1">
        <v>94</v>
      </c>
      <c r="T473" s="1">
        <v>0</v>
      </c>
      <c r="U473" s="1">
        <f>Games[[#This Row],[PointsFor]]-Games[[#This Row],[PointsAgainst]]</f>
        <v>-17</v>
      </c>
      <c r="V473" s="1">
        <f>IF(Games[[#This Row],[MOV]]&gt;0,1,IF(Games[[#This Row],[MOV]]=0,0.5,0))</f>
        <v>0</v>
      </c>
      <c r="W473" s="4">
        <f>((ABS(Games[[#This Row],[MOV]])+5)^0.6)/(12+0.01*(ABS(Games[[#This Row],[PreGmRate]]-Games[[#This Row],[OppPreGmRate]])))*IF(Games[[#This Row],[OT]]=1,0.9,1)</f>
        <v>0.50281465303003114</v>
      </c>
      <c r="X473" s="7" cm="1">
        <f t="array" ref="X47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3" s="9">
        <f>MAX(kmin, kmax - 0.15 * MIN(Games[[#This Row],[GamesPlayed]], 82))</f>
        <v>70</v>
      </c>
      <c r="Z473" s="4">
        <f>Games[[#This Row],[K]]*Games[[#This Row],[POMult]]</f>
        <v>70</v>
      </c>
      <c r="AA473" s="4">
        <f>(Games[[#This Row],[Keff]]*Games[[#This Row],[MOVMult]])*(Games[[#This Row],[Result]]-Games[[#This Row],[ExpectedWin%]])</f>
        <v>-18.271470814610787</v>
      </c>
      <c r="AB473" s="4">
        <f>Games[[#This Row],[PreGmRate]]+Games[[#This Row],[RatingChange]]</f>
        <v>1454.8410173851162</v>
      </c>
      <c r="AC473" s="2">
        <f>IF(Games[[#This Row],[Type]]="R",IF(Games[[#This Row],[Result]]&gt;0.5,1,0),0)</f>
        <v>0</v>
      </c>
      <c r="AD473" s="2">
        <f>IF(Games[[#This Row],[Type]]="R",IF(Games[[#This Row],[Result]]&lt;0.5,1,0),0)</f>
        <v>1</v>
      </c>
      <c r="AE473" s="2">
        <f>IF(AND(Games[[#This Row],[Type]]="P",Games[[#This Row],[Round]]=1),IF(Games[[#This Row],[Result]]&gt;0.5,1,0),0)</f>
        <v>0</v>
      </c>
      <c r="AF473" s="2">
        <f>IF(AND(Games[[#This Row],[Type]]="P",Games[[#This Row],[Round]]=1),IF(Games[[#This Row],[Result]]&lt;0.5,1,0),0)</f>
        <v>0</v>
      </c>
      <c r="AG473" s="2">
        <f>IF(AND(Games[[#This Row],[Type]]="P",Games[[#This Row],[Round]]=2),IF(Games[[#This Row],[Result]]&gt;0.5,1,0),0)</f>
        <v>0</v>
      </c>
      <c r="AH473" s="2">
        <f>IF(AND(Games[[#This Row],[Type]]="P",Games[[#This Row],[Round]]=2),IF(Games[[#This Row],[Result]]&lt;0.5,1,0),0)</f>
        <v>0</v>
      </c>
      <c r="AI473" s="2">
        <f>IF(AND(Games[[#This Row],[Type]]="P",Games[[#This Row],[Round]]=3),IF(Games[[#This Row],[Result]]&gt;0.5,1,0),0)</f>
        <v>0</v>
      </c>
      <c r="AJ473" s="2">
        <f>IF(AND(Games[[#This Row],[Type]]="P",Games[[#This Row],[Round]]=3),IF(Games[[#This Row],[Result]]&lt;0.5,1,0),0)</f>
        <v>0</v>
      </c>
      <c r="AK473" s="2">
        <f>IF(AND(Games[[#This Row],[Type]]="P",Games[[#This Row],[Round]]=4),IF(Games[[#This Row],[Result]]&gt;0.5,1,0),0)</f>
        <v>0</v>
      </c>
      <c r="AL473" s="2">
        <f>IF(AND(Games[[#This Row],[Type]]="P",Games[[#This Row],[Round]]=4),IF(Games[[#This Row],[Result]]&lt;0.5,1,0),0)</f>
        <v>0</v>
      </c>
    </row>
    <row r="474" spans="1:38" x14ac:dyDescent="0.35">
      <c r="A474" s="10">
        <v>45179</v>
      </c>
      <c r="B474" s="2">
        <v>2023</v>
      </c>
      <c r="C474" s="2">
        <f>COUNTIFS(Games[Team],Games[[#This Row],[Team]],Games[Season],Games[[#This Row],[Season]],Games[Date],"&lt;=" &amp; Games[[#This Row],[Date]])</f>
        <v>40</v>
      </c>
      <c r="D474" s="2" t="s">
        <v>79</v>
      </c>
      <c r="E474" s="2" t="s">
        <v>80</v>
      </c>
      <c r="F474" s="1" t="s">
        <v>75</v>
      </c>
      <c r="G474" s="1" t="s">
        <v>74</v>
      </c>
      <c r="H474" s="1" t="s">
        <v>81</v>
      </c>
      <c r="I474" s="2" cm="1">
        <f t="array" ref="I4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4" s="2" cm="1">
        <f t="array" ref="J4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4" s="2">
        <f>Games[[#This Row],[DaysOff]]-Games[[#This Row],[OppDaysOff]]</f>
        <v>0</v>
      </c>
      <c r="L474" s="2">
        <f>Games[[#This Row],[OppDaysOff]]-Games[[#This Row],[DaysOff]]</f>
        <v>0</v>
      </c>
      <c r="M474" s="1">
        <f>MAX(-16, MIN(16, Games[[#This Row],[RestDiff]]*8))</f>
        <v>0</v>
      </c>
      <c r="N474" s="1">
        <f>MAX(-16, MIN(16, Games[[#This Row],[OppRestDiff]]*8))</f>
        <v>0</v>
      </c>
      <c r="O474" s="4" cm="1">
        <f t="array" ref="O4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1492.1469157900062</v>
      </c>
      <c r="P474" s="4" cm="1">
        <f t="array" ref="P4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1620.1523905010031</v>
      </c>
      <c r="Q474" s="4">
        <f>1/(1+10^(((Games[[#This Row],[OppPreGmRate]]+IF(Games[[#This Row],[HomeAway]]="A",HCA,0)+Games[[#This Row],[OppRestAdj]])-(Games[[#This Row],[PreGmRate]]+IF(Games[[#This Row],[HomeAway]]="H",HCA,0)+Games[[#This Row],[RestAdj]]))/400))</f>
        <v>0.22786578164655977</v>
      </c>
      <c r="R474" s="1">
        <v>102</v>
      </c>
      <c r="S474" s="1">
        <v>91</v>
      </c>
      <c r="T474" s="1">
        <v>1</v>
      </c>
      <c r="U474" s="1">
        <f>Games[[#This Row],[PointsFor]]-Games[[#This Row],[PointsAgainst]]</f>
        <v>11</v>
      </c>
      <c r="V474" s="1">
        <f>IF(Games[[#This Row],[MOV]]&gt;0,1,IF(Games[[#This Row],[MOV]]=0,0.5,0))</f>
        <v>1</v>
      </c>
      <c r="W474" s="4">
        <f>((ABS(Games[[#This Row],[MOV]])+5)^0.6)/(12+0.01*(ABS(Games[[#This Row],[PreGmRate]]-Games[[#This Row],[OppPreGmRate]])))*IF(Games[[#This Row],[OT]]=1,0.9,1)</f>
        <v>0.35769645300718156</v>
      </c>
      <c r="X474" s="7" cm="1">
        <f t="array" ref="X47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4" s="9">
        <f>MAX(kmin, kmax - 0.15 * MIN(Games[[#This Row],[GamesPlayed]], 82))</f>
        <v>70</v>
      </c>
      <c r="Z474" s="4">
        <f>Games[[#This Row],[K]]*Games[[#This Row],[POMult]]</f>
        <v>70</v>
      </c>
      <c r="AA474" s="4">
        <f>(Games[[#This Row],[Keff]]*Games[[#This Row],[MOVMult]])*(Games[[#This Row],[Result]]-Games[[#This Row],[ExpectedWin%]])</f>
        <v>19.333276980534873</v>
      </c>
      <c r="AB474" s="4">
        <f>Games[[#This Row],[PreGmRate]]+Games[[#This Row],[RatingChange]]</f>
        <v>1511.4801927705412</v>
      </c>
      <c r="AC474" s="2">
        <f>IF(Games[[#This Row],[Type]]="R",IF(Games[[#This Row],[Result]]&gt;0.5,1,0),0)</f>
        <v>1</v>
      </c>
      <c r="AD474" s="2">
        <f>IF(Games[[#This Row],[Type]]="R",IF(Games[[#This Row],[Result]]&lt;0.5,1,0),0)</f>
        <v>0</v>
      </c>
      <c r="AE474" s="2">
        <f>IF(AND(Games[[#This Row],[Type]]="P",Games[[#This Row],[Round]]=1),IF(Games[[#This Row],[Result]]&gt;0.5,1,0),0)</f>
        <v>0</v>
      </c>
      <c r="AF474" s="2">
        <f>IF(AND(Games[[#This Row],[Type]]="P",Games[[#This Row],[Round]]=1),IF(Games[[#This Row],[Result]]&lt;0.5,1,0),0)</f>
        <v>0</v>
      </c>
      <c r="AG474" s="2">
        <f>IF(AND(Games[[#This Row],[Type]]="P",Games[[#This Row],[Round]]=2),IF(Games[[#This Row],[Result]]&gt;0.5,1,0),0)</f>
        <v>0</v>
      </c>
      <c r="AH474" s="2">
        <f>IF(AND(Games[[#This Row],[Type]]="P",Games[[#This Row],[Round]]=2),IF(Games[[#This Row],[Result]]&lt;0.5,1,0),0)</f>
        <v>0</v>
      </c>
      <c r="AI474" s="2">
        <f>IF(AND(Games[[#This Row],[Type]]="P",Games[[#This Row],[Round]]=3),IF(Games[[#This Row],[Result]]&gt;0.5,1,0),0)</f>
        <v>0</v>
      </c>
      <c r="AJ474" s="2">
        <f>IF(AND(Games[[#This Row],[Type]]="P",Games[[#This Row],[Round]]=3),IF(Games[[#This Row],[Result]]&lt;0.5,1,0),0)</f>
        <v>0</v>
      </c>
      <c r="AK474" s="2">
        <f>IF(AND(Games[[#This Row],[Type]]="P",Games[[#This Row],[Round]]=4),IF(Games[[#This Row],[Result]]&gt;0.5,1,0),0)</f>
        <v>0</v>
      </c>
      <c r="AL474" s="2">
        <f>IF(AND(Games[[#This Row],[Type]]="P",Games[[#This Row],[Round]]=4),IF(Games[[#This Row],[Result]]&lt;0.5,1,0),0)</f>
        <v>0</v>
      </c>
    </row>
    <row r="475" spans="1:38" x14ac:dyDescent="0.35">
      <c r="A475" s="10">
        <v>45179</v>
      </c>
      <c r="B475" s="2">
        <v>2023</v>
      </c>
      <c r="C475" s="2">
        <f>COUNTIFS(Games[Team],Games[[#This Row],[Team]],Games[Season],Games[[#This Row],[Season]],Games[Date],"&lt;=" &amp; Games[[#This Row],[Date]])</f>
        <v>40</v>
      </c>
      <c r="D475" s="2" t="s">
        <v>79</v>
      </c>
      <c r="E475" s="2" t="s">
        <v>80</v>
      </c>
      <c r="F475" s="1" t="s">
        <v>74</v>
      </c>
      <c r="G475" s="1" t="s">
        <v>75</v>
      </c>
      <c r="H475" s="1" t="s">
        <v>82</v>
      </c>
      <c r="I475" s="2" cm="1">
        <f t="array" ref="I4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5" s="2" cm="1">
        <f t="array" ref="J4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5" s="2">
        <f>Games[[#This Row],[DaysOff]]-Games[[#This Row],[OppDaysOff]]</f>
        <v>0</v>
      </c>
      <c r="L475" s="2">
        <f>Games[[#This Row],[OppDaysOff]]-Games[[#This Row],[DaysOff]]</f>
        <v>0</v>
      </c>
      <c r="M475" s="1">
        <f>MAX(-16, MIN(16, Games[[#This Row],[RestDiff]]*8))</f>
        <v>0</v>
      </c>
      <c r="N475" s="1">
        <f>MAX(-16, MIN(16, Games[[#This Row],[OppRestDiff]]*8))</f>
        <v>0</v>
      </c>
      <c r="O475" s="4" cm="1">
        <f t="array" ref="O4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1620.1523905010031</v>
      </c>
      <c r="P475" s="4" cm="1">
        <f t="array" ref="P4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1492.1469157900062</v>
      </c>
      <c r="Q475" s="4">
        <f>1/(1+10^(((Games[[#This Row],[OppPreGmRate]]+IF(Games[[#This Row],[HomeAway]]="A",HCA,0)+Games[[#This Row],[OppRestAdj]])-(Games[[#This Row],[PreGmRate]]+IF(Games[[#This Row],[HomeAway]]="H",HCA,0)+Games[[#This Row],[RestAdj]]))/400))</f>
        <v>0.7721342183534402</v>
      </c>
      <c r="R475" s="1">
        <v>91</v>
      </c>
      <c r="S475" s="1">
        <v>102</v>
      </c>
      <c r="T475" s="1">
        <v>1</v>
      </c>
      <c r="U475" s="1">
        <f>Games[[#This Row],[PointsFor]]-Games[[#This Row],[PointsAgainst]]</f>
        <v>-11</v>
      </c>
      <c r="V475" s="1">
        <f>IF(Games[[#This Row],[MOV]]&gt;0,1,IF(Games[[#This Row],[MOV]]=0,0.5,0))</f>
        <v>0</v>
      </c>
      <c r="W475" s="4">
        <f>((ABS(Games[[#This Row],[MOV]])+5)^0.6)/(12+0.01*(ABS(Games[[#This Row],[PreGmRate]]-Games[[#This Row],[OppPreGmRate]])))*IF(Games[[#This Row],[OT]]=1,0.9,1)</f>
        <v>0.35769645300718156</v>
      </c>
      <c r="X475" s="7" cm="1">
        <f t="array" ref="X47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5" s="9">
        <f>MAX(kmin, kmax - 0.15 * MIN(Games[[#This Row],[GamesPlayed]], 82))</f>
        <v>70</v>
      </c>
      <c r="Z475" s="4">
        <f>Games[[#This Row],[K]]*Games[[#This Row],[POMult]]</f>
        <v>70</v>
      </c>
      <c r="AA475" s="4">
        <f>(Games[[#This Row],[Keff]]*Games[[#This Row],[MOVMult]])*(Games[[#This Row],[Result]]-Games[[#This Row],[ExpectedWin%]])</f>
        <v>-19.333276980534873</v>
      </c>
      <c r="AB475" s="4">
        <f>Games[[#This Row],[PreGmRate]]+Games[[#This Row],[RatingChange]]</f>
        <v>1600.8191135204681</v>
      </c>
      <c r="AC475" s="2">
        <f>IF(Games[[#This Row],[Type]]="R",IF(Games[[#This Row],[Result]]&gt;0.5,1,0),0)</f>
        <v>0</v>
      </c>
      <c r="AD475" s="2">
        <f>IF(Games[[#This Row],[Type]]="R",IF(Games[[#This Row],[Result]]&lt;0.5,1,0),0)</f>
        <v>1</v>
      </c>
      <c r="AE475" s="2">
        <f>IF(AND(Games[[#This Row],[Type]]="P",Games[[#This Row],[Round]]=1),IF(Games[[#This Row],[Result]]&gt;0.5,1,0),0)</f>
        <v>0</v>
      </c>
      <c r="AF475" s="2">
        <f>IF(AND(Games[[#This Row],[Type]]="P",Games[[#This Row],[Round]]=1),IF(Games[[#This Row],[Result]]&lt;0.5,1,0),0)</f>
        <v>0</v>
      </c>
      <c r="AG475" s="2">
        <f>IF(AND(Games[[#This Row],[Type]]="P",Games[[#This Row],[Round]]=2),IF(Games[[#This Row],[Result]]&gt;0.5,1,0),0)</f>
        <v>0</v>
      </c>
      <c r="AH475" s="2">
        <f>IF(AND(Games[[#This Row],[Type]]="P",Games[[#This Row],[Round]]=2),IF(Games[[#This Row],[Result]]&lt;0.5,1,0),0)</f>
        <v>0</v>
      </c>
      <c r="AI475" s="2">
        <f>IF(AND(Games[[#This Row],[Type]]="P",Games[[#This Row],[Round]]=3),IF(Games[[#This Row],[Result]]&gt;0.5,1,0),0)</f>
        <v>0</v>
      </c>
      <c r="AJ475" s="2">
        <f>IF(AND(Games[[#This Row],[Type]]="P",Games[[#This Row],[Round]]=3),IF(Games[[#This Row],[Result]]&lt;0.5,1,0),0)</f>
        <v>0</v>
      </c>
      <c r="AK475" s="2">
        <f>IF(AND(Games[[#This Row],[Type]]="P",Games[[#This Row],[Round]]=4),IF(Games[[#This Row],[Result]]&gt;0.5,1,0),0)</f>
        <v>0</v>
      </c>
      <c r="AL475" s="2">
        <f>IF(AND(Games[[#This Row],[Type]]="P",Games[[#This Row],[Round]]=4),IF(Games[[#This Row],[Result]]&lt;0.5,1,0),0)</f>
        <v>0</v>
      </c>
    </row>
    <row r="476" spans="1:38" x14ac:dyDescent="0.35">
      <c r="A476" s="10">
        <v>45179</v>
      </c>
      <c r="B476" s="2">
        <v>2023</v>
      </c>
      <c r="C476" s="2">
        <f>COUNTIFS(Games[Team],Games[[#This Row],[Team]],Games[Season],Games[[#This Row],[Season]],Games[Date],"&lt;=" &amp; Games[[#This Row],[Date]])</f>
        <v>40</v>
      </c>
      <c r="D476" s="2" t="s">
        <v>79</v>
      </c>
      <c r="E476" s="2" t="s">
        <v>80</v>
      </c>
      <c r="F476" s="1" t="s">
        <v>67</v>
      </c>
      <c r="G476" s="1" t="s">
        <v>69</v>
      </c>
      <c r="H476" s="1" t="s">
        <v>81</v>
      </c>
      <c r="I476" s="2" cm="1">
        <f t="array" ref="I4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6" s="2" cm="1">
        <f t="array" ref="J4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6" s="2">
        <f>Games[[#This Row],[DaysOff]]-Games[[#This Row],[OppDaysOff]]</f>
        <v>0</v>
      </c>
      <c r="L476" s="2">
        <f>Games[[#This Row],[OppDaysOff]]-Games[[#This Row],[DaysOff]]</f>
        <v>0</v>
      </c>
      <c r="M476" s="1">
        <f>MAX(-16, MIN(16, Games[[#This Row],[RestDiff]]*8))</f>
        <v>0</v>
      </c>
      <c r="N476" s="1">
        <f>MAX(-16, MIN(16, Games[[#This Row],[OppRestDiff]]*8))</f>
        <v>0</v>
      </c>
      <c r="O476" s="4" cm="1">
        <f t="array" ref="O4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1465.3683212486578</v>
      </c>
      <c r="P476" s="4" cm="1">
        <f t="array" ref="P4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1339.5735333550401</v>
      </c>
      <c r="Q476" s="4">
        <f>1/(1+10^(((Games[[#This Row],[OppPreGmRate]]+IF(Games[[#This Row],[HomeAway]]="A",HCA,0)+Games[[#This Row],[OppRestAdj]])-(Games[[#This Row],[PreGmRate]]+IF(Games[[#This Row],[HomeAway]]="H",HCA,0)+Games[[#This Row],[RestAdj]]))/400))</f>
        <v>0.55985907459860895</v>
      </c>
      <c r="R476" s="1">
        <v>72</v>
      </c>
      <c r="S476" s="1">
        <v>87</v>
      </c>
      <c r="T476" s="1">
        <v>0</v>
      </c>
      <c r="U476" s="1">
        <f>Games[[#This Row],[PointsFor]]-Games[[#This Row],[PointsAgainst]]</f>
        <v>-15</v>
      </c>
      <c r="V476" s="1">
        <f>IF(Games[[#This Row],[MOV]]&gt;0,1,IF(Games[[#This Row],[MOV]]=0,0.5,0))</f>
        <v>0</v>
      </c>
      <c r="W476" s="4">
        <f>((ABS(Games[[#This Row],[MOV]])+5)^0.6)/(12+0.01*(ABS(Games[[#This Row],[PreGmRate]]-Games[[#This Row],[OppPreGmRate]])))*IF(Games[[#This Row],[OT]]=1,0.9,1)</f>
        <v>0.45513652577651759</v>
      </c>
      <c r="X476" s="7" cm="1">
        <f t="array" ref="X47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6" s="9">
        <f>MAX(kmin, kmax - 0.15 * MIN(Games[[#This Row],[GamesPlayed]], 82))</f>
        <v>70</v>
      </c>
      <c r="Z476" s="4">
        <f>Games[[#This Row],[K]]*Games[[#This Row],[POMult]]</f>
        <v>70</v>
      </c>
      <c r="AA476" s="4">
        <f>(Games[[#This Row],[Keff]]*Games[[#This Row],[MOVMult]])*(Games[[#This Row],[Result]]-Games[[#This Row],[ExpectedWin%]])</f>
        <v>-17.836861989608696</v>
      </c>
      <c r="AB476" s="4">
        <f>Games[[#This Row],[PreGmRate]]+Games[[#This Row],[RatingChange]]</f>
        <v>1447.5314592590491</v>
      </c>
      <c r="AC476" s="2">
        <f>IF(Games[[#This Row],[Type]]="R",IF(Games[[#This Row],[Result]]&gt;0.5,1,0),0)</f>
        <v>0</v>
      </c>
      <c r="AD476" s="2">
        <f>IF(Games[[#This Row],[Type]]="R",IF(Games[[#This Row],[Result]]&lt;0.5,1,0),0)</f>
        <v>1</v>
      </c>
      <c r="AE476" s="2">
        <f>IF(AND(Games[[#This Row],[Type]]="P",Games[[#This Row],[Round]]=1),IF(Games[[#This Row],[Result]]&gt;0.5,1,0),0)</f>
        <v>0</v>
      </c>
      <c r="AF476" s="2">
        <f>IF(AND(Games[[#This Row],[Type]]="P",Games[[#This Row],[Round]]=1),IF(Games[[#This Row],[Result]]&lt;0.5,1,0),0)</f>
        <v>0</v>
      </c>
      <c r="AG476" s="2">
        <f>IF(AND(Games[[#This Row],[Type]]="P",Games[[#This Row],[Round]]=2),IF(Games[[#This Row],[Result]]&gt;0.5,1,0),0)</f>
        <v>0</v>
      </c>
      <c r="AH476" s="2">
        <f>IF(AND(Games[[#This Row],[Type]]="P",Games[[#This Row],[Round]]=2),IF(Games[[#This Row],[Result]]&lt;0.5,1,0),0)</f>
        <v>0</v>
      </c>
      <c r="AI476" s="2">
        <f>IF(AND(Games[[#This Row],[Type]]="P",Games[[#This Row],[Round]]=3),IF(Games[[#This Row],[Result]]&gt;0.5,1,0),0)</f>
        <v>0</v>
      </c>
      <c r="AJ476" s="2">
        <f>IF(AND(Games[[#This Row],[Type]]="P",Games[[#This Row],[Round]]=3),IF(Games[[#This Row],[Result]]&lt;0.5,1,0),0)</f>
        <v>0</v>
      </c>
      <c r="AK476" s="2">
        <f>IF(AND(Games[[#This Row],[Type]]="P",Games[[#This Row],[Round]]=4),IF(Games[[#This Row],[Result]]&gt;0.5,1,0),0)</f>
        <v>0</v>
      </c>
      <c r="AL476" s="2">
        <f>IF(AND(Games[[#This Row],[Type]]="P",Games[[#This Row],[Round]]=4),IF(Games[[#This Row],[Result]]&lt;0.5,1,0),0)</f>
        <v>0</v>
      </c>
    </row>
    <row r="477" spans="1:38" x14ac:dyDescent="0.35">
      <c r="A477" s="10">
        <v>45179</v>
      </c>
      <c r="B477" s="2">
        <v>2023</v>
      </c>
      <c r="C477" s="2">
        <f>COUNTIFS(Games[Team],Games[[#This Row],[Team]],Games[Season],Games[[#This Row],[Season]],Games[Date],"&lt;=" &amp; Games[[#This Row],[Date]])</f>
        <v>40</v>
      </c>
      <c r="D477" s="2" t="s">
        <v>79</v>
      </c>
      <c r="E477" s="2" t="s">
        <v>80</v>
      </c>
      <c r="F477" s="1" t="s">
        <v>69</v>
      </c>
      <c r="G477" s="1" t="s">
        <v>67</v>
      </c>
      <c r="H477" s="1" t="s">
        <v>82</v>
      </c>
      <c r="I477" s="2" cm="1">
        <f t="array" ref="I4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7" s="2" cm="1">
        <f t="array" ref="J4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7" s="2">
        <f>Games[[#This Row],[DaysOff]]-Games[[#This Row],[OppDaysOff]]</f>
        <v>0</v>
      </c>
      <c r="L477" s="2">
        <f>Games[[#This Row],[OppDaysOff]]-Games[[#This Row],[DaysOff]]</f>
        <v>0</v>
      </c>
      <c r="M477" s="1">
        <f>MAX(-16, MIN(16, Games[[#This Row],[RestDiff]]*8))</f>
        <v>0</v>
      </c>
      <c r="N477" s="1">
        <f>MAX(-16, MIN(16, Games[[#This Row],[OppRestDiff]]*8))</f>
        <v>0</v>
      </c>
      <c r="O477" s="4" cm="1">
        <f t="array" ref="O4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1339.5735333550401</v>
      </c>
      <c r="P477" s="4" cm="1">
        <f t="array" ref="P4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1465.3683212486578</v>
      </c>
      <c r="Q477" s="4">
        <f>1/(1+10^(((Games[[#This Row],[OppPreGmRate]]+IF(Games[[#This Row],[HomeAway]]="A",HCA,0)+Games[[#This Row],[OppRestAdj]])-(Games[[#This Row],[PreGmRate]]+IF(Games[[#This Row],[HomeAway]]="H",HCA,0)+Games[[#This Row],[RestAdj]]))/400))</f>
        <v>0.4401409254013911</v>
      </c>
      <c r="R477" s="1">
        <v>87</v>
      </c>
      <c r="S477" s="1">
        <v>72</v>
      </c>
      <c r="T477" s="1">
        <v>0</v>
      </c>
      <c r="U477" s="1">
        <f>Games[[#This Row],[PointsFor]]-Games[[#This Row],[PointsAgainst]]</f>
        <v>15</v>
      </c>
      <c r="V477" s="1">
        <f>IF(Games[[#This Row],[MOV]]&gt;0,1,IF(Games[[#This Row],[MOV]]=0,0.5,0))</f>
        <v>1</v>
      </c>
      <c r="W477" s="4">
        <f>((ABS(Games[[#This Row],[MOV]])+5)^0.6)/(12+0.01*(ABS(Games[[#This Row],[PreGmRate]]-Games[[#This Row],[OppPreGmRate]])))*IF(Games[[#This Row],[OT]]=1,0.9,1)</f>
        <v>0.45513652577651759</v>
      </c>
      <c r="X477" s="7" cm="1">
        <f t="array" ref="X47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7" s="9">
        <f>MAX(kmin, kmax - 0.15 * MIN(Games[[#This Row],[GamesPlayed]], 82))</f>
        <v>70</v>
      </c>
      <c r="Z477" s="4">
        <f>Games[[#This Row],[K]]*Games[[#This Row],[POMult]]</f>
        <v>70</v>
      </c>
      <c r="AA477" s="4">
        <f>(Games[[#This Row],[Keff]]*Games[[#This Row],[MOVMult]])*(Games[[#This Row],[Result]]-Games[[#This Row],[ExpectedWin%]])</f>
        <v>17.836861989608696</v>
      </c>
      <c r="AB477" s="4">
        <f>Games[[#This Row],[PreGmRate]]+Games[[#This Row],[RatingChange]]</f>
        <v>1357.4103953446488</v>
      </c>
      <c r="AC477" s="2">
        <f>IF(Games[[#This Row],[Type]]="R",IF(Games[[#This Row],[Result]]&gt;0.5,1,0),0)</f>
        <v>1</v>
      </c>
      <c r="AD477" s="2">
        <f>IF(Games[[#This Row],[Type]]="R",IF(Games[[#This Row],[Result]]&lt;0.5,1,0),0)</f>
        <v>0</v>
      </c>
      <c r="AE477" s="2">
        <f>IF(AND(Games[[#This Row],[Type]]="P",Games[[#This Row],[Round]]=1),IF(Games[[#This Row],[Result]]&gt;0.5,1,0),0)</f>
        <v>0</v>
      </c>
      <c r="AF477" s="2">
        <f>IF(AND(Games[[#This Row],[Type]]="P",Games[[#This Row],[Round]]=1),IF(Games[[#This Row],[Result]]&lt;0.5,1,0),0)</f>
        <v>0</v>
      </c>
      <c r="AG477" s="2">
        <f>IF(AND(Games[[#This Row],[Type]]="P",Games[[#This Row],[Round]]=2),IF(Games[[#This Row],[Result]]&gt;0.5,1,0),0)</f>
        <v>0</v>
      </c>
      <c r="AH477" s="2">
        <f>IF(AND(Games[[#This Row],[Type]]="P",Games[[#This Row],[Round]]=2),IF(Games[[#This Row],[Result]]&lt;0.5,1,0),0)</f>
        <v>0</v>
      </c>
      <c r="AI477" s="2">
        <f>IF(AND(Games[[#This Row],[Type]]="P",Games[[#This Row],[Round]]=3),IF(Games[[#This Row],[Result]]&gt;0.5,1,0),0)</f>
        <v>0</v>
      </c>
      <c r="AJ477" s="2">
        <f>IF(AND(Games[[#This Row],[Type]]="P",Games[[#This Row],[Round]]=3),IF(Games[[#This Row],[Result]]&lt;0.5,1,0),0)</f>
        <v>0</v>
      </c>
      <c r="AK477" s="2">
        <f>IF(AND(Games[[#This Row],[Type]]="P",Games[[#This Row],[Round]]=4),IF(Games[[#This Row],[Result]]&gt;0.5,1,0),0)</f>
        <v>0</v>
      </c>
      <c r="AL477" s="2">
        <f>IF(AND(Games[[#This Row],[Type]]="P",Games[[#This Row],[Round]]=4),IF(Games[[#This Row],[Result]]&lt;0.5,1,0),0)</f>
        <v>0</v>
      </c>
    </row>
    <row r="478" spans="1:38" x14ac:dyDescent="0.35">
      <c r="A478" s="10">
        <v>45179</v>
      </c>
      <c r="B478" s="2">
        <v>2023</v>
      </c>
      <c r="C478" s="2">
        <f>COUNTIFS(Games[Team],Games[[#This Row],[Team]],Games[Season],Games[[#This Row],[Season]],Games[Date],"&lt;=" &amp; Games[[#This Row],[Date]])</f>
        <v>40</v>
      </c>
      <c r="D478" s="2" t="s">
        <v>79</v>
      </c>
      <c r="E478" s="2" t="s">
        <v>80</v>
      </c>
      <c r="F478" s="1" t="s">
        <v>40</v>
      </c>
      <c r="G478" s="1" t="s">
        <v>86</v>
      </c>
      <c r="H478" s="1" t="s">
        <v>81</v>
      </c>
      <c r="I478" s="2" cm="1">
        <f t="array" ref="I4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8" s="2" cm="1">
        <f t="array" ref="J4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8" s="2">
        <f>Games[[#This Row],[DaysOff]]-Games[[#This Row],[OppDaysOff]]</f>
        <v>0</v>
      </c>
      <c r="L478" s="2">
        <f>Games[[#This Row],[OppDaysOff]]-Games[[#This Row],[DaysOff]]</f>
        <v>0</v>
      </c>
      <c r="M478" s="1">
        <f>MAX(-16, MIN(16, Games[[#This Row],[RestDiff]]*8))</f>
        <v>0</v>
      </c>
      <c r="N478" s="1">
        <f>MAX(-16, MIN(16, Games[[#This Row],[OppRestDiff]]*8))</f>
        <v>0</v>
      </c>
      <c r="O478" s="4" cm="1">
        <f t="array" ref="O4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1303.6470926020379</v>
      </c>
      <c r="P478" s="4" cm="1">
        <f t="array" ref="P4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1709.9339932818821</v>
      </c>
      <c r="Q478" s="4">
        <f>1/(1+10^(((Games[[#This Row],[OppPreGmRate]]+IF(Games[[#This Row],[HomeAway]]="A",HCA,0)+Games[[#This Row],[OppRestAdj]])-(Games[[#This Row],[PreGmRate]]+IF(Games[[#This Row],[HomeAway]]="H",HCA,0)+Games[[#This Row],[RestAdj]]))/400))</f>
        <v>5.6129986429570393E-2</v>
      </c>
      <c r="R478" s="1">
        <v>85</v>
      </c>
      <c r="S478" s="1">
        <v>100</v>
      </c>
      <c r="T478" s="1">
        <v>0</v>
      </c>
      <c r="U478" s="1">
        <f>Games[[#This Row],[PointsFor]]-Games[[#This Row],[PointsAgainst]]</f>
        <v>-15</v>
      </c>
      <c r="V478" s="1">
        <f>IF(Games[[#This Row],[MOV]]&gt;0,1,IF(Games[[#This Row],[MOV]]=0,0.5,0))</f>
        <v>0</v>
      </c>
      <c r="W478" s="4">
        <f>((ABS(Games[[#This Row],[MOV]])+5)^0.6)/(12+0.01*(ABS(Games[[#This Row],[PreGmRate]]-Games[[#This Row],[OppPreGmRate]])))*IF(Games[[#This Row],[OT]]=1,0.9,1)</f>
        <v>0.37565993559377586</v>
      </c>
      <c r="X478" s="7" cm="1">
        <f t="array" ref="X47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8" s="9">
        <f>MAX(kmin, kmax - 0.15 * MIN(Games[[#This Row],[GamesPlayed]], 82))</f>
        <v>70</v>
      </c>
      <c r="Z478" s="4">
        <f>Games[[#This Row],[K]]*Games[[#This Row],[POMult]]</f>
        <v>70</v>
      </c>
      <c r="AA478" s="4">
        <f>(Games[[#This Row],[Keff]]*Games[[#This Row],[MOVMult]])*(Games[[#This Row],[Result]]-Games[[#This Row],[ExpectedWin%]])</f>
        <v>-1.4760050960908351</v>
      </c>
      <c r="AB478" s="4">
        <f>Games[[#This Row],[PreGmRate]]+Games[[#This Row],[RatingChange]]</f>
        <v>1302.1710875059471</v>
      </c>
      <c r="AC478" s="2">
        <f>IF(Games[[#This Row],[Type]]="R",IF(Games[[#This Row],[Result]]&gt;0.5,1,0),0)</f>
        <v>0</v>
      </c>
      <c r="AD478" s="2">
        <f>IF(Games[[#This Row],[Type]]="R",IF(Games[[#This Row],[Result]]&lt;0.5,1,0),0)</f>
        <v>1</v>
      </c>
      <c r="AE478" s="2">
        <f>IF(AND(Games[[#This Row],[Type]]="P",Games[[#This Row],[Round]]=1),IF(Games[[#This Row],[Result]]&gt;0.5,1,0),0)</f>
        <v>0</v>
      </c>
      <c r="AF478" s="2">
        <f>IF(AND(Games[[#This Row],[Type]]="P",Games[[#This Row],[Round]]=1),IF(Games[[#This Row],[Result]]&lt;0.5,1,0),0)</f>
        <v>0</v>
      </c>
      <c r="AG478" s="2">
        <f>IF(AND(Games[[#This Row],[Type]]="P",Games[[#This Row],[Round]]=2),IF(Games[[#This Row],[Result]]&gt;0.5,1,0),0)</f>
        <v>0</v>
      </c>
      <c r="AH478" s="2">
        <f>IF(AND(Games[[#This Row],[Type]]="P",Games[[#This Row],[Round]]=2),IF(Games[[#This Row],[Result]]&lt;0.5,1,0),0)</f>
        <v>0</v>
      </c>
      <c r="AI478" s="2">
        <f>IF(AND(Games[[#This Row],[Type]]="P",Games[[#This Row],[Round]]=3),IF(Games[[#This Row],[Result]]&gt;0.5,1,0),0)</f>
        <v>0</v>
      </c>
      <c r="AJ478" s="2">
        <f>IF(AND(Games[[#This Row],[Type]]="P",Games[[#This Row],[Round]]=3),IF(Games[[#This Row],[Result]]&lt;0.5,1,0),0)</f>
        <v>0</v>
      </c>
      <c r="AK478" s="2">
        <f>IF(AND(Games[[#This Row],[Type]]="P",Games[[#This Row],[Round]]=4),IF(Games[[#This Row],[Result]]&gt;0.5,1,0),0)</f>
        <v>0</v>
      </c>
      <c r="AL478" s="2">
        <f>IF(AND(Games[[#This Row],[Type]]="P",Games[[#This Row],[Round]]=4),IF(Games[[#This Row],[Result]]&lt;0.5,1,0),0)</f>
        <v>0</v>
      </c>
    </row>
    <row r="479" spans="1:38" x14ac:dyDescent="0.35">
      <c r="A479" s="10">
        <v>45179</v>
      </c>
      <c r="B479" s="2">
        <v>2023</v>
      </c>
      <c r="C479" s="2">
        <f>COUNTIFS(Games[Team],Games[[#This Row],[Team]],Games[Season],Games[[#This Row],[Season]],Games[Date],"&lt;=" &amp; Games[[#This Row],[Date]])</f>
        <v>41</v>
      </c>
      <c r="D479" s="2" t="s">
        <v>79</v>
      </c>
      <c r="E479" s="2" t="s">
        <v>80</v>
      </c>
      <c r="F479" s="1" t="s">
        <v>86</v>
      </c>
      <c r="G479" s="1" t="s">
        <v>40</v>
      </c>
      <c r="H479" s="1" t="s">
        <v>82</v>
      </c>
      <c r="I479" s="2" cm="1">
        <f t="array" ref="I4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9" s="2" cm="1">
        <f t="array" ref="J4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9" s="2">
        <f>Games[[#This Row],[DaysOff]]-Games[[#This Row],[OppDaysOff]]</f>
        <v>0</v>
      </c>
      <c r="L479" s="2">
        <f>Games[[#This Row],[OppDaysOff]]-Games[[#This Row],[DaysOff]]</f>
        <v>0</v>
      </c>
      <c r="M479" s="1">
        <f>MAX(-16, MIN(16, Games[[#This Row],[RestDiff]]*8))</f>
        <v>0</v>
      </c>
      <c r="N479" s="1">
        <f>MAX(-16, MIN(16, Games[[#This Row],[OppRestDiff]]*8))</f>
        <v>0</v>
      </c>
      <c r="O479" s="4" cm="1">
        <f t="array" ref="O4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1709.9339932818821</v>
      </c>
      <c r="P479" s="4" cm="1">
        <f t="array" ref="P4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1303.6470926020379</v>
      </c>
      <c r="Q479" s="4">
        <f>1/(1+10^(((Games[[#This Row],[OppPreGmRate]]+IF(Games[[#This Row],[HomeAway]]="A",HCA,0)+Games[[#This Row],[OppRestAdj]])-(Games[[#This Row],[PreGmRate]]+IF(Games[[#This Row],[HomeAway]]="H",HCA,0)+Games[[#This Row],[RestAdj]]))/400))</f>
        <v>0.94387001357042954</v>
      </c>
      <c r="R479" s="1">
        <v>100</v>
      </c>
      <c r="S479" s="1">
        <v>85</v>
      </c>
      <c r="T479" s="1">
        <v>0</v>
      </c>
      <c r="U479" s="1">
        <f>Games[[#This Row],[PointsFor]]-Games[[#This Row],[PointsAgainst]]</f>
        <v>15</v>
      </c>
      <c r="V479" s="1">
        <f>IF(Games[[#This Row],[MOV]]&gt;0,1,IF(Games[[#This Row],[MOV]]=0,0.5,0))</f>
        <v>1</v>
      </c>
      <c r="W479" s="4">
        <f>((ABS(Games[[#This Row],[MOV]])+5)^0.6)/(12+0.01*(ABS(Games[[#This Row],[PreGmRate]]-Games[[#This Row],[OppPreGmRate]])))*IF(Games[[#This Row],[OT]]=1,0.9,1)</f>
        <v>0.37565993559377586</v>
      </c>
      <c r="X479" s="7" cm="1">
        <f t="array" ref="X47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9" s="9">
        <f>MAX(kmin, kmax - 0.15 * MIN(Games[[#This Row],[GamesPlayed]], 82))</f>
        <v>69.849999999999994</v>
      </c>
      <c r="Z479" s="4">
        <f>Games[[#This Row],[K]]*Games[[#This Row],[POMult]]</f>
        <v>69.849999999999994</v>
      </c>
      <c r="AA479" s="4">
        <f>(Games[[#This Row],[Keff]]*Games[[#This Row],[MOVMult]])*(Games[[#This Row],[Result]]-Games[[#This Row],[ExpectedWin%]])</f>
        <v>1.4728422280277846</v>
      </c>
      <c r="AB479" s="4">
        <f>Games[[#This Row],[PreGmRate]]+Games[[#This Row],[RatingChange]]</f>
        <v>1711.4068355099098</v>
      </c>
      <c r="AC479" s="2">
        <f>IF(Games[[#This Row],[Type]]="R",IF(Games[[#This Row],[Result]]&gt;0.5,1,0),0)</f>
        <v>1</v>
      </c>
      <c r="AD479" s="2">
        <f>IF(Games[[#This Row],[Type]]="R",IF(Games[[#This Row],[Result]]&lt;0.5,1,0),0)</f>
        <v>0</v>
      </c>
      <c r="AE479" s="2">
        <f>IF(AND(Games[[#This Row],[Type]]="P",Games[[#This Row],[Round]]=1),IF(Games[[#This Row],[Result]]&gt;0.5,1,0),0)</f>
        <v>0</v>
      </c>
      <c r="AF479" s="2">
        <f>IF(AND(Games[[#This Row],[Type]]="P",Games[[#This Row],[Round]]=1),IF(Games[[#This Row],[Result]]&lt;0.5,1,0),0)</f>
        <v>0</v>
      </c>
      <c r="AG479" s="2">
        <f>IF(AND(Games[[#This Row],[Type]]="P",Games[[#This Row],[Round]]=2),IF(Games[[#This Row],[Result]]&gt;0.5,1,0),0)</f>
        <v>0</v>
      </c>
      <c r="AH479" s="2">
        <f>IF(AND(Games[[#This Row],[Type]]="P",Games[[#This Row],[Round]]=2),IF(Games[[#This Row],[Result]]&lt;0.5,1,0),0)</f>
        <v>0</v>
      </c>
      <c r="AI479" s="2">
        <f>IF(AND(Games[[#This Row],[Type]]="P",Games[[#This Row],[Round]]=3),IF(Games[[#This Row],[Result]]&gt;0.5,1,0),0)</f>
        <v>0</v>
      </c>
      <c r="AJ479" s="2">
        <f>IF(AND(Games[[#This Row],[Type]]="P",Games[[#This Row],[Round]]=3),IF(Games[[#This Row],[Result]]&lt;0.5,1,0),0)</f>
        <v>0</v>
      </c>
      <c r="AK479" s="2">
        <f>IF(AND(Games[[#This Row],[Type]]="P",Games[[#This Row],[Round]]=4),IF(Games[[#This Row],[Result]]&gt;0.5,1,0),0)</f>
        <v>0</v>
      </c>
      <c r="AL479" s="2">
        <f>IF(AND(Games[[#This Row],[Type]]="P",Games[[#This Row],[Round]]=4),IF(Games[[#This Row],[Result]]&lt;0.5,1,0),0)</f>
        <v>0</v>
      </c>
    </row>
    <row r="480" spans="1:38" x14ac:dyDescent="0.35">
      <c r="A480" s="10">
        <v>45179</v>
      </c>
      <c r="B480" s="2">
        <v>2023</v>
      </c>
      <c r="C480" s="2">
        <f>COUNTIFS(Games[Team],Games[[#This Row],[Team]],Games[Season],Games[[#This Row],[Season]],Games[Date],"&lt;=" &amp; Games[[#This Row],[Date]])</f>
        <v>40</v>
      </c>
      <c r="D480" s="2" t="s">
        <v>79</v>
      </c>
      <c r="E480" s="2" t="s">
        <v>80</v>
      </c>
      <c r="F480" s="1" t="s">
        <v>65</v>
      </c>
      <c r="G480" s="1" t="s">
        <v>60</v>
      </c>
      <c r="H480" s="1" t="s">
        <v>81</v>
      </c>
      <c r="I480" s="2" cm="1">
        <f t="array" ref="I4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0" s="2" cm="1">
        <f t="array" ref="J4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0" s="2">
        <f>Games[[#This Row],[DaysOff]]-Games[[#This Row],[OppDaysOff]]</f>
        <v>-1</v>
      </c>
      <c r="L480" s="2">
        <f>Games[[#This Row],[OppDaysOff]]-Games[[#This Row],[DaysOff]]</f>
        <v>1</v>
      </c>
      <c r="M480" s="1">
        <f>MAX(-16, MIN(16, Games[[#This Row],[RestDiff]]*8))</f>
        <v>-8</v>
      </c>
      <c r="N480" s="1">
        <f>MAX(-16, MIN(16, Games[[#This Row],[OppRestDiff]]*8))</f>
        <v>8</v>
      </c>
      <c r="O480" s="4" cm="1">
        <f t="array" ref="O4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1464.6682009196702</v>
      </c>
      <c r="P480" s="4" cm="1">
        <f t="array" ref="P4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1753.7860929679762</v>
      </c>
      <c r="Q480" s="4">
        <f>1/(1+10^(((Games[[#This Row],[OppPreGmRate]]+IF(Games[[#This Row],[HomeAway]]="A",HCA,0)+Games[[#This Row],[OppRestAdj]])-(Games[[#This Row],[PreGmRate]]+IF(Games[[#This Row],[HomeAway]]="H",HCA,0)+Games[[#This Row],[RestAdj]]))/400))</f>
        <v>9.6220529385262779E-2</v>
      </c>
      <c r="R480" s="1">
        <v>90</v>
      </c>
      <c r="S480" s="1">
        <v>88</v>
      </c>
      <c r="T480" s="1">
        <v>0</v>
      </c>
      <c r="U480" s="1">
        <f>Games[[#This Row],[PointsFor]]-Games[[#This Row],[PointsAgainst]]</f>
        <v>2</v>
      </c>
      <c r="V480" s="1">
        <f>IF(Games[[#This Row],[MOV]]&gt;0,1,IF(Games[[#This Row],[MOV]]=0,0.5,0))</f>
        <v>1</v>
      </c>
      <c r="W480" s="4">
        <f>((ABS(Games[[#This Row],[MOV]])+5)^0.6)/(12+0.01*(ABS(Games[[#This Row],[PreGmRate]]-Games[[#This Row],[OppPreGmRate]])))*IF(Games[[#This Row],[OT]]=1,0.9,1)</f>
        <v>0.21583891153809165</v>
      </c>
      <c r="X480" s="7" cm="1">
        <f t="array" ref="X48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80" s="9">
        <f>MAX(kmin, kmax - 0.15 * MIN(Games[[#This Row],[GamesPlayed]], 82))</f>
        <v>70</v>
      </c>
      <c r="Z480" s="4">
        <f>Games[[#This Row],[K]]*Games[[#This Row],[POMult]]</f>
        <v>70</v>
      </c>
      <c r="AA480" s="4">
        <f>(Games[[#This Row],[Keff]]*Games[[#This Row],[MOVMult]])*(Games[[#This Row],[Result]]-Games[[#This Row],[ExpectedWin%]])</f>
        <v>13.654954404557028</v>
      </c>
      <c r="AB480" s="4">
        <f>Games[[#This Row],[PreGmRate]]+Games[[#This Row],[RatingChange]]</f>
        <v>1478.3231553242272</v>
      </c>
      <c r="AC480" s="2">
        <f>IF(Games[[#This Row],[Type]]="R",IF(Games[[#This Row],[Result]]&gt;0.5,1,0),0)</f>
        <v>1</v>
      </c>
      <c r="AD480" s="2">
        <f>IF(Games[[#This Row],[Type]]="R",IF(Games[[#This Row],[Result]]&lt;0.5,1,0),0)</f>
        <v>0</v>
      </c>
      <c r="AE480" s="2">
        <f>IF(AND(Games[[#This Row],[Type]]="P",Games[[#This Row],[Round]]=1),IF(Games[[#This Row],[Result]]&gt;0.5,1,0),0)</f>
        <v>0</v>
      </c>
      <c r="AF480" s="2">
        <f>IF(AND(Games[[#This Row],[Type]]="P",Games[[#This Row],[Round]]=1),IF(Games[[#This Row],[Result]]&lt;0.5,1,0),0)</f>
        <v>0</v>
      </c>
      <c r="AG480" s="2">
        <f>IF(AND(Games[[#This Row],[Type]]="P",Games[[#This Row],[Round]]=2),IF(Games[[#This Row],[Result]]&gt;0.5,1,0),0)</f>
        <v>0</v>
      </c>
      <c r="AH480" s="2">
        <f>IF(AND(Games[[#This Row],[Type]]="P",Games[[#This Row],[Round]]=2),IF(Games[[#This Row],[Result]]&lt;0.5,1,0),0)</f>
        <v>0</v>
      </c>
      <c r="AI480" s="2">
        <f>IF(AND(Games[[#This Row],[Type]]="P",Games[[#This Row],[Round]]=3),IF(Games[[#This Row],[Result]]&gt;0.5,1,0),0)</f>
        <v>0</v>
      </c>
      <c r="AJ480" s="2">
        <f>IF(AND(Games[[#This Row],[Type]]="P",Games[[#This Row],[Round]]=3),IF(Games[[#This Row],[Result]]&lt;0.5,1,0),0)</f>
        <v>0</v>
      </c>
      <c r="AK480" s="2">
        <f>IF(AND(Games[[#This Row],[Type]]="P",Games[[#This Row],[Round]]=4),IF(Games[[#This Row],[Result]]&gt;0.5,1,0),0)</f>
        <v>0</v>
      </c>
      <c r="AL480" s="2">
        <f>IF(AND(Games[[#This Row],[Type]]="P",Games[[#This Row],[Round]]=4),IF(Games[[#This Row],[Result]]&lt;0.5,1,0),0)</f>
        <v>0</v>
      </c>
    </row>
    <row r="481" spans="1:38" x14ac:dyDescent="0.35">
      <c r="A481" s="10">
        <v>45179</v>
      </c>
      <c r="B481" s="2">
        <v>2023</v>
      </c>
      <c r="C481" s="2">
        <f>COUNTIFS(Games[Team],Games[[#This Row],[Team]],Games[Season],Games[[#This Row],[Season]],Games[Date],"&lt;=" &amp; Games[[#This Row],[Date]])</f>
        <v>41</v>
      </c>
      <c r="D481" s="2" t="s">
        <v>79</v>
      </c>
      <c r="E481" s="2" t="s">
        <v>80</v>
      </c>
      <c r="F481" s="1" t="s">
        <v>60</v>
      </c>
      <c r="G481" s="1" t="s">
        <v>65</v>
      </c>
      <c r="H481" s="1" t="s">
        <v>82</v>
      </c>
      <c r="I481" s="2" cm="1">
        <f t="array" ref="I4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1" s="2" cm="1">
        <f t="array" ref="J4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1" s="2">
        <f>Games[[#This Row],[DaysOff]]-Games[[#This Row],[OppDaysOff]]</f>
        <v>1</v>
      </c>
      <c r="L481" s="2">
        <f>Games[[#This Row],[OppDaysOff]]-Games[[#This Row],[DaysOff]]</f>
        <v>-1</v>
      </c>
      <c r="M481" s="1">
        <f>MAX(-16, MIN(16, Games[[#This Row],[RestDiff]]*8))</f>
        <v>8</v>
      </c>
      <c r="N481" s="1">
        <f>MAX(-16, MIN(16, Games[[#This Row],[OppRestDiff]]*8))</f>
        <v>-8</v>
      </c>
      <c r="O481" s="4" cm="1">
        <f t="array" ref="O4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1753.7860929679762</v>
      </c>
      <c r="P481" s="4" cm="1">
        <f t="array" ref="P4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1464.6682009196702</v>
      </c>
      <c r="Q481" s="4">
        <f>1/(1+10^(((Games[[#This Row],[OppPreGmRate]]+IF(Games[[#This Row],[HomeAway]]="A",HCA,0)+Games[[#This Row],[OppRestAdj]])-(Games[[#This Row],[PreGmRate]]+IF(Games[[#This Row],[HomeAway]]="H",HCA,0)+Games[[#This Row],[RestAdj]]))/400))</f>
        <v>0.90377947061473718</v>
      </c>
      <c r="R481" s="1">
        <v>88</v>
      </c>
      <c r="S481" s="1">
        <v>90</v>
      </c>
      <c r="T481" s="1">
        <v>0</v>
      </c>
      <c r="U481" s="1">
        <f>Games[[#This Row],[PointsFor]]-Games[[#This Row],[PointsAgainst]]</f>
        <v>-2</v>
      </c>
      <c r="V481" s="1">
        <f>IF(Games[[#This Row],[MOV]]&gt;0,1,IF(Games[[#This Row],[MOV]]=0,0.5,0))</f>
        <v>0</v>
      </c>
      <c r="W481" s="4">
        <f>((ABS(Games[[#This Row],[MOV]])+5)^0.6)/(12+0.01*(ABS(Games[[#This Row],[PreGmRate]]-Games[[#This Row],[OppPreGmRate]])))*IF(Games[[#This Row],[OT]]=1,0.9,1)</f>
        <v>0.21583891153809165</v>
      </c>
      <c r="X481" s="7" cm="1">
        <f t="array" ref="X48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81" s="9">
        <f>MAX(kmin, kmax - 0.15 * MIN(Games[[#This Row],[GamesPlayed]], 82))</f>
        <v>69.849999999999994</v>
      </c>
      <c r="Z481" s="4">
        <f>Games[[#This Row],[K]]*Games[[#This Row],[POMult]]</f>
        <v>69.849999999999994</v>
      </c>
      <c r="AA481" s="4">
        <f>(Games[[#This Row],[Keff]]*Games[[#This Row],[MOVMult]])*(Games[[#This Row],[Result]]-Games[[#This Row],[ExpectedWin%]])</f>
        <v>-13.625693787975834</v>
      </c>
      <c r="AB481" s="4">
        <f>Games[[#This Row],[PreGmRate]]+Games[[#This Row],[RatingChange]]</f>
        <v>1740.1603991800002</v>
      </c>
      <c r="AC481" s="2">
        <f>IF(Games[[#This Row],[Type]]="R",IF(Games[[#This Row],[Result]]&gt;0.5,1,0),0)</f>
        <v>0</v>
      </c>
      <c r="AD481" s="2">
        <f>IF(Games[[#This Row],[Type]]="R",IF(Games[[#This Row],[Result]]&lt;0.5,1,0),0)</f>
        <v>1</v>
      </c>
      <c r="AE481" s="2">
        <f>IF(AND(Games[[#This Row],[Type]]="P",Games[[#This Row],[Round]]=1),IF(Games[[#This Row],[Result]]&gt;0.5,1,0),0)</f>
        <v>0</v>
      </c>
      <c r="AF481" s="2">
        <f>IF(AND(Games[[#This Row],[Type]]="P",Games[[#This Row],[Round]]=1),IF(Games[[#This Row],[Result]]&lt;0.5,1,0),0)</f>
        <v>0</v>
      </c>
      <c r="AG481" s="2">
        <f>IF(AND(Games[[#This Row],[Type]]="P",Games[[#This Row],[Round]]=2),IF(Games[[#This Row],[Result]]&gt;0.5,1,0),0)</f>
        <v>0</v>
      </c>
      <c r="AH481" s="2">
        <f>IF(AND(Games[[#This Row],[Type]]="P",Games[[#This Row],[Round]]=2),IF(Games[[#This Row],[Result]]&lt;0.5,1,0),0)</f>
        <v>0</v>
      </c>
      <c r="AI481" s="2">
        <f>IF(AND(Games[[#This Row],[Type]]="P",Games[[#This Row],[Round]]=3),IF(Games[[#This Row],[Result]]&gt;0.5,1,0),0)</f>
        <v>0</v>
      </c>
      <c r="AJ481" s="2">
        <f>IF(AND(Games[[#This Row],[Type]]="P",Games[[#This Row],[Round]]=3),IF(Games[[#This Row],[Result]]&lt;0.5,1,0),0)</f>
        <v>0</v>
      </c>
      <c r="AK481" s="2">
        <f>IF(AND(Games[[#This Row],[Type]]="P",Games[[#This Row],[Round]]=4),IF(Games[[#This Row],[Result]]&gt;0.5,1,0),0)</f>
        <v>0</v>
      </c>
      <c r="AL481" s="2">
        <f>IF(AND(Games[[#This Row],[Type]]="P",Games[[#This Row],[Round]]=4),IF(Games[[#This Row],[Result]]&lt;0.5,1,0),0)</f>
        <v>0</v>
      </c>
    </row>
    <row r="482" spans="1:38" x14ac:dyDescent="0.35">
      <c r="A482" s="10">
        <v>45179</v>
      </c>
      <c r="B482" s="2">
        <v>2023</v>
      </c>
      <c r="C482" s="2">
        <f>COUNTIFS(Games[Team],Games[[#This Row],[Team]],Games[Season],Games[[#This Row],[Season]],Games[Date],"&lt;=" &amp; Games[[#This Row],[Date]])</f>
        <v>40</v>
      </c>
      <c r="D482" s="2" t="s">
        <v>79</v>
      </c>
      <c r="E482" s="2" t="s">
        <v>80</v>
      </c>
      <c r="F482" s="1" t="s">
        <v>63</v>
      </c>
      <c r="G482" s="1" t="s">
        <v>71</v>
      </c>
      <c r="H482" s="1" t="s">
        <v>81</v>
      </c>
      <c r="I482" s="2" cm="1">
        <f t="array" ref="I4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2" s="2" cm="1">
        <f t="array" ref="J4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2" s="2">
        <f>Games[[#This Row],[DaysOff]]-Games[[#This Row],[OppDaysOff]]</f>
        <v>1</v>
      </c>
      <c r="L482" s="2">
        <f>Games[[#This Row],[OppDaysOff]]-Games[[#This Row],[DaysOff]]</f>
        <v>-1</v>
      </c>
      <c r="M482" s="1">
        <f>MAX(-16, MIN(16, Games[[#This Row],[RestDiff]]*8))</f>
        <v>8</v>
      </c>
      <c r="N482" s="1">
        <f>MAX(-16, MIN(16, Games[[#This Row],[OppRestDiff]]*8))</f>
        <v>-8</v>
      </c>
      <c r="O482" s="4" cm="1">
        <f t="array" ref="O4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1432.364171121234</v>
      </c>
      <c r="P482" s="4" cm="1">
        <f t="array" ref="P4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1401.9445110307472</v>
      </c>
      <c r="Q482" s="4">
        <f>1/(1+10^(((Games[[#This Row],[OppPreGmRate]]+IF(Games[[#This Row],[HomeAway]]="A",HCA,0)+Games[[#This Row],[OppRestAdj]])-(Games[[#This Row],[PreGmRate]]+IF(Games[[#This Row],[HomeAway]]="H",HCA,0)+Games[[#This Row],[RestAdj]]))/400))</f>
        <v>0.44612747630016619</v>
      </c>
      <c r="R482" s="1">
        <v>91</v>
      </c>
      <c r="S482" s="1">
        <v>89</v>
      </c>
      <c r="T482" s="1">
        <v>0</v>
      </c>
      <c r="U482" s="1">
        <f>Games[[#This Row],[PointsFor]]-Games[[#This Row],[PointsAgainst]]</f>
        <v>2</v>
      </c>
      <c r="V482" s="1">
        <f>IF(Games[[#This Row],[MOV]]&gt;0,1,IF(Games[[#This Row],[MOV]]=0,0.5,0))</f>
        <v>1</v>
      </c>
      <c r="W482" s="4">
        <f>((ABS(Games[[#This Row],[MOV]])+5)^0.6)/(12+0.01*(ABS(Games[[#This Row],[PreGmRate]]-Games[[#This Row],[OppPreGmRate]])))*IF(Games[[#This Row],[OT]]=1,0.9,1)</f>
        <v>0.26121948095982711</v>
      </c>
      <c r="X482" s="7" cm="1">
        <f t="array" ref="X48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82" s="9">
        <f>MAX(kmin, kmax - 0.15 * MIN(Games[[#This Row],[GamesPlayed]], 82))</f>
        <v>70</v>
      </c>
      <c r="Z482" s="4">
        <f>Games[[#This Row],[K]]*Games[[#This Row],[POMult]]</f>
        <v>70</v>
      </c>
      <c r="AA482" s="4">
        <f>(Games[[#This Row],[Keff]]*Games[[#This Row],[MOVMult]])*(Games[[#This Row],[Result]]-Games[[#This Row],[ExpectedWin%]])</f>
        <v>10.12776052111461</v>
      </c>
      <c r="AB482" s="4">
        <f>Games[[#This Row],[PreGmRate]]+Games[[#This Row],[RatingChange]]</f>
        <v>1442.4919316423486</v>
      </c>
      <c r="AC482" s="2">
        <f>IF(Games[[#This Row],[Type]]="R",IF(Games[[#This Row],[Result]]&gt;0.5,1,0),0)</f>
        <v>1</v>
      </c>
      <c r="AD482" s="2">
        <f>IF(Games[[#This Row],[Type]]="R",IF(Games[[#This Row],[Result]]&lt;0.5,1,0),0)</f>
        <v>0</v>
      </c>
      <c r="AE482" s="2">
        <f>IF(AND(Games[[#This Row],[Type]]="P",Games[[#This Row],[Round]]=1),IF(Games[[#This Row],[Result]]&gt;0.5,1,0),0)</f>
        <v>0</v>
      </c>
      <c r="AF482" s="2">
        <f>IF(AND(Games[[#This Row],[Type]]="P",Games[[#This Row],[Round]]=1),IF(Games[[#This Row],[Result]]&lt;0.5,1,0),0)</f>
        <v>0</v>
      </c>
      <c r="AG482" s="2">
        <f>IF(AND(Games[[#This Row],[Type]]="P",Games[[#This Row],[Round]]=2),IF(Games[[#This Row],[Result]]&gt;0.5,1,0),0)</f>
        <v>0</v>
      </c>
      <c r="AH482" s="2">
        <f>IF(AND(Games[[#This Row],[Type]]="P",Games[[#This Row],[Round]]=2),IF(Games[[#This Row],[Result]]&lt;0.5,1,0),0)</f>
        <v>0</v>
      </c>
      <c r="AI482" s="2">
        <f>IF(AND(Games[[#This Row],[Type]]="P",Games[[#This Row],[Round]]=3),IF(Games[[#This Row],[Result]]&gt;0.5,1,0),0)</f>
        <v>0</v>
      </c>
      <c r="AJ482" s="2">
        <f>IF(AND(Games[[#This Row],[Type]]="P",Games[[#This Row],[Round]]=3),IF(Games[[#This Row],[Result]]&lt;0.5,1,0),0)</f>
        <v>0</v>
      </c>
      <c r="AK482" s="2">
        <f>IF(AND(Games[[#This Row],[Type]]="P",Games[[#This Row],[Round]]=4),IF(Games[[#This Row],[Result]]&gt;0.5,1,0),0)</f>
        <v>0</v>
      </c>
      <c r="AL482" s="2">
        <f>IF(AND(Games[[#This Row],[Type]]="P",Games[[#This Row],[Round]]=4),IF(Games[[#This Row],[Result]]&lt;0.5,1,0),0)</f>
        <v>0</v>
      </c>
    </row>
    <row r="483" spans="1:38" x14ac:dyDescent="0.35">
      <c r="A483" s="10">
        <v>45179</v>
      </c>
      <c r="B483" s="2">
        <v>2023</v>
      </c>
      <c r="C483" s="2">
        <f>COUNTIFS(Games[Team],Games[[#This Row],[Team]],Games[Season],Games[[#This Row],[Season]],Games[Date],"&lt;=" &amp; Games[[#This Row],[Date]])</f>
        <v>40</v>
      </c>
      <c r="D483" s="2" t="s">
        <v>79</v>
      </c>
      <c r="E483" s="2" t="s">
        <v>80</v>
      </c>
      <c r="F483" s="1" t="s">
        <v>71</v>
      </c>
      <c r="G483" s="1" t="s">
        <v>63</v>
      </c>
      <c r="H483" s="1" t="s">
        <v>82</v>
      </c>
      <c r="I483" s="2" cm="1">
        <f t="array" ref="I4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3" s="2" cm="1">
        <f t="array" ref="J4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3" s="2">
        <f>Games[[#This Row],[DaysOff]]-Games[[#This Row],[OppDaysOff]]</f>
        <v>-1</v>
      </c>
      <c r="L483" s="2">
        <f>Games[[#This Row],[OppDaysOff]]-Games[[#This Row],[DaysOff]]</f>
        <v>1</v>
      </c>
      <c r="M483" s="1">
        <f>MAX(-16, MIN(16, Games[[#This Row],[RestDiff]]*8))</f>
        <v>-8</v>
      </c>
      <c r="N483" s="1">
        <f>MAX(-16, MIN(16, Games[[#This Row],[OppRestDiff]]*8))</f>
        <v>8</v>
      </c>
      <c r="O483" s="4" cm="1">
        <f t="array" ref="O4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1401.9445110307472</v>
      </c>
      <c r="P483" s="4" cm="1">
        <f t="array" ref="P4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1432.364171121234</v>
      </c>
      <c r="Q483" s="4">
        <f>1/(1+10^(((Games[[#This Row],[OppPreGmRate]]+IF(Games[[#This Row],[HomeAway]]="A",HCA,0)+Games[[#This Row],[OppRestAdj]])-(Games[[#This Row],[PreGmRate]]+IF(Games[[#This Row],[HomeAway]]="H",HCA,0)+Games[[#This Row],[RestAdj]]))/400))</f>
        <v>0.55387252369983386</v>
      </c>
      <c r="R483" s="1">
        <v>89</v>
      </c>
      <c r="S483" s="1">
        <v>91</v>
      </c>
      <c r="T483" s="1">
        <v>0</v>
      </c>
      <c r="U483" s="1">
        <f>Games[[#This Row],[PointsFor]]-Games[[#This Row],[PointsAgainst]]</f>
        <v>-2</v>
      </c>
      <c r="V483" s="1">
        <f>IF(Games[[#This Row],[MOV]]&gt;0,1,IF(Games[[#This Row],[MOV]]=0,0.5,0))</f>
        <v>0</v>
      </c>
      <c r="W483" s="4">
        <f>((ABS(Games[[#This Row],[MOV]])+5)^0.6)/(12+0.01*(ABS(Games[[#This Row],[PreGmRate]]-Games[[#This Row],[OppPreGmRate]])))*IF(Games[[#This Row],[OT]]=1,0.9,1)</f>
        <v>0.26121948095982711</v>
      </c>
      <c r="X483" s="7" cm="1">
        <f t="array" ref="X48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83" s="9">
        <f>MAX(kmin, kmax - 0.15 * MIN(Games[[#This Row],[GamesPlayed]], 82))</f>
        <v>70</v>
      </c>
      <c r="Z483" s="4">
        <f>Games[[#This Row],[K]]*Games[[#This Row],[POMult]]</f>
        <v>70</v>
      </c>
      <c r="AA483" s="4">
        <f>(Games[[#This Row],[Keff]]*Games[[#This Row],[MOVMult]])*(Games[[#This Row],[Result]]-Games[[#This Row],[ExpectedWin%]])</f>
        <v>-10.12776052111461</v>
      </c>
      <c r="AB483" s="4">
        <f>Games[[#This Row],[PreGmRate]]+Games[[#This Row],[RatingChange]]</f>
        <v>1391.8167505096326</v>
      </c>
      <c r="AC483" s="2">
        <f>IF(Games[[#This Row],[Type]]="R",IF(Games[[#This Row],[Result]]&gt;0.5,1,0),0)</f>
        <v>0</v>
      </c>
      <c r="AD483" s="2">
        <f>IF(Games[[#This Row],[Type]]="R",IF(Games[[#This Row],[Result]]&lt;0.5,1,0),0)</f>
        <v>1</v>
      </c>
      <c r="AE483" s="2">
        <f>IF(AND(Games[[#This Row],[Type]]="P",Games[[#This Row],[Round]]=1),IF(Games[[#This Row],[Result]]&gt;0.5,1,0),0)</f>
        <v>0</v>
      </c>
      <c r="AF483" s="2">
        <f>IF(AND(Games[[#This Row],[Type]]="P",Games[[#This Row],[Round]]=1),IF(Games[[#This Row],[Result]]&lt;0.5,1,0),0)</f>
        <v>0</v>
      </c>
      <c r="AG483" s="2">
        <f>IF(AND(Games[[#This Row],[Type]]="P",Games[[#This Row],[Round]]=2),IF(Games[[#This Row],[Result]]&gt;0.5,1,0),0)</f>
        <v>0</v>
      </c>
      <c r="AH483" s="2">
        <f>IF(AND(Games[[#This Row],[Type]]="P",Games[[#This Row],[Round]]=2),IF(Games[[#This Row],[Result]]&lt;0.5,1,0),0)</f>
        <v>0</v>
      </c>
      <c r="AI483" s="2">
        <f>IF(AND(Games[[#This Row],[Type]]="P",Games[[#This Row],[Round]]=3),IF(Games[[#This Row],[Result]]&gt;0.5,1,0),0)</f>
        <v>0</v>
      </c>
      <c r="AJ483" s="2">
        <f>IF(AND(Games[[#This Row],[Type]]="P",Games[[#This Row],[Round]]=3),IF(Games[[#This Row],[Result]]&lt;0.5,1,0),0)</f>
        <v>0</v>
      </c>
      <c r="AK483" s="2">
        <f>IF(AND(Games[[#This Row],[Type]]="P",Games[[#This Row],[Round]]=4),IF(Games[[#This Row],[Result]]&gt;0.5,1,0),0)</f>
        <v>0</v>
      </c>
      <c r="AL483" s="2">
        <f>IF(AND(Games[[#This Row],[Type]]="P",Games[[#This Row],[Round]]=4),IF(Games[[#This Row],[Result]]&lt;0.5,1,0),0)</f>
        <v>0</v>
      </c>
    </row>
    <row r="484" spans="1:38" x14ac:dyDescent="0.35">
      <c r="A484" s="10">
        <v>45182</v>
      </c>
      <c r="B484" s="2">
        <v>2023</v>
      </c>
      <c r="C484" s="2">
        <f>COUNTIFS(Games[Team],Games[[#This Row],[Team]],Games[Season],Games[[#This Row],[Season]],Games[Date],"&lt;=" &amp; Games[[#This Row],[Date]])</f>
        <v>41</v>
      </c>
      <c r="D484" s="2" t="s">
        <v>83</v>
      </c>
      <c r="E484" s="2">
        <v>1</v>
      </c>
      <c r="F484" s="1" t="s">
        <v>67</v>
      </c>
      <c r="G484" s="1" t="s">
        <v>74</v>
      </c>
      <c r="H484" s="1" t="s">
        <v>81</v>
      </c>
      <c r="I484" s="2" cm="1">
        <f t="array" ref="I48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4" s="2" cm="1">
        <f t="array" ref="J48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4" s="2">
        <f>Games[[#This Row],[DaysOff]]-Games[[#This Row],[OppDaysOff]]</f>
        <v>0</v>
      </c>
      <c r="L484" s="2">
        <f>Games[[#This Row],[OppDaysOff]]-Games[[#This Row],[DaysOff]]</f>
        <v>0</v>
      </c>
      <c r="M484" s="1">
        <f>MAX(-16, MIN(16, Games[[#This Row],[RestDiff]]*8))</f>
        <v>0</v>
      </c>
      <c r="N484" s="1">
        <f>MAX(-16, MIN(16, Games[[#This Row],[OppRestDiff]]*8))</f>
        <v>0</v>
      </c>
      <c r="O484" s="4" cm="1">
        <f t="array" ref="O4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1447.5314592590491</v>
      </c>
      <c r="P484" s="4" cm="1">
        <f t="array" ref="P4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1600.8191135204681</v>
      </c>
      <c r="Q484" s="4">
        <f>1/(1+10^(((Games[[#This Row],[OppPreGmRate]]+IF(Games[[#This Row],[HomeAway]]="A",HCA,0)+Games[[#This Row],[OppRestAdj]])-(Games[[#This Row],[PreGmRate]]+IF(Games[[#This Row],[HomeAway]]="H",HCA,0)+Games[[#This Row],[RestAdj]]))/400))</f>
        <v>0.20327699117119505</v>
      </c>
      <c r="R484" s="1">
        <v>60</v>
      </c>
      <c r="S484" s="1">
        <v>90</v>
      </c>
      <c r="T484" s="1">
        <v>0</v>
      </c>
      <c r="U484" s="1">
        <f>Games[[#This Row],[PointsFor]]-Games[[#This Row],[PointsAgainst]]</f>
        <v>-30</v>
      </c>
      <c r="V484" s="1">
        <f>IF(Games[[#This Row],[MOV]]&gt;0,1,IF(Games[[#This Row],[MOV]]=0,0.5,0))</f>
        <v>0</v>
      </c>
      <c r="W484" s="4">
        <f>((ABS(Games[[#This Row],[MOV]])+5)^0.6)/(12+0.01*(ABS(Games[[#This Row],[PreGmRate]]-Games[[#This Row],[OppPreGmRate]])))*IF(Games[[#This Row],[OT]]=1,0.9,1)</f>
        <v>0.62380766489037764</v>
      </c>
      <c r="X484" s="7" cm="1">
        <f t="array" ref="X48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84" s="9">
        <f>MAX(kmin, kmax - 0.15 * MIN(Games[[#This Row],[GamesPlayed]], 82))</f>
        <v>69.849999999999994</v>
      </c>
      <c r="Z484" s="4">
        <f>Games[[#This Row],[K]]*Games[[#This Row],[POMult]]</f>
        <v>76.834999999999994</v>
      </c>
      <c r="AA484" s="4">
        <f>(Games[[#This Row],[Keff]]*Games[[#This Row],[MOVMult]])*(Games[[#This Row],[Result]]-Games[[#This Row],[ExpectedWin%]])</f>
        <v>-9.7431194315541791</v>
      </c>
      <c r="AB484" s="4">
        <f>Games[[#This Row],[PreGmRate]]+Games[[#This Row],[RatingChange]]</f>
        <v>1437.7883398274951</v>
      </c>
      <c r="AC484" s="2">
        <f>IF(Games[[#This Row],[Type]]="R",IF(Games[[#This Row],[Result]]&gt;0.5,1,0),0)</f>
        <v>0</v>
      </c>
      <c r="AD484" s="2">
        <f>IF(Games[[#This Row],[Type]]="R",IF(Games[[#This Row],[Result]]&lt;0.5,1,0),0)</f>
        <v>0</v>
      </c>
      <c r="AE484" s="2">
        <f>IF(AND(Games[[#This Row],[Type]]="P",Games[[#This Row],[Round]]=1),IF(Games[[#This Row],[Result]]&gt;0.5,1,0),0)</f>
        <v>0</v>
      </c>
      <c r="AF484" s="2">
        <f>IF(AND(Games[[#This Row],[Type]]="P",Games[[#This Row],[Round]]=1),IF(Games[[#This Row],[Result]]&lt;0.5,1,0),0)</f>
        <v>1</v>
      </c>
      <c r="AG484" s="2">
        <f>IF(AND(Games[[#This Row],[Type]]="P",Games[[#This Row],[Round]]=2),IF(Games[[#This Row],[Result]]&gt;0.5,1,0),0)</f>
        <v>0</v>
      </c>
      <c r="AH484" s="2">
        <f>IF(AND(Games[[#This Row],[Type]]="P",Games[[#This Row],[Round]]=2),IF(Games[[#This Row],[Result]]&lt;0.5,1,0),0)</f>
        <v>0</v>
      </c>
      <c r="AI484" s="2">
        <f>IF(AND(Games[[#This Row],[Type]]="P",Games[[#This Row],[Round]]=3),IF(Games[[#This Row],[Result]]&gt;0.5,1,0),0)</f>
        <v>0</v>
      </c>
      <c r="AJ484" s="2">
        <f>IF(AND(Games[[#This Row],[Type]]="P",Games[[#This Row],[Round]]=3),IF(Games[[#This Row],[Result]]&lt;0.5,1,0),0)</f>
        <v>0</v>
      </c>
      <c r="AK484" s="2">
        <f>IF(AND(Games[[#This Row],[Type]]="P",Games[[#This Row],[Round]]=4),IF(Games[[#This Row],[Result]]&gt;0.5,1,0),0)</f>
        <v>0</v>
      </c>
      <c r="AL484" s="2">
        <f>IF(AND(Games[[#This Row],[Type]]="P",Games[[#This Row],[Round]]=4),IF(Games[[#This Row],[Result]]&lt;0.5,1,0),0)</f>
        <v>0</v>
      </c>
    </row>
    <row r="485" spans="1:38" x14ac:dyDescent="0.35">
      <c r="A485" s="10">
        <v>45182</v>
      </c>
      <c r="B485" s="2">
        <v>2023</v>
      </c>
      <c r="C485" s="2">
        <f>COUNTIFS(Games[Team],Games[[#This Row],[Team]],Games[Season],Games[[#This Row],[Season]],Games[Date],"&lt;=" &amp; Games[[#This Row],[Date]])</f>
        <v>41</v>
      </c>
      <c r="D485" s="2" t="s">
        <v>83</v>
      </c>
      <c r="E485" s="2">
        <v>1</v>
      </c>
      <c r="F485" s="1" t="s">
        <v>74</v>
      </c>
      <c r="G485" s="1" t="s">
        <v>67</v>
      </c>
      <c r="H485" s="1" t="s">
        <v>82</v>
      </c>
      <c r="I485" s="2" cm="1">
        <f t="array" ref="I48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5" s="2" cm="1">
        <f t="array" ref="J48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5" s="2">
        <f>Games[[#This Row],[DaysOff]]-Games[[#This Row],[OppDaysOff]]</f>
        <v>0</v>
      </c>
      <c r="L485" s="2">
        <f>Games[[#This Row],[OppDaysOff]]-Games[[#This Row],[DaysOff]]</f>
        <v>0</v>
      </c>
      <c r="M485" s="1">
        <f>MAX(-16, MIN(16, Games[[#This Row],[RestDiff]]*8))</f>
        <v>0</v>
      </c>
      <c r="N485" s="1">
        <f>MAX(-16, MIN(16, Games[[#This Row],[OppRestDiff]]*8))</f>
        <v>0</v>
      </c>
      <c r="O485" s="4" cm="1">
        <f t="array" ref="O4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1600.8191135204681</v>
      </c>
      <c r="P485" s="4" cm="1">
        <f t="array" ref="P4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1447.5314592590491</v>
      </c>
      <c r="Q485" s="4">
        <f>1/(1+10^(((Games[[#This Row],[OppPreGmRate]]+IF(Games[[#This Row],[HomeAway]]="A",HCA,0)+Games[[#This Row],[OppRestAdj]])-(Games[[#This Row],[PreGmRate]]+IF(Games[[#This Row],[HomeAway]]="H",HCA,0)+Games[[#This Row],[RestAdj]]))/400))</f>
        <v>0.79672300882880487</v>
      </c>
      <c r="R485" s="1">
        <v>90</v>
      </c>
      <c r="S485" s="1">
        <v>60</v>
      </c>
      <c r="T485" s="1">
        <v>0</v>
      </c>
      <c r="U485" s="1">
        <f>Games[[#This Row],[PointsFor]]-Games[[#This Row],[PointsAgainst]]</f>
        <v>30</v>
      </c>
      <c r="V485" s="1">
        <f>IF(Games[[#This Row],[MOV]]&gt;0,1,IF(Games[[#This Row],[MOV]]=0,0.5,0))</f>
        <v>1</v>
      </c>
      <c r="W485" s="4">
        <f>((ABS(Games[[#This Row],[MOV]])+5)^0.6)/(12+0.01*(ABS(Games[[#This Row],[PreGmRate]]-Games[[#This Row],[OppPreGmRate]])))*IF(Games[[#This Row],[OT]]=1,0.9,1)</f>
        <v>0.62380766489037764</v>
      </c>
      <c r="X485" s="7" cm="1">
        <f t="array" ref="X48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85" s="9">
        <f>MAX(kmin, kmax - 0.15 * MIN(Games[[#This Row],[GamesPlayed]], 82))</f>
        <v>69.849999999999994</v>
      </c>
      <c r="Z485" s="4">
        <f>Games[[#This Row],[K]]*Games[[#This Row],[POMult]]</f>
        <v>76.834999999999994</v>
      </c>
      <c r="AA485" s="4">
        <f>(Games[[#This Row],[Keff]]*Games[[#This Row],[MOVMult]])*(Games[[#This Row],[Result]]-Games[[#This Row],[ExpectedWin%]])</f>
        <v>9.7431194315541827</v>
      </c>
      <c r="AB485" s="4">
        <f>Games[[#This Row],[PreGmRate]]+Games[[#This Row],[RatingChange]]</f>
        <v>1610.5622329520222</v>
      </c>
      <c r="AC485" s="2">
        <f>IF(Games[[#This Row],[Type]]="R",IF(Games[[#This Row],[Result]]&gt;0.5,1,0),0)</f>
        <v>0</v>
      </c>
      <c r="AD485" s="2">
        <f>IF(Games[[#This Row],[Type]]="R",IF(Games[[#This Row],[Result]]&lt;0.5,1,0),0)</f>
        <v>0</v>
      </c>
      <c r="AE485" s="2">
        <f>IF(AND(Games[[#This Row],[Type]]="P",Games[[#This Row],[Round]]=1),IF(Games[[#This Row],[Result]]&gt;0.5,1,0),0)</f>
        <v>1</v>
      </c>
      <c r="AF485" s="2">
        <f>IF(AND(Games[[#This Row],[Type]]="P",Games[[#This Row],[Round]]=1),IF(Games[[#This Row],[Result]]&lt;0.5,1,0),0)</f>
        <v>0</v>
      </c>
      <c r="AG485" s="2">
        <f>IF(AND(Games[[#This Row],[Type]]="P",Games[[#This Row],[Round]]=2),IF(Games[[#This Row],[Result]]&gt;0.5,1,0),0)</f>
        <v>0</v>
      </c>
      <c r="AH485" s="2">
        <f>IF(AND(Games[[#This Row],[Type]]="P",Games[[#This Row],[Round]]=2),IF(Games[[#This Row],[Result]]&lt;0.5,1,0),0)</f>
        <v>0</v>
      </c>
      <c r="AI485" s="2">
        <f>IF(AND(Games[[#This Row],[Type]]="P",Games[[#This Row],[Round]]=3),IF(Games[[#This Row],[Result]]&gt;0.5,1,0),0)</f>
        <v>0</v>
      </c>
      <c r="AJ485" s="2">
        <f>IF(AND(Games[[#This Row],[Type]]="P",Games[[#This Row],[Round]]=3),IF(Games[[#This Row],[Result]]&lt;0.5,1,0),0)</f>
        <v>0</v>
      </c>
      <c r="AK485" s="2">
        <f>IF(AND(Games[[#This Row],[Type]]="P",Games[[#This Row],[Round]]=4),IF(Games[[#This Row],[Result]]&gt;0.5,1,0),0)</f>
        <v>0</v>
      </c>
      <c r="AL485" s="2">
        <f>IF(AND(Games[[#This Row],[Type]]="P",Games[[#This Row],[Round]]=4),IF(Games[[#This Row],[Result]]&lt;0.5,1,0),0)</f>
        <v>0</v>
      </c>
    </row>
    <row r="486" spans="1:38" x14ac:dyDescent="0.35">
      <c r="A486" s="10">
        <v>45182</v>
      </c>
      <c r="B486" s="2">
        <v>2023</v>
      </c>
      <c r="C486" s="2">
        <f>COUNTIFS(Games[Team],Games[[#This Row],[Team]],Games[Season],Games[[#This Row],[Season]],Games[Date],"&lt;=" &amp; Games[[#This Row],[Date]])</f>
        <v>41</v>
      </c>
      <c r="D486" s="2" t="s">
        <v>83</v>
      </c>
      <c r="E486" s="2">
        <v>1</v>
      </c>
      <c r="F486" s="1" t="s">
        <v>75</v>
      </c>
      <c r="G486" s="1" t="s">
        <v>86</v>
      </c>
      <c r="H486" s="1" t="s">
        <v>81</v>
      </c>
      <c r="I486" s="2" cm="1">
        <f t="array" ref="I4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6" s="2" cm="1">
        <f t="array" ref="J48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6" s="2">
        <f>Games[[#This Row],[DaysOff]]-Games[[#This Row],[OppDaysOff]]</f>
        <v>0</v>
      </c>
      <c r="L486" s="2">
        <f>Games[[#This Row],[OppDaysOff]]-Games[[#This Row],[DaysOff]]</f>
        <v>0</v>
      </c>
      <c r="M486" s="1">
        <f>MAX(-16, MIN(16, Games[[#This Row],[RestDiff]]*8))</f>
        <v>0</v>
      </c>
      <c r="N486" s="1">
        <f>MAX(-16, MIN(16, Games[[#This Row],[OppRestDiff]]*8))</f>
        <v>0</v>
      </c>
      <c r="O486" s="4" cm="1">
        <f t="array" ref="O4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1511.4801927705412</v>
      </c>
      <c r="P486" s="4" cm="1">
        <f t="array" ref="P4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1711.4068355099098</v>
      </c>
      <c r="Q486" s="4">
        <f>1/(1+10^(((Games[[#This Row],[OppPreGmRate]]+IF(Games[[#This Row],[HomeAway]]="A",HCA,0)+Games[[#This Row],[OppRestAdj]])-(Games[[#This Row],[PreGmRate]]+IF(Games[[#This Row],[HomeAway]]="H",HCA,0)+Games[[#This Row],[RestAdj]]))/400))</f>
        <v>0.16322670215219984</v>
      </c>
      <c r="R486" s="1">
        <v>59</v>
      </c>
      <c r="S486" s="1">
        <v>87</v>
      </c>
      <c r="T486" s="1">
        <v>0</v>
      </c>
      <c r="U486" s="1">
        <f>Games[[#This Row],[PointsFor]]-Games[[#This Row],[PointsAgainst]]</f>
        <v>-28</v>
      </c>
      <c r="V486" s="1">
        <f>IF(Games[[#This Row],[MOV]]&gt;0,1,IF(Games[[#This Row],[MOV]]=0,0.5,0))</f>
        <v>0</v>
      </c>
      <c r="W486" s="4">
        <f>((ABS(Games[[#This Row],[MOV]])+5)^0.6)/(12+0.01*(ABS(Games[[#This Row],[PreGmRate]]-Games[[#This Row],[OppPreGmRate]])))*IF(Games[[#This Row],[OT]]=1,0.9,1)</f>
        <v>0.58210735277576853</v>
      </c>
      <c r="X486" s="7" cm="1">
        <f t="array" ref="X48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86" s="9">
        <f>MAX(kmin, kmax - 0.15 * MIN(Games[[#This Row],[GamesPlayed]], 82))</f>
        <v>69.849999999999994</v>
      </c>
      <c r="Z486" s="4">
        <f>Games[[#This Row],[K]]*Games[[#This Row],[POMult]]</f>
        <v>76.834999999999994</v>
      </c>
      <c r="AA486" s="4">
        <f>(Games[[#This Row],[Keff]]*Games[[#This Row],[MOVMult]])*(Games[[#This Row],[Result]]-Games[[#This Row],[ExpectedWin%]])</f>
        <v>-7.3005131374182595</v>
      </c>
      <c r="AB486" s="4">
        <f>Games[[#This Row],[PreGmRate]]+Games[[#This Row],[RatingChange]]</f>
        <v>1504.179679633123</v>
      </c>
      <c r="AC486" s="2">
        <f>IF(Games[[#This Row],[Type]]="R",IF(Games[[#This Row],[Result]]&gt;0.5,1,0),0)</f>
        <v>0</v>
      </c>
      <c r="AD486" s="2">
        <f>IF(Games[[#This Row],[Type]]="R",IF(Games[[#This Row],[Result]]&lt;0.5,1,0),0)</f>
        <v>0</v>
      </c>
      <c r="AE486" s="2">
        <f>IF(AND(Games[[#This Row],[Type]]="P",Games[[#This Row],[Round]]=1),IF(Games[[#This Row],[Result]]&gt;0.5,1,0),0)</f>
        <v>0</v>
      </c>
      <c r="AF486" s="2">
        <f>IF(AND(Games[[#This Row],[Type]]="P",Games[[#This Row],[Round]]=1),IF(Games[[#This Row],[Result]]&lt;0.5,1,0),0)</f>
        <v>1</v>
      </c>
      <c r="AG486" s="2">
        <f>IF(AND(Games[[#This Row],[Type]]="P",Games[[#This Row],[Round]]=2),IF(Games[[#This Row],[Result]]&gt;0.5,1,0),0)</f>
        <v>0</v>
      </c>
      <c r="AH486" s="2">
        <f>IF(AND(Games[[#This Row],[Type]]="P",Games[[#This Row],[Round]]=2),IF(Games[[#This Row],[Result]]&lt;0.5,1,0),0)</f>
        <v>0</v>
      </c>
      <c r="AI486" s="2">
        <f>IF(AND(Games[[#This Row],[Type]]="P",Games[[#This Row],[Round]]=3),IF(Games[[#This Row],[Result]]&gt;0.5,1,0),0)</f>
        <v>0</v>
      </c>
      <c r="AJ486" s="2">
        <f>IF(AND(Games[[#This Row],[Type]]="P",Games[[#This Row],[Round]]=3),IF(Games[[#This Row],[Result]]&lt;0.5,1,0),0)</f>
        <v>0</v>
      </c>
      <c r="AK486" s="2">
        <f>IF(AND(Games[[#This Row],[Type]]="P",Games[[#This Row],[Round]]=4),IF(Games[[#This Row],[Result]]&gt;0.5,1,0),0)</f>
        <v>0</v>
      </c>
      <c r="AL486" s="2">
        <f>IF(AND(Games[[#This Row],[Type]]="P",Games[[#This Row],[Round]]=4),IF(Games[[#This Row],[Result]]&lt;0.5,1,0),0)</f>
        <v>0</v>
      </c>
    </row>
    <row r="487" spans="1:38" x14ac:dyDescent="0.35">
      <c r="A487" s="10">
        <v>45182</v>
      </c>
      <c r="B487" s="2">
        <v>2023</v>
      </c>
      <c r="C487" s="2">
        <f>COUNTIFS(Games[Team],Games[[#This Row],[Team]],Games[Season],Games[[#This Row],[Season]],Games[Date],"&lt;=" &amp; Games[[#This Row],[Date]])</f>
        <v>42</v>
      </c>
      <c r="D487" s="2" t="s">
        <v>83</v>
      </c>
      <c r="E487" s="2">
        <v>1</v>
      </c>
      <c r="F487" s="1" t="s">
        <v>86</v>
      </c>
      <c r="G487" s="1" t="s">
        <v>75</v>
      </c>
      <c r="H487" s="1" t="s">
        <v>82</v>
      </c>
      <c r="I487" s="2" cm="1">
        <f t="array" ref="I48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7" s="2" cm="1">
        <f t="array" ref="J4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7" s="2">
        <f>Games[[#This Row],[DaysOff]]-Games[[#This Row],[OppDaysOff]]</f>
        <v>0</v>
      </c>
      <c r="L487" s="2">
        <f>Games[[#This Row],[OppDaysOff]]-Games[[#This Row],[DaysOff]]</f>
        <v>0</v>
      </c>
      <c r="M487" s="1">
        <f>MAX(-16, MIN(16, Games[[#This Row],[RestDiff]]*8))</f>
        <v>0</v>
      </c>
      <c r="N487" s="1">
        <f>MAX(-16, MIN(16, Games[[#This Row],[OppRestDiff]]*8))</f>
        <v>0</v>
      </c>
      <c r="O487" s="4" cm="1">
        <f t="array" ref="O4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1711.4068355099098</v>
      </c>
      <c r="P487" s="4" cm="1">
        <f t="array" ref="P4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1511.4801927705412</v>
      </c>
      <c r="Q487" s="4">
        <f>1/(1+10^(((Games[[#This Row],[OppPreGmRate]]+IF(Games[[#This Row],[HomeAway]]="A",HCA,0)+Games[[#This Row],[OppRestAdj]])-(Games[[#This Row],[PreGmRate]]+IF(Games[[#This Row],[HomeAway]]="H",HCA,0)+Games[[#This Row],[RestAdj]]))/400))</f>
        <v>0.83677329784780019</v>
      </c>
      <c r="R487" s="1">
        <v>87</v>
      </c>
      <c r="S487" s="1">
        <v>59</v>
      </c>
      <c r="T487" s="1">
        <v>0</v>
      </c>
      <c r="U487" s="1">
        <f>Games[[#This Row],[PointsFor]]-Games[[#This Row],[PointsAgainst]]</f>
        <v>28</v>
      </c>
      <c r="V487" s="1">
        <f>IF(Games[[#This Row],[MOV]]&gt;0,1,IF(Games[[#This Row],[MOV]]=0,0.5,0))</f>
        <v>1</v>
      </c>
      <c r="W487" s="4">
        <f>((ABS(Games[[#This Row],[MOV]])+5)^0.6)/(12+0.01*(ABS(Games[[#This Row],[PreGmRate]]-Games[[#This Row],[OppPreGmRate]])))*IF(Games[[#This Row],[OT]]=1,0.9,1)</f>
        <v>0.58210735277576853</v>
      </c>
      <c r="X487" s="7" cm="1">
        <f t="array" ref="X48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87" s="9">
        <f>MAX(kmin, kmax - 0.15 * MIN(Games[[#This Row],[GamesPlayed]], 82))</f>
        <v>69.7</v>
      </c>
      <c r="Z487" s="4">
        <f>Games[[#This Row],[K]]*Games[[#This Row],[POMult]]</f>
        <v>76.670000000000016</v>
      </c>
      <c r="AA487" s="4">
        <f>(Games[[#This Row],[Keff]]*Games[[#This Row],[MOVMult]])*(Games[[#This Row],[Result]]-Games[[#This Row],[ExpectedWin%]])</f>
        <v>7.2848355859420586</v>
      </c>
      <c r="AB487" s="4">
        <f>Games[[#This Row],[PreGmRate]]+Games[[#This Row],[RatingChange]]</f>
        <v>1718.6916710958519</v>
      </c>
      <c r="AC487" s="2">
        <f>IF(Games[[#This Row],[Type]]="R",IF(Games[[#This Row],[Result]]&gt;0.5,1,0),0)</f>
        <v>0</v>
      </c>
      <c r="AD487" s="2">
        <f>IF(Games[[#This Row],[Type]]="R",IF(Games[[#This Row],[Result]]&lt;0.5,1,0),0)</f>
        <v>0</v>
      </c>
      <c r="AE487" s="2">
        <f>IF(AND(Games[[#This Row],[Type]]="P",Games[[#This Row],[Round]]=1),IF(Games[[#This Row],[Result]]&gt;0.5,1,0),0)</f>
        <v>1</v>
      </c>
      <c r="AF487" s="2">
        <f>IF(AND(Games[[#This Row],[Type]]="P",Games[[#This Row],[Round]]=1),IF(Games[[#This Row],[Result]]&lt;0.5,1,0),0)</f>
        <v>0</v>
      </c>
      <c r="AG487" s="2">
        <f>IF(AND(Games[[#This Row],[Type]]="P",Games[[#This Row],[Round]]=2),IF(Games[[#This Row],[Result]]&gt;0.5,1,0),0)</f>
        <v>0</v>
      </c>
      <c r="AH487" s="2">
        <f>IF(AND(Games[[#This Row],[Type]]="P",Games[[#This Row],[Round]]=2),IF(Games[[#This Row],[Result]]&lt;0.5,1,0),0)</f>
        <v>0</v>
      </c>
      <c r="AI487" s="2">
        <f>IF(AND(Games[[#This Row],[Type]]="P",Games[[#This Row],[Round]]=3),IF(Games[[#This Row],[Result]]&gt;0.5,1,0),0)</f>
        <v>0</v>
      </c>
      <c r="AJ487" s="2">
        <f>IF(AND(Games[[#This Row],[Type]]="P",Games[[#This Row],[Round]]=3),IF(Games[[#This Row],[Result]]&lt;0.5,1,0),0)</f>
        <v>0</v>
      </c>
      <c r="AK487" s="2">
        <f>IF(AND(Games[[#This Row],[Type]]="P",Games[[#This Row],[Round]]=4),IF(Games[[#This Row],[Result]]&gt;0.5,1,0),0)</f>
        <v>0</v>
      </c>
      <c r="AL487" s="2">
        <f>IF(AND(Games[[#This Row],[Type]]="P",Games[[#This Row],[Round]]=4),IF(Games[[#This Row],[Result]]&lt;0.5,1,0),0)</f>
        <v>0</v>
      </c>
    </row>
    <row r="488" spans="1:38" x14ac:dyDescent="0.35">
      <c r="A488" s="10">
        <v>45184</v>
      </c>
      <c r="B488" s="2">
        <v>2023</v>
      </c>
      <c r="C488" s="2">
        <f>COUNTIFS(Games[Team],Games[[#This Row],[Team]],Games[Season],Games[[#This Row],[Season]],Games[Date],"&lt;=" &amp; Games[[#This Row],[Date]])</f>
        <v>41</v>
      </c>
      <c r="D488" s="2" t="s">
        <v>83</v>
      </c>
      <c r="E488" s="2">
        <v>1</v>
      </c>
      <c r="F488" s="1" t="s">
        <v>77</v>
      </c>
      <c r="G488" s="1" t="s">
        <v>85</v>
      </c>
      <c r="H488" s="1" t="s">
        <v>81</v>
      </c>
      <c r="I488" s="2" cm="1">
        <f t="array" ref="I488">IFERROR(
    Games[[#This Row],[Date]]
    - LOOKUP(
        2,
        1/((Games[Team]=Games[[#This Row],[Team]]) * (Games[Date] &lt; Games[[#This Row],[Date]])),
        Games[Date]
    )
    - 1,
Games[[#This Row],[Date]]-$A$2)</f>
        <v>4</v>
      </c>
      <c r="J488" s="2" cm="1">
        <f t="array" ref="J48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88" s="2">
        <f>Games[[#This Row],[DaysOff]]-Games[[#This Row],[OppDaysOff]]</f>
        <v>0</v>
      </c>
      <c r="L488" s="2">
        <f>Games[[#This Row],[OppDaysOff]]-Games[[#This Row],[DaysOff]]</f>
        <v>0</v>
      </c>
      <c r="M488" s="1">
        <f>MAX(-16, MIN(16, Games[[#This Row],[RestDiff]]*8))</f>
        <v>0</v>
      </c>
      <c r="N488" s="1">
        <f>MAX(-16, MIN(16, Games[[#This Row],[OppRestDiff]]*8))</f>
        <v>0</v>
      </c>
      <c r="O488" s="4" cm="1">
        <f t="array" ref="O4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1454.8410173851162</v>
      </c>
      <c r="P488" s="4" cm="1">
        <f t="array" ref="P4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1562.0917219009457</v>
      </c>
      <c r="Q488" s="4">
        <f>1/(1+10^(((Games[[#This Row],[OppPreGmRate]]+IF(Games[[#This Row],[HomeAway]]="A",HCA,0)+Games[[#This Row],[OppRestAdj]])-(Games[[#This Row],[PreGmRate]]+IF(Games[[#This Row],[HomeAway]]="H",HCA,0)+Games[[#This Row],[RestAdj]]))/400))</f>
        <v>0.249566139237134</v>
      </c>
      <c r="R488" s="1">
        <v>82</v>
      </c>
      <c r="S488" s="1">
        <v>94</v>
      </c>
      <c r="T488" s="1">
        <v>0</v>
      </c>
      <c r="U488" s="1">
        <f>Games[[#This Row],[PointsFor]]-Games[[#This Row],[PointsAgainst]]</f>
        <v>-12</v>
      </c>
      <c r="V488" s="1">
        <f>IF(Games[[#This Row],[MOV]]&gt;0,1,IF(Games[[#This Row],[MOV]]=0,0.5,0))</f>
        <v>0</v>
      </c>
      <c r="W488" s="4">
        <f>((ABS(Games[[#This Row],[MOV]])+5)^0.6)/(12+0.01*(ABS(Games[[#This Row],[PreGmRate]]-Games[[#This Row],[OppPreGmRate]])))*IF(Games[[#This Row],[OT]]=1,0.9,1)</f>
        <v>0.418707237870317</v>
      </c>
      <c r="X488" s="7" cm="1">
        <f t="array" ref="X48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88" s="9">
        <f>MAX(kmin, kmax - 0.15 * MIN(Games[[#This Row],[GamesPlayed]], 82))</f>
        <v>69.849999999999994</v>
      </c>
      <c r="Z488" s="4">
        <f>Games[[#This Row],[K]]*Games[[#This Row],[POMult]]</f>
        <v>76.834999999999994</v>
      </c>
      <c r="AA488" s="4">
        <f>(Games[[#This Row],[Keff]]*Games[[#This Row],[MOVMult]])*(Games[[#This Row],[Result]]-Games[[#This Row],[ExpectedWin%]])</f>
        <v>-8.0288847600410467</v>
      </c>
      <c r="AB488" s="4">
        <f>Games[[#This Row],[PreGmRate]]+Games[[#This Row],[RatingChange]]</f>
        <v>1446.812132625075</v>
      </c>
      <c r="AC488" s="2">
        <f>IF(Games[[#This Row],[Type]]="R",IF(Games[[#This Row],[Result]]&gt;0.5,1,0),0)</f>
        <v>0</v>
      </c>
      <c r="AD488" s="2">
        <f>IF(Games[[#This Row],[Type]]="R",IF(Games[[#This Row],[Result]]&lt;0.5,1,0),0)</f>
        <v>0</v>
      </c>
      <c r="AE488" s="2">
        <f>IF(AND(Games[[#This Row],[Type]]="P",Games[[#This Row],[Round]]=1),IF(Games[[#This Row],[Result]]&gt;0.5,1,0),0)</f>
        <v>0</v>
      </c>
      <c r="AF488" s="2">
        <f>IF(AND(Games[[#This Row],[Type]]="P",Games[[#This Row],[Round]]=1),IF(Games[[#This Row],[Result]]&lt;0.5,1,0),0)</f>
        <v>1</v>
      </c>
      <c r="AG488" s="2">
        <f>IF(AND(Games[[#This Row],[Type]]="P",Games[[#This Row],[Round]]=2),IF(Games[[#This Row],[Result]]&gt;0.5,1,0),0)</f>
        <v>0</v>
      </c>
      <c r="AH488" s="2">
        <f>IF(AND(Games[[#This Row],[Type]]="P",Games[[#This Row],[Round]]=2),IF(Games[[#This Row],[Result]]&lt;0.5,1,0),0)</f>
        <v>0</v>
      </c>
      <c r="AI488" s="2">
        <f>IF(AND(Games[[#This Row],[Type]]="P",Games[[#This Row],[Round]]=3),IF(Games[[#This Row],[Result]]&gt;0.5,1,0),0)</f>
        <v>0</v>
      </c>
      <c r="AJ488" s="2">
        <f>IF(AND(Games[[#This Row],[Type]]="P",Games[[#This Row],[Round]]=3),IF(Games[[#This Row],[Result]]&lt;0.5,1,0),0)</f>
        <v>0</v>
      </c>
      <c r="AK488" s="2">
        <f>IF(AND(Games[[#This Row],[Type]]="P",Games[[#This Row],[Round]]=4),IF(Games[[#This Row],[Result]]&gt;0.5,1,0),0)</f>
        <v>0</v>
      </c>
      <c r="AL488" s="2">
        <f>IF(AND(Games[[#This Row],[Type]]="P",Games[[#This Row],[Round]]=4),IF(Games[[#This Row],[Result]]&lt;0.5,1,0),0)</f>
        <v>0</v>
      </c>
    </row>
    <row r="489" spans="1:38" x14ac:dyDescent="0.35">
      <c r="A489" s="10">
        <v>45184</v>
      </c>
      <c r="B489" s="2">
        <v>2023</v>
      </c>
      <c r="C489" s="2">
        <f>COUNTIFS(Games[Team],Games[[#This Row],[Team]],Games[Season],Games[[#This Row],[Season]],Games[Date],"&lt;=" &amp; Games[[#This Row],[Date]])</f>
        <v>41</v>
      </c>
      <c r="D489" s="2" t="s">
        <v>83</v>
      </c>
      <c r="E489" s="2">
        <v>1</v>
      </c>
      <c r="F489" s="1" t="s">
        <v>85</v>
      </c>
      <c r="G489" s="1" t="s">
        <v>77</v>
      </c>
      <c r="H489" s="1" t="s">
        <v>82</v>
      </c>
      <c r="I489" s="2" cm="1">
        <f t="array" ref="I489">IFERROR(
    Games[[#This Row],[Date]]
    - LOOKUP(
        2,
        1/((Games[Team]=Games[[#This Row],[Team]]) * (Games[Date] &lt; Games[[#This Row],[Date]])),
        Games[Date]
    )
    - 1,
Games[[#This Row],[Date]]-$A$2)</f>
        <v>4</v>
      </c>
      <c r="J489" s="2" cm="1">
        <f t="array" ref="J48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89" s="2">
        <f>Games[[#This Row],[DaysOff]]-Games[[#This Row],[OppDaysOff]]</f>
        <v>0</v>
      </c>
      <c r="L489" s="2">
        <f>Games[[#This Row],[OppDaysOff]]-Games[[#This Row],[DaysOff]]</f>
        <v>0</v>
      </c>
      <c r="M489" s="1">
        <f>MAX(-16, MIN(16, Games[[#This Row],[RestDiff]]*8))</f>
        <v>0</v>
      </c>
      <c r="N489" s="1">
        <f>MAX(-16, MIN(16, Games[[#This Row],[OppRestDiff]]*8))</f>
        <v>0</v>
      </c>
      <c r="O489" s="4" cm="1">
        <f t="array" ref="O4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1562.0917219009457</v>
      </c>
      <c r="P489" s="4" cm="1">
        <f t="array" ref="P4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1454.8410173851162</v>
      </c>
      <c r="Q489" s="4">
        <f>1/(1+10^(((Games[[#This Row],[OppPreGmRate]]+IF(Games[[#This Row],[HomeAway]]="A",HCA,0)+Games[[#This Row],[OppRestAdj]])-(Games[[#This Row],[PreGmRate]]+IF(Games[[#This Row],[HomeAway]]="H",HCA,0)+Games[[#This Row],[RestAdj]]))/400))</f>
        <v>0.750433860762866</v>
      </c>
      <c r="R489" s="1">
        <v>94</v>
      </c>
      <c r="S489" s="1">
        <v>82</v>
      </c>
      <c r="T489" s="1">
        <v>0</v>
      </c>
      <c r="U489" s="1">
        <f>Games[[#This Row],[PointsFor]]-Games[[#This Row],[PointsAgainst]]</f>
        <v>12</v>
      </c>
      <c r="V489" s="1">
        <f>IF(Games[[#This Row],[MOV]]&gt;0,1,IF(Games[[#This Row],[MOV]]=0,0.5,0))</f>
        <v>1</v>
      </c>
      <c r="W489" s="4">
        <f>((ABS(Games[[#This Row],[MOV]])+5)^0.6)/(12+0.01*(ABS(Games[[#This Row],[PreGmRate]]-Games[[#This Row],[OppPreGmRate]])))*IF(Games[[#This Row],[OT]]=1,0.9,1)</f>
        <v>0.418707237870317</v>
      </c>
      <c r="X489" s="7" cm="1">
        <f t="array" ref="X48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89" s="9">
        <f>MAX(kmin, kmax - 0.15 * MIN(Games[[#This Row],[GamesPlayed]], 82))</f>
        <v>69.849999999999994</v>
      </c>
      <c r="Z489" s="4">
        <f>Games[[#This Row],[K]]*Games[[#This Row],[POMult]]</f>
        <v>76.834999999999994</v>
      </c>
      <c r="AA489" s="4">
        <f>(Games[[#This Row],[Keff]]*Games[[#This Row],[MOVMult]])*(Games[[#This Row],[Result]]-Games[[#This Row],[ExpectedWin%]])</f>
        <v>8.0288847600410467</v>
      </c>
      <c r="AB489" s="4">
        <f>Games[[#This Row],[PreGmRate]]+Games[[#This Row],[RatingChange]]</f>
        <v>1570.1206066609868</v>
      </c>
      <c r="AC489" s="2">
        <f>IF(Games[[#This Row],[Type]]="R",IF(Games[[#This Row],[Result]]&gt;0.5,1,0),0)</f>
        <v>0</v>
      </c>
      <c r="AD489" s="2">
        <f>IF(Games[[#This Row],[Type]]="R",IF(Games[[#This Row],[Result]]&lt;0.5,1,0),0)</f>
        <v>0</v>
      </c>
      <c r="AE489" s="2">
        <f>IF(AND(Games[[#This Row],[Type]]="P",Games[[#This Row],[Round]]=1),IF(Games[[#This Row],[Result]]&gt;0.5,1,0),0)</f>
        <v>1</v>
      </c>
      <c r="AF489" s="2">
        <f>IF(AND(Games[[#This Row],[Type]]="P",Games[[#This Row],[Round]]=1),IF(Games[[#This Row],[Result]]&lt;0.5,1,0),0)</f>
        <v>0</v>
      </c>
      <c r="AG489" s="2">
        <f>IF(AND(Games[[#This Row],[Type]]="P",Games[[#This Row],[Round]]=2),IF(Games[[#This Row],[Result]]&gt;0.5,1,0),0)</f>
        <v>0</v>
      </c>
      <c r="AH489" s="2">
        <f>IF(AND(Games[[#This Row],[Type]]="P",Games[[#This Row],[Round]]=2),IF(Games[[#This Row],[Result]]&lt;0.5,1,0),0)</f>
        <v>0</v>
      </c>
      <c r="AI489" s="2">
        <f>IF(AND(Games[[#This Row],[Type]]="P",Games[[#This Row],[Round]]=3),IF(Games[[#This Row],[Result]]&gt;0.5,1,0),0)</f>
        <v>0</v>
      </c>
      <c r="AJ489" s="2">
        <f>IF(AND(Games[[#This Row],[Type]]="P",Games[[#This Row],[Round]]=3),IF(Games[[#This Row],[Result]]&lt;0.5,1,0),0)</f>
        <v>0</v>
      </c>
      <c r="AK489" s="2">
        <f>IF(AND(Games[[#This Row],[Type]]="P",Games[[#This Row],[Round]]=4),IF(Games[[#This Row],[Result]]&gt;0.5,1,0),0)</f>
        <v>0</v>
      </c>
      <c r="AL489" s="2">
        <f>IF(AND(Games[[#This Row],[Type]]="P",Games[[#This Row],[Round]]=4),IF(Games[[#This Row],[Result]]&lt;0.5,1,0),0)</f>
        <v>0</v>
      </c>
    </row>
    <row r="490" spans="1:38" x14ac:dyDescent="0.35">
      <c r="A490" s="10">
        <v>45184</v>
      </c>
      <c r="B490" s="2">
        <v>2023</v>
      </c>
      <c r="C490" s="2">
        <f>COUNTIFS(Games[Team],Games[[#This Row],[Team]],Games[Season],Games[[#This Row],[Season]],Games[Date],"&lt;=" &amp; Games[[#This Row],[Date]])</f>
        <v>41</v>
      </c>
      <c r="D490" s="2" t="s">
        <v>83</v>
      </c>
      <c r="E490" s="2">
        <v>1</v>
      </c>
      <c r="F490" s="1" t="s">
        <v>65</v>
      </c>
      <c r="G490" s="1" t="s">
        <v>60</v>
      </c>
      <c r="H490" s="1" t="s">
        <v>81</v>
      </c>
      <c r="I490" s="2" cm="1">
        <f t="array" ref="I490">IFERROR(
    Games[[#This Row],[Date]]
    - LOOKUP(
        2,
        1/((Games[Team]=Games[[#This Row],[Team]]) * (Games[Date] &lt; Games[[#This Row],[Date]])),
        Games[Date]
    )
    - 1,
Games[[#This Row],[Date]]-$A$2)</f>
        <v>4</v>
      </c>
      <c r="J490" s="2" cm="1">
        <f t="array" ref="J49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90" s="2">
        <f>Games[[#This Row],[DaysOff]]-Games[[#This Row],[OppDaysOff]]</f>
        <v>0</v>
      </c>
      <c r="L490" s="2">
        <f>Games[[#This Row],[OppDaysOff]]-Games[[#This Row],[DaysOff]]</f>
        <v>0</v>
      </c>
      <c r="M490" s="1">
        <f>MAX(-16, MIN(16, Games[[#This Row],[RestDiff]]*8))</f>
        <v>0</v>
      </c>
      <c r="N490" s="1">
        <f>MAX(-16, MIN(16, Games[[#This Row],[OppRestDiff]]*8))</f>
        <v>0</v>
      </c>
      <c r="O490" s="4" cm="1">
        <f t="array" ref="O4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1478.3231553242272</v>
      </c>
      <c r="P490" s="4" cm="1">
        <f t="array" ref="P4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1740.1603991800002</v>
      </c>
      <c r="Q490" s="4">
        <f>1/(1+10^(((Games[[#This Row],[OppPreGmRate]]+IF(Games[[#This Row],[HomeAway]]="A",HCA,0)+Games[[#This Row],[OppRestAdj]])-(Games[[#This Row],[PreGmRate]]+IF(Games[[#This Row],[HomeAway]]="H",HCA,0)+Games[[#This Row],[RestAdj]]))/400))</f>
        <v>0.12017233603244602</v>
      </c>
      <c r="R490" s="1">
        <v>75</v>
      </c>
      <c r="S490" s="1">
        <v>90</v>
      </c>
      <c r="T490" s="1">
        <v>0</v>
      </c>
      <c r="U490" s="1">
        <f>Games[[#This Row],[PointsFor]]-Games[[#This Row],[PointsAgainst]]</f>
        <v>-15</v>
      </c>
      <c r="V490" s="1">
        <f>IF(Games[[#This Row],[MOV]]&gt;0,1,IF(Games[[#This Row],[MOV]]=0,0.5,0))</f>
        <v>0</v>
      </c>
      <c r="W490" s="4">
        <f>((ABS(Games[[#This Row],[MOV]])+5)^0.6)/(12+0.01*(ABS(Games[[#This Row],[PreGmRate]]-Games[[#This Row],[OppPreGmRate]])))*IF(Games[[#This Row],[OT]]=1,0.9,1)</f>
        <v>0.41278031202907989</v>
      </c>
      <c r="X490" s="7" cm="1">
        <f t="array" ref="X49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90" s="9">
        <f>MAX(kmin, kmax - 0.15 * MIN(Games[[#This Row],[GamesPlayed]], 82))</f>
        <v>69.849999999999994</v>
      </c>
      <c r="Z490" s="4">
        <f>Games[[#This Row],[K]]*Games[[#This Row],[POMult]]</f>
        <v>76.834999999999994</v>
      </c>
      <c r="AA490" s="4">
        <f>(Games[[#This Row],[Keff]]*Games[[#This Row],[MOVMult]])*(Games[[#This Row],[Result]]-Games[[#This Row],[ExpectedWin%]])</f>
        <v>-3.8113828383145294</v>
      </c>
      <c r="AB490" s="4">
        <f>Games[[#This Row],[PreGmRate]]+Games[[#This Row],[RatingChange]]</f>
        <v>1474.5117724859126</v>
      </c>
      <c r="AC490" s="2">
        <f>IF(Games[[#This Row],[Type]]="R",IF(Games[[#This Row],[Result]]&gt;0.5,1,0),0)</f>
        <v>0</v>
      </c>
      <c r="AD490" s="2">
        <f>IF(Games[[#This Row],[Type]]="R",IF(Games[[#This Row],[Result]]&lt;0.5,1,0),0)</f>
        <v>0</v>
      </c>
      <c r="AE490" s="2">
        <f>IF(AND(Games[[#This Row],[Type]]="P",Games[[#This Row],[Round]]=1),IF(Games[[#This Row],[Result]]&gt;0.5,1,0),0)</f>
        <v>0</v>
      </c>
      <c r="AF490" s="2">
        <f>IF(AND(Games[[#This Row],[Type]]="P",Games[[#This Row],[Round]]=1),IF(Games[[#This Row],[Result]]&lt;0.5,1,0),0)</f>
        <v>1</v>
      </c>
      <c r="AG490" s="2">
        <f>IF(AND(Games[[#This Row],[Type]]="P",Games[[#This Row],[Round]]=2),IF(Games[[#This Row],[Result]]&gt;0.5,1,0),0)</f>
        <v>0</v>
      </c>
      <c r="AH490" s="2">
        <f>IF(AND(Games[[#This Row],[Type]]="P",Games[[#This Row],[Round]]=2),IF(Games[[#This Row],[Result]]&lt;0.5,1,0),0)</f>
        <v>0</v>
      </c>
      <c r="AI490" s="2">
        <f>IF(AND(Games[[#This Row],[Type]]="P",Games[[#This Row],[Round]]=3),IF(Games[[#This Row],[Result]]&gt;0.5,1,0),0)</f>
        <v>0</v>
      </c>
      <c r="AJ490" s="2">
        <f>IF(AND(Games[[#This Row],[Type]]="P",Games[[#This Row],[Round]]=3),IF(Games[[#This Row],[Result]]&lt;0.5,1,0),0)</f>
        <v>0</v>
      </c>
      <c r="AK490" s="2">
        <f>IF(AND(Games[[#This Row],[Type]]="P",Games[[#This Row],[Round]]=4),IF(Games[[#This Row],[Result]]&gt;0.5,1,0),0)</f>
        <v>0</v>
      </c>
      <c r="AL490" s="2">
        <f>IF(AND(Games[[#This Row],[Type]]="P",Games[[#This Row],[Round]]=4),IF(Games[[#This Row],[Result]]&lt;0.5,1,0),0)</f>
        <v>0</v>
      </c>
    </row>
    <row r="491" spans="1:38" x14ac:dyDescent="0.35">
      <c r="A491" s="10">
        <v>45184</v>
      </c>
      <c r="B491" s="2">
        <v>2023</v>
      </c>
      <c r="C491" s="2">
        <f>COUNTIFS(Games[Team],Games[[#This Row],[Team]],Games[Season],Games[[#This Row],[Season]],Games[Date],"&lt;=" &amp; Games[[#This Row],[Date]])</f>
        <v>42</v>
      </c>
      <c r="D491" s="2" t="s">
        <v>83</v>
      </c>
      <c r="E491" s="2">
        <v>1</v>
      </c>
      <c r="F491" s="1" t="s">
        <v>60</v>
      </c>
      <c r="G491" s="1" t="s">
        <v>65</v>
      </c>
      <c r="H491" s="1" t="s">
        <v>82</v>
      </c>
      <c r="I491" s="2" cm="1">
        <f t="array" ref="I491">IFERROR(
    Games[[#This Row],[Date]]
    - LOOKUP(
        2,
        1/((Games[Team]=Games[[#This Row],[Team]]) * (Games[Date] &lt; Games[[#This Row],[Date]])),
        Games[Date]
    )
    - 1,
Games[[#This Row],[Date]]-$A$2)</f>
        <v>4</v>
      </c>
      <c r="J491" s="2" cm="1">
        <f t="array" ref="J49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91" s="2">
        <f>Games[[#This Row],[DaysOff]]-Games[[#This Row],[OppDaysOff]]</f>
        <v>0</v>
      </c>
      <c r="L491" s="2">
        <f>Games[[#This Row],[OppDaysOff]]-Games[[#This Row],[DaysOff]]</f>
        <v>0</v>
      </c>
      <c r="M491" s="1">
        <f>MAX(-16, MIN(16, Games[[#This Row],[RestDiff]]*8))</f>
        <v>0</v>
      </c>
      <c r="N491" s="1">
        <f>MAX(-16, MIN(16, Games[[#This Row],[OppRestDiff]]*8))</f>
        <v>0</v>
      </c>
      <c r="O491" s="4" cm="1">
        <f t="array" ref="O4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1740.1603991800002</v>
      </c>
      <c r="P491" s="4" cm="1">
        <f t="array" ref="P4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1478.3231553242272</v>
      </c>
      <c r="Q491" s="4">
        <f>1/(1+10^(((Games[[#This Row],[OppPreGmRate]]+IF(Games[[#This Row],[HomeAway]]="A",HCA,0)+Games[[#This Row],[OppRestAdj]])-(Games[[#This Row],[PreGmRate]]+IF(Games[[#This Row],[HomeAway]]="H",HCA,0)+Games[[#This Row],[RestAdj]]))/400))</f>
        <v>0.87982766396755385</v>
      </c>
      <c r="R491" s="1">
        <v>90</v>
      </c>
      <c r="S491" s="1">
        <v>75</v>
      </c>
      <c r="T491" s="1">
        <v>0</v>
      </c>
      <c r="U491" s="1">
        <f>Games[[#This Row],[PointsFor]]-Games[[#This Row],[PointsAgainst]]</f>
        <v>15</v>
      </c>
      <c r="V491" s="1">
        <f>IF(Games[[#This Row],[MOV]]&gt;0,1,IF(Games[[#This Row],[MOV]]=0,0.5,0))</f>
        <v>1</v>
      </c>
      <c r="W491" s="4">
        <f>((ABS(Games[[#This Row],[MOV]])+5)^0.6)/(12+0.01*(ABS(Games[[#This Row],[PreGmRate]]-Games[[#This Row],[OppPreGmRate]])))*IF(Games[[#This Row],[OT]]=1,0.9,1)</f>
        <v>0.41278031202907989</v>
      </c>
      <c r="X491" s="7" cm="1">
        <f t="array" ref="X49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91" s="9">
        <f>MAX(kmin, kmax - 0.15 * MIN(Games[[#This Row],[GamesPlayed]], 82))</f>
        <v>69.7</v>
      </c>
      <c r="Z491" s="4">
        <f>Games[[#This Row],[K]]*Games[[#This Row],[POMult]]</f>
        <v>76.670000000000016</v>
      </c>
      <c r="AA491" s="4">
        <f>(Games[[#This Row],[Keff]]*Games[[#This Row],[MOVMult]])*(Games[[#This Row],[Result]]-Games[[#This Row],[ExpectedWin%]])</f>
        <v>3.8031980505443532</v>
      </c>
      <c r="AB491" s="4">
        <f>Games[[#This Row],[PreGmRate]]+Games[[#This Row],[RatingChange]]</f>
        <v>1743.9635972305446</v>
      </c>
      <c r="AC491" s="2">
        <f>IF(Games[[#This Row],[Type]]="R",IF(Games[[#This Row],[Result]]&gt;0.5,1,0),0)</f>
        <v>0</v>
      </c>
      <c r="AD491" s="2">
        <f>IF(Games[[#This Row],[Type]]="R",IF(Games[[#This Row],[Result]]&lt;0.5,1,0),0)</f>
        <v>0</v>
      </c>
      <c r="AE491" s="2">
        <f>IF(AND(Games[[#This Row],[Type]]="P",Games[[#This Row],[Round]]=1),IF(Games[[#This Row],[Result]]&gt;0.5,1,0),0)</f>
        <v>1</v>
      </c>
      <c r="AF491" s="2">
        <f>IF(AND(Games[[#This Row],[Type]]="P",Games[[#This Row],[Round]]=1),IF(Games[[#This Row],[Result]]&lt;0.5,1,0),0)</f>
        <v>0</v>
      </c>
      <c r="AG491" s="2">
        <f>IF(AND(Games[[#This Row],[Type]]="P",Games[[#This Row],[Round]]=2),IF(Games[[#This Row],[Result]]&gt;0.5,1,0),0)</f>
        <v>0</v>
      </c>
      <c r="AH491" s="2">
        <f>IF(AND(Games[[#This Row],[Type]]="P",Games[[#This Row],[Round]]=2),IF(Games[[#This Row],[Result]]&lt;0.5,1,0),0)</f>
        <v>0</v>
      </c>
      <c r="AI491" s="2">
        <f>IF(AND(Games[[#This Row],[Type]]="P",Games[[#This Row],[Round]]=3),IF(Games[[#This Row],[Result]]&gt;0.5,1,0),0)</f>
        <v>0</v>
      </c>
      <c r="AJ491" s="2">
        <f>IF(AND(Games[[#This Row],[Type]]="P",Games[[#This Row],[Round]]=3),IF(Games[[#This Row],[Result]]&lt;0.5,1,0),0)</f>
        <v>0</v>
      </c>
      <c r="AK491" s="2">
        <f>IF(AND(Games[[#This Row],[Type]]="P",Games[[#This Row],[Round]]=4),IF(Games[[#This Row],[Result]]&gt;0.5,1,0),0)</f>
        <v>0</v>
      </c>
      <c r="AL491" s="2">
        <f>IF(AND(Games[[#This Row],[Type]]="P",Games[[#This Row],[Round]]=4),IF(Games[[#This Row],[Result]]&lt;0.5,1,0),0)</f>
        <v>0</v>
      </c>
    </row>
    <row r="492" spans="1:38" x14ac:dyDescent="0.35">
      <c r="A492" s="10">
        <v>45186</v>
      </c>
      <c r="B492" s="2">
        <v>2023</v>
      </c>
      <c r="C492" s="2">
        <f>COUNTIFS(Games[Team],Games[[#This Row],[Team]],Games[Season],Games[[#This Row],[Season]],Games[Date],"&lt;=" &amp; Games[[#This Row],[Date]])</f>
        <v>42</v>
      </c>
      <c r="D492" s="2" t="s">
        <v>83</v>
      </c>
      <c r="E492" s="2">
        <v>1</v>
      </c>
      <c r="F492" s="1" t="s">
        <v>67</v>
      </c>
      <c r="G492" s="1" t="s">
        <v>74</v>
      </c>
      <c r="H492" s="1" t="s">
        <v>81</v>
      </c>
      <c r="I492" s="2" cm="1">
        <f t="array" ref="I492">IFERROR(
    Games[[#This Row],[Date]]
    - LOOKUP(
        2,
        1/((Games[Team]=Games[[#This Row],[Team]]) * (Games[Date] &lt; Games[[#This Row],[Date]])),
        Games[Date]
    )
    - 1,
Games[[#This Row],[Date]]-$A$2)</f>
        <v>3</v>
      </c>
      <c r="J492" s="2" cm="1">
        <f t="array" ref="J49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92" s="2">
        <f>Games[[#This Row],[DaysOff]]-Games[[#This Row],[OppDaysOff]]</f>
        <v>0</v>
      </c>
      <c r="L492" s="2">
        <f>Games[[#This Row],[OppDaysOff]]-Games[[#This Row],[DaysOff]]</f>
        <v>0</v>
      </c>
      <c r="M492" s="1">
        <f>MAX(-16, MIN(16, Games[[#This Row],[RestDiff]]*8))</f>
        <v>0</v>
      </c>
      <c r="N492" s="1">
        <f>MAX(-16, MIN(16, Games[[#This Row],[OppRestDiff]]*8))</f>
        <v>0</v>
      </c>
      <c r="O492" s="4" cm="1">
        <f t="array" ref="O4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1437.7883398274951</v>
      </c>
      <c r="P492" s="4" cm="1">
        <f t="array" ref="P4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1610.5622329520222</v>
      </c>
      <c r="Q492" s="4">
        <f>1/(1+10^(((Games[[#This Row],[OppPreGmRate]]+IF(Games[[#This Row],[HomeAway]]="A",HCA,0)+Games[[#This Row],[OppRestAdj]])-(Games[[#This Row],[PreGmRate]]+IF(Games[[#This Row],[HomeAway]]="H",HCA,0)+Games[[#This Row],[RestAdj]]))/400))</f>
        <v>0.18571316120050127</v>
      </c>
      <c r="R492" s="1">
        <v>82</v>
      </c>
      <c r="S492" s="1">
        <v>75</v>
      </c>
      <c r="T492" s="1">
        <v>0</v>
      </c>
      <c r="U492" s="1">
        <f>Games[[#This Row],[PointsFor]]-Games[[#This Row],[PointsAgainst]]</f>
        <v>7</v>
      </c>
      <c r="V492" s="1">
        <f>IF(Games[[#This Row],[MOV]]&gt;0,1,IF(Games[[#This Row],[MOV]]=0,0.5,0))</f>
        <v>1</v>
      </c>
      <c r="W492" s="4">
        <f>((ABS(Games[[#This Row],[MOV]])+5)^0.6)/(12+0.01*(ABS(Games[[#This Row],[PreGmRate]]-Games[[#This Row],[OppPreGmRate]])))*IF(Games[[#This Row],[OT]]=1,0.9,1)</f>
        <v>0.32352640825192047</v>
      </c>
      <c r="X492" s="7" cm="1">
        <f t="array" ref="X49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92" s="9">
        <f>MAX(kmin, kmax - 0.15 * MIN(Games[[#This Row],[GamesPlayed]], 82))</f>
        <v>69.7</v>
      </c>
      <c r="Z492" s="4">
        <f>Games[[#This Row],[K]]*Games[[#This Row],[POMult]]</f>
        <v>76.670000000000016</v>
      </c>
      <c r="AA492" s="4">
        <f>(Games[[#This Row],[Keff]]*Games[[#This Row],[MOVMult]])*(Games[[#This Row],[Result]]-Games[[#This Row],[ExpectedWin%]])</f>
        <v>20.198197522997766</v>
      </c>
      <c r="AB492" s="4">
        <f>Games[[#This Row],[PreGmRate]]+Games[[#This Row],[RatingChange]]</f>
        <v>1457.9865373504929</v>
      </c>
      <c r="AC492" s="2">
        <f>IF(Games[[#This Row],[Type]]="R",IF(Games[[#This Row],[Result]]&gt;0.5,1,0),0)</f>
        <v>0</v>
      </c>
      <c r="AD492" s="2">
        <f>IF(Games[[#This Row],[Type]]="R",IF(Games[[#This Row],[Result]]&lt;0.5,1,0),0)</f>
        <v>0</v>
      </c>
      <c r="AE492" s="2">
        <f>IF(AND(Games[[#This Row],[Type]]="P",Games[[#This Row],[Round]]=1),IF(Games[[#This Row],[Result]]&gt;0.5,1,0),0)</f>
        <v>1</v>
      </c>
      <c r="AF492" s="2">
        <f>IF(AND(Games[[#This Row],[Type]]="P",Games[[#This Row],[Round]]=1),IF(Games[[#This Row],[Result]]&lt;0.5,1,0),0)</f>
        <v>0</v>
      </c>
      <c r="AG492" s="2">
        <f>IF(AND(Games[[#This Row],[Type]]="P",Games[[#This Row],[Round]]=2),IF(Games[[#This Row],[Result]]&gt;0.5,1,0),0)</f>
        <v>0</v>
      </c>
      <c r="AH492" s="2">
        <f>IF(AND(Games[[#This Row],[Type]]="P",Games[[#This Row],[Round]]=2),IF(Games[[#This Row],[Result]]&lt;0.5,1,0),0)</f>
        <v>0</v>
      </c>
      <c r="AI492" s="2">
        <f>IF(AND(Games[[#This Row],[Type]]="P",Games[[#This Row],[Round]]=3),IF(Games[[#This Row],[Result]]&gt;0.5,1,0),0)</f>
        <v>0</v>
      </c>
      <c r="AJ492" s="2">
        <f>IF(AND(Games[[#This Row],[Type]]="P",Games[[#This Row],[Round]]=3),IF(Games[[#This Row],[Result]]&lt;0.5,1,0),0)</f>
        <v>0</v>
      </c>
      <c r="AK492" s="2">
        <f>IF(AND(Games[[#This Row],[Type]]="P",Games[[#This Row],[Round]]=4),IF(Games[[#This Row],[Result]]&gt;0.5,1,0),0)</f>
        <v>0</v>
      </c>
      <c r="AL492" s="2">
        <f>IF(AND(Games[[#This Row],[Type]]="P",Games[[#This Row],[Round]]=4),IF(Games[[#This Row],[Result]]&lt;0.5,1,0),0)</f>
        <v>0</v>
      </c>
    </row>
    <row r="493" spans="1:38" x14ac:dyDescent="0.35">
      <c r="A493" s="10">
        <v>45186</v>
      </c>
      <c r="B493" s="2">
        <v>2023</v>
      </c>
      <c r="C493" s="2">
        <f>COUNTIFS(Games[Team],Games[[#This Row],[Team]],Games[Season],Games[[#This Row],[Season]],Games[Date],"&lt;=" &amp; Games[[#This Row],[Date]])</f>
        <v>42</v>
      </c>
      <c r="D493" s="2" t="s">
        <v>83</v>
      </c>
      <c r="E493" s="2">
        <v>1</v>
      </c>
      <c r="F493" s="1" t="s">
        <v>74</v>
      </c>
      <c r="G493" s="1" t="s">
        <v>67</v>
      </c>
      <c r="H493" s="1" t="s">
        <v>82</v>
      </c>
      <c r="I493" s="2" cm="1">
        <f t="array" ref="I493">IFERROR(
    Games[[#This Row],[Date]]
    - LOOKUP(
        2,
        1/((Games[Team]=Games[[#This Row],[Team]]) * (Games[Date] &lt; Games[[#This Row],[Date]])),
        Games[Date]
    )
    - 1,
Games[[#This Row],[Date]]-$A$2)</f>
        <v>3</v>
      </c>
      <c r="J493" s="2" cm="1">
        <f t="array" ref="J49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93" s="2">
        <f>Games[[#This Row],[DaysOff]]-Games[[#This Row],[OppDaysOff]]</f>
        <v>0</v>
      </c>
      <c r="L493" s="2">
        <f>Games[[#This Row],[OppDaysOff]]-Games[[#This Row],[DaysOff]]</f>
        <v>0</v>
      </c>
      <c r="M493" s="1">
        <f>MAX(-16, MIN(16, Games[[#This Row],[RestDiff]]*8))</f>
        <v>0</v>
      </c>
      <c r="N493" s="1">
        <f>MAX(-16, MIN(16, Games[[#This Row],[OppRestDiff]]*8))</f>
        <v>0</v>
      </c>
      <c r="O493" s="4" cm="1">
        <f t="array" ref="O4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1610.5622329520222</v>
      </c>
      <c r="P493" s="4" cm="1">
        <f t="array" ref="P4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1437.7883398274951</v>
      </c>
      <c r="Q493" s="4">
        <f>1/(1+10^(((Games[[#This Row],[OppPreGmRate]]+IF(Games[[#This Row],[HomeAway]]="A",HCA,0)+Games[[#This Row],[OppRestAdj]])-(Games[[#This Row],[PreGmRate]]+IF(Games[[#This Row],[HomeAway]]="H",HCA,0)+Games[[#This Row],[RestAdj]]))/400))</f>
        <v>0.8142868387994987</v>
      </c>
      <c r="R493" s="1">
        <v>75</v>
      </c>
      <c r="S493" s="1">
        <v>82</v>
      </c>
      <c r="T493" s="1">
        <v>0</v>
      </c>
      <c r="U493" s="1">
        <f>Games[[#This Row],[PointsFor]]-Games[[#This Row],[PointsAgainst]]</f>
        <v>-7</v>
      </c>
      <c r="V493" s="1">
        <f>IF(Games[[#This Row],[MOV]]&gt;0,1,IF(Games[[#This Row],[MOV]]=0,0.5,0))</f>
        <v>0</v>
      </c>
      <c r="W493" s="4">
        <f>((ABS(Games[[#This Row],[MOV]])+5)^0.6)/(12+0.01*(ABS(Games[[#This Row],[PreGmRate]]-Games[[#This Row],[OppPreGmRate]])))*IF(Games[[#This Row],[OT]]=1,0.9,1)</f>
        <v>0.32352640825192047</v>
      </c>
      <c r="X493" s="7" cm="1">
        <f t="array" ref="X49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93" s="9">
        <f>MAX(kmin, kmax - 0.15 * MIN(Games[[#This Row],[GamesPlayed]], 82))</f>
        <v>69.7</v>
      </c>
      <c r="Z493" s="4">
        <f>Games[[#This Row],[K]]*Games[[#This Row],[POMult]]</f>
        <v>76.670000000000016</v>
      </c>
      <c r="AA493" s="4">
        <f>(Games[[#This Row],[Keff]]*Games[[#This Row],[MOVMult]])*(Games[[#This Row],[Result]]-Games[[#This Row],[ExpectedWin%]])</f>
        <v>-20.198197522997766</v>
      </c>
      <c r="AB493" s="4">
        <f>Games[[#This Row],[PreGmRate]]+Games[[#This Row],[RatingChange]]</f>
        <v>1590.3640354290244</v>
      </c>
      <c r="AC493" s="2">
        <f>IF(Games[[#This Row],[Type]]="R",IF(Games[[#This Row],[Result]]&gt;0.5,1,0),0)</f>
        <v>0</v>
      </c>
      <c r="AD493" s="2">
        <f>IF(Games[[#This Row],[Type]]="R",IF(Games[[#This Row],[Result]]&lt;0.5,1,0),0)</f>
        <v>0</v>
      </c>
      <c r="AE493" s="2">
        <f>IF(AND(Games[[#This Row],[Type]]="P",Games[[#This Row],[Round]]=1),IF(Games[[#This Row],[Result]]&gt;0.5,1,0),0)</f>
        <v>0</v>
      </c>
      <c r="AF493" s="2">
        <f>IF(AND(Games[[#This Row],[Type]]="P",Games[[#This Row],[Round]]=1),IF(Games[[#This Row],[Result]]&lt;0.5,1,0),0)</f>
        <v>1</v>
      </c>
      <c r="AG493" s="2">
        <f>IF(AND(Games[[#This Row],[Type]]="P",Games[[#This Row],[Round]]=2),IF(Games[[#This Row],[Result]]&gt;0.5,1,0),0)</f>
        <v>0</v>
      </c>
      <c r="AH493" s="2">
        <f>IF(AND(Games[[#This Row],[Type]]="P",Games[[#This Row],[Round]]=2),IF(Games[[#This Row],[Result]]&lt;0.5,1,0),0)</f>
        <v>0</v>
      </c>
      <c r="AI493" s="2">
        <f>IF(AND(Games[[#This Row],[Type]]="P",Games[[#This Row],[Round]]=3),IF(Games[[#This Row],[Result]]&gt;0.5,1,0),0)</f>
        <v>0</v>
      </c>
      <c r="AJ493" s="2">
        <f>IF(AND(Games[[#This Row],[Type]]="P",Games[[#This Row],[Round]]=3),IF(Games[[#This Row],[Result]]&lt;0.5,1,0),0)</f>
        <v>0</v>
      </c>
      <c r="AK493" s="2">
        <f>IF(AND(Games[[#This Row],[Type]]="P",Games[[#This Row],[Round]]=4),IF(Games[[#This Row],[Result]]&gt;0.5,1,0),0)</f>
        <v>0</v>
      </c>
      <c r="AL493" s="2">
        <f>IF(AND(Games[[#This Row],[Type]]="P",Games[[#This Row],[Round]]=4),IF(Games[[#This Row],[Result]]&lt;0.5,1,0),0)</f>
        <v>0</v>
      </c>
    </row>
    <row r="494" spans="1:38" x14ac:dyDescent="0.35">
      <c r="A494" s="10">
        <v>45186</v>
      </c>
      <c r="B494" s="2">
        <v>2023</v>
      </c>
      <c r="C494" s="2">
        <f>COUNTIFS(Games[Team],Games[[#This Row],[Team]],Games[Season],Games[[#This Row],[Season]],Games[Date],"&lt;=" &amp; Games[[#This Row],[Date]])</f>
        <v>42</v>
      </c>
      <c r="D494" s="2" t="s">
        <v>83</v>
      </c>
      <c r="E494" s="2">
        <v>1</v>
      </c>
      <c r="F494" s="1" t="s">
        <v>75</v>
      </c>
      <c r="G494" s="1" t="s">
        <v>86</v>
      </c>
      <c r="H494" s="1" t="s">
        <v>81</v>
      </c>
      <c r="I494" s="2" cm="1">
        <f t="array" ref="I494">IFERROR(
    Games[[#This Row],[Date]]
    - LOOKUP(
        2,
        1/((Games[Team]=Games[[#This Row],[Team]]) * (Games[Date] &lt; Games[[#This Row],[Date]])),
        Games[Date]
    )
    - 1,
Games[[#This Row],[Date]]-$A$2)</f>
        <v>3</v>
      </c>
      <c r="J494" s="2" cm="1">
        <f t="array" ref="J49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94" s="2">
        <f>Games[[#This Row],[DaysOff]]-Games[[#This Row],[OppDaysOff]]</f>
        <v>0</v>
      </c>
      <c r="L494" s="2">
        <f>Games[[#This Row],[OppDaysOff]]-Games[[#This Row],[DaysOff]]</f>
        <v>0</v>
      </c>
      <c r="M494" s="1">
        <f>MAX(-16, MIN(16, Games[[#This Row],[RestDiff]]*8))</f>
        <v>0</v>
      </c>
      <c r="N494" s="1">
        <f>MAX(-16, MIN(16, Games[[#This Row],[OppRestDiff]]*8))</f>
        <v>0</v>
      </c>
      <c r="O494" s="4" cm="1">
        <f t="array" ref="O4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1504.179679633123</v>
      </c>
      <c r="P494" s="4" cm="1">
        <f t="array" ref="P4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1718.6916710958519</v>
      </c>
      <c r="Q494" s="4">
        <f>1/(1+10^(((Games[[#This Row],[OppPreGmRate]]+IF(Games[[#This Row],[HomeAway]]="A",HCA,0)+Games[[#This Row],[OppRestAdj]])-(Games[[#This Row],[PreGmRate]]+IF(Games[[#This Row],[HomeAway]]="H",HCA,0)+Games[[#This Row],[RestAdj]]))/400))</f>
        <v>0.1520808303840622</v>
      </c>
      <c r="R494" s="1">
        <v>70</v>
      </c>
      <c r="S494" s="1">
        <v>92</v>
      </c>
      <c r="T494" s="1">
        <v>0</v>
      </c>
      <c r="U494" s="1">
        <f>Games[[#This Row],[PointsFor]]-Games[[#This Row],[PointsAgainst]]</f>
        <v>-22</v>
      </c>
      <c r="V494" s="1">
        <f>IF(Games[[#This Row],[MOV]]&gt;0,1,IF(Games[[#This Row],[MOV]]=0,0.5,0))</f>
        <v>0</v>
      </c>
      <c r="W494" s="4">
        <f>((ABS(Games[[#This Row],[MOV]])+5)^0.6)/(12+0.01*(ABS(Games[[#This Row],[PreGmRate]]-Games[[#This Row],[OppPreGmRate]])))*IF(Games[[#This Row],[OT]]=1,0.9,1)</f>
        <v>0.51075382177362327</v>
      </c>
      <c r="X494" s="7" cm="1">
        <f t="array" ref="X49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94" s="9">
        <f>MAX(kmin, kmax - 0.15 * MIN(Games[[#This Row],[GamesPlayed]], 82))</f>
        <v>69.7</v>
      </c>
      <c r="Z494" s="4">
        <f>Games[[#This Row],[K]]*Games[[#This Row],[POMult]]</f>
        <v>76.670000000000016</v>
      </c>
      <c r="AA494" s="4">
        <f>(Games[[#This Row],[Keff]]*Games[[#This Row],[MOVMult]])*(Games[[#This Row],[Result]]-Games[[#This Row],[ExpectedWin%]])</f>
        <v>-5.9554085954005131</v>
      </c>
      <c r="AB494" s="4">
        <f>Games[[#This Row],[PreGmRate]]+Games[[#This Row],[RatingChange]]</f>
        <v>1498.2242710377225</v>
      </c>
      <c r="AC494" s="2">
        <f>IF(Games[[#This Row],[Type]]="R",IF(Games[[#This Row],[Result]]&gt;0.5,1,0),0)</f>
        <v>0</v>
      </c>
      <c r="AD494" s="2">
        <f>IF(Games[[#This Row],[Type]]="R",IF(Games[[#This Row],[Result]]&lt;0.5,1,0),0)</f>
        <v>0</v>
      </c>
      <c r="AE494" s="2">
        <f>IF(AND(Games[[#This Row],[Type]]="P",Games[[#This Row],[Round]]=1),IF(Games[[#This Row],[Result]]&gt;0.5,1,0),0)</f>
        <v>0</v>
      </c>
      <c r="AF494" s="2">
        <f>IF(AND(Games[[#This Row],[Type]]="P",Games[[#This Row],[Round]]=1),IF(Games[[#This Row],[Result]]&lt;0.5,1,0),0)</f>
        <v>1</v>
      </c>
      <c r="AG494" s="2">
        <f>IF(AND(Games[[#This Row],[Type]]="P",Games[[#This Row],[Round]]=2),IF(Games[[#This Row],[Result]]&gt;0.5,1,0),0)</f>
        <v>0</v>
      </c>
      <c r="AH494" s="2">
        <f>IF(AND(Games[[#This Row],[Type]]="P",Games[[#This Row],[Round]]=2),IF(Games[[#This Row],[Result]]&lt;0.5,1,0),0)</f>
        <v>0</v>
      </c>
      <c r="AI494" s="2">
        <f>IF(AND(Games[[#This Row],[Type]]="P",Games[[#This Row],[Round]]=3),IF(Games[[#This Row],[Result]]&gt;0.5,1,0),0)</f>
        <v>0</v>
      </c>
      <c r="AJ494" s="2">
        <f>IF(AND(Games[[#This Row],[Type]]="P",Games[[#This Row],[Round]]=3),IF(Games[[#This Row],[Result]]&lt;0.5,1,0),0)</f>
        <v>0</v>
      </c>
      <c r="AK494" s="2">
        <f>IF(AND(Games[[#This Row],[Type]]="P",Games[[#This Row],[Round]]=4),IF(Games[[#This Row],[Result]]&gt;0.5,1,0),0)</f>
        <v>0</v>
      </c>
      <c r="AL494" s="2">
        <f>IF(AND(Games[[#This Row],[Type]]="P",Games[[#This Row],[Round]]=4),IF(Games[[#This Row],[Result]]&lt;0.5,1,0),0)</f>
        <v>0</v>
      </c>
    </row>
    <row r="495" spans="1:38" x14ac:dyDescent="0.35">
      <c r="A495" s="10">
        <v>45186</v>
      </c>
      <c r="B495" s="2">
        <v>2023</v>
      </c>
      <c r="C495" s="2">
        <f>COUNTIFS(Games[Team],Games[[#This Row],[Team]],Games[Season],Games[[#This Row],[Season]],Games[Date],"&lt;=" &amp; Games[[#This Row],[Date]])</f>
        <v>43</v>
      </c>
      <c r="D495" s="2" t="s">
        <v>83</v>
      </c>
      <c r="E495" s="2">
        <v>1</v>
      </c>
      <c r="F495" s="1" t="s">
        <v>86</v>
      </c>
      <c r="G495" s="1" t="s">
        <v>75</v>
      </c>
      <c r="H495" s="1" t="s">
        <v>82</v>
      </c>
      <c r="I495" s="2" cm="1">
        <f t="array" ref="I495">IFERROR(
    Games[[#This Row],[Date]]
    - LOOKUP(
        2,
        1/((Games[Team]=Games[[#This Row],[Team]]) * (Games[Date] &lt; Games[[#This Row],[Date]])),
        Games[Date]
    )
    - 1,
Games[[#This Row],[Date]]-$A$2)</f>
        <v>3</v>
      </c>
      <c r="J495" s="2" cm="1">
        <f t="array" ref="J49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95" s="2">
        <f>Games[[#This Row],[DaysOff]]-Games[[#This Row],[OppDaysOff]]</f>
        <v>0</v>
      </c>
      <c r="L495" s="2">
        <f>Games[[#This Row],[OppDaysOff]]-Games[[#This Row],[DaysOff]]</f>
        <v>0</v>
      </c>
      <c r="M495" s="1">
        <f>MAX(-16, MIN(16, Games[[#This Row],[RestDiff]]*8))</f>
        <v>0</v>
      </c>
      <c r="N495" s="1">
        <f>MAX(-16, MIN(16, Games[[#This Row],[OppRestDiff]]*8))</f>
        <v>0</v>
      </c>
      <c r="O495" s="4" cm="1">
        <f t="array" ref="O4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1718.6916710958519</v>
      </c>
      <c r="P495" s="4" cm="1">
        <f t="array" ref="P4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1504.179679633123</v>
      </c>
      <c r="Q495" s="4">
        <f>1/(1+10^(((Games[[#This Row],[OppPreGmRate]]+IF(Games[[#This Row],[HomeAway]]="A",HCA,0)+Games[[#This Row],[OppRestAdj]])-(Games[[#This Row],[PreGmRate]]+IF(Games[[#This Row],[HomeAway]]="H",HCA,0)+Games[[#This Row],[RestAdj]]))/400))</f>
        <v>0.84791916961593772</v>
      </c>
      <c r="R495" s="1">
        <v>92</v>
      </c>
      <c r="S495" s="1">
        <v>70</v>
      </c>
      <c r="T495" s="1">
        <v>0</v>
      </c>
      <c r="U495" s="1">
        <f>Games[[#This Row],[PointsFor]]-Games[[#This Row],[PointsAgainst]]</f>
        <v>22</v>
      </c>
      <c r="V495" s="1">
        <f>IF(Games[[#This Row],[MOV]]&gt;0,1,IF(Games[[#This Row],[MOV]]=0,0.5,0))</f>
        <v>1</v>
      </c>
      <c r="W495" s="4">
        <f>((ABS(Games[[#This Row],[MOV]])+5)^0.6)/(12+0.01*(ABS(Games[[#This Row],[PreGmRate]]-Games[[#This Row],[OppPreGmRate]])))*IF(Games[[#This Row],[OT]]=1,0.9,1)</f>
        <v>0.51075382177362327</v>
      </c>
      <c r="X495" s="7" cm="1">
        <f t="array" ref="X49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95" s="9">
        <f>MAX(kmin, kmax - 0.15 * MIN(Games[[#This Row],[GamesPlayed]], 82))</f>
        <v>69.55</v>
      </c>
      <c r="Z495" s="4">
        <f>Games[[#This Row],[K]]*Games[[#This Row],[POMult]]</f>
        <v>76.50500000000001</v>
      </c>
      <c r="AA495" s="4">
        <f>(Games[[#This Row],[Keff]]*Games[[#This Row],[MOVMult]])*(Games[[#This Row],[Result]]-Games[[#This Row],[ExpectedWin%]])</f>
        <v>5.9425920776198833</v>
      </c>
      <c r="AB495" s="4">
        <f>Games[[#This Row],[PreGmRate]]+Games[[#This Row],[RatingChange]]</f>
        <v>1724.6342631734717</v>
      </c>
      <c r="AC495" s="2">
        <f>IF(Games[[#This Row],[Type]]="R",IF(Games[[#This Row],[Result]]&gt;0.5,1,0),0)</f>
        <v>0</v>
      </c>
      <c r="AD495" s="2">
        <f>IF(Games[[#This Row],[Type]]="R",IF(Games[[#This Row],[Result]]&lt;0.5,1,0),0)</f>
        <v>0</v>
      </c>
      <c r="AE495" s="2">
        <f>IF(AND(Games[[#This Row],[Type]]="P",Games[[#This Row],[Round]]=1),IF(Games[[#This Row],[Result]]&gt;0.5,1,0),0)</f>
        <v>1</v>
      </c>
      <c r="AF495" s="2">
        <f>IF(AND(Games[[#This Row],[Type]]="P",Games[[#This Row],[Round]]=1),IF(Games[[#This Row],[Result]]&lt;0.5,1,0),0)</f>
        <v>0</v>
      </c>
      <c r="AG495" s="2">
        <f>IF(AND(Games[[#This Row],[Type]]="P",Games[[#This Row],[Round]]=2),IF(Games[[#This Row],[Result]]&gt;0.5,1,0),0)</f>
        <v>0</v>
      </c>
      <c r="AH495" s="2">
        <f>IF(AND(Games[[#This Row],[Type]]="P",Games[[#This Row],[Round]]=2),IF(Games[[#This Row],[Result]]&lt;0.5,1,0),0)</f>
        <v>0</v>
      </c>
      <c r="AI495" s="2">
        <f>IF(AND(Games[[#This Row],[Type]]="P",Games[[#This Row],[Round]]=3),IF(Games[[#This Row],[Result]]&gt;0.5,1,0),0)</f>
        <v>0</v>
      </c>
      <c r="AJ495" s="2">
        <f>IF(AND(Games[[#This Row],[Type]]="P",Games[[#This Row],[Round]]=3),IF(Games[[#This Row],[Result]]&lt;0.5,1,0),0)</f>
        <v>0</v>
      </c>
      <c r="AK495" s="2">
        <f>IF(AND(Games[[#This Row],[Type]]="P",Games[[#This Row],[Round]]=4),IF(Games[[#This Row],[Result]]&gt;0.5,1,0),0)</f>
        <v>0</v>
      </c>
      <c r="AL495" s="2">
        <f>IF(AND(Games[[#This Row],[Type]]="P",Games[[#This Row],[Round]]=4),IF(Games[[#This Row],[Result]]&lt;0.5,1,0),0)</f>
        <v>0</v>
      </c>
    </row>
    <row r="496" spans="1:38" x14ac:dyDescent="0.35">
      <c r="A496" s="10">
        <v>45188</v>
      </c>
      <c r="B496" s="2">
        <v>2023</v>
      </c>
      <c r="C496" s="2">
        <f>COUNTIFS(Games[Team],Games[[#This Row],[Team]],Games[Season],Games[[#This Row],[Season]],Games[Date],"&lt;=" &amp; Games[[#This Row],[Date]])</f>
        <v>42</v>
      </c>
      <c r="D496" s="2" t="s">
        <v>83</v>
      </c>
      <c r="E496" s="2">
        <v>1</v>
      </c>
      <c r="F496" s="1" t="s">
        <v>77</v>
      </c>
      <c r="G496" s="1" t="s">
        <v>85</v>
      </c>
      <c r="H496" s="1" t="s">
        <v>81</v>
      </c>
      <c r="I496" s="2" cm="1">
        <f t="array" ref="I496">IFERROR(
    Games[[#This Row],[Date]]
    - LOOKUP(
        2,
        1/((Games[Team]=Games[[#This Row],[Team]]) * (Games[Date] &lt; Games[[#This Row],[Date]])),
        Games[Date]
    )
    - 1,
Games[[#This Row],[Date]]-$A$2)</f>
        <v>3</v>
      </c>
      <c r="J496" s="2" cm="1">
        <f t="array" ref="J49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96" s="2">
        <f>Games[[#This Row],[DaysOff]]-Games[[#This Row],[OppDaysOff]]</f>
        <v>0</v>
      </c>
      <c r="L496" s="2">
        <f>Games[[#This Row],[OppDaysOff]]-Games[[#This Row],[DaysOff]]</f>
        <v>0</v>
      </c>
      <c r="M496" s="1">
        <f>MAX(-16, MIN(16, Games[[#This Row],[RestDiff]]*8))</f>
        <v>0</v>
      </c>
      <c r="N496" s="1">
        <f>MAX(-16, MIN(16, Games[[#This Row],[OppRestDiff]]*8))</f>
        <v>0</v>
      </c>
      <c r="O496" s="4" cm="1">
        <f t="array" ref="O4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1446.812132625075</v>
      </c>
      <c r="P496" s="4" cm="1">
        <f t="array" ref="P4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1570.1206066609868</v>
      </c>
      <c r="Q496" s="4">
        <f>1/(1+10^(((Games[[#This Row],[OppPreGmRate]]+IF(Games[[#This Row],[HomeAway]]="A",HCA,0)+Games[[#This Row],[OppRestAdj]])-(Games[[#This Row],[PreGmRate]]+IF(Games[[#This Row],[HomeAway]]="H",HCA,0)+Games[[#This Row],[RestAdj]]))/400))</f>
        <v>0.2326579153853886</v>
      </c>
      <c r="R496" s="1">
        <v>74</v>
      </c>
      <c r="S496" s="1">
        <v>101</v>
      </c>
      <c r="T496" s="1">
        <v>0</v>
      </c>
      <c r="U496" s="1">
        <f>Games[[#This Row],[PointsFor]]-Games[[#This Row],[PointsAgainst]]</f>
        <v>-27</v>
      </c>
      <c r="V496" s="1">
        <f>IF(Games[[#This Row],[MOV]]&gt;0,1,IF(Games[[#This Row],[MOV]]=0,0.5,0))</f>
        <v>0</v>
      </c>
      <c r="W496" s="4">
        <f>((ABS(Games[[#This Row],[MOV]])+5)^0.6)/(12+0.01*(ABS(Games[[#This Row],[PreGmRate]]-Games[[#This Row],[OppPreGmRate]])))*IF(Games[[#This Row],[OT]]=1,0.9,1)</f>
        <v>0.60454536164202743</v>
      </c>
      <c r="X496" s="7" cm="1">
        <f t="array" ref="X49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96" s="9">
        <f>MAX(kmin, kmax - 0.15 * MIN(Games[[#This Row],[GamesPlayed]], 82))</f>
        <v>69.7</v>
      </c>
      <c r="Z496" s="4">
        <f>Games[[#This Row],[K]]*Games[[#This Row],[POMult]]</f>
        <v>76.670000000000016</v>
      </c>
      <c r="AA496" s="4">
        <f>(Games[[#This Row],[Keff]]*Games[[#This Row],[MOVMult]])*(Games[[#This Row],[Result]]-Games[[#This Row],[ExpectedWin%]])</f>
        <v>-10.783809049870053</v>
      </c>
      <c r="AB496" s="4">
        <f>Games[[#This Row],[PreGmRate]]+Games[[#This Row],[RatingChange]]</f>
        <v>1436.0283235752049</v>
      </c>
      <c r="AC496" s="2">
        <f>IF(Games[[#This Row],[Type]]="R",IF(Games[[#This Row],[Result]]&gt;0.5,1,0),0)</f>
        <v>0</v>
      </c>
      <c r="AD496" s="2">
        <f>IF(Games[[#This Row],[Type]]="R",IF(Games[[#This Row],[Result]]&lt;0.5,1,0),0)</f>
        <v>0</v>
      </c>
      <c r="AE496" s="2">
        <f>IF(AND(Games[[#This Row],[Type]]="P",Games[[#This Row],[Round]]=1),IF(Games[[#This Row],[Result]]&gt;0.5,1,0),0)</f>
        <v>0</v>
      </c>
      <c r="AF496" s="2">
        <f>IF(AND(Games[[#This Row],[Type]]="P",Games[[#This Row],[Round]]=1),IF(Games[[#This Row],[Result]]&lt;0.5,1,0),0)</f>
        <v>1</v>
      </c>
      <c r="AG496" s="2">
        <f>IF(AND(Games[[#This Row],[Type]]="P",Games[[#This Row],[Round]]=2),IF(Games[[#This Row],[Result]]&gt;0.5,1,0),0)</f>
        <v>0</v>
      </c>
      <c r="AH496" s="2">
        <f>IF(AND(Games[[#This Row],[Type]]="P",Games[[#This Row],[Round]]=2),IF(Games[[#This Row],[Result]]&lt;0.5,1,0),0)</f>
        <v>0</v>
      </c>
      <c r="AI496" s="2">
        <f>IF(AND(Games[[#This Row],[Type]]="P",Games[[#This Row],[Round]]=3),IF(Games[[#This Row],[Result]]&gt;0.5,1,0),0)</f>
        <v>0</v>
      </c>
      <c r="AJ496" s="2">
        <f>IF(AND(Games[[#This Row],[Type]]="P",Games[[#This Row],[Round]]=3),IF(Games[[#This Row],[Result]]&lt;0.5,1,0),0)</f>
        <v>0</v>
      </c>
      <c r="AK496" s="2">
        <f>IF(AND(Games[[#This Row],[Type]]="P",Games[[#This Row],[Round]]=4),IF(Games[[#This Row],[Result]]&gt;0.5,1,0),0)</f>
        <v>0</v>
      </c>
      <c r="AL496" s="2">
        <f>IF(AND(Games[[#This Row],[Type]]="P",Games[[#This Row],[Round]]=4),IF(Games[[#This Row],[Result]]&lt;0.5,1,0),0)</f>
        <v>0</v>
      </c>
    </row>
    <row r="497" spans="1:38" x14ac:dyDescent="0.35">
      <c r="A497" s="10">
        <v>45188</v>
      </c>
      <c r="B497" s="2">
        <v>2023</v>
      </c>
      <c r="C497" s="2">
        <f>COUNTIFS(Games[Team],Games[[#This Row],[Team]],Games[Season],Games[[#This Row],[Season]],Games[Date],"&lt;=" &amp; Games[[#This Row],[Date]])</f>
        <v>42</v>
      </c>
      <c r="D497" s="2" t="s">
        <v>83</v>
      </c>
      <c r="E497" s="2">
        <v>1</v>
      </c>
      <c r="F497" s="1" t="s">
        <v>85</v>
      </c>
      <c r="G497" s="1" t="s">
        <v>77</v>
      </c>
      <c r="H497" s="1" t="s">
        <v>82</v>
      </c>
      <c r="I497" s="2" cm="1">
        <f t="array" ref="I497">IFERROR(
    Games[[#This Row],[Date]]
    - LOOKUP(
        2,
        1/((Games[Team]=Games[[#This Row],[Team]]) * (Games[Date] &lt; Games[[#This Row],[Date]])),
        Games[Date]
    )
    - 1,
Games[[#This Row],[Date]]-$A$2)</f>
        <v>3</v>
      </c>
      <c r="J497" s="2" cm="1">
        <f t="array" ref="J49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97" s="2">
        <f>Games[[#This Row],[DaysOff]]-Games[[#This Row],[OppDaysOff]]</f>
        <v>0</v>
      </c>
      <c r="L497" s="2">
        <f>Games[[#This Row],[OppDaysOff]]-Games[[#This Row],[DaysOff]]</f>
        <v>0</v>
      </c>
      <c r="M497" s="1">
        <f>MAX(-16, MIN(16, Games[[#This Row],[RestDiff]]*8))</f>
        <v>0</v>
      </c>
      <c r="N497" s="1">
        <f>MAX(-16, MIN(16, Games[[#This Row],[OppRestDiff]]*8))</f>
        <v>0</v>
      </c>
      <c r="O497" s="4" cm="1">
        <f t="array" ref="O4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1570.1206066609868</v>
      </c>
      <c r="P497" s="4" cm="1">
        <f t="array" ref="P4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1446.812132625075</v>
      </c>
      <c r="Q497" s="4">
        <f>1/(1+10^(((Games[[#This Row],[OppPreGmRate]]+IF(Games[[#This Row],[HomeAway]]="A",HCA,0)+Games[[#This Row],[OppRestAdj]])-(Games[[#This Row],[PreGmRate]]+IF(Games[[#This Row],[HomeAway]]="H",HCA,0)+Games[[#This Row],[RestAdj]]))/400))</f>
        <v>0.76734208461461151</v>
      </c>
      <c r="R497" s="1">
        <v>101</v>
      </c>
      <c r="S497" s="1">
        <v>74</v>
      </c>
      <c r="T497" s="1">
        <v>0</v>
      </c>
      <c r="U497" s="1">
        <f>Games[[#This Row],[PointsFor]]-Games[[#This Row],[PointsAgainst]]</f>
        <v>27</v>
      </c>
      <c r="V497" s="1">
        <f>IF(Games[[#This Row],[MOV]]&gt;0,1,IF(Games[[#This Row],[MOV]]=0,0.5,0))</f>
        <v>1</v>
      </c>
      <c r="W497" s="4">
        <f>((ABS(Games[[#This Row],[MOV]])+5)^0.6)/(12+0.01*(ABS(Games[[#This Row],[PreGmRate]]-Games[[#This Row],[OppPreGmRate]])))*IF(Games[[#This Row],[OT]]=1,0.9,1)</f>
        <v>0.60454536164202743</v>
      </c>
      <c r="X497" s="7" cm="1">
        <f t="array" ref="X49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97" s="9">
        <f>MAX(kmin, kmax - 0.15 * MIN(Games[[#This Row],[GamesPlayed]], 82))</f>
        <v>69.7</v>
      </c>
      <c r="Z497" s="4">
        <f>Games[[#This Row],[K]]*Games[[#This Row],[POMult]]</f>
        <v>76.670000000000016</v>
      </c>
      <c r="AA497" s="4">
        <f>(Games[[#This Row],[Keff]]*Games[[#This Row],[MOVMult]])*(Games[[#This Row],[Result]]-Games[[#This Row],[ExpectedWin%]])</f>
        <v>10.783809049870047</v>
      </c>
      <c r="AB497" s="4">
        <f>Games[[#This Row],[PreGmRate]]+Games[[#This Row],[RatingChange]]</f>
        <v>1580.9044157108569</v>
      </c>
      <c r="AC497" s="2">
        <f>IF(Games[[#This Row],[Type]]="R",IF(Games[[#This Row],[Result]]&gt;0.5,1,0),0)</f>
        <v>0</v>
      </c>
      <c r="AD497" s="2">
        <f>IF(Games[[#This Row],[Type]]="R",IF(Games[[#This Row],[Result]]&lt;0.5,1,0),0)</f>
        <v>0</v>
      </c>
      <c r="AE497" s="2">
        <f>IF(AND(Games[[#This Row],[Type]]="P",Games[[#This Row],[Round]]=1),IF(Games[[#This Row],[Result]]&gt;0.5,1,0),0)</f>
        <v>1</v>
      </c>
      <c r="AF497" s="2">
        <f>IF(AND(Games[[#This Row],[Type]]="P",Games[[#This Row],[Round]]=1),IF(Games[[#This Row],[Result]]&lt;0.5,1,0),0)</f>
        <v>0</v>
      </c>
      <c r="AG497" s="2">
        <f>IF(AND(Games[[#This Row],[Type]]="P",Games[[#This Row],[Round]]=2),IF(Games[[#This Row],[Result]]&gt;0.5,1,0),0)</f>
        <v>0</v>
      </c>
      <c r="AH497" s="2">
        <f>IF(AND(Games[[#This Row],[Type]]="P",Games[[#This Row],[Round]]=2),IF(Games[[#This Row],[Result]]&lt;0.5,1,0),0)</f>
        <v>0</v>
      </c>
      <c r="AI497" s="2">
        <f>IF(AND(Games[[#This Row],[Type]]="P",Games[[#This Row],[Round]]=3),IF(Games[[#This Row],[Result]]&gt;0.5,1,0),0)</f>
        <v>0</v>
      </c>
      <c r="AJ497" s="2">
        <f>IF(AND(Games[[#This Row],[Type]]="P",Games[[#This Row],[Round]]=3),IF(Games[[#This Row],[Result]]&lt;0.5,1,0),0)</f>
        <v>0</v>
      </c>
      <c r="AK497" s="2">
        <f>IF(AND(Games[[#This Row],[Type]]="P",Games[[#This Row],[Round]]=4),IF(Games[[#This Row],[Result]]&gt;0.5,1,0),0)</f>
        <v>0</v>
      </c>
      <c r="AL497" s="2">
        <f>IF(AND(Games[[#This Row],[Type]]="P",Games[[#This Row],[Round]]=4),IF(Games[[#This Row],[Result]]&lt;0.5,1,0),0)</f>
        <v>0</v>
      </c>
    </row>
    <row r="498" spans="1:38" x14ac:dyDescent="0.35">
      <c r="A498" s="10">
        <v>45188</v>
      </c>
      <c r="B498" s="2">
        <v>2023</v>
      </c>
      <c r="C498" s="2">
        <f>COUNTIFS(Games[Team],Games[[#This Row],[Team]],Games[Season],Games[[#This Row],[Season]],Games[Date],"&lt;=" &amp; Games[[#This Row],[Date]])</f>
        <v>42</v>
      </c>
      <c r="D498" s="2" t="s">
        <v>83</v>
      </c>
      <c r="E498" s="2">
        <v>1</v>
      </c>
      <c r="F498" s="1" t="s">
        <v>65</v>
      </c>
      <c r="G498" s="1" t="s">
        <v>60</v>
      </c>
      <c r="H498" s="1" t="s">
        <v>81</v>
      </c>
      <c r="I498" s="2" cm="1">
        <f t="array" ref="I498">IFERROR(
    Games[[#This Row],[Date]]
    - LOOKUP(
        2,
        1/((Games[Team]=Games[[#This Row],[Team]]) * (Games[Date] &lt; Games[[#This Row],[Date]])),
        Games[Date]
    )
    - 1,
Games[[#This Row],[Date]]-$A$2)</f>
        <v>3</v>
      </c>
      <c r="J498" s="2" cm="1">
        <f t="array" ref="J49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98" s="2">
        <f>Games[[#This Row],[DaysOff]]-Games[[#This Row],[OppDaysOff]]</f>
        <v>0</v>
      </c>
      <c r="L498" s="2">
        <f>Games[[#This Row],[OppDaysOff]]-Games[[#This Row],[DaysOff]]</f>
        <v>0</v>
      </c>
      <c r="M498" s="1">
        <f>MAX(-16, MIN(16, Games[[#This Row],[RestDiff]]*8))</f>
        <v>0</v>
      </c>
      <c r="N498" s="1">
        <f>MAX(-16, MIN(16, Games[[#This Row],[OppRestDiff]]*8))</f>
        <v>0</v>
      </c>
      <c r="O498" s="4" cm="1">
        <f t="array" ref="O4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1474.5117724859126</v>
      </c>
      <c r="P498" s="4" cm="1">
        <f t="array" ref="P4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1743.9635972305446</v>
      </c>
      <c r="Q498" s="4">
        <f>1/(1+10^(((Games[[#This Row],[OppPreGmRate]]+IF(Games[[#This Row],[HomeAway]]="A",HCA,0)+Games[[#This Row],[OppRestAdj]])-(Games[[#This Row],[PreGmRate]]+IF(Games[[#This Row],[HomeAway]]="H",HCA,0)+Games[[#This Row],[RestAdj]]))/400))</f>
        <v>0.11561444026512593</v>
      </c>
      <c r="R498" s="1">
        <v>85</v>
      </c>
      <c r="S498" s="1">
        <v>90</v>
      </c>
      <c r="T498" s="1">
        <v>1</v>
      </c>
      <c r="U498" s="1">
        <f>Games[[#This Row],[PointsFor]]-Games[[#This Row],[PointsAgainst]]</f>
        <v>-5</v>
      </c>
      <c r="V498" s="1">
        <f>IF(Games[[#This Row],[MOV]]&gt;0,1,IF(Games[[#This Row],[MOV]]=0,0.5,0))</f>
        <v>0</v>
      </c>
      <c r="W498" s="4">
        <f>((ABS(Games[[#This Row],[MOV]])+5)^0.6)/(12+0.01*(ABS(Games[[#This Row],[PreGmRate]]-Games[[#This Row],[OppPreGmRate]])))*IF(Games[[#This Row],[OT]]=1,0.9,1)</f>
        <v>0.24383001025597689</v>
      </c>
      <c r="X498" s="7" cm="1">
        <f t="array" ref="X49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98" s="9">
        <f>MAX(kmin, kmax - 0.15 * MIN(Games[[#This Row],[GamesPlayed]], 82))</f>
        <v>69.7</v>
      </c>
      <c r="Z498" s="4">
        <f>Games[[#This Row],[K]]*Games[[#This Row],[POMult]]</f>
        <v>76.670000000000016</v>
      </c>
      <c r="AA498" s="4">
        <f>(Games[[#This Row],[Keff]]*Games[[#This Row],[MOVMult]])*(Games[[#This Row],[Result]]-Games[[#This Row],[ExpectedWin%]])</f>
        <v>-2.1613480128286784</v>
      </c>
      <c r="AB498" s="4">
        <f>Games[[#This Row],[PreGmRate]]+Games[[#This Row],[RatingChange]]</f>
        <v>1472.3504244730839</v>
      </c>
      <c r="AC498" s="2">
        <f>IF(Games[[#This Row],[Type]]="R",IF(Games[[#This Row],[Result]]&gt;0.5,1,0),0)</f>
        <v>0</v>
      </c>
      <c r="AD498" s="2">
        <f>IF(Games[[#This Row],[Type]]="R",IF(Games[[#This Row],[Result]]&lt;0.5,1,0),0)</f>
        <v>0</v>
      </c>
      <c r="AE498" s="2">
        <f>IF(AND(Games[[#This Row],[Type]]="P",Games[[#This Row],[Round]]=1),IF(Games[[#This Row],[Result]]&gt;0.5,1,0),0)</f>
        <v>0</v>
      </c>
      <c r="AF498" s="2">
        <f>IF(AND(Games[[#This Row],[Type]]="P",Games[[#This Row],[Round]]=1),IF(Games[[#This Row],[Result]]&lt;0.5,1,0),0)</f>
        <v>1</v>
      </c>
      <c r="AG498" s="2">
        <f>IF(AND(Games[[#This Row],[Type]]="P",Games[[#This Row],[Round]]=2),IF(Games[[#This Row],[Result]]&gt;0.5,1,0),0)</f>
        <v>0</v>
      </c>
      <c r="AH498" s="2">
        <f>IF(AND(Games[[#This Row],[Type]]="P",Games[[#This Row],[Round]]=2),IF(Games[[#This Row],[Result]]&lt;0.5,1,0),0)</f>
        <v>0</v>
      </c>
      <c r="AI498" s="2">
        <f>IF(AND(Games[[#This Row],[Type]]="P",Games[[#This Row],[Round]]=3),IF(Games[[#This Row],[Result]]&gt;0.5,1,0),0)</f>
        <v>0</v>
      </c>
      <c r="AJ498" s="2">
        <f>IF(AND(Games[[#This Row],[Type]]="P",Games[[#This Row],[Round]]=3),IF(Games[[#This Row],[Result]]&lt;0.5,1,0),0)</f>
        <v>0</v>
      </c>
      <c r="AK498" s="2">
        <f>IF(AND(Games[[#This Row],[Type]]="P",Games[[#This Row],[Round]]=4),IF(Games[[#This Row],[Result]]&gt;0.5,1,0),0)</f>
        <v>0</v>
      </c>
      <c r="AL498" s="2">
        <f>IF(AND(Games[[#This Row],[Type]]="P",Games[[#This Row],[Round]]=4),IF(Games[[#This Row],[Result]]&lt;0.5,1,0),0)</f>
        <v>0</v>
      </c>
    </row>
    <row r="499" spans="1:38" x14ac:dyDescent="0.35">
      <c r="A499" s="10">
        <v>45188</v>
      </c>
      <c r="B499" s="2">
        <v>2023</v>
      </c>
      <c r="C499" s="2">
        <f>COUNTIFS(Games[Team],Games[[#This Row],[Team]],Games[Season],Games[[#This Row],[Season]],Games[Date],"&lt;=" &amp; Games[[#This Row],[Date]])</f>
        <v>43</v>
      </c>
      <c r="D499" s="2" t="s">
        <v>83</v>
      </c>
      <c r="E499" s="2">
        <v>1</v>
      </c>
      <c r="F499" s="1" t="s">
        <v>60</v>
      </c>
      <c r="G499" s="1" t="s">
        <v>65</v>
      </c>
      <c r="H499" s="1" t="s">
        <v>82</v>
      </c>
      <c r="I499" s="2" cm="1">
        <f t="array" ref="I499">IFERROR(
    Games[[#This Row],[Date]]
    - LOOKUP(
        2,
        1/((Games[Team]=Games[[#This Row],[Team]]) * (Games[Date] &lt; Games[[#This Row],[Date]])),
        Games[Date]
    )
    - 1,
Games[[#This Row],[Date]]-$A$2)</f>
        <v>3</v>
      </c>
      <c r="J499" s="2" cm="1">
        <f t="array" ref="J49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99" s="2">
        <f>Games[[#This Row],[DaysOff]]-Games[[#This Row],[OppDaysOff]]</f>
        <v>0</v>
      </c>
      <c r="L499" s="2">
        <f>Games[[#This Row],[OppDaysOff]]-Games[[#This Row],[DaysOff]]</f>
        <v>0</v>
      </c>
      <c r="M499" s="1">
        <f>MAX(-16, MIN(16, Games[[#This Row],[RestDiff]]*8))</f>
        <v>0</v>
      </c>
      <c r="N499" s="1">
        <f>MAX(-16, MIN(16, Games[[#This Row],[OppRestDiff]]*8))</f>
        <v>0</v>
      </c>
      <c r="O499" s="4" cm="1">
        <f t="array" ref="O4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1743.9635972305446</v>
      </c>
      <c r="P499" s="4" cm="1">
        <f t="array" ref="P4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1474.5117724859126</v>
      </c>
      <c r="Q499" s="4">
        <f>1/(1+10^(((Games[[#This Row],[OppPreGmRate]]+IF(Games[[#This Row],[HomeAway]]="A",HCA,0)+Games[[#This Row],[OppRestAdj]])-(Games[[#This Row],[PreGmRate]]+IF(Games[[#This Row],[HomeAway]]="H",HCA,0)+Games[[#This Row],[RestAdj]]))/400))</f>
        <v>0.88438555973487409</v>
      </c>
      <c r="R499" s="1">
        <v>90</v>
      </c>
      <c r="S499" s="1">
        <v>85</v>
      </c>
      <c r="T499" s="1">
        <v>1</v>
      </c>
      <c r="U499" s="1">
        <f>Games[[#This Row],[PointsFor]]-Games[[#This Row],[PointsAgainst]]</f>
        <v>5</v>
      </c>
      <c r="V499" s="1">
        <f>IF(Games[[#This Row],[MOV]]&gt;0,1,IF(Games[[#This Row],[MOV]]=0,0.5,0))</f>
        <v>1</v>
      </c>
      <c r="W499" s="4">
        <f>((ABS(Games[[#This Row],[MOV]])+5)^0.6)/(12+0.01*(ABS(Games[[#This Row],[PreGmRate]]-Games[[#This Row],[OppPreGmRate]])))*IF(Games[[#This Row],[OT]]=1,0.9,1)</f>
        <v>0.24383001025597689</v>
      </c>
      <c r="X499" s="7" cm="1">
        <f t="array" ref="X49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499" s="9">
        <f>MAX(kmin, kmax - 0.15 * MIN(Games[[#This Row],[GamesPlayed]], 82))</f>
        <v>69.55</v>
      </c>
      <c r="Z499" s="4">
        <f>Games[[#This Row],[K]]*Games[[#This Row],[POMult]]</f>
        <v>76.50500000000001</v>
      </c>
      <c r="AA499" s="4">
        <f>(Games[[#This Row],[Keff]]*Games[[#This Row],[MOVMult]])*(Games[[#This Row],[Result]]-Games[[#This Row],[ExpectedWin%]])</f>
        <v>2.1566966182530063</v>
      </c>
      <c r="AB499" s="4">
        <f>Games[[#This Row],[PreGmRate]]+Games[[#This Row],[RatingChange]]</f>
        <v>1746.1202938487975</v>
      </c>
      <c r="AC499" s="2">
        <f>IF(Games[[#This Row],[Type]]="R",IF(Games[[#This Row],[Result]]&gt;0.5,1,0),0)</f>
        <v>0</v>
      </c>
      <c r="AD499" s="2">
        <f>IF(Games[[#This Row],[Type]]="R",IF(Games[[#This Row],[Result]]&lt;0.5,1,0),0)</f>
        <v>0</v>
      </c>
      <c r="AE499" s="2">
        <f>IF(AND(Games[[#This Row],[Type]]="P",Games[[#This Row],[Round]]=1),IF(Games[[#This Row],[Result]]&gt;0.5,1,0),0)</f>
        <v>1</v>
      </c>
      <c r="AF499" s="2">
        <f>IF(AND(Games[[#This Row],[Type]]="P",Games[[#This Row],[Round]]=1),IF(Games[[#This Row],[Result]]&lt;0.5,1,0),0)</f>
        <v>0</v>
      </c>
      <c r="AG499" s="2">
        <f>IF(AND(Games[[#This Row],[Type]]="P",Games[[#This Row],[Round]]=2),IF(Games[[#This Row],[Result]]&gt;0.5,1,0),0)</f>
        <v>0</v>
      </c>
      <c r="AH499" s="2">
        <f>IF(AND(Games[[#This Row],[Type]]="P",Games[[#This Row],[Round]]=2),IF(Games[[#This Row],[Result]]&lt;0.5,1,0),0)</f>
        <v>0</v>
      </c>
      <c r="AI499" s="2">
        <f>IF(AND(Games[[#This Row],[Type]]="P",Games[[#This Row],[Round]]=3),IF(Games[[#This Row],[Result]]&gt;0.5,1,0),0)</f>
        <v>0</v>
      </c>
      <c r="AJ499" s="2">
        <f>IF(AND(Games[[#This Row],[Type]]="P",Games[[#This Row],[Round]]=3),IF(Games[[#This Row],[Result]]&lt;0.5,1,0),0)</f>
        <v>0</v>
      </c>
      <c r="AK499" s="2">
        <f>IF(AND(Games[[#This Row],[Type]]="P",Games[[#This Row],[Round]]=4),IF(Games[[#This Row],[Result]]&gt;0.5,1,0),0)</f>
        <v>0</v>
      </c>
      <c r="AL499" s="2">
        <f>IF(AND(Games[[#This Row],[Type]]="P",Games[[#This Row],[Round]]=4),IF(Games[[#This Row],[Result]]&lt;0.5,1,0),0)</f>
        <v>0</v>
      </c>
    </row>
    <row r="500" spans="1:38" x14ac:dyDescent="0.35">
      <c r="A500" s="10">
        <v>45189</v>
      </c>
      <c r="B500" s="2">
        <v>2023</v>
      </c>
      <c r="C500" s="2">
        <f>COUNTIFS(Games[Team],Games[[#This Row],[Team]],Games[Season],Games[[#This Row],[Season]],Games[Date],"&lt;=" &amp; Games[[#This Row],[Date]])</f>
        <v>43</v>
      </c>
      <c r="D500" s="2" t="s">
        <v>83</v>
      </c>
      <c r="E500" s="2">
        <v>1</v>
      </c>
      <c r="F500" s="1" t="s">
        <v>74</v>
      </c>
      <c r="G500" s="1" t="s">
        <v>67</v>
      </c>
      <c r="H500" s="1" t="s">
        <v>81</v>
      </c>
      <c r="I500" s="2" cm="1">
        <f t="array" ref="I500">IFERROR(
    Games[[#This Row],[Date]]
    - LOOKUP(
        2,
        1/((Games[Team]=Games[[#This Row],[Team]]) * (Games[Date] &lt; Games[[#This Row],[Date]])),
        Games[Date]
    )
    - 1,
Games[[#This Row],[Date]]-$A$2)</f>
        <v>2</v>
      </c>
      <c r="J500" s="2" cm="1">
        <f t="array" ref="J50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00" s="2">
        <f>Games[[#This Row],[DaysOff]]-Games[[#This Row],[OppDaysOff]]</f>
        <v>0</v>
      </c>
      <c r="L500" s="2">
        <f>Games[[#This Row],[OppDaysOff]]-Games[[#This Row],[DaysOff]]</f>
        <v>0</v>
      </c>
      <c r="M500" s="1">
        <f>MAX(-16, MIN(16, Games[[#This Row],[RestDiff]]*8))</f>
        <v>0</v>
      </c>
      <c r="N500" s="1">
        <f>MAX(-16, MIN(16, Games[[#This Row],[OppRestDiff]]*8))</f>
        <v>0</v>
      </c>
      <c r="O500" s="4" cm="1">
        <f t="array" ref="O5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1590.3640354290244</v>
      </c>
      <c r="P500" s="4" cm="1">
        <f t="array" ref="P5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1457.9865373504929</v>
      </c>
      <c r="Q500" s="4">
        <f>1/(1+10^(((Games[[#This Row],[OppPreGmRate]]+IF(Games[[#This Row],[HomeAway]]="A",HCA,0)+Games[[#This Row],[OppRestAdj]])-(Games[[#This Row],[PreGmRate]]+IF(Games[[#This Row],[HomeAway]]="H",HCA,0)+Games[[#This Row],[RestAdj]]))/400))</f>
        <v>0.56917433693642749</v>
      </c>
      <c r="R500" s="1">
        <v>90</v>
      </c>
      <c r="S500" s="1">
        <v>75</v>
      </c>
      <c r="T500" s="1">
        <v>0</v>
      </c>
      <c r="U500" s="1">
        <f>Games[[#This Row],[PointsFor]]-Games[[#This Row],[PointsAgainst]]</f>
        <v>15</v>
      </c>
      <c r="V500" s="1">
        <f>IF(Games[[#This Row],[MOV]]&gt;0,1,IF(Games[[#This Row],[MOV]]=0,0.5,0))</f>
        <v>1</v>
      </c>
      <c r="W500" s="4">
        <f>((ABS(Games[[#This Row],[MOV]])+5)^0.6)/(12+0.01*(ABS(Games[[#This Row],[PreGmRate]]-Games[[#This Row],[OppPreGmRate]])))*IF(Games[[#This Row],[OT]]=1,0.9,1)</f>
        <v>0.45288788989961631</v>
      </c>
      <c r="X500" s="7" cm="1">
        <f t="array" ref="X50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500" s="9">
        <f>MAX(kmin, kmax - 0.15 * MIN(Games[[#This Row],[GamesPlayed]], 82))</f>
        <v>69.55</v>
      </c>
      <c r="Z500" s="4">
        <f>Games[[#This Row],[K]]*Games[[#This Row],[POMult]]</f>
        <v>76.50500000000001</v>
      </c>
      <c r="AA500" s="4">
        <f>(Games[[#This Row],[Keff]]*Games[[#This Row],[MOVMult]])*(Games[[#This Row],[Result]]-Games[[#This Row],[ExpectedWin%]])</f>
        <v>14.927328576276327</v>
      </c>
      <c r="AB500" s="4">
        <f>Games[[#This Row],[PreGmRate]]+Games[[#This Row],[RatingChange]]</f>
        <v>1605.2913640053007</v>
      </c>
      <c r="AC500" s="2">
        <f>IF(Games[[#This Row],[Type]]="R",IF(Games[[#This Row],[Result]]&gt;0.5,1,0),0)</f>
        <v>0</v>
      </c>
      <c r="AD500" s="2">
        <f>IF(Games[[#This Row],[Type]]="R",IF(Games[[#This Row],[Result]]&lt;0.5,1,0),0)</f>
        <v>0</v>
      </c>
      <c r="AE500" s="2">
        <f>IF(AND(Games[[#This Row],[Type]]="P",Games[[#This Row],[Round]]=1),IF(Games[[#This Row],[Result]]&gt;0.5,1,0),0)</f>
        <v>1</v>
      </c>
      <c r="AF500" s="2">
        <f>IF(AND(Games[[#This Row],[Type]]="P",Games[[#This Row],[Round]]=1),IF(Games[[#This Row],[Result]]&lt;0.5,1,0),0)</f>
        <v>0</v>
      </c>
      <c r="AG500" s="2">
        <f>IF(AND(Games[[#This Row],[Type]]="P",Games[[#This Row],[Round]]=2),IF(Games[[#This Row],[Result]]&gt;0.5,1,0),0)</f>
        <v>0</v>
      </c>
      <c r="AH500" s="2">
        <f>IF(AND(Games[[#This Row],[Type]]="P",Games[[#This Row],[Round]]=2),IF(Games[[#This Row],[Result]]&lt;0.5,1,0),0)</f>
        <v>0</v>
      </c>
      <c r="AI500" s="2">
        <f>IF(AND(Games[[#This Row],[Type]]="P",Games[[#This Row],[Round]]=3),IF(Games[[#This Row],[Result]]&gt;0.5,1,0),0)</f>
        <v>0</v>
      </c>
      <c r="AJ500" s="2">
        <f>IF(AND(Games[[#This Row],[Type]]="P",Games[[#This Row],[Round]]=3),IF(Games[[#This Row],[Result]]&lt;0.5,1,0),0)</f>
        <v>0</v>
      </c>
      <c r="AK500" s="2">
        <f>IF(AND(Games[[#This Row],[Type]]="P",Games[[#This Row],[Round]]=4),IF(Games[[#This Row],[Result]]&gt;0.5,1,0),0)</f>
        <v>0</v>
      </c>
      <c r="AL500" s="2">
        <f>IF(AND(Games[[#This Row],[Type]]="P",Games[[#This Row],[Round]]=4),IF(Games[[#This Row],[Result]]&lt;0.5,1,0),0)</f>
        <v>0</v>
      </c>
    </row>
    <row r="501" spans="1:38" x14ac:dyDescent="0.35">
      <c r="A501" s="10">
        <v>45189</v>
      </c>
      <c r="B501" s="2">
        <v>2023</v>
      </c>
      <c r="C501" s="2">
        <f>COUNTIFS(Games[Team],Games[[#This Row],[Team]],Games[Season],Games[[#This Row],[Season]],Games[Date],"&lt;=" &amp; Games[[#This Row],[Date]])</f>
        <v>43</v>
      </c>
      <c r="D501" s="2" t="s">
        <v>83</v>
      </c>
      <c r="E501" s="2">
        <v>1</v>
      </c>
      <c r="F501" s="1" t="s">
        <v>67</v>
      </c>
      <c r="G501" s="1" t="s">
        <v>74</v>
      </c>
      <c r="H501" s="1" t="s">
        <v>82</v>
      </c>
      <c r="I501" s="2" cm="1">
        <f t="array" ref="I501">IFERROR(
    Games[[#This Row],[Date]]
    - LOOKUP(
        2,
        1/((Games[Team]=Games[[#This Row],[Team]]) * (Games[Date] &lt; Games[[#This Row],[Date]])),
        Games[Date]
    )
    - 1,
Games[[#This Row],[Date]]-$A$2)</f>
        <v>2</v>
      </c>
      <c r="J501" s="2" cm="1">
        <f t="array" ref="J50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01" s="2">
        <f>Games[[#This Row],[DaysOff]]-Games[[#This Row],[OppDaysOff]]</f>
        <v>0</v>
      </c>
      <c r="L501" s="2">
        <f>Games[[#This Row],[OppDaysOff]]-Games[[#This Row],[DaysOff]]</f>
        <v>0</v>
      </c>
      <c r="M501" s="1">
        <f>MAX(-16, MIN(16, Games[[#This Row],[RestDiff]]*8))</f>
        <v>0</v>
      </c>
      <c r="N501" s="1">
        <f>MAX(-16, MIN(16, Games[[#This Row],[OppRestDiff]]*8))</f>
        <v>0</v>
      </c>
      <c r="O501" s="4" cm="1">
        <f t="array" ref="O5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1457.9865373504929</v>
      </c>
      <c r="P501" s="4" cm="1">
        <f t="array" ref="P5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1590.3640354290244</v>
      </c>
      <c r="Q501" s="4">
        <f>1/(1+10^(((Games[[#This Row],[OppPreGmRate]]+IF(Games[[#This Row],[HomeAway]]="A",HCA,0)+Games[[#This Row],[OppRestAdj]])-(Games[[#This Row],[PreGmRate]]+IF(Games[[#This Row],[HomeAway]]="H",HCA,0)+Games[[#This Row],[RestAdj]]))/400))</f>
        <v>0.43082566306357245</v>
      </c>
      <c r="R501" s="1">
        <v>75</v>
      </c>
      <c r="S501" s="1">
        <v>90</v>
      </c>
      <c r="T501" s="1">
        <v>0</v>
      </c>
      <c r="U501" s="1">
        <f>Games[[#This Row],[PointsFor]]-Games[[#This Row],[PointsAgainst]]</f>
        <v>-15</v>
      </c>
      <c r="V501" s="1">
        <f>IF(Games[[#This Row],[MOV]]&gt;0,1,IF(Games[[#This Row],[MOV]]=0,0.5,0))</f>
        <v>0</v>
      </c>
      <c r="W501" s="4">
        <f>((ABS(Games[[#This Row],[MOV]])+5)^0.6)/(12+0.01*(ABS(Games[[#This Row],[PreGmRate]]-Games[[#This Row],[OppPreGmRate]])))*IF(Games[[#This Row],[OT]]=1,0.9,1)</f>
        <v>0.45288788989961631</v>
      </c>
      <c r="X501" s="7" cm="1">
        <f t="array" ref="X50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501" s="9">
        <f>MAX(kmin, kmax - 0.15 * MIN(Games[[#This Row],[GamesPlayed]], 82))</f>
        <v>69.55</v>
      </c>
      <c r="Z501" s="4">
        <f>Games[[#This Row],[K]]*Games[[#This Row],[POMult]]</f>
        <v>76.50500000000001</v>
      </c>
      <c r="AA501" s="4">
        <f>(Games[[#This Row],[Keff]]*Games[[#This Row],[MOVMult]])*(Games[[#This Row],[Result]]-Games[[#This Row],[ExpectedWin%]])</f>
        <v>-14.927328576276325</v>
      </c>
      <c r="AB501" s="4">
        <f>Games[[#This Row],[PreGmRate]]+Games[[#This Row],[RatingChange]]</f>
        <v>1443.0592087742166</v>
      </c>
      <c r="AC501" s="2">
        <f>IF(Games[[#This Row],[Type]]="R",IF(Games[[#This Row],[Result]]&gt;0.5,1,0),0)</f>
        <v>0</v>
      </c>
      <c r="AD501" s="2">
        <f>IF(Games[[#This Row],[Type]]="R",IF(Games[[#This Row],[Result]]&lt;0.5,1,0),0)</f>
        <v>0</v>
      </c>
      <c r="AE501" s="2">
        <f>IF(AND(Games[[#This Row],[Type]]="P",Games[[#This Row],[Round]]=1),IF(Games[[#This Row],[Result]]&gt;0.5,1,0),0)</f>
        <v>0</v>
      </c>
      <c r="AF501" s="2">
        <f>IF(AND(Games[[#This Row],[Type]]="P",Games[[#This Row],[Round]]=1),IF(Games[[#This Row],[Result]]&lt;0.5,1,0),0)</f>
        <v>1</v>
      </c>
      <c r="AG501" s="2">
        <f>IF(AND(Games[[#This Row],[Type]]="P",Games[[#This Row],[Round]]=2),IF(Games[[#This Row],[Result]]&gt;0.5,1,0),0)</f>
        <v>0</v>
      </c>
      <c r="AH501" s="2">
        <f>IF(AND(Games[[#This Row],[Type]]="P",Games[[#This Row],[Round]]=2),IF(Games[[#This Row],[Result]]&lt;0.5,1,0),0)</f>
        <v>0</v>
      </c>
      <c r="AI501" s="2">
        <f>IF(AND(Games[[#This Row],[Type]]="P",Games[[#This Row],[Round]]=3),IF(Games[[#This Row],[Result]]&gt;0.5,1,0),0)</f>
        <v>0</v>
      </c>
      <c r="AJ501" s="2">
        <f>IF(AND(Games[[#This Row],[Type]]="P",Games[[#This Row],[Round]]=3),IF(Games[[#This Row],[Result]]&lt;0.5,1,0),0)</f>
        <v>0</v>
      </c>
      <c r="AK501" s="2">
        <f>IF(AND(Games[[#This Row],[Type]]="P",Games[[#This Row],[Round]]=4),IF(Games[[#This Row],[Result]]&gt;0.5,1,0),0)</f>
        <v>0</v>
      </c>
      <c r="AL501" s="2">
        <f>IF(AND(Games[[#This Row],[Type]]="P",Games[[#This Row],[Round]]=4),IF(Games[[#This Row],[Result]]&lt;0.5,1,0),0)</f>
        <v>0</v>
      </c>
    </row>
    <row r="502" spans="1:38" x14ac:dyDescent="0.35">
      <c r="A502" s="10">
        <v>45193</v>
      </c>
      <c r="B502" s="2">
        <v>2023</v>
      </c>
      <c r="C502" s="2">
        <f>COUNTIFS(Games[Team],Games[[#This Row],[Team]],Games[Season],Games[[#This Row],[Season]],Games[Date],"&lt;=" &amp; Games[[#This Row],[Date]])</f>
        <v>43</v>
      </c>
      <c r="D502" s="2" t="s">
        <v>83</v>
      </c>
      <c r="E502" s="2">
        <v>2</v>
      </c>
      <c r="F502" s="1" t="s">
        <v>85</v>
      </c>
      <c r="G502" s="1" t="s">
        <v>86</v>
      </c>
      <c r="H502" s="1" t="s">
        <v>81</v>
      </c>
      <c r="I502" s="2" cm="1">
        <f t="array" ref="I502">IFERROR(
    Games[[#This Row],[Date]]
    - LOOKUP(
        2,
        1/((Games[Team]=Games[[#This Row],[Team]]) * (Games[Date] &lt; Games[[#This Row],[Date]])),
        Games[Date]
    )
    - 1,
Games[[#This Row],[Date]]-$A$2)</f>
        <v>4</v>
      </c>
      <c r="J502" s="2" cm="1">
        <f t="array" ref="J502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502" s="2">
        <f>Games[[#This Row],[DaysOff]]-Games[[#This Row],[OppDaysOff]]</f>
        <v>-2</v>
      </c>
      <c r="L502" s="2">
        <f>Games[[#This Row],[OppDaysOff]]-Games[[#This Row],[DaysOff]]</f>
        <v>2</v>
      </c>
      <c r="M502" s="1">
        <f>MAX(-16, MIN(16, Games[[#This Row],[RestDiff]]*8))</f>
        <v>-16</v>
      </c>
      <c r="N502" s="1">
        <f>MAX(-16, MIN(16, Games[[#This Row],[OppRestDiff]]*8))</f>
        <v>16</v>
      </c>
      <c r="O502" s="4" cm="1">
        <f t="array" ref="O5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1580.9044157108569</v>
      </c>
      <c r="P502" s="4" cm="1">
        <f t="array" ref="P5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1724.6342631734717</v>
      </c>
      <c r="Q502" s="4">
        <f>1/(1+10^(((Games[[#This Row],[OppPreGmRate]]+IF(Games[[#This Row],[HomeAway]]="A",HCA,0)+Games[[#This Row],[OppRestAdj]])-(Games[[#This Row],[PreGmRate]]+IF(Games[[#This Row],[HomeAway]]="H",HCA,0)+Games[[#This Row],[RestAdj]]))/400))</f>
        <v>0.18315371068104058</v>
      </c>
      <c r="R502" s="1">
        <v>83</v>
      </c>
      <c r="S502" s="1">
        <v>97</v>
      </c>
      <c r="T502" s="1">
        <v>0</v>
      </c>
      <c r="U502" s="1">
        <f>Games[[#This Row],[PointsFor]]-Games[[#This Row],[PointsAgainst]]</f>
        <v>-14</v>
      </c>
      <c r="V502" s="1">
        <f>IF(Games[[#This Row],[MOV]]&gt;0,1,IF(Games[[#This Row],[MOV]]=0,0.5,0))</f>
        <v>0</v>
      </c>
      <c r="W502" s="4">
        <f>((ABS(Games[[#This Row],[MOV]])+5)^0.6)/(12+0.01*(ABS(Games[[#This Row],[PreGmRate]]-Games[[#This Row],[OppPreGmRate]])))*IF(Games[[#This Row],[OT]]=1,0.9,1)</f>
        <v>0.43545190675479206</v>
      </c>
      <c r="X502" s="7" cm="1">
        <f t="array" ref="X50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02" s="9">
        <f>MAX(kmin, kmax - 0.15 * MIN(Games[[#This Row],[GamesPlayed]], 82))</f>
        <v>69.55</v>
      </c>
      <c r="Z502" s="4">
        <f>Games[[#This Row],[K]]*Games[[#This Row],[POMult]]</f>
        <v>83.46</v>
      </c>
      <c r="AA502" s="4">
        <f>(Games[[#This Row],[Keff]]*Games[[#This Row],[MOVMult]])*(Games[[#This Row],[Result]]-Games[[#This Row],[ExpectedWin%]])</f>
        <v>-6.6563216322286216</v>
      </c>
      <c r="AB502" s="4">
        <f>Games[[#This Row],[PreGmRate]]+Games[[#This Row],[RatingChange]]</f>
        <v>1574.2480940786284</v>
      </c>
      <c r="AC502" s="2">
        <f>IF(Games[[#This Row],[Type]]="R",IF(Games[[#This Row],[Result]]&gt;0.5,1,0),0)</f>
        <v>0</v>
      </c>
      <c r="AD502" s="2">
        <f>IF(Games[[#This Row],[Type]]="R",IF(Games[[#This Row],[Result]]&lt;0.5,1,0),0)</f>
        <v>0</v>
      </c>
      <c r="AE502" s="2">
        <f>IF(AND(Games[[#This Row],[Type]]="P",Games[[#This Row],[Round]]=1),IF(Games[[#This Row],[Result]]&gt;0.5,1,0),0)</f>
        <v>0</v>
      </c>
      <c r="AF502" s="2">
        <f>IF(AND(Games[[#This Row],[Type]]="P",Games[[#This Row],[Round]]=1),IF(Games[[#This Row],[Result]]&lt;0.5,1,0),0)</f>
        <v>0</v>
      </c>
      <c r="AG502" s="2">
        <f>IF(AND(Games[[#This Row],[Type]]="P",Games[[#This Row],[Round]]=2),IF(Games[[#This Row],[Result]]&gt;0.5,1,0),0)</f>
        <v>0</v>
      </c>
      <c r="AH502" s="2">
        <f>IF(AND(Games[[#This Row],[Type]]="P",Games[[#This Row],[Round]]=2),IF(Games[[#This Row],[Result]]&lt;0.5,1,0),0)</f>
        <v>1</v>
      </c>
      <c r="AI502" s="2">
        <f>IF(AND(Games[[#This Row],[Type]]="P",Games[[#This Row],[Round]]=3),IF(Games[[#This Row],[Result]]&gt;0.5,1,0),0)</f>
        <v>0</v>
      </c>
      <c r="AJ502" s="2">
        <f>IF(AND(Games[[#This Row],[Type]]="P",Games[[#This Row],[Round]]=3),IF(Games[[#This Row],[Result]]&lt;0.5,1,0),0)</f>
        <v>0</v>
      </c>
      <c r="AK502" s="2">
        <f>IF(AND(Games[[#This Row],[Type]]="P",Games[[#This Row],[Round]]=4),IF(Games[[#This Row],[Result]]&gt;0.5,1,0),0)</f>
        <v>0</v>
      </c>
      <c r="AL502" s="2">
        <f>IF(AND(Games[[#This Row],[Type]]="P",Games[[#This Row],[Round]]=4),IF(Games[[#This Row],[Result]]&lt;0.5,1,0),0)</f>
        <v>0</v>
      </c>
    </row>
    <row r="503" spans="1:38" x14ac:dyDescent="0.35">
      <c r="A503" s="10">
        <v>45193</v>
      </c>
      <c r="B503" s="2">
        <v>2023</v>
      </c>
      <c r="C503" s="2">
        <f>COUNTIFS(Games[Team],Games[[#This Row],[Team]],Games[Season],Games[[#This Row],[Season]],Games[Date],"&lt;=" &amp; Games[[#This Row],[Date]])</f>
        <v>44</v>
      </c>
      <c r="D503" s="2" t="s">
        <v>83</v>
      </c>
      <c r="E503" s="2">
        <v>2</v>
      </c>
      <c r="F503" s="1" t="s">
        <v>86</v>
      </c>
      <c r="G503" s="1" t="s">
        <v>85</v>
      </c>
      <c r="H503" s="1" t="s">
        <v>82</v>
      </c>
      <c r="I503" s="2" cm="1">
        <f t="array" ref="I503">IFERROR(
    Games[[#This Row],[Date]]
    - LOOKUP(
        2,
        1/((Games[Team]=Games[[#This Row],[Team]]) * (Games[Date] &lt; Games[[#This Row],[Date]])),
        Games[Date]
    )
    - 1,
Games[[#This Row],[Date]]-$A$2)</f>
        <v>6</v>
      </c>
      <c r="J503" s="2" cm="1">
        <f t="array" ref="J50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03" s="2">
        <f>Games[[#This Row],[DaysOff]]-Games[[#This Row],[OppDaysOff]]</f>
        <v>2</v>
      </c>
      <c r="L503" s="2">
        <f>Games[[#This Row],[OppDaysOff]]-Games[[#This Row],[DaysOff]]</f>
        <v>-2</v>
      </c>
      <c r="M503" s="1">
        <f>MAX(-16, MIN(16, Games[[#This Row],[RestDiff]]*8))</f>
        <v>16</v>
      </c>
      <c r="N503" s="1">
        <f>MAX(-16, MIN(16, Games[[#This Row],[OppRestDiff]]*8))</f>
        <v>-16</v>
      </c>
      <c r="O503" s="4" cm="1">
        <f t="array" ref="O5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1724.6342631734717</v>
      </c>
      <c r="P503" s="4" cm="1">
        <f t="array" ref="P5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1580.9044157108569</v>
      </c>
      <c r="Q503" s="4">
        <f>1/(1+10^(((Games[[#This Row],[OppPreGmRate]]+IF(Games[[#This Row],[HomeAway]]="A",HCA,0)+Games[[#This Row],[OppRestAdj]])-(Games[[#This Row],[PreGmRate]]+IF(Games[[#This Row],[HomeAway]]="H",HCA,0)+Games[[#This Row],[RestAdj]]))/400))</f>
        <v>0.81684628931895931</v>
      </c>
      <c r="R503" s="1">
        <v>97</v>
      </c>
      <c r="S503" s="1">
        <v>83</v>
      </c>
      <c r="T503" s="1">
        <v>0</v>
      </c>
      <c r="U503" s="1">
        <f>Games[[#This Row],[PointsFor]]-Games[[#This Row],[PointsAgainst]]</f>
        <v>14</v>
      </c>
      <c r="V503" s="1">
        <f>IF(Games[[#This Row],[MOV]]&gt;0,1,IF(Games[[#This Row],[MOV]]=0,0.5,0))</f>
        <v>1</v>
      </c>
      <c r="W503" s="4">
        <f>((ABS(Games[[#This Row],[MOV]])+5)^0.6)/(12+0.01*(ABS(Games[[#This Row],[PreGmRate]]-Games[[#This Row],[OppPreGmRate]])))*IF(Games[[#This Row],[OT]]=1,0.9,1)</f>
        <v>0.43545190675479206</v>
      </c>
      <c r="X503" s="7" cm="1">
        <f t="array" ref="X50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03" s="9">
        <f>MAX(kmin, kmax - 0.15 * MIN(Games[[#This Row],[GamesPlayed]], 82))</f>
        <v>69.400000000000006</v>
      </c>
      <c r="Z503" s="4">
        <f>Games[[#This Row],[K]]*Games[[#This Row],[POMult]]</f>
        <v>83.28</v>
      </c>
      <c r="AA503" s="4">
        <f>(Games[[#This Row],[Keff]]*Games[[#This Row],[MOVMult]])*(Games[[#This Row],[Result]]-Games[[#This Row],[ExpectedWin%]])</f>
        <v>6.6419657983704772</v>
      </c>
      <c r="AB503" s="4">
        <f>Games[[#This Row],[PreGmRate]]+Games[[#This Row],[RatingChange]]</f>
        <v>1731.2762289718421</v>
      </c>
      <c r="AC503" s="2">
        <f>IF(Games[[#This Row],[Type]]="R",IF(Games[[#This Row],[Result]]&gt;0.5,1,0),0)</f>
        <v>0</v>
      </c>
      <c r="AD503" s="2">
        <f>IF(Games[[#This Row],[Type]]="R",IF(Games[[#This Row],[Result]]&lt;0.5,1,0),0)</f>
        <v>0</v>
      </c>
      <c r="AE503" s="2">
        <f>IF(AND(Games[[#This Row],[Type]]="P",Games[[#This Row],[Round]]=1),IF(Games[[#This Row],[Result]]&gt;0.5,1,0),0)</f>
        <v>0</v>
      </c>
      <c r="AF503" s="2">
        <f>IF(AND(Games[[#This Row],[Type]]="P",Games[[#This Row],[Round]]=1),IF(Games[[#This Row],[Result]]&lt;0.5,1,0),0)</f>
        <v>0</v>
      </c>
      <c r="AG503" s="2">
        <f>IF(AND(Games[[#This Row],[Type]]="P",Games[[#This Row],[Round]]=2),IF(Games[[#This Row],[Result]]&gt;0.5,1,0),0)</f>
        <v>1</v>
      </c>
      <c r="AH503" s="2">
        <f>IF(AND(Games[[#This Row],[Type]]="P",Games[[#This Row],[Round]]=2),IF(Games[[#This Row],[Result]]&lt;0.5,1,0),0)</f>
        <v>0</v>
      </c>
      <c r="AI503" s="2">
        <f>IF(AND(Games[[#This Row],[Type]]="P",Games[[#This Row],[Round]]=3),IF(Games[[#This Row],[Result]]&gt;0.5,1,0),0)</f>
        <v>0</v>
      </c>
      <c r="AJ503" s="2">
        <f>IF(AND(Games[[#This Row],[Type]]="P",Games[[#This Row],[Round]]=3),IF(Games[[#This Row],[Result]]&lt;0.5,1,0),0)</f>
        <v>0</v>
      </c>
      <c r="AK503" s="2">
        <f>IF(AND(Games[[#This Row],[Type]]="P",Games[[#This Row],[Round]]=4),IF(Games[[#This Row],[Result]]&gt;0.5,1,0),0)</f>
        <v>0</v>
      </c>
      <c r="AL503" s="2">
        <f>IF(AND(Games[[#This Row],[Type]]="P",Games[[#This Row],[Round]]=4),IF(Games[[#This Row],[Result]]&lt;0.5,1,0),0)</f>
        <v>0</v>
      </c>
    </row>
    <row r="504" spans="1:38" x14ac:dyDescent="0.35">
      <c r="A504" s="10">
        <v>45193</v>
      </c>
      <c r="B504" s="2">
        <v>2023</v>
      </c>
      <c r="C504" s="2">
        <f>COUNTIFS(Games[Team],Games[[#This Row],[Team]],Games[Season],Games[[#This Row],[Season]],Games[Date],"&lt;=" &amp; Games[[#This Row],[Date]])</f>
        <v>44</v>
      </c>
      <c r="D504" s="2" t="s">
        <v>83</v>
      </c>
      <c r="E504" s="2">
        <v>2</v>
      </c>
      <c r="F504" s="1" t="s">
        <v>74</v>
      </c>
      <c r="G504" s="1" t="s">
        <v>60</v>
      </c>
      <c r="H504" s="1" t="s">
        <v>81</v>
      </c>
      <c r="I504" s="2" cm="1">
        <f t="array" ref="I504">IFERROR(
    Games[[#This Row],[Date]]
    - LOOKUP(
        2,
        1/((Games[Team]=Games[[#This Row],[Team]]) * (Games[Date] &lt; Games[[#This Row],[Date]])),
        Games[Date]
    )
    - 1,
Games[[#This Row],[Date]]-$A$2)</f>
        <v>3</v>
      </c>
      <c r="J504" s="2" cm="1">
        <f t="array" ref="J50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04" s="2">
        <f>Games[[#This Row],[DaysOff]]-Games[[#This Row],[OppDaysOff]]</f>
        <v>-1</v>
      </c>
      <c r="L504" s="2">
        <f>Games[[#This Row],[OppDaysOff]]-Games[[#This Row],[DaysOff]]</f>
        <v>1</v>
      </c>
      <c r="M504" s="1">
        <f>MAX(-16, MIN(16, Games[[#This Row],[RestDiff]]*8))</f>
        <v>-8</v>
      </c>
      <c r="N504" s="1">
        <f>MAX(-16, MIN(16, Games[[#This Row],[OppRestDiff]]*8))</f>
        <v>8</v>
      </c>
      <c r="O504" s="4" cm="1">
        <f t="array" ref="O5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1605.2913640053007</v>
      </c>
      <c r="P504" s="4" cm="1">
        <f t="array" ref="P5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1746.1202938487975</v>
      </c>
      <c r="Q504" s="4">
        <f>1/(1+10^(((Games[[#This Row],[OppPreGmRate]]+IF(Games[[#This Row],[HomeAway]]="A",HCA,0)+Games[[#This Row],[OppRestAdj]])-(Games[[#This Row],[PreGmRate]]+IF(Games[[#This Row],[HomeAway]]="H",HCA,0)+Games[[#This Row],[RestAdj]]))/400))</f>
        <v>0.19999545629015525</v>
      </c>
      <c r="R504" s="1">
        <v>78</v>
      </c>
      <c r="S504" s="1">
        <v>63</v>
      </c>
      <c r="T504" s="1">
        <v>0</v>
      </c>
      <c r="U504" s="1">
        <f>Games[[#This Row],[PointsFor]]-Games[[#This Row],[PointsAgainst]]</f>
        <v>15</v>
      </c>
      <c r="V504" s="1">
        <f>IF(Games[[#This Row],[MOV]]&gt;0,1,IF(Games[[#This Row],[MOV]]=0,0.5,0))</f>
        <v>1</v>
      </c>
      <c r="W504" s="4">
        <f>((ABS(Games[[#This Row],[MOV]])+5)^0.6)/(12+0.01*(ABS(Games[[#This Row],[PreGmRate]]-Games[[#This Row],[OppPreGmRate]])))*IF(Games[[#This Row],[OT]]=1,0.9,1)</f>
        <v>0.45003327436032264</v>
      </c>
      <c r="X504" s="7" cm="1">
        <f t="array" ref="X50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04" s="9">
        <f>MAX(kmin, kmax - 0.15 * MIN(Games[[#This Row],[GamesPlayed]], 82))</f>
        <v>69.400000000000006</v>
      </c>
      <c r="Z504" s="4">
        <f>Games[[#This Row],[K]]*Games[[#This Row],[POMult]]</f>
        <v>83.28</v>
      </c>
      <c r="AA504" s="4">
        <f>(Games[[#This Row],[Keff]]*Games[[#This Row],[MOVMult]])*(Games[[#This Row],[Result]]-Games[[#This Row],[ExpectedWin%]])</f>
        <v>29.983187163643301</v>
      </c>
      <c r="AB504" s="4">
        <f>Games[[#This Row],[PreGmRate]]+Games[[#This Row],[RatingChange]]</f>
        <v>1635.2745511689441</v>
      </c>
      <c r="AC504" s="2">
        <f>IF(Games[[#This Row],[Type]]="R",IF(Games[[#This Row],[Result]]&gt;0.5,1,0),0)</f>
        <v>0</v>
      </c>
      <c r="AD504" s="2">
        <f>IF(Games[[#This Row],[Type]]="R",IF(Games[[#This Row],[Result]]&lt;0.5,1,0),0)</f>
        <v>0</v>
      </c>
      <c r="AE504" s="2">
        <f>IF(AND(Games[[#This Row],[Type]]="P",Games[[#This Row],[Round]]=1),IF(Games[[#This Row],[Result]]&gt;0.5,1,0),0)</f>
        <v>0</v>
      </c>
      <c r="AF504" s="2">
        <f>IF(AND(Games[[#This Row],[Type]]="P",Games[[#This Row],[Round]]=1),IF(Games[[#This Row],[Result]]&lt;0.5,1,0),0)</f>
        <v>0</v>
      </c>
      <c r="AG504" s="2">
        <f>IF(AND(Games[[#This Row],[Type]]="P",Games[[#This Row],[Round]]=2),IF(Games[[#This Row],[Result]]&gt;0.5,1,0),0)</f>
        <v>1</v>
      </c>
      <c r="AH504" s="2">
        <f>IF(AND(Games[[#This Row],[Type]]="P",Games[[#This Row],[Round]]=2),IF(Games[[#This Row],[Result]]&lt;0.5,1,0),0)</f>
        <v>0</v>
      </c>
      <c r="AI504" s="2">
        <f>IF(AND(Games[[#This Row],[Type]]="P",Games[[#This Row],[Round]]=3),IF(Games[[#This Row],[Result]]&gt;0.5,1,0),0)</f>
        <v>0</v>
      </c>
      <c r="AJ504" s="2">
        <f>IF(AND(Games[[#This Row],[Type]]="P",Games[[#This Row],[Round]]=3),IF(Games[[#This Row],[Result]]&lt;0.5,1,0),0)</f>
        <v>0</v>
      </c>
      <c r="AK504" s="2">
        <f>IF(AND(Games[[#This Row],[Type]]="P",Games[[#This Row],[Round]]=4),IF(Games[[#This Row],[Result]]&gt;0.5,1,0),0)</f>
        <v>0</v>
      </c>
      <c r="AL504" s="2">
        <f>IF(AND(Games[[#This Row],[Type]]="P",Games[[#This Row],[Round]]=4),IF(Games[[#This Row],[Result]]&lt;0.5,1,0),0)</f>
        <v>0</v>
      </c>
    </row>
    <row r="505" spans="1:38" x14ac:dyDescent="0.35">
      <c r="A505" s="10">
        <v>45193</v>
      </c>
      <c r="B505" s="2">
        <v>2023</v>
      </c>
      <c r="C505" s="2">
        <f>COUNTIFS(Games[Team],Games[[#This Row],[Team]],Games[Season],Games[[#This Row],[Season]],Games[Date],"&lt;=" &amp; Games[[#This Row],[Date]])</f>
        <v>44</v>
      </c>
      <c r="D505" s="2" t="s">
        <v>83</v>
      </c>
      <c r="E505" s="2">
        <v>2</v>
      </c>
      <c r="F505" s="1" t="s">
        <v>60</v>
      </c>
      <c r="G505" s="1" t="s">
        <v>74</v>
      </c>
      <c r="H505" s="1" t="s">
        <v>82</v>
      </c>
      <c r="I505" s="2" cm="1">
        <f t="array" ref="I505">IFERROR(
    Games[[#This Row],[Date]]
    - LOOKUP(
        2,
        1/((Games[Team]=Games[[#This Row],[Team]]) * (Games[Date] &lt; Games[[#This Row],[Date]])),
        Games[Date]
    )
    - 1,
Games[[#This Row],[Date]]-$A$2)</f>
        <v>4</v>
      </c>
      <c r="J505" s="2" cm="1">
        <f t="array" ref="J50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05" s="2">
        <f>Games[[#This Row],[DaysOff]]-Games[[#This Row],[OppDaysOff]]</f>
        <v>1</v>
      </c>
      <c r="L505" s="2">
        <f>Games[[#This Row],[OppDaysOff]]-Games[[#This Row],[DaysOff]]</f>
        <v>-1</v>
      </c>
      <c r="M505" s="1">
        <f>MAX(-16, MIN(16, Games[[#This Row],[RestDiff]]*8))</f>
        <v>8</v>
      </c>
      <c r="N505" s="1">
        <f>MAX(-16, MIN(16, Games[[#This Row],[OppRestDiff]]*8))</f>
        <v>-8</v>
      </c>
      <c r="O505" s="4" cm="1">
        <f t="array" ref="O5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1746.1202938487975</v>
      </c>
      <c r="P505" s="4" cm="1">
        <f t="array" ref="P5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1605.2913640053007</v>
      </c>
      <c r="Q505" s="4">
        <f>1/(1+10^(((Games[[#This Row],[OppPreGmRate]]+IF(Games[[#This Row],[HomeAway]]="A",HCA,0)+Games[[#This Row],[OppRestAdj]])-(Games[[#This Row],[PreGmRate]]+IF(Games[[#This Row],[HomeAway]]="H",HCA,0)+Games[[#This Row],[RestAdj]]))/400))</f>
        <v>0.80000454370984475</v>
      </c>
      <c r="R505" s="1">
        <v>63</v>
      </c>
      <c r="S505" s="1">
        <v>78</v>
      </c>
      <c r="T505" s="1">
        <v>0</v>
      </c>
      <c r="U505" s="1">
        <f>Games[[#This Row],[PointsFor]]-Games[[#This Row],[PointsAgainst]]</f>
        <v>-15</v>
      </c>
      <c r="V505" s="1">
        <f>IF(Games[[#This Row],[MOV]]&gt;0,1,IF(Games[[#This Row],[MOV]]=0,0.5,0))</f>
        <v>0</v>
      </c>
      <c r="W505" s="4">
        <f>((ABS(Games[[#This Row],[MOV]])+5)^0.6)/(12+0.01*(ABS(Games[[#This Row],[PreGmRate]]-Games[[#This Row],[OppPreGmRate]])))*IF(Games[[#This Row],[OT]]=1,0.9,1)</f>
        <v>0.45003327436032264</v>
      </c>
      <c r="X505" s="7" cm="1">
        <f t="array" ref="X50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05" s="9">
        <f>MAX(kmin, kmax - 0.15 * MIN(Games[[#This Row],[GamesPlayed]], 82))</f>
        <v>69.400000000000006</v>
      </c>
      <c r="Z505" s="4">
        <f>Games[[#This Row],[K]]*Games[[#This Row],[POMult]]</f>
        <v>83.28</v>
      </c>
      <c r="AA505" s="4">
        <f>(Games[[#This Row],[Keff]]*Games[[#This Row],[MOVMult]])*(Games[[#This Row],[Result]]-Games[[#This Row],[ExpectedWin%]])</f>
        <v>-29.983187163643301</v>
      </c>
      <c r="AB505" s="4">
        <f>Games[[#This Row],[PreGmRate]]+Games[[#This Row],[RatingChange]]</f>
        <v>1716.1371066851541</v>
      </c>
      <c r="AC505" s="2">
        <f>IF(Games[[#This Row],[Type]]="R",IF(Games[[#This Row],[Result]]&gt;0.5,1,0),0)</f>
        <v>0</v>
      </c>
      <c r="AD505" s="2">
        <f>IF(Games[[#This Row],[Type]]="R",IF(Games[[#This Row],[Result]]&lt;0.5,1,0),0)</f>
        <v>0</v>
      </c>
      <c r="AE505" s="2">
        <f>IF(AND(Games[[#This Row],[Type]]="P",Games[[#This Row],[Round]]=1),IF(Games[[#This Row],[Result]]&gt;0.5,1,0),0)</f>
        <v>0</v>
      </c>
      <c r="AF505" s="2">
        <f>IF(AND(Games[[#This Row],[Type]]="P",Games[[#This Row],[Round]]=1),IF(Games[[#This Row],[Result]]&lt;0.5,1,0),0)</f>
        <v>0</v>
      </c>
      <c r="AG505" s="2">
        <f>IF(AND(Games[[#This Row],[Type]]="P",Games[[#This Row],[Round]]=2),IF(Games[[#This Row],[Result]]&gt;0.5,1,0),0)</f>
        <v>0</v>
      </c>
      <c r="AH505" s="2">
        <f>IF(AND(Games[[#This Row],[Type]]="P",Games[[#This Row],[Round]]=2),IF(Games[[#This Row],[Result]]&lt;0.5,1,0),0)</f>
        <v>1</v>
      </c>
      <c r="AI505" s="2">
        <f>IF(AND(Games[[#This Row],[Type]]="P",Games[[#This Row],[Round]]=3),IF(Games[[#This Row],[Result]]&gt;0.5,1,0),0)</f>
        <v>0</v>
      </c>
      <c r="AJ505" s="2">
        <f>IF(AND(Games[[#This Row],[Type]]="P",Games[[#This Row],[Round]]=3),IF(Games[[#This Row],[Result]]&lt;0.5,1,0),0)</f>
        <v>0</v>
      </c>
      <c r="AK505" s="2">
        <f>IF(AND(Games[[#This Row],[Type]]="P",Games[[#This Row],[Round]]=4),IF(Games[[#This Row],[Result]]&gt;0.5,1,0),0)</f>
        <v>0</v>
      </c>
      <c r="AL505" s="2">
        <f>IF(AND(Games[[#This Row],[Type]]="P",Games[[#This Row],[Round]]=4),IF(Games[[#This Row],[Result]]&lt;0.5,1,0),0)</f>
        <v>0</v>
      </c>
    </row>
    <row r="506" spans="1:38" x14ac:dyDescent="0.35">
      <c r="A506" s="10">
        <v>45195</v>
      </c>
      <c r="B506" s="2">
        <v>2023</v>
      </c>
      <c r="C506" s="2">
        <f>COUNTIFS(Games[Team],Games[[#This Row],[Team]],Games[Season],Games[[#This Row],[Season]],Games[Date],"&lt;=" &amp; Games[[#This Row],[Date]])</f>
        <v>44</v>
      </c>
      <c r="D506" s="2" t="s">
        <v>83</v>
      </c>
      <c r="E506" s="2">
        <v>2</v>
      </c>
      <c r="F506" s="1" t="s">
        <v>85</v>
      </c>
      <c r="G506" s="1" t="s">
        <v>86</v>
      </c>
      <c r="H506" s="1" t="s">
        <v>81</v>
      </c>
      <c r="I506" s="2" cm="1">
        <f t="array" ref="I5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6" s="2" cm="1">
        <f t="array" ref="J5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6" s="2">
        <f>Games[[#This Row],[DaysOff]]-Games[[#This Row],[OppDaysOff]]</f>
        <v>0</v>
      </c>
      <c r="L506" s="2">
        <f>Games[[#This Row],[OppDaysOff]]-Games[[#This Row],[DaysOff]]</f>
        <v>0</v>
      </c>
      <c r="M506" s="1">
        <f>MAX(-16, MIN(16, Games[[#This Row],[RestDiff]]*8))</f>
        <v>0</v>
      </c>
      <c r="N506" s="1">
        <f>MAX(-16, MIN(16, Games[[#This Row],[OppRestDiff]]*8))</f>
        <v>0</v>
      </c>
      <c r="O506" s="4" cm="1">
        <f t="array" ref="O5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1574.2480940786284</v>
      </c>
      <c r="P506" s="4" cm="1">
        <f t="array" ref="P5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1731.2762289718421</v>
      </c>
      <c r="Q506" s="4">
        <f>1/(1+10^(((Games[[#This Row],[OppPreGmRate]]+IF(Games[[#This Row],[HomeAway]]="A",HCA,0)+Games[[#This Row],[OppRestAdj]])-(Games[[#This Row],[PreGmRate]]+IF(Games[[#This Row],[HomeAway]]="H",HCA,0)+Games[[#This Row],[RestAdj]]))/400))</f>
        <v>0.19981204790149412</v>
      </c>
      <c r="R506" s="1">
        <v>84</v>
      </c>
      <c r="S506" s="1">
        <v>91</v>
      </c>
      <c r="T506" s="1">
        <v>0</v>
      </c>
      <c r="U506" s="1">
        <f>Games[[#This Row],[PointsFor]]-Games[[#This Row],[PointsAgainst]]</f>
        <v>-7</v>
      </c>
      <c r="V506" s="1">
        <f>IF(Games[[#This Row],[MOV]]&gt;0,1,IF(Games[[#This Row],[MOV]]=0,0.5,0))</f>
        <v>0</v>
      </c>
      <c r="W506" s="4">
        <f>((ABS(Games[[#This Row],[MOV]])+5)^0.6)/(12+0.01*(ABS(Games[[#This Row],[PreGmRate]]-Games[[#This Row],[OppPreGmRate]])))*IF(Games[[#This Row],[OT]]=1,0.9,1)</f>
        <v>0.32728032349862302</v>
      </c>
      <c r="X506" s="7" cm="1">
        <f t="array" ref="X50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06" s="9">
        <f>MAX(kmin, kmax - 0.15 * MIN(Games[[#This Row],[GamesPlayed]], 82))</f>
        <v>69.400000000000006</v>
      </c>
      <c r="Z506" s="4">
        <f>Games[[#This Row],[K]]*Games[[#This Row],[POMult]]</f>
        <v>83.28</v>
      </c>
      <c r="AA506" s="4">
        <f>(Games[[#This Row],[Keff]]*Games[[#This Row],[MOVMult]])*(Games[[#This Row],[Result]]-Games[[#This Row],[ExpectedWin%]])</f>
        <v>-5.4460582635875525</v>
      </c>
      <c r="AB506" s="4">
        <f>Games[[#This Row],[PreGmRate]]+Games[[#This Row],[RatingChange]]</f>
        <v>1568.8020358150409</v>
      </c>
      <c r="AC506" s="2">
        <f>IF(Games[[#This Row],[Type]]="R",IF(Games[[#This Row],[Result]]&gt;0.5,1,0),0)</f>
        <v>0</v>
      </c>
      <c r="AD506" s="2">
        <f>IF(Games[[#This Row],[Type]]="R",IF(Games[[#This Row],[Result]]&lt;0.5,1,0),0)</f>
        <v>0</v>
      </c>
      <c r="AE506" s="2">
        <f>IF(AND(Games[[#This Row],[Type]]="P",Games[[#This Row],[Round]]=1),IF(Games[[#This Row],[Result]]&gt;0.5,1,0),0)</f>
        <v>0</v>
      </c>
      <c r="AF506" s="2">
        <f>IF(AND(Games[[#This Row],[Type]]="P",Games[[#This Row],[Round]]=1),IF(Games[[#This Row],[Result]]&lt;0.5,1,0),0)</f>
        <v>0</v>
      </c>
      <c r="AG506" s="2">
        <f>IF(AND(Games[[#This Row],[Type]]="P",Games[[#This Row],[Round]]=2),IF(Games[[#This Row],[Result]]&gt;0.5,1,0),0)</f>
        <v>0</v>
      </c>
      <c r="AH506" s="2">
        <f>IF(AND(Games[[#This Row],[Type]]="P",Games[[#This Row],[Round]]=2),IF(Games[[#This Row],[Result]]&lt;0.5,1,0),0)</f>
        <v>1</v>
      </c>
      <c r="AI506" s="2">
        <f>IF(AND(Games[[#This Row],[Type]]="P",Games[[#This Row],[Round]]=3),IF(Games[[#This Row],[Result]]&gt;0.5,1,0),0)</f>
        <v>0</v>
      </c>
      <c r="AJ506" s="2">
        <f>IF(AND(Games[[#This Row],[Type]]="P",Games[[#This Row],[Round]]=3),IF(Games[[#This Row],[Result]]&lt;0.5,1,0),0)</f>
        <v>0</v>
      </c>
      <c r="AK506" s="2">
        <f>IF(AND(Games[[#This Row],[Type]]="P",Games[[#This Row],[Round]]=4),IF(Games[[#This Row],[Result]]&gt;0.5,1,0),0)</f>
        <v>0</v>
      </c>
      <c r="AL506" s="2">
        <f>IF(AND(Games[[#This Row],[Type]]="P",Games[[#This Row],[Round]]=4),IF(Games[[#This Row],[Result]]&lt;0.5,1,0),0)</f>
        <v>0</v>
      </c>
    </row>
    <row r="507" spans="1:38" x14ac:dyDescent="0.35">
      <c r="A507" s="10">
        <v>45195</v>
      </c>
      <c r="B507" s="2">
        <v>2023</v>
      </c>
      <c r="C507" s="2">
        <f>COUNTIFS(Games[Team],Games[[#This Row],[Team]],Games[Season],Games[[#This Row],[Season]],Games[Date],"&lt;=" &amp; Games[[#This Row],[Date]])</f>
        <v>45</v>
      </c>
      <c r="D507" s="2" t="s">
        <v>83</v>
      </c>
      <c r="E507" s="2">
        <v>2</v>
      </c>
      <c r="F507" s="1" t="s">
        <v>86</v>
      </c>
      <c r="G507" s="1" t="s">
        <v>85</v>
      </c>
      <c r="H507" s="1" t="s">
        <v>82</v>
      </c>
      <c r="I507" s="2" cm="1">
        <f t="array" ref="I5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7" s="2" cm="1">
        <f t="array" ref="J5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7" s="2">
        <f>Games[[#This Row],[DaysOff]]-Games[[#This Row],[OppDaysOff]]</f>
        <v>0</v>
      </c>
      <c r="L507" s="2">
        <f>Games[[#This Row],[OppDaysOff]]-Games[[#This Row],[DaysOff]]</f>
        <v>0</v>
      </c>
      <c r="M507" s="1">
        <f>MAX(-16, MIN(16, Games[[#This Row],[RestDiff]]*8))</f>
        <v>0</v>
      </c>
      <c r="N507" s="1">
        <f>MAX(-16, MIN(16, Games[[#This Row],[OppRestDiff]]*8))</f>
        <v>0</v>
      </c>
      <c r="O507" s="4" cm="1">
        <f t="array" ref="O5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1731.2762289718421</v>
      </c>
      <c r="P507" s="4" cm="1">
        <f t="array" ref="P5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1574.2480940786284</v>
      </c>
      <c r="Q507" s="4">
        <f>1/(1+10^(((Games[[#This Row],[OppPreGmRate]]+IF(Games[[#This Row],[HomeAway]]="A",HCA,0)+Games[[#This Row],[OppRestAdj]])-(Games[[#This Row],[PreGmRate]]+IF(Games[[#This Row],[HomeAway]]="H",HCA,0)+Games[[#This Row],[RestAdj]]))/400))</f>
        <v>0.80018795209850591</v>
      </c>
      <c r="R507" s="1">
        <v>91</v>
      </c>
      <c r="S507" s="1">
        <v>84</v>
      </c>
      <c r="T507" s="1">
        <v>0</v>
      </c>
      <c r="U507" s="1">
        <f>Games[[#This Row],[PointsFor]]-Games[[#This Row],[PointsAgainst]]</f>
        <v>7</v>
      </c>
      <c r="V507" s="1">
        <f>IF(Games[[#This Row],[MOV]]&gt;0,1,IF(Games[[#This Row],[MOV]]=0,0.5,0))</f>
        <v>1</v>
      </c>
      <c r="W507" s="4">
        <f>((ABS(Games[[#This Row],[MOV]])+5)^0.6)/(12+0.01*(ABS(Games[[#This Row],[PreGmRate]]-Games[[#This Row],[OppPreGmRate]])))*IF(Games[[#This Row],[OT]]=1,0.9,1)</f>
        <v>0.32728032349862302</v>
      </c>
      <c r="X507" s="7" cm="1">
        <f t="array" ref="X50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07" s="9">
        <f>MAX(kmin, kmax - 0.15 * MIN(Games[[#This Row],[GamesPlayed]], 82))</f>
        <v>69.25</v>
      </c>
      <c r="Z507" s="4">
        <f>Games[[#This Row],[K]]*Games[[#This Row],[POMult]]</f>
        <v>83.1</v>
      </c>
      <c r="AA507" s="4">
        <f>(Games[[#This Row],[Keff]]*Games[[#This Row],[MOVMult]])*(Games[[#This Row],[Result]]-Games[[#This Row],[ExpectedWin%]])</f>
        <v>5.4342872442858496</v>
      </c>
      <c r="AB507" s="4">
        <f>Games[[#This Row],[PreGmRate]]+Games[[#This Row],[RatingChange]]</f>
        <v>1736.7105162161279</v>
      </c>
      <c r="AC507" s="2">
        <f>IF(Games[[#This Row],[Type]]="R",IF(Games[[#This Row],[Result]]&gt;0.5,1,0),0)</f>
        <v>0</v>
      </c>
      <c r="AD507" s="2">
        <f>IF(Games[[#This Row],[Type]]="R",IF(Games[[#This Row],[Result]]&lt;0.5,1,0),0)</f>
        <v>0</v>
      </c>
      <c r="AE507" s="2">
        <f>IF(AND(Games[[#This Row],[Type]]="P",Games[[#This Row],[Round]]=1),IF(Games[[#This Row],[Result]]&gt;0.5,1,0),0)</f>
        <v>0</v>
      </c>
      <c r="AF507" s="2">
        <f>IF(AND(Games[[#This Row],[Type]]="P",Games[[#This Row],[Round]]=1),IF(Games[[#This Row],[Result]]&lt;0.5,1,0),0)</f>
        <v>0</v>
      </c>
      <c r="AG507" s="2">
        <f>IF(AND(Games[[#This Row],[Type]]="P",Games[[#This Row],[Round]]=2),IF(Games[[#This Row],[Result]]&gt;0.5,1,0),0)</f>
        <v>1</v>
      </c>
      <c r="AH507" s="2">
        <f>IF(AND(Games[[#This Row],[Type]]="P",Games[[#This Row],[Round]]=2),IF(Games[[#This Row],[Result]]&lt;0.5,1,0),0)</f>
        <v>0</v>
      </c>
      <c r="AI507" s="2">
        <f>IF(AND(Games[[#This Row],[Type]]="P",Games[[#This Row],[Round]]=3),IF(Games[[#This Row],[Result]]&gt;0.5,1,0),0)</f>
        <v>0</v>
      </c>
      <c r="AJ507" s="2">
        <f>IF(AND(Games[[#This Row],[Type]]="P",Games[[#This Row],[Round]]=3),IF(Games[[#This Row],[Result]]&lt;0.5,1,0),0)</f>
        <v>0</v>
      </c>
      <c r="AK507" s="2">
        <f>IF(AND(Games[[#This Row],[Type]]="P",Games[[#This Row],[Round]]=4),IF(Games[[#This Row],[Result]]&gt;0.5,1,0),0)</f>
        <v>0</v>
      </c>
      <c r="AL507" s="2">
        <f>IF(AND(Games[[#This Row],[Type]]="P",Games[[#This Row],[Round]]=4),IF(Games[[#This Row],[Result]]&lt;0.5,1,0),0)</f>
        <v>0</v>
      </c>
    </row>
    <row r="508" spans="1:38" x14ac:dyDescent="0.35">
      <c r="A508" s="10">
        <v>45195</v>
      </c>
      <c r="B508" s="2">
        <v>2023</v>
      </c>
      <c r="C508" s="2">
        <f>COUNTIFS(Games[Team],Games[[#This Row],[Team]],Games[Season],Games[[#This Row],[Season]],Games[Date],"&lt;=" &amp; Games[[#This Row],[Date]])</f>
        <v>45</v>
      </c>
      <c r="D508" s="2" t="s">
        <v>83</v>
      </c>
      <c r="E508" s="2">
        <v>2</v>
      </c>
      <c r="F508" s="1" t="s">
        <v>74</v>
      </c>
      <c r="G508" s="1" t="s">
        <v>60</v>
      </c>
      <c r="H508" s="1" t="s">
        <v>81</v>
      </c>
      <c r="I508" s="2" cm="1">
        <f t="array" ref="I5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8" s="2" cm="1">
        <f t="array" ref="J5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8" s="2">
        <f>Games[[#This Row],[DaysOff]]-Games[[#This Row],[OppDaysOff]]</f>
        <v>0</v>
      </c>
      <c r="L508" s="2">
        <f>Games[[#This Row],[OppDaysOff]]-Games[[#This Row],[DaysOff]]</f>
        <v>0</v>
      </c>
      <c r="M508" s="1">
        <f>MAX(-16, MIN(16, Games[[#This Row],[RestDiff]]*8))</f>
        <v>0</v>
      </c>
      <c r="N508" s="1">
        <f>MAX(-16, MIN(16, Games[[#This Row],[OppRestDiff]]*8))</f>
        <v>0</v>
      </c>
      <c r="O508" s="4" cm="1">
        <f t="array" ref="O5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1635.2745511689441</v>
      </c>
      <c r="P508" s="4" cm="1">
        <f t="array" ref="P5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1716.1371066851541</v>
      </c>
      <c r="Q508" s="4">
        <f>1/(1+10^(((Games[[#This Row],[OppPreGmRate]]+IF(Games[[#This Row],[HomeAway]]="A",HCA,0)+Games[[#This Row],[OppRestAdj]])-(Games[[#This Row],[PreGmRate]]+IF(Games[[#This Row],[HomeAway]]="H",HCA,0)+Games[[#This Row],[RestAdj]]))/400))</f>
        <v>0.27908091306963084</v>
      </c>
      <c r="R508" s="1">
        <v>77</v>
      </c>
      <c r="S508" s="1">
        <v>84</v>
      </c>
      <c r="T508" s="1">
        <v>0</v>
      </c>
      <c r="U508" s="1">
        <f>Games[[#This Row],[PointsFor]]-Games[[#This Row],[PointsAgainst]]</f>
        <v>-7</v>
      </c>
      <c r="V508" s="1">
        <f>IF(Games[[#This Row],[MOV]]&gt;0,1,IF(Games[[#This Row],[MOV]]=0,0.5,0))</f>
        <v>0</v>
      </c>
      <c r="W508" s="4">
        <f>((ABS(Games[[#This Row],[MOV]])+5)^0.6)/(12+0.01*(ABS(Games[[#This Row],[PreGmRate]]-Games[[#This Row],[OppPreGmRate]])))*IF(Games[[#This Row],[OT]]=1,0.9,1)</f>
        <v>0.34674181478089378</v>
      </c>
      <c r="X508" s="7" cm="1">
        <f t="array" ref="X50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08" s="9">
        <f>MAX(kmin, kmax - 0.15 * MIN(Games[[#This Row],[GamesPlayed]], 82))</f>
        <v>69.25</v>
      </c>
      <c r="Z508" s="4">
        <f>Games[[#This Row],[K]]*Games[[#This Row],[POMult]]</f>
        <v>83.1</v>
      </c>
      <c r="AA508" s="4">
        <f>(Games[[#This Row],[Keff]]*Games[[#This Row],[MOVMult]])*(Games[[#This Row],[Result]]-Games[[#This Row],[ExpectedWin%]])</f>
        <v>-8.0415057505100762</v>
      </c>
      <c r="AB508" s="4">
        <f>Games[[#This Row],[PreGmRate]]+Games[[#This Row],[RatingChange]]</f>
        <v>1627.2330454184339</v>
      </c>
      <c r="AC508" s="2">
        <f>IF(Games[[#This Row],[Type]]="R",IF(Games[[#This Row],[Result]]&gt;0.5,1,0),0)</f>
        <v>0</v>
      </c>
      <c r="AD508" s="2">
        <f>IF(Games[[#This Row],[Type]]="R",IF(Games[[#This Row],[Result]]&lt;0.5,1,0),0)</f>
        <v>0</v>
      </c>
      <c r="AE508" s="2">
        <f>IF(AND(Games[[#This Row],[Type]]="P",Games[[#This Row],[Round]]=1),IF(Games[[#This Row],[Result]]&gt;0.5,1,0),0)</f>
        <v>0</v>
      </c>
      <c r="AF508" s="2">
        <f>IF(AND(Games[[#This Row],[Type]]="P",Games[[#This Row],[Round]]=1),IF(Games[[#This Row],[Result]]&lt;0.5,1,0),0)</f>
        <v>0</v>
      </c>
      <c r="AG508" s="2">
        <f>IF(AND(Games[[#This Row],[Type]]="P",Games[[#This Row],[Round]]=2),IF(Games[[#This Row],[Result]]&gt;0.5,1,0),0)</f>
        <v>0</v>
      </c>
      <c r="AH508" s="2">
        <f>IF(AND(Games[[#This Row],[Type]]="P",Games[[#This Row],[Round]]=2),IF(Games[[#This Row],[Result]]&lt;0.5,1,0),0)</f>
        <v>1</v>
      </c>
      <c r="AI508" s="2">
        <f>IF(AND(Games[[#This Row],[Type]]="P",Games[[#This Row],[Round]]=3),IF(Games[[#This Row],[Result]]&gt;0.5,1,0),0)</f>
        <v>0</v>
      </c>
      <c r="AJ508" s="2">
        <f>IF(AND(Games[[#This Row],[Type]]="P",Games[[#This Row],[Round]]=3),IF(Games[[#This Row],[Result]]&lt;0.5,1,0),0)</f>
        <v>0</v>
      </c>
      <c r="AK508" s="2">
        <f>IF(AND(Games[[#This Row],[Type]]="P",Games[[#This Row],[Round]]=4),IF(Games[[#This Row],[Result]]&gt;0.5,1,0),0)</f>
        <v>0</v>
      </c>
      <c r="AL508" s="2">
        <f>IF(AND(Games[[#This Row],[Type]]="P",Games[[#This Row],[Round]]=4),IF(Games[[#This Row],[Result]]&lt;0.5,1,0),0)</f>
        <v>0</v>
      </c>
    </row>
    <row r="509" spans="1:38" x14ac:dyDescent="0.35">
      <c r="A509" s="10">
        <v>45195</v>
      </c>
      <c r="B509" s="2">
        <v>2023</v>
      </c>
      <c r="C509" s="2">
        <f>COUNTIFS(Games[Team],Games[[#This Row],[Team]],Games[Season],Games[[#This Row],[Season]],Games[Date],"&lt;=" &amp; Games[[#This Row],[Date]])</f>
        <v>45</v>
      </c>
      <c r="D509" s="2" t="s">
        <v>83</v>
      </c>
      <c r="E509" s="2">
        <v>2</v>
      </c>
      <c r="F509" s="1" t="s">
        <v>60</v>
      </c>
      <c r="G509" s="1" t="s">
        <v>74</v>
      </c>
      <c r="H509" s="1" t="s">
        <v>82</v>
      </c>
      <c r="I509" s="2" cm="1">
        <f t="array" ref="I5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9" s="2" cm="1">
        <f t="array" ref="J5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9" s="2">
        <f>Games[[#This Row],[DaysOff]]-Games[[#This Row],[OppDaysOff]]</f>
        <v>0</v>
      </c>
      <c r="L509" s="2">
        <f>Games[[#This Row],[OppDaysOff]]-Games[[#This Row],[DaysOff]]</f>
        <v>0</v>
      </c>
      <c r="M509" s="1">
        <f>MAX(-16, MIN(16, Games[[#This Row],[RestDiff]]*8))</f>
        <v>0</v>
      </c>
      <c r="N509" s="1">
        <f>MAX(-16, MIN(16, Games[[#This Row],[OppRestDiff]]*8))</f>
        <v>0</v>
      </c>
      <c r="O509" s="4" cm="1">
        <f t="array" ref="O5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1716.1371066851541</v>
      </c>
      <c r="P509" s="4" cm="1">
        <f t="array" ref="P5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1635.2745511689441</v>
      </c>
      <c r="Q509" s="4">
        <f>1/(1+10^(((Games[[#This Row],[OppPreGmRate]]+IF(Games[[#This Row],[HomeAway]]="A",HCA,0)+Games[[#This Row],[OppRestAdj]])-(Games[[#This Row],[PreGmRate]]+IF(Games[[#This Row],[HomeAway]]="H",HCA,0)+Games[[#This Row],[RestAdj]]))/400))</f>
        <v>0.72091908693036921</v>
      </c>
      <c r="R509" s="1">
        <v>84</v>
      </c>
      <c r="S509" s="1">
        <v>77</v>
      </c>
      <c r="T509" s="1">
        <v>0</v>
      </c>
      <c r="U509" s="1">
        <f>Games[[#This Row],[PointsFor]]-Games[[#This Row],[PointsAgainst]]</f>
        <v>7</v>
      </c>
      <c r="V509" s="1">
        <f>IF(Games[[#This Row],[MOV]]&gt;0,1,IF(Games[[#This Row],[MOV]]=0,0.5,0))</f>
        <v>1</v>
      </c>
      <c r="W509" s="4">
        <f>((ABS(Games[[#This Row],[MOV]])+5)^0.6)/(12+0.01*(ABS(Games[[#This Row],[PreGmRate]]-Games[[#This Row],[OppPreGmRate]])))*IF(Games[[#This Row],[OT]]=1,0.9,1)</f>
        <v>0.34674181478089378</v>
      </c>
      <c r="X509" s="7" cm="1">
        <f t="array" ref="X50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09" s="9">
        <f>MAX(kmin, kmax - 0.15 * MIN(Games[[#This Row],[GamesPlayed]], 82))</f>
        <v>69.25</v>
      </c>
      <c r="Z509" s="4">
        <f>Games[[#This Row],[K]]*Games[[#This Row],[POMult]]</f>
        <v>83.1</v>
      </c>
      <c r="AA509" s="4">
        <f>(Games[[#This Row],[Keff]]*Games[[#This Row],[MOVMult]])*(Games[[#This Row],[Result]]-Games[[#This Row],[ExpectedWin%]])</f>
        <v>8.0415057505100744</v>
      </c>
      <c r="AB509" s="4">
        <f>Games[[#This Row],[PreGmRate]]+Games[[#This Row],[RatingChange]]</f>
        <v>1724.1786124356643</v>
      </c>
      <c r="AC509" s="2">
        <f>IF(Games[[#This Row],[Type]]="R",IF(Games[[#This Row],[Result]]&gt;0.5,1,0),0)</f>
        <v>0</v>
      </c>
      <c r="AD509" s="2">
        <f>IF(Games[[#This Row],[Type]]="R",IF(Games[[#This Row],[Result]]&lt;0.5,1,0),0)</f>
        <v>0</v>
      </c>
      <c r="AE509" s="2">
        <f>IF(AND(Games[[#This Row],[Type]]="P",Games[[#This Row],[Round]]=1),IF(Games[[#This Row],[Result]]&gt;0.5,1,0),0)</f>
        <v>0</v>
      </c>
      <c r="AF509" s="2">
        <f>IF(AND(Games[[#This Row],[Type]]="P",Games[[#This Row],[Round]]=1),IF(Games[[#This Row],[Result]]&lt;0.5,1,0),0)</f>
        <v>0</v>
      </c>
      <c r="AG509" s="2">
        <f>IF(AND(Games[[#This Row],[Type]]="P",Games[[#This Row],[Round]]=2),IF(Games[[#This Row],[Result]]&gt;0.5,1,0),0)</f>
        <v>1</v>
      </c>
      <c r="AH509" s="2">
        <f>IF(AND(Games[[#This Row],[Type]]="P",Games[[#This Row],[Round]]=2),IF(Games[[#This Row],[Result]]&lt;0.5,1,0),0)</f>
        <v>0</v>
      </c>
      <c r="AI509" s="2">
        <f>IF(AND(Games[[#This Row],[Type]]="P",Games[[#This Row],[Round]]=3),IF(Games[[#This Row],[Result]]&gt;0.5,1,0),0)</f>
        <v>0</v>
      </c>
      <c r="AJ509" s="2">
        <f>IF(AND(Games[[#This Row],[Type]]="P",Games[[#This Row],[Round]]=3),IF(Games[[#This Row],[Result]]&lt;0.5,1,0),0)</f>
        <v>0</v>
      </c>
      <c r="AK509" s="2">
        <f>IF(AND(Games[[#This Row],[Type]]="P",Games[[#This Row],[Round]]=4),IF(Games[[#This Row],[Result]]&gt;0.5,1,0),0)</f>
        <v>0</v>
      </c>
      <c r="AL509" s="2">
        <f>IF(AND(Games[[#This Row],[Type]]="P",Games[[#This Row],[Round]]=4),IF(Games[[#This Row],[Result]]&lt;0.5,1,0),0)</f>
        <v>0</v>
      </c>
    </row>
    <row r="510" spans="1:38" x14ac:dyDescent="0.35">
      <c r="A510" s="10">
        <v>45198</v>
      </c>
      <c r="B510" s="2">
        <v>2023</v>
      </c>
      <c r="C510" s="2">
        <f>COUNTIFS(Games[Team],Games[[#This Row],[Team]],Games[Season],Games[[#This Row],[Season]],Games[Date],"&lt;=" &amp; Games[[#This Row],[Date]])</f>
        <v>46</v>
      </c>
      <c r="D510" s="2" t="s">
        <v>83</v>
      </c>
      <c r="E510" s="2">
        <v>2</v>
      </c>
      <c r="F510" s="1" t="s">
        <v>60</v>
      </c>
      <c r="G510" s="1" t="s">
        <v>74</v>
      </c>
      <c r="H510" s="1" t="s">
        <v>81</v>
      </c>
      <c r="I510" s="2" cm="1">
        <f t="array" ref="I510">IFERROR(
    Games[[#This Row],[Date]]
    - LOOKUP(
        2,
        1/((Games[Team]=Games[[#This Row],[Team]]) * (Games[Date] &lt; Games[[#This Row],[Date]])),
        Games[Date]
    )
    - 1,
Games[[#This Row],[Date]]-$A$2)</f>
        <v>2</v>
      </c>
      <c r="J510" s="2" cm="1">
        <f t="array" ref="J5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0" s="2">
        <f>Games[[#This Row],[DaysOff]]-Games[[#This Row],[OppDaysOff]]</f>
        <v>0</v>
      </c>
      <c r="L510" s="2">
        <f>Games[[#This Row],[OppDaysOff]]-Games[[#This Row],[DaysOff]]</f>
        <v>0</v>
      </c>
      <c r="M510" s="1">
        <f>MAX(-16, MIN(16, Games[[#This Row],[RestDiff]]*8))</f>
        <v>0</v>
      </c>
      <c r="N510" s="1">
        <f>MAX(-16, MIN(16, Games[[#This Row],[OppRestDiff]]*8))</f>
        <v>0</v>
      </c>
      <c r="O510" s="4" cm="1">
        <f t="array" ref="O5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1724.1786124356643</v>
      </c>
      <c r="P510" s="4" cm="1">
        <f t="array" ref="P5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1627.2330454184339</v>
      </c>
      <c r="Q510" s="4">
        <f>1/(1+10^(((Games[[#This Row],[OppPreGmRate]]+IF(Games[[#This Row],[HomeAway]]="A",HCA,0)+Games[[#This Row],[OppRestAdj]])-(Games[[#This Row],[PreGmRate]]+IF(Games[[#This Row],[HomeAway]]="H",HCA,0)+Games[[#This Row],[RestAdj]]))/400))</f>
        <v>0.5186215516824203</v>
      </c>
      <c r="R510" s="1">
        <v>92</v>
      </c>
      <c r="S510" s="1">
        <v>81</v>
      </c>
      <c r="T510" s="1">
        <v>0</v>
      </c>
      <c r="U510" s="1">
        <f>Games[[#This Row],[PointsFor]]-Games[[#This Row],[PointsAgainst]]</f>
        <v>11</v>
      </c>
      <c r="V510" s="1">
        <f>IF(Games[[#This Row],[MOV]]&gt;0,1,IF(Games[[#This Row],[MOV]]=0,0.5,0))</f>
        <v>1</v>
      </c>
      <c r="W510" s="4">
        <f>((ABS(Games[[#This Row],[MOV]])+5)^0.6)/(12+0.01*(ABS(Games[[#This Row],[PreGmRate]]-Games[[#This Row],[OppPreGmRate]])))*IF(Games[[#This Row],[OT]]=1,0.9,1)</f>
        <v>0.40695860931389854</v>
      </c>
      <c r="X510" s="7" cm="1">
        <f t="array" ref="X51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10" s="9">
        <f>MAX(kmin, kmax - 0.15 * MIN(Games[[#This Row],[GamesPlayed]], 82))</f>
        <v>69.099999999999994</v>
      </c>
      <c r="Z510" s="4">
        <f>Games[[#This Row],[K]]*Games[[#This Row],[POMult]]</f>
        <v>82.919999999999987</v>
      </c>
      <c r="AA510" s="4">
        <f>(Games[[#This Row],[Keff]]*Games[[#This Row],[MOVMult]])*(Games[[#This Row],[Result]]-Games[[#This Row],[ExpectedWin%]])</f>
        <v>16.244119533812903</v>
      </c>
      <c r="AB510" s="4">
        <f>Games[[#This Row],[PreGmRate]]+Games[[#This Row],[RatingChange]]</f>
        <v>1740.4227319694771</v>
      </c>
      <c r="AC510" s="2">
        <f>IF(Games[[#This Row],[Type]]="R",IF(Games[[#This Row],[Result]]&gt;0.5,1,0),0)</f>
        <v>0</v>
      </c>
      <c r="AD510" s="2">
        <f>IF(Games[[#This Row],[Type]]="R",IF(Games[[#This Row],[Result]]&lt;0.5,1,0),0)</f>
        <v>0</v>
      </c>
      <c r="AE510" s="2">
        <f>IF(AND(Games[[#This Row],[Type]]="P",Games[[#This Row],[Round]]=1),IF(Games[[#This Row],[Result]]&gt;0.5,1,0),0)</f>
        <v>0</v>
      </c>
      <c r="AF510" s="2">
        <f>IF(AND(Games[[#This Row],[Type]]="P",Games[[#This Row],[Round]]=1),IF(Games[[#This Row],[Result]]&lt;0.5,1,0),0)</f>
        <v>0</v>
      </c>
      <c r="AG510" s="2">
        <f>IF(AND(Games[[#This Row],[Type]]="P",Games[[#This Row],[Round]]=2),IF(Games[[#This Row],[Result]]&gt;0.5,1,0),0)</f>
        <v>1</v>
      </c>
      <c r="AH510" s="2">
        <f>IF(AND(Games[[#This Row],[Type]]="P",Games[[#This Row],[Round]]=2),IF(Games[[#This Row],[Result]]&lt;0.5,1,0),0)</f>
        <v>0</v>
      </c>
      <c r="AI510" s="2">
        <f>IF(AND(Games[[#This Row],[Type]]="P",Games[[#This Row],[Round]]=3),IF(Games[[#This Row],[Result]]&gt;0.5,1,0),0)</f>
        <v>0</v>
      </c>
      <c r="AJ510" s="2">
        <f>IF(AND(Games[[#This Row],[Type]]="P",Games[[#This Row],[Round]]=3),IF(Games[[#This Row],[Result]]&lt;0.5,1,0),0)</f>
        <v>0</v>
      </c>
      <c r="AK510" s="2">
        <f>IF(AND(Games[[#This Row],[Type]]="P",Games[[#This Row],[Round]]=4),IF(Games[[#This Row],[Result]]&gt;0.5,1,0),0)</f>
        <v>0</v>
      </c>
      <c r="AL510" s="2">
        <f>IF(AND(Games[[#This Row],[Type]]="P",Games[[#This Row],[Round]]=4),IF(Games[[#This Row],[Result]]&lt;0.5,1,0),0)</f>
        <v>0</v>
      </c>
    </row>
    <row r="511" spans="1:38" x14ac:dyDescent="0.35">
      <c r="A511" s="10">
        <v>45198</v>
      </c>
      <c r="B511" s="2">
        <v>2023</v>
      </c>
      <c r="C511" s="2">
        <f>COUNTIFS(Games[Team],Games[[#This Row],[Team]],Games[Season],Games[[#This Row],[Season]],Games[Date],"&lt;=" &amp; Games[[#This Row],[Date]])</f>
        <v>46</v>
      </c>
      <c r="D511" s="2" t="s">
        <v>83</v>
      </c>
      <c r="E511" s="2">
        <v>2</v>
      </c>
      <c r="F511" s="1" t="s">
        <v>74</v>
      </c>
      <c r="G511" s="1" t="s">
        <v>60</v>
      </c>
      <c r="H511" s="1" t="s">
        <v>82</v>
      </c>
      <c r="I511" s="2" cm="1">
        <f t="array" ref="I5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511" s="2" cm="1">
        <f t="array" ref="J51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1" s="2">
        <f>Games[[#This Row],[DaysOff]]-Games[[#This Row],[OppDaysOff]]</f>
        <v>0</v>
      </c>
      <c r="L511" s="2">
        <f>Games[[#This Row],[OppDaysOff]]-Games[[#This Row],[DaysOff]]</f>
        <v>0</v>
      </c>
      <c r="M511" s="1">
        <f>MAX(-16, MIN(16, Games[[#This Row],[RestDiff]]*8))</f>
        <v>0</v>
      </c>
      <c r="N511" s="1">
        <f>MAX(-16, MIN(16, Games[[#This Row],[OppRestDiff]]*8))</f>
        <v>0</v>
      </c>
      <c r="O511" s="4" cm="1">
        <f t="array" ref="O5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1627.2330454184339</v>
      </c>
      <c r="P511" s="4" cm="1">
        <f t="array" ref="P5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1724.1786124356643</v>
      </c>
      <c r="Q511" s="4">
        <f>1/(1+10^(((Games[[#This Row],[OppPreGmRate]]+IF(Games[[#This Row],[HomeAway]]="A",HCA,0)+Games[[#This Row],[OppRestAdj]])-(Games[[#This Row],[PreGmRate]]+IF(Games[[#This Row],[HomeAway]]="H",HCA,0)+Games[[#This Row],[RestAdj]]))/400))</f>
        <v>0.4813784483175797</v>
      </c>
      <c r="R511" s="1">
        <v>81</v>
      </c>
      <c r="S511" s="1">
        <v>92</v>
      </c>
      <c r="T511" s="1">
        <v>0</v>
      </c>
      <c r="U511" s="1">
        <f>Games[[#This Row],[PointsFor]]-Games[[#This Row],[PointsAgainst]]</f>
        <v>-11</v>
      </c>
      <c r="V511" s="1">
        <f>IF(Games[[#This Row],[MOV]]&gt;0,1,IF(Games[[#This Row],[MOV]]=0,0.5,0))</f>
        <v>0</v>
      </c>
      <c r="W511" s="4">
        <f>((ABS(Games[[#This Row],[MOV]])+5)^0.6)/(12+0.01*(ABS(Games[[#This Row],[PreGmRate]]-Games[[#This Row],[OppPreGmRate]])))*IF(Games[[#This Row],[OT]]=1,0.9,1)</f>
        <v>0.40695860931389854</v>
      </c>
      <c r="X511" s="7" cm="1">
        <f t="array" ref="X51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11" s="9">
        <f>MAX(kmin, kmax - 0.15 * MIN(Games[[#This Row],[GamesPlayed]], 82))</f>
        <v>69.099999999999994</v>
      </c>
      <c r="Z511" s="4">
        <f>Games[[#This Row],[K]]*Games[[#This Row],[POMult]]</f>
        <v>82.919999999999987</v>
      </c>
      <c r="AA511" s="4">
        <f>(Games[[#This Row],[Keff]]*Games[[#This Row],[MOVMult]])*(Games[[#This Row],[Result]]-Games[[#This Row],[ExpectedWin%]])</f>
        <v>-16.244119533812903</v>
      </c>
      <c r="AB511" s="4">
        <f>Games[[#This Row],[PreGmRate]]+Games[[#This Row],[RatingChange]]</f>
        <v>1610.988925884621</v>
      </c>
      <c r="AC511" s="2">
        <f>IF(Games[[#This Row],[Type]]="R",IF(Games[[#This Row],[Result]]&gt;0.5,1,0),0)</f>
        <v>0</v>
      </c>
      <c r="AD511" s="2">
        <f>IF(Games[[#This Row],[Type]]="R",IF(Games[[#This Row],[Result]]&lt;0.5,1,0),0)</f>
        <v>0</v>
      </c>
      <c r="AE511" s="2">
        <f>IF(AND(Games[[#This Row],[Type]]="P",Games[[#This Row],[Round]]=1),IF(Games[[#This Row],[Result]]&gt;0.5,1,0),0)</f>
        <v>0</v>
      </c>
      <c r="AF511" s="2">
        <f>IF(AND(Games[[#This Row],[Type]]="P",Games[[#This Row],[Round]]=1),IF(Games[[#This Row],[Result]]&lt;0.5,1,0),0)</f>
        <v>0</v>
      </c>
      <c r="AG511" s="2">
        <f>IF(AND(Games[[#This Row],[Type]]="P",Games[[#This Row],[Round]]=2),IF(Games[[#This Row],[Result]]&gt;0.5,1,0),0)</f>
        <v>0</v>
      </c>
      <c r="AH511" s="2">
        <f>IF(AND(Games[[#This Row],[Type]]="P",Games[[#This Row],[Round]]=2),IF(Games[[#This Row],[Result]]&lt;0.5,1,0),0)</f>
        <v>1</v>
      </c>
      <c r="AI511" s="2">
        <f>IF(AND(Games[[#This Row],[Type]]="P",Games[[#This Row],[Round]]=3),IF(Games[[#This Row],[Result]]&gt;0.5,1,0),0)</f>
        <v>0</v>
      </c>
      <c r="AJ511" s="2">
        <f>IF(AND(Games[[#This Row],[Type]]="P",Games[[#This Row],[Round]]=3),IF(Games[[#This Row],[Result]]&lt;0.5,1,0),0)</f>
        <v>0</v>
      </c>
      <c r="AK511" s="2">
        <f>IF(AND(Games[[#This Row],[Type]]="P",Games[[#This Row],[Round]]=4),IF(Games[[#This Row],[Result]]&gt;0.5,1,0),0)</f>
        <v>0</v>
      </c>
      <c r="AL511" s="2">
        <f>IF(AND(Games[[#This Row],[Type]]="P",Games[[#This Row],[Round]]=4),IF(Games[[#This Row],[Result]]&lt;0.5,1,0),0)</f>
        <v>0</v>
      </c>
    </row>
    <row r="512" spans="1:38" x14ac:dyDescent="0.35">
      <c r="A512" s="10">
        <v>45198</v>
      </c>
      <c r="B512" s="2">
        <v>2023</v>
      </c>
      <c r="C512" s="2">
        <f>COUNTIFS(Games[Team],Games[[#This Row],[Team]],Games[Season],Games[[#This Row],[Season]],Games[Date],"&lt;=" &amp; Games[[#This Row],[Date]])</f>
        <v>46</v>
      </c>
      <c r="D512" s="2" t="s">
        <v>83</v>
      </c>
      <c r="E512" s="2">
        <v>2</v>
      </c>
      <c r="F512" s="1" t="s">
        <v>86</v>
      </c>
      <c r="G512" s="1" t="s">
        <v>85</v>
      </c>
      <c r="H512" s="1" t="s">
        <v>81</v>
      </c>
      <c r="I512" s="2" cm="1">
        <f t="array" ref="I5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512" s="2" cm="1">
        <f t="array" ref="J5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2" s="2">
        <f>Games[[#This Row],[DaysOff]]-Games[[#This Row],[OppDaysOff]]</f>
        <v>0</v>
      </c>
      <c r="L512" s="2">
        <f>Games[[#This Row],[OppDaysOff]]-Games[[#This Row],[DaysOff]]</f>
        <v>0</v>
      </c>
      <c r="M512" s="1">
        <f>MAX(-16, MIN(16, Games[[#This Row],[RestDiff]]*8))</f>
        <v>0</v>
      </c>
      <c r="N512" s="1">
        <f>MAX(-16, MIN(16, Games[[#This Row],[OppRestDiff]]*8))</f>
        <v>0</v>
      </c>
      <c r="O512" s="4" cm="1">
        <f t="array" ref="O5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1736.7105162161279</v>
      </c>
      <c r="P512" s="4" cm="1">
        <f t="array" ref="P5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1568.8020358150409</v>
      </c>
      <c r="Q512" s="4">
        <f>1/(1+10^(((Games[[#This Row],[OppPreGmRate]]+IF(Games[[#This Row],[HomeAway]]="A",HCA,0)+Games[[#This Row],[OppRestAdj]])-(Games[[#This Row],[PreGmRate]]+IF(Games[[#This Row],[HomeAway]]="H",HCA,0)+Games[[#This Row],[RestAdj]]))/400))</f>
        <v>0.61845981540977968</v>
      </c>
      <c r="R512" s="1">
        <v>64</v>
      </c>
      <c r="S512" s="1">
        <v>61</v>
      </c>
      <c r="T512" s="1">
        <v>0</v>
      </c>
      <c r="U512" s="1">
        <f>Games[[#This Row],[PointsFor]]-Games[[#This Row],[PointsAgainst]]</f>
        <v>3</v>
      </c>
      <c r="V512" s="1">
        <f>IF(Games[[#This Row],[MOV]]&gt;0,1,IF(Games[[#This Row],[MOV]]=0,0.5,0))</f>
        <v>1</v>
      </c>
      <c r="W512" s="4">
        <f>((ABS(Games[[#This Row],[MOV]])+5)^0.6)/(12+0.01*(ABS(Games[[#This Row],[PreGmRate]]-Games[[#This Row],[OppPreGmRate]])))*IF(Games[[#This Row],[OT]]=1,0.9,1)</f>
        <v>0.25456397873660913</v>
      </c>
      <c r="X512" s="7" cm="1">
        <f t="array" ref="X51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12" s="9">
        <f>MAX(kmin, kmax - 0.15 * MIN(Games[[#This Row],[GamesPlayed]], 82))</f>
        <v>69.099999999999994</v>
      </c>
      <c r="Z512" s="4">
        <f>Games[[#This Row],[K]]*Games[[#This Row],[POMult]]</f>
        <v>82.919999999999987</v>
      </c>
      <c r="AA512" s="4">
        <f>(Games[[#This Row],[Keff]]*Games[[#This Row],[MOVMult]])*(Games[[#This Row],[Result]]-Games[[#This Row],[ExpectedWin%]])</f>
        <v>8.0537200462915255</v>
      </c>
      <c r="AB512" s="4">
        <f>Games[[#This Row],[PreGmRate]]+Games[[#This Row],[RatingChange]]</f>
        <v>1744.7642362624194</v>
      </c>
      <c r="AC512" s="2">
        <f>IF(Games[[#This Row],[Type]]="R",IF(Games[[#This Row],[Result]]&gt;0.5,1,0),0)</f>
        <v>0</v>
      </c>
      <c r="AD512" s="2">
        <f>IF(Games[[#This Row],[Type]]="R",IF(Games[[#This Row],[Result]]&lt;0.5,1,0),0)</f>
        <v>0</v>
      </c>
      <c r="AE512" s="2">
        <f>IF(AND(Games[[#This Row],[Type]]="P",Games[[#This Row],[Round]]=1),IF(Games[[#This Row],[Result]]&gt;0.5,1,0),0)</f>
        <v>0</v>
      </c>
      <c r="AF512" s="2">
        <f>IF(AND(Games[[#This Row],[Type]]="P",Games[[#This Row],[Round]]=1),IF(Games[[#This Row],[Result]]&lt;0.5,1,0),0)</f>
        <v>0</v>
      </c>
      <c r="AG512" s="2">
        <f>IF(AND(Games[[#This Row],[Type]]="P",Games[[#This Row],[Round]]=2),IF(Games[[#This Row],[Result]]&gt;0.5,1,0),0)</f>
        <v>1</v>
      </c>
      <c r="AH512" s="2">
        <f>IF(AND(Games[[#This Row],[Type]]="P",Games[[#This Row],[Round]]=2),IF(Games[[#This Row],[Result]]&lt;0.5,1,0),0)</f>
        <v>0</v>
      </c>
      <c r="AI512" s="2">
        <f>IF(AND(Games[[#This Row],[Type]]="P",Games[[#This Row],[Round]]=3),IF(Games[[#This Row],[Result]]&gt;0.5,1,0),0)</f>
        <v>0</v>
      </c>
      <c r="AJ512" s="2">
        <f>IF(AND(Games[[#This Row],[Type]]="P",Games[[#This Row],[Round]]=3),IF(Games[[#This Row],[Result]]&lt;0.5,1,0),0)</f>
        <v>0</v>
      </c>
      <c r="AK512" s="2">
        <f>IF(AND(Games[[#This Row],[Type]]="P",Games[[#This Row],[Round]]=4),IF(Games[[#This Row],[Result]]&gt;0.5,1,0),0)</f>
        <v>0</v>
      </c>
      <c r="AL512" s="2">
        <f>IF(AND(Games[[#This Row],[Type]]="P",Games[[#This Row],[Round]]=4),IF(Games[[#This Row],[Result]]&lt;0.5,1,0),0)</f>
        <v>0</v>
      </c>
    </row>
    <row r="513" spans="1:38" x14ac:dyDescent="0.35">
      <c r="A513" s="10">
        <v>45198</v>
      </c>
      <c r="B513" s="2">
        <v>2023</v>
      </c>
      <c r="C513" s="2">
        <f>COUNTIFS(Games[Team],Games[[#This Row],[Team]],Games[Season],Games[[#This Row],[Season]],Games[Date],"&lt;=" &amp; Games[[#This Row],[Date]])</f>
        <v>45</v>
      </c>
      <c r="D513" s="2" t="s">
        <v>83</v>
      </c>
      <c r="E513" s="2">
        <v>2</v>
      </c>
      <c r="F513" s="1" t="s">
        <v>85</v>
      </c>
      <c r="G513" s="1" t="s">
        <v>86</v>
      </c>
      <c r="H513" s="1" t="s">
        <v>82</v>
      </c>
      <c r="I513" s="2" cm="1">
        <f t="array" ref="I5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513" s="2" cm="1">
        <f t="array" ref="J5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3" s="2">
        <f>Games[[#This Row],[DaysOff]]-Games[[#This Row],[OppDaysOff]]</f>
        <v>0</v>
      </c>
      <c r="L513" s="2">
        <f>Games[[#This Row],[OppDaysOff]]-Games[[#This Row],[DaysOff]]</f>
        <v>0</v>
      </c>
      <c r="M513" s="1">
        <f>MAX(-16, MIN(16, Games[[#This Row],[RestDiff]]*8))</f>
        <v>0</v>
      </c>
      <c r="N513" s="1">
        <f>MAX(-16, MIN(16, Games[[#This Row],[OppRestDiff]]*8))</f>
        <v>0</v>
      </c>
      <c r="O513" s="4" cm="1">
        <f t="array" ref="O5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1568.8020358150409</v>
      </c>
      <c r="P513" s="4" cm="1">
        <f t="array" ref="P5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1736.7105162161279</v>
      </c>
      <c r="Q513" s="4">
        <f>1/(1+10^(((Games[[#This Row],[OppPreGmRate]]+IF(Games[[#This Row],[HomeAway]]="A",HCA,0)+Games[[#This Row],[OppRestAdj]])-(Games[[#This Row],[PreGmRate]]+IF(Games[[#This Row],[HomeAway]]="H",HCA,0)+Games[[#This Row],[RestAdj]]))/400))</f>
        <v>0.38154018459022021</v>
      </c>
      <c r="R513" s="1">
        <v>61</v>
      </c>
      <c r="S513" s="1">
        <v>64</v>
      </c>
      <c r="T513" s="1">
        <v>0</v>
      </c>
      <c r="U513" s="1">
        <f>Games[[#This Row],[PointsFor]]-Games[[#This Row],[PointsAgainst]]</f>
        <v>-3</v>
      </c>
      <c r="V513" s="1">
        <f>IF(Games[[#This Row],[MOV]]&gt;0,1,IF(Games[[#This Row],[MOV]]=0,0.5,0))</f>
        <v>0</v>
      </c>
      <c r="W513" s="4">
        <f>((ABS(Games[[#This Row],[MOV]])+5)^0.6)/(12+0.01*(ABS(Games[[#This Row],[PreGmRate]]-Games[[#This Row],[OppPreGmRate]])))*IF(Games[[#This Row],[OT]]=1,0.9,1)</f>
        <v>0.25456397873660913</v>
      </c>
      <c r="X513" s="7" cm="1">
        <f t="array" ref="X51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13" s="9">
        <f>MAX(kmin, kmax - 0.15 * MIN(Games[[#This Row],[GamesPlayed]], 82))</f>
        <v>69.25</v>
      </c>
      <c r="Z513" s="4">
        <f>Games[[#This Row],[K]]*Games[[#This Row],[POMult]]</f>
        <v>83.1</v>
      </c>
      <c r="AA513" s="4">
        <f>(Games[[#This Row],[Keff]]*Games[[#This Row],[MOVMult]])*(Games[[#This Row],[Result]]-Games[[#This Row],[ExpectedWin%]])</f>
        <v>-8.0712027960302173</v>
      </c>
      <c r="AB513" s="4">
        <f>Games[[#This Row],[PreGmRate]]+Games[[#This Row],[RatingChange]]</f>
        <v>1560.7308330190106</v>
      </c>
      <c r="AC513" s="2">
        <f>IF(Games[[#This Row],[Type]]="R",IF(Games[[#This Row],[Result]]&gt;0.5,1,0),0)</f>
        <v>0</v>
      </c>
      <c r="AD513" s="2">
        <f>IF(Games[[#This Row],[Type]]="R",IF(Games[[#This Row],[Result]]&lt;0.5,1,0),0)</f>
        <v>0</v>
      </c>
      <c r="AE513" s="2">
        <f>IF(AND(Games[[#This Row],[Type]]="P",Games[[#This Row],[Round]]=1),IF(Games[[#This Row],[Result]]&gt;0.5,1,0),0)</f>
        <v>0</v>
      </c>
      <c r="AF513" s="2">
        <f>IF(AND(Games[[#This Row],[Type]]="P",Games[[#This Row],[Round]]=1),IF(Games[[#This Row],[Result]]&lt;0.5,1,0),0)</f>
        <v>0</v>
      </c>
      <c r="AG513" s="2">
        <f>IF(AND(Games[[#This Row],[Type]]="P",Games[[#This Row],[Round]]=2),IF(Games[[#This Row],[Result]]&gt;0.5,1,0),0)</f>
        <v>0</v>
      </c>
      <c r="AH513" s="2">
        <f>IF(AND(Games[[#This Row],[Type]]="P",Games[[#This Row],[Round]]=2),IF(Games[[#This Row],[Result]]&lt;0.5,1,0),0)</f>
        <v>1</v>
      </c>
      <c r="AI513" s="2">
        <f>IF(AND(Games[[#This Row],[Type]]="P",Games[[#This Row],[Round]]=3),IF(Games[[#This Row],[Result]]&gt;0.5,1,0),0)</f>
        <v>0</v>
      </c>
      <c r="AJ513" s="2">
        <f>IF(AND(Games[[#This Row],[Type]]="P",Games[[#This Row],[Round]]=3),IF(Games[[#This Row],[Result]]&lt;0.5,1,0),0)</f>
        <v>0</v>
      </c>
      <c r="AK513" s="2">
        <f>IF(AND(Games[[#This Row],[Type]]="P",Games[[#This Row],[Round]]=4),IF(Games[[#This Row],[Result]]&gt;0.5,1,0),0)</f>
        <v>0</v>
      </c>
      <c r="AL513" s="2">
        <f>IF(AND(Games[[#This Row],[Type]]="P",Games[[#This Row],[Round]]=4),IF(Games[[#This Row],[Result]]&lt;0.5,1,0),0)</f>
        <v>0</v>
      </c>
    </row>
    <row r="514" spans="1:38" x14ac:dyDescent="0.35">
      <c r="A514" s="10">
        <v>45200</v>
      </c>
      <c r="B514" s="2">
        <v>2023</v>
      </c>
      <c r="C514" s="2">
        <f>COUNTIFS(Games[Team],Games[[#This Row],[Team]],Games[Season],Games[[#This Row],[Season]],Games[Date],"&lt;=" &amp; Games[[#This Row],[Date]])</f>
        <v>47</v>
      </c>
      <c r="D514" s="2" t="s">
        <v>83</v>
      </c>
      <c r="E514" s="2">
        <v>2</v>
      </c>
      <c r="F514" s="1" t="s">
        <v>60</v>
      </c>
      <c r="G514" s="1" t="s">
        <v>74</v>
      </c>
      <c r="H514" s="1" t="s">
        <v>81</v>
      </c>
      <c r="I514" s="2" cm="1">
        <f t="array" ref="I5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4" s="2" cm="1">
        <f t="array" ref="J5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4" s="2">
        <f>Games[[#This Row],[DaysOff]]-Games[[#This Row],[OppDaysOff]]</f>
        <v>0</v>
      </c>
      <c r="L514" s="2">
        <f>Games[[#This Row],[OppDaysOff]]-Games[[#This Row],[DaysOff]]</f>
        <v>0</v>
      </c>
      <c r="M514" s="1">
        <f>MAX(-16, MIN(16, Games[[#This Row],[RestDiff]]*8))</f>
        <v>0</v>
      </c>
      <c r="N514" s="1">
        <f>MAX(-16, MIN(16, Games[[#This Row],[OppRestDiff]]*8))</f>
        <v>0</v>
      </c>
      <c r="O514" s="4" cm="1">
        <f t="array" ref="O5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1740.4227319694771</v>
      </c>
      <c r="P514" s="4" cm="1">
        <f t="array" ref="P5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1610.988925884621</v>
      </c>
      <c r="Q514" s="4">
        <f>1/(1+10^(((Games[[#This Row],[OppPreGmRate]]+IF(Games[[#This Row],[HomeAway]]="A",HCA,0)+Games[[#This Row],[OppRestAdj]])-(Games[[#This Row],[PreGmRate]]+IF(Games[[#This Row],[HomeAway]]="H",HCA,0)+Games[[#This Row],[RestAdj]]))/400))</f>
        <v>0.56501433144590618</v>
      </c>
      <c r="R514" s="1">
        <v>87</v>
      </c>
      <c r="S514" s="1">
        <v>84</v>
      </c>
      <c r="T514" s="1">
        <v>0</v>
      </c>
      <c r="U514" s="1">
        <f>Games[[#This Row],[PointsFor]]-Games[[#This Row],[PointsAgainst]]</f>
        <v>3</v>
      </c>
      <c r="V514" s="1">
        <f>IF(Games[[#This Row],[MOV]]&gt;0,1,IF(Games[[#This Row],[MOV]]=0,0.5,0))</f>
        <v>1</v>
      </c>
      <c r="W514" s="4">
        <f>((ABS(Games[[#This Row],[MOV]])+5)^0.6)/(12+0.01*(ABS(Games[[#This Row],[PreGmRate]]-Games[[#This Row],[OppPreGmRate]])))*IF(Games[[#This Row],[OT]]=1,0.9,1)</f>
        <v>0.26193122495052845</v>
      </c>
      <c r="X514" s="7" cm="1">
        <f t="array" ref="X51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14" s="9">
        <f>MAX(kmin, kmax - 0.15 * MIN(Games[[#This Row],[GamesPlayed]], 82))</f>
        <v>68.95</v>
      </c>
      <c r="Z514" s="4">
        <f>Games[[#This Row],[K]]*Games[[#This Row],[POMult]]</f>
        <v>82.74</v>
      </c>
      <c r="AA514" s="4">
        <f>(Games[[#This Row],[Keff]]*Games[[#This Row],[MOVMult]])*(Games[[#This Row],[Result]]-Games[[#This Row],[ExpectedWin%]])</f>
        <v>9.427091861484687</v>
      </c>
      <c r="AB514" s="4">
        <f>Games[[#This Row],[PreGmRate]]+Games[[#This Row],[RatingChange]]</f>
        <v>1749.8498238309619</v>
      </c>
      <c r="AC514" s="2">
        <f>IF(Games[[#This Row],[Type]]="R",IF(Games[[#This Row],[Result]]&gt;0.5,1,0),0)</f>
        <v>0</v>
      </c>
      <c r="AD514" s="2">
        <f>IF(Games[[#This Row],[Type]]="R",IF(Games[[#This Row],[Result]]&lt;0.5,1,0),0)</f>
        <v>0</v>
      </c>
      <c r="AE514" s="2">
        <f>IF(AND(Games[[#This Row],[Type]]="P",Games[[#This Row],[Round]]=1),IF(Games[[#This Row],[Result]]&gt;0.5,1,0),0)</f>
        <v>0</v>
      </c>
      <c r="AF514" s="2">
        <f>IF(AND(Games[[#This Row],[Type]]="P",Games[[#This Row],[Round]]=1),IF(Games[[#This Row],[Result]]&lt;0.5,1,0),0)</f>
        <v>0</v>
      </c>
      <c r="AG514" s="2">
        <f>IF(AND(Games[[#This Row],[Type]]="P",Games[[#This Row],[Round]]=2),IF(Games[[#This Row],[Result]]&gt;0.5,1,0),0)</f>
        <v>1</v>
      </c>
      <c r="AH514" s="2">
        <f>IF(AND(Games[[#This Row],[Type]]="P",Games[[#This Row],[Round]]=2),IF(Games[[#This Row],[Result]]&lt;0.5,1,0),0)</f>
        <v>0</v>
      </c>
      <c r="AI514" s="2">
        <f>IF(AND(Games[[#This Row],[Type]]="P",Games[[#This Row],[Round]]=3),IF(Games[[#This Row],[Result]]&gt;0.5,1,0),0)</f>
        <v>0</v>
      </c>
      <c r="AJ514" s="2">
        <f>IF(AND(Games[[#This Row],[Type]]="P",Games[[#This Row],[Round]]=3),IF(Games[[#This Row],[Result]]&lt;0.5,1,0),0)</f>
        <v>0</v>
      </c>
      <c r="AK514" s="2">
        <f>IF(AND(Games[[#This Row],[Type]]="P",Games[[#This Row],[Round]]=4),IF(Games[[#This Row],[Result]]&gt;0.5,1,0),0)</f>
        <v>0</v>
      </c>
      <c r="AL514" s="2">
        <f>IF(AND(Games[[#This Row],[Type]]="P",Games[[#This Row],[Round]]=4),IF(Games[[#This Row],[Result]]&lt;0.5,1,0),0)</f>
        <v>0</v>
      </c>
    </row>
    <row r="515" spans="1:38" x14ac:dyDescent="0.35">
      <c r="A515" s="10">
        <v>45200</v>
      </c>
      <c r="B515" s="2">
        <v>2023</v>
      </c>
      <c r="C515" s="2">
        <f>COUNTIFS(Games[Team],Games[[#This Row],[Team]],Games[Season],Games[[#This Row],[Season]],Games[Date],"&lt;=" &amp; Games[[#This Row],[Date]])</f>
        <v>47</v>
      </c>
      <c r="D515" s="2" t="s">
        <v>83</v>
      </c>
      <c r="E515" s="2">
        <v>2</v>
      </c>
      <c r="F515" s="1" t="s">
        <v>74</v>
      </c>
      <c r="G515" s="1" t="s">
        <v>60</v>
      </c>
      <c r="H515" s="1" t="s">
        <v>82</v>
      </c>
      <c r="I515" s="2" cm="1">
        <f t="array" ref="I5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5" s="2" cm="1">
        <f t="array" ref="J5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5" s="2">
        <f>Games[[#This Row],[DaysOff]]-Games[[#This Row],[OppDaysOff]]</f>
        <v>0</v>
      </c>
      <c r="L515" s="2">
        <f>Games[[#This Row],[OppDaysOff]]-Games[[#This Row],[DaysOff]]</f>
        <v>0</v>
      </c>
      <c r="M515" s="1">
        <f>MAX(-16, MIN(16, Games[[#This Row],[RestDiff]]*8))</f>
        <v>0</v>
      </c>
      <c r="N515" s="1">
        <f>MAX(-16, MIN(16, Games[[#This Row],[OppRestDiff]]*8))</f>
        <v>0</v>
      </c>
      <c r="O515" s="4" cm="1">
        <f t="array" ref="O5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1610.988925884621</v>
      </c>
      <c r="P515" s="4" cm="1">
        <f t="array" ref="P5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1740.4227319694771</v>
      </c>
      <c r="Q515" s="4">
        <f>1/(1+10^(((Games[[#This Row],[OppPreGmRate]]+IF(Games[[#This Row],[HomeAway]]="A",HCA,0)+Games[[#This Row],[OppRestAdj]])-(Games[[#This Row],[PreGmRate]]+IF(Games[[#This Row],[HomeAway]]="H",HCA,0)+Games[[#This Row],[RestAdj]]))/400))</f>
        <v>0.43498566855409382</v>
      </c>
      <c r="R515" s="1">
        <v>84</v>
      </c>
      <c r="S515" s="1">
        <v>87</v>
      </c>
      <c r="T515" s="1">
        <v>0</v>
      </c>
      <c r="U515" s="1">
        <f>Games[[#This Row],[PointsFor]]-Games[[#This Row],[PointsAgainst]]</f>
        <v>-3</v>
      </c>
      <c r="V515" s="1">
        <f>IF(Games[[#This Row],[MOV]]&gt;0,1,IF(Games[[#This Row],[MOV]]=0,0.5,0))</f>
        <v>0</v>
      </c>
      <c r="W515" s="4">
        <f>((ABS(Games[[#This Row],[MOV]])+5)^0.6)/(12+0.01*(ABS(Games[[#This Row],[PreGmRate]]-Games[[#This Row],[OppPreGmRate]])))*IF(Games[[#This Row],[OT]]=1,0.9,1)</f>
        <v>0.26193122495052845</v>
      </c>
      <c r="X515" s="7" cm="1">
        <f t="array" ref="X51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15" s="9">
        <f>MAX(kmin, kmax - 0.15 * MIN(Games[[#This Row],[GamesPlayed]], 82))</f>
        <v>68.95</v>
      </c>
      <c r="Z515" s="4">
        <f>Games[[#This Row],[K]]*Games[[#This Row],[POMult]]</f>
        <v>82.74</v>
      </c>
      <c r="AA515" s="4">
        <f>(Games[[#This Row],[Keff]]*Games[[#This Row],[MOVMult]])*(Games[[#This Row],[Result]]-Games[[#This Row],[ExpectedWin%]])</f>
        <v>-9.427091861484687</v>
      </c>
      <c r="AB515" s="4">
        <f>Games[[#This Row],[PreGmRate]]+Games[[#This Row],[RatingChange]]</f>
        <v>1601.5618340231363</v>
      </c>
      <c r="AC515" s="2">
        <f>IF(Games[[#This Row],[Type]]="R",IF(Games[[#This Row],[Result]]&gt;0.5,1,0),0)</f>
        <v>0</v>
      </c>
      <c r="AD515" s="2">
        <f>IF(Games[[#This Row],[Type]]="R",IF(Games[[#This Row],[Result]]&lt;0.5,1,0),0)</f>
        <v>0</v>
      </c>
      <c r="AE515" s="2">
        <f>IF(AND(Games[[#This Row],[Type]]="P",Games[[#This Row],[Round]]=1),IF(Games[[#This Row],[Result]]&gt;0.5,1,0),0)</f>
        <v>0</v>
      </c>
      <c r="AF515" s="2">
        <f>IF(AND(Games[[#This Row],[Type]]="P",Games[[#This Row],[Round]]=1),IF(Games[[#This Row],[Result]]&lt;0.5,1,0),0)</f>
        <v>0</v>
      </c>
      <c r="AG515" s="2">
        <f>IF(AND(Games[[#This Row],[Type]]="P",Games[[#This Row],[Round]]=2),IF(Games[[#This Row],[Result]]&gt;0.5,1,0),0)</f>
        <v>0</v>
      </c>
      <c r="AH515" s="2">
        <f>IF(AND(Games[[#This Row],[Type]]="P",Games[[#This Row],[Round]]=2),IF(Games[[#This Row],[Result]]&lt;0.5,1,0),0)</f>
        <v>1</v>
      </c>
      <c r="AI515" s="2">
        <f>IF(AND(Games[[#This Row],[Type]]="P",Games[[#This Row],[Round]]=3),IF(Games[[#This Row],[Result]]&gt;0.5,1,0),0)</f>
        <v>0</v>
      </c>
      <c r="AJ515" s="2">
        <f>IF(AND(Games[[#This Row],[Type]]="P",Games[[#This Row],[Round]]=3),IF(Games[[#This Row],[Result]]&lt;0.5,1,0),0)</f>
        <v>0</v>
      </c>
      <c r="AK515" s="2">
        <f>IF(AND(Games[[#This Row],[Type]]="P",Games[[#This Row],[Round]]=4),IF(Games[[#This Row],[Result]]&gt;0.5,1,0),0)</f>
        <v>0</v>
      </c>
      <c r="AL515" s="2">
        <f>IF(AND(Games[[#This Row],[Type]]="P",Games[[#This Row],[Round]]=4),IF(Games[[#This Row],[Result]]&lt;0.5,1,0),0)</f>
        <v>0</v>
      </c>
    </row>
    <row r="516" spans="1:38" x14ac:dyDescent="0.35">
      <c r="A516" s="10">
        <v>45207</v>
      </c>
      <c r="B516" s="2">
        <v>2023</v>
      </c>
      <c r="C516" s="2">
        <f>COUNTIFS(Games[Team],Games[[#This Row],[Team]],Games[Season],Games[[#This Row],[Season]],Games[Date],"&lt;=" &amp; Games[[#This Row],[Date]])</f>
        <v>48</v>
      </c>
      <c r="D516" s="2" t="s">
        <v>83</v>
      </c>
      <c r="E516" s="2">
        <v>3</v>
      </c>
      <c r="F516" s="1" t="s">
        <v>60</v>
      </c>
      <c r="G516" s="1" t="s">
        <v>86</v>
      </c>
      <c r="H516" s="1" t="s">
        <v>81</v>
      </c>
      <c r="I516" s="2" cm="1">
        <f t="array" ref="I516">IFERROR(
    Games[[#This Row],[Date]]
    - LOOKUP(
        2,
        1/((Games[Team]=Games[[#This Row],[Team]]) * (Games[Date] &lt; Games[[#This Row],[Date]])),
        Games[Date]
    )
    - 1,
Games[[#This Row],[Date]]-$A$2)</f>
        <v>6</v>
      </c>
      <c r="J516" s="2" cm="1">
        <f t="array" ref="J516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516" s="2">
        <f>Games[[#This Row],[DaysOff]]-Games[[#This Row],[OppDaysOff]]</f>
        <v>-2</v>
      </c>
      <c r="L516" s="2">
        <f>Games[[#This Row],[OppDaysOff]]-Games[[#This Row],[DaysOff]]</f>
        <v>2</v>
      </c>
      <c r="M516" s="1">
        <f>MAX(-16, MIN(16, Games[[#This Row],[RestDiff]]*8))</f>
        <v>-16</v>
      </c>
      <c r="N516" s="1">
        <f>MAX(-16, MIN(16, Games[[#This Row],[OppRestDiff]]*8))</f>
        <v>16</v>
      </c>
      <c r="O516" s="4" cm="1">
        <f t="array" ref="O5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1749.8498238309619</v>
      </c>
      <c r="P516" s="4" cm="1">
        <f t="array" ref="P5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1744.7642362624194</v>
      </c>
      <c r="Q516" s="4">
        <f>1/(1+10^(((Games[[#This Row],[OppPreGmRate]]+IF(Games[[#This Row],[HomeAway]]="A",HCA,0)+Games[[#This Row],[OppRestAdj]])-(Games[[#This Row],[PreGmRate]]+IF(Games[[#This Row],[HomeAway]]="H",HCA,0)+Games[[#This Row],[RestAdj]]))/400))</f>
        <v>0.34559142103117385</v>
      </c>
      <c r="R516" s="1">
        <v>82</v>
      </c>
      <c r="S516" s="1">
        <v>99</v>
      </c>
      <c r="T516" s="1">
        <v>0</v>
      </c>
      <c r="U516" s="1">
        <f>Games[[#This Row],[PointsFor]]-Games[[#This Row],[PointsAgainst]]</f>
        <v>-17</v>
      </c>
      <c r="V516" s="1">
        <f>IF(Games[[#This Row],[MOV]]&gt;0,1,IF(Games[[#This Row],[MOV]]=0,0.5,0))</f>
        <v>0</v>
      </c>
      <c r="W516" s="4">
        <f>((ABS(Games[[#This Row],[MOV]])+5)^0.6)/(12+0.01*(ABS(Games[[#This Row],[PreGmRate]]-Games[[#This Row],[OppPreGmRate]])))*IF(Games[[#This Row],[OT]]=1,0.9,1)</f>
        <v>0.53019510770811196</v>
      </c>
      <c r="X516" s="7" cm="1">
        <f t="array" ref="X51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516" s="9">
        <f>MAX(kmin, kmax - 0.15 * MIN(Games[[#This Row],[GamesPlayed]], 82))</f>
        <v>68.8</v>
      </c>
      <c r="Z516" s="4">
        <f>Games[[#This Row],[K]]*Games[[#This Row],[POMult]]</f>
        <v>92.88</v>
      </c>
      <c r="AA516" s="4">
        <f>(Games[[#This Row],[Keff]]*Games[[#This Row],[MOVMult]])*(Games[[#This Row],[Result]]-Games[[#This Row],[ExpectedWin%]])</f>
        <v>-17.018484199102314</v>
      </c>
      <c r="AB516" s="4">
        <f>Games[[#This Row],[PreGmRate]]+Games[[#This Row],[RatingChange]]</f>
        <v>1732.8313396318597</v>
      </c>
      <c r="AC516" s="2">
        <f>IF(Games[[#This Row],[Type]]="R",IF(Games[[#This Row],[Result]]&gt;0.5,1,0),0)</f>
        <v>0</v>
      </c>
      <c r="AD516" s="2">
        <f>IF(Games[[#This Row],[Type]]="R",IF(Games[[#This Row],[Result]]&lt;0.5,1,0),0)</f>
        <v>0</v>
      </c>
      <c r="AE516" s="2">
        <f>IF(AND(Games[[#This Row],[Type]]="P",Games[[#This Row],[Round]]=1),IF(Games[[#This Row],[Result]]&gt;0.5,1,0),0)</f>
        <v>0</v>
      </c>
      <c r="AF516" s="2">
        <f>IF(AND(Games[[#This Row],[Type]]="P",Games[[#This Row],[Round]]=1),IF(Games[[#This Row],[Result]]&lt;0.5,1,0),0)</f>
        <v>0</v>
      </c>
      <c r="AG516" s="2">
        <f>IF(AND(Games[[#This Row],[Type]]="P",Games[[#This Row],[Round]]=2),IF(Games[[#This Row],[Result]]&gt;0.5,1,0),0)</f>
        <v>0</v>
      </c>
      <c r="AH516" s="2">
        <f>IF(AND(Games[[#This Row],[Type]]="P",Games[[#This Row],[Round]]=2),IF(Games[[#This Row],[Result]]&lt;0.5,1,0),0)</f>
        <v>0</v>
      </c>
      <c r="AI516" s="2">
        <f>IF(AND(Games[[#This Row],[Type]]="P",Games[[#This Row],[Round]]=3),IF(Games[[#This Row],[Result]]&gt;0.5,1,0),0)</f>
        <v>0</v>
      </c>
      <c r="AJ516" s="2">
        <f>IF(AND(Games[[#This Row],[Type]]="P",Games[[#This Row],[Round]]=3),IF(Games[[#This Row],[Result]]&lt;0.5,1,0),0)</f>
        <v>1</v>
      </c>
      <c r="AK516" s="2">
        <f>IF(AND(Games[[#This Row],[Type]]="P",Games[[#This Row],[Round]]=4),IF(Games[[#This Row],[Result]]&gt;0.5,1,0),0)</f>
        <v>0</v>
      </c>
      <c r="AL516" s="2">
        <f>IF(AND(Games[[#This Row],[Type]]="P",Games[[#This Row],[Round]]=4),IF(Games[[#This Row],[Result]]&lt;0.5,1,0),0)</f>
        <v>0</v>
      </c>
    </row>
    <row r="517" spans="1:38" x14ac:dyDescent="0.35">
      <c r="A517" s="10">
        <v>45207</v>
      </c>
      <c r="B517" s="2">
        <v>2023</v>
      </c>
      <c r="C517" s="2">
        <f>COUNTIFS(Games[Team],Games[[#This Row],[Team]],Games[Season],Games[[#This Row],[Season]],Games[Date],"&lt;=" &amp; Games[[#This Row],[Date]])</f>
        <v>47</v>
      </c>
      <c r="D517" s="2" t="s">
        <v>83</v>
      </c>
      <c r="E517" s="2">
        <v>3</v>
      </c>
      <c r="F517" s="1" t="s">
        <v>86</v>
      </c>
      <c r="G517" s="1" t="s">
        <v>60</v>
      </c>
      <c r="H517" s="1" t="s">
        <v>82</v>
      </c>
      <c r="I517" s="2" cm="1">
        <f t="array" ref="I517">IFERROR(
    Games[[#This Row],[Date]]
    - LOOKUP(
        2,
        1/((Games[Team]=Games[[#This Row],[Team]]) * (Games[Date] &lt; Games[[#This Row],[Date]])),
        Games[Date]
    )
    - 1,
Games[[#This Row],[Date]]-$A$2)</f>
        <v>8</v>
      </c>
      <c r="J517" s="2" cm="1">
        <f t="array" ref="J517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517" s="2">
        <f>Games[[#This Row],[DaysOff]]-Games[[#This Row],[OppDaysOff]]</f>
        <v>2</v>
      </c>
      <c r="L517" s="2">
        <f>Games[[#This Row],[OppDaysOff]]-Games[[#This Row],[DaysOff]]</f>
        <v>-2</v>
      </c>
      <c r="M517" s="1">
        <f>MAX(-16, MIN(16, Games[[#This Row],[RestDiff]]*8))</f>
        <v>16</v>
      </c>
      <c r="N517" s="1">
        <f>MAX(-16, MIN(16, Games[[#This Row],[OppRestDiff]]*8))</f>
        <v>-16</v>
      </c>
      <c r="O517" s="4" cm="1">
        <f t="array" ref="O5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1744.7642362624194</v>
      </c>
      <c r="P517" s="4" cm="1">
        <f t="array" ref="P5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1749.8498238309619</v>
      </c>
      <c r="Q517" s="4">
        <f>1/(1+10^(((Games[[#This Row],[OppPreGmRate]]+IF(Games[[#This Row],[HomeAway]]="A",HCA,0)+Games[[#This Row],[OppRestAdj]])-(Games[[#This Row],[PreGmRate]]+IF(Games[[#This Row],[HomeAway]]="H",HCA,0)+Games[[#This Row],[RestAdj]]))/400))</f>
        <v>0.6544085789688262</v>
      </c>
      <c r="R517" s="1">
        <v>99</v>
      </c>
      <c r="S517" s="1">
        <v>82</v>
      </c>
      <c r="T517" s="1">
        <v>0</v>
      </c>
      <c r="U517" s="1">
        <f>Games[[#This Row],[PointsFor]]-Games[[#This Row],[PointsAgainst]]</f>
        <v>17</v>
      </c>
      <c r="V517" s="1">
        <f>IF(Games[[#This Row],[MOV]]&gt;0,1,IF(Games[[#This Row],[MOV]]=0,0.5,0))</f>
        <v>1</v>
      </c>
      <c r="W517" s="4">
        <f>((ABS(Games[[#This Row],[MOV]])+5)^0.6)/(12+0.01*(ABS(Games[[#This Row],[PreGmRate]]-Games[[#This Row],[OppPreGmRate]])))*IF(Games[[#This Row],[OT]]=1,0.9,1)</f>
        <v>0.53019510770811196</v>
      </c>
      <c r="X517" s="7" cm="1">
        <f t="array" ref="X51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517" s="9">
        <f>MAX(kmin, kmax - 0.15 * MIN(Games[[#This Row],[GamesPlayed]], 82))</f>
        <v>68.95</v>
      </c>
      <c r="Z517" s="4">
        <f>Games[[#This Row],[K]]*Games[[#This Row],[POMult]]</f>
        <v>93.08250000000001</v>
      </c>
      <c r="AA517" s="4">
        <f>(Games[[#This Row],[Keff]]*Games[[#This Row],[MOVMult]])*(Games[[#This Row],[Result]]-Games[[#This Row],[ExpectedWin%]])</f>
        <v>17.055588452443381</v>
      </c>
      <c r="AB517" s="4">
        <f>Games[[#This Row],[PreGmRate]]+Games[[#This Row],[RatingChange]]</f>
        <v>1761.8198247148628</v>
      </c>
      <c r="AC517" s="2">
        <f>IF(Games[[#This Row],[Type]]="R",IF(Games[[#This Row],[Result]]&gt;0.5,1,0),0)</f>
        <v>0</v>
      </c>
      <c r="AD517" s="2">
        <f>IF(Games[[#This Row],[Type]]="R",IF(Games[[#This Row],[Result]]&lt;0.5,1,0),0)</f>
        <v>0</v>
      </c>
      <c r="AE517" s="2">
        <f>IF(AND(Games[[#This Row],[Type]]="P",Games[[#This Row],[Round]]=1),IF(Games[[#This Row],[Result]]&gt;0.5,1,0),0)</f>
        <v>0</v>
      </c>
      <c r="AF517" s="2">
        <f>IF(AND(Games[[#This Row],[Type]]="P",Games[[#This Row],[Round]]=1),IF(Games[[#This Row],[Result]]&lt;0.5,1,0),0)</f>
        <v>0</v>
      </c>
      <c r="AG517" s="2">
        <f>IF(AND(Games[[#This Row],[Type]]="P",Games[[#This Row],[Round]]=2),IF(Games[[#This Row],[Result]]&gt;0.5,1,0),0)</f>
        <v>0</v>
      </c>
      <c r="AH517" s="2">
        <f>IF(AND(Games[[#This Row],[Type]]="P",Games[[#This Row],[Round]]=2),IF(Games[[#This Row],[Result]]&lt;0.5,1,0),0)</f>
        <v>0</v>
      </c>
      <c r="AI517" s="2">
        <f>IF(AND(Games[[#This Row],[Type]]="P",Games[[#This Row],[Round]]=3),IF(Games[[#This Row],[Result]]&gt;0.5,1,0),0)</f>
        <v>1</v>
      </c>
      <c r="AJ517" s="2">
        <f>IF(AND(Games[[#This Row],[Type]]="P",Games[[#This Row],[Round]]=3),IF(Games[[#This Row],[Result]]&lt;0.5,1,0),0)</f>
        <v>0</v>
      </c>
      <c r="AK517" s="2">
        <f>IF(AND(Games[[#This Row],[Type]]="P",Games[[#This Row],[Round]]=4),IF(Games[[#This Row],[Result]]&gt;0.5,1,0),0)</f>
        <v>0</v>
      </c>
      <c r="AL517" s="2">
        <f>IF(AND(Games[[#This Row],[Type]]="P",Games[[#This Row],[Round]]=4),IF(Games[[#This Row],[Result]]&lt;0.5,1,0),0)</f>
        <v>0</v>
      </c>
    </row>
    <row r="518" spans="1:38" x14ac:dyDescent="0.35">
      <c r="A518" s="10">
        <v>45210</v>
      </c>
      <c r="B518" s="2">
        <v>2023</v>
      </c>
      <c r="C518" s="2">
        <f>COUNTIFS(Games[Team],Games[[#This Row],[Team]],Games[Season],Games[[#This Row],[Season]],Games[Date],"&lt;=" &amp; Games[[#This Row],[Date]])</f>
        <v>49</v>
      </c>
      <c r="D518" s="2" t="s">
        <v>83</v>
      </c>
      <c r="E518" s="2">
        <v>3</v>
      </c>
      <c r="F518" s="1" t="s">
        <v>60</v>
      </c>
      <c r="G518" s="1" t="s">
        <v>86</v>
      </c>
      <c r="H518" s="1" t="s">
        <v>81</v>
      </c>
      <c r="I518" s="2" cm="1">
        <f t="array" ref="I5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518" s="2" cm="1">
        <f t="array" ref="J51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8" s="2">
        <f>Games[[#This Row],[DaysOff]]-Games[[#This Row],[OppDaysOff]]</f>
        <v>0</v>
      </c>
      <c r="L518" s="2">
        <f>Games[[#This Row],[OppDaysOff]]-Games[[#This Row],[DaysOff]]</f>
        <v>0</v>
      </c>
      <c r="M518" s="1">
        <f>MAX(-16, MIN(16, Games[[#This Row],[RestDiff]]*8))</f>
        <v>0</v>
      </c>
      <c r="N518" s="1">
        <f>MAX(-16, MIN(16, Games[[#This Row],[OppRestDiff]]*8))</f>
        <v>0</v>
      </c>
      <c r="O518" s="4" cm="1">
        <f t="array" ref="O5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1732.8313396318597</v>
      </c>
      <c r="P518" s="4" cm="1">
        <f t="array" ref="P5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1761.8198247148628</v>
      </c>
      <c r="Q518" s="4">
        <f>1/(1+10^(((Games[[#This Row],[OppPreGmRate]]+IF(Games[[#This Row],[HomeAway]]="A",HCA,0)+Games[[#This Row],[OppRestAdj]])-(Games[[#This Row],[PreGmRate]]+IF(Games[[#This Row],[HomeAway]]="H",HCA,0)+Games[[#This Row],[RestAdj]]))/400))</f>
        <v>0.34289624863121698</v>
      </c>
      <c r="R518" s="1">
        <v>76</v>
      </c>
      <c r="S518" s="1">
        <v>104</v>
      </c>
      <c r="T518" s="1">
        <v>0</v>
      </c>
      <c r="U518" s="1">
        <f>Games[[#This Row],[PointsFor]]-Games[[#This Row],[PointsAgainst]]</f>
        <v>-28</v>
      </c>
      <c r="V518" s="1">
        <f>IF(Games[[#This Row],[MOV]]&gt;0,1,IF(Games[[#This Row],[MOV]]=0,0.5,0))</f>
        <v>0</v>
      </c>
      <c r="W518" s="4">
        <f>((ABS(Games[[#This Row],[MOV]])+5)^0.6)/(12+0.01*(ABS(Games[[#This Row],[PreGmRate]]-Games[[#This Row],[OppPreGmRate]])))*IF(Games[[#This Row],[OT]]=1,0.9,1)</f>
        <v>0.66307178787785459</v>
      </c>
      <c r="X518" s="7" cm="1">
        <f t="array" ref="X51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518" s="9">
        <f>MAX(kmin, kmax - 0.15 * MIN(Games[[#This Row],[GamesPlayed]], 82))</f>
        <v>68.650000000000006</v>
      </c>
      <c r="Z518" s="4">
        <f>Games[[#This Row],[K]]*Games[[#This Row],[POMult]]</f>
        <v>92.677500000000009</v>
      </c>
      <c r="AA518" s="4">
        <f>(Games[[#This Row],[Keff]]*Games[[#This Row],[MOVMult]])*(Games[[#This Row],[Result]]-Games[[#This Row],[ExpectedWin%]])</f>
        <v>-21.071603905960195</v>
      </c>
      <c r="AB518" s="4">
        <f>Games[[#This Row],[PreGmRate]]+Games[[#This Row],[RatingChange]]</f>
        <v>1711.7597357258994</v>
      </c>
      <c r="AC518" s="2">
        <f>IF(Games[[#This Row],[Type]]="R",IF(Games[[#This Row],[Result]]&gt;0.5,1,0),0)</f>
        <v>0</v>
      </c>
      <c r="AD518" s="2">
        <f>IF(Games[[#This Row],[Type]]="R",IF(Games[[#This Row],[Result]]&lt;0.5,1,0),0)</f>
        <v>0</v>
      </c>
      <c r="AE518" s="2">
        <f>IF(AND(Games[[#This Row],[Type]]="P",Games[[#This Row],[Round]]=1),IF(Games[[#This Row],[Result]]&gt;0.5,1,0),0)</f>
        <v>0</v>
      </c>
      <c r="AF518" s="2">
        <f>IF(AND(Games[[#This Row],[Type]]="P",Games[[#This Row],[Round]]=1),IF(Games[[#This Row],[Result]]&lt;0.5,1,0),0)</f>
        <v>0</v>
      </c>
      <c r="AG518" s="2">
        <f>IF(AND(Games[[#This Row],[Type]]="P",Games[[#This Row],[Round]]=2),IF(Games[[#This Row],[Result]]&gt;0.5,1,0),0)</f>
        <v>0</v>
      </c>
      <c r="AH518" s="2">
        <f>IF(AND(Games[[#This Row],[Type]]="P",Games[[#This Row],[Round]]=2),IF(Games[[#This Row],[Result]]&lt;0.5,1,0),0)</f>
        <v>0</v>
      </c>
      <c r="AI518" s="2">
        <f>IF(AND(Games[[#This Row],[Type]]="P",Games[[#This Row],[Round]]=3),IF(Games[[#This Row],[Result]]&gt;0.5,1,0),0)</f>
        <v>0</v>
      </c>
      <c r="AJ518" s="2">
        <f>IF(AND(Games[[#This Row],[Type]]="P",Games[[#This Row],[Round]]=3),IF(Games[[#This Row],[Result]]&lt;0.5,1,0),0)</f>
        <v>1</v>
      </c>
      <c r="AK518" s="2">
        <f>IF(AND(Games[[#This Row],[Type]]="P",Games[[#This Row],[Round]]=4),IF(Games[[#This Row],[Result]]&gt;0.5,1,0),0)</f>
        <v>0</v>
      </c>
      <c r="AL518" s="2">
        <f>IF(AND(Games[[#This Row],[Type]]="P",Games[[#This Row],[Round]]=4),IF(Games[[#This Row],[Result]]&lt;0.5,1,0),0)</f>
        <v>0</v>
      </c>
    </row>
    <row r="519" spans="1:38" x14ac:dyDescent="0.35">
      <c r="A519" s="10">
        <v>45210</v>
      </c>
      <c r="B519" s="2">
        <v>2023</v>
      </c>
      <c r="C519" s="2">
        <f>COUNTIFS(Games[Team],Games[[#This Row],[Team]],Games[Season],Games[[#This Row],[Season]],Games[Date],"&lt;=" &amp; Games[[#This Row],[Date]])</f>
        <v>48</v>
      </c>
      <c r="D519" s="2" t="s">
        <v>83</v>
      </c>
      <c r="E519" s="2">
        <v>3</v>
      </c>
      <c r="F519" s="1" t="s">
        <v>86</v>
      </c>
      <c r="G519" s="1" t="s">
        <v>60</v>
      </c>
      <c r="H519" s="1" t="s">
        <v>82</v>
      </c>
      <c r="I519" s="2" cm="1">
        <f t="array" ref="I519">IFERROR(
    Games[[#This Row],[Date]]
    - LOOKUP(
        2,
        1/((Games[Team]=Games[[#This Row],[Team]]) * (Games[Date] &lt; Games[[#This Row],[Date]])),
        Games[Date]
    )
    - 1,
Games[[#This Row],[Date]]-$A$2)</f>
        <v>2</v>
      </c>
      <c r="J519" s="2" cm="1">
        <f t="array" ref="J5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9" s="2">
        <f>Games[[#This Row],[DaysOff]]-Games[[#This Row],[OppDaysOff]]</f>
        <v>0</v>
      </c>
      <c r="L519" s="2">
        <f>Games[[#This Row],[OppDaysOff]]-Games[[#This Row],[DaysOff]]</f>
        <v>0</v>
      </c>
      <c r="M519" s="1">
        <f>MAX(-16, MIN(16, Games[[#This Row],[RestDiff]]*8))</f>
        <v>0</v>
      </c>
      <c r="N519" s="1">
        <f>MAX(-16, MIN(16, Games[[#This Row],[OppRestDiff]]*8))</f>
        <v>0</v>
      </c>
      <c r="O519" s="4" cm="1">
        <f t="array" ref="O5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1761.8198247148628</v>
      </c>
      <c r="P519" s="4" cm="1">
        <f t="array" ref="P5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1732.8313396318597</v>
      </c>
      <c r="Q519" s="4">
        <f>1/(1+10^(((Games[[#This Row],[OppPreGmRate]]+IF(Games[[#This Row],[HomeAway]]="A",HCA,0)+Games[[#This Row],[OppRestAdj]])-(Games[[#This Row],[PreGmRate]]+IF(Games[[#This Row],[HomeAway]]="H",HCA,0)+Games[[#This Row],[RestAdj]]))/400))</f>
        <v>0.65710375136878296</v>
      </c>
      <c r="R519" s="1">
        <v>104</v>
      </c>
      <c r="S519" s="1">
        <v>76</v>
      </c>
      <c r="T519" s="1">
        <v>0</v>
      </c>
      <c r="U519" s="1">
        <f>Games[[#This Row],[PointsFor]]-Games[[#This Row],[PointsAgainst]]</f>
        <v>28</v>
      </c>
      <c r="V519" s="1">
        <f>IF(Games[[#This Row],[MOV]]&gt;0,1,IF(Games[[#This Row],[MOV]]=0,0.5,0))</f>
        <v>1</v>
      </c>
      <c r="W519" s="4">
        <f>((ABS(Games[[#This Row],[MOV]])+5)^0.6)/(12+0.01*(ABS(Games[[#This Row],[PreGmRate]]-Games[[#This Row],[OppPreGmRate]])))*IF(Games[[#This Row],[OT]]=1,0.9,1)</f>
        <v>0.66307178787785459</v>
      </c>
      <c r="X519" s="7" cm="1">
        <f t="array" ref="X51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519" s="9">
        <f>MAX(kmin, kmax - 0.15 * MIN(Games[[#This Row],[GamesPlayed]], 82))</f>
        <v>68.8</v>
      </c>
      <c r="Z519" s="4">
        <f>Games[[#This Row],[K]]*Games[[#This Row],[POMult]]</f>
        <v>92.88</v>
      </c>
      <c r="AA519" s="4">
        <f>(Games[[#This Row],[Keff]]*Games[[#This Row],[MOVMult]])*(Games[[#This Row],[Result]]-Games[[#This Row],[ExpectedWin%]])</f>
        <v>21.117645283759089</v>
      </c>
      <c r="AB519" s="4">
        <f>Games[[#This Row],[PreGmRate]]+Games[[#This Row],[RatingChange]]</f>
        <v>1782.937469998622</v>
      </c>
      <c r="AC519" s="2">
        <f>IF(Games[[#This Row],[Type]]="R",IF(Games[[#This Row],[Result]]&gt;0.5,1,0),0)</f>
        <v>0</v>
      </c>
      <c r="AD519" s="2">
        <f>IF(Games[[#This Row],[Type]]="R",IF(Games[[#This Row],[Result]]&lt;0.5,1,0),0)</f>
        <v>0</v>
      </c>
      <c r="AE519" s="2">
        <f>IF(AND(Games[[#This Row],[Type]]="P",Games[[#This Row],[Round]]=1),IF(Games[[#This Row],[Result]]&gt;0.5,1,0),0)</f>
        <v>0</v>
      </c>
      <c r="AF519" s="2">
        <f>IF(AND(Games[[#This Row],[Type]]="P",Games[[#This Row],[Round]]=1),IF(Games[[#This Row],[Result]]&lt;0.5,1,0),0)</f>
        <v>0</v>
      </c>
      <c r="AG519" s="2">
        <f>IF(AND(Games[[#This Row],[Type]]="P",Games[[#This Row],[Round]]=2),IF(Games[[#This Row],[Result]]&gt;0.5,1,0),0)</f>
        <v>0</v>
      </c>
      <c r="AH519" s="2">
        <f>IF(AND(Games[[#This Row],[Type]]="P",Games[[#This Row],[Round]]=2),IF(Games[[#This Row],[Result]]&lt;0.5,1,0),0)</f>
        <v>0</v>
      </c>
      <c r="AI519" s="2">
        <f>IF(AND(Games[[#This Row],[Type]]="P",Games[[#This Row],[Round]]=3),IF(Games[[#This Row],[Result]]&gt;0.5,1,0),0)</f>
        <v>1</v>
      </c>
      <c r="AJ519" s="2">
        <f>IF(AND(Games[[#This Row],[Type]]="P",Games[[#This Row],[Round]]=3),IF(Games[[#This Row],[Result]]&lt;0.5,1,0),0)</f>
        <v>0</v>
      </c>
      <c r="AK519" s="2">
        <f>IF(AND(Games[[#This Row],[Type]]="P",Games[[#This Row],[Round]]=4),IF(Games[[#This Row],[Result]]&gt;0.5,1,0),0)</f>
        <v>0</v>
      </c>
      <c r="AL519" s="2">
        <f>IF(AND(Games[[#This Row],[Type]]="P",Games[[#This Row],[Round]]=4),IF(Games[[#This Row],[Result]]&lt;0.5,1,0),0)</f>
        <v>0</v>
      </c>
    </row>
    <row r="520" spans="1:38" x14ac:dyDescent="0.35">
      <c r="A520" s="10">
        <v>45214</v>
      </c>
      <c r="B520" s="2">
        <v>2023</v>
      </c>
      <c r="C520" s="2">
        <f>COUNTIFS(Games[Team],Games[[#This Row],[Team]],Games[Season],Games[[#This Row],[Season]],Games[Date],"&lt;=" &amp; Games[[#This Row],[Date]])</f>
        <v>49</v>
      </c>
      <c r="D520" s="2" t="s">
        <v>83</v>
      </c>
      <c r="E520" s="2">
        <v>3</v>
      </c>
      <c r="F520" s="1" t="s">
        <v>86</v>
      </c>
      <c r="G520" s="1" t="s">
        <v>60</v>
      </c>
      <c r="H520" s="1" t="s">
        <v>81</v>
      </c>
      <c r="I520" s="2" cm="1">
        <f t="array" ref="I520">IFERROR(
    Games[[#This Row],[Date]]
    - LOOKUP(
        2,
        1/((Games[Team]=Games[[#This Row],[Team]]) * (Games[Date] &lt; Games[[#This Row],[Date]])),
        Games[Date]
    )
    - 1,
Games[[#This Row],[Date]]-$A$2)</f>
        <v>3</v>
      </c>
      <c r="J520" s="2" cm="1">
        <f t="array" ref="J52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20" s="2">
        <f>Games[[#This Row],[DaysOff]]-Games[[#This Row],[OppDaysOff]]</f>
        <v>0</v>
      </c>
      <c r="L520" s="2">
        <f>Games[[#This Row],[OppDaysOff]]-Games[[#This Row],[DaysOff]]</f>
        <v>0</v>
      </c>
      <c r="M520" s="1">
        <f>MAX(-16, MIN(16, Games[[#This Row],[RestDiff]]*8))</f>
        <v>0</v>
      </c>
      <c r="N520" s="1">
        <f>MAX(-16, MIN(16, Games[[#This Row],[OppRestDiff]]*8))</f>
        <v>0</v>
      </c>
      <c r="O520" s="4" cm="1">
        <f t="array" ref="O5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1782.937469998622</v>
      </c>
      <c r="P520" s="4" cm="1">
        <f t="array" ref="P5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1711.7597357258994</v>
      </c>
      <c r="Q520" s="4">
        <f>1/(1+10^(((Games[[#This Row],[OppPreGmRate]]+IF(Games[[#This Row],[HomeAway]]="A",HCA,0)+Games[[#This Row],[OppRestAdj]])-(Games[[#This Row],[PreGmRate]]+IF(Games[[#This Row],[HomeAway]]="H",HCA,0)+Games[[#This Row],[RestAdj]]))/400))</f>
        <v>0.48155564934774514</v>
      </c>
      <c r="R520" s="1">
        <v>73</v>
      </c>
      <c r="S520" s="1">
        <v>87</v>
      </c>
      <c r="T520" s="1">
        <v>0</v>
      </c>
      <c r="U520" s="1">
        <f>Games[[#This Row],[PointsFor]]-Games[[#This Row],[PointsAgainst]]</f>
        <v>-14</v>
      </c>
      <c r="V520" s="1">
        <f>IF(Games[[#This Row],[MOV]]&gt;0,1,IF(Games[[#This Row],[MOV]]=0,0.5,0))</f>
        <v>0</v>
      </c>
      <c r="W520" s="4">
        <f>((ABS(Games[[#This Row],[MOV]])+5)^0.6)/(12+0.01*(ABS(Games[[#This Row],[PreGmRate]]-Games[[#This Row],[OppPreGmRate]])))*IF(Games[[#This Row],[OT]]=1,0.9,1)</f>
        <v>0.46030520238437866</v>
      </c>
      <c r="X520" s="7" cm="1">
        <f t="array" ref="X52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520" s="9">
        <f>MAX(kmin, kmax - 0.15 * MIN(Games[[#This Row],[GamesPlayed]], 82))</f>
        <v>68.650000000000006</v>
      </c>
      <c r="Z520" s="4">
        <f>Games[[#This Row],[K]]*Games[[#This Row],[POMult]]</f>
        <v>92.677500000000009</v>
      </c>
      <c r="AA520" s="4">
        <f>(Games[[#This Row],[Keff]]*Games[[#This Row],[MOVMult]])*(Games[[#This Row],[Result]]-Games[[#This Row],[ExpectedWin%]])</f>
        <v>-20.543132889780058</v>
      </c>
      <c r="AB520" s="4">
        <f>Games[[#This Row],[PreGmRate]]+Games[[#This Row],[RatingChange]]</f>
        <v>1762.3943371088419</v>
      </c>
      <c r="AC520" s="2">
        <f>IF(Games[[#This Row],[Type]]="R",IF(Games[[#This Row],[Result]]&gt;0.5,1,0),0)</f>
        <v>0</v>
      </c>
      <c r="AD520" s="2">
        <f>IF(Games[[#This Row],[Type]]="R",IF(Games[[#This Row],[Result]]&lt;0.5,1,0),0)</f>
        <v>0</v>
      </c>
      <c r="AE520" s="2">
        <f>IF(AND(Games[[#This Row],[Type]]="P",Games[[#This Row],[Round]]=1),IF(Games[[#This Row],[Result]]&gt;0.5,1,0),0)</f>
        <v>0</v>
      </c>
      <c r="AF520" s="2">
        <f>IF(AND(Games[[#This Row],[Type]]="P",Games[[#This Row],[Round]]=1),IF(Games[[#This Row],[Result]]&lt;0.5,1,0),0)</f>
        <v>0</v>
      </c>
      <c r="AG520" s="2">
        <f>IF(AND(Games[[#This Row],[Type]]="P",Games[[#This Row],[Round]]=2),IF(Games[[#This Row],[Result]]&gt;0.5,1,0),0)</f>
        <v>0</v>
      </c>
      <c r="AH520" s="2">
        <f>IF(AND(Games[[#This Row],[Type]]="P",Games[[#This Row],[Round]]=2),IF(Games[[#This Row],[Result]]&lt;0.5,1,0),0)</f>
        <v>0</v>
      </c>
      <c r="AI520" s="2">
        <f>IF(AND(Games[[#This Row],[Type]]="P",Games[[#This Row],[Round]]=3),IF(Games[[#This Row],[Result]]&gt;0.5,1,0),0)</f>
        <v>0</v>
      </c>
      <c r="AJ520" s="2">
        <f>IF(AND(Games[[#This Row],[Type]]="P",Games[[#This Row],[Round]]=3),IF(Games[[#This Row],[Result]]&lt;0.5,1,0),0)</f>
        <v>1</v>
      </c>
      <c r="AK520" s="2">
        <f>IF(AND(Games[[#This Row],[Type]]="P",Games[[#This Row],[Round]]=4),IF(Games[[#This Row],[Result]]&gt;0.5,1,0),0)</f>
        <v>0</v>
      </c>
      <c r="AL520" s="2">
        <f>IF(AND(Games[[#This Row],[Type]]="P",Games[[#This Row],[Round]]=4),IF(Games[[#This Row],[Result]]&lt;0.5,1,0),0)</f>
        <v>0</v>
      </c>
    </row>
    <row r="521" spans="1:38" x14ac:dyDescent="0.35">
      <c r="A521" s="10">
        <v>45214</v>
      </c>
      <c r="B521" s="2">
        <v>2023</v>
      </c>
      <c r="C521" s="2">
        <f>COUNTIFS(Games[Team],Games[[#This Row],[Team]],Games[Season],Games[[#This Row],[Season]],Games[Date],"&lt;=" &amp; Games[[#This Row],[Date]])</f>
        <v>50</v>
      </c>
      <c r="D521" s="2" t="s">
        <v>83</v>
      </c>
      <c r="E521" s="2">
        <v>3</v>
      </c>
      <c r="F521" s="1" t="s">
        <v>60</v>
      </c>
      <c r="G521" s="1" t="s">
        <v>86</v>
      </c>
      <c r="H521" s="1" t="s">
        <v>82</v>
      </c>
      <c r="I521" s="2" cm="1">
        <f t="array" ref="I521">IFERROR(
    Games[[#This Row],[Date]]
    - LOOKUP(
        2,
        1/((Games[Team]=Games[[#This Row],[Team]]) * (Games[Date] &lt; Games[[#This Row],[Date]])),
        Games[Date]
    )
    - 1,
Games[[#This Row],[Date]]-$A$2)</f>
        <v>3</v>
      </c>
      <c r="J521" s="2" cm="1">
        <f t="array" ref="J52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21" s="2">
        <f>Games[[#This Row],[DaysOff]]-Games[[#This Row],[OppDaysOff]]</f>
        <v>0</v>
      </c>
      <c r="L521" s="2">
        <f>Games[[#This Row],[OppDaysOff]]-Games[[#This Row],[DaysOff]]</f>
        <v>0</v>
      </c>
      <c r="M521" s="1">
        <f>MAX(-16, MIN(16, Games[[#This Row],[RestDiff]]*8))</f>
        <v>0</v>
      </c>
      <c r="N521" s="1">
        <f>MAX(-16, MIN(16, Games[[#This Row],[OppRestDiff]]*8))</f>
        <v>0</v>
      </c>
      <c r="O521" s="4" cm="1">
        <f t="array" ref="O5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1711.7597357258994</v>
      </c>
      <c r="P521" s="4" cm="1">
        <f t="array" ref="P5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1782.937469998622</v>
      </c>
      <c r="Q521" s="4">
        <f>1/(1+10^(((Games[[#This Row],[OppPreGmRate]]+IF(Games[[#This Row],[HomeAway]]="A",HCA,0)+Games[[#This Row],[OppRestAdj]])-(Games[[#This Row],[PreGmRate]]+IF(Games[[#This Row],[HomeAway]]="H",HCA,0)+Games[[#This Row],[RestAdj]]))/400))</f>
        <v>0.51844435065225491</v>
      </c>
      <c r="R521" s="1">
        <v>87</v>
      </c>
      <c r="S521" s="1">
        <v>73</v>
      </c>
      <c r="T521" s="1">
        <v>0</v>
      </c>
      <c r="U521" s="1">
        <f>Games[[#This Row],[PointsFor]]-Games[[#This Row],[PointsAgainst]]</f>
        <v>14</v>
      </c>
      <c r="V521" s="1">
        <f>IF(Games[[#This Row],[MOV]]&gt;0,1,IF(Games[[#This Row],[MOV]]=0,0.5,0))</f>
        <v>1</v>
      </c>
      <c r="W521" s="4">
        <f>((ABS(Games[[#This Row],[MOV]])+5)^0.6)/(12+0.01*(ABS(Games[[#This Row],[PreGmRate]]-Games[[#This Row],[OppPreGmRate]])))*IF(Games[[#This Row],[OT]]=1,0.9,1)</f>
        <v>0.46030520238437866</v>
      </c>
      <c r="X521" s="7" cm="1">
        <f t="array" ref="X52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521" s="9">
        <f>MAX(kmin, kmax - 0.15 * MIN(Games[[#This Row],[GamesPlayed]], 82))</f>
        <v>68.5</v>
      </c>
      <c r="Z521" s="4">
        <f>Games[[#This Row],[K]]*Games[[#This Row],[POMult]]</f>
        <v>92.475000000000009</v>
      </c>
      <c r="AA521" s="4">
        <f>(Games[[#This Row],[Keff]]*Games[[#This Row],[MOVMult]])*(Games[[#This Row],[Result]]-Games[[#This Row],[ExpectedWin%]])</f>
        <v>20.498246219227003</v>
      </c>
      <c r="AB521" s="4">
        <f>Games[[#This Row],[PreGmRate]]+Games[[#This Row],[RatingChange]]</f>
        <v>1732.2579819451264</v>
      </c>
      <c r="AC521" s="2">
        <f>IF(Games[[#This Row],[Type]]="R",IF(Games[[#This Row],[Result]]&gt;0.5,1,0),0)</f>
        <v>0</v>
      </c>
      <c r="AD521" s="2">
        <f>IF(Games[[#This Row],[Type]]="R",IF(Games[[#This Row],[Result]]&lt;0.5,1,0),0)</f>
        <v>0</v>
      </c>
      <c r="AE521" s="2">
        <f>IF(AND(Games[[#This Row],[Type]]="P",Games[[#This Row],[Round]]=1),IF(Games[[#This Row],[Result]]&gt;0.5,1,0),0)</f>
        <v>0</v>
      </c>
      <c r="AF521" s="2">
        <f>IF(AND(Games[[#This Row],[Type]]="P",Games[[#This Row],[Round]]=1),IF(Games[[#This Row],[Result]]&lt;0.5,1,0),0)</f>
        <v>0</v>
      </c>
      <c r="AG521" s="2">
        <f>IF(AND(Games[[#This Row],[Type]]="P",Games[[#This Row],[Round]]=2),IF(Games[[#This Row],[Result]]&gt;0.5,1,0),0)</f>
        <v>0</v>
      </c>
      <c r="AH521" s="2">
        <f>IF(AND(Games[[#This Row],[Type]]="P",Games[[#This Row],[Round]]=2),IF(Games[[#This Row],[Result]]&lt;0.5,1,0),0)</f>
        <v>0</v>
      </c>
      <c r="AI521" s="2">
        <f>IF(AND(Games[[#This Row],[Type]]="P",Games[[#This Row],[Round]]=3),IF(Games[[#This Row],[Result]]&gt;0.5,1,0),0)</f>
        <v>1</v>
      </c>
      <c r="AJ521" s="2">
        <f>IF(AND(Games[[#This Row],[Type]]="P",Games[[#This Row],[Round]]=3),IF(Games[[#This Row],[Result]]&lt;0.5,1,0),0)</f>
        <v>0</v>
      </c>
      <c r="AK521" s="2">
        <f>IF(AND(Games[[#This Row],[Type]]="P",Games[[#This Row],[Round]]=4),IF(Games[[#This Row],[Result]]&gt;0.5,1,0),0)</f>
        <v>0</v>
      </c>
      <c r="AL521" s="2">
        <f>IF(AND(Games[[#This Row],[Type]]="P",Games[[#This Row],[Round]]=4),IF(Games[[#This Row],[Result]]&lt;0.5,1,0),0)</f>
        <v>0</v>
      </c>
    </row>
    <row r="522" spans="1:38" x14ac:dyDescent="0.35">
      <c r="A522" s="10">
        <v>45217</v>
      </c>
      <c r="B522" s="2">
        <v>2023</v>
      </c>
      <c r="C522" s="2">
        <f>COUNTIFS(Games[Team],Games[[#This Row],[Team]],Games[Season],Games[[#This Row],[Season]],Games[Date],"&lt;=" &amp; Games[[#This Row],[Date]])</f>
        <v>50</v>
      </c>
      <c r="D522" s="2" t="s">
        <v>83</v>
      </c>
      <c r="E522" s="2">
        <v>3</v>
      </c>
      <c r="F522" s="1" t="s">
        <v>86</v>
      </c>
      <c r="G522" s="1" t="s">
        <v>60</v>
      </c>
      <c r="H522" s="1" t="s">
        <v>81</v>
      </c>
      <c r="I522" s="2" cm="1">
        <f t="array" ref="I5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522" s="2" cm="1">
        <f t="array" ref="J5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22" s="2">
        <f>Games[[#This Row],[DaysOff]]-Games[[#This Row],[OppDaysOff]]</f>
        <v>0</v>
      </c>
      <c r="L522" s="2">
        <f>Games[[#This Row],[OppDaysOff]]-Games[[#This Row],[DaysOff]]</f>
        <v>0</v>
      </c>
      <c r="M522" s="1">
        <f>MAX(-16, MIN(16, Games[[#This Row],[RestDiff]]*8))</f>
        <v>0</v>
      </c>
      <c r="N522" s="1">
        <f>MAX(-16, MIN(16, Games[[#This Row],[OppRestDiff]]*8))</f>
        <v>0</v>
      </c>
      <c r="O522" s="4" cm="1">
        <f t="array" ref="O5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1762.3943371088419</v>
      </c>
      <c r="P522" s="4" cm="1">
        <f t="array" ref="P5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1732.2579819451264</v>
      </c>
      <c r="Q522" s="4">
        <f>1/(1+10^(((Games[[#This Row],[OppPreGmRate]]+IF(Games[[#This Row],[HomeAway]]="A",HCA,0)+Games[[#This Row],[OppRestAdj]])-(Games[[#This Row],[PreGmRate]]+IF(Games[[#This Row],[HomeAway]]="H",HCA,0)+Games[[#This Row],[RestAdj]]))/400))</f>
        <v>0.42309910161611575</v>
      </c>
      <c r="R522" s="1">
        <v>70</v>
      </c>
      <c r="S522" s="1">
        <v>69</v>
      </c>
      <c r="T522" s="1">
        <v>0</v>
      </c>
      <c r="U522" s="1">
        <f>Games[[#This Row],[PointsFor]]-Games[[#This Row],[PointsAgainst]]</f>
        <v>1</v>
      </c>
      <c r="V522" s="1">
        <f>IF(Games[[#This Row],[MOV]]&gt;0,1,IF(Games[[#This Row],[MOV]]=0,0.5,0))</f>
        <v>1</v>
      </c>
      <c r="W522" s="4">
        <f>((ABS(Games[[#This Row],[MOV]])+5)^0.6)/(12+0.01*(ABS(Games[[#This Row],[PreGmRate]]-Games[[#This Row],[OppPreGmRate]])))*IF(Games[[#This Row],[OT]]=1,0.9,1)</f>
        <v>0.23819766315202956</v>
      </c>
      <c r="X522" s="7" cm="1">
        <f t="array" ref="X52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522" s="9">
        <f>MAX(kmin, kmax - 0.15 * MIN(Games[[#This Row],[GamesPlayed]], 82))</f>
        <v>68.5</v>
      </c>
      <c r="Z522" s="4">
        <f>Games[[#This Row],[K]]*Games[[#This Row],[POMult]]</f>
        <v>92.475000000000009</v>
      </c>
      <c r="AA522" s="4">
        <f>(Games[[#This Row],[Keff]]*Games[[#This Row],[MOVMult]])*(Games[[#This Row],[Result]]-Games[[#This Row],[ExpectedWin%]])</f>
        <v>12.707585831398029</v>
      </c>
      <c r="AB522" s="4">
        <f>Games[[#This Row],[PreGmRate]]+Games[[#This Row],[RatingChange]]</f>
        <v>1775.10192294024</v>
      </c>
      <c r="AC522" s="2">
        <f>IF(Games[[#This Row],[Type]]="R",IF(Games[[#This Row],[Result]]&gt;0.5,1,0),0)</f>
        <v>0</v>
      </c>
      <c r="AD522" s="2">
        <f>IF(Games[[#This Row],[Type]]="R",IF(Games[[#This Row],[Result]]&lt;0.5,1,0),0)</f>
        <v>0</v>
      </c>
      <c r="AE522" s="2">
        <f>IF(AND(Games[[#This Row],[Type]]="P",Games[[#This Row],[Round]]=1),IF(Games[[#This Row],[Result]]&gt;0.5,1,0),0)</f>
        <v>0</v>
      </c>
      <c r="AF522" s="2">
        <f>IF(AND(Games[[#This Row],[Type]]="P",Games[[#This Row],[Round]]=1),IF(Games[[#This Row],[Result]]&lt;0.5,1,0),0)</f>
        <v>0</v>
      </c>
      <c r="AG522" s="2">
        <f>IF(AND(Games[[#This Row],[Type]]="P",Games[[#This Row],[Round]]=2),IF(Games[[#This Row],[Result]]&gt;0.5,1,0),0)</f>
        <v>0</v>
      </c>
      <c r="AH522" s="2">
        <f>IF(AND(Games[[#This Row],[Type]]="P",Games[[#This Row],[Round]]=2),IF(Games[[#This Row],[Result]]&lt;0.5,1,0),0)</f>
        <v>0</v>
      </c>
      <c r="AI522" s="2">
        <f>IF(AND(Games[[#This Row],[Type]]="P",Games[[#This Row],[Round]]=3),IF(Games[[#This Row],[Result]]&gt;0.5,1,0),0)</f>
        <v>1</v>
      </c>
      <c r="AJ522" s="2">
        <f>IF(AND(Games[[#This Row],[Type]]="P",Games[[#This Row],[Round]]=3),IF(Games[[#This Row],[Result]]&lt;0.5,1,0),0)</f>
        <v>0</v>
      </c>
      <c r="AK522" s="2">
        <f>IF(AND(Games[[#This Row],[Type]]="P",Games[[#This Row],[Round]]=4),IF(Games[[#This Row],[Result]]&gt;0.5,1,0),0)</f>
        <v>0</v>
      </c>
      <c r="AL522" s="2">
        <f>IF(AND(Games[[#This Row],[Type]]="P",Games[[#This Row],[Round]]=4),IF(Games[[#This Row],[Result]]&lt;0.5,1,0),0)</f>
        <v>0</v>
      </c>
    </row>
    <row r="523" spans="1:38" x14ac:dyDescent="0.35">
      <c r="A523" s="10">
        <v>45217</v>
      </c>
      <c r="B523" s="2">
        <v>2023</v>
      </c>
      <c r="C523" s="2">
        <f>COUNTIFS(Games[Team],Games[[#This Row],[Team]],Games[Season],Games[[#This Row],[Season]],Games[Date],"&lt;=" &amp; Games[[#This Row],[Date]])</f>
        <v>51</v>
      </c>
      <c r="D523" s="2" t="s">
        <v>83</v>
      </c>
      <c r="E523" s="2">
        <v>3</v>
      </c>
      <c r="F523" s="1" t="s">
        <v>60</v>
      </c>
      <c r="G523" s="1" t="s">
        <v>86</v>
      </c>
      <c r="H523" s="1" t="s">
        <v>82</v>
      </c>
      <c r="I523" s="2" cm="1">
        <f t="array" ref="I5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523" s="2" cm="1">
        <f t="array" ref="J5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23" s="2">
        <f>Games[[#This Row],[DaysOff]]-Games[[#This Row],[OppDaysOff]]</f>
        <v>0</v>
      </c>
      <c r="L523" s="2">
        <f>Games[[#This Row],[OppDaysOff]]-Games[[#This Row],[DaysOff]]</f>
        <v>0</v>
      </c>
      <c r="M523" s="1">
        <f>MAX(-16, MIN(16, Games[[#This Row],[RestDiff]]*8))</f>
        <v>0</v>
      </c>
      <c r="N523" s="1">
        <f>MAX(-16, MIN(16, Games[[#This Row],[OppRestDiff]]*8))</f>
        <v>0</v>
      </c>
      <c r="O523" s="4" cm="1">
        <f t="array" ref="O5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1732.2579819451264</v>
      </c>
      <c r="P523" s="4" cm="1">
        <f t="array" ref="P5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1762.3943371088419</v>
      </c>
      <c r="Q523" s="4">
        <f>1/(1+10^(((Games[[#This Row],[OppPreGmRate]]+IF(Games[[#This Row],[HomeAway]]="A",HCA,0)+Games[[#This Row],[OppRestAdj]])-(Games[[#This Row],[PreGmRate]]+IF(Games[[#This Row],[HomeAway]]="H",HCA,0)+Games[[#This Row],[RestAdj]]))/400))</f>
        <v>0.57690089838388436</v>
      </c>
      <c r="R523" s="1">
        <v>69</v>
      </c>
      <c r="S523" s="1">
        <v>70</v>
      </c>
      <c r="T523" s="1">
        <v>0</v>
      </c>
      <c r="U523" s="1">
        <f>Games[[#This Row],[PointsFor]]-Games[[#This Row],[PointsAgainst]]</f>
        <v>-1</v>
      </c>
      <c r="V523" s="1">
        <f>IF(Games[[#This Row],[MOV]]&gt;0,1,IF(Games[[#This Row],[MOV]]=0,0.5,0))</f>
        <v>0</v>
      </c>
      <c r="W523" s="4">
        <f>((ABS(Games[[#This Row],[MOV]])+5)^0.6)/(12+0.01*(ABS(Games[[#This Row],[PreGmRate]]-Games[[#This Row],[OppPreGmRate]])))*IF(Games[[#This Row],[OT]]=1,0.9,1)</f>
        <v>0.23819766315202956</v>
      </c>
      <c r="X523" s="7" cm="1">
        <f t="array" ref="X52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523" s="9">
        <f>MAX(kmin, kmax - 0.15 * MIN(Games[[#This Row],[GamesPlayed]], 82))</f>
        <v>68.349999999999994</v>
      </c>
      <c r="Z523" s="4">
        <f>Games[[#This Row],[K]]*Games[[#This Row],[POMult]]</f>
        <v>92.272499999999994</v>
      </c>
      <c r="AA523" s="4">
        <f>(Games[[#This Row],[Keff]]*Games[[#This Row],[MOVMult]])*(Games[[#This Row],[Result]]-Games[[#This Row],[ExpectedWin%]])</f>
        <v>-12.679759001110297</v>
      </c>
      <c r="AB523" s="4">
        <f>Games[[#This Row],[PreGmRate]]+Games[[#This Row],[RatingChange]]</f>
        <v>1719.578222944016</v>
      </c>
      <c r="AC523" s="2">
        <f>IF(Games[[#This Row],[Type]]="R",IF(Games[[#This Row],[Result]]&gt;0.5,1,0),0)</f>
        <v>0</v>
      </c>
      <c r="AD523" s="2">
        <f>IF(Games[[#This Row],[Type]]="R",IF(Games[[#This Row],[Result]]&lt;0.5,1,0),0)</f>
        <v>0</v>
      </c>
      <c r="AE523" s="2">
        <f>IF(AND(Games[[#This Row],[Type]]="P",Games[[#This Row],[Round]]=1),IF(Games[[#This Row],[Result]]&gt;0.5,1,0),0)</f>
        <v>0</v>
      </c>
      <c r="AF523" s="2">
        <f>IF(AND(Games[[#This Row],[Type]]="P",Games[[#This Row],[Round]]=1),IF(Games[[#This Row],[Result]]&lt;0.5,1,0),0)</f>
        <v>0</v>
      </c>
      <c r="AG523" s="2">
        <f>IF(AND(Games[[#This Row],[Type]]="P",Games[[#This Row],[Round]]=2),IF(Games[[#This Row],[Result]]&gt;0.5,1,0),0)</f>
        <v>0</v>
      </c>
      <c r="AH523" s="2">
        <f>IF(AND(Games[[#This Row],[Type]]="P",Games[[#This Row],[Round]]=2),IF(Games[[#This Row],[Result]]&lt;0.5,1,0),0)</f>
        <v>0</v>
      </c>
      <c r="AI523" s="2">
        <f>IF(AND(Games[[#This Row],[Type]]="P",Games[[#This Row],[Round]]=3),IF(Games[[#This Row],[Result]]&gt;0.5,1,0),0)</f>
        <v>0</v>
      </c>
      <c r="AJ523" s="2">
        <f>IF(AND(Games[[#This Row],[Type]]="P",Games[[#This Row],[Round]]=3),IF(Games[[#This Row],[Result]]&lt;0.5,1,0),0)</f>
        <v>1</v>
      </c>
      <c r="AK523" s="2">
        <f>IF(AND(Games[[#This Row],[Type]]="P",Games[[#This Row],[Round]]=4),IF(Games[[#This Row],[Result]]&gt;0.5,1,0),0)</f>
        <v>0</v>
      </c>
      <c r="AL523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2026-08-25T21:30:05Z</dcterms:modified>
</cp:coreProperties>
</file>
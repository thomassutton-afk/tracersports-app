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6D3B09DC-0EE3-48CB-8608-C92FA1D04190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J439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E29" i="3"/>
  <c r="D29" i="3"/>
  <c r="C29" i="3"/>
  <c r="B29" i="3"/>
  <c r="E35" i="3"/>
  <c r="D35" i="3"/>
  <c r="C35" i="3"/>
  <c r="B35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L438" i="2" l="1"/>
  <c r="N438" i="2" s="1"/>
  <c r="K438" i="2"/>
  <c r="M438" i="2" s="1"/>
  <c r="K420" i="2"/>
  <c r="M420" i="2" s="1"/>
  <c r="L420" i="2"/>
  <c r="N420" i="2" s="1"/>
  <c r="L439" i="2"/>
  <c r="N439" i="2" s="1"/>
  <c r="K439" i="2"/>
  <c r="M439" i="2" s="1"/>
  <c r="F26" i="3"/>
  <c r="L416" i="2"/>
  <c r="N416" i="2" s="1"/>
  <c r="K416" i="2"/>
  <c r="M416" i="2" s="1"/>
  <c r="F29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28" i="3"/>
  <c r="AE386" i="2"/>
  <c r="AD386" i="2"/>
  <c r="AE387" i="2"/>
  <c r="AD387" i="2"/>
  <c r="AE388" i="2"/>
  <c r="AD388" i="2"/>
  <c r="AE389" i="2"/>
  <c r="AD389" i="2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3" i="3"/>
  <c r="B33" i="3"/>
  <c r="C34" i="3"/>
  <c r="B34" i="3"/>
  <c r="C30" i="3"/>
  <c r="B30" i="3"/>
  <c r="C32" i="3"/>
  <c r="B32" i="3"/>
  <c r="Q16" i="2" l="1"/>
  <c r="Q17" i="2"/>
  <c r="W16" i="2"/>
  <c r="W17" i="2"/>
  <c r="AA16" i="2" l="1"/>
  <c r="AB16" i="2" s="1"/>
  <c r="AA17" i="2"/>
  <c r="AB17" i="2" s="1"/>
  <c r="E33" i="3"/>
  <c r="D33" i="3"/>
  <c r="E34" i="3"/>
  <c r="D34" i="3"/>
  <c r="E30" i="3"/>
  <c r="D30" i="3"/>
  <c r="E32" i="3"/>
  <c r="D32" i="3"/>
  <c r="O19" i="2" l="1" a="1"/>
  <c r="O18" i="2" a="1"/>
  <c r="P19" i="2" a="1"/>
  <c r="P18" i="2" a="1"/>
  <c r="F30" i="3"/>
  <c r="F33" i="3"/>
  <c r="F34" i="3"/>
  <c r="F32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O29" i="2" a="1"/>
  <c r="P29" i="2" a="1"/>
  <c r="O28" i="2" a="1"/>
  <c r="P28" i="2" a="1"/>
  <c r="Q29" i="2" l="1"/>
  <c r="Q26" i="2"/>
  <c r="W28" i="2"/>
  <c r="Q27" i="2"/>
  <c r="W26" i="2"/>
  <c r="W27" i="2"/>
  <c r="W29" i="2"/>
  <c r="Q28" i="2"/>
  <c r="AA29" i="2" l="1"/>
  <c r="AB29" i="2" s="1"/>
  <c r="P31" i="2" a="1"/>
  <c r="O30" i="2" a="1"/>
  <c r="O31" i="2" a="1"/>
  <c r="P30" i="2" a="1"/>
  <c r="AA26" i="2"/>
  <c r="AB26" i="2" s="1"/>
  <c r="AA28" i="2"/>
  <c r="AB28" i="2" s="1"/>
  <c r="AA27" i="2"/>
  <c r="AB27" i="2" s="1"/>
  <c r="Q31" i="2" l="1"/>
  <c r="Q30" i="2"/>
  <c r="W31" i="2"/>
  <c r="W30" i="2"/>
  <c r="O33" i="2" a="1"/>
  <c r="P33" i="2" a="1"/>
  <c r="P32" i="2" a="1"/>
  <c r="O32" i="2" a="1"/>
  <c r="AA31" i="2" l="1"/>
  <c r="AB31" i="2" s="1"/>
  <c r="AA30" i="2"/>
  <c r="AB30" i="2" s="1"/>
  <c r="Q32" i="2"/>
  <c r="Q33" i="2"/>
  <c r="W33" i="2"/>
  <c r="W32" i="2"/>
  <c r="AA32" i="2" l="1"/>
  <c r="AB32" i="2" s="1"/>
  <c r="AA33" i="2"/>
  <c r="AB33" i="2" s="1"/>
  <c r="O34" i="2" a="1"/>
  <c r="O35" i="2" a="1"/>
  <c r="P34" i="2" a="1"/>
  <c r="P35" i="2" a="1"/>
  <c r="Q34" i="2" l="1"/>
  <c r="W34" i="2"/>
  <c r="W35" i="2"/>
  <c r="Q35" i="2"/>
  <c r="AA35" i="2" l="1"/>
  <c r="AB35" i="2" s="1"/>
  <c r="AA34" i="2"/>
  <c r="AB34" i="2" s="1"/>
  <c r="O37" i="2" l="1" a="1"/>
  <c r="P36" i="2" a="1"/>
  <c r="O36" i="2" a="1"/>
  <c r="P37" i="2" a="1"/>
  <c r="W36" i="2" l="1"/>
  <c r="Q37" i="2"/>
  <c r="W37" i="2"/>
  <c r="AA37" i="2" s="1"/>
  <c r="AB37" i="2" s="1"/>
  <c r="Q36" i="2"/>
  <c r="P39" i="2" l="1" a="1"/>
  <c r="P38" i="2" a="1"/>
  <c r="O38" i="2" a="1"/>
  <c r="O39" i="2" a="1"/>
  <c r="AA36" i="2"/>
  <c r="AB36" i="2" s="1"/>
  <c r="W38" i="2" l="1"/>
  <c r="Q39" i="2"/>
  <c r="Q38" i="2"/>
  <c r="AA38" i="2" s="1"/>
  <c r="AB38" i="2" s="1"/>
  <c r="W39" i="2"/>
  <c r="O41" i="2" a="1"/>
  <c r="P41" i="2" a="1"/>
  <c r="P40" i="2" a="1"/>
  <c r="O40" i="2" a="1"/>
  <c r="AA39" i="2" l="1"/>
  <c r="AB39" i="2" s="1"/>
  <c r="Q41" i="2"/>
  <c r="Q40" i="2"/>
  <c r="W41" i="2"/>
  <c r="W40" i="2"/>
  <c r="AA41" i="2" l="1"/>
  <c r="AB41" i="2" s="1"/>
  <c r="AA40" i="2"/>
  <c r="AB40" i="2" s="1"/>
  <c r="O43" i="2" l="1" a="1"/>
  <c r="O42" i="2" a="1"/>
  <c r="P43" i="2" a="1"/>
  <c r="P42" i="2" a="1"/>
  <c r="Q43" i="2" l="1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Q55" i="2" s="1"/>
  <c r="O54" i="2" a="1"/>
  <c r="O55" i="2" a="1"/>
  <c r="P54" i="2" a="1"/>
  <c r="P57" i="2" a="1"/>
  <c r="O57" i="2" a="1"/>
  <c r="O56" i="2" a="1"/>
  <c r="P56" i="2" a="1"/>
  <c r="W54" i="2" l="1"/>
  <c r="W55" i="2"/>
  <c r="AA55" i="2" s="1"/>
  <c r="AB55" i="2" s="1"/>
  <c r="Q54" i="2"/>
  <c r="AA54" i="2" s="1"/>
  <c r="AB54" i="2" s="1"/>
  <c r="Q56" i="2"/>
  <c r="W57" i="2"/>
  <c r="Q57" i="2"/>
  <c r="AA57" i="2" s="1"/>
  <c r="AB57" i="2" s="1"/>
  <c r="W56" i="2"/>
  <c r="AA56" i="2" l="1"/>
  <c r="AB56" i="2" s="1"/>
  <c r="O59" i="2" a="1"/>
  <c r="O58" i="2" a="1"/>
  <c r="P59" i="2" a="1"/>
  <c r="P58" i="2" a="1"/>
  <c r="Q59" i="2" l="1"/>
  <c r="Q58" i="2"/>
  <c r="W59" i="2"/>
  <c r="W58" i="2"/>
  <c r="AA59" i="2" l="1"/>
  <c r="AB59" i="2" s="1"/>
  <c r="AA58" i="2"/>
  <c r="AB58" i="2" s="1"/>
  <c r="P63" i="2" l="1" a="1"/>
  <c r="Q63" i="2" s="1"/>
  <c r="O60" i="2" a="1"/>
  <c r="O62" i="2" a="1"/>
  <c r="O63" i="2" a="1"/>
  <c r="P60" i="2" a="1"/>
  <c r="Q60" i="2" s="1"/>
  <c r="P61" i="2" a="1"/>
  <c r="O61" i="2" a="1"/>
  <c r="P62" i="2" a="1"/>
  <c r="W62" i="2" l="1"/>
  <c r="W61" i="2"/>
  <c r="Q62" i="2"/>
  <c r="W63" i="2"/>
  <c r="AA63" i="2" s="1"/>
  <c r="AB63" i="2" s="1"/>
  <c r="Q61" i="2"/>
  <c r="AA61" i="2" s="1"/>
  <c r="AB61" i="2" s="1"/>
  <c r="W60" i="2"/>
  <c r="AA60" i="2" s="1"/>
  <c r="AB60" i="2" s="1"/>
  <c r="AA62" i="2" l="1"/>
  <c r="AB62" i="2" s="1"/>
  <c r="P64" i="2" a="1"/>
  <c r="O67" i="2" a="1"/>
  <c r="P65" i="2" a="1"/>
  <c r="P67" i="2" a="1"/>
  <c r="O64" i="2" a="1"/>
  <c r="O65" i="2" a="1"/>
  <c r="O66" i="2" a="1"/>
  <c r="P66" i="2" a="1"/>
  <c r="Q65" i="2" l="1"/>
  <c r="W66" i="2"/>
  <c r="W67" i="2"/>
  <c r="W64" i="2"/>
  <c r="Q67" i="2"/>
  <c r="W65" i="2"/>
  <c r="Q66" i="2"/>
  <c r="Q64" i="2"/>
  <c r="AA64" i="2" s="1"/>
  <c r="AB64" i="2" s="1"/>
  <c r="AA65" i="2" l="1"/>
  <c r="AB65" i="2" s="1"/>
  <c r="AA66" i="2"/>
  <c r="AB66" i="2" s="1"/>
  <c r="AA67" i="2"/>
  <c r="AB67" i="2" s="1"/>
  <c r="O68" i="2" a="1"/>
  <c r="P69" i="2" a="1"/>
  <c r="O69" i="2" a="1"/>
  <c r="P68" i="2" a="1"/>
  <c r="W69" i="2" l="1"/>
  <c r="Q68" i="2"/>
  <c r="W68" i="2"/>
  <c r="Q69" i="2"/>
  <c r="AA69" i="2" s="1"/>
  <c r="AB69" i="2" s="1"/>
  <c r="AA68" i="2" l="1"/>
  <c r="AB68" i="2" s="1"/>
  <c r="O70" i="2" a="1"/>
  <c r="P70" i="2" a="1"/>
  <c r="O71" i="2" a="1"/>
  <c r="P71" i="2" a="1"/>
  <c r="Q71" i="2" l="1"/>
  <c r="W70" i="2"/>
  <c r="W71" i="2"/>
  <c r="Q70" i="2"/>
  <c r="AA71" i="2" l="1"/>
  <c r="AB71" i="2" s="1"/>
  <c r="AA70" i="2"/>
  <c r="AB70" i="2" s="1"/>
  <c r="P72" i="2" a="1"/>
  <c r="P73" i="2" a="1"/>
  <c r="O73" i="2" a="1"/>
  <c r="O72" i="2" a="1"/>
  <c r="W72" i="2" s="1"/>
  <c r="O76" i="2" a="1"/>
  <c r="O74" i="2" a="1"/>
  <c r="P77" i="2" a="1"/>
  <c r="P75" i="2" a="1"/>
  <c r="Q75" i="2" s="1"/>
  <c r="P74" i="2" a="1"/>
  <c r="O75" i="2" a="1"/>
  <c r="P76" i="2" a="1"/>
  <c r="O77" i="2" a="1"/>
  <c r="W73" i="2" l="1"/>
  <c r="W76" i="2"/>
  <c r="Q74" i="2"/>
  <c r="W77" i="2"/>
  <c r="Q72" i="2"/>
  <c r="AA72" i="2" s="1"/>
  <c r="AB72" i="2" s="1"/>
  <c r="W74" i="2"/>
  <c r="Q77" i="2"/>
  <c r="W75" i="2"/>
  <c r="AA75" i="2" s="1"/>
  <c r="AB75" i="2" s="1"/>
  <c r="Q76" i="2"/>
  <c r="Q73" i="2"/>
  <c r="AA73" i="2" s="1"/>
  <c r="AB73" i="2" s="1"/>
  <c r="AA74" i="2" l="1"/>
  <c r="AB74" i="2" s="1"/>
  <c r="AA77" i="2"/>
  <c r="AB77" i="2" s="1"/>
  <c r="AA76" i="2"/>
  <c r="AB76" i="2" s="1"/>
  <c r="P80" i="2" a="1"/>
  <c r="P81" i="2" a="1"/>
  <c r="O80" i="2" a="1"/>
  <c r="W80" i="2" s="1"/>
  <c r="O78" i="2" a="1"/>
  <c r="O79" i="2" a="1"/>
  <c r="P78" i="2" a="1"/>
  <c r="P79" i="2" a="1"/>
  <c r="O81" i="2" a="1"/>
  <c r="W81" i="2" l="1"/>
  <c r="Q78" i="2"/>
  <c r="Q79" i="2"/>
  <c r="Q80" i="2"/>
  <c r="AA80" i="2" s="1"/>
  <c r="AB80" i="2" s="1"/>
  <c r="Q81" i="2"/>
  <c r="AA81" i="2" s="1"/>
  <c r="AB81" i="2" s="1"/>
  <c r="W78" i="2"/>
  <c r="W79" i="2"/>
  <c r="AA79" i="2" l="1"/>
  <c r="AB79" i="2" s="1"/>
  <c r="AA78" i="2"/>
  <c r="AB78" i="2" s="1"/>
  <c r="O83" i="2" a="1"/>
  <c r="P83" i="2" a="1"/>
  <c r="Q83" i="2" s="1"/>
  <c r="P82" i="2" a="1"/>
  <c r="O82" i="2" a="1"/>
  <c r="O85" i="2" a="1"/>
  <c r="P84" i="2" a="1"/>
  <c r="P85" i="2" a="1"/>
  <c r="O84" i="2" a="1"/>
  <c r="W82" i="2" l="1"/>
  <c r="W83" i="2"/>
  <c r="AA83" i="2" s="1"/>
  <c r="AB83" i="2" s="1"/>
  <c r="Q82" i="2"/>
  <c r="W85" i="2"/>
  <c r="W84" i="2"/>
  <c r="Q84" i="2"/>
  <c r="Q85" i="2"/>
  <c r="AA82" i="2" l="1"/>
  <c r="AB82" i="2" s="1"/>
  <c r="AA84" i="2"/>
  <c r="AB84" i="2" s="1"/>
  <c r="AA85" i="2"/>
  <c r="AB85" i="2" s="1"/>
  <c r="P86" i="2" l="1" a="1"/>
  <c r="P87" i="2" a="1"/>
  <c r="O87" i="2" a="1"/>
  <c r="O86" i="2" a="1"/>
  <c r="W86" i="2" l="1"/>
  <c r="W87" i="2"/>
  <c r="Q86" i="2"/>
  <c r="Q87" i="2"/>
  <c r="AA86" i="2" l="1"/>
  <c r="AB86" i="2" s="1"/>
  <c r="AA87" i="2"/>
  <c r="AB87" i="2" s="1"/>
  <c r="O88" i="2" l="1" a="1"/>
  <c r="P89" i="2" a="1"/>
  <c r="O91" i="2" a="1"/>
  <c r="O90" i="2" a="1"/>
  <c r="P90" i="2" a="1"/>
  <c r="Q90" i="2" s="1"/>
  <c r="P91" i="2" a="1"/>
  <c r="P88" i="2" a="1"/>
  <c r="O89" i="2" a="1"/>
  <c r="Q91" i="2" l="1"/>
  <c r="Q88" i="2"/>
  <c r="W89" i="2"/>
  <c r="Q89" i="2"/>
  <c r="W90" i="2"/>
  <c r="AA90" i="2" s="1"/>
  <c r="AB90" i="2" s="1"/>
  <c r="W91" i="2"/>
  <c r="W88" i="2"/>
  <c r="P97" i="2" a="1"/>
  <c r="O97" i="2" a="1"/>
  <c r="P96" i="2" a="1"/>
  <c r="O96" i="2" a="1"/>
  <c r="AA91" i="2" l="1"/>
  <c r="AB91" i="2" s="1"/>
  <c r="AA89" i="2"/>
  <c r="AB89" i="2" s="1"/>
  <c r="AA88" i="2"/>
  <c r="AB88" i="2" s="1"/>
  <c r="O92" i="2" a="1"/>
  <c r="P92" i="2" a="1"/>
  <c r="P95" i="2" a="1"/>
  <c r="O94" i="2" a="1"/>
  <c r="O93" i="2" a="1"/>
  <c r="P93" i="2" a="1"/>
  <c r="P94" i="2" a="1"/>
  <c r="Q94" i="2" s="1"/>
  <c r="O95" i="2" a="1"/>
  <c r="W97" i="2"/>
  <c r="Q96" i="2"/>
  <c r="Q97" i="2"/>
  <c r="W96" i="2"/>
  <c r="W93" i="2" l="1"/>
  <c r="W95" i="2"/>
  <c r="W92" i="2"/>
  <c r="W94" i="2"/>
  <c r="AA94" i="2" s="1"/>
  <c r="AB94" i="2" s="1"/>
  <c r="Q92" i="2"/>
  <c r="AA92" i="2" s="1"/>
  <c r="AB92" i="2" s="1"/>
  <c r="Q95" i="2"/>
  <c r="Q93" i="2"/>
  <c r="AA97" i="2"/>
  <c r="AB97" i="2" s="1"/>
  <c r="AA96" i="2"/>
  <c r="AB96" i="2" s="1"/>
  <c r="AA95" i="2" l="1"/>
  <c r="AB95" i="2" s="1"/>
  <c r="AA93" i="2"/>
  <c r="AB93" i="2" s="1"/>
  <c r="P98" i="2" a="1"/>
  <c r="O99" i="2" a="1"/>
  <c r="O98" i="2" a="1"/>
  <c r="P99" i="2" a="1"/>
  <c r="P101" i="2" a="1"/>
  <c r="O100" i="2" a="1"/>
  <c r="O103" i="2" a="1"/>
  <c r="P103" i="2" a="1"/>
  <c r="O101" i="2" a="1"/>
  <c r="P102" i="2" a="1"/>
  <c r="P100" i="2" a="1"/>
  <c r="O102" i="2" a="1"/>
  <c r="W98" i="2" l="1"/>
  <c r="W99" i="2"/>
  <c r="Q98" i="2"/>
  <c r="AA98" i="2" s="1"/>
  <c r="AB98" i="2" s="1"/>
  <c r="Q99" i="2"/>
  <c r="AA99" i="2" s="1"/>
  <c r="AB99" i="2" s="1"/>
  <c r="W100" i="2"/>
  <c r="W103" i="2"/>
  <c r="W101" i="2"/>
  <c r="W102" i="2"/>
  <c r="Q101" i="2"/>
  <c r="Q103" i="2"/>
  <c r="Q102" i="2"/>
  <c r="Q100" i="2"/>
  <c r="AA100" i="2" l="1"/>
  <c r="AB100" i="2" s="1"/>
  <c r="AA101" i="2"/>
  <c r="AB101" i="2" s="1"/>
  <c r="AA103" i="2"/>
  <c r="AB103" i="2" s="1"/>
  <c r="AA102" i="2"/>
  <c r="AB102" i="2" s="1"/>
  <c r="P106" i="2" a="1"/>
  <c r="O107" i="2" a="1"/>
  <c r="P107" i="2" a="1"/>
  <c r="O106" i="2" a="1"/>
  <c r="P108" i="2" a="1"/>
  <c r="P109" i="2" a="1"/>
  <c r="O109" i="2" a="1"/>
  <c r="O108" i="2" a="1"/>
  <c r="P105" i="2" l="1" a="1"/>
  <c r="O104" i="2" a="1"/>
  <c r="P104" i="2" a="1"/>
  <c r="O105" i="2" a="1"/>
  <c r="W107" i="2"/>
  <c r="Q106" i="2"/>
  <c r="W106" i="2"/>
  <c r="Q107" i="2"/>
  <c r="W109" i="2"/>
  <c r="W108" i="2"/>
  <c r="Q108" i="2"/>
  <c r="Q109" i="2"/>
  <c r="W104" i="2" l="1"/>
  <c r="W105" i="2"/>
  <c r="Q105" i="2"/>
  <c r="Q104" i="2"/>
  <c r="AA104" i="2" s="1"/>
  <c r="AB104" i="2" s="1"/>
  <c r="AA107" i="2"/>
  <c r="AB107" i="2" s="1"/>
  <c r="AA106" i="2"/>
  <c r="AB106" i="2" s="1"/>
  <c r="AA108" i="2"/>
  <c r="AB108" i="2" s="1"/>
  <c r="AA109" i="2"/>
  <c r="AB109" i="2" s="1"/>
  <c r="AA105" i="2" l="1"/>
  <c r="AB105" i="2" s="1"/>
  <c r="P111" i="2" a="1"/>
  <c r="P110" i="2" a="1"/>
  <c r="O110" i="2" a="1"/>
  <c r="O111" i="2" a="1"/>
  <c r="P112" i="2" a="1"/>
  <c r="O113" i="2" a="1"/>
  <c r="O112" i="2" a="1"/>
  <c r="P113" i="2" a="1"/>
  <c r="Q111" i="2" l="1"/>
  <c r="Q110" i="2"/>
  <c r="W110" i="2"/>
  <c r="AA110" i="2" s="1"/>
  <c r="AB110" i="2" s="1"/>
  <c r="W111" i="2"/>
  <c r="Q112" i="2"/>
  <c r="Q113" i="2"/>
  <c r="W112" i="2"/>
  <c r="W113" i="2"/>
  <c r="AA111" i="2" l="1"/>
  <c r="AB111" i="2" s="1"/>
  <c r="AA112" i="2"/>
  <c r="AB112" i="2" s="1"/>
  <c r="AA113" i="2"/>
  <c r="AB113" i="2" s="1"/>
  <c r="P115" i="2" l="1" a="1"/>
  <c r="O115" i="2" a="1"/>
  <c r="O114" i="2" a="1"/>
  <c r="P114" i="2" a="1"/>
  <c r="Q115" i="2" l="1"/>
  <c r="W114" i="2"/>
  <c r="Q114" i="2"/>
  <c r="AA114" i="2" s="1"/>
  <c r="AB114" i="2" s="1"/>
  <c r="W115" i="2"/>
  <c r="AA115" i="2" s="1"/>
  <c r="AB115" i="2" s="1"/>
  <c r="P117" i="2" l="1" a="1"/>
  <c r="O116" i="2" a="1"/>
  <c r="P116" i="2" a="1"/>
  <c r="O117" i="2" a="1"/>
  <c r="W117" i="2" s="1"/>
  <c r="P119" i="2" a="1"/>
  <c r="Q119" i="2" s="1"/>
  <c r="O119" i="2" a="1"/>
  <c r="P118" i="2" a="1"/>
  <c r="O118" i="2" a="1"/>
  <c r="W119" i="2" l="1"/>
  <c r="AA119" i="2" s="1"/>
  <c r="AB119" i="2" s="1"/>
  <c r="W116" i="2"/>
  <c r="W118" i="2"/>
  <c r="O123" i="2" a="1"/>
  <c r="O122" i="2" a="1"/>
  <c r="P122" i="2" a="1"/>
  <c r="Q122" i="2" s="1"/>
  <c r="P123" i="2" a="1"/>
  <c r="P121" i="2" a="1"/>
  <c r="O121" i="2" a="1"/>
  <c r="P120" i="2" a="1"/>
  <c r="O120" i="2" a="1"/>
  <c r="Q117" i="2"/>
  <c r="AA117" i="2" s="1"/>
  <c r="AB117" i="2" s="1"/>
  <c r="Q116" i="2"/>
  <c r="Q118" i="2"/>
  <c r="AA116" i="2" l="1"/>
  <c r="AB116" i="2" s="1"/>
  <c r="AA118" i="2"/>
  <c r="AB118" i="2" s="1"/>
  <c r="W123" i="2"/>
  <c r="Q121" i="2"/>
  <c r="Q120" i="2"/>
  <c r="Q123" i="2"/>
  <c r="AA123" i="2" s="1"/>
  <c r="AB123" i="2" s="1"/>
  <c r="W121" i="2"/>
  <c r="W120" i="2"/>
  <c r="W122" i="2"/>
  <c r="AA122" i="2" s="1"/>
  <c r="AB122" i="2" s="1"/>
  <c r="O124" i="2" a="1"/>
  <c r="P125" i="2" a="1"/>
  <c r="P124" i="2" a="1"/>
  <c r="O125" i="2" a="1"/>
  <c r="AA121" i="2" l="1"/>
  <c r="AB121" i="2" s="1"/>
  <c r="AA120" i="2"/>
  <c r="AB120" i="2" s="1"/>
  <c r="Q124" i="2"/>
  <c r="W125" i="2"/>
  <c r="W124" i="2"/>
  <c r="Q125" i="2"/>
  <c r="O131" i="2" a="1"/>
  <c r="P131" i="2" a="1"/>
  <c r="O130" i="2" a="1"/>
  <c r="P130" i="2" a="1"/>
  <c r="AA124" i="2" l="1"/>
  <c r="AB124" i="2" s="1"/>
  <c r="AA125" i="2"/>
  <c r="AB125" i="2" s="1"/>
  <c r="P127" i="2" a="1"/>
  <c r="O127" i="2" a="1"/>
  <c r="P126" i="2" a="1"/>
  <c r="O126" i="2" a="1"/>
  <c r="P129" i="2" a="1"/>
  <c r="O129" i="2" a="1"/>
  <c r="P128" i="2" a="1"/>
  <c r="O128" i="2" a="1"/>
  <c r="W130" i="2"/>
  <c r="Q131" i="2"/>
  <c r="W131" i="2"/>
  <c r="Q130" i="2"/>
  <c r="W126" i="2" l="1"/>
  <c r="Q127" i="2"/>
  <c r="W127" i="2"/>
  <c r="AA127" i="2" s="1"/>
  <c r="AB127" i="2" s="1"/>
  <c r="Q126" i="2"/>
  <c r="Q128" i="2"/>
  <c r="W128" i="2"/>
  <c r="Q129" i="2"/>
  <c r="W129" i="2"/>
  <c r="AA130" i="2"/>
  <c r="AB130" i="2" s="1"/>
  <c r="AA131" i="2"/>
  <c r="AB131" i="2" s="1"/>
  <c r="O133" i="2" a="1"/>
  <c r="P133" i="2" a="1"/>
  <c r="O132" i="2" a="1"/>
  <c r="P132" i="2" a="1"/>
  <c r="AA126" i="2" l="1"/>
  <c r="AB126" i="2" s="1"/>
  <c r="AA128" i="2"/>
  <c r="AB128" i="2" s="1"/>
  <c r="AA129" i="2"/>
  <c r="AB129" i="2" s="1"/>
  <c r="Q133" i="2"/>
  <c r="W132" i="2"/>
  <c r="W133" i="2"/>
  <c r="Q132" i="2"/>
  <c r="AA132" i="2" l="1"/>
  <c r="AB132" i="2" s="1"/>
  <c r="AA133" i="2"/>
  <c r="AB133" i="2" s="1"/>
  <c r="O135" i="2" l="1" a="1"/>
  <c r="P135" i="2" a="1"/>
  <c r="P134" i="2" a="1"/>
  <c r="O134" i="2" a="1"/>
  <c r="Q135" i="2" l="1"/>
  <c r="W134" i="2"/>
  <c r="W135" i="2"/>
  <c r="Q134" i="2"/>
  <c r="P141" i="2" a="1"/>
  <c r="P140" i="2" a="1"/>
  <c r="O140" i="2" a="1"/>
  <c r="O141" i="2" a="1"/>
  <c r="O138" i="2" a="1"/>
  <c r="P139" i="2" a="1"/>
  <c r="P138" i="2" a="1"/>
  <c r="O139" i="2" a="1"/>
  <c r="AA135" i="2" l="1"/>
  <c r="AB135" i="2" s="1"/>
  <c r="AA134" i="2"/>
  <c r="AB134" i="2" s="1"/>
  <c r="W141" i="2"/>
  <c r="P137" i="2" a="1"/>
  <c r="O136" i="2" a="1"/>
  <c r="P136" i="2" a="1"/>
  <c r="O137" i="2" a="1"/>
  <c r="Q138" i="2"/>
  <c r="W139" i="2"/>
  <c r="W138" i="2"/>
  <c r="Q140" i="2"/>
  <c r="Q141" i="2"/>
  <c r="Q139" i="2"/>
  <c r="W140" i="2"/>
  <c r="Q137" i="2" l="1"/>
  <c r="AA141" i="2"/>
  <c r="AB141" i="2" s="1"/>
  <c r="W136" i="2"/>
  <c r="Q136" i="2"/>
  <c r="W137" i="2"/>
  <c r="P142" i="2" a="1"/>
  <c r="P143" i="2" a="1"/>
  <c r="O143" i="2" a="1"/>
  <c r="O142" i="2" a="1"/>
  <c r="AA139" i="2"/>
  <c r="AB139" i="2" s="1"/>
  <c r="AA138" i="2"/>
  <c r="AB138" i="2" s="1"/>
  <c r="AA140" i="2"/>
  <c r="AB140" i="2" s="1"/>
  <c r="O145" i="2" a="1"/>
  <c r="P144" i="2" a="1"/>
  <c r="P145" i="2" a="1"/>
  <c r="O144" i="2" a="1"/>
  <c r="AA137" i="2" l="1"/>
  <c r="AB137" i="2" s="1"/>
  <c r="W143" i="2"/>
  <c r="AA136" i="2"/>
  <c r="AB136" i="2" s="1"/>
  <c r="W142" i="2"/>
  <c r="Q142" i="2"/>
  <c r="Q143" i="2"/>
  <c r="AA143" i="2" s="1"/>
  <c r="AB143" i="2" s="1"/>
  <c r="W145" i="2"/>
  <c r="Q144" i="2"/>
  <c r="Q145" i="2"/>
  <c r="W144" i="2"/>
  <c r="AA142" i="2" l="1"/>
  <c r="AB142" i="2" s="1"/>
  <c r="AA145" i="2"/>
  <c r="AB145" i="2" s="1"/>
  <c r="AA144" i="2"/>
  <c r="AB144" i="2" s="1"/>
  <c r="O147" i="2" a="1"/>
  <c r="P147" i="2" a="1"/>
  <c r="O146" i="2" a="1"/>
  <c r="P146" i="2" a="1"/>
  <c r="Q146" i="2" l="1"/>
  <c r="W147" i="2"/>
  <c r="W146" i="2"/>
  <c r="Q147" i="2"/>
  <c r="AA146" i="2" l="1"/>
  <c r="AB146" i="2" s="1"/>
  <c r="AA147" i="2"/>
  <c r="AB147" i="2" s="1"/>
  <c r="P153" i="2" l="1" a="1"/>
  <c r="O152" i="2" a="1"/>
  <c r="O153" i="2" a="1"/>
  <c r="P152" i="2" a="1"/>
  <c r="O148" i="2" a="1"/>
  <c r="P148" i="2" a="1"/>
  <c r="P149" i="2" a="1"/>
  <c r="O151" i="2" a="1"/>
  <c r="O149" i="2" a="1"/>
  <c r="P150" i="2" a="1"/>
  <c r="O150" i="2" a="1"/>
  <c r="W150" i="2" s="1"/>
  <c r="P151" i="2" a="1"/>
  <c r="Q153" i="2" l="1"/>
  <c r="W152" i="2"/>
  <c r="W148" i="2"/>
  <c r="Q149" i="2"/>
  <c r="W151" i="2"/>
  <c r="W153" i="2"/>
  <c r="Q152" i="2"/>
  <c r="Q148" i="2"/>
  <c r="W149" i="2"/>
  <c r="Q150" i="2"/>
  <c r="AA150" i="2" s="1"/>
  <c r="AB150" i="2" s="1"/>
  <c r="Q151" i="2"/>
  <c r="AA151" i="2" l="1"/>
  <c r="AB151" i="2" s="1"/>
  <c r="AA149" i="2"/>
  <c r="AB149" i="2" s="1"/>
  <c r="AA153" i="2"/>
  <c r="AB153" i="2" s="1"/>
  <c r="AA152" i="2"/>
  <c r="AB152" i="2" s="1"/>
  <c r="AA148" i="2"/>
  <c r="AB148" i="2" s="1"/>
  <c r="P154" i="2" a="1"/>
  <c r="O155" i="2" a="1"/>
  <c r="O154" i="2" a="1"/>
  <c r="P155" i="2" a="1"/>
  <c r="P156" i="2" l="1" a="1"/>
  <c r="Q156" i="2" s="1"/>
  <c r="O157" i="2" a="1"/>
  <c r="P157" i="2" a="1"/>
  <c r="O156" i="2" a="1"/>
  <c r="Q155" i="2"/>
  <c r="Q154" i="2"/>
  <c r="W154" i="2"/>
  <c r="W155" i="2"/>
  <c r="W156" i="2" l="1"/>
  <c r="AA156" i="2" s="1"/>
  <c r="AB156" i="2" s="1"/>
  <c r="AA154" i="2"/>
  <c r="AB154" i="2" s="1"/>
  <c r="W157" i="2"/>
  <c r="Q157" i="2"/>
  <c r="AA157" i="2" s="1"/>
  <c r="AB157" i="2" s="1"/>
  <c r="AA155" i="2"/>
  <c r="AB155" i="2" s="1"/>
  <c r="P158" i="2" a="1"/>
  <c r="P159" i="2" a="1"/>
  <c r="O158" i="2" a="1"/>
  <c r="O159" i="2" a="1"/>
  <c r="W159" i="2" l="1"/>
  <c r="W158" i="2"/>
  <c r="Q158" i="2"/>
  <c r="Q159" i="2"/>
  <c r="AA159" i="2" l="1"/>
  <c r="AB159" i="2" s="1"/>
  <c r="AA158" i="2"/>
  <c r="AB158" i="2" s="1"/>
  <c r="O160" i="2" l="1" a="1"/>
  <c r="P161" i="2" a="1"/>
  <c r="P160" i="2" a="1"/>
  <c r="O161" i="2" a="1"/>
  <c r="O162" i="2" a="1"/>
  <c r="P163" i="2" a="1"/>
  <c r="P162" i="2" a="1"/>
  <c r="O163" i="2" a="1"/>
  <c r="W162" i="2" l="1"/>
  <c r="W163" i="2"/>
  <c r="Q160" i="2"/>
  <c r="W161" i="2"/>
  <c r="W160" i="2"/>
  <c r="Q161" i="2"/>
  <c r="Q163" i="2"/>
  <c r="Q162" i="2"/>
  <c r="AA160" i="2" l="1"/>
  <c r="AB160" i="2" s="1"/>
  <c r="AA162" i="2"/>
  <c r="AB162" i="2" s="1"/>
  <c r="AA163" i="2"/>
  <c r="AB163" i="2" s="1"/>
  <c r="AA161" i="2"/>
  <c r="AB161" i="2" s="1"/>
  <c r="O165" i="2" l="1" a="1"/>
  <c r="O164" i="2" a="1"/>
  <c r="P165" i="2" a="1"/>
  <c r="P164" i="2" a="1"/>
  <c r="P167" i="2" a="1"/>
  <c r="P166" i="2" a="1"/>
  <c r="O166" i="2" a="1"/>
  <c r="O167" i="2" a="1"/>
  <c r="W164" i="2" l="1"/>
  <c r="Q165" i="2"/>
  <c r="Q167" i="2"/>
  <c r="W166" i="2"/>
  <c r="W165" i="2"/>
  <c r="Q164" i="2"/>
  <c r="Q166" i="2"/>
  <c r="W167" i="2"/>
  <c r="O169" i="2" a="1"/>
  <c r="O168" i="2" a="1"/>
  <c r="P168" i="2" a="1"/>
  <c r="P169" i="2" a="1"/>
  <c r="AA165" i="2" l="1"/>
  <c r="AB165" i="2" s="1"/>
  <c r="AA164" i="2"/>
  <c r="AB164" i="2" s="1"/>
  <c r="AA167" i="2"/>
  <c r="AB167" i="2" s="1"/>
  <c r="AA166" i="2"/>
  <c r="AB166" i="2" s="1"/>
  <c r="Q169" i="2"/>
  <c r="Q168" i="2"/>
  <c r="W169" i="2"/>
  <c r="W168" i="2"/>
  <c r="AA169" i="2" l="1"/>
  <c r="AB169" i="2" s="1"/>
  <c r="AA168" i="2"/>
  <c r="AB168" i="2" s="1"/>
  <c r="O173" i="2" a="1"/>
  <c r="P173" i="2" a="1"/>
  <c r="P172" i="2" a="1"/>
  <c r="O172" i="2" a="1"/>
  <c r="O170" i="2" l="1" a="1"/>
  <c r="O171" i="2" a="1"/>
  <c r="P171" i="2" a="1"/>
  <c r="P170" i="2" a="1"/>
  <c r="W172" i="2"/>
  <c r="Q173" i="2"/>
  <c r="W173" i="2"/>
  <c r="Q172" i="2"/>
  <c r="Q170" i="2" l="1"/>
  <c r="W171" i="2"/>
  <c r="Q171" i="2"/>
  <c r="AA171" i="2" s="1"/>
  <c r="AB171" i="2" s="1"/>
  <c r="W170" i="2"/>
  <c r="AA173" i="2"/>
  <c r="AB173" i="2" s="1"/>
  <c r="AA172" i="2"/>
  <c r="AB172" i="2" s="1"/>
  <c r="AA170" i="2" l="1"/>
  <c r="AB170" i="2" s="1"/>
  <c r="P175" i="2" a="1"/>
  <c r="O174" i="2" a="1"/>
  <c r="P174" i="2" a="1"/>
  <c r="O177" i="2" a="1"/>
  <c r="O175" i="2" a="1"/>
  <c r="P177" i="2" a="1"/>
  <c r="P176" i="2" a="1"/>
  <c r="Q176" i="2" s="1"/>
  <c r="O176" i="2" a="1"/>
  <c r="Q175" i="2" l="1"/>
  <c r="Q177" i="2"/>
  <c r="W174" i="2"/>
  <c r="Q174" i="2"/>
  <c r="W177" i="2"/>
  <c r="W175" i="2"/>
  <c r="W176" i="2"/>
  <c r="AA176" i="2" s="1"/>
  <c r="AB176" i="2" s="1"/>
  <c r="AA174" i="2" l="1"/>
  <c r="AB174" i="2" s="1"/>
  <c r="AA177" i="2"/>
  <c r="AB177" i="2" s="1"/>
  <c r="AA175" i="2"/>
  <c r="AB175" i="2" s="1"/>
  <c r="P178" i="2" a="1"/>
  <c r="O181" i="2" a="1"/>
  <c r="P180" i="2" a="1"/>
  <c r="P181" i="2" a="1"/>
  <c r="P179" i="2" a="1"/>
  <c r="O179" i="2" a="1"/>
  <c r="O180" i="2" a="1"/>
  <c r="O178" i="2" a="1"/>
  <c r="W181" i="2" l="1"/>
  <c r="Q180" i="2"/>
  <c r="Q179" i="2"/>
  <c r="Q181" i="2"/>
  <c r="AA181" i="2" s="1"/>
  <c r="AB181" i="2" s="1"/>
  <c r="W180" i="2"/>
  <c r="W178" i="2"/>
  <c r="Q178" i="2"/>
  <c r="W179" i="2"/>
  <c r="P182" i="2" a="1"/>
  <c r="P183" i="2" a="1"/>
  <c r="O182" i="2" a="1"/>
  <c r="O183" i="2" a="1"/>
  <c r="AA180" i="2" l="1"/>
  <c r="AB180" i="2" s="1"/>
  <c r="AA179" i="2"/>
  <c r="AB179" i="2" s="1"/>
  <c r="AA178" i="2"/>
  <c r="AB178" i="2" s="1"/>
  <c r="Q183" i="2"/>
  <c r="W182" i="2"/>
  <c r="Q182" i="2"/>
  <c r="W183" i="2"/>
  <c r="AA183" i="2" l="1"/>
  <c r="AB183" i="2" s="1"/>
  <c r="AA182" i="2"/>
  <c r="AB182" i="2" s="1"/>
  <c r="P185" i="2" l="1" a="1"/>
  <c r="Q185" i="2" s="1"/>
  <c r="O184" i="2" a="1"/>
  <c r="P184" i="2" a="1"/>
  <c r="O185" i="2" a="1"/>
  <c r="P187" i="2" a="1"/>
  <c r="Q187" i="2" s="1"/>
  <c r="O186" i="2" a="1"/>
  <c r="W186" i="2" s="1"/>
  <c r="P186" i="2" a="1"/>
  <c r="O187" i="2" a="1"/>
  <c r="Q184" i="2" l="1"/>
  <c r="W184" i="2"/>
  <c r="W185" i="2"/>
  <c r="AA185" i="2" s="1"/>
  <c r="AB185" i="2" s="1"/>
  <c r="Q186" i="2"/>
  <c r="AA186" i="2" s="1"/>
  <c r="AB186" i="2" s="1"/>
  <c r="W187" i="2"/>
  <c r="AA187" i="2" s="1"/>
  <c r="AB187" i="2" s="1"/>
  <c r="AA184" i="2" l="1"/>
  <c r="AB184" i="2" s="1"/>
  <c r="O188" i="2" a="1"/>
  <c r="O189" i="2" a="1"/>
  <c r="P188" i="2" a="1"/>
  <c r="Q188" i="2" s="1"/>
  <c r="P189" i="2" a="1"/>
  <c r="O190" i="2" a="1"/>
  <c r="O191" i="2" a="1"/>
  <c r="P190" i="2" a="1"/>
  <c r="Q190" i="2" s="1"/>
  <c r="P191" i="2" a="1"/>
  <c r="W191" i="2" l="1"/>
  <c r="W189" i="2"/>
  <c r="W188" i="2"/>
  <c r="AA188" i="2" s="1"/>
  <c r="AB188" i="2" s="1"/>
  <c r="Q189" i="2"/>
  <c r="W190" i="2"/>
  <c r="AA190" i="2" s="1"/>
  <c r="AB190" i="2" s="1"/>
  <c r="Q191" i="2"/>
  <c r="AA191" i="2" s="1"/>
  <c r="AB191" i="2" s="1"/>
  <c r="P192" i="2" a="1"/>
  <c r="P193" i="2" a="1"/>
  <c r="O192" i="2" a="1"/>
  <c r="W192" i="2" s="1"/>
  <c r="O193" i="2" a="1"/>
  <c r="W193" i="2" s="1"/>
  <c r="P197" i="2" a="1"/>
  <c r="O195" i="2" a="1"/>
  <c r="O194" i="2" a="1"/>
  <c r="P194" i="2" a="1"/>
  <c r="Q194" i="2" s="1"/>
  <c r="O197" i="2" a="1"/>
  <c r="O196" i="2" a="1"/>
  <c r="P196" i="2" a="1"/>
  <c r="P195" i="2" a="1"/>
  <c r="AA189" i="2" l="1"/>
  <c r="AB189" i="2" s="1"/>
  <c r="W194" i="2"/>
  <c r="AA194" i="2" s="1"/>
  <c r="AB194" i="2" s="1"/>
  <c r="Q193" i="2"/>
  <c r="AA193" i="2" s="1"/>
  <c r="AB193" i="2" s="1"/>
  <c r="Q192" i="2"/>
  <c r="AA192" i="2" s="1"/>
  <c r="AB192" i="2" s="1"/>
  <c r="W196" i="2"/>
  <c r="Q196" i="2"/>
  <c r="Q197" i="2"/>
  <c r="W197" i="2"/>
  <c r="W195" i="2"/>
  <c r="Q195" i="2"/>
  <c r="AA197" i="2" l="1"/>
  <c r="AB197" i="2" s="1"/>
  <c r="AA196" i="2"/>
  <c r="AB196" i="2" s="1"/>
  <c r="AA195" i="2"/>
  <c r="AB195" i="2" s="1"/>
  <c r="P200" i="2" a="1"/>
  <c r="O200" i="2" a="1"/>
  <c r="O201" i="2" l="1" a="1"/>
  <c r="P198" i="2" a="1"/>
  <c r="O198" i="2" a="1"/>
  <c r="O199" i="2" a="1"/>
  <c r="P199" i="2" a="1"/>
  <c r="P201" i="2" a="1"/>
  <c r="W200" i="2"/>
  <c r="Q200" i="2"/>
  <c r="W199" i="2" l="1"/>
  <c r="W198" i="2"/>
  <c r="Q201" i="2"/>
  <c r="Q199" i="2"/>
  <c r="AA199" i="2" s="1"/>
  <c r="AB199" i="2" s="1"/>
  <c r="Q198" i="2"/>
  <c r="W201" i="2"/>
  <c r="AA200" i="2"/>
  <c r="AB200" i="2" s="1"/>
  <c r="AA198" i="2" l="1"/>
  <c r="AB198" i="2" s="1"/>
  <c r="AA201" i="2"/>
  <c r="AB201" i="2" s="1"/>
  <c r="P203" i="2" a="1"/>
  <c r="Q203" i="2" s="1"/>
  <c r="O203" i="2" a="1"/>
  <c r="P202" i="2" a="1"/>
  <c r="O202" i="2" a="1"/>
  <c r="W202" i="2" l="1"/>
  <c r="P206" i="2" a="1"/>
  <c r="P204" i="2" a="1"/>
  <c r="O206" i="2" a="1"/>
  <c r="W206" i="2" s="1"/>
  <c r="P207" i="2" a="1"/>
  <c r="O204" i="2" a="1"/>
  <c r="O207" i="2" a="1"/>
  <c r="P205" i="2" a="1"/>
  <c r="O205" i="2" a="1"/>
  <c r="W205" i="2" s="1"/>
  <c r="Q202" i="2"/>
  <c r="AA202" i="2" s="1"/>
  <c r="AB202" i="2" s="1"/>
  <c r="W203" i="2"/>
  <c r="AA203" i="2" s="1"/>
  <c r="AB203" i="2" s="1"/>
  <c r="Q207" i="2" l="1"/>
  <c r="W204" i="2"/>
  <c r="W207" i="2"/>
  <c r="Q205" i="2"/>
  <c r="AA205" i="2" s="1"/>
  <c r="AB205" i="2" s="1"/>
  <c r="Q204" i="2"/>
  <c r="Q206" i="2"/>
  <c r="AA206" i="2" s="1"/>
  <c r="AB206" i="2" s="1"/>
  <c r="P208" i="2" a="1"/>
  <c r="P209" i="2" a="1"/>
  <c r="O209" i="2" a="1"/>
  <c r="O208" i="2" a="1"/>
  <c r="AA207" i="2" l="1"/>
  <c r="AB207" i="2" s="1"/>
  <c r="AA204" i="2"/>
  <c r="AB204" i="2" s="1"/>
  <c r="W208" i="2"/>
  <c r="Q209" i="2"/>
  <c r="Q208" i="2"/>
  <c r="AA208" i="2" s="1"/>
  <c r="AB208" i="2" s="1"/>
  <c r="W209" i="2"/>
  <c r="AA209" i="2" l="1"/>
  <c r="AB209" i="2" s="1"/>
  <c r="O211" i="2" l="1" a="1"/>
  <c r="O210" i="2" a="1"/>
  <c r="P211" i="2" a="1"/>
  <c r="P210" i="2" a="1"/>
  <c r="W210" i="2" l="1"/>
  <c r="W211" i="2"/>
  <c r="Q211" i="2"/>
  <c r="AA211" i="2" s="1"/>
  <c r="AB211" i="2" s="1"/>
  <c r="Q210" i="2"/>
  <c r="AA210" i="2" l="1"/>
  <c r="AB210" i="2" s="1"/>
  <c r="P214" i="2" a="1"/>
  <c r="O214" i="2" a="1"/>
  <c r="W214" i="2" s="1"/>
  <c r="O215" i="2" a="1"/>
  <c r="P215" i="2" a="1"/>
  <c r="Q215" i="2" s="1"/>
  <c r="P213" i="2" a="1"/>
  <c r="O213" i="2" a="1"/>
  <c r="W213" i="2" s="1"/>
  <c r="P212" i="2" a="1"/>
  <c r="O212" i="2" a="1"/>
  <c r="O216" i="2" a="1"/>
  <c r="P216" i="2" a="1"/>
  <c r="P217" i="2" a="1"/>
  <c r="O217" i="2" a="1"/>
  <c r="Q212" i="2" l="1"/>
  <c r="Q214" i="2"/>
  <c r="AA214" i="2" s="1"/>
  <c r="AB214" i="2" s="1"/>
  <c r="W215" i="2"/>
  <c r="AA215" i="2" s="1"/>
  <c r="AB215" i="2" s="1"/>
  <c r="Q213" i="2"/>
  <c r="AA213" i="2" s="1"/>
  <c r="AB213" i="2" s="1"/>
  <c r="W212" i="2"/>
  <c r="W216" i="2"/>
  <c r="W217" i="2"/>
  <c r="Q216" i="2"/>
  <c r="Q217" i="2"/>
  <c r="AA212" i="2" l="1"/>
  <c r="AB212" i="2" s="1"/>
  <c r="AA216" i="2"/>
  <c r="AB216" i="2" s="1"/>
  <c r="AA217" i="2"/>
  <c r="AB217" i="2" s="1"/>
  <c r="O219" i="2" l="1" a="1"/>
  <c r="P219" i="2" a="1"/>
  <c r="P218" i="2" a="1"/>
  <c r="O218" i="2" a="1"/>
  <c r="W218" i="2" l="1"/>
  <c r="W219" i="2"/>
  <c r="Q219" i="2"/>
  <c r="AA219" i="2" s="1"/>
  <c r="AB219" i="2" s="1"/>
  <c r="Q218" i="2"/>
  <c r="AA218" i="2" l="1"/>
  <c r="AB218" i="2" s="1"/>
  <c r="P221" i="2" a="1"/>
  <c r="O220" i="2" a="1"/>
  <c r="P220" i="2" a="1"/>
  <c r="O221" i="2" a="1"/>
  <c r="W221" i="2" s="1"/>
  <c r="O223" i="2" a="1"/>
  <c r="O222" i="2" a="1"/>
  <c r="P223" i="2" a="1"/>
  <c r="P222" i="2" a="1"/>
  <c r="W220" i="2" l="1"/>
  <c r="Q221" i="2"/>
  <c r="AA221" i="2" s="1"/>
  <c r="AB221" i="2" s="1"/>
  <c r="Q220" i="2"/>
  <c r="AA220" i="2" s="1"/>
  <c r="AB220" i="2" s="1"/>
  <c r="Q223" i="2"/>
  <c r="Q222" i="2"/>
  <c r="W223" i="2"/>
  <c r="W222" i="2"/>
  <c r="AA223" i="2" l="1"/>
  <c r="AB223" i="2" s="1"/>
  <c r="AA222" i="2"/>
  <c r="AB222" i="2" s="1"/>
  <c r="O226" i="2" a="1"/>
  <c r="O224" i="2" a="1"/>
  <c r="O225" i="2" a="1"/>
  <c r="P224" i="2" a="1"/>
  <c r="P225" i="2" a="1"/>
  <c r="O227" i="2" a="1"/>
  <c r="P227" i="2" a="1"/>
  <c r="P226" i="2" a="1"/>
  <c r="Q226" i="2" s="1"/>
  <c r="Q225" i="2" l="1"/>
  <c r="W227" i="2"/>
  <c r="W224" i="2"/>
  <c r="W226" i="2"/>
  <c r="AA226" i="2" s="1"/>
  <c r="AB226" i="2" s="1"/>
  <c r="W225" i="2"/>
  <c r="Q224" i="2"/>
  <c r="Q227" i="2"/>
  <c r="AA225" i="2" l="1"/>
  <c r="AB225" i="2" s="1"/>
  <c r="AA227" i="2"/>
  <c r="AB227" i="2" s="1"/>
  <c r="AA224" i="2"/>
  <c r="AB224" i="2" s="1"/>
  <c r="O229" i="2" l="1" a="1"/>
  <c r="P228" i="2" a="1"/>
  <c r="P229" i="2" a="1"/>
  <c r="O228" i="2" a="1"/>
  <c r="W229" i="2" l="1"/>
  <c r="W228" i="2"/>
  <c r="Q228" i="2"/>
  <c r="AA228" i="2" s="1"/>
  <c r="AB228" i="2" s="1"/>
  <c r="Q229" i="2"/>
  <c r="AA229" i="2" l="1"/>
  <c r="AB229" i="2" s="1"/>
  <c r="P230" i="2" a="1"/>
  <c r="O231" i="2" a="1"/>
  <c r="O230" i="2" a="1"/>
  <c r="P231" i="2" a="1"/>
  <c r="O232" i="2" a="1"/>
  <c r="P233" i="2" a="1"/>
  <c r="O233" i="2" a="1"/>
  <c r="P232" i="2" a="1"/>
  <c r="W230" i="2" l="1"/>
  <c r="Q231" i="2"/>
  <c r="Q230" i="2"/>
  <c r="W231" i="2"/>
  <c r="W233" i="2"/>
  <c r="Q232" i="2"/>
  <c r="W232" i="2"/>
  <c r="Q233" i="2"/>
  <c r="AA233" i="2" l="1"/>
  <c r="AB233" i="2" s="1"/>
  <c r="AA230" i="2"/>
  <c r="AB230" i="2" s="1"/>
  <c r="AA231" i="2"/>
  <c r="AB231" i="2" s="1"/>
  <c r="P235" i="2" a="1"/>
  <c r="O240" i="2" a="1"/>
  <c r="O238" i="2" a="1"/>
  <c r="P240" i="2" a="1"/>
  <c r="P241" i="2" a="1"/>
  <c r="P234" i="2" a="1"/>
  <c r="O241" i="2" a="1"/>
  <c r="O239" i="2" a="1"/>
  <c r="P238" i="2" a="1"/>
  <c r="P239" i="2" a="1"/>
  <c r="O237" i="2" a="1"/>
  <c r="P236" i="2" a="1"/>
  <c r="O236" i="2" a="1"/>
  <c r="O234" i="2" a="1"/>
  <c r="O235" i="2" a="1"/>
  <c r="P237" i="2" a="1"/>
  <c r="AA232" i="2"/>
  <c r="AB232" i="2" s="1"/>
  <c r="W236" i="2" l="1"/>
  <c r="W234" i="2"/>
  <c r="W240" i="2"/>
  <c r="W241" i="2"/>
  <c r="Q239" i="2"/>
  <c r="W235" i="2"/>
  <c r="W238" i="2"/>
  <c r="Q237" i="2"/>
  <c r="Q235" i="2"/>
  <c r="Q234" i="2"/>
  <c r="Q240" i="2"/>
  <c r="Q241" i="2"/>
  <c r="W239" i="2"/>
  <c r="Q238" i="2"/>
  <c r="W237" i="2"/>
  <c r="AA237" i="2" s="1"/>
  <c r="AB237" i="2" s="1"/>
  <c r="Q236" i="2"/>
  <c r="O243" i="2" a="1"/>
  <c r="P243" i="2" a="1"/>
  <c r="P242" i="2" a="1"/>
  <c r="O242" i="2" a="1"/>
  <c r="AA234" i="2" l="1"/>
  <c r="AB234" i="2" s="1"/>
  <c r="AA238" i="2"/>
  <c r="AB238" i="2" s="1"/>
  <c r="AA236" i="2"/>
  <c r="AB236" i="2" s="1"/>
  <c r="AA241" i="2"/>
  <c r="AB241" i="2" s="1"/>
  <c r="Q243" i="2"/>
  <c r="Q242" i="2"/>
  <c r="AA235" i="2"/>
  <c r="AB235" i="2" s="1"/>
  <c r="AA240" i="2"/>
  <c r="AB240" i="2" s="1"/>
  <c r="AA239" i="2"/>
  <c r="AB239" i="2" s="1"/>
  <c r="W242" i="2"/>
  <c r="AA242" i="2" s="1"/>
  <c r="AB242" i="2" s="1"/>
  <c r="W243" i="2"/>
  <c r="AA243" i="2" l="1"/>
  <c r="AB243" i="2" s="1"/>
  <c r="P244" i="2" a="1"/>
  <c r="O245" i="2" a="1"/>
  <c r="W245" i="2" s="1"/>
  <c r="P245" i="2" a="1"/>
  <c r="O244" i="2" a="1"/>
  <c r="Q244" i="2" l="1"/>
  <c r="Q245" i="2"/>
  <c r="AA245" i="2" s="1"/>
  <c r="AB245" i="2" s="1"/>
  <c r="W244" i="2"/>
  <c r="P251" i="2" l="1" a="1"/>
  <c r="P250" i="2" a="1"/>
  <c r="O251" i="2" a="1"/>
  <c r="O248" i="2" a="1"/>
  <c r="P249" i="2" a="1"/>
  <c r="O249" i="2" a="1"/>
  <c r="P248" i="2" a="1"/>
  <c r="P246" i="2" a="1"/>
  <c r="P247" i="2" a="1"/>
  <c r="Q247" i="2" s="1"/>
  <c r="O246" i="2" a="1"/>
  <c r="O247" i="2" a="1"/>
  <c r="AA244" i="2"/>
  <c r="AB244" i="2" s="1"/>
  <c r="O250" i="2" s="1" a="1"/>
  <c r="O253" i="2" a="1"/>
  <c r="P253" i="2" a="1"/>
  <c r="P252" i="2" a="1"/>
  <c r="O252" i="2" a="1"/>
  <c r="P254" i="2" a="1"/>
  <c r="P255" i="2" a="1"/>
  <c r="O254" i="2" a="1"/>
  <c r="O255" i="2" a="1"/>
  <c r="W249" i="2" l="1"/>
  <c r="W250" i="2"/>
  <c r="Q251" i="2"/>
  <c r="Q248" i="2"/>
  <c r="Q246" i="2"/>
  <c r="Q250" i="2"/>
  <c r="AA250" i="2" s="1"/>
  <c r="AB250" i="2" s="1"/>
  <c r="W251" i="2"/>
  <c r="W248" i="2"/>
  <c r="Q249" i="2"/>
  <c r="AA249" i="2" s="1"/>
  <c r="AB249" i="2" s="1"/>
  <c r="W246" i="2"/>
  <c r="W247" i="2"/>
  <c r="AA247" i="2" s="1"/>
  <c r="AB247" i="2" s="1"/>
  <c r="W252" i="2"/>
  <c r="Q253" i="2"/>
  <c r="W253" i="2"/>
  <c r="Q252" i="2"/>
  <c r="W254" i="2"/>
  <c r="Q255" i="2"/>
  <c r="Q254" i="2"/>
  <c r="W255" i="2"/>
  <c r="AA251" i="2" l="1"/>
  <c r="AB251" i="2" s="1"/>
  <c r="AA253" i="2"/>
  <c r="AB253" i="2" s="1"/>
  <c r="AA248" i="2"/>
  <c r="AB248" i="2" s="1"/>
  <c r="AA246" i="2"/>
  <c r="AB246" i="2" s="1"/>
  <c r="AA252" i="2"/>
  <c r="AB252" i="2" s="1"/>
  <c r="AA254" i="2"/>
  <c r="AB254" i="2" s="1"/>
  <c r="AA255" i="2"/>
  <c r="AB255" i="2" s="1"/>
  <c r="P257" i="2" l="1" a="1"/>
  <c r="O256" i="2" a="1"/>
  <c r="O257" i="2" a="1"/>
  <c r="P256" i="2" a="1"/>
  <c r="Q256" i="2" l="1"/>
  <c r="Q257" i="2"/>
  <c r="W256" i="2"/>
  <c r="W257" i="2"/>
  <c r="AA256" i="2" l="1"/>
  <c r="AB256" i="2" s="1"/>
  <c r="AA257" i="2"/>
  <c r="AB257" i="2" s="1"/>
  <c r="O258" i="2" l="1" a="1"/>
  <c r="P258" i="2" a="1"/>
  <c r="P260" i="2" a="1"/>
  <c r="Q260" i="2" s="1"/>
  <c r="O259" i="2" a="1"/>
  <c r="P259" i="2" a="1"/>
  <c r="Q259" i="2" s="1"/>
  <c r="O260" i="2" a="1"/>
  <c r="O261" i="2" a="1"/>
  <c r="P261" i="2" a="1"/>
  <c r="P263" i="2" a="1"/>
  <c r="O263" i="2" a="1"/>
  <c r="O262" i="2" a="1"/>
  <c r="P262" i="2" a="1"/>
  <c r="W258" i="2" l="1"/>
  <c r="Q261" i="2"/>
  <c r="Q258" i="2"/>
  <c r="AA258" i="2" s="1"/>
  <c r="AB258" i="2" s="1"/>
  <c r="W259" i="2"/>
  <c r="AA259" i="2" s="1"/>
  <c r="AB259" i="2" s="1"/>
  <c r="W260" i="2"/>
  <c r="AA260" i="2" s="1"/>
  <c r="AB260" i="2" s="1"/>
  <c r="W261" i="2"/>
  <c r="Q263" i="2"/>
  <c r="W262" i="2"/>
  <c r="Q262" i="2"/>
  <c r="W263" i="2"/>
  <c r="AA262" i="2" l="1"/>
  <c r="AB262" i="2" s="1"/>
  <c r="AA261" i="2"/>
  <c r="AB261" i="2" s="1"/>
  <c r="AA263" i="2"/>
  <c r="AB263" i="2" s="1"/>
  <c r="O266" i="2" a="1"/>
  <c r="P267" i="2" a="1"/>
  <c r="O267" i="2" a="1"/>
  <c r="P265" i="2" a="1"/>
  <c r="O264" i="2" a="1"/>
  <c r="P266" i="2" a="1"/>
  <c r="O265" i="2" a="1"/>
  <c r="P264" i="2" a="1"/>
  <c r="W265" i="2" l="1"/>
  <c r="W267" i="2"/>
  <c r="W264" i="2"/>
  <c r="W266" i="2"/>
  <c r="Q267" i="2"/>
  <c r="Q265" i="2"/>
  <c r="Q266" i="2"/>
  <c r="Q264" i="2"/>
  <c r="AA265" i="2" l="1"/>
  <c r="AB265" i="2" s="1"/>
  <c r="AA264" i="2"/>
  <c r="AB264" i="2" s="1"/>
  <c r="AA267" i="2"/>
  <c r="AB267" i="2" s="1"/>
  <c r="AA266" i="2"/>
  <c r="AB266" i="2" s="1"/>
  <c r="P277" i="2" a="1"/>
  <c r="P276" i="2" a="1"/>
  <c r="O276" i="2" a="1"/>
  <c r="O277" i="2" a="1"/>
  <c r="P271" i="2" l="1" a="1"/>
  <c r="P270" i="2" a="1"/>
  <c r="Q270" i="2" s="1"/>
  <c r="O271" i="2" a="1"/>
  <c r="O270" i="2" a="1"/>
  <c r="P269" i="2" a="1"/>
  <c r="O268" i="2" a="1"/>
  <c r="O269" i="2" a="1"/>
  <c r="P268" i="2" a="1"/>
  <c r="P273" i="2" a="1"/>
  <c r="P275" i="2" a="1"/>
  <c r="O275" i="2" a="1"/>
  <c r="O273" i="2" a="1"/>
  <c r="W273" i="2" s="1"/>
  <c r="P272" i="2" a="1"/>
  <c r="O272" i="2" a="1"/>
  <c r="O274" i="2" a="1"/>
  <c r="P274" i="2" a="1"/>
  <c r="Q274" i="2" s="1"/>
  <c r="W276" i="2"/>
  <c r="W277" i="2"/>
  <c r="Q277" i="2"/>
  <c r="Q276" i="2"/>
  <c r="P279" i="2" a="1"/>
  <c r="P278" i="2" a="1"/>
  <c r="O278" i="2" a="1"/>
  <c r="Q272" i="2" l="1"/>
  <c r="Q268" i="2"/>
  <c r="Q275" i="2"/>
  <c r="W271" i="2"/>
  <c r="W269" i="2"/>
  <c r="W270" i="2"/>
  <c r="AA270" i="2" s="1"/>
  <c r="AB270" i="2" s="1"/>
  <c r="Q269" i="2"/>
  <c r="W268" i="2"/>
  <c r="Q273" i="2"/>
  <c r="AA273" i="2" s="1"/>
  <c r="AB273" i="2" s="1"/>
  <c r="W272" i="2"/>
  <c r="W275" i="2"/>
  <c r="W274" i="2"/>
  <c r="AA274" i="2" s="1"/>
  <c r="AB274" i="2" s="1"/>
  <c r="Q271" i="2"/>
  <c r="AA277" i="2"/>
  <c r="AB277" i="2" s="1"/>
  <c r="AA276" i="2"/>
  <c r="AB276" i="2" s="1"/>
  <c r="Q278" i="2"/>
  <c r="W278" i="2"/>
  <c r="AA272" i="2" l="1"/>
  <c r="AB272" i="2" s="1"/>
  <c r="O279" i="2" s="1" a="1"/>
  <c r="AA275" i="2"/>
  <c r="AB275" i="2" s="1"/>
  <c r="AA268" i="2"/>
  <c r="AB268" i="2" s="1"/>
  <c r="AA269" i="2"/>
  <c r="AB269" i="2" s="1"/>
  <c r="AA271" i="2"/>
  <c r="AB271" i="2" s="1"/>
  <c r="AA278" i="2"/>
  <c r="AB278" i="2" s="1"/>
  <c r="Q279" i="2" l="1"/>
  <c r="W279" i="2"/>
  <c r="AA279" i="2" s="1"/>
  <c r="AB279" i="2" s="1"/>
  <c r="O280" i="2" a="1"/>
  <c r="P281" i="2" a="1"/>
  <c r="O281" i="2" a="1"/>
  <c r="P280" i="2" a="1"/>
  <c r="W281" i="2" l="1"/>
  <c r="Q280" i="2"/>
  <c r="W280" i="2"/>
  <c r="Q281" i="2"/>
  <c r="AA281" i="2" l="1"/>
  <c r="AB281" i="2" s="1"/>
  <c r="AA280" i="2"/>
  <c r="AB280" i="2" s="1"/>
  <c r="O283" i="2" l="1" a="1"/>
  <c r="P282" i="2" a="1"/>
  <c r="O282" i="2" a="1"/>
  <c r="P283" i="2" a="1"/>
  <c r="Q282" i="2" l="1"/>
  <c r="Q283" i="2"/>
  <c r="W283" i="2"/>
  <c r="W282" i="2"/>
  <c r="AA282" i="2" l="1"/>
  <c r="AB282" i="2" s="1"/>
  <c r="AA283" i="2"/>
  <c r="AB283" i="2" s="1"/>
  <c r="O285" i="2" a="1"/>
  <c r="P284" i="2" a="1"/>
  <c r="O284" i="2" a="1"/>
  <c r="P285" i="2" a="1"/>
  <c r="W285" i="2" l="1"/>
  <c r="Q284" i="2"/>
  <c r="W284" i="2"/>
  <c r="Q285" i="2"/>
  <c r="AA284" i="2" l="1"/>
  <c r="AB284" i="2" s="1"/>
  <c r="AA285" i="2"/>
  <c r="AB285" i="2" s="1"/>
  <c r="P292" i="2" l="1" a="1"/>
  <c r="O290" i="2" a="1"/>
  <c r="O291" i="2" a="1"/>
  <c r="P290" i="2" a="1"/>
  <c r="P286" i="2" a="1"/>
  <c r="O292" i="2" a="1"/>
  <c r="O287" i="2" a="1"/>
  <c r="O286" i="2" a="1"/>
  <c r="P287" i="2" a="1"/>
  <c r="O289" i="2" a="1"/>
  <c r="O288" i="2" a="1"/>
  <c r="O293" i="2" a="1"/>
  <c r="P288" i="2" a="1"/>
  <c r="P289" i="2" a="1"/>
  <c r="P291" i="2" a="1"/>
  <c r="P293" i="2" a="1"/>
  <c r="W291" i="2" l="1"/>
  <c r="W287" i="2"/>
  <c r="Q293" i="2"/>
  <c r="Q290" i="2"/>
  <c r="Q286" i="2"/>
  <c r="W292" i="2"/>
  <c r="W289" i="2"/>
  <c r="W288" i="2"/>
  <c r="Q291" i="2"/>
  <c r="Q292" i="2"/>
  <c r="W286" i="2"/>
  <c r="Q287" i="2"/>
  <c r="W293" i="2"/>
  <c r="Q288" i="2"/>
  <c r="Q289" i="2"/>
  <c r="W290" i="2"/>
  <c r="AA291" i="2" l="1"/>
  <c r="AB291" i="2" s="1"/>
  <c r="AA287" i="2"/>
  <c r="AB287" i="2" s="1"/>
  <c r="AA292" i="2"/>
  <c r="AB292" i="2" s="1"/>
  <c r="AA286" i="2"/>
  <c r="AB286" i="2" s="1"/>
  <c r="AA293" i="2"/>
  <c r="AB293" i="2" s="1"/>
  <c r="AA288" i="2"/>
  <c r="AB288" i="2" s="1"/>
  <c r="AA289" i="2"/>
  <c r="AB289" i="2" s="1"/>
  <c r="AA290" i="2"/>
  <c r="AB290" i="2" s="1"/>
  <c r="P296" i="2" a="1"/>
  <c r="P294" i="2" a="1"/>
  <c r="O297" i="2" a="1"/>
  <c r="P297" i="2" a="1"/>
  <c r="O295" i="2" a="1"/>
  <c r="P295" i="2" a="1"/>
  <c r="O294" i="2" a="1"/>
  <c r="O296" i="2" a="1"/>
  <c r="W296" i="2" s="1"/>
  <c r="Q297" i="2" l="1"/>
  <c r="W295" i="2"/>
  <c r="Q294" i="2"/>
  <c r="Q296" i="2"/>
  <c r="AA296" i="2" s="1"/>
  <c r="AB296" i="2" s="1"/>
  <c r="W297" i="2"/>
  <c r="Q295" i="2"/>
  <c r="W294" i="2"/>
  <c r="AA297" i="2" l="1"/>
  <c r="AB297" i="2" s="1"/>
  <c r="AA295" i="2"/>
  <c r="AB295" i="2" s="1"/>
  <c r="AA294" i="2"/>
  <c r="AB294" i="2" s="1"/>
  <c r="P299" i="2" l="1" a="1"/>
  <c r="P298" i="2" a="1"/>
  <c r="O298" i="2" a="1"/>
  <c r="O299" i="2" a="1"/>
  <c r="O301" i="2" a="1"/>
  <c r="P301" i="2" a="1"/>
  <c r="O300" i="2" a="1"/>
  <c r="P300" i="2" a="1"/>
  <c r="P303" i="2" a="1"/>
  <c r="O302" i="2" a="1"/>
  <c r="O303" i="2" a="1"/>
  <c r="P302" i="2" a="1"/>
  <c r="W300" i="2" l="1"/>
  <c r="Q298" i="2"/>
  <c r="W301" i="2"/>
  <c r="W299" i="2"/>
  <c r="Q299" i="2"/>
  <c r="AA299" i="2" s="1"/>
  <c r="AB299" i="2" s="1"/>
  <c r="W298" i="2"/>
  <c r="AA298" i="2" s="1"/>
  <c r="AB298" i="2" s="1"/>
  <c r="Q301" i="2"/>
  <c r="Q300" i="2"/>
  <c r="AA300" i="2" s="1"/>
  <c r="AB300" i="2" s="1"/>
  <c r="Q303" i="2"/>
  <c r="W302" i="2"/>
  <c r="W303" i="2"/>
  <c r="Q302" i="2"/>
  <c r="AA301" i="2" l="1"/>
  <c r="AB301" i="2" s="1"/>
  <c r="AA303" i="2"/>
  <c r="AB303" i="2" s="1"/>
  <c r="AA302" i="2"/>
  <c r="AB302" i="2" s="1"/>
  <c r="P304" i="2" l="1" a="1"/>
  <c r="O305" i="2" a="1"/>
  <c r="P305" i="2" a="1"/>
  <c r="O304" i="2" a="1"/>
  <c r="W305" i="2" l="1"/>
  <c r="W304" i="2"/>
  <c r="Q304" i="2"/>
  <c r="Q305" i="2"/>
  <c r="AA304" i="2" l="1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08" i="2" a="1"/>
  <c r="O309" i="2" a="1"/>
  <c r="P309" i="2" a="1"/>
  <c r="O308" i="2" a="1"/>
  <c r="W309" i="2" l="1"/>
  <c r="Q308" i="2"/>
  <c r="Q309" i="2"/>
  <c r="W308" i="2"/>
  <c r="AA309" i="2" l="1"/>
  <c r="AB309" i="2" s="1"/>
  <c r="AA308" i="2"/>
  <c r="AB308" i="2" s="1"/>
  <c r="P311" i="2" l="1" a="1"/>
  <c r="P312" i="2" a="1"/>
  <c r="Q312" i="2" s="1"/>
  <c r="O311" i="2" a="1"/>
  <c r="W311" i="2" s="1"/>
  <c r="P310" i="2" a="1"/>
  <c r="O310" i="2" a="1"/>
  <c r="O313" i="2" a="1"/>
  <c r="P313" i="2" a="1"/>
  <c r="O312" i="2" a="1"/>
  <c r="W310" i="2" l="1"/>
  <c r="Q313" i="2"/>
  <c r="W312" i="2"/>
  <c r="AA312" i="2" s="1"/>
  <c r="AB312" i="2" s="1"/>
  <c r="Q311" i="2"/>
  <c r="AA311" i="2" s="1"/>
  <c r="AB311" i="2" s="1"/>
  <c r="Q310" i="2"/>
  <c r="W313" i="2"/>
  <c r="AA310" i="2" l="1"/>
  <c r="AB310" i="2" s="1"/>
  <c r="AA313" i="2"/>
  <c r="AB313" i="2" s="1"/>
  <c r="P314" i="2" a="1"/>
  <c r="O315" i="2" a="1"/>
  <c r="P315" i="2" a="1"/>
  <c r="O314" i="2" a="1"/>
  <c r="Q315" i="2" l="1"/>
  <c r="Q314" i="2"/>
  <c r="W314" i="2"/>
  <c r="AA314" i="2" s="1"/>
  <c r="AB314" i="2" s="1"/>
  <c r="W315" i="2"/>
  <c r="P317" i="2" a="1"/>
  <c r="P316" i="2" a="1"/>
  <c r="O317" i="2" a="1"/>
  <c r="O316" i="2" a="1"/>
  <c r="AA315" i="2" l="1"/>
  <c r="AB315" i="2" s="1"/>
  <c r="W316" i="2"/>
  <c r="Q317" i="2"/>
  <c r="Q316" i="2"/>
  <c r="W317" i="2"/>
  <c r="AA316" i="2" l="1"/>
  <c r="AB316" i="2" s="1"/>
  <c r="AA317" i="2"/>
  <c r="AB317" i="2" s="1"/>
  <c r="O319" i="2" l="1" a="1"/>
  <c r="P318" i="2" a="1"/>
  <c r="P319" i="2" a="1"/>
  <c r="O318" i="2" a="1"/>
  <c r="O320" i="2" a="1"/>
  <c r="P320" i="2" a="1"/>
  <c r="O321" i="2" a="1"/>
  <c r="P321" i="2" a="1"/>
  <c r="O323" i="2" a="1"/>
  <c r="O322" i="2" a="1"/>
  <c r="P322" i="2" a="1"/>
  <c r="P323" i="2" a="1"/>
  <c r="O325" i="2" a="1"/>
  <c r="O324" i="2" a="1"/>
  <c r="P324" i="2" a="1"/>
  <c r="P325" i="2" a="1"/>
  <c r="W318" i="2" l="1"/>
  <c r="W319" i="2"/>
  <c r="Q320" i="2"/>
  <c r="Q321" i="2"/>
  <c r="Q318" i="2"/>
  <c r="Q319" i="2"/>
  <c r="W320" i="2"/>
  <c r="W321" i="2"/>
  <c r="Q322" i="2"/>
  <c r="W325" i="2"/>
  <c r="Q323" i="2"/>
  <c r="Q324" i="2"/>
  <c r="W323" i="2"/>
  <c r="W322" i="2"/>
  <c r="W324" i="2"/>
  <c r="Q325" i="2"/>
  <c r="AA318" i="2" l="1"/>
  <c r="AB318" i="2" s="1"/>
  <c r="AA319" i="2"/>
  <c r="AB319" i="2" s="1"/>
  <c r="AA320" i="2"/>
  <c r="AB320" i="2" s="1"/>
  <c r="AA321" i="2"/>
  <c r="AB321" i="2" s="1"/>
  <c r="AA322" i="2"/>
  <c r="AB322" i="2" s="1"/>
  <c r="AA323" i="2"/>
  <c r="AB323" i="2" s="1"/>
  <c r="AA324" i="2"/>
  <c r="AB324" i="2" s="1"/>
  <c r="AA325" i="2"/>
  <c r="AB325" i="2" s="1"/>
  <c r="P327" i="2" l="1" a="1"/>
  <c r="O327" i="2" a="1"/>
  <c r="O326" i="2" a="1"/>
  <c r="P326" i="2" a="1"/>
  <c r="Q326" i="2" s="1"/>
  <c r="Q327" i="2" l="1"/>
  <c r="W327" i="2"/>
  <c r="W326" i="2"/>
  <c r="AA326" i="2" s="1"/>
  <c r="AB326" i="2" s="1"/>
  <c r="AA327" i="2" l="1"/>
  <c r="AB327" i="2" s="1"/>
  <c r="O328" i="2" a="1"/>
  <c r="P328" i="2" a="1"/>
  <c r="Q328" i="2" s="1"/>
  <c r="O329" i="2" a="1"/>
  <c r="P329" i="2" a="1"/>
  <c r="Q329" i="2" l="1"/>
  <c r="W328" i="2"/>
  <c r="AA328" i="2" s="1"/>
  <c r="AB328" i="2" s="1"/>
  <c r="W329" i="2"/>
  <c r="AA329" i="2" l="1"/>
  <c r="AB329" i="2" s="1"/>
  <c r="O333" i="2" a="1"/>
  <c r="P332" i="2" a="1"/>
  <c r="O332" i="2" a="1"/>
  <c r="P333" i="2" a="1"/>
  <c r="Q333" i="2" s="1"/>
  <c r="P331" i="2" a="1"/>
  <c r="O330" i="2" a="1"/>
  <c r="P330" i="2" a="1"/>
  <c r="O331" i="2" a="1"/>
  <c r="W332" i="2" l="1"/>
  <c r="W330" i="2"/>
  <c r="W331" i="2"/>
  <c r="W333" i="2"/>
  <c r="AA333" i="2" s="1"/>
  <c r="AB333" i="2" s="1"/>
  <c r="Q332" i="2"/>
  <c r="AA332" i="2" s="1"/>
  <c r="AB332" i="2" s="1"/>
  <c r="Q331" i="2"/>
  <c r="Q330" i="2"/>
  <c r="O340" i="2" a="1"/>
  <c r="O342" i="2" a="1"/>
  <c r="P343" i="2" a="1"/>
  <c r="P341" i="2" a="1"/>
  <c r="P342" i="2" a="1"/>
  <c r="O343" i="2" a="1"/>
  <c r="P339" i="2" a="1"/>
  <c r="P337" i="2" a="1"/>
  <c r="O338" i="2" a="1"/>
  <c r="O336" i="2" a="1"/>
  <c r="O337" i="2" a="1"/>
  <c r="P336" i="2" a="1"/>
  <c r="AA330" i="2" l="1"/>
  <c r="AB330" i="2" s="1"/>
  <c r="AA331" i="2"/>
  <c r="AB331" i="2" s="1"/>
  <c r="O334" i="2" a="1"/>
  <c r="P334" i="2" a="1"/>
  <c r="P335" i="2" a="1"/>
  <c r="O335" i="2" a="1"/>
  <c r="W343" i="2"/>
  <c r="Q336" i="2"/>
  <c r="W337" i="2"/>
  <c r="W342" i="2"/>
  <c r="Q343" i="2"/>
  <c r="Q342" i="2"/>
  <c r="Q337" i="2"/>
  <c r="W336" i="2"/>
  <c r="P338" i="2" l="1" a="1"/>
  <c r="O339" i="2" a="1"/>
  <c r="P340" i="2" a="1"/>
  <c r="O341" i="2" a="1"/>
  <c r="Q334" i="2"/>
  <c r="W335" i="2"/>
  <c r="W334" i="2"/>
  <c r="Q335" i="2"/>
  <c r="AA343" i="2"/>
  <c r="AB343" i="2" s="1"/>
  <c r="AA342" i="2"/>
  <c r="AB342" i="2" s="1"/>
  <c r="AA336" i="2"/>
  <c r="AB336" i="2" s="1"/>
  <c r="AA337" i="2"/>
  <c r="AB337" i="2" s="1"/>
  <c r="Q338" i="2" l="1"/>
  <c r="W338" i="2"/>
  <c r="AA338" i="2" s="1"/>
  <c r="AB338" i="2" s="1"/>
  <c r="W339" i="2"/>
  <c r="Q339" i="2"/>
  <c r="W340" i="2"/>
  <c r="Q340" i="2"/>
  <c r="Q341" i="2"/>
  <c r="W341" i="2"/>
  <c r="AA334" i="2"/>
  <c r="AB334" i="2" s="1"/>
  <c r="AA335" i="2"/>
  <c r="AB335" i="2" s="1"/>
  <c r="P344" i="2" a="1"/>
  <c r="O345" i="2" a="1"/>
  <c r="O344" i="2" a="1"/>
  <c r="P345" i="2" a="1"/>
  <c r="AA339" i="2" l="1"/>
  <c r="AB339" i="2" s="1"/>
  <c r="AA340" i="2"/>
  <c r="AB340" i="2" s="1"/>
  <c r="AA341" i="2"/>
  <c r="AB341" i="2" s="1"/>
  <c r="Q345" i="2"/>
  <c r="W344" i="2"/>
  <c r="Q344" i="2"/>
  <c r="AA344" i="2" s="1"/>
  <c r="AB344" i="2" s="1"/>
  <c r="W345" i="2"/>
  <c r="O353" i="2" a="1"/>
  <c r="P353" i="2" a="1"/>
  <c r="O352" i="2" a="1"/>
  <c r="P352" i="2" a="1"/>
  <c r="AA345" i="2" l="1"/>
  <c r="AB345" i="2" s="1"/>
  <c r="P348" i="2" a="1"/>
  <c r="O348" i="2" a="1"/>
  <c r="W348" i="2" s="1"/>
  <c r="O351" i="2" a="1"/>
  <c r="O349" i="2" a="1"/>
  <c r="P346" i="2" a="1"/>
  <c r="P347" i="2" a="1"/>
  <c r="O347" i="2" a="1"/>
  <c r="P349" i="2" a="1"/>
  <c r="O350" i="2" a="1"/>
  <c r="O346" i="2" a="1"/>
  <c r="P350" i="2" a="1"/>
  <c r="P351" i="2" a="1"/>
  <c r="W353" i="2"/>
  <c r="Q352" i="2"/>
  <c r="Q353" i="2"/>
  <c r="W352" i="2"/>
  <c r="Q350" i="2" l="1"/>
  <c r="Q346" i="2"/>
  <c r="W347" i="2"/>
  <c r="W349" i="2"/>
  <c r="Q351" i="2"/>
  <c r="Q348" i="2"/>
  <c r="AA348" i="2" s="1"/>
  <c r="AB348" i="2" s="1"/>
  <c r="W351" i="2"/>
  <c r="Q347" i="2"/>
  <c r="Q349" i="2"/>
  <c r="W350" i="2"/>
  <c r="AA350" i="2" s="1"/>
  <c r="AB350" i="2" s="1"/>
  <c r="W346" i="2"/>
  <c r="AA346" i="2" s="1"/>
  <c r="AB346" i="2" s="1"/>
  <c r="AA353" i="2"/>
  <c r="AB353" i="2" s="1"/>
  <c r="AA352" i="2"/>
  <c r="AB352" i="2" s="1"/>
  <c r="AA347" i="2" l="1"/>
  <c r="AB347" i="2" s="1"/>
  <c r="AA351" i="2"/>
  <c r="AB351" i="2" s="1"/>
  <c r="AA349" i="2"/>
  <c r="AB349" i="2" s="1"/>
  <c r="O354" i="2" a="1"/>
  <c r="P355" i="2" a="1"/>
  <c r="P354" i="2" a="1"/>
  <c r="O355" i="2" a="1"/>
  <c r="Q355" i="2" l="1"/>
  <c r="Q354" i="2"/>
  <c r="W354" i="2"/>
  <c r="W355" i="2"/>
  <c r="O356" i="2" a="1"/>
  <c r="P357" i="2" a="1"/>
  <c r="O357" i="2" a="1"/>
  <c r="P356" i="2" a="1"/>
  <c r="AA355" i="2" l="1"/>
  <c r="AB355" i="2" s="1"/>
  <c r="AA354" i="2"/>
  <c r="AB354" i="2" s="1"/>
  <c r="Q357" i="2"/>
  <c r="Q356" i="2"/>
  <c r="W357" i="2"/>
  <c r="W356" i="2"/>
  <c r="AA357" i="2" l="1"/>
  <c r="AB357" i="2" s="1"/>
  <c r="AA356" i="2"/>
  <c r="AB356" i="2" s="1"/>
  <c r="O359" i="2" l="1" a="1"/>
  <c r="P359" i="2" a="1"/>
  <c r="Q359" i="2" s="1"/>
  <c r="O358" i="2" a="1"/>
  <c r="P358" i="2" a="1"/>
  <c r="O363" i="2" a="1"/>
  <c r="P360" i="2" a="1"/>
  <c r="P361" i="2" a="1"/>
  <c r="P363" i="2" a="1"/>
  <c r="O360" i="2" a="1"/>
  <c r="O362" i="2" a="1"/>
  <c r="P362" i="2" a="1"/>
  <c r="O361" i="2" a="1"/>
  <c r="Q360" i="2" l="1"/>
  <c r="Q362" i="2"/>
  <c r="W361" i="2"/>
  <c r="W358" i="2"/>
  <c r="W363" i="2"/>
  <c r="W359" i="2"/>
  <c r="AA359" i="2" s="1"/>
  <c r="AB359" i="2" s="1"/>
  <c r="Q358" i="2"/>
  <c r="Q361" i="2"/>
  <c r="Q363" i="2"/>
  <c r="W360" i="2"/>
  <c r="W362" i="2"/>
  <c r="O364" i="2" a="1"/>
  <c r="W364" i="2" s="1"/>
  <c r="P365" i="2" a="1"/>
  <c r="P364" i="2" a="1"/>
  <c r="O365" i="2" a="1"/>
  <c r="AA358" i="2" l="1"/>
  <c r="AB358" i="2" s="1"/>
  <c r="AA361" i="2"/>
  <c r="AB361" i="2" s="1"/>
  <c r="AA363" i="2"/>
  <c r="AB363" i="2" s="1"/>
  <c r="AA360" i="2"/>
  <c r="AB360" i="2" s="1"/>
  <c r="AA362" i="2"/>
  <c r="AB362" i="2" s="1"/>
  <c r="Q365" i="2"/>
  <c r="W365" i="2"/>
  <c r="Q364" i="2"/>
  <c r="AA364" i="2" s="1"/>
  <c r="AB364" i="2" s="1"/>
  <c r="AA365" i="2" l="1"/>
  <c r="AB365" i="2" s="1"/>
  <c r="O366" i="2" a="1"/>
  <c r="P366" i="2" a="1"/>
  <c r="Q366" i="2" s="1"/>
  <c r="O367" i="2" a="1"/>
  <c r="P368" i="2" a="1"/>
  <c r="Q368" i="2" s="1"/>
  <c r="P369" i="2" a="1"/>
  <c r="O369" i="2" a="1"/>
  <c r="W369" i="2" s="1"/>
  <c r="O368" i="2" a="1"/>
  <c r="P367" i="2" a="1"/>
  <c r="P371" i="2" a="1"/>
  <c r="O370" i="2" a="1"/>
  <c r="P370" i="2" a="1"/>
  <c r="O371" i="2" a="1"/>
  <c r="Q367" i="2" l="1"/>
  <c r="W366" i="2"/>
  <c r="AA366" i="2" s="1"/>
  <c r="AB366" i="2" s="1"/>
  <c r="W367" i="2"/>
  <c r="Q369" i="2"/>
  <c r="AA369" i="2" s="1"/>
  <c r="AB369" i="2" s="1"/>
  <c r="W368" i="2"/>
  <c r="AA368" i="2" s="1"/>
  <c r="AB368" i="2" s="1"/>
  <c r="Q370" i="2"/>
  <c r="W370" i="2"/>
  <c r="Q371" i="2"/>
  <c r="W371" i="2"/>
  <c r="AA367" i="2" l="1"/>
  <c r="AB367" i="2" s="1"/>
  <c r="AA370" i="2"/>
  <c r="AB370" i="2" s="1"/>
  <c r="AA371" i="2"/>
  <c r="AB371" i="2" s="1"/>
  <c r="P374" i="2" l="1" a="1"/>
  <c r="O375" i="2" a="1"/>
  <c r="O374" i="2" a="1"/>
  <c r="P373" i="2" a="1"/>
  <c r="P375" i="2" a="1"/>
  <c r="O373" i="2" a="1"/>
  <c r="W373" i="2" s="1"/>
  <c r="P372" i="2" a="1"/>
  <c r="O372" i="2" a="1"/>
  <c r="Q374" i="2" l="1"/>
  <c r="Q372" i="2"/>
  <c r="Q375" i="2"/>
  <c r="W374" i="2"/>
  <c r="AA374" i="2" s="1"/>
  <c r="AB374" i="2" s="1"/>
  <c r="Q373" i="2"/>
  <c r="AA373" i="2" s="1"/>
  <c r="AB373" i="2" s="1"/>
  <c r="W372" i="2"/>
  <c r="W375" i="2"/>
  <c r="AA372" i="2" l="1"/>
  <c r="AB372" i="2" s="1"/>
  <c r="AA375" i="2"/>
  <c r="AB375" i="2" s="1"/>
  <c r="P381" i="2" a="1"/>
  <c r="O381" i="2" a="1"/>
  <c r="P380" i="2" a="1"/>
  <c r="P376" i="2" a="1"/>
  <c r="O376" i="2" a="1"/>
  <c r="P377" i="2" a="1"/>
  <c r="Q377" i="2" s="1"/>
  <c r="O377" i="2" a="1"/>
  <c r="O380" i="2" a="1"/>
  <c r="O379" i="2" a="1"/>
  <c r="P379" i="2" a="1"/>
  <c r="O378" i="2" a="1"/>
  <c r="P378" i="2" a="1"/>
  <c r="W378" i="2" l="1"/>
  <c r="Q381" i="2"/>
  <c r="Q380" i="2"/>
  <c r="Q376" i="2"/>
  <c r="W379" i="2"/>
  <c r="W376" i="2"/>
  <c r="W377" i="2"/>
  <c r="AA377" i="2" s="1"/>
  <c r="AB377" i="2" s="1"/>
  <c r="W380" i="2"/>
  <c r="Q379" i="2"/>
  <c r="Q378" i="2"/>
  <c r="AA378" i="2" s="1"/>
  <c r="AB378" i="2" s="1"/>
  <c r="W381" i="2"/>
  <c r="AA376" i="2" l="1"/>
  <c r="AB376" i="2" s="1"/>
  <c r="AA380" i="2"/>
  <c r="AB380" i="2" s="1"/>
  <c r="AA379" i="2"/>
  <c r="AB379" i="2" s="1"/>
  <c r="AA381" i="2"/>
  <c r="AB381" i="2" s="1"/>
  <c r="O383" i="2" a="1"/>
  <c r="W383" i="2" s="1"/>
  <c r="P383" i="2" a="1"/>
  <c r="O382" i="2" a="1"/>
  <c r="W382" i="2" s="1"/>
  <c r="P382" i="2" a="1"/>
  <c r="Q382" i="2" l="1"/>
  <c r="AA382" i="2" s="1"/>
  <c r="AB382" i="2" s="1"/>
  <c r="Q383" i="2"/>
  <c r="AA383" i="2" s="1"/>
  <c r="AB383" i="2" s="1"/>
  <c r="O387" i="2" l="1" a="1"/>
  <c r="O386" i="2" a="1"/>
  <c r="P387" i="2" a="1"/>
  <c r="Q387" i="2" s="1"/>
  <c r="P386" i="2" a="1"/>
  <c r="O384" i="2" a="1"/>
  <c r="O385" i="2" a="1"/>
  <c r="P385" i="2" a="1"/>
  <c r="P384" i="2" a="1"/>
  <c r="Q384" i="2" s="1"/>
  <c r="Q386" i="2" l="1"/>
  <c r="W384" i="2"/>
  <c r="AA384" i="2" s="1"/>
  <c r="AB384" i="2" s="1"/>
  <c r="Q385" i="2"/>
  <c r="W387" i="2"/>
  <c r="AA387" i="2" s="1"/>
  <c r="AB387" i="2" s="1"/>
  <c r="W386" i="2"/>
  <c r="W385" i="2"/>
  <c r="P393" i="2" a="1"/>
  <c r="O393" i="2" a="1"/>
  <c r="O392" i="2" a="1"/>
  <c r="P392" i="2" a="1"/>
  <c r="P396" i="2" a="1"/>
  <c r="O395" i="2" a="1"/>
  <c r="O394" i="2" a="1"/>
  <c r="P394" i="2" a="1"/>
  <c r="P395" i="2" a="1"/>
  <c r="O397" i="2" a="1"/>
  <c r="P397" i="2" a="1"/>
  <c r="O396" i="2" a="1"/>
  <c r="AA386" i="2" l="1"/>
  <c r="AB386" i="2" s="1"/>
  <c r="AA385" i="2"/>
  <c r="AB385" i="2" s="1"/>
  <c r="O390" i="2" a="1"/>
  <c r="P391" i="2" a="1"/>
  <c r="P388" i="2" a="1"/>
  <c r="P389" i="2" a="1"/>
  <c r="O388" i="2" a="1"/>
  <c r="P390" i="2" a="1"/>
  <c r="O389" i="2" a="1"/>
  <c r="O391" i="2" a="1"/>
  <c r="W391" i="2" s="1"/>
  <c r="W394" i="2"/>
  <c r="Q397" i="2"/>
  <c r="W396" i="2"/>
  <c r="Q393" i="2"/>
  <c r="Q395" i="2"/>
  <c r="Q392" i="2"/>
  <c r="W393" i="2"/>
  <c r="W392" i="2"/>
  <c r="Q396" i="2"/>
  <c r="W395" i="2"/>
  <c r="Q394" i="2"/>
  <c r="W397" i="2"/>
  <c r="W390" i="2" l="1"/>
  <c r="W388" i="2"/>
  <c r="Q389" i="2"/>
  <c r="Q388" i="2"/>
  <c r="W389" i="2"/>
  <c r="Q390" i="2"/>
  <c r="Q391" i="2"/>
  <c r="AA391" i="2" s="1"/>
  <c r="AB391" i="2" s="1"/>
  <c r="AA394" i="2"/>
  <c r="AB394" i="2" s="1"/>
  <c r="AA392" i="2"/>
  <c r="AB392" i="2" s="1"/>
  <c r="AA396" i="2"/>
  <c r="AB396" i="2" s="1"/>
  <c r="AA397" i="2"/>
  <c r="AB397" i="2" s="1"/>
  <c r="AA393" i="2"/>
  <c r="AB393" i="2" s="1"/>
  <c r="AA395" i="2"/>
  <c r="AB395" i="2" s="1"/>
  <c r="AA388" i="2" l="1"/>
  <c r="AB388" i="2" s="1"/>
  <c r="AA389" i="2"/>
  <c r="AB389" i="2" s="1"/>
  <c r="AA390" i="2"/>
  <c r="AB390" i="2" s="1"/>
  <c r="O399" i="2" a="1"/>
  <c r="P399" i="2" a="1"/>
  <c r="O398" i="2" a="1"/>
  <c r="W398" i="2" s="1"/>
  <c r="P398" i="2" a="1"/>
  <c r="W399" i="2" l="1"/>
  <c r="Q399" i="2"/>
  <c r="AA399" i="2" s="1"/>
  <c r="AB399" i="2" s="1"/>
  <c r="Q398" i="2"/>
  <c r="AA398" i="2" s="1"/>
  <c r="AB398" i="2" s="1"/>
  <c r="O403" i="2" a="1"/>
  <c r="P402" i="2" a="1"/>
  <c r="O407" i="2" a="1"/>
  <c r="O406" i="2" a="1"/>
  <c r="O404" i="2" a="1"/>
  <c r="P404" i="2" a="1"/>
  <c r="P405" i="2" a="1"/>
  <c r="O405" i="2" a="1"/>
  <c r="P406" i="2" a="1"/>
  <c r="P409" i="2" a="1"/>
  <c r="O408" i="2" a="1"/>
  <c r="P403" i="2" a="1"/>
  <c r="P407" i="2" a="1"/>
  <c r="O409" i="2" a="1"/>
  <c r="O402" i="2" a="1"/>
  <c r="P408" i="2" a="1"/>
  <c r="P401" i="2" l="1" a="1"/>
  <c r="P400" i="2" a="1"/>
  <c r="O400" i="2" a="1"/>
  <c r="O401" i="2" a="1"/>
  <c r="W401" i="2" s="1"/>
  <c r="Q403" i="2"/>
  <c r="W405" i="2"/>
  <c r="Q408" i="2"/>
  <c r="W404" i="2"/>
  <c r="Q406" i="2"/>
  <c r="Q407" i="2"/>
  <c r="W402" i="2"/>
  <c r="W403" i="2"/>
  <c r="W409" i="2"/>
  <c r="Q405" i="2"/>
  <c r="W406" i="2"/>
  <c r="Q409" i="2"/>
  <c r="Q404" i="2"/>
  <c r="W408" i="2"/>
  <c r="Q402" i="2"/>
  <c r="W407" i="2"/>
  <c r="Q400" i="2" l="1"/>
  <c r="W400" i="2"/>
  <c r="AA400" i="2" s="1"/>
  <c r="AB400" i="2" s="1"/>
  <c r="Q401" i="2"/>
  <c r="AA401" i="2" s="1"/>
  <c r="AB401" i="2" s="1"/>
  <c r="AA403" i="2"/>
  <c r="AB403" i="2" s="1"/>
  <c r="AA406" i="2"/>
  <c r="AB406" i="2" s="1"/>
  <c r="AA405" i="2"/>
  <c r="AB405" i="2" s="1"/>
  <c r="AA409" i="2"/>
  <c r="AB409" i="2" s="1"/>
  <c r="AA404" i="2"/>
  <c r="AB404" i="2" s="1"/>
  <c r="AA408" i="2"/>
  <c r="AB408" i="2" s="1"/>
  <c r="AA402" i="2"/>
  <c r="AB402" i="2" s="1"/>
  <c r="AA407" i="2"/>
  <c r="AB407" i="2" s="1"/>
  <c r="O411" i="2" a="1"/>
  <c r="P410" i="2" a="1"/>
  <c r="P413" i="2" a="1"/>
  <c r="O413" i="2" a="1"/>
  <c r="P412" i="2" a="1"/>
  <c r="P411" i="2" a="1"/>
  <c r="Q411" i="2" s="1"/>
  <c r="O410" i="2" a="1"/>
  <c r="O412" i="2" a="1"/>
  <c r="W413" i="2" l="1"/>
  <c r="Q410" i="2"/>
  <c r="W410" i="2"/>
  <c r="AA410" i="2" s="1"/>
  <c r="AB410" i="2" s="1"/>
  <c r="Q413" i="2"/>
  <c r="W412" i="2"/>
  <c r="W411" i="2"/>
  <c r="AA411" i="2" s="1"/>
  <c r="AB411" i="2" s="1"/>
  <c r="Q412" i="2"/>
  <c r="AA413" i="2" l="1"/>
  <c r="AB413" i="2" s="1"/>
  <c r="AA412" i="2"/>
  <c r="AB412" i="2" s="1"/>
  <c r="P414" i="2" l="1" a="1"/>
  <c r="O415" i="2" a="1"/>
  <c r="P415" i="2" a="1"/>
  <c r="O414" i="2" a="1"/>
  <c r="P416" i="2" a="1"/>
  <c r="P417" i="2" a="1"/>
  <c r="O417" i="2" a="1"/>
  <c r="O416" i="2" a="1"/>
  <c r="W415" i="2" l="1"/>
  <c r="Q415" i="2"/>
  <c r="W414" i="2"/>
  <c r="Q414" i="2"/>
  <c r="Q416" i="2"/>
  <c r="W417" i="2"/>
  <c r="Q417" i="2"/>
  <c r="W416" i="2"/>
  <c r="AA415" i="2" l="1"/>
  <c r="AB415" i="2" s="1"/>
  <c r="AA414" i="2"/>
  <c r="AB414" i="2" s="1"/>
  <c r="AA416" i="2"/>
  <c r="AB416" i="2" s="1"/>
  <c r="AA417" i="2"/>
  <c r="AB417" i="2" s="1"/>
  <c r="P418" i="2" a="1"/>
  <c r="O419" i="2" a="1"/>
  <c r="O418" i="2" a="1"/>
  <c r="P419" i="2" a="1"/>
  <c r="O420" i="2" a="1"/>
  <c r="P421" i="2" a="1"/>
  <c r="O421" i="2" a="1"/>
  <c r="P420" i="2" a="1"/>
  <c r="W421" i="2" l="1"/>
  <c r="W419" i="2"/>
  <c r="W418" i="2"/>
  <c r="Q420" i="2"/>
  <c r="Q418" i="2"/>
  <c r="AA418" i="2" s="1"/>
  <c r="AB418" i="2" s="1"/>
  <c r="W420" i="2"/>
  <c r="Q419" i="2"/>
  <c r="Q421" i="2"/>
  <c r="AA420" i="2" l="1"/>
  <c r="AB420" i="2" s="1"/>
  <c r="AA419" i="2"/>
  <c r="AB419" i="2" s="1"/>
  <c r="AA421" i="2"/>
  <c r="AB421" i="2" s="1"/>
  <c r="P425" i="2" a="1"/>
  <c r="O425" i="2" a="1"/>
  <c r="P424" i="2" a="1"/>
  <c r="O424" i="2" a="1"/>
  <c r="O422" i="2" a="1"/>
  <c r="P423" i="2" a="1"/>
  <c r="O423" i="2" a="1"/>
  <c r="P422" i="2" a="1"/>
  <c r="Q424" i="2" l="1"/>
  <c r="W423" i="2"/>
  <c r="Q422" i="2"/>
  <c r="W425" i="2"/>
  <c r="Q425" i="2"/>
  <c r="W424" i="2"/>
  <c r="W422" i="2"/>
  <c r="Q423" i="2"/>
  <c r="AA425" i="2" l="1"/>
  <c r="AB425" i="2" s="1"/>
  <c r="AA424" i="2"/>
  <c r="AB424" i="2" s="1"/>
  <c r="AA423" i="2"/>
  <c r="AB423" i="2" s="1"/>
  <c r="AA422" i="2"/>
  <c r="AB422" i="2" s="1"/>
  <c r="O426" i="2" a="1"/>
  <c r="P427" i="2" a="1"/>
  <c r="P426" i="2" a="1"/>
  <c r="O427" i="2" a="1"/>
  <c r="O428" i="2" l="1" a="1"/>
  <c r="P429" i="2" a="1"/>
  <c r="P428" i="2" a="1"/>
  <c r="O429" i="2" a="1"/>
  <c r="Q427" i="2"/>
  <c r="W426" i="2"/>
  <c r="Q426" i="2"/>
  <c r="W427" i="2"/>
  <c r="AA426" i="2" l="1"/>
  <c r="AB426" i="2" s="1"/>
  <c r="Q428" i="2"/>
  <c r="W428" i="2"/>
  <c r="Q429" i="2"/>
  <c r="W429" i="2"/>
  <c r="AA429" i="2" s="1"/>
  <c r="AB429" i="2" s="1"/>
  <c r="AA427" i="2"/>
  <c r="AB427" i="2" s="1"/>
  <c r="AA428" i="2" l="1"/>
  <c r="AB428" i="2" s="1"/>
  <c r="P431" i="2" a="1"/>
  <c r="O430" i="2" a="1"/>
  <c r="O431" i="2" a="1"/>
  <c r="P430" i="2" a="1"/>
  <c r="W431" i="2" l="1"/>
  <c r="Q431" i="2"/>
  <c r="W430" i="2"/>
  <c r="Q430" i="2"/>
  <c r="AA430" i="2" l="1"/>
  <c r="AB430" i="2" s="1"/>
  <c r="AA431" i="2"/>
  <c r="AB431" i="2" s="1"/>
  <c r="O433" i="2" l="1" a="1"/>
  <c r="P432" i="2" a="1"/>
  <c r="O432" i="2" a="1"/>
  <c r="P433" i="2" a="1"/>
  <c r="W432" i="2" l="1"/>
  <c r="Q432" i="2"/>
  <c r="Q433" i="2"/>
  <c r="W433" i="2"/>
  <c r="AA433" i="2" l="1"/>
  <c r="AB433" i="2" s="1"/>
  <c r="O435" i="2" a="1"/>
  <c r="P434" i="2" a="1"/>
  <c r="AA432" i="2"/>
  <c r="AB432" i="2" s="1"/>
  <c r="O434" i="2" l="1" a="1"/>
  <c r="P435" i="2" a="1"/>
  <c r="Q434" i="2" l="1"/>
  <c r="W434" i="2"/>
  <c r="W435" i="2"/>
  <c r="Q435" i="2"/>
  <c r="AA434" i="2" l="1"/>
  <c r="AB434" i="2" s="1"/>
  <c r="P436" i="2" a="1"/>
  <c r="O437" i="2" a="1"/>
  <c r="AA435" i="2"/>
  <c r="AB435" i="2" s="1"/>
  <c r="AX5" i="3" a="1"/>
  <c r="O436" i="2" l="1" a="1"/>
  <c r="P437" i="2" a="1"/>
  <c r="Q436" i="2" l="1"/>
  <c r="W436" i="2"/>
  <c r="W437" i="2"/>
  <c r="Q437" i="2"/>
  <c r="AA436" i="2" l="1"/>
  <c r="AB436" i="2" s="1"/>
  <c r="P439" i="2" a="1"/>
  <c r="O438" i="2" a="1"/>
  <c r="AA437" i="2"/>
  <c r="AB437" i="2" s="1"/>
  <c r="P438" i="2" l="1" a="1"/>
  <c r="O439" i="2" a="1"/>
  <c r="W438" i="2" l="1"/>
  <c r="Q438" i="2"/>
  <c r="Q439" i="2"/>
  <c r="W439" i="2"/>
  <c r="AX2" i="3" a="1"/>
  <c r="AA439" i="2" l="1"/>
  <c r="AB439" i="2" s="1"/>
  <c r="AA438" i="2"/>
  <c r="AB438" i="2" s="1"/>
  <c r="G26" i="3" a="1"/>
  <c r="AX9" i="3" a="1"/>
  <c r="AX4" i="3" l="1" a="1"/>
  <c r="G25" i="3" l="1" a="1"/>
  <c r="G36" i="3" a="1"/>
  <c r="AX6" i="3" l="1" a="1"/>
  <c r="G33" i="3" a="1"/>
  <c r="G27" i="3" l="1" a="1"/>
  <c r="G35" i="3" l="1" a="1"/>
  <c r="AX8" i="3" l="1" a="1"/>
  <c r="AX7" i="3" l="1" a="1"/>
  <c r="G30" i="3" a="1"/>
  <c r="G31" i="3" l="1" a="1"/>
  <c r="AX3" i="3" a="1"/>
  <c r="G32" i="3" a="1"/>
  <c r="G29" i="3" l="1" a="1"/>
  <c r="G28" i="3" a="1"/>
  <c r="G34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<sst xmlns="http://schemas.openxmlformats.org/spreadsheetml/2006/main" count="2272" uniqueCount="88">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</sst>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5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6157986115" createdVersion="8" refreshedVersion="8" minRefreshableVersion="3" recordCount="43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7-05-13T00:00:00" maxDate="2017-10-05T00:00:00"/>
    </cacheField>
    <cacheField name="Season" numFmtId="1">
      <sharedItems containsSemiMixedTypes="0" containsString="0" containsNumber="1" containsInteger="1" minValue="2017" maxValue="2017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5" maxValue="3"/>
    </cacheField>
    <cacheField name="Team" numFmtId="0">
      <sharedItems containsBlank="1" count="58">
        <s v="ATL"/>
        <s v="CON"/>
        <s v="SEA"/>
        <s v="LAS"/>
        <s v="SAS"/>
        <s v="NYL"/>
        <s v="CHI"/>
        <s v="MIN"/>
        <s v="DAL"/>
        <s v="PHX"/>
        <s v="IND"/>
        <s v="WAS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8"/>
    </cacheField>
    <cacheField name="OppDaysOff" numFmtId="1">
      <sharedItems containsSemiMixedTypes="0" containsString="0" containsNumber="1" containsInteger="1" minValue="0" maxValue="8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78.1287535179761" maxValue="1746.8735767150843"/>
    </cacheField>
    <cacheField name="OppPreGmRate" numFmtId="165">
      <sharedItems containsSemiMixedTypes="0" containsString="0" containsNumber="1" minValue="1278.1287535179761" maxValue="1746.8735767150843"/>
    </cacheField>
    <cacheField name="ExpectedWin%" numFmtId="165">
      <sharedItems containsSemiMixedTypes="0" containsString="0" containsNumber="1" minValue="5.8738107343373168E-2" maxValue="0.94126189265662685"/>
    </cacheField>
    <cacheField name="PointsFor" numFmtId="0">
      <sharedItems containsSemiMixedTypes="0" containsString="0" containsNumber="1" containsInteger="1" minValue="50" maxValue="115"/>
    </cacheField>
    <cacheField name="PointsAgainst" numFmtId="0">
      <sharedItems containsSemiMixedTypes="0" containsString="0" containsNumber="1" containsInteger="1" minValue="50" maxValue="115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59" maxValue="5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255398678479256" maxValue="0.8058175958401250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7" maxValue="75.849999999999994"/>
    </cacheField>
    <cacheField name="Keff" numFmtId="165">
      <sharedItems containsSemiMixedTypes="0" containsString="0" containsNumber="1" minValue="70.900000000000006" maxValue="94.905000000000001"/>
    </cacheField>
    <cacheField name="RatingChange" numFmtId="165">
      <sharedItems containsSemiMixedTypes="0" containsString="0" containsNumber="1" minValue="-32.897154913695061" maxValue="32.828284387009028"/>
    </cacheField>
    <cacheField name="PostGmRate" numFmtId="165">
      <sharedItems containsSemiMixedTypes="0" containsString="0" containsNumber="1" minValue="1278.1287535179761" maxValue="1746.8735767150843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d v="2017-05-13T00:00:00"/>
    <n v="2017"/>
    <x v="0"/>
    <s v="R"/>
    <s v="RS"/>
    <x v="0"/>
    <s v="CON"/>
    <s v="A"/>
    <n v="0"/>
    <n v="0"/>
    <n v="0"/>
    <n v="0"/>
    <n v="0"/>
    <n v="0"/>
    <n v="1489.0912541043567"/>
    <n v="1490.5499981622893"/>
    <n v="0.37943664210097561"/>
    <n v="81"/>
    <n v="74"/>
    <n v="0"/>
    <n v="7"/>
    <n v="1"/>
    <n v="0.36965780904347784"/>
    <n v="1"/>
    <n v="75.849999999999994"/>
    <n v="75.849999999999994"/>
    <n v="17.399693521586844"/>
    <n v="1506.4909476259436"/>
    <n v="1"/>
    <n v="0"/>
    <n v="0"/>
    <n v="0"/>
    <n v="0"/>
    <n v="0"/>
    <n v="0"/>
    <n v="0"/>
    <n v="0"/>
    <n v="0"/>
  </r>
  <r>
    <d v="2017-05-13T00:00:00"/>
    <n v="2017"/>
    <x v="0"/>
    <s v="R"/>
    <s v="RS"/>
    <x v="1"/>
    <s v="ATL"/>
    <s v="H"/>
    <n v="0"/>
    <n v="0"/>
    <n v="0"/>
    <n v="0"/>
    <n v="0"/>
    <n v="0"/>
    <n v="1490.5499981622893"/>
    <n v="1489.0912541043567"/>
    <n v="0.62056335789902439"/>
    <n v="74"/>
    <n v="81"/>
    <n v="0"/>
    <n v="-7"/>
    <n v="0"/>
    <n v="0.36965780904347784"/>
    <n v="1"/>
    <n v="75.849999999999994"/>
    <n v="75.849999999999994"/>
    <n v="-17.399693521586844"/>
    <n v="1473.1503046407024"/>
    <n v="0"/>
    <n v="1"/>
    <n v="0"/>
    <n v="0"/>
    <n v="0"/>
    <n v="0"/>
    <n v="0"/>
    <n v="0"/>
    <n v="0"/>
    <n v="0"/>
  </r>
  <r>
    <d v="2017-05-13T00:00:00"/>
    <n v="2017"/>
    <x v="0"/>
    <s v="R"/>
    <s v="RS"/>
    <x v="2"/>
    <s v="LAS"/>
    <s v="A"/>
    <n v="0"/>
    <n v="0"/>
    <n v="0"/>
    <n v="0"/>
    <n v="0"/>
    <n v="0"/>
    <n v="1503.057549755395"/>
    <n v="1584.1535275409697"/>
    <n v="0.27881065063870913"/>
    <n v="68"/>
    <n v="78"/>
    <n v="0"/>
    <n v="-10"/>
    <n v="0"/>
    <n v="0.39634472982767188"/>
    <n v="1"/>
    <n v="75.849999999999994"/>
    <n v="75.849999999999994"/>
    <n v="-8.3818142622361478"/>
    <n v="1494.675735493159"/>
    <n v="0"/>
    <n v="1"/>
    <n v="0"/>
    <n v="0"/>
    <n v="0"/>
    <n v="0"/>
    <n v="0"/>
    <n v="0"/>
    <n v="0"/>
    <n v="0"/>
  </r>
  <r>
    <d v="2017-05-13T00:00:00"/>
    <n v="2017"/>
    <x v="0"/>
    <s v="R"/>
    <s v="RS"/>
    <x v="3"/>
    <s v="SEA"/>
    <s v="H"/>
    <n v="0"/>
    <n v="0"/>
    <n v="0"/>
    <n v="0"/>
    <n v="0"/>
    <n v="0"/>
    <n v="1584.1535275409697"/>
    <n v="1503.057549755395"/>
    <n v="0.72118934936129087"/>
    <n v="78"/>
    <n v="68"/>
    <n v="0"/>
    <n v="10"/>
    <n v="1"/>
    <n v="0.39634472982767188"/>
    <n v="1"/>
    <n v="75.849999999999994"/>
    <n v="75.849999999999994"/>
    <n v="8.3818142622361478"/>
    <n v="1592.5353418032057"/>
    <n v="1"/>
    <n v="0"/>
    <n v="0"/>
    <n v="0"/>
    <n v="0"/>
    <n v="0"/>
    <n v="0"/>
    <n v="0"/>
    <n v="0"/>
    <n v="0"/>
  </r>
  <r>
    <d v="2017-05-13T00:00:00"/>
    <n v="2017"/>
    <x v="0"/>
    <s v="R"/>
    <s v="RS"/>
    <x v="4"/>
    <s v="NYL"/>
    <s v="A"/>
    <n v="0"/>
    <n v="0"/>
    <n v="0"/>
    <n v="0"/>
    <n v="0"/>
    <n v="0"/>
    <n v="1398.6760094227193"/>
    <n v="1499.6292612186908"/>
    <n v="0.2564167839961356"/>
    <n v="64"/>
    <n v="73"/>
    <n v="0"/>
    <n v="-9"/>
    <n v="0"/>
    <n v="0.37446836149120416"/>
    <n v="1"/>
    <n v="75.849999999999994"/>
    <n v="75.849999999999994"/>
    <n v="-7.2831149491583638"/>
    <n v="1391.392894473561"/>
    <n v="0"/>
    <n v="1"/>
    <n v="0"/>
    <n v="0"/>
    <n v="0"/>
    <n v="0"/>
    <n v="0"/>
    <n v="0"/>
    <n v="0"/>
    <n v="0"/>
  </r>
  <r>
    <d v="2017-05-13T00:00:00"/>
    <n v="2017"/>
    <x v="0"/>
    <s v="R"/>
    <s v="RS"/>
    <x v="5"/>
    <s v="SAS"/>
    <s v="H"/>
    <n v="0"/>
    <n v="0"/>
    <n v="0"/>
    <n v="0"/>
    <n v="0"/>
    <n v="0"/>
    <n v="1499.6292612186908"/>
    <n v="1398.6760094227193"/>
    <n v="0.74358321600386434"/>
    <n v="73"/>
    <n v="64"/>
    <n v="0"/>
    <n v="9"/>
    <n v="1"/>
    <n v="0.37446836149120416"/>
    <n v="1"/>
    <n v="75.849999999999994"/>
    <n v="75.849999999999994"/>
    <n v="7.2831149491583655"/>
    <n v="1506.9123761678491"/>
    <n v="1"/>
    <n v="0"/>
    <n v="0"/>
    <n v="0"/>
    <n v="0"/>
    <n v="0"/>
    <n v="0"/>
    <n v="0"/>
    <n v="0"/>
    <n v="0"/>
  </r>
  <r>
    <d v="2017-05-14T00:00:00"/>
    <n v="2017"/>
    <x v="0"/>
    <s v="R"/>
    <s v="RS"/>
    <x v="6"/>
    <s v="MIN"/>
    <s v="A"/>
    <n v="1"/>
    <n v="1"/>
    <n v="0"/>
    <n v="0"/>
    <n v="0"/>
    <n v="0"/>
    <n v="1503.6706313699474"/>
    <n v="1603.1388861006221"/>
    <n v="0.25805006124930596"/>
    <n v="61"/>
    <n v="70"/>
    <n v="0"/>
    <n v="-9"/>
    <n v="0"/>
    <n v="0.37489629377491829"/>
    <n v="1"/>
    <n v="75.849999999999994"/>
    <n v="75.849999999999994"/>
    <n v="-7.3378815776418014"/>
    <n v="1496.3327497923055"/>
    <n v="0"/>
    <n v="1"/>
    <n v="0"/>
    <n v="0"/>
    <n v="0"/>
    <n v="0"/>
    <n v="0"/>
    <n v="0"/>
    <n v="0"/>
    <n v="0"/>
  </r>
  <r>
    <d v="2017-05-14T00:00:00"/>
    <n v="2017"/>
    <x v="0"/>
    <s v="R"/>
    <s v="RS"/>
    <x v="7"/>
    <s v="CHI"/>
    <s v="H"/>
    <n v="1"/>
    <n v="1"/>
    <n v="0"/>
    <n v="0"/>
    <n v="0"/>
    <n v="0"/>
    <n v="1603.1388861006221"/>
    <n v="1503.6706313699474"/>
    <n v="0.74194993875069404"/>
    <n v="70"/>
    <n v="61"/>
    <n v="0"/>
    <n v="9"/>
    <n v="1"/>
    <n v="0.37489629377491829"/>
    <n v="1"/>
    <n v="75.849999999999994"/>
    <n v="75.849999999999994"/>
    <n v="7.3378815776418014"/>
    <n v="1610.476767678264"/>
    <n v="1"/>
    <n v="0"/>
    <n v="0"/>
    <n v="0"/>
    <n v="0"/>
    <n v="0"/>
    <n v="0"/>
    <n v="0"/>
    <n v="0"/>
    <n v="0"/>
  </r>
  <r>
    <d v="2017-05-14T00:00:00"/>
    <n v="2017"/>
    <x v="0"/>
    <s v="R"/>
    <s v="RS"/>
    <x v="8"/>
    <s v="PHX"/>
    <s v="A"/>
    <n v="1"/>
    <n v="1"/>
    <n v="0"/>
    <n v="0"/>
    <n v="0"/>
    <n v="0"/>
    <n v="1430.2244949091053"/>
    <n v="1517.8556677472675"/>
    <n v="0.27130957944838496"/>
    <n v="68"/>
    <n v="58"/>
    <n v="0"/>
    <n v="10"/>
    <n v="1"/>
    <n v="0.39433313662293473"/>
    <n v="1"/>
    <n v="75.849999999999994"/>
    <n v="75.849999999999994"/>
    <n v="21.795253199529004"/>
    <n v="1452.0197481086343"/>
    <n v="1"/>
    <n v="0"/>
    <n v="0"/>
    <n v="0"/>
    <n v="0"/>
    <n v="0"/>
    <n v="0"/>
    <n v="0"/>
    <n v="0"/>
    <n v="0"/>
  </r>
  <r>
    <d v="2017-05-14T00:00:00"/>
    <n v="2017"/>
    <x v="0"/>
    <s v="R"/>
    <s v="RS"/>
    <x v="9"/>
    <s v="DAL"/>
    <s v="H"/>
    <n v="1"/>
    <n v="1"/>
    <n v="0"/>
    <n v="0"/>
    <n v="0"/>
    <n v="0"/>
    <n v="1517.8556677472675"/>
    <n v="1430.2244949091053"/>
    <n v="0.72869042055161504"/>
    <n v="58"/>
    <n v="68"/>
    <n v="0"/>
    <n v="-10"/>
    <n v="0"/>
    <n v="0.39433313662293473"/>
    <n v="1"/>
    <n v="75.849999999999994"/>
    <n v="75.849999999999994"/>
    <n v="-21.795253199529004"/>
    <n v="1496.0604145477384"/>
    <n v="0"/>
    <n v="1"/>
    <n v="0"/>
    <n v="0"/>
    <n v="0"/>
    <n v="0"/>
    <n v="0"/>
    <n v="0"/>
    <n v="0"/>
    <n v="0"/>
  </r>
  <r>
    <d v="2017-05-14T00:00:00"/>
    <n v="2017"/>
    <x v="0"/>
    <s v="R"/>
    <s v="RS"/>
    <x v="10"/>
    <s v="SEA"/>
    <s v="A"/>
    <n v="1"/>
    <n v="0"/>
    <n v="1"/>
    <n v="-1"/>
    <n v="8"/>
    <n v="-8"/>
    <n v="1505.717999737388"/>
    <n v="1494.675735493159"/>
    <n v="0.41875773779199882"/>
    <n v="82"/>
    <n v="87"/>
    <n v="0"/>
    <n v="-5"/>
    <n v="0"/>
    <n v="0.32873102971508811"/>
    <n v="1"/>
    <n v="75.849999999999994"/>
    <n v="75.849999999999994"/>
    <n v="-10.441409538908044"/>
    <n v="1495.2765901984799"/>
    <n v="0"/>
    <n v="1"/>
    <n v="0"/>
    <n v="0"/>
    <n v="0"/>
    <n v="0"/>
    <n v="0"/>
    <n v="0"/>
    <n v="0"/>
    <n v="0"/>
  </r>
  <r>
    <d v="2017-05-14T00:00:00"/>
    <n v="2017"/>
    <x v="1"/>
    <s v="R"/>
    <s v="RS"/>
    <x v="2"/>
    <s v="IND"/>
    <s v="H"/>
    <n v="0"/>
    <n v="1"/>
    <n v="-1"/>
    <n v="1"/>
    <n v="-8"/>
    <n v="8"/>
    <n v="1494.675735493159"/>
    <n v="1505.717999737388"/>
    <n v="0.58124226220800113"/>
    <n v="87"/>
    <n v="82"/>
    <n v="0"/>
    <n v="5"/>
    <n v="1"/>
    <n v="0.32873102971508811"/>
    <n v="1"/>
    <n v="75.7"/>
    <n v="75.7"/>
    <n v="10.420760739556217"/>
    <n v="1505.0964962327153"/>
    <n v="1"/>
    <n v="0"/>
    <n v="0"/>
    <n v="0"/>
    <n v="0"/>
    <n v="0"/>
    <n v="0"/>
    <n v="0"/>
    <n v="0"/>
    <n v="0"/>
  </r>
  <r>
    <d v="2017-05-14T00:00:00"/>
    <n v="2017"/>
    <x v="1"/>
    <s v="R"/>
    <s v="RS"/>
    <x v="4"/>
    <s v="WAS"/>
    <s v="A"/>
    <n v="0"/>
    <n v="1"/>
    <n v="-1"/>
    <n v="1"/>
    <n v="-8"/>
    <n v="8"/>
    <n v="1391.392894473561"/>
    <n v="1474.772574512567"/>
    <n v="0.25814769444099289"/>
    <n v="74"/>
    <n v="89"/>
    <n v="0"/>
    <n v="-15"/>
    <n v="0"/>
    <n v="0.4701785785140189"/>
    <n v="1"/>
    <n v="75.7"/>
    <n v="75.7"/>
    <n v="-9.188126562633558"/>
    <n v="1382.2047679109273"/>
    <n v="0"/>
    <n v="1"/>
    <n v="0"/>
    <n v="0"/>
    <n v="0"/>
    <n v="0"/>
    <n v="0"/>
    <n v="0"/>
    <n v="0"/>
    <n v="0"/>
  </r>
  <r>
    <d v="2017-05-14T00:00:00"/>
    <n v="2017"/>
    <x v="0"/>
    <s v="R"/>
    <s v="RS"/>
    <x v="11"/>
    <s v="SAS"/>
    <s v="H"/>
    <n v="1"/>
    <n v="0"/>
    <n v="1"/>
    <n v="-1"/>
    <n v="8"/>
    <n v="-8"/>
    <n v="1474.772574512567"/>
    <n v="1391.392894473561"/>
    <n v="0.74185230555900716"/>
    <n v="89"/>
    <n v="74"/>
    <n v="0"/>
    <n v="15"/>
    <n v="1"/>
    <n v="0.4701785785140189"/>
    <n v="1"/>
    <n v="75.849999999999994"/>
    <n v="75.849999999999994"/>
    <n v="9.2063328900363945"/>
    <n v="1483.9789074026035"/>
    <n v="1"/>
    <n v="0"/>
    <n v="0"/>
    <n v="0"/>
    <n v="0"/>
    <n v="0"/>
    <n v="0"/>
    <n v="0"/>
    <n v="0"/>
    <n v="0"/>
  </r>
  <r>
    <d v="2017-05-17T00:00:00"/>
    <n v="2017"/>
    <x v="1"/>
    <s v="R"/>
    <s v="RS"/>
    <x v="10"/>
    <s v="PHX"/>
    <s v="A"/>
    <n v="2"/>
    <n v="2"/>
    <n v="0"/>
    <n v="0"/>
    <n v="0"/>
    <n v="0"/>
    <n v="1495.2765901984799"/>
    <n v="1496.0604145477384"/>
    <n v="0.38035188450263074"/>
    <n v="62"/>
    <n v="85"/>
    <n v="0"/>
    <n v="-23"/>
    <n v="0"/>
    <n v="0.6149361009876082"/>
    <n v="1"/>
    <n v="75.7"/>
    <n v="75.7"/>
    <n v="-17.705632337851799"/>
    <n v="1477.5709578606281"/>
    <n v="0"/>
    <n v="1"/>
    <n v="0"/>
    <n v="0"/>
    <n v="0"/>
    <n v="0"/>
    <n v="0"/>
    <n v="0"/>
    <n v="0"/>
    <n v="0"/>
  </r>
  <r>
    <d v="2017-05-17T00:00:00"/>
    <n v="2017"/>
    <x v="1"/>
    <s v="R"/>
    <s v="RS"/>
    <x v="9"/>
    <s v="IND"/>
    <s v="H"/>
    <n v="2"/>
    <n v="2"/>
    <n v="0"/>
    <n v="0"/>
    <n v="0"/>
    <n v="0"/>
    <n v="1496.0604145477384"/>
    <n v="1495.2765901984799"/>
    <n v="0.6196481154973692"/>
    <n v="85"/>
    <n v="62"/>
    <n v="0"/>
    <n v="23"/>
    <n v="1"/>
    <n v="0.6149361009876082"/>
    <n v="1"/>
    <n v="75.7"/>
    <n v="75.7"/>
    <n v="17.705632337851803"/>
    <n v="1513.7660468855902"/>
    <n v="1"/>
    <n v="0"/>
    <n v="0"/>
    <n v="0"/>
    <n v="0"/>
    <n v="0"/>
    <n v="0"/>
    <n v="0"/>
    <n v="0"/>
    <n v="0"/>
  </r>
  <r>
    <d v="2017-05-18T00:00:00"/>
    <n v="2017"/>
    <x v="1"/>
    <s v="R"/>
    <s v="RS"/>
    <x v="7"/>
    <s v="NYL"/>
    <s v="A"/>
    <n v="3"/>
    <n v="4"/>
    <n v="-1"/>
    <n v="1"/>
    <n v="-8"/>
    <n v="8"/>
    <n v="1610.476767678264"/>
    <n v="1506.9123761678491"/>
    <n v="0.50512939176848248"/>
    <n v="90"/>
    <n v="71"/>
    <n v="0"/>
    <n v="19"/>
    <n v="1"/>
    <n v="0.51640953960680613"/>
    <n v="1"/>
    <n v="75.7"/>
    <n v="75.7"/>
    <n v="19.3455818542066"/>
    <n v="1629.8223495324705"/>
    <n v="1"/>
    <n v="0"/>
    <n v="0"/>
    <n v="0"/>
    <n v="0"/>
    <n v="0"/>
    <n v="0"/>
    <n v="0"/>
    <n v="0"/>
    <n v="0"/>
  </r>
  <r>
    <d v="2017-05-18T00:00:00"/>
    <n v="2017"/>
    <x v="1"/>
    <s v="R"/>
    <s v="RS"/>
    <x v="5"/>
    <s v="MIN"/>
    <s v="H"/>
    <n v="4"/>
    <n v="3"/>
    <n v="1"/>
    <n v="-1"/>
    <n v="8"/>
    <n v="-8"/>
    <n v="1506.9123761678491"/>
    <n v="1610.476767678264"/>
    <n v="0.49487060823151757"/>
    <n v="71"/>
    <n v="90"/>
    <n v="0"/>
    <n v="-19"/>
    <n v="0"/>
    <n v="0.51640953960680613"/>
    <n v="1"/>
    <n v="75.7"/>
    <n v="75.7"/>
    <n v="-19.345581854206603"/>
    <n v="1487.5667943136425"/>
    <n v="0"/>
    <n v="1"/>
    <n v="0"/>
    <n v="0"/>
    <n v="0"/>
    <n v="0"/>
    <n v="0"/>
    <n v="0"/>
    <n v="0"/>
    <n v="0"/>
  </r>
  <r>
    <d v="2017-05-19T00:00:00"/>
    <n v="2017"/>
    <x v="1"/>
    <s v="R"/>
    <s v="RS"/>
    <x v="0"/>
    <s v="CHI"/>
    <s v="A"/>
    <n v="5"/>
    <n v="4"/>
    <n v="1"/>
    <n v="-1"/>
    <n v="8"/>
    <n v="-8"/>
    <n v="1506.4909476259436"/>
    <n v="1496.3327497923055"/>
    <n v="0.41751956813095137"/>
    <n v="91"/>
    <n v="83"/>
    <n v="0"/>
    <n v="8"/>
    <n v="1"/>
    <n v="0.38505597271313552"/>
    <n v="1"/>
    <n v="75.7"/>
    <n v="75.7"/>
    <n v="16.978568994473576"/>
    <n v="1523.4695166204172"/>
    <n v="1"/>
    <n v="0"/>
    <n v="0"/>
    <n v="0"/>
    <n v="0"/>
    <n v="0"/>
    <n v="0"/>
    <n v="0"/>
    <n v="0"/>
    <n v="0"/>
  </r>
  <r>
    <d v="2017-05-19T00:00:00"/>
    <n v="2017"/>
    <x v="1"/>
    <s v="R"/>
    <s v="RS"/>
    <x v="6"/>
    <s v="ATL"/>
    <s v="H"/>
    <n v="4"/>
    <n v="5"/>
    <n v="-1"/>
    <n v="1"/>
    <n v="-8"/>
    <n v="8"/>
    <n v="1496.3327497923055"/>
    <n v="1506.4909476259436"/>
    <n v="0.58248043186904863"/>
    <n v="83"/>
    <n v="91"/>
    <n v="0"/>
    <n v="-8"/>
    <n v="0"/>
    <n v="0.38505597271313552"/>
    <n v="1"/>
    <n v="75.7"/>
    <n v="75.7"/>
    <n v="-16.978568994473576"/>
    <n v="1479.354180797832"/>
    <n v="0"/>
    <n v="1"/>
    <n v="0"/>
    <n v="0"/>
    <n v="0"/>
    <n v="0"/>
    <n v="0"/>
    <n v="0"/>
    <n v="0"/>
    <n v="0"/>
  </r>
  <r>
    <d v="2017-05-19T00:00:00"/>
    <n v="2017"/>
    <x v="1"/>
    <s v="R"/>
    <s v="RS"/>
    <x v="11"/>
    <s v="LAS"/>
    <s v="A"/>
    <n v="4"/>
    <n v="5"/>
    <n v="-1"/>
    <n v="1"/>
    <n v="-8"/>
    <n v="8"/>
    <n v="1483.9789074026035"/>
    <n v="1592.5353418032057"/>
    <n v="0.23137786166925506"/>
    <n v="89"/>
    <n v="99"/>
    <n v="0"/>
    <n v="-10"/>
    <n v="0"/>
    <n v="0.38802731456616418"/>
    <n v="1"/>
    <n v="75.7"/>
    <n v="75.7"/>
    <n v="-6.796416424738192"/>
    <n v="1477.1824909778652"/>
    <n v="0"/>
    <n v="1"/>
    <n v="0"/>
    <n v="0"/>
    <n v="0"/>
    <n v="0"/>
    <n v="0"/>
    <n v="0"/>
    <n v="0"/>
    <n v="0"/>
  </r>
  <r>
    <d v="2017-05-19T00:00:00"/>
    <n v="2017"/>
    <x v="1"/>
    <s v="R"/>
    <s v="RS"/>
    <x v="3"/>
    <s v="WAS"/>
    <s v="H"/>
    <n v="5"/>
    <n v="4"/>
    <n v="1"/>
    <n v="-1"/>
    <n v="8"/>
    <n v="-8"/>
    <n v="1592.5353418032057"/>
    <n v="1483.9789074026035"/>
    <n v="0.768622138330745"/>
    <n v="99"/>
    <n v="89"/>
    <n v="0"/>
    <n v="10"/>
    <n v="1"/>
    <n v="0.38802731456616418"/>
    <n v="1"/>
    <n v="75.7"/>
    <n v="75.7"/>
    <n v="6.7964164247381902"/>
    <n v="1599.331758227944"/>
    <n v="1"/>
    <n v="0"/>
    <n v="0"/>
    <n v="0"/>
    <n v="0"/>
    <n v="0"/>
    <n v="0"/>
    <n v="0"/>
    <n v="0"/>
    <n v="0"/>
  </r>
  <r>
    <d v="2017-05-19T00:00:00"/>
    <n v="2017"/>
    <x v="2"/>
    <s v="R"/>
    <s v="RS"/>
    <x v="9"/>
    <s v="SAS"/>
    <s v="A"/>
    <n v="1"/>
    <n v="4"/>
    <n v="-3"/>
    <n v="3"/>
    <n v="-16"/>
    <n v="16"/>
    <n v="1513.7660468855902"/>
    <n v="1382.2047679109273"/>
    <n v="0.52237951780443503"/>
    <n v="78"/>
    <n v="72"/>
    <n v="0"/>
    <n v="6"/>
    <n v="1"/>
    <n v="0.31657342396872978"/>
    <n v="1"/>
    <n v="75.55"/>
    <n v="75.55"/>
    <n v="11.423307428741866"/>
    <n v="1525.1893543143321"/>
    <n v="1"/>
    <n v="0"/>
    <n v="0"/>
    <n v="0"/>
    <n v="0"/>
    <n v="0"/>
    <n v="0"/>
    <n v="0"/>
    <n v="0"/>
    <n v="0"/>
  </r>
  <r>
    <d v="2017-05-19T00:00:00"/>
    <n v="2017"/>
    <x v="2"/>
    <s v="R"/>
    <s v="RS"/>
    <x v="4"/>
    <s v="PHX"/>
    <s v="H"/>
    <n v="4"/>
    <n v="1"/>
    <n v="3"/>
    <n v="-3"/>
    <n v="16"/>
    <n v="-16"/>
    <n v="1382.2047679109273"/>
    <n v="1513.7660468855902"/>
    <n v="0.47762048219556502"/>
    <n v="72"/>
    <n v="78"/>
    <n v="0"/>
    <n v="-6"/>
    <n v="0"/>
    <n v="0.31657342396872978"/>
    <n v="1"/>
    <n v="75.55"/>
    <n v="75.55"/>
    <n v="-11.423307428741866"/>
    <n v="1370.7814604821854"/>
    <n v="0"/>
    <n v="1"/>
    <n v="0"/>
    <n v="0"/>
    <n v="0"/>
    <n v="0"/>
    <n v="0"/>
    <n v="0"/>
    <n v="0"/>
    <n v="0"/>
  </r>
  <r>
    <d v="2017-05-20T00:00:00"/>
    <n v="2017"/>
    <x v="2"/>
    <s v="R"/>
    <s v="RS"/>
    <x v="7"/>
    <s v="DAL"/>
    <s v="A"/>
    <n v="1"/>
    <n v="5"/>
    <n v="-4"/>
    <n v="4"/>
    <n v="-16"/>
    <n v="16"/>
    <n v="1629.8223495324705"/>
    <n v="1452.0197481086343"/>
    <n v="0.58801472262214571"/>
    <n v="89"/>
    <n v="87"/>
    <n v="0"/>
    <n v="2"/>
    <n v="1"/>
    <n v="0.23327694739395591"/>
    <n v="1"/>
    <n v="75.55"/>
    <n v="75.55"/>
    <n v="7.2608587581797295"/>
    <n v="1637.0832082906502"/>
    <n v="1"/>
    <n v="0"/>
    <n v="0"/>
    <n v="0"/>
    <n v="0"/>
    <n v="0"/>
    <n v="0"/>
    <n v="0"/>
    <n v="0"/>
    <n v="0"/>
  </r>
  <r>
    <d v="2017-05-20T00:00:00"/>
    <n v="2017"/>
    <x v="1"/>
    <s v="R"/>
    <s v="RS"/>
    <x v="8"/>
    <s v="MIN"/>
    <s v="H"/>
    <n v="5"/>
    <n v="1"/>
    <n v="4"/>
    <n v="-4"/>
    <n v="16"/>
    <n v="-16"/>
    <n v="1452.0197481086343"/>
    <n v="1629.8223495324705"/>
    <n v="0.41198527737785423"/>
    <n v="87"/>
    <n v="89"/>
    <n v="0"/>
    <n v="-2"/>
    <n v="0"/>
    <n v="0.23327694739395591"/>
    <n v="1"/>
    <n v="75.7"/>
    <n v="75.7"/>
    <n v="-7.2752747583614239"/>
    <n v="1444.744473350273"/>
    <n v="0"/>
    <n v="1"/>
    <n v="0"/>
    <n v="0"/>
    <n v="0"/>
    <n v="0"/>
    <n v="0"/>
    <n v="0"/>
    <n v="0"/>
    <n v="0"/>
  </r>
  <r>
    <d v="2017-05-20T00:00:00"/>
    <n v="2017"/>
    <x v="1"/>
    <s v="R"/>
    <s v="RS"/>
    <x v="1"/>
    <s v="IND"/>
    <s v="A"/>
    <n v="6"/>
    <n v="2"/>
    <n v="4"/>
    <n v="-4"/>
    <n v="16"/>
    <n v="-16"/>
    <n v="1473.1503046407024"/>
    <n v="1477.5709578606281"/>
    <n v="0.41951044402043558"/>
    <n v="79"/>
    <n v="81"/>
    <n v="0"/>
    <n v="-2"/>
    <n v="0"/>
    <n v="0.26685824766649435"/>
    <n v="1"/>
    <n v="75.7"/>
    <n v="75.7"/>
    <n v="-8.4746015230598424"/>
    <n v="1464.6757031176426"/>
    <n v="0"/>
    <n v="1"/>
    <n v="0"/>
    <n v="0"/>
    <n v="0"/>
    <n v="0"/>
    <n v="0"/>
    <n v="0"/>
    <n v="0"/>
    <n v="0"/>
  </r>
  <r>
    <d v="2017-05-20T00:00:00"/>
    <n v="2017"/>
    <x v="2"/>
    <s v="R"/>
    <s v="RS"/>
    <x v="10"/>
    <s v="CON"/>
    <s v="H"/>
    <n v="2"/>
    <n v="6"/>
    <n v="-4"/>
    <n v="4"/>
    <n v="-16"/>
    <n v="16"/>
    <n v="1477.5709578606281"/>
    <n v="1473.1503046407024"/>
    <n v="0.58048955597956442"/>
    <n v="81"/>
    <n v="79"/>
    <n v="0"/>
    <n v="2"/>
    <n v="1"/>
    <n v="0.26685824766649435"/>
    <n v="1"/>
    <n v="75.55"/>
    <n v="75.55"/>
    <n v="8.457809049764478"/>
    <n v="1486.0287669103927"/>
    <n v="1"/>
    <n v="0"/>
    <n v="0"/>
    <n v="0"/>
    <n v="0"/>
    <n v="0"/>
    <n v="0"/>
    <n v="0"/>
    <n v="0"/>
    <n v="0"/>
  </r>
  <r>
    <d v="2017-05-21T00:00:00"/>
    <n v="2017"/>
    <x v="2"/>
    <s v="R"/>
    <s v="RS"/>
    <x v="6"/>
    <s v="ATL"/>
    <s v="A"/>
    <n v="1"/>
    <n v="1"/>
    <n v="0"/>
    <n v="0"/>
    <n v="0"/>
    <n v="0"/>
    <n v="1479.354180797832"/>
    <n v="1523.4695166204172"/>
    <n v="0.32355300227662859"/>
    <n v="75"/>
    <n v="71"/>
    <n v="0"/>
    <n v="4"/>
    <n v="1"/>
    <n v="0.30038957894330526"/>
    <n v="1"/>
    <n v="75.55"/>
    <n v="75.55"/>
    <n v="15.351580857621958"/>
    <n v="1494.7057616554539"/>
    <n v="1"/>
    <n v="0"/>
    <n v="0"/>
    <n v="0"/>
    <n v="0"/>
    <n v="0"/>
    <n v="0"/>
    <n v="0"/>
    <n v="0"/>
    <n v="0"/>
  </r>
  <r>
    <d v="2017-05-21T00:00:00"/>
    <n v="2017"/>
    <x v="2"/>
    <s v="R"/>
    <s v="RS"/>
    <x v="0"/>
    <s v="CHI"/>
    <s v="H"/>
    <n v="1"/>
    <n v="1"/>
    <n v="0"/>
    <n v="0"/>
    <n v="0"/>
    <n v="0"/>
    <n v="1523.4695166204172"/>
    <n v="1479.354180797832"/>
    <n v="0.67644699772337136"/>
    <n v="71"/>
    <n v="75"/>
    <n v="0"/>
    <n v="-4"/>
    <n v="0"/>
    <n v="0.30038957894330526"/>
    <n v="1"/>
    <n v="75.55"/>
    <n v="75.55"/>
    <n v="-15.351580857621958"/>
    <n v="1508.1179357627952"/>
    <n v="0"/>
    <n v="1"/>
    <n v="0"/>
    <n v="0"/>
    <n v="0"/>
    <n v="0"/>
    <n v="0"/>
    <n v="0"/>
    <n v="0"/>
    <n v="0"/>
  </r>
  <r>
    <d v="2017-05-21T00:00:00"/>
    <n v="2017"/>
    <x v="2"/>
    <s v="R"/>
    <s v="RS"/>
    <x v="11"/>
    <s v="SEA"/>
    <s v="A"/>
    <n v="1"/>
    <n v="6"/>
    <n v="-5"/>
    <n v="5"/>
    <n v="-16"/>
    <n v="16"/>
    <n v="1477.1824909778652"/>
    <n v="1505.0964962327153"/>
    <n v="0.30397595422478529"/>
    <n v="71"/>
    <n v="81"/>
    <n v="0"/>
    <n v="-10"/>
    <n v="0"/>
    <n v="0.41351074833074936"/>
    <n v="1"/>
    <n v="75.55"/>
    <n v="75.55"/>
    <n v="-9.4964328513216678"/>
    <n v="1467.6860581265435"/>
    <n v="0"/>
    <n v="1"/>
    <n v="0"/>
    <n v="0"/>
    <n v="0"/>
    <n v="0"/>
    <n v="0"/>
    <n v="0"/>
    <n v="0"/>
    <n v="0"/>
  </r>
  <r>
    <d v="2017-05-21T00:00:00"/>
    <n v="2017"/>
    <x v="2"/>
    <s v="R"/>
    <s v="RS"/>
    <x v="2"/>
    <s v="WAS"/>
    <s v="H"/>
    <n v="6"/>
    <n v="1"/>
    <n v="5"/>
    <n v="-5"/>
    <n v="16"/>
    <n v="-16"/>
    <n v="1505.0964962327153"/>
    <n v="1477.1824909778652"/>
    <n v="0.69602404577521471"/>
    <n v="81"/>
    <n v="71"/>
    <n v="0"/>
    <n v="10"/>
    <n v="1"/>
    <n v="0.41351074833074936"/>
    <n v="1"/>
    <n v="75.55"/>
    <n v="75.55"/>
    <n v="9.4964328513216678"/>
    <n v="1514.592929084037"/>
    <n v="1"/>
    <n v="0"/>
    <n v="0"/>
    <n v="0"/>
    <n v="0"/>
    <n v="0"/>
    <n v="0"/>
    <n v="0"/>
    <n v="0"/>
    <n v="0"/>
  </r>
  <r>
    <d v="2017-05-23T00:00:00"/>
    <n v="2017"/>
    <x v="2"/>
    <s v="R"/>
    <s v="RS"/>
    <x v="1"/>
    <s v="MIN"/>
    <s v="A"/>
    <n v="2"/>
    <n v="2"/>
    <n v="0"/>
    <n v="0"/>
    <n v="0"/>
    <n v="0"/>
    <n v="1464.6757031176426"/>
    <n v="1637.0832082906502"/>
    <n v="0.18603231850661098"/>
    <n v="78"/>
    <n v="80"/>
    <n v="0"/>
    <n v="-2"/>
    <n v="0"/>
    <n v="0.23419398666949617"/>
    <n v="1"/>
    <n v="75.55"/>
    <n v="75.55"/>
    <n v="-3.2915359817086913"/>
    <n v="1461.3841671359339"/>
    <n v="0"/>
    <n v="1"/>
    <n v="0"/>
    <n v="0"/>
    <n v="0"/>
    <n v="0"/>
    <n v="0"/>
    <n v="0"/>
    <n v="0"/>
    <n v="0"/>
  </r>
  <r>
    <d v="2017-05-23T00:00:00"/>
    <n v="2017"/>
    <x v="3"/>
    <s v="R"/>
    <s v="RS"/>
    <x v="7"/>
    <s v="CON"/>
    <s v="H"/>
    <n v="2"/>
    <n v="2"/>
    <n v="0"/>
    <n v="0"/>
    <n v="0"/>
    <n v="0"/>
    <n v="1637.0832082906502"/>
    <n v="1464.6757031176426"/>
    <n v="0.81396768149338894"/>
    <n v="80"/>
    <n v="78"/>
    <n v="0"/>
    <n v="2"/>
    <n v="1"/>
    <n v="0.23419398666949617"/>
    <n v="1"/>
    <n v="75.400000000000006"/>
    <n v="75.400000000000006"/>
    <n v="3.2850008341606287"/>
    <n v="1640.3682091248108"/>
    <n v="1"/>
    <n v="0"/>
    <n v="0"/>
    <n v="0"/>
    <n v="0"/>
    <n v="0"/>
    <n v="0"/>
    <n v="0"/>
    <n v="0"/>
    <n v="0"/>
  </r>
  <r>
    <d v="2017-05-23T00:00:00"/>
    <n v="2017"/>
    <x v="2"/>
    <s v="R"/>
    <s v="RS"/>
    <x v="5"/>
    <s v="PHX"/>
    <s v="A"/>
    <n v="4"/>
    <n v="3"/>
    <n v="1"/>
    <n v="-1"/>
    <n v="8"/>
    <n v="-8"/>
    <n v="1487.5667943136425"/>
    <n v="1525.1893543143321"/>
    <n v="0.35251274545685274"/>
    <n v="69"/>
    <n v="67"/>
    <n v="0"/>
    <n v="2"/>
    <n v="1"/>
    <n v="0.25969919695987498"/>
    <n v="1"/>
    <n v="75.55"/>
    <n v="75.55"/>
    <n v="12.703877559521349"/>
    <n v="1500.2706718731638"/>
    <n v="1"/>
    <n v="0"/>
    <n v="0"/>
    <n v="0"/>
    <n v="0"/>
    <n v="0"/>
    <n v="0"/>
    <n v="0"/>
    <n v="0"/>
    <n v="0"/>
  </r>
  <r>
    <d v="2017-05-23T00:00:00"/>
    <n v="2017"/>
    <x v="3"/>
    <s v="R"/>
    <s v="RS"/>
    <x v="9"/>
    <s v="NYL"/>
    <s v="H"/>
    <n v="3"/>
    <n v="4"/>
    <n v="-1"/>
    <n v="1"/>
    <n v="-8"/>
    <n v="8"/>
    <n v="1525.1893543143321"/>
    <n v="1487.5667943136425"/>
    <n v="0.64748725454314726"/>
    <n v="67"/>
    <n v="69"/>
    <n v="0"/>
    <n v="-2"/>
    <n v="0"/>
    <n v="0.25969919695987498"/>
    <n v="1"/>
    <n v="75.400000000000006"/>
    <n v="75.400000000000006"/>
    <n v="-12.678654771514358"/>
    <n v="1512.5106995428177"/>
    <n v="0"/>
    <n v="1"/>
    <n v="0"/>
    <n v="0"/>
    <n v="0"/>
    <n v="0"/>
    <n v="0"/>
    <n v="0"/>
    <n v="0"/>
    <n v="0"/>
  </r>
  <r>
    <d v="2017-05-24T00:00:00"/>
    <n v="2017"/>
    <x v="3"/>
    <s v="R"/>
    <s v="RS"/>
    <x v="11"/>
    <s v="CHI"/>
    <s v="A"/>
    <n v="2"/>
    <n v="2"/>
    <n v="0"/>
    <n v="0"/>
    <n v="0"/>
    <n v="0"/>
    <n v="1467.6860581265435"/>
    <n v="1494.7057616554539"/>
    <n v="0.34545435853691708"/>
    <n v="82"/>
    <n v="67"/>
    <n v="0"/>
    <n v="15"/>
    <n v="1"/>
    <n v="0.49177501544521757"/>
    <n v="1"/>
    <n v="75.400000000000006"/>
    <n v="75.400000000000006"/>
    <n v="24.270445147684104"/>
    <n v="1491.9565032742275"/>
    <n v="1"/>
    <n v="0"/>
    <n v="0"/>
    <n v="0"/>
    <n v="0"/>
    <n v="0"/>
    <n v="0"/>
    <n v="0"/>
    <n v="0"/>
    <n v="0"/>
  </r>
  <r>
    <d v="2017-05-24T00:00:00"/>
    <n v="2017"/>
    <x v="3"/>
    <s v="R"/>
    <s v="RS"/>
    <x v="6"/>
    <s v="WAS"/>
    <s v="H"/>
    <n v="2"/>
    <n v="2"/>
    <n v="0"/>
    <n v="0"/>
    <n v="0"/>
    <n v="0"/>
    <n v="1494.7057616554539"/>
    <n v="1467.6860581265435"/>
    <n v="0.65454564146308281"/>
    <n v="67"/>
    <n v="82"/>
    <n v="0"/>
    <n v="-15"/>
    <n v="0"/>
    <n v="0.49177501544521757"/>
    <n v="1"/>
    <n v="75.400000000000006"/>
    <n v="75.400000000000006"/>
    <n v="-24.2704451476841"/>
    <n v="1470.4353165077698"/>
    <n v="0"/>
    <n v="1"/>
    <n v="0"/>
    <n v="0"/>
    <n v="0"/>
    <n v="0"/>
    <n v="0"/>
    <n v="0"/>
    <n v="0"/>
    <n v="0"/>
  </r>
  <r>
    <d v="2017-05-24T00:00:00"/>
    <n v="2017"/>
    <x v="2"/>
    <s v="R"/>
    <s v="RS"/>
    <x v="3"/>
    <s v="IND"/>
    <s v="A"/>
    <n v="4"/>
    <n v="3"/>
    <n v="1"/>
    <n v="-1"/>
    <n v="8"/>
    <n v="-8"/>
    <n v="1599.331758227944"/>
    <n v="1486.0287669103927"/>
    <n v="0.56482924776642962"/>
    <n v="90"/>
    <n v="93"/>
    <n v="0"/>
    <n v="-3"/>
    <n v="0"/>
    <n v="0.26514842928142807"/>
    <n v="1"/>
    <n v="75.55"/>
    <n v="75.55"/>
    <n v="-11.314639062632567"/>
    <n v="1588.0171191653114"/>
    <n v="0"/>
    <n v="1"/>
    <n v="0"/>
    <n v="0"/>
    <n v="0"/>
    <n v="0"/>
    <n v="0"/>
    <n v="0"/>
    <n v="0"/>
    <n v="0"/>
  </r>
  <r>
    <d v="2017-05-24T00:00:00"/>
    <n v="2017"/>
    <x v="3"/>
    <s v="R"/>
    <s v="RS"/>
    <x v="10"/>
    <s v="LAS"/>
    <s v="H"/>
    <n v="3"/>
    <n v="4"/>
    <n v="-1"/>
    <n v="1"/>
    <n v="-8"/>
    <n v="8"/>
    <n v="1486.0287669103927"/>
    <n v="1599.331758227944"/>
    <n v="0.43517075223357038"/>
    <n v="93"/>
    <n v="90"/>
    <n v="0"/>
    <n v="3"/>
    <n v="1"/>
    <n v="0.26514842928142807"/>
    <n v="1"/>
    <n v="75.400000000000006"/>
    <n v="75.400000000000006"/>
    <n v="11.292174524453946"/>
    <n v="1497.3209414348466"/>
    <n v="1"/>
    <n v="0"/>
    <n v="0"/>
    <n v="0"/>
    <n v="0"/>
    <n v="0"/>
    <n v="0"/>
    <n v="0"/>
    <n v="0"/>
    <n v="0"/>
  </r>
  <r>
    <d v="2017-05-25T00:00:00"/>
    <n v="2017"/>
    <x v="2"/>
    <s v="R"/>
    <s v="RS"/>
    <x v="8"/>
    <s v="SAS"/>
    <s v="A"/>
    <n v="4"/>
    <n v="5"/>
    <n v="-1"/>
    <n v="1"/>
    <n v="-8"/>
    <n v="8"/>
    <n v="1444.744473350273"/>
    <n v="1370.7814604821854"/>
    <n v="0.46259975147161042"/>
    <n v="94"/>
    <n v="82"/>
    <n v="0"/>
    <n v="12"/>
    <n v="1"/>
    <n v="0.42964774185993165"/>
    <n v="1"/>
    <n v="75.55"/>
    <n v="75.55"/>
    <n v="17.443951285929497"/>
    <n v="1462.1884246362024"/>
    <n v="1"/>
    <n v="0"/>
    <n v="0"/>
    <n v="0"/>
    <n v="0"/>
    <n v="0"/>
    <n v="0"/>
    <n v="0"/>
    <n v="0"/>
    <n v="0"/>
  </r>
  <r>
    <d v="2017-05-25T00:00:00"/>
    <n v="2017"/>
    <x v="3"/>
    <s v="R"/>
    <s v="RS"/>
    <x v="4"/>
    <s v="DAL"/>
    <s v="H"/>
    <n v="5"/>
    <n v="4"/>
    <n v="1"/>
    <n v="-1"/>
    <n v="8"/>
    <n v="-8"/>
    <n v="1370.7814604821854"/>
    <n v="1444.744473350273"/>
    <n v="0.53740024852838963"/>
    <n v="82"/>
    <n v="94"/>
    <n v="0"/>
    <n v="-12"/>
    <n v="0"/>
    <n v="0.42964774185993165"/>
    <n v="1"/>
    <n v="75.400000000000006"/>
    <n v="75.400000000000006"/>
    <n v="-17.409317365441225"/>
    <n v="1353.3721431167442"/>
    <n v="0"/>
    <n v="1"/>
    <n v="0"/>
    <n v="0"/>
    <n v="0"/>
    <n v="0"/>
    <n v="0"/>
    <n v="0"/>
    <n v="0"/>
    <n v="0"/>
  </r>
  <r>
    <d v="2017-05-26T00:00:00"/>
    <n v="2017"/>
    <x v="4"/>
    <s v="R"/>
    <s v="RS"/>
    <x v="7"/>
    <s v="CON"/>
    <s v="A"/>
    <n v="2"/>
    <n v="2"/>
    <n v="0"/>
    <n v="0"/>
    <n v="0"/>
    <n v="0"/>
    <n v="1640.3682091248108"/>
    <n v="1461.3841671359339"/>
    <n v="0.63338636930474679"/>
    <n v="82"/>
    <n v="68"/>
    <n v="0"/>
    <n v="14"/>
    <n v="1"/>
    <n v="0.42431943113496978"/>
    <n v="1"/>
    <n v="75.25"/>
    <n v="75.25"/>
    <n v="11.705986863525913"/>
    <n v="1652.0741959883367"/>
    <n v="1"/>
    <n v="0"/>
    <n v="0"/>
    <n v="0"/>
    <n v="0"/>
    <n v="0"/>
    <n v="0"/>
    <n v="0"/>
    <n v="0"/>
    <n v="0"/>
  </r>
  <r>
    <d v="2017-05-26T00:00:00"/>
    <n v="2017"/>
    <x v="3"/>
    <s v="R"/>
    <s v="RS"/>
    <x v="1"/>
    <s v="MIN"/>
    <s v="H"/>
    <n v="2"/>
    <n v="2"/>
    <n v="0"/>
    <n v="0"/>
    <n v="0"/>
    <n v="0"/>
    <n v="1461.3841671359339"/>
    <n v="1640.3682091248108"/>
    <n v="0.36661363069525316"/>
    <n v="68"/>
    <n v="82"/>
    <n v="0"/>
    <n v="-14"/>
    <n v="0"/>
    <n v="0.42431943113496978"/>
    <n v="1"/>
    <n v="75.400000000000006"/>
    <n v="75.400000000000006"/>
    <n v="-11.729321056609354"/>
    <n v="1449.6548460793247"/>
    <n v="0"/>
    <n v="1"/>
    <n v="0"/>
    <n v="0"/>
    <n v="0"/>
    <n v="0"/>
    <n v="0"/>
    <n v="0"/>
    <n v="0"/>
    <n v="0"/>
  </r>
  <r>
    <d v="2017-05-26T00:00:00"/>
    <n v="2017"/>
    <x v="3"/>
    <s v="R"/>
    <s v="RS"/>
    <x v="5"/>
    <s v="SEA"/>
    <s v="A"/>
    <n v="2"/>
    <n v="4"/>
    <n v="-2"/>
    <n v="2"/>
    <n v="-16"/>
    <n v="16"/>
    <n v="1500.2706718731638"/>
    <n v="1514.592929084037"/>
    <n v="0.32077876553875256"/>
    <n v="81"/>
    <n v="87"/>
    <n v="0"/>
    <n v="-6"/>
    <n v="0"/>
    <n v="0.34713759943542566"/>
    <n v="1"/>
    <n v="75.400000000000006"/>
    <n v="75.400000000000006"/>
    <n v="-8.3961195446712296"/>
    <n v="1491.8745523284927"/>
    <n v="0"/>
    <n v="1"/>
    <n v="0"/>
    <n v="0"/>
    <n v="0"/>
    <n v="0"/>
    <n v="0"/>
    <n v="0"/>
    <n v="0"/>
    <n v="0"/>
  </r>
  <r>
    <d v="2017-05-26T00:00:00"/>
    <n v="2017"/>
    <x v="3"/>
    <s v="R"/>
    <s v="RS"/>
    <x v="2"/>
    <s v="NYL"/>
    <s v="H"/>
    <n v="4"/>
    <n v="2"/>
    <n v="2"/>
    <n v="-2"/>
    <n v="16"/>
    <n v="-16"/>
    <n v="1514.592929084037"/>
    <n v="1500.2706718731638"/>
    <n v="0.67922123446124749"/>
    <n v="87"/>
    <n v="81"/>
    <n v="0"/>
    <n v="6"/>
    <n v="1"/>
    <n v="0.34713759943542566"/>
    <n v="1"/>
    <n v="75.400000000000006"/>
    <n v="75.400000000000006"/>
    <n v="8.3961195446712278"/>
    <n v="1522.9890486287081"/>
    <n v="1"/>
    <n v="0"/>
    <n v="0"/>
    <n v="0"/>
    <n v="0"/>
    <n v="0"/>
    <n v="0"/>
    <n v="0"/>
    <n v="0"/>
    <n v="0"/>
  </r>
  <r>
    <d v="2017-05-26T00:00:00"/>
    <n v="2017"/>
    <x v="4"/>
    <s v="R"/>
    <s v="RS"/>
    <x v="6"/>
    <s v="WAS"/>
    <s v="A"/>
    <n v="1"/>
    <n v="1"/>
    <n v="0"/>
    <n v="0"/>
    <n v="0"/>
    <n v="0"/>
    <n v="1470.4353165077698"/>
    <n v="1491.9565032742275"/>
    <n v="0.35264595103605811"/>
    <n v="79"/>
    <n v="88"/>
    <n v="0"/>
    <n v="-9"/>
    <n v="0"/>
    <n v="0.39881897903571323"/>
    <n v="1"/>
    <n v="75.25"/>
    <n v="75.25"/>
    <n v="-10.58330283603423"/>
    <n v="1459.8520136717357"/>
    <n v="0"/>
    <n v="1"/>
    <n v="0"/>
    <n v="0"/>
    <n v="0"/>
    <n v="0"/>
    <n v="0"/>
    <n v="0"/>
    <n v="0"/>
    <n v="0"/>
  </r>
  <r>
    <d v="2017-05-26T00:00:00"/>
    <n v="2017"/>
    <x v="4"/>
    <s v="R"/>
    <s v="RS"/>
    <x v="11"/>
    <s v="CHI"/>
    <s v="H"/>
    <n v="1"/>
    <n v="1"/>
    <n v="0"/>
    <n v="0"/>
    <n v="0"/>
    <n v="0"/>
    <n v="1491.9565032742275"/>
    <n v="1470.4353165077698"/>
    <n v="0.647354048963942"/>
    <n v="88"/>
    <n v="79"/>
    <n v="0"/>
    <n v="9"/>
    <n v="1"/>
    <n v="0.39881897903571323"/>
    <n v="1"/>
    <n v="75.25"/>
    <n v="75.25"/>
    <n v="10.583302836034227"/>
    <n v="1502.5398061102617"/>
    <n v="1"/>
    <n v="0"/>
    <n v="0"/>
    <n v="0"/>
    <n v="0"/>
    <n v="0"/>
    <n v="0"/>
    <n v="0"/>
    <n v="0"/>
    <n v="0"/>
  </r>
  <r>
    <d v="2017-05-27T00:00:00"/>
    <n v="2017"/>
    <x v="3"/>
    <s v="R"/>
    <s v="RS"/>
    <x v="3"/>
    <s v="ATL"/>
    <s v="A"/>
    <n v="2"/>
    <n v="5"/>
    <n v="-3"/>
    <n v="3"/>
    <n v="-16"/>
    <n v="16"/>
    <n v="1588.0171191653114"/>
    <n v="1508.1179357627952"/>
    <n v="0.4482329168660662"/>
    <n v="73"/>
    <n v="75"/>
    <n v="0"/>
    <n v="-2"/>
    <n v="0"/>
    <n v="0.25112101729540953"/>
    <n v="1"/>
    <n v="75.400000000000006"/>
    <n v="75.400000000000006"/>
    <n v="-8.4870772375796246"/>
    <n v="1579.5300419277319"/>
    <n v="0"/>
    <n v="1"/>
    <n v="0"/>
    <n v="0"/>
    <n v="0"/>
    <n v="0"/>
    <n v="0"/>
    <n v="0"/>
    <n v="0"/>
    <n v="0"/>
  </r>
  <r>
    <d v="2017-05-27T00:00:00"/>
    <n v="2017"/>
    <x v="3"/>
    <s v="R"/>
    <s v="RS"/>
    <x v="0"/>
    <s v="LAS"/>
    <s v="H"/>
    <n v="5"/>
    <n v="2"/>
    <n v="3"/>
    <n v="-3"/>
    <n v="16"/>
    <n v="-16"/>
    <n v="1508.1179357627952"/>
    <n v="1588.0171191653114"/>
    <n v="0.55176708313393374"/>
    <n v="75"/>
    <n v="73"/>
    <n v="0"/>
    <n v="2"/>
    <n v="1"/>
    <n v="0.25112101729540953"/>
    <n v="1"/>
    <n v="75.400000000000006"/>
    <n v="75.400000000000006"/>
    <n v="8.4870772375796246"/>
    <n v="1516.6050130003748"/>
    <n v="1"/>
    <n v="0"/>
    <n v="0"/>
    <n v="0"/>
    <n v="0"/>
    <n v="0"/>
    <n v="0"/>
    <n v="0"/>
    <n v="0"/>
    <n v="0"/>
  </r>
  <r>
    <d v="2017-05-27T00:00:00"/>
    <n v="2017"/>
    <x v="3"/>
    <s v="R"/>
    <s v="RS"/>
    <x v="8"/>
    <s v="PHX"/>
    <s v="A"/>
    <n v="1"/>
    <n v="3"/>
    <n v="-2"/>
    <n v="2"/>
    <n v="-16"/>
    <n v="16"/>
    <n v="1462.1884246362024"/>
    <n v="1512.5106995428177"/>
    <n v="0.27739345212277433"/>
    <n v="65"/>
    <n v="107"/>
    <n v="0"/>
    <n v="-42"/>
    <n v="0"/>
    <n v="0.80581759584012502"/>
    <n v="1"/>
    <n v="75.400000000000006"/>
    <n v="75.400000000000006"/>
    <n v="-16.854050761729059"/>
    <n v="1445.3343738744734"/>
    <n v="0"/>
    <n v="1"/>
    <n v="0"/>
    <n v="0"/>
    <n v="0"/>
    <n v="0"/>
    <n v="0"/>
    <n v="0"/>
    <n v="0"/>
    <n v="0"/>
  </r>
  <r>
    <d v="2017-05-27T00:00:00"/>
    <n v="2017"/>
    <x v="4"/>
    <s v="R"/>
    <s v="RS"/>
    <x v="9"/>
    <s v="DAL"/>
    <s v="H"/>
    <n v="3"/>
    <n v="1"/>
    <n v="2"/>
    <n v="-2"/>
    <n v="16"/>
    <n v="-16"/>
    <n v="1512.5106995428177"/>
    <n v="1462.1884246362024"/>
    <n v="0.72260654787722578"/>
    <n v="107"/>
    <n v="65"/>
    <n v="0"/>
    <n v="42"/>
    <n v="1"/>
    <n v="0.80581759584012502"/>
    <n v="1"/>
    <n v="75.25"/>
    <n v="75.25"/>
    <n v="16.820521483025349"/>
    <n v="1529.3312210258432"/>
    <n v="1"/>
    <n v="0"/>
    <n v="0"/>
    <n v="0"/>
    <n v="0"/>
    <n v="0"/>
    <n v="0"/>
    <n v="0"/>
    <n v="0"/>
    <n v="0"/>
  </r>
  <r>
    <d v="2017-05-28T00:00:00"/>
    <n v="2017"/>
    <x v="4"/>
    <s v="R"/>
    <s v="RS"/>
    <x v="1"/>
    <s v="CHI"/>
    <s v="A"/>
    <n v="1"/>
    <n v="1"/>
    <n v="0"/>
    <n v="0"/>
    <n v="0"/>
    <n v="0"/>
    <n v="1449.6548460793247"/>
    <n v="1459.8520136717357"/>
    <n v="0.36766607752631292"/>
    <n v="97"/>
    <n v="79"/>
    <n v="0"/>
    <n v="18"/>
    <n v="1"/>
    <n v="0.5422262885121798"/>
    <n v="1"/>
    <n v="75.25"/>
    <n v="75.25"/>
    <n v="25.800822710214998"/>
    <n v="1475.4556687895397"/>
    <n v="1"/>
    <n v="0"/>
    <n v="0"/>
    <n v="0"/>
    <n v="0"/>
    <n v="0"/>
    <n v="0"/>
    <n v="0"/>
    <n v="0"/>
    <n v="0"/>
  </r>
  <r>
    <d v="2017-05-28T00:00:00"/>
    <n v="2017"/>
    <x v="5"/>
    <s v="R"/>
    <s v="RS"/>
    <x v="6"/>
    <s v="CON"/>
    <s v="H"/>
    <n v="1"/>
    <n v="1"/>
    <n v="0"/>
    <n v="0"/>
    <n v="0"/>
    <n v="0"/>
    <n v="1459.8520136717357"/>
    <n v="1449.6548460793247"/>
    <n v="0.63233392247368714"/>
    <n v="79"/>
    <n v="97"/>
    <n v="0"/>
    <n v="-18"/>
    <n v="0"/>
    <n v="0.5422262885121798"/>
    <n v="1"/>
    <n v="75.099999999999994"/>
    <n v="75.099999999999994"/>
    <n v="-25.74939249883251"/>
    <n v="1434.1026211729031"/>
    <n v="0"/>
    <n v="1"/>
    <n v="0"/>
    <n v="0"/>
    <n v="0"/>
    <n v="0"/>
    <n v="0"/>
    <n v="0"/>
    <n v="0"/>
    <n v="0"/>
  </r>
  <r>
    <d v="2017-05-28T00:00:00"/>
    <n v="2017"/>
    <x v="4"/>
    <s v="R"/>
    <s v="RS"/>
    <x v="4"/>
    <s v="MIN"/>
    <s v="A"/>
    <n v="2"/>
    <n v="1"/>
    <n v="1"/>
    <n v="-1"/>
    <n v="8"/>
    <n v="-8"/>
    <n v="1353.3721431167442"/>
    <n v="1652.0741959883367"/>
    <n v="0.10804125840221351"/>
    <n v="66"/>
    <n v="80"/>
    <n v="0"/>
    <n v="-14"/>
    <n v="0"/>
    <n v="0.39042431624069773"/>
    <n v="1"/>
    <n v="75.25"/>
    <n v="75.25"/>
    <n v="-3.1741905664195236"/>
    <n v="1350.1979525503245"/>
    <n v="0"/>
    <n v="1"/>
    <n v="0"/>
    <n v="0"/>
    <n v="0"/>
    <n v="0"/>
    <n v="0"/>
    <n v="0"/>
    <n v="0"/>
    <n v="0"/>
  </r>
  <r>
    <d v="2017-05-28T00:00:00"/>
    <n v="2017"/>
    <x v="5"/>
    <s v="R"/>
    <s v="RS"/>
    <x v="7"/>
    <s v="SAS"/>
    <s v="H"/>
    <n v="1"/>
    <n v="2"/>
    <n v="-1"/>
    <n v="1"/>
    <n v="-8"/>
    <n v="8"/>
    <n v="1652.0741959883367"/>
    <n v="1353.3721431167442"/>
    <n v="0.89195874159778643"/>
    <n v="80"/>
    <n v="66"/>
    <n v="0"/>
    <n v="14"/>
    <n v="1"/>
    <n v="0.39042431624069773"/>
    <n v="1"/>
    <n v="75.099999999999994"/>
    <n v="75.099999999999994"/>
    <n v="3.1678632762539047"/>
    <n v="1655.2420592645906"/>
    <n v="1"/>
    <n v="0"/>
    <n v="0"/>
    <n v="0"/>
    <n v="0"/>
    <n v="0"/>
    <n v="0"/>
    <n v="0"/>
    <n v="0"/>
    <n v="0"/>
  </r>
  <r>
    <d v="2017-05-28T00:00:00"/>
    <n v="2017"/>
    <x v="4"/>
    <s v="R"/>
    <s v="RS"/>
    <x v="10"/>
    <s v="SEA"/>
    <s v="A"/>
    <n v="3"/>
    <n v="1"/>
    <n v="2"/>
    <n v="-2"/>
    <n v="16"/>
    <n v="-16"/>
    <n v="1497.3209414348466"/>
    <n v="1522.9890486287081"/>
    <n v="0.39005201891372865"/>
    <n v="70"/>
    <n v="94"/>
    <n v="0"/>
    <n v="-24"/>
    <n v="0"/>
    <n v="0.61527024560041588"/>
    <n v="1"/>
    <n v="75.25"/>
    <n v="75.25"/>
    <n v="-18.059051960917589"/>
    <n v="1479.2618894739292"/>
    <n v="0"/>
    <n v="1"/>
    <n v="0"/>
    <n v="0"/>
    <n v="0"/>
    <n v="0"/>
    <n v="0"/>
    <n v="0"/>
    <n v="0"/>
    <n v="0"/>
  </r>
  <r>
    <d v="2017-05-28T00:00:00"/>
    <n v="2017"/>
    <x v="4"/>
    <s v="R"/>
    <s v="RS"/>
    <x v="2"/>
    <s v="IND"/>
    <s v="H"/>
    <n v="1"/>
    <n v="3"/>
    <n v="-2"/>
    <n v="2"/>
    <n v="-16"/>
    <n v="16"/>
    <n v="1522.9890486287081"/>
    <n v="1497.3209414348466"/>
    <n v="0.60994798108627135"/>
    <n v="94"/>
    <n v="70"/>
    <n v="0"/>
    <n v="24"/>
    <n v="1"/>
    <n v="0.61527024560041588"/>
    <n v="1"/>
    <n v="75.25"/>
    <n v="75.25"/>
    <n v="18.059051960917589"/>
    <n v="1541.0481005896256"/>
    <n v="1"/>
    <n v="0"/>
    <n v="0"/>
    <n v="0"/>
    <n v="0"/>
    <n v="0"/>
    <n v="0"/>
    <n v="0"/>
    <n v="0"/>
    <n v="0"/>
  </r>
  <r>
    <d v="2017-05-30T00:00:00"/>
    <n v="2017"/>
    <x v="5"/>
    <s v="R"/>
    <s v="RS"/>
    <x v="10"/>
    <s v="DAL"/>
    <s v="A"/>
    <n v="1"/>
    <n v="2"/>
    <n v="-1"/>
    <n v="1"/>
    <n v="-8"/>
    <n v="8"/>
    <n v="1479.2618894739292"/>
    <n v="1445.3343738744734"/>
    <n v="0.40604398078740295"/>
    <n v="62"/>
    <n v="89"/>
    <n v="0"/>
    <n v="-27"/>
    <n v="0"/>
    <n v="0.6483363000551543"/>
    <n v="1"/>
    <n v="75.099999999999994"/>
    <n v="75.099999999999994"/>
    <n v="-19.77030421746916"/>
    <n v="1459.49158525646"/>
    <n v="0"/>
    <n v="1"/>
    <n v="0"/>
    <n v="0"/>
    <n v="0"/>
    <n v="0"/>
    <n v="0"/>
    <n v="0"/>
    <n v="0"/>
    <n v="0"/>
  </r>
  <r>
    <d v="2017-05-30T00:00:00"/>
    <n v="2017"/>
    <x v="4"/>
    <s v="R"/>
    <s v="RS"/>
    <x v="8"/>
    <s v="IND"/>
    <s v="H"/>
    <n v="2"/>
    <n v="1"/>
    <n v="1"/>
    <n v="-1"/>
    <n v="8"/>
    <n v="-8"/>
    <n v="1445.3343738744734"/>
    <n v="1479.2618894739292"/>
    <n v="0.593956019212597"/>
    <n v="89"/>
    <n v="62"/>
    <n v="0"/>
    <n v="27"/>
    <n v="1"/>
    <n v="0.6483363000551543"/>
    <n v="1"/>
    <n v="75.25"/>
    <n v="75.25"/>
    <n v="19.809792175293669"/>
    <n v="1465.1441660497671"/>
    <n v="1"/>
    <n v="0"/>
    <n v="0"/>
    <n v="0"/>
    <n v="0"/>
    <n v="0"/>
    <n v="0"/>
    <n v="0"/>
    <n v="0"/>
    <n v="0"/>
  </r>
  <r>
    <d v="2017-05-30T00:00:00"/>
    <n v="2017"/>
    <x v="4"/>
    <s v="R"/>
    <s v="RS"/>
    <x v="3"/>
    <s v="NYL"/>
    <s v="A"/>
    <n v="2"/>
    <n v="3"/>
    <n v="-1"/>
    <n v="1"/>
    <n v="-8"/>
    <n v="8"/>
    <n v="1579.5300419277319"/>
    <n v="1491.8745523284927"/>
    <n v="0.48224229333308571"/>
    <n v="90"/>
    <n v="75"/>
    <n v="0"/>
    <n v="15"/>
    <n v="1"/>
    <n v="0.4686172959525996"/>
    <n v="1"/>
    <n v="75.25"/>
    <n v="75.25"/>
    <n v="18.257923788379369"/>
    <n v="1597.7879657161113"/>
    <n v="1"/>
    <n v="0"/>
    <n v="0"/>
    <n v="0"/>
    <n v="0"/>
    <n v="0"/>
    <n v="0"/>
    <n v="0"/>
    <n v="0"/>
    <n v="0"/>
  </r>
  <r>
    <d v="2017-05-30T00:00:00"/>
    <n v="2017"/>
    <x v="4"/>
    <s v="R"/>
    <s v="RS"/>
    <x v="5"/>
    <s v="LAS"/>
    <s v="H"/>
    <n v="3"/>
    <n v="2"/>
    <n v="1"/>
    <n v="-1"/>
    <n v="8"/>
    <n v="-8"/>
    <n v="1491.8745523284927"/>
    <n v="1579.5300419277319"/>
    <n v="0.51775770666691434"/>
    <n v="75"/>
    <n v="90"/>
    <n v="0"/>
    <n v="-15"/>
    <n v="0"/>
    <n v="0.4686172959525996"/>
    <n v="1"/>
    <n v="75.25"/>
    <n v="75.25"/>
    <n v="-18.257923788379369"/>
    <n v="1473.6166285401132"/>
    <n v="0"/>
    <n v="1"/>
    <n v="0"/>
    <n v="0"/>
    <n v="0"/>
    <n v="0"/>
    <n v="0"/>
    <n v="0"/>
    <n v="0"/>
    <n v="0"/>
  </r>
  <r>
    <d v="2017-05-31T00:00:00"/>
    <n v="2017"/>
    <x v="5"/>
    <s v="R"/>
    <s v="RS"/>
    <x v="4"/>
    <s v="ATL"/>
    <s v="A"/>
    <n v="2"/>
    <n v="3"/>
    <n v="-1"/>
    <n v="1"/>
    <n v="-8"/>
    <n v="8"/>
    <n v="1350.1979525503245"/>
    <n v="1516.6050130003748"/>
    <n v="0.17747307430601431"/>
    <n v="70"/>
    <n v="77"/>
    <n v="0"/>
    <n v="-7"/>
    <n v="0"/>
    <n v="0.32503389351508655"/>
    <n v="1"/>
    <n v="75.099999999999994"/>
    <n v="75.099999999999994"/>
    <n v="-4.332125801616785"/>
    <n v="1345.8658267487078"/>
    <n v="0"/>
    <n v="1"/>
    <n v="0"/>
    <n v="0"/>
    <n v="0"/>
    <n v="0"/>
    <n v="0"/>
    <n v="0"/>
    <n v="0"/>
    <n v="0"/>
  </r>
  <r>
    <d v="2017-05-31T00:00:00"/>
    <n v="2017"/>
    <x v="4"/>
    <s v="R"/>
    <s v="RS"/>
    <x v="0"/>
    <s v="SAS"/>
    <s v="H"/>
    <n v="3"/>
    <n v="2"/>
    <n v="1"/>
    <n v="-1"/>
    <n v="8"/>
    <n v="-8"/>
    <n v="1516.6050130003748"/>
    <n v="1350.1979525503245"/>
    <n v="0.82252692569398567"/>
    <n v="77"/>
    <n v="70"/>
    <n v="0"/>
    <n v="7"/>
    <n v="1"/>
    <n v="0.32503389351508655"/>
    <n v="1"/>
    <n v="75.25"/>
    <n v="75.25"/>
    <n v="4.3407785162671519"/>
    <n v="1520.945791516642"/>
    <n v="1"/>
    <n v="0"/>
    <n v="0"/>
    <n v="0"/>
    <n v="0"/>
    <n v="0"/>
    <n v="0"/>
    <n v="0"/>
    <n v="0"/>
    <n v="0"/>
  </r>
  <r>
    <d v="2017-05-31T00:00:00"/>
    <n v="2017"/>
    <x v="5"/>
    <s v="R"/>
    <s v="RS"/>
    <x v="1"/>
    <s v="WAS"/>
    <s v="A"/>
    <n v="2"/>
    <n v="4"/>
    <n v="-2"/>
    <n v="2"/>
    <n v="-16"/>
    <n v="16"/>
    <n v="1475.4556687895397"/>
    <n v="1502.5398061102617"/>
    <n v="0.30498761335252872"/>
    <n v="76"/>
    <n v="78"/>
    <n v="0"/>
    <n v="-2"/>
    <n v="0"/>
    <n v="0.26192954109356009"/>
    <n v="1"/>
    <n v="75.099999999999994"/>
    <n v="75.099999999999994"/>
    <n v="-5.9993834469090634"/>
    <n v="1469.4562853426307"/>
    <n v="0"/>
    <n v="1"/>
    <n v="0"/>
    <n v="0"/>
    <n v="0"/>
    <n v="0"/>
    <n v="0"/>
    <n v="0"/>
    <n v="0"/>
    <n v="0"/>
  </r>
  <r>
    <d v="2017-05-31T00:00:00"/>
    <n v="2017"/>
    <x v="5"/>
    <s v="R"/>
    <s v="RS"/>
    <x v="11"/>
    <s v="CON"/>
    <s v="H"/>
    <n v="4"/>
    <n v="2"/>
    <n v="2"/>
    <n v="-2"/>
    <n v="16"/>
    <n v="-16"/>
    <n v="1502.5398061102617"/>
    <n v="1475.4556687895397"/>
    <n v="0.69501238664747123"/>
    <n v="78"/>
    <n v="76"/>
    <n v="0"/>
    <n v="2"/>
    <n v="1"/>
    <n v="0.26192954109356009"/>
    <n v="1"/>
    <n v="75.099999999999994"/>
    <n v="75.099999999999994"/>
    <n v="5.9993834469090643"/>
    <n v="1508.5391895571706"/>
    <n v="1"/>
    <n v="0"/>
    <n v="0"/>
    <n v="0"/>
    <n v="0"/>
    <n v="0"/>
    <n v="0"/>
    <n v="0"/>
    <n v="0"/>
    <n v="0"/>
  </r>
  <r>
    <d v="2017-06-01T00:00:00"/>
    <n v="2017"/>
    <x v="5"/>
    <s v="R"/>
    <s v="RS"/>
    <x v="9"/>
    <s v="CHI"/>
    <s v="A"/>
    <n v="4"/>
    <n v="3"/>
    <n v="1"/>
    <n v="-1"/>
    <n v="8"/>
    <n v="-8"/>
    <n v="1529.3312210258432"/>
    <n v="1434.1026211729031"/>
    <n v="0.5391050781457748"/>
    <n v="99"/>
    <n v="91"/>
    <n v="0"/>
    <n v="8"/>
    <n v="1"/>
    <n v="0.35976555957497669"/>
    <n v="1"/>
    <n v="75.099999999999994"/>
    <n v="75.099999999999994"/>
    <n v="12.452640371907901"/>
    <n v="1541.783861397751"/>
    <n v="1"/>
    <n v="0"/>
    <n v="0"/>
    <n v="0"/>
    <n v="0"/>
    <n v="0"/>
    <n v="0"/>
    <n v="0"/>
    <n v="0"/>
    <n v="0"/>
  </r>
  <r>
    <d v="2017-06-01T00:00:00"/>
    <n v="2017"/>
    <x v="6"/>
    <s v="R"/>
    <s v="RS"/>
    <x v="6"/>
    <s v="PHX"/>
    <s v="H"/>
    <n v="3"/>
    <n v="4"/>
    <n v="-1"/>
    <n v="1"/>
    <n v="-8"/>
    <n v="8"/>
    <n v="1434.1026211729031"/>
    <n v="1529.3312210258432"/>
    <n v="0.4608949218542252"/>
    <n v="91"/>
    <n v="99"/>
    <n v="0"/>
    <n v="-8"/>
    <n v="0"/>
    <n v="0.35976555957497669"/>
    <n v="1"/>
    <n v="74.95"/>
    <n v="74.95"/>
    <n v="-12.427768253987979"/>
    <n v="1421.6748529189151"/>
    <n v="0"/>
    <n v="1"/>
    <n v="0"/>
    <n v="0"/>
    <n v="0"/>
    <n v="0"/>
    <n v="0"/>
    <n v="0"/>
    <n v="0"/>
    <n v="0"/>
  </r>
  <r>
    <d v="2017-06-02T00:00:00"/>
    <n v="2017"/>
    <x v="5"/>
    <s v="R"/>
    <s v="RS"/>
    <x v="8"/>
    <s v="NYL"/>
    <s v="A"/>
    <n v="2"/>
    <n v="2"/>
    <n v="0"/>
    <n v="0"/>
    <n v="0"/>
    <n v="0"/>
    <n v="1465.1441660497671"/>
    <n v="1473.6166285401132"/>
    <n v="0.36997727994710844"/>
    <n v="89"/>
    <n v="93"/>
    <n v="0"/>
    <n v="-4"/>
    <n v="0"/>
    <n v="0.30924931554875268"/>
    <n v="1"/>
    <n v="75.099999999999994"/>
    <n v="75.099999999999994"/>
    <n v="-8.5925830664766636"/>
    <n v="1456.5515829832905"/>
    <n v="0"/>
    <n v="1"/>
    <n v="0"/>
    <n v="0"/>
    <n v="0"/>
    <n v="0"/>
    <n v="0"/>
    <n v="0"/>
    <n v="0"/>
    <n v="0"/>
  </r>
  <r>
    <d v="2017-06-02T00:00:00"/>
    <n v="2017"/>
    <x v="5"/>
    <s v="R"/>
    <s v="RS"/>
    <x v="5"/>
    <s v="DAL"/>
    <s v="H"/>
    <n v="2"/>
    <n v="2"/>
    <n v="0"/>
    <n v="0"/>
    <n v="0"/>
    <n v="0"/>
    <n v="1473.6166285401132"/>
    <n v="1465.1441660497671"/>
    <n v="0.63002272005289162"/>
    <n v="93"/>
    <n v="89"/>
    <n v="0"/>
    <n v="4"/>
    <n v="1"/>
    <n v="0.30924931554875268"/>
    <n v="1"/>
    <n v="75.099999999999994"/>
    <n v="75.099999999999994"/>
    <n v="8.5925830664766618"/>
    <n v="1482.2092116065899"/>
    <n v="1"/>
    <n v="0"/>
    <n v="0"/>
    <n v="0"/>
    <n v="0"/>
    <n v="0"/>
    <n v="0"/>
    <n v="0"/>
    <n v="0"/>
    <n v="0"/>
  </r>
  <r>
    <d v="2017-06-03T00:00:00"/>
    <n v="2017"/>
    <x v="6"/>
    <s v="R"/>
    <s v="RS"/>
    <x v="8"/>
    <s v="IND"/>
    <s v="A"/>
    <n v="0"/>
    <n v="3"/>
    <n v="-3"/>
    <n v="3"/>
    <n v="-16"/>
    <n v="16"/>
    <n v="1456.5515829832905"/>
    <n v="1459.49158525646"/>
    <n v="0.33521898285022667"/>
    <n v="85"/>
    <n v="91"/>
    <n v="0"/>
    <n v="-6"/>
    <n v="0"/>
    <n v="0.35042222597354888"/>
    <n v="1"/>
    <n v="74.95"/>
    <n v="74.95"/>
    <n v="-8.8042402528144521"/>
    <n v="1447.747342730476"/>
    <n v="0"/>
    <n v="1"/>
    <n v="0"/>
    <n v="0"/>
    <n v="0"/>
    <n v="0"/>
    <n v="0"/>
    <n v="0"/>
    <n v="0"/>
    <n v="0"/>
  </r>
  <r>
    <d v="2017-06-03T00:00:00"/>
    <n v="2017"/>
    <x v="6"/>
    <s v="R"/>
    <s v="RS"/>
    <x v="10"/>
    <s v="DAL"/>
    <s v="H"/>
    <n v="3"/>
    <n v="0"/>
    <n v="3"/>
    <n v="-3"/>
    <n v="16"/>
    <n v="-16"/>
    <n v="1459.49158525646"/>
    <n v="1456.5515829832905"/>
    <n v="0.66478101714977333"/>
    <n v="91"/>
    <n v="85"/>
    <n v="0"/>
    <n v="6"/>
    <n v="1"/>
    <n v="0.35042222597354888"/>
    <n v="1"/>
    <n v="74.95"/>
    <n v="74.95"/>
    <n v="8.8042402528144521"/>
    <n v="1468.2958255092744"/>
    <n v="1"/>
    <n v="0"/>
    <n v="0"/>
    <n v="0"/>
    <n v="0"/>
    <n v="0"/>
    <n v="0"/>
    <n v="0"/>
    <n v="0"/>
    <n v="0"/>
  </r>
  <r>
    <d v="2017-06-03T00:00:00"/>
    <n v="2017"/>
    <x v="6"/>
    <s v="R"/>
    <s v="RS"/>
    <x v="1"/>
    <s v="SAS"/>
    <s v="A"/>
    <n v="2"/>
    <n v="2"/>
    <n v="0"/>
    <n v="0"/>
    <n v="0"/>
    <n v="0"/>
    <n v="1469.4562853426307"/>
    <n v="1345.8658267487078"/>
    <n v="0.55672992150651246"/>
    <n v="85"/>
    <n v="77"/>
    <n v="0"/>
    <n v="8"/>
    <n v="1"/>
    <n v="0.35205651338604027"/>
    <n v="1"/>
    <n v="74.95"/>
    <n v="74.95"/>
    <n v="11.696406068291884"/>
    <n v="1481.1526914109227"/>
    <n v="1"/>
    <n v="0"/>
    <n v="0"/>
    <n v="0"/>
    <n v="0"/>
    <n v="0"/>
    <n v="0"/>
    <n v="0"/>
    <n v="0"/>
    <n v="0"/>
  </r>
  <r>
    <d v="2017-06-03T00:00:00"/>
    <n v="2017"/>
    <x v="6"/>
    <s v="R"/>
    <s v="RS"/>
    <x v="4"/>
    <s v="CON"/>
    <s v="H"/>
    <n v="2"/>
    <n v="2"/>
    <n v="0"/>
    <n v="0"/>
    <n v="0"/>
    <n v="0"/>
    <n v="1345.8658267487078"/>
    <n v="1469.4562853426307"/>
    <n v="0.44327007849348748"/>
    <n v="77"/>
    <n v="85"/>
    <n v="0"/>
    <n v="-8"/>
    <n v="0"/>
    <n v="0.35205651338604027"/>
    <n v="1"/>
    <n v="74.95"/>
    <n v="74.95"/>
    <n v="-11.696406068291882"/>
    <n v="1334.1694206804159"/>
    <n v="0"/>
    <n v="1"/>
    <n v="0"/>
    <n v="0"/>
    <n v="0"/>
    <n v="0"/>
    <n v="0"/>
    <n v="0"/>
    <n v="0"/>
    <n v="0"/>
  </r>
  <r>
    <d v="2017-06-03T00:00:00"/>
    <n v="2017"/>
    <x v="6"/>
    <s v="R"/>
    <s v="RS"/>
    <x v="7"/>
    <s v="SEA"/>
    <s v="A"/>
    <n v="5"/>
    <n v="5"/>
    <n v="0"/>
    <n v="0"/>
    <n v="0"/>
    <n v="0"/>
    <n v="1655.2420592645906"/>
    <n v="1541.0481005896256"/>
    <n v="0.54334353681551761"/>
    <n v="100"/>
    <n v="77"/>
    <n v="0"/>
    <n v="23"/>
    <n v="1"/>
    <n v="0.56186936349853456"/>
    <n v="1"/>
    <n v="74.95"/>
    <n v="74.95"/>
    <n v="19.230766659206434"/>
    <n v="1674.472825923797"/>
    <n v="1"/>
    <n v="0"/>
    <n v="0"/>
    <n v="0"/>
    <n v="0"/>
    <n v="0"/>
    <n v="0"/>
    <n v="0"/>
    <n v="0"/>
    <n v="0"/>
  </r>
  <r>
    <d v="2017-06-03T00:00:00"/>
    <n v="2017"/>
    <x v="5"/>
    <s v="R"/>
    <s v="RS"/>
    <x v="2"/>
    <s v="MIN"/>
    <s v="H"/>
    <n v="5"/>
    <n v="5"/>
    <n v="0"/>
    <n v="0"/>
    <n v="0"/>
    <n v="0"/>
    <n v="1541.0481005896256"/>
    <n v="1655.2420592645906"/>
    <n v="0.45665646318448228"/>
    <n v="77"/>
    <n v="100"/>
    <n v="0"/>
    <n v="-23"/>
    <n v="0"/>
    <n v="0.56186936349853456"/>
    <n v="1"/>
    <n v="75.099999999999994"/>
    <n v="75.099999999999994"/>
    <n v="-19.269253850652472"/>
    <n v="1521.7788467389732"/>
    <n v="0"/>
    <n v="1"/>
    <n v="0"/>
    <n v="0"/>
    <n v="0"/>
    <n v="0"/>
    <n v="0"/>
    <n v="0"/>
    <n v="0"/>
    <n v="0"/>
  </r>
  <r>
    <d v="2017-06-04T00:00:00"/>
    <n v="2017"/>
    <x v="6"/>
    <s v="R"/>
    <s v="RS"/>
    <x v="9"/>
    <s v="NYL"/>
    <s v="A"/>
    <n v="2"/>
    <n v="1"/>
    <n v="1"/>
    <n v="-1"/>
    <n v="8"/>
    <n v="-8"/>
    <n v="1541.783861397751"/>
    <n v="1482.2092116065899"/>
    <n v="0.48787732260385697"/>
    <n v="72"/>
    <n v="88"/>
    <n v="0"/>
    <n v="-16"/>
    <n v="0"/>
    <n v="0.49329608121209301"/>
    <n v="1"/>
    <n v="74.95"/>
    <n v="74.95"/>
    <n v="-18.03806445288717"/>
    <n v="1523.7457969448637"/>
    <n v="0"/>
    <n v="1"/>
    <n v="0"/>
    <n v="0"/>
    <n v="0"/>
    <n v="0"/>
    <n v="0"/>
    <n v="0"/>
    <n v="0"/>
    <n v="0"/>
  </r>
  <r>
    <d v="2017-06-04T00:00:00"/>
    <n v="2017"/>
    <x v="6"/>
    <s v="R"/>
    <s v="RS"/>
    <x v="5"/>
    <s v="PHX"/>
    <s v="H"/>
    <n v="1"/>
    <n v="2"/>
    <n v="-1"/>
    <n v="1"/>
    <n v="-8"/>
    <n v="8"/>
    <n v="1482.2092116065899"/>
    <n v="1541.783861397751"/>
    <n v="0.51212267739614303"/>
    <n v="88"/>
    <n v="72"/>
    <n v="0"/>
    <n v="16"/>
    <n v="1"/>
    <n v="0.49329608121209301"/>
    <n v="1"/>
    <n v="74.95"/>
    <n v="74.95"/>
    <n v="18.03806445288717"/>
    <n v="1500.2472760594769"/>
    <n v="1"/>
    <n v="0"/>
    <n v="0"/>
    <n v="0"/>
    <n v="0"/>
    <n v="0"/>
    <n v="0"/>
    <n v="0"/>
    <n v="0"/>
    <n v="0"/>
  </r>
  <r>
    <d v="2017-06-04T00:00:00"/>
    <n v="2017"/>
    <x v="5"/>
    <s v="R"/>
    <s v="RS"/>
    <x v="0"/>
    <s v="WAS"/>
    <s v="A"/>
    <n v="3"/>
    <n v="3"/>
    <n v="0"/>
    <n v="0"/>
    <n v="0"/>
    <n v="0"/>
    <n v="1520.945791516642"/>
    <n v="1508.5391895571706"/>
    <n v="0.39840276089869248"/>
    <n v="72"/>
    <n v="78"/>
    <n v="0"/>
    <n v="-6"/>
    <n v="0"/>
    <n v="0.34768609196610201"/>
    <n v="1"/>
    <n v="75.099999999999994"/>
    <n v="75.099999999999994"/>
    <n v="-10.402784332299417"/>
    <n v="1510.5430071843425"/>
    <n v="0"/>
    <n v="1"/>
    <n v="0"/>
    <n v="0"/>
    <n v="0"/>
    <n v="0"/>
    <n v="0"/>
    <n v="0"/>
    <n v="0"/>
    <n v="0"/>
  </r>
  <r>
    <d v="2017-06-04T00:00:00"/>
    <n v="2017"/>
    <x v="6"/>
    <s v="R"/>
    <s v="RS"/>
    <x v="11"/>
    <s v="ATL"/>
    <s v="H"/>
    <n v="3"/>
    <n v="3"/>
    <n v="0"/>
    <n v="0"/>
    <n v="0"/>
    <n v="0"/>
    <n v="1508.5391895571706"/>
    <n v="1520.945791516642"/>
    <n v="0.60159723910130747"/>
    <n v="78"/>
    <n v="72"/>
    <n v="0"/>
    <n v="6"/>
    <n v="1"/>
    <n v="0.34768609196610201"/>
    <n v="1"/>
    <n v="74.95"/>
    <n v="74.95"/>
    <n v="10.382006467454614"/>
    <n v="1518.9211960246253"/>
    <n v="1"/>
    <n v="0"/>
    <n v="0"/>
    <n v="0"/>
    <n v="0"/>
    <n v="0"/>
    <n v="0"/>
    <n v="0"/>
    <n v="0"/>
    <n v="0"/>
  </r>
  <r>
    <d v="2017-06-06T00:00:00"/>
    <n v="2017"/>
    <x v="7"/>
    <s v="R"/>
    <s v="RS"/>
    <x v="11"/>
    <s v="DAL"/>
    <s v="A"/>
    <n v="1"/>
    <n v="2"/>
    <n v="-1"/>
    <n v="1"/>
    <n v="-8"/>
    <n v="8"/>
    <n v="1518.9211960246253"/>
    <n v="1447.747342730476"/>
    <n v="0.45861076756988539"/>
    <n v="101"/>
    <n v="89"/>
    <n v="0"/>
    <n v="12"/>
    <n v="1"/>
    <n v="0.43059045800337981"/>
    <n v="1"/>
    <n v="74.8"/>
    <n v="74.8"/>
    <n v="17.43715440875356"/>
    <n v="1536.3583504333787"/>
    <n v="1"/>
    <n v="0"/>
    <n v="0"/>
    <n v="0"/>
    <n v="0"/>
    <n v="0"/>
    <n v="0"/>
    <n v="0"/>
    <n v="0"/>
    <n v="0"/>
  </r>
  <r>
    <d v="2017-06-06T00:00:00"/>
    <n v="2017"/>
    <x v="7"/>
    <s v="R"/>
    <s v="RS"/>
    <x v="8"/>
    <s v="WAS"/>
    <s v="H"/>
    <n v="2"/>
    <n v="1"/>
    <n v="1"/>
    <n v="-1"/>
    <n v="8"/>
    <n v="-8"/>
    <n v="1447.747342730476"/>
    <n v="1518.9211960246253"/>
    <n v="0.54138923243011461"/>
    <n v="89"/>
    <n v="101"/>
    <n v="0"/>
    <n v="-12"/>
    <n v="0"/>
    <n v="0.43059045800337981"/>
    <n v="1"/>
    <n v="74.8"/>
    <n v="74.8"/>
    <n v="-17.43715440875356"/>
    <n v="1430.3101883217225"/>
    <n v="0"/>
    <n v="1"/>
    <n v="0"/>
    <n v="0"/>
    <n v="0"/>
    <n v="0"/>
    <n v="0"/>
    <n v="0"/>
    <n v="0"/>
    <n v="0"/>
  </r>
  <r>
    <d v="2017-06-06T00:00:00"/>
    <n v="2017"/>
    <x v="7"/>
    <s v="R"/>
    <s v="RS"/>
    <x v="6"/>
    <s v="LAS"/>
    <s v="A"/>
    <n v="4"/>
    <n v="6"/>
    <n v="-2"/>
    <n v="2"/>
    <n v="-16"/>
    <n v="16"/>
    <n v="1421.6748529189151"/>
    <n v="1597.7879657161113"/>
    <n v="0.15689188698780987"/>
    <n v="70"/>
    <n v="79"/>
    <n v="0"/>
    <n v="-9"/>
    <n v="0"/>
    <n v="0.35401583492394723"/>
    <n v="1"/>
    <n v="74.8"/>
    <n v="74.8"/>
    <n v="-4.1545574848857747"/>
    <n v="1417.5202954340293"/>
    <n v="0"/>
    <n v="1"/>
    <n v="0"/>
    <n v="0"/>
    <n v="0"/>
    <n v="0"/>
    <n v="0"/>
    <n v="0"/>
    <n v="0"/>
    <n v="0"/>
  </r>
  <r>
    <d v="2017-06-06T00:00:00"/>
    <n v="2017"/>
    <x v="5"/>
    <s v="R"/>
    <s v="RS"/>
    <x v="3"/>
    <s v="CHI"/>
    <s v="H"/>
    <n v="6"/>
    <n v="4"/>
    <n v="2"/>
    <n v="-2"/>
    <n v="16"/>
    <n v="-16"/>
    <n v="1597.7879657161113"/>
    <n v="1421.6748529189151"/>
    <n v="0.84310811301219002"/>
    <n v="79"/>
    <n v="70"/>
    <n v="0"/>
    <n v="9"/>
    <n v="1"/>
    <n v="0.35401583492394723"/>
    <n v="1"/>
    <n v="75.099999999999994"/>
    <n v="75.099999999999994"/>
    <n v="4.1712201485952125"/>
    <n v="1601.9591858647066"/>
    <n v="1"/>
    <n v="0"/>
    <n v="0"/>
    <n v="0"/>
    <n v="0"/>
    <n v="0"/>
    <n v="0"/>
    <n v="0"/>
    <n v="0"/>
    <n v="0"/>
  </r>
  <r>
    <d v="2017-06-06T00:00:00"/>
    <n v="2017"/>
    <x v="6"/>
    <s v="R"/>
    <s v="RS"/>
    <x v="2"/>
    <s v="SAS"/>
    <s v="A"/>
    <n v="2"/>
    <n v="2"/>
    <n v="0"/>
    <n v="0"/>
    <n v="0"/>
    <n v="0"/>
    <n v="1521.7788467389732"/>
    <n v="1334.1694206804159"/>
    <n v="0.64483770245345162"/>
    <n v="85"/>
    <n v="76"/>
    <n v="0"/>
    <n v="9"/>
    <n v="1"/>
    <n v="0.35108282159805171"/>
    <n v="1"/>
    <n v="74.95"/>
    <n v="74.95"/>
    <n v="9.3456190470142815"/>
    <n v="1531.1244657859875"/>
    <n v="1"/>
    <n v="0"/>
    <n v="0"/>
    <n v="0"/>
    <n v="0"/>
    <n v="0"/>
    <n v="0"/>
    <n v="0"/>
    <n v="0"/>
    <n v="0"/>
  </r>
  <r>
    <d v="2017-06-06T00:00:00"/>
    <n v="2017"/>
    <x v="7"/>
    <s v="R"/>
    <s v="RS"/>
    <x v="4"/>
    <s v="SEA"/>
    <s v="H"/>
    <n v="2"/>
    <n v="2"/>
    <n v="0"/>
    <n v="0"/>
    <n v="0"/>
    <n v="0"/>
    <n v="1334.1694206804159"/>
    <n v="1521.7788467389732"/>
    <n v="0.35516229754654832"/>
    <n v="76"/>
    <n v="85"/>
    <n v="0"/>
    <n v="-9"/>
    <n v="0"/>
    <n v="0.35108282159805171"/>
    <n v="1"/>
    <n v="74.8"/>
    <n v="74.8"/>
    <n v="-9.3269153397820954"/>
    <n v="1324.8425053406338"/>
    <n v="0"/>
    <n v="1"/>
    <n v="0"/>
    <n v="0"/>
    <n v="0"/>
    <n v="0"/>
    <n v="0"/>
    <n v="0"/>
    <n v="0"/>
    <n v="0"/>
  </r>
  <r>
    <d v="2017-06-07T00:00:00"/>
    <n v="2017"/>
    <x v="7"/>
    <s v="R"/>
    <s v="RS"/>
    <x v="9"/>
    <s v="IND"/>
    <s v="A"/>
    <n v="2"/>
    <n v="3"/>
    <n v="-1"/>
    <n v="1"/>
    <n v="-8"/>
    <n v="8"/>
    <n v="1523.7457969448637"/>
    <n v="1468.2958255092744"/>
    <n v="0.43623643376348298"/>
    <n v="98"/>
    <n v="90"/>
    <n v="1"/>
    <n v="8"/>
    <n v="1"/>
    <n v="0.33404817981212742"/>
    <n v="1"/>
    <n v="74.8"/>
    <n v="74.8"/>
    <n v="14.086649647298527"/>
    <n v="1537.8324465921623"/>
    <n v="1"/>
    <n v="0"/>
    <n v="0"/>
    <n v="0"/>
    <n v="0"/>
    <n v="0"/>
    <n v="0"/>
    <n v="0"/>
    <n v="0"/>
    <n v="0"/>
  </r>
  <r>
    <d v="2017-06-07T00:00:00"/>
    <n v="2017"/>
    <x v="7"/>
    <s v="R"/>
    <s v="RS"/>
    <x v="10"/>
    <s v="PHX"/>
    <s v="H"/>
    <n v="3"/>
    <n v="2"/>
    <n v="1"/>
    <n v="-1"/>
    <n v="8"/>
    <n v="-8"/>
    <n v="1468.2958255092744"/>
    <n v="1523.7457969448637"/>
    <n v="0.56376356623651702"/>
    <n v="90"/>
    <n v="98"/>
    <n v="1"/>
    <n v="-8"/>
    <n v="0"/>
    <n v="0.33404817981212742"/>
    <n v="1"/>
    <n v="74.8"/>
    <n v="74.8"/>
    <n v="-14.086649647298527"/>
    <n v="1454.2091758619758"/>
    <n v="0"/>
    <n v="1"/>
    <n v="0"/>
    <n v="0"/>
    <n v="0"/>
    <n v="0"/>
    <n v="0"/>
    <n v="0"/>
    <n v="0"/>
    <n v="0"/>
  </r>
  <r>
    <d v="2017-06-07T00:00:00"/>
    <n v="2017"/>
    <x v="6"/>
    <s v="R"/>
    <s v="RS"/>
    <x v="0"/>
    <s v="NYL"/>
    <s v="A"/>
    <n v="2"/>
    <n v="2"/>
    <n v="0"/>
    <n v="0"/>
    <n v="0"/>
    <n v="0"/>
    <n v="1510.5430071843425"/>
    <n v="1500.2472760594769"/>
    <n v="0.395494024418649"/>
    <n v="61"/>
    <n v="76"/>
    <n v="0"/>
    <n v="-15"/>
    <n v="0"/>
    <n v="0.49857040567571986"/>
    <n v="1"/>
    <n v="74.95"/>
    <n v="74.95"/>
    <n v="-14.778762133944831"/>
    <n v="1495.7642450503977"/>
    <n v="0"/>
    <n v="1"/>
    <n v="0"/>
    <n v="0"/>
    <n v="0"/>
    <n v="0"/>
    <n v="0"/>
    <n v="0"/>
    <n v="0"/>
    <n v="0"/>
  </r>
  <r>
    <d v="2017-06-07T00:00:00"/>
    <n v="2017"/>
    <x v="7"/>
    <s v="R"/>
    <s v="RS"/>
    <x v="5"/>
    <s v="ATL"/>
    <s v="H"/>
    <n v="2"/>
    <n v="2"/>
    <n v="0"/>
    <n v="0"/>
    <n v="0"/>
    <n v="0"/>
    <n v="1500.2472760594769"/>
    <n v="1510.5430071843425"/>
    <n v="0.604505975581351"/>
    <n v="76"/>
    <n v="61"/>
    <n v="0"/>
    <n v="15"/>
    <n v="1"/>
    <n v="0.49857040567571986"/>
    <n v="1"/>
    <n v="74.8"/>
    <n v="74.8"/>
    <n v="14.749184891515322"/>
    <n v="1514.9964609509923"/>
    <n v="1"/>
    <n v="0"/>
    <n v="0"/>
    <n v="0"/>
    <n v="0"/>
    <n v="0"/>
    <n v="0"/>
    <n v="0"/>
    <n v="0"/>
    <n v="0"/>
  </r>
  <r>
    <d v="2017-06-09T00:00:00"/>
    <n v="2017"/>
    <x v="6"/>
    <s v="R"/>
    <s v="RS"/>
    <x v="3"/>
    <s v="DAL"/>
    <s v="A"/>
    <n v="2"/>
    <n v="2"/>
    <n v="0"/>
    <n v="0"/>
    <n v="0"/>
    <n v="0"/>
    <n v="1601.9591858647066"/>
    <n v="1430.3101883217225"/>
    <n v="0.62352757542180026"/>
    <n v="90"/>
    <n v="96"/>
    <n v="0"/>
    <n v="-6"/>
    <n v="0"/>
    <n v="0.30732127101341761"/>
    <n v="1"/>
    <n v="74.95"/>
    <n v="74.95"/>
    <n v="-14.362165359941145"/>
    <n v="1587.5970205047654"/>
    <n v="0"/>
    <n v="1"/>
    <n v="0"/>
    <n v="0"/>
    <n v="0"/>
    <n v="0"/>
    <n v="0"/>
    <n v="0"/>
    <n v="0"/>
    <n v="0"/>
  </r>
  <r>
    <d v="2017-06-09T00:00:00"/>
    <n v="2017"/>
    <x v="8"/>
    <s v="R"/>
    <s v="RS"/>
    <x v="8"/>
    <s v="LAS"/>
    <s v="H"/>
    <n v="2"/>
    <n v="2"/>
    <n v="0"/>
    <n v="0"/>
    <n v="0"/>
    <n v="0"/>
    <n v="1430.3101883217225"/>
    <n v="1601.9591858647066"/>
    <n v="0.37647242457819974"/>
    <n v="96"/>
    <n v="90"/>
    <n v="0"/>
    <n v="6"/>
    <n v="1"/>
    <n v="0.30732127101341761"/>
    <n v="1"/>
    <n v="74.650000000000006"/>
    <n v="74.650000000000006"/>
    <n v="14.304678373843982"/>
    <n v="1444.6148666955664"/>
    <n v="1"/>
    <n v="0"/>
    <n v="0"/>
    <n v="0"/>
    <n v="0"/>
    <n v="0"/>
    <n v="0"/>
    <n v="0"/>
    <n v="0"/>
    <n v="0"/>
  </r>
  <r>
    <d v="2017-06-09T00:00:00"/>
    <n v="2017"/>
    <x v="7"/>
    <s v="R"/>
    <s v="RS"/>
    <x v="2"/>
    <s v="IND"/>
    <s v="A"/>
    <n v="2"/>
    <n v="1"/>
    <n v="1"/>
    <n v="-1"/>
    <n v="8"/>
    <n v="-8"/>
    <n v="1531.1244657859875"/>
    <n v="1454.2091758619758"/>
    <n v="0.51282731829318018"/>
    <n v="80"/>
    <n v="83"/>
    <n v="0"/>
    <n v="-3"/>
    <n v="0"/>
    <n v="0.2727042491120707"/>
    <n v="1"/>
    <n v="74.8"/>
    <n v="74.8"/>
    <n v="-10.460794119195533"/>
    <n v="1520.663671666792"/>
    <n v="0"/>
    <n v="1"/>
    <n v="0"/>
    <n v="0"/>
    <n v="0"/>
    <n v="0"/>
    <n v="0"/>
    <n v="0"/>
    <n v="0"/>
    <n v="0"/>
  </r>
  <r>
    <d v="2017-06-09T00:00:00"/>
    <n v="2017"/>
    <x v="8"/>
    <s v="R"/>
    <s v="RS"/>
    <x v="10"/>
    <s v="SEA"/>
    <s v="H"/>
    <n v="1"/>
    <n v="2"/>
    <n v="-1"/>
    <n v="1"/>
    <n v="-8"/>
    <n v="8"/>
    <n v="1454.2091758619758"/>
    <n v="1531.1244657859875"/>
    <n v="0.48717268170681977"/>
    <n v="83"/>
    <n v="80"/>
    <n v="0"/>
    <n v="3"/>
    <n v="1"/>
    <n v="0.2727042491120707"/>
    <n v="1"/>
    <n v="74.650000000000006"/>
    <n v="74.650000000000006"/>
    <n v="10.439816590881639"/>
    <n v="1464.6489924528576"/>
    <n v="1"/>
    <n v="0"/>
    <n v="0"/>
    <n v="0"/>
    <n v="0"/>
    <n v="0"/>
    <n v="0"/>
    <n v="0"/>
    <n v="0"/>
    <n v="0"/>
  </r>
  <r>
    <d v="2017-06-09T00:00:00"/>
    <n v="2017"/>
    <x v="7"/>
    <s v="R"/>
    <s v="RS"/>
    <x v="7"/>
    <s v="WAS"/>
    <s v="A"/>
    <n v="5"/>
    <n v="2"/>
    <n v="3"/>
    <n v="-3"/>
    <n v="16"/>
    <n v="-16"/>
    <n v="1674.472825923797"/>
    <n v="1536.3583504333787"/>
    <n v="0.62145175878448256"/>
    <n v="98"/>
    <n v="73"/>
    <n v="0"/>
    <n v="25"/>
    <n v="1"/>
    <n v="0.57514782790952534"/>
    <n v="1"/>
    <n v="74.8"/>
    <n v="74.8"/>
    <n v="16.285545662316878"/>
    <n v="1690.758371586114"/>
    <n v="1"/>
    <n v="0"/>
    <n v="0"/>
    <n v="0"/>
    <n v="0"/>
    <n v="0"/>
    <n v="0"/>
    <n v="0"/>
    <n v="0"/>
    <n v="0"/>
  </r>
  <r>
    <d v="2017-06-09T00:00:00"/>
    <n v="2017"/>
    <x v="8"/>
    <s v="R"/>
    <s v="RS"/>
    <x v="11"/>
    <s v="MIN"/>
    <s v="H"/>
    <n v="2"/>
    <n v="5"/>
    <n v="-3"/>
    <n v="3"/>
    <n v="-16"/>
    <n v="16"/>
    <n v="1536.3583504333787"/>
    <n v="1674.472825923797"/>
    <n v="0.3785482412155175"/>
    <n v="73"/>
    <n v="98"/>
    <n v="0"/>
    <n v="-25"/>
    <n v="0"/>
    <n v="0.57514782790952534"/>
    <n v="1"/>
    <n v="74.650000000000006"/>
    <n v="74.650000000000006"/>
    <n v="-16.252887482512769"/>
    <n v="1520.105462950866"/>
    <n v="0"/>
    <n v="1"/>
    <n v="0"/>
    <n v="0"/>
    <n v="0"/>
    <n v="0"/>
    <n v="0"/>
    <n v="0"/>
    <n v="0"/>
    <n v="0"/>
  </r>
  <r>
    <d v="2017-06-10T00:00:00"/>
    <n v="2017"/>
    <x v="7"/>
    <s v="R"/>
    <s v="RS"/>
    <x v="0"/>
    <s v="CON"/>
    <s v="A"/>
    <n v="2"/>
    <n v="6"/>
    <n v="-4"/>
    <n v="4"/>
    <n v="-16"/>
    <n v="16"/>
    <n v="1495.7642450503977"/>
    <n v="1481.1526914109227"/>
    <n v="0.35809573334530148"/>
    <n v="71"/>
    <n v="104"/>
    <n v="0"/>
    <n v="-33"/>
    <n v="0"/>
    <n v="0.7301847359611694"/>
    <n v="1"/>
    <n v="74.8"/>
    <n v="74.8"/>
    <n v="-19.558407679916709"/>
    <n v="1476.205837370481"/>
    <n v="0"/>
    <n v="1"/>
    <n v="0"/>
    <n v="0"/>
    <n v="0"/>
    <n v="0"/>
    <n v="0"/>
    <n v="0"/>
    <n v="0"/>
    <n v="0"/>
  </r>
  <r>
    <d v="2017-06-10T00:00:00"/>
    <n v="2017"/>
    <x v="7"/>
    <s v="R"/>
    <s v="RS"/>
    <x v="1"/>
    <s v="ATL"/>
    <s v="H"/>
    <n v="6"/>
    <n v="2"/>
    <n v="4"/>
    <n v="-4"/>
    <n v="16"/>
    <n v="-16"/>
    <n v="1481.1526914109227"/>
    <n v="1495.7642450503977"/>
    <n v="0.64190426665469846"/>
    <n v="104"/>
    <n v="71"/>
    <n v="0"/>
    <n v="33"/>
    <n v="1"/>
    <n v="0.7301847359611694"/>
    <n v="1"/>
    <n v="74.8"/>
    <n v="74.8"/>
    <n v="19.558407679916712"/>
    <n v="1500.7110990908393"/>
    <n v="1"/>
    <n v="0"/>
    <n v="0"/>
    <n v="0"/>
    <n v="0"/>
    <n v="0"/>
    <n v="0"/>
    <n v="0"/>
    <n v="0"/>
    <n v="0"/>
  </r>
  <r>
    <d v="2017-06-10T00:00:00"/>
    <n v="2017"/>
    <x v="7"/>
    <s v="R"/>
    <s v="RS"/>
    <x v="3"/>
    <s v="PHX"/>
    <s v="A"/>
    <n v="0"/>
    <n v="2"/>
    <n v="-2"/>
    <n v="2"/>
    <n v="-16"/>
    <n v="16"/>
    <n v="1587.5970205047654"/>
    <n v="1537.8324465921623"/>
    <n v="0.40581778893012788"/>
    <n v="89"/>
    <n v="87"/>
    <n v="0"/>
    <n v="2"/>
    <n v="1"/>
    <n v="0.25717610474857344"/>
    <n v="1"/>
    <n v="74.8"/>
    <n v="74.8"/>
    <n v="11.430148098227562"/>
    <n v="1599.027168602993"/>
    <n v="1"/>
    <n v="0"/>
    <n v="0"/>
    <n v="0"/>
    <n v="0"/>
    <n v="0"/>
    <n v="0"/>
    <n v="0"/>
    <n v="0"/>
    <n v="0"/>
  </r>
  <r>
    <d v="2017-06-10T00:00:00"/>
    <n v="2017"/>
    <x v="8"/>
    <s v="R"/>
    <s v="RS"/>
    <x v="9"/>
    <s v="LAS"/>
    <s v="H"/>
    <n v="2"/>
    <n v="0"/>
    <n v="2"/>
    <n v="-2"/>
    <n v="16"/>
    <n v="-16"/>
    <n v="1537.8324465921623"/>
    <n v="1587.5970205047654"/>
    <n v="0.59418221106987212"/>
    <n v="87"/>
    <n v="89"/>
    <n v="0"/>
    <n v="-2"/>
    <n v="0"/>
    <n v="0.25717610474857344"/>
    <n v="1"/>
    <n v="74.650000000000006"/>
    <n v="74.650000000000006"/>
    <n v="-11.407226678244486"/>
    <n v="1526.4252199139178"/>
    <n v="0"/>
    <n v="1"/>
    <n v="0"/>
    <n v="0"/>
    <n v="0"/>
    <n v="0"/>
    <n v="0"/>
    <n v="0"/>
    <n v="0"/>
    <n v="0"/>
  </r>
  <r>
    <d v="2017-06-10T00:00:00"/>
    <n v="2017"/>
    <x v="8"/>
    <s v="R"/>
    <s v="RS"/>
    <x v="6"/>
    <s v="SAS"/>
    <s v="A"/>
    <n v="3"/>
    <n v="3"/>
    <n v="0"/>
    <n v="0"/>
    <n v="0"/>
    <n v="0"/>
    <n v="1417.5202954340293"/>
    <n v="1324.8425053406338"/>
    <n v="0.5124857475777439"/>
    <n v="85"/>
    <n v="81"/>
    <n v="1"/>
    <n v="4"/>
    <n v="1"/>
    <n v="0.26019426981250193"/>
    <n v="1"/>
    <n v="74.650000000000006"/>
    <n v="74.650000000000006"/>
    <n v="9.4692341746884825"/>
    <n v="1426.9895296087177"/>
    <n v="1"/>
    <n v="0"/>
    <n v="0"/>
    <n v="0"/>
    <n v="0"/>
    <n v="0"/>
    <n v="0"/>
    <n v="0"/>
    <n v="0"/>
    <n v="0"/>
  </r>
  <r>
    <d v="2017-06-10T00:00:00"/>
    <n v="2017"/>
    <x v="8"/>
    <s v="R"/>
    <s v="RS"/>
    <x v="4"/>
    <s v="CHI"/>
    <s v="H"/>
    <n v="3"/>
    <n v="3"/>
    <n v="0"/>
    <n v="0"/>
    <n v="0"/>
    <n v="0"/>
    <n v="1324.8425053406338"/>
    <n v="1417.5202954340293"/>
    <n v="0.48751425242225604"/>
    <n v="81"/>
    <n v="85"/>
    <n v="1"/>
    <n v="-4"/>
    <n v="0"/>
    <n v="0.26019426981250193"/>
    <n v="1"/>
    <n v="74.650000000000006"/>
    <n v="74.650000000000006"/>
    <n v="-9.4692341746884825"/>
    <n v="1315.3732711659454"/>
    <n v="0"/>
    <n v="1"/>
    <n v="0"/>
    <n v="0"/>
    <n v="0"/>
    <n v="0"/>
    <n v="0"/>
    <n v="0"/>
    <n v="0"/>
    <n v="0"/>
  </r>
  <r>
    <d v="2017-06-11T00:00:00"/>
    <n v="2017"/>
    <x v="8"/>
    <s v="R"/>
    <s v="RS"/>
    <x v="7"/>
    <s v="DAL"/>
    <s v="A"/>
    <n v="1"/>
    <n v="1"/>
    <n v="0"/>
    <n v="0"/>
    <n v="0"/>
    <n v="0"/>
    <n v="1690.758371586114"/>
    <n v="1444.6148666955664"/>
    <n v="0.71775910149419186"/>
    <n v="91"/>
    <n v="74"/>
    <n v="0"/>
    <n v="17"/>
    <n v="1"/>
    <n v="0.44181679116745382"/>
    <n v="1"/>
    <n v="74.650000000000006"/>
    <n v="74.650000000000006"/>
    <n v="9.3087630397142185"/>
    <n v="1700.0671346258282"/>
    <n v="1"/>
    <n v="0"/>
    <n v="0"/>
    <n v="0"/>
    <n v="0"/>
    <n v="0"/>
    <n v="0"/>
    <n v="0"/>
    <n v="0"/>
    <n v="0"/>
  </r>
  <r>
    <d v="2017-06-11T00:00:00"/>
    <n v="2017"/>
    <x v="9"/>
    <s v="R"/>
    <s v="RS"/>
    <x v="8"/>
    <s v="MIN"/>
    <s v="H"/>
    <n v="1"/>
    <n v="1"/>
    <n v="0"/>
    <n v="0"/>
    <n v="0"/>
    <n v="0"/>
    <n v="1444.6148666955664"/>
    <n v="1690.758371586114"/>
    <n v="0.28224089850580819"/>
    <n v="74"/>
    <n v="91"/>
    <n v="0"/>
    <n v="-17"/>
    <n v="0"/>
    <n v="0.44181679116745382"/>
    <n v="1"/>
    <n v="74.5"/>
    <n v="74.5"/>
    <n v="-9.2900582244971126"/>
    <n v="1435.3248084710692"/>
    <n v="0"/>
    <n v="1"/>
    <n v="0"/>
    <n v="0"/>
    <n v="0"/>
    <n v="0"/>
    <n v="0"/>
    <n v="0"/>
    <n v="0"/>
    <n v="0"/>
  </r>
  <r>
    <d v="2017-06-11T00:00:00"/>
    <n v="2017"/>
    <x v="8"/>
    <s v="R"/>
    <s v="RS"/>
    <x v="2"/>
    <s v="NYL"/>
    <s v="A"/>
    <n v="1"/>
    <n v="3"/>
    <n v="-2"/>
    <n v="2"/>
    <n v="-16"/>
    <n v="16"/>
    <n v="1520.663671666792"/>
    <n v="1514.9964609509923"/>
    <n v="0.34634900973032962"/>
    <n v="86"/>
    <n v="94"/>
    <n v="0"/>
    <n v="-8"/>
    <n v="0"/>
    <n v="0.38649026685146143"/>
    <n v="1"/>
    <n v="74.650000000000006"/>
    <n v="74.650000000000006"/>
    <n v="-9.9926879071630434"/>
    <n v="1510.6709837596288"/>
    <n v="0"/>
    <n v="1"/>
    <n v="0"/>
    <n v="0"/>
    <n v="0"/>
    <n v="0"/>
    <n v="0"/>
    <n v="0"/>
    <n v="0"/>
    <n v="0"/>
  </r>
  <r>
    <d v="2017-06-11T00:00:00"/>
    <n v="2017"/>
    <x v="8"/>
    <s v="R"/>
    <s v="RS"/>
    <x v="5"/>
    <s v="SEA"/>
    <s v="H"/>
    <n v="3"/>
    <n v="1"/>
    <n v="2"/>
    <n v="-2"/>
    <n v="16"/>
    <n v="-16"/>
    <n v="1514.9964609509923"/>
    <n v="1520.663671666792"/>
    <n v="0.65365099026967044"/>
    <n v="94"/>
    <n v="86"/>
    <n v="0"/>
    <n v="8"/>
    <n v="1"/>
    <n v="0.38649026685146143"/>
    <n v="1"/>
    <n v="74.650000000000006"/>
    <n v="74.650000000000006"/>
    <n v="9.9926879071630417"/>
    <n v="1524.9891488581554"/>
    <n v="1"/>
    <n v="0"/>
    <n v="0"/>
    <n v="0"/>
    <n v="0"/>
    <n v="0"/>
    <n v="0"/>
    <n v="0"/>
    <n v="0"/>
    <n v="0"/>
  </r>
  <r>
    <d v="2017-06-11T00:00:00"/>
    <n v="2017"/>
    <x v="9"/>
    <s v="R"/>
    <s v="RS"/>
    <x v="10"/>
    <s v="WAS"/>
    <s v="A"/>
    <n v="1"/>
    <n v="1"/>
    <n v="0"/>
    <n v="0"/>
    <n v="0"/>
    <n v="0"/>
    <n v="1464.6489924528576"/>
    <n v="1520.105462950866"/>
    <n v="0.30943202422341648"/>
    <n v="70"/>
    <n v="88"/>
    <n v="0"/>
    <n v="-18"/>
    <n v="0"/>
    <n v="0.52267898885517472"/>
    <n v="1"/>
    <n v="74.5"/>
    <n v="74.5"/>
    <n v="-12.049154506767643"/>
    <n v="1452.59983794609"/>
    <n v="0"/>
    <n v="1"/>
    <n v="0"/>
    <n v="0"/>
    <n v="0"/>
    <n v="0"/>
    <n v="0"/>
    <n v="0"/>
    <n v="0"/>
    <n v="0"/>
  </r>
  <r>
    <d v="2017-06-11T00:00:00"/>
    <n v="2017"/>
    <x v="9"/>
    <s v="R"/>
    <s v="RS"/>
    <x v="11"/>
    <s v="IND"/>
    <s v="H"/>
    <n v="1"/>
    <n v="1"/>
    <n v="0"/>
    <n v="0"/>
    <n v="0"/>
    <n v="0"/>
    <n v="1520.105462950866"/>
    <n v="1464.6489924528576"/>
    <n v="0.69056797577658346"/>
    <n v="88"/>
    <n v="70"/>
    <n v="0"/>
    <n v="18"/>
    <n v="1"/>
    <n v="0.52267898885517472"/>
    <n v="1"/>
    <n v="74.5"/>
    <n v="74.5"/>
    <n v="12.049154506767644"/>
    <n v="1532.1546174576335"/>
    <n v="1"/>
    <n v="0"/>
    <n v="0"/>
    <n v="0"/>
    <n v="0"/>
    <n v="0"/>
    <n v="0"/>
    <n v="0"/>
    <n v="0"/>
    <n v="0"/>
  </r>
  <r>
    <d v="2017-06-13T00:00:00"/>
    <n v="2017"/>
    <x v="10"/>
    <s v="R"/>
    <s v="RS"/>
    <x v="8"/>
    <s v="LAS"/>
    <s v="A"/>
    <n v="1"/>
    <n v="2"/>
    <n v="-1"/>
    <n v="1"/>
    <n v="-8"/>
    <n v="8"/>
    <n v="1435.3248084710692"/>
    <n v="1599.027168602993"/>
    <n v="0.1797572787341466"/>
    <n v="87"/>
    <n v="97"/>
    <n v="0"/>
    <n v="-10"/>
    <n v="0"/>
    <n v="0.37233611530130423"/>
    <n v="1"/>
    <n v="74.349999999999994"/>
    <n v="74.349999999999994"/>
    <n v="-4.9762549321157881"/>
    <n v="1430.3485535389534"/>
    <n v="0"/>
    <n v="1"/>
    <n v="0"/>
    <n v="0"/>
    <n v="0"/>
    <n v="0"/>
    <n v="0"/>
    <n v="0"/>
    <n v="0"/>
    <n v="0"/>
  </r>
  <r>
    <d v="2017-06-13T00:00:00"/>
    <n v="2017"/>
    <x v="8"/>
    <s v="R"/>
    <s v="RS"/>
    <x v="3"/>
    <s v="DAL"/>
    <s v="H"/>
    <n v="2"/>
    <n v="1"/>
    <n v="1"/>
    <n v="-1"/>
    <n v="8"/>
    <n v="-8"/>
    <n v="1599.027168602993"/>
    <n v="1435.3248084710692"/>
    <n v="0.82024272126585329"/>
    <n v="97"/>
    <n v="87"/>
    <n v="0"/>
    <n v="10"/>
    <n v="1"/>
    <n v="0.37233611530130423"/>
    <n v="1"/>
    <n v="74.650000000000006"/>
    <n v="74.650000000000006"/>
    <n v="4.996333970174093"/>
    <n v="1604.0235025731672"/>
    <n v="1"/>
    <n v="0"/>
    <n v="0"/>
    <n v="0"/>
    <n v="0"/>
    <n v="0"/>
    <n v="0"/>
    <n v="0"/>
    <n v="0"/>
    <n v="0"/>
  </r>
  <r>
    <d v="2017-06-13T00:00:00"/>
    <n v="2017"/>
    <x v="8"/>
    <s v="R"/>
    <s v="RS"/>
    <x v="0"/>
    <s v="SEA"/>
    <s v="A"/>
    <n v="2"/>
    <n v="1"/>
    <n v="1"/>
    <n v="-1"/>
    <n v="8"/>
    <n v="-8"/>
    <n v="1476.205837370481"/>
    <n v="1510.6709837596288"/>
    <n v="0.35667230162740277"/>
    <n v="91"/>
    <n v="86"/>
    <n v="1"/>
    <n v="5"/>
    <n v="1"/>
    <n v="0.29024428477885894"/>
    <n v="1"/>
    <n v="74.650000000000006"/>
    <n v="74.650000000000006"/>
    <n v="13.938811311251396"/>
    <n v="1490.1446486817324"/>
    <n v="1"/>
    <n v="0"/>
    <n v="0"/>
    <n v="0"/>
    <n v="0"/>
    <n v="0"/>
    <n v="0"/>
    <n v="0"/>
    <n v="0"/>
    <n v="0"/>
  </r>
  <r>
    <d v="2017-06-13T00:00:00"/>
    <n v="2017"/>
    <x v="9"/>
    <s v="R"/>
    <s v="RS"/>
    <x v="2"/>
    <s v="ATL"/>
    <s v="H"/>
    <n v="1"/>
    <n v="2"/>
    <n v="-1"/>
    <n v="1"/>
    <n v="-8"/>
    <n v="8"/>
    <n v="1510.6709837596288"/>
    <n v="1476.205837370481"/>
    <n v="0.64332769837259729"/>
    <n v="86"/>
    <n v="91"/>
    <n v="1"/>
    <n v="-5"/>
    <n v="0"/>
    <n v="0.29024428477885894"/>
    <n v="1"/>
    <n v="74.5"/>
    <n v="74.5"/>
    <n v="-13.910802983097506"/>
    <n v="1496.7601807765313"/>
    <n v="0"/>
    <n v="1"/>
    <n v="0"/>
    <n v="0"/>
    <n v="0"/>
    <n v="0"/>
    <n v="0"/>
    <n v="0"/>
    <n v="0"/>
    <n v="0"/>
  </r>
  <r>
    <d v="2017-06-14T00:00:00"/>
    <n v="2017"/>
    <x v="9"/>
    <s v="R"/>
    <s v="RS"/>
    <x v="5"/>
    <s v="CON"/>
    <s v="A"/>
    <n v="2"/>
    <n v="3"/>
    <n v="-1"/>
    <n v="1"/>
    <n v="-8"/>
    <n v="8"/>
    <n v="1524.9891488581554"/>
    <n v="1500.7110990908393"/>
    <n v="0.39272059513374769"/>
    <n v="76"/>
    <n v="96"/>
    <n v="0"/>
    <n v="-20"/>
    <n v="0"/>
    <n v="0.5634870533386771"/>
    <n v="1"/>
    <n v="74.5"/>
    <n v="74.5"/>
    <n v="-16.486326334830871"/>
    <n v="1508.5028225233245"/>
    <n v="0"/>
    <n v="1"/>
    <n v="0"/>
    <n v="0"/>
    <n v="0"/>
    <n v="0"/>
    <n v="0"/>
    <n v="0"/>
    <n v="0"/>
    <n v="0"/>
  </r>
  <r>
    <d v="2017-06-14T00:00:00"/>
    <n v="2017"/>
    <x v="8"/>
    <s v="R"/>
    <s v="RS"/>
    <x v="1"/>
    <s v="NYL"/>
    <s v="H"/>
    <n v="3"/>
    <n v="2"/>
    <n v="1"/>
    <n v="-1"/>
    <n v="8"/>
    <n v="-8"/>
    <n v="1500.7110990908393"/>
    <n v="1524.9891488581554"/>
    <n v="0.60727940486625231"/>
    <n v="96"/>
    <n v="76"/>
    <n v="0"/>
    <n v="20"/>
    <n v="1"/>
    <n v="0.5634870533386771"/>
    <n v="1"/>
    <n v="74.650000000000006"/>
    <n v="74.650000000000006"/>
    <n v="16.519520280471472"/>
    <n v="1517.2306193713107"/>
    <n v="1"/>
    <n v="0"/>
    <n v="0"/>
    <n v="0"/>
    <n v="0"/>
    <n v="0"/>
    <n v="0"/>
    <n v="0"/>
    <n v="0"/>
    <n v="0"/>
  </r>
  <r>
    <d v="2017-06-15T00:00:00"/>
    <n v="2017"/>
    <x v="9"/>
    <s v="R"/>
    <s v="RS"/>
    <x v="0"/>
    <s v="IND"/>
    <s v="A"/>
    <n v="1"/>
    <n v="3"/>
    <n v="-2"/>
    <n v="2"/>
    <n v="-16"/>
    <n v="16"/>
    <n v="1490.1446486817324"/>
    <n v="1452.59983794609"/>
    <n v="0.38897462625700885"/>
    <n v="74"/>
    <n v="85"/>
    <n v="0"/>
    <n v="-11"/>
    <n v="0"/>
    <n v="0.42649216394468331"/>
    <n v="1"/>
    <n v="74.5"/>
    <n v="74.5"/>
    <n v="-12.359149940358497"/>
    <n v="1477.7854987413739"/>
    <n v="0"/>
    <n v="1"/>
    <n v="0"/>
    <n v="0"/>
    <n v="0"/>
    <n v="0"/>
    <n v="0"/>
    <n v="0"/>
    <n v="0"/>
    <n v="0"/>
  </r>
  <r>
    <d v="2017-06-15T00:00:00"/>
    <n v="2017"/>
    <x v="10"/>
    <s v="R"/>
    <s v="RS"/>
    <x v="10"/>
    <s v="ATL"/>
    <s v="H"/>
    <n v="3"/>
    <n v="1"/>
    <n v="2"/>
    <n v="-2"/>
    <n v="16"/>
    <n v="-16"/>
    <n v="1452.59983794609"/>
    <n v="1490.1446486817324"/>
    <n v="0.61102537374299115"/>
    <n v="85"/>
    <n v="74"/>
    <n v="0"/>
    <n v="11"/>
    <n v="1"/>
    <n v="0.42649216394468331"/>
    <n v="1"/>
    <n v="74.349999999999994"/>
    <n v="74.349999999999994"/>
    <n v="12.334265745847707"/>
    <n v="1464.9341036919377"/>
    <n v="1"/>
    <n v="0"/>
    <n v="0"/>
    <n v="0"/>
    <n v="0"/>
    <n v="0"/>
    <n v="0"/>
    <n v="0"/>
    <n v="0"/>
    <n v="0"/>
  </r>
  <r>
    <d v="2017-06-15T00:00:00"/>
    <n v="2017"/>
    <x v="9"/>
    <s v="R"/>
    <s v="RS"/>
    <x v="4"/>
    <s v="LAS"/>
    <s v="A"/>
    <n v="4"/>
    <n v="1"/>
    <n v="3"/>
    <n v="-3"/>
    <n v="16"/>
    <n v="-16"/>
    <n v="1315.3732711659454"/>
    <n v="1604.0235025731672"/>
    <n v="0.12336531486760982"/>
    <n v="75"/>
    <n v="80"/>
    <n v="0"/>
    <n v="-5"/>
    <n v="0"/>
    <n v="0.26742827976264538"/>
    <n v="1"/>
    <n v="74.5"/>
    <n v="74.5"/>
    <n v="-2.4578573583379386"/>
    <n v="1312.9154138076076"/>
    <n v="0"/>
    <n v="1"/>
    <n v="0"/>
    <n v="0"/>
    <n v="0"/>
    <n v="0"/>
    <n v="0"/>
    <n v="0"/>
    <n v="0"/>
    <n v="0"/>
  </r>
  <r>
    <d v="2017-06-15T00:00:00"/>
    <n v="2017"/>
    <x v="9"/>
    <s v="R"/>
    <s v="RS"/>
    <x v="3"/>
    <s v="SAS"/>
    <s v="H"/>
    <n v="1"/>
    <n v="4"/>
    <n v="-3"/>
    <n v="3"/>
    <n v="-16"/>
    <n v="16"/>
    <n v="1604.0235025731672"/>
    <n v="1315.3732711659454"/>
    <n v="0.87663468513239018"/>
    <n v="80"/>
    <n v="75"/>
    <n v="0"/>
    <n v="5"/>
    <n v="1"/>
    <n v="0.26742827976264538"/>
    <n v="1"/>
    <n v="74.5"/>
    <n v="74.5"/>
    <n v="2.4578573583379386"/>
    <n v="1606.481359931505"/>
    <n v="1"/>
    <n v="0"/>
    <n v="0"/>
    <n v="0"/>
    <n v="0"/>
    <n v="0"/>
    <n v="0"/>
    <n v="0"/>
    <n v="0"/>
    <n v="0"/>
  </r>
  <r>
    <d v="2017-06-16T00:00:00"/>
    <n v="2017"/>
    <x v="10"/>
    <s v="R"/>
    <s v="RS"/>
    <x v="5"/>
    <s v="DAL"/>
    <s v="A"/>
    <n v="1"/>
    <n v="2"/>
    <n v="-1"/>
    <n v="1"/>
    <n v="-8"/>
    <n v="8"/>
    <n v="1508.5028225233245"/>
    <n v="1430.3485535389534"/>
    <n v="0.46860283148902426"/>
    <n v="102"/>
    <n v="93"/>
    <n v="1"/>
    <n v="9"/>
    <n v="1"/>
    <n v="0.34303312202479014"/>
    <n v="1"/>
    <n v="74.349999999999994"/>
    <n v="74.349999999999994"/>
    <n v="13.553025791871868"/>
    <n v="1522.0558483151965"/>
    <n v="1"/>
    <n v="0"/>
    <n v="0"/>
    <n v="0"/>
    <n v="0"/>
    <n v="0"/>
    <n v="0"/>
    <n v="0"/>
    <n v="0"/>
    <n v="0"/>
  </r>
  <r>
    <d v="2017-06-16T00:00:00"/>
    <n v="2017"/>
    <x v="11"/>
    <s v="R"/>
    <s v="RS"/>
    <x v="8"/>
    <s v="NYL"/>
    <s v="H"/>
    <n v="2"/>
    <n v="1"/>
    <n v="1"/>
    <n v="-1"/>
    <n v="8"/>
    <n v="-8"/>
    <n v="1430.3485535389534"/>
    <n v="1508.5028225233245"/>
    <n v="0.53139716851097574"/>
    <n v="93"/>
    <n v="102"/>
    <n v="1"/>
    <n v="-9"/>
    <n v="0"/>
    <n v="0.34303312202479014"/>
    <n v="1"/>
    <n v="74.2"/>
    <n v="74.2"/>
    <n v="-13.525682767409451"/>
    <n v="1416.8228707715439"/>
    <n v="0"/>
    <n v="1"/>
    <n v="0"/>
    <n v="0"/>
    <n v="0"/>
    <n v="0"/>
    <n v="0"/>
    <n v="0"/>
    <n v="0"/>
    <n v="0"/>
  </r>
  <r>
    <d v="2017-06-16T00:00:00"/>
    <n v="2017"/>
    <x v="9"/>
    <s v="R"/>
    <s v="RS"/>
    <x v="6"/>
    <s v="PHX"/>
    <s v="A"/>
    <n v="5"/>
    <n v="5"/>
    <n v="0"/>
    <n v="0"/>
    <n v="0"/>
    <n v="0"/>
    <n v="1426.9895296087177"/>
    <n v="1526.4252199139178"/>
    <n v="0.25808595322658784"/>
    <n v="78"/>
    <n v="86"/>
    <n v="0"/>
    <n v="-8"/>
    <n v="0"/>
    <n v="0.35860077222764414"/>
    <n v="1"/>
    <n v="74.5"/>
    <n v="74.5"/>
    <n v="-6.8949617485480728"/>
    <n v="1420.0945678601697"/>
    <n v="0"/>
    <n v="1"/>
    <n v="0"/>
    <n v="0"/>
    <n v="0"/>
    <n v="0"/>
    <n v="0"/>
    <n v="0"/>
    <n v="0"/>
    <n v="0"/>
  </r>
  <r>
    <d v="2017-06-16T00:00:00"/>
    <n v="2017"/>
    <x v="9"/>
    <s v="R"/>
    <s v="RS"/>
    <x v="9"/>
    <s v="CHI"/>
    <s v="H"/>
    <n v="5"/>
    <n v="5"/>
    <n v="0"/>
    <n v="0"/>
    <n v="0"/>
    <n v="0"/>
    <n v="1526.4252199139178"/>
    <n v="1426.9895296087177"/>
    <n v="0.74191404677341222"/>
    <n v="86"/>
    <n v="78"/>
    <n v="0"/>
    <n v="8"/>
    <n v="1"/>
    <n v="0.35860077222764414"/>
    <n v="1"/>
    <n v="74.5"/>
    <n v="74.5"/>
    <n v="6.894961748548071"/>
    <n v="1533.3201816624658"/>
    <n v="1"/>
    <n v="0"/>
    <n v="0"/>
    <n v="0"/>
    <n v="0"/>
    <n v="0"/>
    <n v="0"/>
    <n v="0"/>
    <n v="0"/>
    <n v="0"/>
  </r>
  <r>
    <d v="2017-06-17T00:00:00"/>
    <n v="2017"/>
    <x v="9"/>
    <s v="R"/>
    <s v="RS"/>
    <x v="1"/>
    <s v="MIN"/>
    <s v="A"/>
    <n v="2"/>
    <n v="5"/>
    <n v="-3"/>
    <n v="3"/>
    <n v="-16"/>
    <n v="16"/>
    <n v="1517.2306193713107"/>
    <n v="1700.0671346258282"/>
    <n v="0.15184009004745147"/>
    <n v="98"/>
    <n v="93"/>
    <n v="0"/>
    <n v="5"/>
    <n v="1"/>
    <n v="0.2878917111038421"/>
    <n v="1"/>
    <n v="74.5"/>
    <n v="74.5"/>
    <n v="18.191276478561026"/>
    <n v="1535.4218958498718"/>
    <n v="1"/>
    <n v="0"/>
    <n v="0"/>
    <n v="0"/>
    <n v="0"/>
    <n v="0"/>
    <n v="0"/>
    <n v="0"/>
    <n v="0"/>
    <n v="0"/>
  </r>
  <r>
    <d v="2017-06-17T00:00:00"/>
    <n v="2017"/>
    <x v="9"/>
    <s v="R"/>
    <s v="RS"/>
    <x v="7"/>
    <s v="CON"/>
    <s v="H"/>
    <n v="5"/>
    <n v="2"/>
    <n v="3"/>
    <n v="-3"/>
    <n v="16"/>
    <n v="-16"/>
    <n v="1700.0671346258282"/>
    <n v="1517.2306193713107"/>
    <n v="0.84815990995254853"/>
    <n v="93"/>
    <n v="98"/>
    <n v="0"/>
    <n v="-5"/>
    <n v="0"/>
    <n v="0.2878917111038421"/>
    <n v="1"/>
    <n v="74.5"/>
    <n v="74.5"/>
    <n v="-18.191276478561026"/>
    <n v="1681.8758581472671"/>
    <n v="0"/>
    <n v="1"/>
    <n v="0"/>
    <n v="0"/>
    <n v="0"/>
    <n v="0"/>
    <n v="0"/>
    <n v="0"/>
    <n v="0"/>
    <n v="0"/>
  </r>
  <r>
    <d v="2017-06-18T00:00:00"/>
    <n v="2017"/>
    <x v="11"/>
    <s v="R"/>
    <s v="RS"/>
    <x v="10"/>
    <s v="CHI"/>
    <s v="A"/>
    <n v="2"/>
    <n v="1"/>
    <n v="1"/>
    <n v="-1"/>
    <n v="8"/>
    <n v="-8"/>
    <n v="1464.9341036919377"/>
    <n v="1420.0945678601697"/>
    <n v="0.46671869570142271"/>
    <n v="91"/>
    <n v="79"/>
    <n v="0"/>
    <n v="12"/>
    <n v="1"/>
    <n v="0.43969950819895909"/>
    <n v="1"/>
    <n v="74.2"/>
    <n v="74.2"/>
    <n v="17.398677720598368"/>
    <n v="1482.3327814125362"/>
    <n v="1"/>
    <n v="0"/>
    <n v="0"/>
    <n v="0"/>
    <n v="0"/>
    <n v="0"/>
    <n v="0"/>
    <n v="0"/>
    <n v="0"/>
    <n v="0"/>
  </r>
  <r>
    <d v="2017-06-18T00:00:00"/>
    <n v="2017"/>
    <x v="10"/>
    <s v="R"/>
    <s v="RS"/>
    <x v="6"/>
    <s v="IND"/>
    <s v="H"/>
    <n v="1"/>
    <n v="2"/>
    <n v="-1"/>
    <n v="1"/>
    <n v="-8"/>
    <n v="8"/>
    <n v="1420.0945678601697"/>
    <n v="1464.9341036919377"/>
    <n v="0.53328130429857734"/>
    <n v="79"/>
    <n v="91"/>
    <n v="0"/>
    <n v="-12"/>
    <n v="0"/>
    <n v="0.43969950819895909"/>
    <n v="1"/>
    <n v="74.349999999999994"/>
    <n v="74.349999999999994"/>
    <n v="-17.433850249683132"/>
    <n v="1402.6607176104867"/>
    <n v="0"/>
    <n v="1"/>
    <n v="0"/>
    <n v="0"/>
    <n v="0"/>
    <n v="0"/>
    <n v="0"/>
    <n v="0"/>
    <n v="0"/>
    <n v="0"/>
  </r>
  <r>
    <d v="2017-06-18T00:00:00"/>
    <n v="2017"/>
    <x v="10"/>
    <s v="R"/>
    <s v="RS"/>
    <x v="9"/>
    <s v="LAS"/>
    <s v="A"/>
    <n v="1"/>
    <n v="2"/>
    <n v="-1"/>
    <n v="1"/>
    <n v="-8"/>
    <n v="8"/>
    <n v="1533.3201816624658"/>
    <n v="1606.481359931505"/>
    <n v="0.26957185787706905"/>
    <n v="59"/>
    <n v="90"/>
    <n v="0"/>
    <n v="-31"/>
    <n v="0"/>
    <n v="0.67436979961206533"/>
    <n v="1"/>
    <n v="74.349999999999994"/>
    <n v="74.349999999999994"/>
    <n v="-13.516169755465391"/>
    <n v="1519.8040119070004"/>
    <n v="0"/>
    <n v="1"/>
    <n v="0"/>
    <n v="0"/>
    <n v="0"/>
    <n v="0"/>
    <n v="0"/>
    <n v="0"/>
    <n v="0"/>
    <n v="0"/>
  </r>
  <r>
    <d v="2017-06-18T00:00:00"/>
    <n v="2017"/>
    <x v="10"/>
    <s v="R"/>
    <s v="RS"/>
    <x v="3"/>
    <s v="PHX"/>
    <s v="H"/>
    <n v="2"/>
    <n v="1"/>
    <n v="1"/>
    <n v="-1"/>
    <n v="8"/>
    <n v="-8"/>
    <n v="1606.481359931505"/>
    <n v="1533.3201816624658"/>
    <n v="0.73042814212293095"/>
    <n v="90"/>
    <n v="59"/>
    <n v="0"/>
    <n v="31"/>
    <n v="1"/>
    <n v="0.67436979961206533"/>
    <n v="1"/>
    <n v="74.349999999999994"/>
    <n v="74.349999999999994"/>
    <n v="13.516169755465391"/>
    <n v="1619.9975296869704"/>
    <n v="1"/>
    <n v="0"/>
    <n v="0"/>
    <n v="0"/>
    <n v="0"/>
    <n v="0"/>
    <n v="0"/>
    <n v="0"/>
    <n v="0"/>
    <n v="0"/>
  </r>
  <r>
    <d v="2017-06-18T00:00:00"/>
    <n v="2017"/>
    <x v="10"/>
    <s v="R"/>
    <s v="RS"/>
    <x v="4"/>
    <s v="SEA"/>
    <s v="A"/>
    <n v="2"/>
    <n v="4"/>
    <n v="-2"/>
    <n v="2"/>
    <n v="-16"/>
    <n v="16"/>
    <n v="1312.9154138076076"/>
    <n v="1496.7601807765313"/>
    <n v="0.15109413793757664"/>
    <n v="57"/>
    <n v="75"/>
    <n v="0"/>
    <n v="-18"/>
    <n v="0"/>
    <n v="0.47418665316694542"/>
    <n v="1"/>
    <n v="74.349999999999994"/>
    <n v="74.349999999999994"/>
    <n v="-5.3269413333041724"/>
    <n v="1307.5884724743034"/>
    <n v="0"/>
    <n v="1"/>
    <n v="0"/>
    <n v="0"/>
    <n v="0"/>
    <n v="0"/>
    <n v="0"/>
    <n v="0"/>
    <n v="0"/>
    <n v="0"/>
  </r>
  <r>
    <d v="2017-06-18T00:00:00"/>
    <n v="2017"/>
    <x v="10"/>
    <s v="R"/>
    <s v="RS"/>
    <x v="2"/>
    <s v="SAS"/>
    <s v="H"/>
    <n v="4"/>
    <n v="2"/>
    <n v="2"/>
    <n v="-2"/>
    <n v="16"/>
    <n v="-16"/>
    <n v="1496.7601807765313"/>
    <n v="1312.9154138076076"/>
    <n v="0.84890586206242336"/>
    <n v="75"/>
    <n v="57"/>
    <n v="0"/>
    <n v="18"/>
    <n v="1"/>
    <n v="0.47418665316694542"/>
    <n v="1"/>
    <n v="74.349999999999994"/>
    <n v="74.349999999999994"/>
    <n v="5.3269413333041724"/>
    <n v="1502.0871221098355"/>
    <n v="1"/>
    <n v="0"/>
    <n v="0"/>
    <n v="0"/>
    <n v="0"/>
    <n v="0"/>
    <n v="0"/>
    <n v="0"/>
    <n v="0"/>
    <n v="0"/>
  </r>
  <r>
    <d v="2017-06-18T00:00:00"/>
    <n v="2017"/>
    <x v="12"/>
    <s v="R"/>
    <s v="RS"/>
    <x v="8"/>
    <s v="WAS"/>
    <s v="A"/>
    <n v="1"/>
    <n v="6"/>
    <n v="-5"/>
    <n v="5"/>
    <n v="-16"/>
    <n v="16"/>
    <n v="1416.8228707715439"/>
    <n v="1532.1546174576335"/>
    <n v="0.20888614071339348"/>
    <n v="87"/>
    <n v="83"/>
    <n v="0"/>
    <n v="4"/>
    <n v="1"/>
    <n v="0.28412549368341611"/>
    <n v="1"/>
    <n v="74.05"/>
    <n v="74.05"/>
    <n v="16.644634352181853"/>
    <n v="1433.4675051237257"/>
    <n v="1"/>
    <n v="0"/>
    <n v="0"/>
    <n v="0"/>
    <n v="0"/>
    <n v="0"/>
    <n v="0"/>
    <n v="0"/>
    <n v="0"/>
    <n v="0"/>
  </r>
  <r>
    <d v="2017-06-18T00:00:00"/>
    <n v="2017"/>
    <x v="10"/>
    <s v="R"/>
    <s v="RS"/>
    <x v="11"/>
    <s v="DAL"/>
    <s v="H"/>
    <n v="6"/>
    <n v="1"/>
    <n v="5"/>
    <n v="-5"/>
    <n v="16"/>
    <n v="-16"/>
    <n v="1532.1546174576335"/>
    <n v="1416.8228707715439"/>
    <n v="0.79111385928660649"/>
    <n v="83"/>
    <n v="87"/>
    <n v="0"/>
    <n v="-4"/>
    <n v="0"/>
    <n v="0.28412549368341611"/>
    <n v="1"/>
    <n v="74.349999999999994"/>
    <n v="74.349999999999994"/>
    <n v="-16.712067036930733"/>
    <n v="1515.4425504207029"/>
    <n v="0"/>
    <n v="1"/>
    <n v="0"/>
    <n v="0"/>
    <n v="0"/>
    <n v="0"/>
    <n v="0"/>
    <n v="0"/>
    <n v="0"/>
    <n v="0"/>
  </r>
  <r>
    <d v="2017-06-21T00:00:00"/>
    <n v="2017"/>
    <x v="11"/>
    <s v="R"/>
    <s v="RS"/>
    <x v="4"/>
    <s v="DAL"/>
    <s v="A"/>
    <n v="2"/>
    <n v="2"/>
    <n v="0"/>
    <n v="0"/>
    <n v="0"/>
    <n v="0"/>
    <n v="1307.5884724743034"/>
    <n v="1433.4675051237257"/>
    <n v="0.23002663269710882"/>
    <n v="78"/>
    <n v="81"/>
    <n v="0"/>
    <n v="-3"/>
    <n v="0"/>
    <n v="0.26263348068988063"/>
    <n v="1"/>
    <n v="74.2"/>
    <n v="74.2"/>
    <n v="-4.4826219835887882"/>
    <n v="1303.1058504907146"/>
    <n v="0"/>
    <n v="1"/>
    <n v="0"/>
    <n v="0"/>
    <n v="0"/>
    <n v="0"/>
    <n v="0"/>
    <n v="0"/>
    <n v="0"/>
    <n v="0"/>
  </r>
  <r>
    <d v="2017-06-21T00:00:00"/>
    <n v="2017"/>
    <x v="13"/>
    <s v="R"/>
    <s v="RS"/>
    <x v="8"/>
    <s v="SAS"/>
    <s v="H"/>
    <n v="2"/>
    <n v="2"/>
    <n v="0"/>
    <n v="0"/>
    <n v="0"/>
    <n v="0"/>
    <n v="1433.4675051237257"/>
    <n v="1307.5884724743034"/>
    <n v="0.76997336730289123"/>
    <n v="81"/>
    <n v="78"/>
    <n v="0"/>
    <n v="3"/>
    <n v="1"/>
    <n v="0.26263348068988063"/>
    <n v="1"/>
    <n v="73.900000000000006"/>
    <n v="73.900000000000006"/>
    <n v="4.464498175029803"/>
    <n v="1437.9320032987555"/>
    <n v="1"/>
    <n v="0"/>
    <n v="0"/>
    <n v="0"/>
    <n v="0"/>
    <n v="0"/>
    <n v="0"/>
    <n v="0"/>
    <n v="0"/>
    <n v="0"/>
  </r>
  <r>
    <d v="2017-06-23T00:00:00"/>
    <n v="2017"/>
    <x v="11"/>
    <s v="R"/>
    <s v="RS"/>
    <x v="6"/>
    <s v="ATL"/>
    <s v="A"/>
    <n v="4"/>
    <n v="7"/>
    <n v="-3"/>
    <n v="3"/>
    <n v="-16"/>
    <n v="16"/>
    <n v="1402.6607176104867"/>
    <n v="1477.7854987413739"/>
    <n v="0.2497019202350195"/>
    <n v="82"/>
    <n v="78"/>
    <n v="0"/>
    <n v="4"/>
    <n v="1"/>
    <n v="0.29308447880152538"/>
    <n v="1"/>
    <n v="74.2"/>
    <n v="74.2"/>
    <n v="16.316633546704885"/>
    <n v="1418.9773511571916"/>
    <n v="1"/>
    <n v="0"/>
    <n v="0"/>
    <n v="0"/>
    <n v="0"/>
    <n v="0"/>
    <n v="0"/>
    <n v="0"/>
    <n v="0"/>
    <n v="0"/>
  </r>
  <r>
    <d v="2017-06-23T00:00:00"/>
    <n v="2017"/>
    <x v="10"/>
    <s v="R"/>
    <s v="RS"/>
    <x v="0"/>
    <s v="CHI"/>
    <s v="H"/>
    <n v="7"/>
    <n v="4"/>
    <n v="3"/>
    <n v="-3"/>
    <n v="16"/>
    <n v="-16"/>
    <n v="1477.7854987413739"/>
    <n v="1402.6607176104867"/>
    <n v="0.75029807976498042"/>
    <n v="78"/>
    <n v="82"/>
    <n v="0"/>
    <n v="-4"/>
    <n v="0"/>
    <n v="0.29308447880152538"/>
    <n v="1"/>
    <n v="74.349999999999994"/>
    <n v="74.349999999999994"/>
    <n v="-16.349618654952938"/>
    <n v="1461.4358800864209"/>
    <n v="0"/>
    <n v="1"/>
    <n v="0"/>
    <n v="0"/>
    <n v="0"/>
    <n v="0"/>
    <n v="0"/>
    <n v="0"/>
    <n v="0"/>
    <n v="0"/>
  </r>
  <r>
    <d v="2017-06-23T00:00:00"/>
    <n v="2017"/>
    <x v="11"/>
    <s v="R"/>
    <s v="RS"/>
    <x v="11"/>
    <s v="MIN"/>
    <s v="A"/>
    <n v="4"/>
    <n v="5"/>
    <n v="-1"/>
    <n v="1"/>
    <n v="-8"/>
    <n v="8"/>
    <n v="1515.4425504207029"/>
    <n v="1681.8758581472671"/>
    <n v="0.17745101959476769"/>
    <n v="76"/>
    <n v="93"/>
    <n v="0"/>
    <n v="-17"/>
    <n v="0"/>
    <n v="0.46758995062952069"/>
    <n v="1"/>
    <n v="74.2"/>
    <n v="74.2"/>
    <n v="-6.1566940610674852"/>
    <n v="1509.2858563596353"/>
    <n v="0"/>
    <n v="1"/>
    <n v="0"/>
    <n v="0"/>
    <n v="0"/>
    <n v="0"/>
    <n v="0"/>
    <n v="0"/>
    <n v="0"/>
    <n v="0"/>
  </r>
  <r>
    <d v="2017-06-23T00:00:00"/>
    <n v="2017"/>
    <x v="10"/>
    <s v="R"/>
    <s v="RS"/>
    <x v="7"/>
    <s v="WAS"/>
    <s v="H"/>
    <n v="5"/>
    <n v="4"/>
    <n v="1"/>
    <n v="-1"/>
    <n v="8"/>
    <n v="-8"/>
    <n v="1681.8758581472671"/>
    <n v="1515.4425504207029"/>
    <n v="0.82254898040523239"/>
    <n v="93"/>
    <n v="76"/>
    <n v="0"/>
    <n v="17"/>
    <n v="1"/>
    <n v="0.46758995062952069"/>
    <n v="1"/>
    <n v="74.349999999999994"/>
    <n v="74.349999999999994"/>
    <n v="6.1691402080912026"/>
    <n v="1688.0449983553583"/>
    <n v="1"/>
    <n v="0"/>
    <n v="0"/>
    <n v="0"/>
    <n v="0"/>
    <n v="0"/>
    <n v="0"/>
    <n v="0"/>
    <n v="0"/>
    <n v="0"/>
  </r>
  <r>
    <d v="2017-06-23T00:00:00"/>
    <n v="2017"/>
    <x v="10"/>
    <s v="R"/>
    <s v="RS"/>
    <x v="1"/>
    <s v="NYL"/>
    <s v="A"/>
    <n v="5"/>
    <n v="6"/>
    <n v="-1"/>
    <n v="1"/>
    <n v="-8"/>
    <n v="8"/>
    <n v="1535.4218958498718"/>
    <n v="1522.0558483151965"/>
    <n v="0.37784501892075417"/>
    <n v="94"/>
    <n v="89"/>
    <n v="0"/>
    <n v="5"/>
    <n v="1"/>
    <n v="0.32810145904640559"/>
    <n v="1"/>
    <n v="74.349999999999994"/>
    <n v="74.349999999999994"/>
    <n v="15.177062306302398"/>
    <n v="1550.5989581561741"/>
    <n v="1"/>
    <n v="0"/>
    <n v="0"/>
    <n v="0"/>
    <n v="0"/>
    <n v="0"/>
    <n v="0"/>
    <n v="0"/>
    <n v="0"/>
    <n v="0"/>
  </r>
  <r>
    <d v="2017-06-23T00:00:00"/>
    <n v="2017"/>
    <x v="11"/>
    <s v="R"/>
    <s v="RS"/>
    <x v="5"/>
    <s v="CON"/>
    <s v="H"/>
    <n v="6"/>
    <n v="5"/>
    <n v="1"/>
    <n v="-1"/>
    <n v="8"/>
    <n v="-8"/>
    <n v="1522.0558483151965"/>
    <n v="1535.4218958498718"/>
    <n v="0.62215498107924594"/>
    <n v="89"/>
    <n v="94"/>
    <n v="0"/>
    <n v="-5"/>
    <n v="0"/>
    <n v="0.32810145904640559"/>
    <n v="1"/>
    <n v="74.2"/>
    <n v="74.2"/>
    <n v="-15.146442812745638"/>
    <n v="1506.9094055024509"/>
    <n v="0"/>
    <n v="1"/>
    <n v="0"/>
    <n v="0"/>
    <n v="0"/>
    <n v="0"/>
    <n v="0"/>
    <n v="0"/>
    <n v="0"/>
    <n v="0"/>
  </r>
  <r>
    <d v="2017-06-23T00:00:00"/>
    <n v="2017"/>
    <x v="14"/>
    <s v="R"/>
    <s v="RS"/>
    <x v="8"/>
    <s v="SAS"/>
    <s v="A"/>
    <n v="1"/>
    <n v="1"/>
    <n v="0"/>
    <n v="0"/>
    <n v="0"/>
    <n v="0"/>
    <n v="1437.9320032987555"/>
    <n v="1303.1058504907146"/>
    <n v="0.57262736165618466"/>
    <n v="81"/>
    <n v="69"/>
    <n v="0"/>
    <n v="12"/>
    <n v="1"/>
    <n v="0.41005739252290718"/>
    <n v="1"/>
    <n v="73.75"/>
    <n v="73.75"/>
    <n v="12.9244890914739"/>
    <n v="1450.8564923902293"/>
    <n v="1"/>
    <n v="0"/>
    <n v="0"/>
    <n v="0"/>
    <n v="0"/>
    <n v="0"/>
    <n v="0"/>
    <n v="0"/>
    <n v="0"/>
    <n v="0"/>
  </r>
  <r>
    <d v="2017-06-23T00:00:00"/>
    <n v="2017"/>
    <x v="12"/>
    <s v="R"/>
    <s v="RS"/>
    <x v="4"/>
    <s v="DAL"/>
    <s v="H"/>
    <n v="1"/>
    <n v="1"/>
    <n v="0"/>
    <n v="0"/>
    <n v="0"/>
    <n v="0"/>
    <n v="1303.1058504907146"/>
    <n v="1437.9320032987555"/>
    <n v="0.42737263834381534"/>
    <n v="69"/>
    <n v="81"/>
    <n v="0"/>
    <n v="-12"/>
    <n v="0"/>
    <n v="0.41005739252290718"/>
    <n v="1"/>
    <n v="74.05"/>
    <n v="74.05"/>
    <n v="-12.97706328438837"/>
    <n v="1290.1287872063263"/>
    <n v="0"/>
    <n v="1"/>
    <n v="0"/>
    <n v="0"/>
    <n v="0"/>
    <n v="0"/>
    <n v="0"/>
    <n v="0"/>
    <n v="0"/>
    <n v="0"/>
  </r>
  <r>
    <d v="2017-06-23T00:00:00"/>
    <n v="2017"/>
    <x v="11"/>
    <s v="R"/>
    <s v="RS"/>
    <x v="9"/>
    <s v="SEA"/>
    <s v="A"/>
    <n v="4"/>
    <n v="4"/>
    <n v="0"/>
    <n v="0"/>
    <n v="0"/>
    <n v="0"/>
    <n v="1519.8040119070004"/>
    <n v="1502.0871221098355"/>
    <n v="0.40575160250510683"/>
    <n v="85"/>
    <n v="82"/>
    <n v="0"/>
    <n v="3"/>
    <n v="1"/>
    <n v="0.28596156318112059"/>
    <n v="1"/>
    <n v="74.2"/>
    <n v="74.2"/>
    <n v="12.608969289381253"/>
    <n v="1532.4129811963817"/>
    <n v="1"/>
    <n v="0"/>
    <n v="0"/>
    <n v="0"/>
    <n v="0"/>
    <n v="0"/>
    <n v="0"/>
    <n v="0"/>
    <n v="0"/>
    <n v="0"/>
  </r>
  <r>
    <d v="2017-06-23T00:00:00"/>
    <n v="2017"/>
    <x v="11"/>
    <s v="R"/>
    <s v="RS"/>
    <x v="2"/>
    <s v="PHX"/>
    <s v="H"/>
    <n v="4"/>
    <n v="4"/>
    <n v="0"/>
    <n v="0"/>
    <n v="0"/>
    <n v="0"/>
    <n v="1502.0871221098355"/>
    <n v="1519.8040119070004"/>
    <n v="0.59424839749489311"/>
    <n v="82"/>
    <n v="85"/>
    <n v="0"/>
    <n v="-3"/>
    <n v="0"/>
    <n v="0.28596156318112059"/>
    <n v="1"/>
    <n v="74.2"/>
    <n v="74.2"/>
    <n v="-12.608969289381253"/>
    <n v="1489.4781528204542"/>
    <n v="0"/>
    <n v="1"/>
    <n v="0"/>
    <n v="0"/>
    <n v="0"/>
    <n v="0"/>
    <n v="0"/>
    <n v="0"/>
    <n v="0"/>
    <n v="0"/>
  </r>
  <r>
    <d v="2017-06-24T00:00:00"/>
    <n v="2017"/>
    <x v="11"/>
    <s v="R"/>
    <s v="RS"/>
    <x v="3"/>
    <s v="IND"/>
    <s v="A"/>
    <n v="5"/>
    <n v="5"/>
    <n v="0"/>
    <n v="0"/>
    <n v="0"/>
    <n v="0"/>
    <n v="1619.9975296869704"/>
    <n v="1482.3327814125362"/>
    <n v="0.57662140953544583"/>
    <n v="84"/>
    <n v="73"/>
    <n v="0"/>
    <n v="11"/>
    <n v="1"/>
    <n v="0.39457058653150212"/>
    <n v="1"/>
    <n v="74.2"/>
    <n v="74.2"/>
    <n v="12.3953132163244"/>
    <n v="1632.3928429032949"/>
    <n v="1"/>
    <n v="0"/>
    <n v="0"/>
    <n v="0"/>
    <n v="0"/>
    <n v="0"/>
    <n v="0"/>
    <n v="0"/>
    <n v="0"/>
    <n v="0"/>
  </r>
  <r>
    <d v="2017-06-24T00:00:00"/>
    <n v="2017"/>
    <x v="12"/>
    <s v="R"/>
    <s v="RS"/>
    <x v="10"/>
    <s v="LAS"/>
    <s v="H"/>
    <n v="5"/>
    <n v="5"/>
    <n v="0"/>
    <n v="0"/>
    <n v="0"/>
    <n v="0"/>
    <n v="1482.3327814125362"/>
    <n v="1619.9975296869704"/>
    <n v="0.42337859046455423"/>
    <n v="73"/>
    <n v="84"/>
    <n v="0"/>
    <n v="-11"/>
    <n v="0"/>
    <n v="0.39457058653150212"/>
    <n v="1"/>
    <n v="74.05"/>
    <n v="74.05"/>
    <n v="-12.370255305509728"/>
    <n v="1469.9625261070264"/>
    <n v="0"/>
    <n v="1"/>
    <n v="0"/>
    <n v="0"/>
    <n v="0"/>
    <n v="0"/>
    <n v="0"/>
    <n v="0"/>
    <n v="0"/>
    <n v="0"/>
  </r>
  <r>
    <d v="2017-06-25T00:00:00"/>
    <n v="2017"/>
    <x v="12"/>
    <s v="R"/>
    <s v="RS"/>
    <x v="11"/>
    <s v="CHI"/>
    <s v="A"/>
    <n v="1"/>
    <n v="1"/>
    <n v="0"/>
    <n v="0"/>
    <n v="0"/>
    <n v="0"/>
    <n v="1509.2858563596353"/>
    <n v="1418.9773511571916"/>
    <n v="0.50907767119331748"/>
    <n v="97"/>
    <n v="63"/>
    <n v="0"/>
    <n v="34"/>
    <n v="1"/>
    <n v="0.6981443123183344"/>
    <n v="1"/>
    <n v="74.05"/>
    <n v="74.05"/>
    <n v="25.379499473420111"/>
    <n v="1534.6653558330554"/>
    <n v="1"/>
    <n v="0"/>
    <n v="0"/>
    <n v="0"/>
    <n v="0"/>
    <n v="0"/>
    <n v="0"/>
    <n v="0"/>
    <n v="0"/>
    <n v="0"/>
  </r>
  <r>
    <d v="2017-06-25T00:00:00"/>
    <n v="2017"/>
    <x v="12"/>
    <s v="R"/>
    <s v="RS"/>
    <x v="6"/>
    <s v="WAS"/>
    <s v="H"/>
    <n v="1"/>
    <n v="1"/>
    <n v="0"/>
    <n v="0"/>
    <n v="0"/>
    <n v="0"/>
    <n v="1418.9773511571916"/>
    <n v="1509.2858563596353"/>
    <n v="0.49092232880668257"/>
    <n v="63"/>
    <n v="97"/>
    <n v="0"/>
    <n v="-34"/>
    <n v="0"/>
    <n v="0.6981443123183344"/>
    <n v="1"/>
    <n v="74.05"/>
    <n v="74.05"/>
    <n v="-25.379499473420115"/>
    <n v="1393.5978516837715"/>
    <n v="0"/>
    <n v="1"/>
    <n v="0"/>
    <n v="0"/>
    <n v="0"/>
    <n v="0"/>
    <n v="0"/>
    <n v="0"/>
    <n v="0"/>
    <n v="0"/>
  </r>
  <r>
    <d v="2017-06-25T00:00:00"/>
    <n v="2017"/>
    <x v="11"/>
    <s v="R"/>
    <s v="RS"/>
    <x v="1"/>
    <s v="DAL"/>
    <s v="A"/>
    <n v="1"/>
    <n v="1"/>
    <n v="0"/>
    <n v="0"/>
    <n v="0"/>
    <n v="0"/>
    <n v="1550.5989581561741"/>
    <n v="1450.8564923902293"/>
    <n v="0.5226397380832033"/>
    <n v="82"/>
    <n v="96"/>
    <n v="0"/>
    <n v="-14"/>
    <n v="0"/>
    <n v="0.45018897177919132"/>
    <n v="1"/>
    <n v="74.2"/>
    <n v="74.2"/>
    <n v="-17.458269155357836"/>
    <n v="1533.1406890008163"/>
    <n v="0"/>
    <n v="1"/>
    <n v="0"/>
    <n v="0"/>
    <n v="0"/>
    <n v="0"/>
    <n v="0"/>
    <n v="0"/>
    <n v="0"/>
    <n v="0"/>
  </r>
  <r>
    <d v="2017-06-25T00:00:00"/>
    <n v="2017"/>
    <x v="15"/>
    <s v="R"/>
    <s v="RS"/>
    <x v="8"/>
    <s v="CON"/>
    <s v="H"/>
    <n v="1"/>
    <n v="1"/>
    <n v="0"/>
    <n v="0"/>
    <n v="0"/>
    <n v="0"/>
    <n v="1450.8564923902293"/>
    <n v="1550.5989581561741"/>
    <n v="0.4773602619167967"/>
    <n v="96"/>
    <n v="82"/>
    <n v="0"/>
    <n v="14"/>
    <n v="1"/>
    <n v="0.45018897177919132"/>
    <n v="1"/>
    <n v="73.599999999999994"/>
    <n v="73.599999999999994"/>
    <n v="17.317097167578662"/>
    <n v="1468.1735895578079"/>
    <n v="1"/>
    <n v="0"/>
    <n v="0"/>
    <n v="0"/>
    <n v="0"/>
    <n v="0"/>
    <n v="0"/>
    <n v="0"/>
    <n v="0"/>
    <n v="0"/>
  </r>
  <r>
    <d v="2017-06-25T00:00:00"/>
    <n v="2017"/>
    <x v="13"/>
    <s v="R"/>
    <s v="RS"/>
    <x v="4"/>
    <s v="MIN"/>
    <s v="A"/>
    <n v="1"/>
    <n v="1"/>
    <n v="0"/>
    <n v="0"/>
    <n v="0"/>
    <n v="0"/>
    <n v="1290.1287872063263"/>
    <n v="1688.0449983553583"/>
    <n v="5.8738107343373168E-2"/>
    <n v="78"/>
    <n v="87"/>
    <n v="0"/>
    <n v="-9"/>
    <n v="0"/>
    <n v="0.30487570573326833"/>
    <n v="1"/>
    <n v="73.900000000000006"/>
    <n v="73.900000000000006"/>
    <n v="-1.3233880406083305"/>
    <n v="1288.805399165718"/>
    <n v="0"/>
    <n v="1"/>
    <n v="0"/>
    <n v="0"/>
    <n v="0"/>
    <n v="0"/>
    <n v="0"/>
    <n v="0"/>
    <n v="0"/>
    <n v="0"/>
  </r>
  <r>
    <d v="2017-06-25T00:00:00"/>
    <n v="2017"/>
    <x v="11"/>
    <s v="R"/>
    <s v="RS"/>
    <x v="7"/>
    <s v="SAS"/>
    <s v="H"/>
    <n v="1"/>
    <n v="1"/>
    <n v="0"/>
    <n v="0"/>
    <n v="0"/>
    <n v="0"/>
    <n v="1688.0449983553583"/>
    <n v="1290.1287872063263"/>
    <n v="0.94126189265662685"/>
    <n v="87"/>
    <n v="78"/>
    <n v="0"/>
    <n v="9"/>
    <n v="1"/>
    <n v="0.30487570573326833"/>
    <n v="1"/>
    <n v="74.2"/>
    <n v="74.2"/>
    <n v="1.3287603871872542"/>
    <n v="1689.3737587425455"/>
    <n v="1"/>
    <n v="0"/>
    <n v="0"/>
    <n v="0"/>
    <n v="0"/>
    <n v="0"/>
    <n v="0"/>
    <n v="0"/>
    <n v="0"/>
    <n v="0"/>
  </r>
  <r>
    <d v="2017-06-27T00:00:00"/>
    <n v="2017"/>
    <x v="12"/>
    <s v="R"/>
    <s v="RS"/>
    <x v="3"/>
    <s v="CON"/>
    <s v="A"/>
    <n v="2"/>
    <n v="1"/>
    <n v="1"/>
    <n v="-1"/>
    <n v="8"/>
    <n v="-8"/>
    <n v="1632.3928429032949"/>
    <n v="1533.1406890008163"/>
    <n v="0.54485455474553834"/>
    <n v="87"/>
    <n v="79"/>
    <n v="0"/>
    <n v="8"/>
    <n v="1"/>
    <n v="0.35865142928874666"/>
    <n v="1"/>
    <n v="74.05"/>
    <n v="74.05"/>
    <n v="12.087815699357138"/>
    <n v="1644.4806586026521"/>
    <n v="1"/>
    <n v="0"/>
    <n v="0"/>
    <n v="0"/>
    <n v="0"/>
    <n v="0"/>
    <n v="0"/>
    <n v="0"/>
    <n v="0"/>
    <n v="0"/>
  </r>
  <r>
    <d v="2017-06-27T00:00:00"/>
    <n v="2017"/>
    <x v="12"/>
    <s v="R"/>
    <s v="RS"/>
    <x v="1"/>
    <s v="LAS"/>
    <s v="H"/>
    <n v="1"/>
    <n v="2"/>
    <n v="-1"/>
    <n v="1"/>
    <n v="-8"/>
    <n v="8"/>
    <n v="1533.1406890008163"/>
    <n v="1632.3928429032949"/>
    <n v="0.45514544525446171"/>
    <n v="79"/>
    <n v="87"/>
    <n v="0"/>
    <n v="-8"/>
    <n v="0"/>
    <n v="0.35865142928874666"/>
    <n v="1"/>
    <n v="74.05"/>
    <n v="74.05"/>
    <n v="-12.08781569935714"/>
    <n v="1521.0528733014592"/>
    <n v="0"/>
    <n v="1"/>
    <n v="0"/>
    <n v="0"/>
    <n v="0"/>
    <n v="0"/>
    <n v="0"/>
    <n v="0"/>
    <n v="0"/>
    <n v="0"/>
  </r>
  <r>
    <d v="2017-06-27T00:00:00"/>
    <n v="2017"/>
    <x v="12"/>
    <s v="R"/>
    <s v="RS"/>
    <x v="2"/>
    <s v="WAS"/>
    <s v="A"/>
    <n v="3"/>
    <n v="1"/>
    <n v="2"/>
    <n v="-2"/>
    <n v="16"/>
    <n v="-16"/>
    <n v="1489.4781528204542"/>
    <n v="1534.6653558330554"/>
    <n v="0.36367368445811965"/>
    <n v="70"/>
    <n v="100"/>
    <n v="0"/>
    <n v="-30"/>
    <n v="0"/>
    <n v="0.67796328896358671"/>
    <n v="1"/>
    <n v="74.05"/>
    <n v="74.05"/>
    <n v="-18.257576004991435"/>
    <n v="1471.2205768154627"/>
    <n v="0"/>
    <n v="1"/>
    <n v="0"/>
    <n v="0"/>
    <n v="0"/>
    <n v="0"/>
    <n v="0"/>
    <n v="0"/>
    <n v="0"/>
    <n v="0"/>
  </r>
  <r>
    <d v="2017-06-27T00:00:00"/>
    <n v="2017"/>
    <x v="13"/>
    <s v="R"/>
    <s v="RS"/>
    <x v="11"/>
    <s v="SEA"/>
    <s v="H"/>
    <n v="1"/>
    <n v="3"/>
    <n v="-2"/>
    <n v="2"/>
    <n v="-16"/>
    <n v="16"/>
    <n v="1534.6653558330554"/>
    <n v="1489.4781528204542"/>
    <n v="0.63632631554188024"/>
    <n v="100"/>
    <n v="70"/>
    <n v="0"/>
    <n v="30"/>
    <n v="1"/>
    <n v="0.67796328896358671"/>
    <n v="1"/>
    <n v="73.900000000000006"/>
    <n v="73.900000000000006"/>
    <n v="18.220592393907733"/>
    <n v="1552.8859482269631"/>
    <n v="1"/>
    <n v="0"/>
    <n v="0"/>
    <n v="0"/>
    <n v="0"/>
    <n v="0"/>
    <n v="0"/>
    <n v="0"/>
    <n v="0"/>
    <n v="0"/>
  </r>
  <r>
    <d v="2017-06-28T00:00:00"/>
    <n v="2017"/>
    <x v="13"/>
    <s v="R"/>
    <s v="RS"/>
    <x v="10"/>
    <s v="CHI"/>
    <s v="A"/>
    <n v="3"/>
    <n v="2"/>
    <n v="1"/>
    <n v="-1"/>
    <n v="8"/>
    <n v="-8"/>
    <n v="1469.9625261070264"/>
    <n v="1393.5978516837715"/>
    <n v="0.51203540888253785"/>
    <n v="82"/>
    <n v="75"/>
    <n v="0"/>
    <n v="7"/>
    <n v="1"/>
    <n v="0.34796372532424591"/>
    <n v="1"/>
    <n v="73.900000000000006"/>
    <n v="73.900000000000006"/>
    <n v="12.547774896719883"/>
    <n v="1482.5103010037462"/>
    <n v="1"/>
    <n v="0"/>
    <n v="0"/>
    <n v="0"/>
    <n v="0"/>
    <n v="0"/>
    <n v="0"/>
    <n v="0"/>
    <n v="0"/>
    <n v="0"/>
  </r>
  <r>
    <d v="2017-06-28T00:00:00"/>
    <n v="2017"/>
    <x v="13"/>
    <s v="R"/>
    <s v="RS"/>
    <x v="6"/>
    <s v="IND"/>
    <s v="H"/>
    <n v="2"/>
    <n v="3"/>
    <n v="-1"/>
    <n v="1"/>
    <n v="-8"/>
    <n v="8"/>
    <n v="1393.5978516837715"/>
    <n v="1469.9625261070264"/>
    <n v="0.48796459111746221"/>
    <n v="75"/>
    <n v="82"/>
    <n v="0"/>
    <n v="-7"/>
    <n v="0"/>
    <n v="0.34796372532424591"/>
    <n v="1"/>
    <n v="73.900000000000006"/>
    <n v="73.900000000000006"/>
    <n v="-12.547774896719885"/>
    <n v="1381.0500767870517"/>
    <n v="0"/>
    <n v="1"/>
    <n v="0"/>
    <n v="0"/>
    <n v="0"/>
    <n v="0"/>
    <n v="0"/>
    <n v="0"/>
    <n v="0"/>
    <n v="0"/>
  </r>
  <r>
    <d v="2017-06-29T00:00:00"/>
    <n v="2017"/>
    <x v="13"/>
    <s v="R"/>
    <s v="RS"/>
    <x v="2"/>
    <s v="CON"/>
    <s v="A"/>
    <n v="1"/>
    <n v="1"/>
    <n v="0"/>
    <n v="0"/>
    <n v="0"/>
    <n v="0"/>
    <n v="1471.2205768154627"/>
    <n v="1521.0528733014592"/>
    <n v="0.31639244894393237"/>
    <n v="89"/>
    <n v="96"/>
    <n v="0"/>
    <n v="-7"/>
    <n v="0"/>
    <n v="0.35535056041781538"/>
    <n v="1"/>
    <n v="73.900000000000006"/>
    <n v="73.900000000000006"/>
    <n v="-8.3085942958657455"/>
    <n v="1462.9119825195969"/>
    <n v="0"/>
    <n v="1"/>
    <n v="0"/>
    <n v="0"/>
    <n v="0"/>
    <n v="0"/>
    <n v="0"/>
    <n v="0"/>
    <n v="0"/>
    <n v="0"/>
  </r>
  <r>
    <d v="2017-06-29T00:00:00"/>
    <n v="2017"/>
    <x v="13"/>
    <s v="R"/>
    <s v="RS"/>
    <x v="1"/>
    <s v="SEA"/>
    <s v="H"/>
    <n v="1"/>
    <n v="1"/>
    <n v="0"/>
    <n v="0"/>
    <n v="0"/>
    <n v="0"/>
    <n v="1521.0528733014592"/>
    <n v="1471.2205768154627"/>
    <n v="0.68360755105606752"/>
    <n v="96"/>
    <n v="89"/>
    <n v="0"/>
    <n v="7"/>
    <n v="1"/>
    <n v="0.35535056041781538"/>
    <n v="1"/>
    <n v="73.900000000000006"/>
    <n v="73.900000000000006"/>
    <n v="8.308594295865749"/>
    <n v="1529.3614675973249"/>
    <n v="1"/>
    <n v="0"/>
    <n v="0"/>
    <n v="0"/>
    <n v="0"/>
    <n v="0"/>
    <n v="0"/>
    <n v="0"/>
    <n v="0"/>
    <n v="0"/>
  </r>
  <r>
    <d v="2017-06-29T00:00:00"/>
    <n v="2017"/>
    <x v="12"/>
    <s v="R"/>
    <s v="RS"/>
    <x v="5"/>
    <s v="WAS"/>
    <s v="A"/>
    <n v="5"/>
    <n v="1"/>
    <n v="4"/>
    <n v="-4"/>
    <n v="16"/>
    <n v="-16"/>
    <n v="1506.9094055024509"/>
    <n v="1552.8859482269631"/>
    <n v="0.36262283204016371"/>
    <n v="54"/>
    <n v="67"/>
    <n v="0"/>
    <n v="-13"/>
    <n v="0"/>
    <n v="0.45462533792033422"/>
    <n v="1"/>
    <n v="74.05"/>
    <n v="74.05"/>
    <n v="-12.207699915365408"/>
    <n v="1494.7017055870856"/>
    <n v="0"/>
    <n v="1"/>
    <n v="0"/>
    <n v="0"/>
    <n v="0"/>
    <n v="0"/>
    <n v="0"/>
    <n v="0"/>
    <n v="0"/>
    <n v="0"/>
  </r>
  <r>
    <d v="2017-06-29T00:00:00"/>
    <n v="2017"/>
    <x v="14"/>
    <s v="R"/>
    <s v="RS"/>
    <x v="11"/>
    <s v="NYL"/>
    <s v="H"/>
    <n v="1"/>
    <n v="5"/>
    <n v="-4"/>
    <n v="4"/>
    <n v="-16"/>
    <n v="16"/>
    <n v="1552.8859482269631"/>
    <n v="1506.9094055024509"/>
    <n v="0.63737716795983634"/>
    <n v="67"/>
    <n v="54"/>
    <n v="0"/>
    <n v="13"/>
    <n v="1"/>
    <n v="0.45462533792033422"/>
    <n v="1"/>
    <n v="73.75"/>
    <n v="73.75"/>
    <n v="12.15824265709924"/>
    <n v="1565.0441908840623"/>
    <n v="1"/>
    <n v="0"/>
    <n v="0"/>
    <n v="0"/>
    <n v="0"/>
    <n v="0"/>
    <n v="0"/>
    <n v="0"/>
    <n v="0"/>
    <n v="0"/>
  </r>
  <r>
    <d v="2017-06-30T00:00:00"/>
    <n v="2017"/>
    <x v="13"/>
    <s v="R"/>
    <s v="RS"/>
    <x v="3"/>
    <s v="ATL"/>
    <s v="A"/>
    <n v="2"/>
    <n v="6"/>
    <n v="-4"/>
    <n v="4"/>
    <n v="-16"/>
    <n v="16"/>
    <n v="1644.4806586026521"/>
    <n v="1461.4358800864209"/>
    <n v="0.59530514133647872"/>
    <n v="85"/>
    <n v="76"/>
    <n v="0"/>
    <n v="9"/>
    <n v="1"/>
    <n v="0.35224154716041545"/>
    <n v="1"/>
    <n v="73.900000000000006"/>
    <n v="73.900000000000006"/>
    <n v="10.534470358304976"/>
    <n v="1655.0151289609571"/>
    <n v="1"/>
    <n v="0"/>
    <n v="0"/>
    <n v="0"/>
    <n v="0"/>
    <n v="0"/>
    <n v="0"/>
    <n v="0"/>
    <n v="0"/>
    <n v="0"/>
  </r>
  <r>
    <d v="2017-06-30T00:00:00"/>
    <n v="2017"/>
    <x v="11"/>
    <s v="R"/>
    <s v="RS"/>
    <x v="0"/>
    <s v="LAS"/>
    <s v="H"/>
    <n v="6"/>
    <n v="2"/>
    <n v="4"/>
    <n v="-4"/>
    <n v="16"/>
    <n v="-16"/>
    <n v="1461.4358800864209"/>
    <n v="1644.4806586026521"/>
    <n v="0.40469485866352134"/>
    <n v="76"/>
    <n v="85"/>
    <n v="0"/>
    <n v="-9"/>
    <n v="0"/>
    <n v="0.35224154716041545"/>
    <n v="1"/>
    <n v="74.2"/>
    <n v="74.2"/>
    <n v="-10.577235461248028"/>
    <n v="1450.8586446251729"/>
    <n v="0"/>
    <n v="1"/>
    <n v="0"/>
    <n v="0"/>
    <n v="0"/>
    <n v="0"/>
    <n v="0"/>
    <n v="0"/>
    <n v="0"/>
    <n v="0"/>
  </r>
  <r>
    <d v="2017-06-30T00:00:00"/>
    <n v="2017"/>
    <x v="12"/>
    <s v="R"/>
    <s v="RS"/>
    <x v="7"/>
    <s v="PHX"/>
    <s v="A"/>
    <n v="4"/>
    <n v="6"/>
    <n v="-2"/>
    <n v="2"/>
    <n v="-16"/>
    <n v="16"/>
    <n v="1689.3737587425455"/>
    <n v="1532.4129811963817"/>
    <n v="0.55867570174692083"/>
    <n v="91"/>
    <n v="83"/>
    <n v="0"/>
    <n v="8"/>
    <n v="1"/>
    <n v="0.34339875530245673"/>
    <n v="1"/>
    <n v="74.05"/>
    <n v="74.05"/>
    <n v="11.222293398893221"/>
    <n v="1700.5960521414388"/>
    <n v="1"/>
    <n v="0"/>
    <n v="0"/>
    <n v="0"/>
    <n v="0"/>
    <n v="0"/>
    <n v="0"/>
    <n v="0"/>
    <n v="0"/>
    <n v="0"/>
  </r>
  <r>
    <d v="2017-06-30T00:00:00"/>
    <n v="2017"/>
    <x v="12"/>
    <s v="R"/>
    <s v="RS"/>
    <x v="9"/>
    <s v="MIN"/>
    <s v="H"/>
    <n v="6"/>
    <n v="4"/>
    <n v="2"/>
    <n v="-2"/>
    <n v="16"/>
    <n v="-16"/>
    <n v="1532.4129811963817"/>
    <n v="1689.3737587425455"/>
    <n v="0.44132429825307912"/>
    <n v="83"/>
    <n v="91"/>
    <n v="0"/>
    <n v="-8"/>
    <n v="0"/>
    <n v="0.34339875530245673"/>
    <n v="1"/>
    <n v="74.05"/>
    <n v="74.05"/>
    <n v="-11.222293398893219"/>
    <n v="1521.1906877974884"/>
    <n v="0"/>
    <n v="1"/>
    <n v="0"/>
    <n v="0"/>
    <n v="0"/>
    <n v="0"/>
    <n v="0"/>
    <n v="0"/>
    <n v="0"/>
    <n v="0"/>
  </r>
  <r>
    <d v="2017-06-30T00:00:00"/>
    <n v="2017"/>
    <x v="14"/>
    <s v="R"/>
    <s v="RS"/>
    <x v="6"/>
    <s v="SAS"/>
    <s v="A"/>
    <n v="1"/>
    <n v="4"/>
    <n v="-3"/>
    <n v="3"/>
    <n v="-16"/>
    <n v="16"/>
    <n v="1381.0500767870517"/>
    <n v="1288.805399165718"/>
    <n v="0.46586651675876217"/>
    <n v="82"/>
    <n v="89"/>
    <n v="0"/>
    <n v="-7"/>
    <n v="0"/>
    <n v="0.34368770456234521"/>
    <n v="1"/>
    <n v="73.75"/>
    <n v="73.75"/>
    <n v="-11.808303791073978"/>
    <n v="1369.2417729959777"/>
    <n v="0"/>
    <n v="1"/>
    <n v="0"/>
    <n v="0"/>
    <n v="0"/>
    <n v="0"/>
    <n v="0"/>
    <n v="0"/>
    <n v="0"/>
    <n v="0"/>
  </r>
  <r>
    <d v="2017-06-30T00:00:00"/>
    <n v="2017"/>
    <x v="14"/>
    <s v="R"/>
    <s v="RS"/>
    <x v="4"/>
    <s v="CHI"/>
    <s v="H"/>
    <n v="4"/>
    <n v="1"/>
    <n v="3"/>
    <n v="-3"/>
    <n v="16"/>
    <n v="-16"/>
    <n v="1288.805399165718"/>
    <n v="1381.0500767870517"/>
    <n v="0.53413348324123777"/>
    <n v="89"/>
    <n v="82"/>
    <n v="0"/>
    <n v="7"/>
    <n v="1"/>
    <n v="0.34368770456234521"/>
    <n v="1"/>
    <n v="73.75"/>
    <n v="73.75"/>
    <n v="11.80830379107398"/>
    <n v="1300.6137029567919"/>
    <n v="1"/>
    <n v="0"/>
    <n v="0"/>
    <n v="0"/>
    <n v="0"/>
    <n v="0"/>
    <n v="0"/>
    <n v="0"/>
    <n v="0"/>
    <n v="0"/>
  </r>
  <r>
    <d v="2017-07-01T00:00:00"/>
    <n v="2017"/>
    <x v="14"/>
    <s v="R"/>
    <s v="RS"/>
    <x v="2"/>
    <s v="DAL"/>
    <s v="A"/>
    <n v="1"/>
    <n v="5"/>
    <n v="-4"/>
    <n v="4"/>
    <n v="-16"/>
    <n v="16"/>
    <n v="1462.9119825195969"/>
    <n v="1468.1735895578079"/>
    <n v="0.33224738929052489"/>
    <n v="89"/>
    <n v="69"/>
    <n v="0"/>
    <n v="20"/>
    <n v="1"/>
    <n v="0.57237767029339726"/>
    <n v="1"/>
    <n v="73.75"/>
    <n v="73.75"/>
    <n v="28.187742919203959"/>
    <n v="1491.0997254388008"/>
    <n v="1"/>
    <n v="0"/>
    <n v="0"/>
    <n v="0"/>
    <n v="0"/>
    <n v="0"/>
    <n v="0"/>
    <n v="0"/>
    <n v="0"/>
    <n v="0"/>
  </r>
  <r>
    <d v="2017-07-01T00:00:00"/>
    <n v="2017"/>
    <x v="16"/>
    <s v="R"/>
    <s v="RS"/>
    <x v="8"/>
    <s v="SEA"/>
    <s v="H"/>
    <n v="5"/>
    <n v="1"/>
    <n v="4"/>
    <n v="-4"/>
    <n v="16"/>
    <n v="-16"/>
    <n v="1468.1735895578079"/>
    <n v="1462.9119825195969"/>
    <n v="0.66775261070947523"/>
    <n v="69"/>
    <n v="89"/>
    <n v="0"/>
    <n v="-20"/>
    <n v="0"/>
    <n v="0.57237767029339726"/>
    <n v="1"/>
    <n v="73.45"/>
    <n v="73.45"/>
    <n v="-28.0730809141089"/>
    <n v="1440.100508643699"/>
    <n v="0"/>
    <n v="1"/>
    <n v="0"/>
    <n v="0"/>
    <n v="0"/>
    <n v="0"/>
    <n v="0"/>
    <n v="0"/>
    <n v="0"/>
    <n v="0"/>
  </r>
  <r>
    <d v="2017-07-01T00:00:00"/>
    <n v="2017"/>
    <x v="14"/>
    <s v="R"/>
    <s v="RS"/>
    <x v="1"/>
    <s v="IND"/>
    <s v="A"/>
    <n v="1"/>
    <n v="2"/>
    <n v="-1"/>
    <n v="1"/>
    <n v="-8"/>
    <n v="8"/>
    <n v="1529.3614675973249"/>
    <n v="1482.5103010037462"/>
    <n v="0.42410378064464582"/>
    <n v="91"/>
    <n v="85"/>
    <n v="0"/>
    <n v="6"/>
    <n v="1"/>
    <n v="0.33808117969752316"/>
    <n v="1"/>
    <n v="73.75"/>
    <n v="73.75"/>
    <n v="14.359100900196378"/>
    <n v="1543.7205684975213"/>
    <n v="1"/>
    <n v="0"/>
    <n v="0"/>
    <n v="0"/>
    <n v="0"/>
    <n v="0"/>
    <n v="0"/>
    <n v="0"/>
    <n v="0"/>
    <n v="0"/>
  </r>
  <r>
    <d v="2017-07-01T00:00:00"/>
    <n v="2017"/>
    <x v="14"/>
    <s v="R"/>
    <s v="RS"/>
    <x v="10"/>
    <s v="CON"/>
    <s v="H"/>
    <n v="2"/>
    <n v="1"/>
    <n v="1"/>
    <n v="-1"/>
    <n v="8"/>
    <n v="-8"/>
    <n v="1482.5103010037462"/>
    <n v="1529.3614675973249"/>
    <n v="0.57589621935535418"/>
    <n v="85"/>
    <n v="91"/>
    <n v="0"/>
    <n v="-6"/>
    <n v="0"/>
    <n v="0.33808117969752316"/>
    <n v="1"/>
    <n v="73.75"/>
    <n v="73.75"/>
    <n v="-14.359100900196378"/>
    <n v="1468.1512001035499"/>
    <n v="0"/>
    <n v="1"/>
    <n v="0"/>
    <n v="0"/>
    <n v="0"/>
    <n v="0"/>
    <n v="0"/>
    <n v="0"/>
    <n v="0"/>
    <n v="0"/>
  </r>
  <r>
    <d v="2017-07-02T00:00:00"/>
    <n v="2017"/>
    <x v="13"/>
    <s v="R"/>
    <s v="RS"/>
    <x v="5"/>
    <s v="ATL"/>
    <s v="A"/>
    <n v="2"/>
    <n v="1"/>
    <n v="1"/>
    <n v="-1"/>
    <n v="8"/>
    <n v="-8"/>
    <n v="1494.7017055870856"/>
    <n v="1450.8586446251729"/>
    <n v="0.46529128314744073"/>
    <n v="72"/>
    <n v="81"/>
    <n v="0"/>
    <n v="-9"/>
    <n v="0"/>
    <n v="0.3916618164030653"/>
    <n v="1"/>
    <n v="73.900000000000006"/>
    <n v="73.900000000000006"/>
    <n v="-13.467301671527528"/>
    <n v="1481.234403915558"/>
    <n v="0"/>
    <n v="1"/>
    <n v="0"/>
    <n v="0"/>
    <n v="0"/>
    <n v="0"/>
    <n v="0"/>
    <n v="0"/>
    <n v="0"/>
    <n v="0"/>
  </r>
  <r>
    <d v="2017-07-02T00:00:00"/>
    <n v="2017"/>
    <x v="12"/>
    <s v="R"/>
    <s v="RS"/>
    <x v="0"/>
    <s v="NYL"/>
    <s v="H"/>
    <n v="1"/>
    <n v="2"/>
    <n v="-1"/>
    <n v="1"/>
    <n v="-8"/>
    <n v="8"/>
    <n v="1450.8586446251729"/>
    <n v="1494.7017055870856"/>
    <n v="0.53470871685255927"/>
    <n v="81"/>
    <n v="72"/>
    <n v="0"/>
    <n v="9"/>
    <n v="1"/>
    <n v="0.3916618164030653"/>
    <n v="1"/>
    <n v="74.05"/>
    <n v="74.05"/>
    <n v="13.494637195894631"/>
    <n v="1464.3532818210676"/>
    <n v="1"/>
    <n v="0"/>
    <n v="0"/>
    <n v="0"/>
    <n v="0"/>
    <n v="0"/>
    <n v="0"/>
    <n v="0"/>
    <n v="0"/>
    <n v="0"/>
  </r>
  <r>
    <d v="2017-07-02T00:00:00"/>
    <n v="2017"/>
    <x v="15"/>
    <s v="R"/>
    <s v="RS"/>
    <x v="11"/>
    <s v="LAS"/>
    <s v="A"/>
    <n v="2"/>
    <n v="1"/>
    <n v="1"/>
    <n v="-1"/>
    <n v="8"/>
    <n v="-8"/>
    <n v="1565.0441908840623"/>
    <n v="1655.0151289609571"/>
    <n v="0.2871320842988298"/>
    <n v="69"/>
    <n v="76"/>
    <n v="0"/>
    <n v="-7"/>
    <n v="0"/>
    <n v="0.34429349830678874"/>
    <n v="1"/>
    <n v="73.599999999999994"/>
    <n v="73.599999999999994"/>
    <n v="-7.2759274397611806"/>
    <n v="1557.7682634443011"/>
    <n v="0"/>
    <n v="1"/>
    <n v="0"/>
    <n v="0"/>
    <n v="0"/>
    <n v="0"/>
    <n v="0"/>
    <n v="0"/>
    <n v="0"/>
    <n v="0"/>
  </r>
  <r>
    <d v="2017-07-02T00:00:00"/>
    <n v="2017"/>
    <x v="14"/>
    <s v="R"/>
    <s v="RS"/>
    <x v="3"/>
    <s v="WAS"/>
    <s v="H"/>
    <n v="1"/>
    <n v="2"/>
    <n v="-1"/>
    <n v="1"/>
    <n v="-8"/>
    <n v="8"/>
    <n v="1655.0151289609571"/>
    <n v="1565.0441908840623"/>
    <n v="0.71286791570117025"/>
    <n v="76"/>
    <n v="69"/>
    <n v="0"/>
    <n v="7"/>
    <n v="1"/>
    <n v="0.34429349830678874"/>
    <n v="1"/>
    <n v="73.75"/>
    <n v="73.75"/>
    <n v="7.2907560962280851"/>
    <n v="1662.3058850571852"/>
    <n v="1"/>
    <n v="0"/>
    <n v="0"/>
    <n v="0"/>
    <n v="0"/>
    <n v="0"/>
    <n v="0"/>
    <n v="0"/>
    <n v="0"/>
    <n v="0"/>
  </r>
  <r>
    <d v="2017-07-05T00:00:00"/>
    <n v="2017"/>
    <x v="13"/>
    <s v="R"/>
    <s v="RS"/>
    <x v="0"/>
    <s v="DAL"/>
    <s v="A"/>
    <n v="2"/>
    <n v="3"/>
    <n v="-1"/>
    <n v="1"/>
    <n v="-8"/>
    <n v="8"/>
    <n v="1464.3532818210676"/>
    <n v="1440.100508643699"/>
    <n v="0.39268589432228768"/>
    <n v="84"/>
    <n v="94"/>
    <n v="0"/>
    <n v="-10"/>
    <n v="0"/>
    <n v="0.41474738740508255"/>
    <n v="1"/>
    <n v="73.900000000000006"/>
    <n v="73.900000000000006"/>
    <n v="-12.03575666195969"/>
    <n v="1452.3175251591078"/>
    <n v="0"/>
    <n v="1"/>
    <n v="0"/>
    <n v="0"/>
    <n v="0"/>
    <n v="0"/>
    <n v="0"/>
    <n v="0"/>
    <n v="0"/>
    <n v="0"/>
  </r>
  <r>
    <d v="2017-07-05T00:00:00"/>
    <n v="2017"/>
    <x v="17"/>
    <s v="R"/>
    <s v="RS"/>
    <x v="8"/>
    <s v="ATL"/>
    <s v="H"/>
    <n v="3"/>
    <n v="2"/>
    <n v="1"/>
    <n v="-1"/>
    <n v="8"/>
    <n v="-8"/>
    <n v="1440.100508643699"/>
    <n v="1464.3532818210676"/>
    <n v="0.60731410567771227"/>
    <n v="94"/>
    <n v="84"/>
    <n v="0"/>
    <n v="10"/>
    <n v="1"/>
    <n v="0.41474738740508255"/>
    <n v="1"/>
    <n v="73.3"/>
    <n v="73.3"/>
    <n v="11.938037392715092"/>
    <n v="1452.0385460364141"/>
    <n v="1"/>
    <n v="0"/>
    <n v="0"/>
    <n v="0"/>
    <n v="0"/>
    <n v="0"/>
    <n v="0"/>
    <n v="0"/>
    <n v="0"/>
    <n v="0"/>
  </r>
  <r>
    <d v="2017-07-05T00:00:00"/>
    <n v="2017"/>
    <x v="16"/>
    <s v="R"/>
    <s v="RS"/>
    <x v="11"/>
    <s v="PHX"/>
    <s v="A"/>
    <n v="2"/>
    <n v="4"/>
    <n v="-2"/>
    <n v="2"/>
    <n v="-16"/>
    <n v="16"/>
    <n v="1557.7682634443011"/>
    <n v="1521.1906877974884"/>
    <n v="0.38765211690825579"/>
    <n v="80"/>
    <n v="88"/>
    <n v="0"/>
    <n v="-8"/>
    <n v="0"/>
    <n v="0.37682928364592788"/>
    <n v="1"/>
    <n v="73.45"/>
    <n v="73.45"/>
    <n v="-10.729478276123949"/>
    <n v="1547.0387851681771"/>
    <n v="0"/>
    <n v="1"/>
    <n v="0"/>
    <n v="0"/>
    <n v="0"/>
    <n v="0"/>
    <n v="0"/>
    <n v="0"/>
    <n v="0"/>
    <n v="0"/>
  </r>
  <r>
    <d v="2017-07-05T00:00:00"/>
    <n v="2017"/>
    <x v="13"/>
    <s v="R"/>
    <s v="RS"/>
    <x v="9"/>
    <s v="WAS"/>
    <s v="H"/>
    <n v="4"/>
    <n v="2"/>
    <n v="2"/>
    <n v="-2"/>
    <n v="16"/>
    <n v="-16"/>
    <n v="1521.1906877974884"/>
    <n v="1557.7682634443011"/>
    <n v="0.61234788309174426"/>
    <n v="88"/>
    <n v="80"/>
    <n v="0"/>
    <n v="8"/>
    <n v="1"/>
    <n v="0.37682928364592788"/>
    <n v="1"/>
    <n v="73.900000000000006"/>
    <n v="73.900000000000006"/>
    <n v="10.795213677407212"/>
    <n v="1531.9859014748956"/>
    <n v="1"/>
    <n v="0"/>
    <n v="0"/>
    <n v="0"/>
    <n v="0"/>
    <n v="0"/>
    <n v="0"/>
    <n v="0"/>
    <n v="0"/>
    <n v="0"/>
  </r>
  <r>
    <d v="2017-07-05T00:00:00"/>
    <n v="2017"/>
    <x v="15"/>
    <s v="R"/>
    <s v="RS"/>
    <x v="1"/>
    <s v="SAS"/>
    <s v="A"/>
    <n v="3"/>
    <n v="4"/>
    <n v="-1"/>
    <n v="1"/>
    <n v="-8"/>
    <n v="8"/>
    <n v="1543.7205684975213"/>
    <n v="1300.6137029567919"/>
    <n v="0.69504011887706441"/>
    <n v="89"/>
    <n v="56"/>
    <n v="0"/>
    <n v="33"/>
    <n v="1"/>
    <n v="0.6145704367204361"/>
    <n v="1"/>
    <n v="73.599999999999994"/>
    <n v="73.599999999999994"/>
    <n v="13.794062491041601"/>
    <n v="1557.5146309885629"/>
    <n v="1"/>
    <n v="0"/>
    <n v="0"/>
    <n v="0"/>
    <n v="0"/>
    <n v="0"/>
    <n v="0"/>
    <n v="0"/>
    <n v="0"/>
    <n v="0"/>
  </r>
  <r>
    <d v="2017-07-05T00:00:00"/>
    <n v="2017"/>
    <x v="15"/>
    <s v="R"/>
    <s v="RS"/>
    <x v="4"/>
    <s v="CON"/>
    <s v="H"/>
    <n v="4"/>
    <n v="3"/>
    <n v="1"/>
    <n v="-1"/>
    <n v="8"/>
    <n v="-8"/>
    <n v="1300.6137029567919"/>
    <n v="1543.7205684975213"/>
    <n v="0.30495988112293565"/>
    <n v="56"/>
    <n v="89"/>
    <n v="0"/>
    <n v="-33"/>
    <n v="0"/>
    <n v="0.6145704367204361"/>
    <n v="1"/>
    <n v="73.599999999999994"/>
    <n v="73.599999999999994"/>
    <n v="-13.794062491041602"/>
    <n v="1286.8196404657504"/>
    <n v="0"/>
    <n v="1"/>
    <n v="0"/>
    <n v="0"/>
    <n v="0"/>
    <n v="0"/>
    <n v="0"/>
    <n v="0"/>
    <n v="0"/>
    <n v="0"/>
  </r>
  <r>
    <d v="2017-07-06T00:00:00"/>
    <n v="2017"/>
    <x v="15"/>
    <s v="R"/>
    <s v="RS"/>
    <x v="3"/>
    <s v="MIN"/>
    <s v="A"/>
    <n v="3"/>
    <n v="5"/>
    <n v="-2"/>
    <n v="2"/>
    <n v="-16"/>
    <n v="16"/>
    <n v="1662.3058850571852"/>
    <n v="1700.5960521414388"/>
    <n v="0.29148852886512289"/>
    <n v="77"/>
    <n v="88"/>
    <n v="0"/>
    <n v="-11"/>
    <n v="0"/>
    <n v="0.42623544815182712"/>
    <n v="1"/>
    <n v="73.599999999999994"/>
    <n v="73.599999999999994"/>
    <n v="-9.1442659386709639"/>
    <n v="1653.1616191185142"/>
    <n v="0"/>
    <n v="1"/>
    <n v="0"/>
    <n v="0"/>
    <n v="0"/>
    <n v="0"/>
    <n v="0"/>
    <n v="0"/>
    <n v="0"/>
    <n v="0"/>
  </r>
  <r>
    <d v="2017-07-06T00:00:00"/>
    <n v="2017"/>
    <x v="13"/>
    <s v="R"/>
    <s v="RS"/>
    <x v="7"/>
    <s v="LAS"/>
    <s v="H"/>
    <n v="5"/>
    <n v="3"/>
    <n v="2"/>
    <n v="-2"/>
    <n v="16"/>
    <n v="-16"/>
    <n v="1700.5960521414388"/>
    <n v="1662.3058850571852"/>
    <n v="0.70851147113487711"/>
    <n v="88"/>
    <n v="77"/>
    <n v="0"/>
    <n v="11"/>
    <n v="1"/>
    <n v="0.42623544815182712"/>
    <n v="1"/>
    <n v="73.900000000000006"/>
    <n v="73.900000000000006"/>
    <n v="9.1815387617905468"/>
    <n v="1709.7775909032293"/>
    <n v="1"/>
    <n v="0"/>
    <n v="0"/>
    <n v="0"/>
    <n v="0"/>
    <n v="0"/>
    <n v="0"/>
    <n v="0"/>
    <n v="0"/>
    <n v="0"/>
  </r>
  <r>
    <d v="2017-07-06T00:00:00"/>
    <n v="2017"/>
    <x v="14"/>
    <s v="R"/>
    <s v="RS"/>
    <x v="5"/>
    <s v="SEA"/>
    <s v="A"/>
    <n v="3"/>
    <n v="4"/>
    <n v="-1"/>
    <n v="1"/>
    <n v="-8"/>
    <n v="8"/>
    <n v="1481.234403915558"/>
    <n v="1491.0997254388008"/>
    <n v="0.34695847165420246"/>
    <n v="79"/>
    <n v="70"/>
    <n v="0"/>
    <n v="9"/>
    <n v="1"/>
    <n v="0.40266120857430693"/>
    <n v="1"/>
    <n v="73.75"/>
    <n v="73.75"/>
    <n v="19.392893715153686"/>
    <n v="1500.6272976307116"/>
    <n v="1"/>
    <n v="0"/>
    <n v="0"/>
    <n v="0"/>
    <n v="0"/>
    <n v="0"/>
    <n v="0"/>
    <n v="0"/>
    <n v="0"/>
    <n v="0"/>
  </r>
  <r>
    <d v="2017-07-06T00:00:00"/>
    <n v="2017"/>
    <x v="15"/>
    <s v="R"/>
    <s v="RS"/>
    <x v="2"/>
    <s v="NYL"/>
    <s v="H"/>
    <n v="4"/>
    <n v="3"/>
    <n v="1"/>
    <n v="-1"/>
    <n v="8"/>
    <n v="-8"/>
    <n v="1491.0997254388008"/>
    <n v="1481.234403915558"/>
    <n v="0.65304152834579743"/>
    <n v="70"/>
    <n v="79"/>
    <n v="0"/>
    <n v="-9"/>
    <n v="0"/>
    <n v="0.40266120857430693"/>
    <n v="1"/>
    <n v="73.599999999999994"/>
    <n v="73.599999999999994"/>
    <n v="-19.353450541495743"/>
    <n v="1471.7462748973051"/>
    <n v="0"/>
    <n v="1"/>
    <n v="0"/>
    <n v="0"/>
    <n v="0"/>
    <n v="0"/>
    <n v="0"/>
    <n v="0"/>
    <n v="0"/>
    <n v="0"/>
  </r>
  <r>
    <d v="2017-07-07T00:00:00"/>
    <n v="2017"/>
    <x v="15"/>
    <s v="R"/>
    <s v="RS"/>
    <x v="10"/>
    <s v="ATL"/>
    <s v="A"/>
    <n v="5"/>
    <n v="1"/>
    <n v="4"/>
    <n v="-4"/>
    <n v="16"/>
    <n v="-16"/>
    <n v="1468.1512001035499"/>
    <n v="1452.3175251591078"/>
    <n v="0.44813965499454939"/>
    <n v="68"/>
    <n v="89"/>
    <n v="0"/>
    <n v="-21"/>
    <n v="0"/>
    <n v="0.58091132190195249"/>
    <n v="1"/>
    <n v="73.599999999999994"/>
    <n v="73.599999999999994"/>
    <n v="-19.160243794336246"/>
    <n v="1448.9909563092135"/>
    <n v="0"/>
    <n v="1"/>
    <n v="0"/>
    <n v="0"/>
    <n v="0"/>
    <n v="0"/>
    <n v="0"/>
    <n v="0"/>
    <n v="0"/>
    <n v="0"/>
  </r>
  <r>
    <d v="2017-07-07T00:00:00"/>
    <n v="2017"/>
    <x v="14"/>
    <s v="R"/>
    <s v="RS"/>
    <x v="0"/>
    <s v="IND"/>
    <s v="H"/>
    <n v="1"/>
    <n v="5"/>
    <n v="-4"/>
    <n v="4"/>
    <n v="-16"/>
    <n v="16"/>
    <n v="1452.3175251591078"/>
    <n v="1468.1512001035499"/>
    <n v="0.55186034500545056"/>
    <n v="89"/>
    <n v="68"/>
    <n v="0"/>
    <n v="21"/>
    <n v="1"/>
    <n v="0.58091132190195249"/>
    <n v="1"/>
    <n v="73.75"/>
    <n v="73.75"/>
    <n v="19.199293204243187"/>
    <n v="1471.5168183633509"/>
    <n v="1"/>
    <n v="0"/>
    <n v="0"/>
    <n v="0"/>
    <n v="0"/>
    <n v="0"/>
    <n v="0"/>
    <n v="0"/>
    <n v="0"/>
    <n v="0"/>
  </r>
  <r>
    <d v="2017-07-07T00:00:00"/>
    <n v="2017"/>
    <x v="14"/>
    <s v="R"/>
    <s v="RS"/>
    <x v="9"/>
    <s v="SAS"/>
    <s v="A"/>
    <n v="1"/>
    <n v="1"/>
    <n v="0"/>
    <n v="0"/>
    <n v="0"/>
    <n v="0"/>
    <n v="1531.9859014748956"/>
    <n v="1286.8196404657504"/>
    <n v="0.71661809399082788"/>
    <n v="92"/>
    <n v="77"/>
    <n v="0"/>
    <n v="15"/>
    <n v="1"/>
    <n v="0.41754201570769828"/>
    <n v="1"/>
    <n v="73.75"/>
    <n v="73.75"/>
    <n v="8.7263841034492433"/>
    <n v="1540.7122855783448"/>
    <n v="1"/>
    <n v="0"/>
    <n v="0"/>
    <n v="0"/>
    <n v="0"/>
    <n v="0"/>
    <n v="0"/>
    <n v="0"/>
    <n v="0"/>
    <n v="0"/>
  </r>
  <r>
    <d v="2017-07-07T00:00:00"/>
    <n v="2017"/>
    <x v="16"/>
    <s v="R"/>
    <s v="RS"/>
    <x v="4"/>
    <s v="PHX"/>
    <s v="H"/>
    <n v="1"/>
    <n v="1"/>
    <n v="0"/>
    <n v="0"/>
    <n v="0"/>
    <n v="0"/>
    <n v="1286.8196404657504"/>
    <n v="1531.9859014748956"/>
    <n v="0.28338190600917212"/>
    <n v="77"/>
    <n v="92"/>
    <n v="0"/>
    <n v="-15"/>
    <n v="0"/>
    <n v="0.41754201570769828"/>
    <n v="1"/>
    <n v="73.45"/>
    <n v="73.45"/>
    <n v="-8.6908869477741959"/>
    <n v="1278.1287535179761"/>
    <n v="0"/>
    <n v="1"/>
    <n v="0"/>
    <n v="0"/>
    <n v="0"/>
    <n v="0"/>
    <n v="0"/>
    <n v="0"/>
    <n v="0"/>
    <n v="0"/>
  </r>
  <r>
    <d v="2017-07-08T00:00:00"/>
    <n v="2017"/>
    <x v="14"/>
    <s v="R"/>
    <s v="RS"/>
    <x v="7"/>
    <s v="CHI"/>
    <s v="A"/>
    <n v="1"/>
    <n v="7"/>
    <n v="-6"/>
    <n v="6"/>
    <n v="-16"/>
    <n v="16"/>
    <n v="1709.7775909032293"/>
    <n v="1369.2417729959777"/>
    <n v="0.78457545957717822"/>
    <n v="76"/>
    <n v="100"/>
    <n v="0"/>
    <n v="-24"/>
    <n v="0"/>
    <n v="0.48951612067170119"/>
    <n v="1"/>
    <n v="73.75"/>
    <n v="73.75"/>
    <n v="-28.324597231799761"/>
    <n v="1681.4529936714296"/>
    <n v="0"/>
    <n v="1"/>
    <n v="0"/>
    <n v="0"/>
    <n v="0"/>
    <n v="0"/>
    <n v="0"/>
    <n v="0"/>
    <n v="0"/>
    <n v="0"/>
  </r>
  <r>
    <d v="2017-07-08T00:00:00"/>
    <n v="2017"/>
    <x v="15"/>
    <s v="R"/>
    <s v="RS"/>
    <x v="6"/>
    <s v="MIN"/>
    <s v="H"/>
    <n v="7"/>
    <n v="1"/>
    <n v="6"/>
    <n v="-6"/>
    <n v="16"/>
    <n v="-16"/>
    <n v="1369.2417729959777"/>
    <n v="1709.7775909032293"/>
    <n v="0.2154245404228218"/>
    <n v="100"/>
    <n v="76"/>
    <n v="0"/>
    <n v="24"/>
    <n v="1"/>
    <n v="0.48951612067170119"/>
    <n v="1"/>
    <n v="73.599999999999994"/>
    <n v="73.599999999999994"/>
    <n v="28.266987881497787"/>
    <n v="1397.5087608774754"/>
    <n v="1"/>
    <n v="0"/>
    <n v="0"/>
    <n v="0"/>
    <n v="0"/>
    <n v="0"/>
    <n v="0"/>
    <n v="0"/>
    <n v="0"/>
    <n v="0"/>
  </r>
  <r>
    <d v="2017-07-08T00:00:00"/>
    <n v="2017"/>
    <x v="17"/>
    <s v="R"/>
    <s v="RS"/>
    <x v="11"/>
    <s v="CON"/>
    <s v="A"/>
    <n v="2"/>
    <n v="2"/>
    <n v="0"/>
    <n v="0"/>
    <n v="0"/>
    <n v="0"/>
    <n v="1547.0387851681771"/>
    <n v="1557.5146309885629"/>
    <n v="0.36729319974953012"/>
    <n v="92"/>
    <n v="96"/>
    <n v="0"/>
    <n v="-4"/>
    <n v="0"/>
    <n v="0.30873749622932078"/>
    <n v="1"/>
    <n v="73.3"/>
    <n v="73.3"/>
    <n v="-8.3120135045707944"/>
    <n v="1538.7267716636063"/>
    <n v="0"/>
    <n v="1"/>
    <n v="0"/>
    <n v="0"/>
    <n v="0"/>
    <n v="0"/>
    <n v="0"/>
    <n v="0"/>
    <n v="0"/>
    <n v="0"/>
  </r>
  <r>
    <d v="2017-07-08T00:00:00"/>
    <n v="2017"/>
    <x v="16"/>
    <s v="R"/>
    <s v="RS"/>
    <x v="1"/>
    <s v="WAS"/>
    <s v="H"/>
    <n v="2"/>
    <n v="2"/>
    <n v="0"/>
    <n v="0"/>
    <n v="0"/>
    <n v="0"/>
    <n v="1557.5146309885629"/>
    <n v="1547.0387851681771"/>
    <n v="0.63270680025046977"/>
    <n v="96"/>
    <n v="92"/>
    <n v="0"/>
    <n v="4"/>
    <n v="1"/>
    <n v="0.30873749622932078"/>
    <n v="1"/>
    <n v="73.45"/>
    <n v="73.45"/>
    <n v="8.3290230820017079"/>
    <n v="1565.8436540705645"/>
    <n v="1"/>
    <n v="0"/>
    <n v="0"/>
    <n v="0"/>
    <n v="0"/>
    <n v="0"/>
    <n v="0"/>
    <n v="0"/>
    <n v="0"/>
    <n v="0"/>
  </r>
  <r>
    <d v="2017-07-08T00:00:00"/>
    <n v="2017"/>
    <x v="16"/>
    <s v="R"/>
    <s v="RS"/>
    <x v="3"/>
    <s v="SEA"/>
    <s v="A"/>
    <n v="1"/>
    <n v="1"/>
    <n v="0"/>
    <n v="0"/>
    <n v="0"/>
    <n v="0"/>
    <n v="1653.1616191185142"/>
    <n v="1471.7462748973051"/>
    <n v="0.63663017543888101"/>
    <n v="69"/>
    <n v="81"/>
    <n v="0"/>
    <n v="-12"/>
    <n v="0"/>
    <n v="0.39622792231284176"/>
    <n v="1"/>
    <n v="73.45"/>
    <n v="73.45"/>
    <n v="-18.527810367057082"/>
    <n v="1634.6338087514571"/>
    <n v="0"/>
    <n v="1"/>
    <n v="0"/>
    <n v="0"/>
    <n v="0"/>
    <n v="0"/>
    <n v="0"/>
    <n v="0"/>
    <n v="0"/>
    <n v="0"/>
  </r>
  <r>
    <d v="2017-07-08T00:00:00"/>
    <n v="2017"/>
    <x v="16"/>
    <s v="R"/>
    <s v="RS"/>
    <x v="2"/>
    <s v="LAS"/>
    <s v="H"/>
    <n v="1"/>
    <n v="1"/>
    <n v="0"/>
    <n v="0"/>
    <n v="0"/>
    <n v="0"/>
    <n v="1471.7462748973051"/>
    <n v="1653.1616191185142"/>
    <n v="0.36336982456111899"/>
    <n v="81"/>
    <n v="69"/>
    <n v="0"/>
    <n v="12"/>
    <n v="1"/>
    <n v="0.39622792231284176"/>
    <n v="1"/>
    <n v="73.45"/>
    <n v="73.45"/>
    <n v="18.527810367057082"/>
    <n v="1490.2740852643622"/>
    <n v="1"/>
    <n v="0"/>
    <n v="0"/>
    <n v="0"/>
    <n v="0"/>
    <n v="0"/>
    <n v="0"/>
    <n v="0"/>
    <n v="0"/>
    <n v="0"/>
  </r>
  <r>
    <d v="2017-07-09T00:00:00"/>
    <n v="2017"/>
    <x v="18"/>
    <s v="R"/>
    <s v="RS"/>
    <x v="8"/>
    <s v="ATL"/>
    <s v="A"/>
    <n v="3"/>
    <n v="1"/>
    <n v="2"/>
    <n v="-2"/>
    <n v="16"/>
    <n v="-16"/>
    <n v="1452.0385460364141"/>
    <n v="1471.5168183633509"/>
    <n v="0.39856161024523196"/>
    <n v="78"/>
    <n v="98"/>
    <n v="0"/>
    <n v="-20"/>
    <n v="0"/>
    <n v="0.56570489723793749"/>
    <n v="1"/>
    <n v="73.150000000000006"/>
    <n v="73.150000000000006"/>
    <n v="-16.493002836188921"/>
    <n v="1435.5455432002252"/>
    <n v="0"/>
    <n v="1"/>
    <n v="0"/>
    <n v="0"/>
    <n v="0"/>
    <n v="0"/>
    <n v="0"/>
    <n v="0"/>
    <n v="0"/>
    <n v="0"/>
  </r>
  <r>
    <d v="2017-07-09T00:00:00"/>
    <n v="2017"/>
    <x v="15"/>
    <s v="R"/>
    <s v="RS"/>
    <x v="0"/>
    <s v="DAL"/>
    <s v="H"/>
    <n v="1"/>
    <n v="3"/>
    <n v="-2"/>
    <n v="2"/>
    <n v="-16"/>
    <n v="16"/>
    <n v="1471.5168183633509"/>
    <n v="1452.0385460364141"/>
    <n v="0.60143838975476804"/>
    <n v="98"/>
    <n v="78"/>
    <n v="0"/>
    <n v="20"/>
    <n v="1"/>
    <n v="0.56570489723793749"/>
    <n v="1"/>
    <n v="73.599999999999994"/>
    <n v="73.599999999999994"/>
    <n v="16.594463550833964"/>
    <n v="1488.1112819141849"/>
    <n v="1"/>
    <n v="0"/>
    <n v="0"/>
    <n v="0"/>
    <n v="0"/>
    <n v="0"/>
    <n v="0"/>
    <n v="0"/>
    <n v="0"/>
    <n v="0"/>
  </r>
  <r>
    <d v="2017-07-09T00:00:00"/>
    <n v="2017"/>
    <x v="15"/>
    <s v="R"/>
    <s v="RS"/>
    <x v="5"/>
    <s v="PHX"/>
    <s v="A"/>
    <n v="2"/>
    <n v="1"/>
    <n v="1"/>
    <n v="-1"/>
    <n v="8"/>
    <n v="-8"/>
    <n v="1500.6272976307116"/>
    <n v="1540.7122855783448"/>
    <n v="0.34928416936690526"/>
    <n v="69"/>
    <n v="81"/>
    <n v="0"/>
    <n v="-12"/>
    <n v="0"/>
    <n v="0.44138533811116726"/>
    <n v="1"/>
    <n v="73.599999999999994"/>
    <n v="73.599999999999994"/>
    <n v="-11.34683186379668"/>
    <n v="1489.2804657669149"/>
    <n v="0"/>
    <n v="1"/>
    <n v="0"/>
    <n v="0"/>
    <n v="0"/>
    <n v="0"/>
    <n v="0"/>
    <n v="0"/>
    <n v="0"/>
    <n v="0"/>
  </r>
  <r>
    <d v="2017-07-09T00:00:00"/>
    <n v="2017"/>
    <x v="15"/>
    <s v="R"/>
    <s v="RS"/>
    <x v="9"/>
    <s v="NYL"/>
    <s v="H"/>
    <n v="1"/>
    <n v="2"/>
    <n v="-1"/>
    <n v="1"/>
    <n v="-8"/>
    <n v="8"/>
    <n v="1540.7122855783448"/>
    <n v="1500.6272976307116"/>
    <n v="0.65071583063309479"/>
    <n v="81"/>
    <n v="69"/>
    <n v="0"/>
    <n v="12"/>
    <n v="1"/>
    <n v="0.44138533811116726"/>
    <n v="1"/>
    <n v="73.599999999999994"/>
    <n v="73.599999999999994"/>
    <n v="11.346831863796679"/>
    <n v="1552.0591174421415"/>
    <n v="1"/>
    <n v="0"/>
    <n v="0"/>
    <n v="0"/>
    <n v="0"/>
    <n v="0"/>
    <n v="0"/>
    <n v="0"/>
    <n v="0"/>
    <n v="0"/>
  </r>
  <r>
    <d v="2017-07-12T00:00:00"/>
    <n v="2017"/>
    <x v="19"/>
    <s v="R"/>
    <s v="RS"/>
    <x v="8"/>
    <s v="CHI"/>
    <s v="A"/>
    <n v="2"/>
    <n v="3"/>
    <n v="-1"/>
    <n v="1"/>
    <n v="-8"/>
    <n v="8"/>
    <n v="1435.5455432002252"/>
    <n v="1397.5087608774754"/>
    <n v="0.41176131260500592"/>
    <n v="84"/>
    <n v="90"/>
    <n v="0"/>
    <n v="-6"/>
    <n v="0"/>
    <n v="0.34048819819256188"/>
    <n v="1"/>
    <n v="73"/>
    <n v="73"/>
    <n v="-10.234590321242635"/>
    <n v="1425.3109528789826"/>
    <n v="0"/>
    <n v="1"/>
    <n v="0"/>
    <n v="0"/>
    <n v="0"/>
    <n v="0"/>
    <n v="0"/>
    <n v="0"/>
    <n v="0"/>
    <n v="0"/>
  </r>
  <r>
    <d v="2017-07-12T00:00:00"/>
    <n v="2017"/>
    <x v="16"/>
    <s v="R"/>
    <s v="RS"/>
    <x v="6"/>
    <s v="DAL"/>
    <s v="H"/>
    <n v="3"/>
    <n v="2"/>
    <n v="1"/>
    <n v="-1"/>
    <n v="8"/>
    <n v="-8"/>
    <n v="1397.5087608774754"/>
    <n v="1435.5455432002252"/>
    <n v="0.58823868739499396"/>
    <n v="90"/>
    <n v="84"/>
    <n v="0"/>
    <n v="6"/>
    <n v="1"/>
    <n v="0.34048819819256188"/>
    <n v="1"/>
    <n v="73.45"/>
    <n v="73.45"/>
    <n v="10.297680261579067"/>
    <n v="1407.8064411390544"/>
    <n v="1"/>
    <n v="0"/>
    <n v="0"/>
    <n v="0"/>
    <n v="0"/>
    <n v="0"/>
    <n v="0"/>
    <n v="0"/>
    <n v="0"/>
    <n v="0"/>
  </r>
  <r>
    <d v="2017-07-12T00:00:00"/>
    <n v="2017"/>
    <x v="17"/>
    <s v="R"/>
    <s v="RS"/>
    <x v="4"/>
    <s v="IND"/>
    <s v="A"/>
    <n v="4"/>
    <n v="4"/>
    <n v="0"/>
    <n v="0"/>
    <n v="0"/>
    <n v="0"/>
    <n v="1278.1287535179761"/>
    <n v="1448.9909563092135"/>
    <n v="0.18738307322826181"/>
    <n v="79"/>
    <n v="72"/>
    <n v="0"/>
    <n v="7"/>
    <n v="1"/>
    <n v="0.32397757125427024"/>
    <n v="1"/>
    <n v="73.3"/>
    <n v="73.3"/>
    <n v="19.297665953068719"/>
    <n v="1297.4264194710447"/>
    <n v="1"/>
    <n v="0"/>
    <n v="0"/>
    <n v="0"/>
    <n v="0"/>
    <n v="0"/>
    <n v="0"/>
    <n v="0"/>
    <n v="0"/>
    <n v="0"/>
  </r>
  <r>
    <d v="2017-07-12T00:00:00"/>
    <n v="2017"/>
    <x v="16"/>
    <s v="R"/>
    <s v="RS"/>
    <x v="10"/>
    <s v="SAS"/>
    <s v="H"/>
    <n v="4"/>
    <n v="4"/>
    <n v="0"/>
    <n v="0"/>
    <n v="0"/>
    <n v="0"/>
    <n v="1448.9909563092135"/>
    <n v="1278.1287535179761"/>
    <n v="0.81261692677173825"/>
    <n v="72"/>
    <n v="79"/>
    <n v="0"/>
    <n v="-7"/>
    <n v="0"/>
    <n v="0.32397757125427024"/>
    <n v="1"/>
    <n v="73.45"/>
    <n v="73.45"/>
    <n v="-19.337156401813065"/>
    <n v="1429.6537999074005"/>
    <n v="0"/>
    <n v="1"/>
    <n v="0"/>
    <n v="0"/>
    <n v="0"/>
    <n v="0"/>
    <n v="0"/>
    <n v="0"/>
    <n v="0"/>
    <n v="0"/>
  </r>
  <r>
    <d v="2017-07-12T00:00:00"/>
    <n v="2017"/>
    <x v="16"/>
    <s v="R"/>
    <s v="RS"/>
    <x v="0"/>
    <s v="PHX"/>
    <s v="A"/>
    <n v="2"/>
    <n v="2"/>
    <n v="0"/>
    <n v="0"/>
    <n v="0"/>
    <n v="0"/>
    <n v="1488.1112819141849"/>
    <n v="1552.0591174421415"/>
    <n v="0.29908554689915834"/>
    <n v="84"/>
    <n v="89"/>
    <n v="0"/>
    <n v="-5"/>
    <n v="0"/>
    <n v="0.31497120321204247"/>
    <n v="1"/>
    <n v="73.45"/>
    <n v="73.45"/>
    <n v="-6.9192349241782267"/>
    <n v="1481.1920469900067"/>
    <n v="0"/>
    <n v="1"/>
    <n v="0"/>
    <n v="0"/>
    <n v="0"/>
    <n v="0"/>
    <n v="0"/>
    <n v="0"/>
    <n v="0"/>
    <n v="0"/>
  </r>
  <r>
    <d v="2017-07-12T00:00:00"/>
    <n v="2017"/>
    <x v="16"/>
    <s v="R"/>
    <s v="RS"/>
    <x v="9"/>
    <s v="ATL"/>
    <s v="H"/>
    <n v="2"/>
    <n v="2"/>
    <n v="0"/>
    <n v="0"/>
    <n v="0"/>
    <n v="0"/>
    <n v="1552.0591174421415"/>
    <n v="1488.1112819141849"/>
    <n v="0.70091445310084166"/>
    <n v="89"/>
    <n v="84"/>
    <n v="0"/>
    <n v="5"/>
    <n v="1"/>
    <n v="0.31497120321204247"/>
    <n v="1"/>
    <n v="73.45"/>
    <n v="73.45"/>
    <n v="6.9192349241782267"/>
    <n v="1558.9783523663198"/>
    <n v="1"/>
    <n v="0"/>
    <n v="0"/>
    <n v="0"/>
    <n v="0"/>
    <n v="0"/>
    <n v="0"/>
    <n v="0"/>
    <n v="0"/>
    <n v="0"/>
  </r>
  <r>
    <d v="2017-07-12T00:00:00"/>
    <n v="2017"/>
    <x v="17"/>
    <s v="R"/>
    <s v="RS"/>
    <x v="1"/>
    <s v="SEA"/>
    <s v="A"/>
    <n v="3"/>
    <n v="3"/>
    <n v="0"/>
    <n v="0"/>
    <n v="0"/>
    <n v="0"/>
    <n v="1565.8436540705645"/>
    <n v="1490.2740852643622"/>
    <n v="0.48787001477964809"/>
    <n v="83"/>
    <n v="79"/>
    <n v="0"/>
    <n v="4"/>
    <n v="1"/>
    <n v="0.29298228103263452"/>
    <n v="1"/>
    <n v="73.3"/>
    <n v="73.3"/>
    <n v="10.998299324996493"/>
    <n v="1576.8419533955609"/>
    <n v="1"/>
    <n v="0"/>
    <n v="0"/>
    <n v="0"/>
    <n v="0"/>
    <n v="0"/>
    <n v="0"/>
    <n v="0"/>
    <n v="0"/>
    <n v="0"/>
  </r>
  <r>
    <d v="2017-07-12T00:00:00"/>
    <n v="2017"/>
    <x v="17"/>
    <s v="R"/>
    <s v="RS"/>
    <x v="2"/>
    <s v="CON"/>
    <s v="H"/>
    <n v="3"/>
    <n v="3"/>
    <n v="0"/>
    <n v="0"/>
    <n v="0"/>
    <n v="0"/>
    <n v="1490.2740852643622"/>
    <n v="1565.8436540705645"/>
    <n v="0.51212998522035191"/>
    <n v="79"/>
    <n v="83"/>
    <n v="0"/>
    <n v="-4"/>
    <n v="0"/>
    <n v="0.29298228103263452"/>
    <n v="1"/>
    <n v="73.3"/>
    <n v="73.3"/>
    <n v="-10.998299324996493"/>
    <n v="1479.2757859393657"/>
    <n v="0"/>
    <n v="1"/>
    <n v="0"/>
    <n v="0"/>
    <n v="0"/>
    <n v="0"/>
    <n v="0"/>
    <n v="0"/>
    <n v="0"/>
    <n v="0"/>
  </r>
  <r>
    <d v="2017-07-13T00:00:00"/>
    <n v="2017"/>
    <x v="18"/>
    <s v="R"/>
    <s v="RS"/>
    <x v="1"/>
    <s v="LAS"/>
    <s v="A"/>
    <n v="0"/>
    <n v="4"/>
    <n v="-4"/>
    <n v="4"/>
    <n v="-16"/>
    <n v="16"/>
    <n v="1576.8419533955609"/>
    <n v="1634.6338087514571"/>
    <n v="0.26885760637820127"/>
    <n v="77"/>
    <n v="87"/>
    <n v="0"/>
    <n v="-10"/>
    <n v="0"/>
    <n v="0.40368812775868207"/>
    <n v="1"/>
    <n v="73.150000000000006"/>
    <n v="73.150000000000006"/>
    <n v="-7.9393077274951391"/>
    <n v="1568.9026456680658"/>
    <n v="0"/>
    <n v="1"/>
    <n v="0"/>
    <n v="0"/>
    <n v="0"/>
    <n v="0"/>
    <n v="0"/>
    <n v="0"/>
    <n v="0"/>
    <n v="0"/>
  </r>
  <r>
    <d v="2017-07-13T00:00:00"/>
    <n v="2017"/>
    <x v="17"/>
    <s v="R"/>
    <s v="RS"/>
    <x v="3"/>
    <s v="CON"/>
    <s v="H"/>
    <n v="4"/>
    <n v="0"/>
    <n v="4"/>
    <n v="-4"/>
    <n v="16"/>
    <n v="-16"/>
    <n v="1634.6338087514571"/>
    <n v="1576.8419533955609"/>
    <n v="0.73114239362179867"/>
    <n v="87"/>
    <n v="77"/>
    <n v="0"/>
    <n v="10"/>
    <n v="1"/>
    <n v="0.40368812775868207"/>
    <n v="1"/>
    <n v="73.3"/>
    <n v="73.3"/>
    <n v="7.9555879210580152"/>
    <n v="1642.589396672515"/>
    <n v="1"/>
    <n v="0"/>
    <n v="0"/>
    <n v="0"/>
    <n v="0"/>
    <n v="0"/>
    <n v="0"/>
    <n v="0"/>
    <n v="0"/>
    <n v="0"/>
  </r>
  <r>
    <d v="2017-07-14T00:00:00"/>
    <n v="2017"/>
    <x v="18"/>
    <s v="R"/>
    <s v="RS"/>
    <x v="11"/>
    <s v="IND"/>
    <s v="A"/>
    <n v="5"/>
    <n v="1"/>
    <n v="4"/>
    <n v="-4"/>
    <n v="16"/>
    <n v="-16"/>
    <n v="1538.7267716636063"/>
    <n v="1429.6537999074005"/>
    <n v="0.5814037131126919"/>
    <n v="72"/>
    <n v="58"/>
    <n v="0"/>
    <n v="14"/>
    <n v="1"/>
    <n v="0.44698021948763655"/>
    <n v="1"/>
    <n v="73.150000000000006"/>
    <n v="73.150000000000006"/>
    <n v="13.686676632869144"/>
    <n v="1552.4134482964755"/>
    <n v="1"/>
    <n v="0"/>
    <n v="0"/>
    <n v="0"/>
    <n v="0"/>
    <n v="0"/>
    <n v="0"/>
    <n v="0"/>
    <n v="0"/>
    <n v="0"/>
  </r>
  <r>
    <d v="2017-07-14T00:00:00"/>
    <n v="2017"/>
    <x v="17"/>
    <s v="R"/>
    <s v="RS"/>
    <x v="10"/>
    <s v="WAS"/>
    <s v="H"/>
    <n v="1"/>
    <n v="5"/>
    <n v="-4"/>
    <n v="4"/>
    <n v="-16"/>
    <n v="16"/>
    <n v="1429.6537999074005"/>
    <n v="1538.7267716636063"/>
    <n v="0.41859628688730799"/>
    <n v="58"/>
    <n v="72"/>
    <n v="0"/>
    <n v="-14"/>
    <n v="0"/>
    <n v="0.44698021948763655"/>
    <n v="1"/>
    <n v="73.3"/>
    <n v="73.3"/>
    <n v="-13.714742271897578"/>
    <n v="1415.9390576355029"/>
    <n v="0"/>
    <n v="1"/>
    <n v="0"/>
    <n v="0"/>
    <n v="0"/>
    <n v="0"/>
    <n v="0"/>
    <n v="0"/>
    <n v="0"/>
    <n v="0"/>
  </r>
  <r>
    <d v="2017-07-14T00:00:00"/>
    <n v="2017"/>
    <x v="17"/>
    <s v="R"/>
    <s v="RS"/>
    <x v="6"/>
    <s v="NYL"/>
    <s v="A"/>
    <n v="1"/>
    <n v="4"/>
    <n v="-3"/>
    <n v="3"/>
    <n v="-16"/>
    <n v="16"/>
    <n v="1407.8064411390544"/>
    <n v="1489.2804657669149"/>
    <n v="0.24291722181991027"/>
    <n v="78"/>
    <n v="68"/>
    <n v="0"/>
    <n v="10"/>
    <n v="1"/>
    <n v="0.39622780441936212"/>
    <n v="1"/>
    <n v="73.3"/>
    <n v="73.3"/>
    <n v="21.988332202315178"/>
    <n v="1429.7947733413696"/>
    <n v="1"/>
    <n v="0"/>
    <n v="0"/>
    <n v="0"/>
    <n v="0"/>
    <n v="0"/>
    <n v="0"/>
    <n v="0"/>
    <n v="0"/>
    <n v="0"/>
  </r>
  <r>
    <d v="2017-07-14T00:00:00"/>
    <n v="2017"/>
    <x v="16"/>
    <s v="R"/>
    <s v="RS"/>
    <x v="5"/>
    <s v="CHI"/>
    <s v="H"/>
    <n v="4"/>
    <n v="1"/>
    <n v="3"/>
    <n v="-3"/>
    <n v="16"/>
    <n v="-16"/>
    <n v="1489.2804657669149"/>
    <n v="1407.8064411390544"/>
    <n v="0.75708277818008973"/>
    <n v="68"/>
    <n v="78"/>
    <n v="0"/>
    <n v="-10"/>
    <n v="0"/>
    <n v="0.39622780441936212"/>
    <n v="1"/>
    <n v="73.45"/>
    <n v="73.45"/>
    <n v="-22.033328789359484"/>
    <n v="1467.2471369775553"/>
    <n v="0"/>
    <n v="1"/>
    <n v="0"/>
    <n v="0"/>
    <n v="0"/>
    <n v="0"/>
    <n v="0"/>
    <n v="0"/>
    <n v="0"/>
    <n v="0"/>
  </r>
  <r>
    <d v="2017-07-14T00:00:00"/>
    <n v="2017"/>
    <x v="15"/>
    <s v="R"/>
    <s v="RS"/>
    <x v="7"/>
    <s v="PHX"/>
    <s v="A"/>
    <n v="5"/>
    <n v="1"/>
    <n v="4"/>
    <n v="-4"/>
    <n v="16"/>
    <n v="-16"/>
    <n v="1681.4529936714296"/>
    <n v="1558.9783523663198"/>
    <n v="0.6000526879990753"/>
    <n v="88"/>
    <n v="71"/>
    <n v="0"/>
    <n v="17"/>
    <n v="1"/>
    <n v="0.48313250246360551"/>
    <n v="1"/>
    <n v="73.599999999999994"/>
    <n v="73.599999999999994"/>
    <n v="14.221547363564095"/>
    <n v="1695.6745410349936"/>
    <n v="1"/>
    <n v="0"/>
    <n v="0"/>
    <n v="0"/>
    <n v="0"/>
    <n v="0"/>
    <n v="0"/>
    <n v="0"/>
    <n v="0"/>
    <n v="0"/>
  </r>
  <r>
    <d v="2017-07-14T00:00:00"/>
    <n v="2017"/>
    <x v="17"/>
    <s v="R"/>
    <s v="RS"/>
    <x v="9"/>
    <s v="MIN"/>
    <s v="H"/>
    <n v="1"/>
    <n v="5"/>
    <n v="-4"/>
    <n v="4"/>
    <n v="-16"/>
    <n v="16"/>
    <n v="1558.9783523663198"/>
    <n v="1681.4529936714296"/>
    <n v="0.3999473120009247"/>
    <n v="71"/>
    <n v="88"/>
    <n v="0"/>
    <n v="-17"/>
    <n v="0"/>
    <n v="0.48313250246360551"/>
    <n v="1"/>
    <n v="73.3"/>
    <n v="73.3"/>
    <n v="-14.163579099853917"/>
    <n v="1544.8147732664659"/>
    <n v="0"/>
    <n v="1"/>
    <n v="0"/>
    <n v="0"/>
    <n v="0"/>
    <n v="0"/>
    <n v="0"/>
    <n v="0"/>
    <n v="0"/>
    <n v="0"/>
  </r>
  <r>
    <d v="2017-07-15T00:00:00"/>
    <n v="2017"/>
    <x v="17"/>
    <s v="R"/>
    <s v="RS"/>
    <x v="0"/>
    <s v="SEA"/>
    <s v="A"/>
    <n v="2"/>
    <n v="2"/>
    <n v="0"/>
    <n v="0"/>
    <n v="0"/>
    <n v="0"/>
    <n v="1481.1920469900067"/>
    <n v="1479.2757859393657"/>
    <n v="0.38402186322535992"/>
    <n v="84"/>
    <n v="90"/>
    <n v="0"/>
    <n v="-6"/>
    <n v="0"/>
    <n v="0.35072070074225342"/>
    <n v="1"/>
    <n v="73.3"/>
    <n v="73.3"/>
    <n v="-9.8723677639555376"/>
    <n v="1471.3196792260512"/>
    <n v="0"/>
    <n v="1"/>
    <n v="0"/>
    <n v="0"/>
    <n v="0"/>
    <n v="0"/>
    <n v="0"/>
    <n v="0"/>
    <n v="0"/>
    <n v="0"/>
  </r>
  <r>
    <d v="2017-07-15T00:00:00"/>
    <n v="2017"/>
    <x v="18"/>
    <s v="R"/>
    <s v="RS"/>
    <x v="2"/>
    <s v="ATL"/>
    <s v="H"/>
    <n v="2"/>
    <n v="2"/>
    <n v="0"/>
    <n v="0"/>
    <n v="0"/>
    <n v="0"/>
    <n v="1479.2757859393657"/>
    <n v="1481.1920469900067"/>
    <n v="0.61597813677463997"/>
    <n v="90"/>
    <n v="84"/>
    <n v="0"/>
    <n v="6"/>
    <n v="1"/>
    <n v="0.35072070074225342"/>
    <n v="1"/>
    <n v="73.150000000000006"/>
    <n v="73.150000000000006"/>
    <n v="9.8521651014099305"/>
    <n v="1489.1279510407758"/>
    <n v="1"/>
    <n v="0"/>
    <n v="0"/>
    <n v="0"/>
    <n v="0"/>
    <n v="0"/>
    <n v="0"/>
    <n v="0"/>
    <n v="0"/>
    <n v="0"/>
  </r>
  <r>
    <d v="2017-07-16T00:00:00"/>
    <n v="2017"/>
    <x v="18"/>
    <s v="R"/>
    <s v="RS"/>
    <x v="4"/>
    <s v="CON"/>
    <s v="A"/>
    <n v="3"/>
    <n v="2"/>
    <n v="1"/>
    <n v="-1"/>
    <n v="8"/>
    <n v="-8"/>
    <n v="1297.4264194710447"/>
    <n v="1568.9026456680658"/>
    <n v="0.12409804258982907"/>
    <n v="75"/>
    <n v="89"/>
    <n v="0"/>
    <n v="-14"/>
    <n v="0"/>
    <n v="0.39764809911551807"/>
    <n v="1"/>
    <n v="73.150000000000006"/>
    <n v="73.150000000000006"/>
    <n v="-3.6097587066165264"/>
    <n v="1293.8166607644282"/>
    <n v="0"/>
    <n v="1"/>
    <n v="0"/>
    <n v="0"/>
    <n v="0"/>
    <n v="0"/>
    <n v="0"/>
    <n v="0"/>
    <n v="0"/>
    <n v="0"/>
  </r>
  <r>
    <d v="2017-07-16T00:00:00"/>
    <n v="2017"/>
    <x v="19"/>
    <s v="R"/>
    <s v="RS"/>
    <x v="1"/>
    <s v="SAS"/>
    <s v="H"/>
    <n v="2"/>
    <n v="3"/>
    <n v="-1"/>
    <n v="1"/>
    <n v="-8"/>
    <n v="8"/>
    <n v="1568.9026456680658"/>
    <n v="1297.4264194710447"/>
    <n v="0.87590195741017096"/>
    <n v="89"/>
    <n v="75"/>
    <n v="0"/>
    <n v="14"/>
    <n v="1"/>
    <n v="0.39764809911551807"/>
    <n v="1"/>
    <n v="73"/>
    <n v="73"/>
    <n v="3.6023566040055548"/>
    <n v="1572.5050022720714"/>
    <n v="1"/>
    <n v="0"/>
    <n v="0"/>
    <n v="0"/>
    <n v="0"/>
    <n v="0"/>
    <n v="0"/>
    <n v="0"/>
    <n v="0"/>
    <n v="0"/>
  </r>
  <r>
    <d v="2017-07-16T00:00:00"/>
    <n v="2017"/>
    <x v="18"/>
    <s v="R"/>
    <s v="RS"/>
    <x v="6"/>
    <s v="DAL"/>
    <s v="A"/>
    <n v="1"/>
    <n v="3"/>
    <n v="-2"/>
    <n v="2"/>
    <n v="-16"/>
    <n v="16"/>
    <n v="1429.7947733413696"/>
    <n v="1425.3109528789826"/>
    <n v="0.34480841805623891"/>
    <n v="106"/>
    <n v="112"/>
    <n v="1"/>
    <n v="-6"/>
    <n v="0"/>
    <n v="0.31497577263647286"/>
    <n v="1"/>
    <n v="73.150000000000006"/>
    <n v="73.150000000000006"/>
    <n v="-7.9445506905674605"/>
    <n v="1421.8502226508022"/>
    <n v="0"/>
    <n v="1"/>
    <n v="0"/>
    <n v="0"/>
    <n v="0"/>
    <n v="0"/>
    <n v="0"/>
    <n v="0"/>
    <n v="0"/>
    <n v="0"/>
  </r>
  <r>
    <d v="2017-07-16T00:00:00"/>
    <n v="2017"/>
    <x v="20"/>
    <s v="R"/>
    <s v="RS"/>
    <x v="8"/>
    <s v="CHI"/>
    <s v="H"/>
    <n v="3"/>
    <n v="1"/>
    <n v="2"/>
    <n v="-2"/>
    <n v="16"/>
    <n v="-16"/>
    <n v="1425.3109528789826"/>
    <n v="1429.7947733413696"/>
    <n v="0.65519158194376115"/>
    <n v="112"/>
    <n v="106"/>
    <n v="1"/>
    <n v="6"/>
    <n v="1"/>
    <n v="0.31497577263647286"/>
    <n v="1"/>
    <n v="72.849999999999994"/>
    <n v="72.849999999999994"/>
    <n v="7.9119688012008105"/>
    <n v="1433.2229216801834"/>
    <n v="1"/>
    <n v="0"/>
    <n v="0"/>
    <n v="0"/>
    <n v="0"/>
    <n v="0"/>
    <n v="0"/>
    <n v="0"/>
    <n v="0"/>
    <n v="0"/>
  </r>
  <r>
    <d v="2017-07-16T00:00:00"/>
    <n v="2017"/>
    <x v="18"/>
    <s v="R"/>
    <s v="RS"/>
    <x v="9"/>
    <s v="MIN"/>
    <s v="A"/>
    <n v="1"/>
    <n v="1"/>
    <n v="0"/>
    <n v="0"/>
    <n v="0"/>
    <n v="0"/>
    <n v="1544.8147732664659"/>
    <n v="1695.6745410349936"/>
    <n v="0.20554987547962972"/>
    <n v="66"/>
    <n v="81"/>
    <n v="0"/>
    <n v="-15"/>
    <n v="0"/>
    <n v="0.44669154271379036"/>
    <n v="1"/>
    <n v="73.150000000000006"/>
    <n v="73.150000000000006"/>
    <n v="-6.7164421503788958"/>
    <n v="1538.0983311160869"/>
    <n v="0"/>
    <n v="1"/>
    <n v="0"/>
    <n v="0"/>
    <n v="0"/>
    <n v="0"/>
    <n v="0"/>
    <n v="0"/>
    <n v="0"/>
    <n v="0"/>
  </r>
  <r>
    <d v="2017-07-16T00:00:00"/>
    <n v="2017"/>
    <x v="16"/>
    <s v="R"/>
    <s v="RS"/>
    <x v="7"/>
    <s v="PHX"/>
    <s v="H"/>
    <n v="1"/>
    <n v="1"/>
    <n v="0"/>
    <n v="0"/>
    <n v="0"/>
    <n v="0"/>
    <n v="1695.6745410349936"/>
    <n v="1544.8147732664659"/>
    <n v="0.79445012452037023"/>
    <n v="81"/>
    <n v="66"/>
    <n v="0"/>
    <n v="15"/>
    <n v="1"/>
    <n v="0.44669154271379036"/>
    <n v="1"/>
    <n v="73.45"/>
    <n v="73.45"/>
    <n v="6.7439873676736832"/>
    <n v="1702.4185284026673"/>
    <n v="1"/>
    <n v="0"/>
    <n v="0"/>
    <n v="0"/>
    <n v="0"/>
    <n v="0"/>
    <n v="0"/>
    <n v="0"/>
    <n v="0"/>
    <n v="0"/>
  </r>
  <r>
    <d v="2017-07-16T00:00:00"/>
    <n v="2017"/>
    <x v="19"/>
    <s v="R"/>
    <s v="RS"/>
    <x v="11"/>
    <s v="NYL"/>
    <s v="A"/>
    <n v="1"/>
    <n v="1"/>
    <n v="0"/>
    <n v="0"/>
    <n v="0"/>
    <n v="0"/>
    <n v="1552.4134482964755"/>
    <n v="1467.2471369775553"/>
    <n v="0.50167845060571714"/>
    <n v="55"/>
    <n v="85"/>
    <n v="0"/>
    <n v="-30"/>
    <n v="0"/>
    <n v="0.65687312536494147"/>
    <n v="1"/>
    <n v="73"/>
    <n v="73"/>
    <n v="-24.056353699766174"/>
    <n v="1528.3570945967094"/>
    <n v="0"/>
    <n v="1"/>
    <n v="0"/>
    <n v="0"/>
    <n v="0"/>
    <n v="0"/>
    <n v="0"/>
    <n v="0"/>
    <n v="0"/>
    <n v="0"/>
  </r>
  <r>
    <d v="2017-07-16T00:00:00"/>
    <n v="2017"/>
    <x v="17"/>
    <s v="R"/>
    <s v="RS"/>
    <x v="5"/>
    <s v="WAS"/>
    <s v="H"/>
    <n v="1"/>
    <n v="1"/>
    <n v="0"/>
    <n v="0"/>
    <n v="0"/>
    <n v="0"/>
    <n v="1467.2471369775553"/>
    <n v="1552.4134482964755"/>
    <n v="0.4983215493942828"/>
    <n v="85"/>
    <n v="55"/>
    <n v="0"/>
    <n v="30"/>
    <n v="1"/>
    <n v="0.65687312536494147"/>
    <n v="1"/>
    <n v="73.3"/>
    <n v="73.3"/>
    <n v="24.155215427299463"/>
    <n v="1491.4023524048548"/>
    <n v="1"/>
    <n v="0"/>
    <n v="0"/>
    <n v="0"/>
    <n v="0"/>
    <n v="0"/>
    <n v="0"/>
    <n v="0"/>
    <n v="0"/>
    <n v="0"/>
  </r>
  <r>
    <d v="2017-07-17T00:00:00"/>
    <n v="2017"/>
    <x v="18"/>
    <s v="R"/>
    <s v="RS"/>
    <x v="10"/>
    <s v="LAS"/>
    <s v="A"/>
    <n v="2"/>
    <n v="3"/>
    <n v="-1"/>
    <n v="1"/>
    <n v="-8"/>
    <n v="8"/>
    <n v="1415.9390576355029"/>
    <n v="1642.589396672515"/>
    <n v="0.13234861920739979"/>
    <n v="62"/>
    <n v="80"/>
    <n v="0"/>
    <n v="-18"/>
    <n v="0"/>
    <n v="0.45995903873300897"/>
    <n v="1"/>
    <n v="73.150000000000006"/>
    <n v="73.150000000000006"/>
    <n v="-4.4530021293344371"/>
    <n v="1411.4860555061684"/>
    <n v="0"/>
    <n v="1"/>
    <n v="0"/>
    <n v="0"/>
    <n v="0"/>
    <n v="0"/>
    <n v="0"/>
    <n v="0"/>
    <n v="0"/>
    <n v="0"/>
  </r>
  <r>
    <d v="2017-07-17T00:00:00"/>
    <n v="2017"/>
    <x v="18"/>
    <s v="R"/>
    <s v="RS"/>
    <x v="3"/>
    <s v="IND"/>
    <s v="H"/>
    <n v="3"/>
    <n v="2"/>
    <n v="1"/>
    <n v="-1"/>
    <n v="8"/>
    <n v="-8"/>
    <n v="1642.589396672515"/>
    <n v="1415.9390576355029"/>
    <n v="0.86765138079260018"/>
    <n v="80"/>
    <n v="62"/>
    <n v="0"/>
    <n v="18"/>
    <n v="1"/>
    <n v="0.45995903873300897"/>
    <n v="1"/>
    <n v="73.150000000000006"/>
    <n v="73.150000000000006"/>
    <n v="4.453002129334438"/>
    <n v="1647.0423988018495"/>
    <n v="1"/>
    <n v="0"/>
    <n v="0"/>
    <n v="0"/>
    <n v="0"/>
    <n v="0"/>
    <n v="0"/>
    <n v="0"/>
    <n v="0"/>
    <n v="0"/>
  </r>
  <r>
    <d v="2017-07-18T00:00:00"/>
    <n v="2017"/>
    <x v="19"/>
    <s v="R"/>
    <s v="RS"/>
    <x v="4"/>
    <s v="ATL"/>
    <s v="A"/>
    <n v="1"/>
    <n v="2"/>
    <n v="-1"/>
    <n v="1"/>
    <n v="-8"/>
    <n v="8"/>
    <n v="1293.8166607644282"/>
    <n v="1471.3196792260512"/>
    <n v="0.16834030460787711"/>
    <n v="75"/>
    <n v="88"/>
    <n v="0"/>
    <n v="-13"/>
    <n v="0"/>
    <n v="0.41121688968024739"/>
    <n v="1"/>
    <n v="73"/>
    <n v="73"/>
    <n v="-5.0533794822133951"/>
    <n v="1288.7632812822148"/>
    <n v="0"/>
    <n v="1"/>
    <n v="0"/>
    <n v="0"/>
    <n v="0"/>
    <n v="0"/>
    <n v="0"/>
    <n v="0"/>
    <n v="0"/>
    <n v="0"/>
  </r>
  <r>
    <d v="2017-07-18T00:00:00"/>
    <n v="2017"/>
    <x v="18"/>
    <s v="R"/>
    <s v="RS"/>
    <x v="0"/>
    <s v="SAS"/>
    <s v="H"/>
    <n v="2"/>
    <n v="1"/>
    <n v="1"/>
    <n v="-1"/>
    <n v="8"/>
    <n v="-8"/>
    <n v="1471.3196792260512"/>
    <n v="1293.8166607644282"/>
    <n v="0.83165969539212281"/>
    <n v="88"/>
    <n v="75"/>
    <n v="0"/>
    <n v="13"/>
    <n v="1"/>
    <n v="0.41121688968024739"/>
    <n v="1"/>
    <n v="73.150000000000006"/>
    <n v="73.150000000000006"/>
    <n v="5.063763138683699"/>
    <n v="1476.3834423647349"/>
    <n v="1"/>
    <n v="0"/>
    <n v="0"/>
    <n v="0"/>
    <n v="0"/>
    <n v="0"/>
    <n v="0"/>
    <n v="0"/>
    <n v="0"/>
    <n v="0"/>
  </r>
  <r>
    <d v="2017-07-18T00:00:00"/>
    <n v="2017"/>
    <x v="19"/>
    <s v="R"/>
    <s v="RS"/>
    <x v="6"/>
    <s v="SEA"/>
    <s v="A"/>
    <n v="1"/>
    <n v="2"/>
    <n v="-1"/>
    <n v="1"/>
    <n v="-8"/>
    <n v="8"/>
    <n v="1421.8502226508022"/>
    <n v="1489.1279510407758"/>
    <n v="0.27629234176053236"/>
    <n v="94"/>
    <n v="83"/>
    <n v="0"/>
    <n v="11"/>
    <n v="1"/>
    <n v="0.41648578877789544"/>
    <n v="1"/>
    <n v="73"/>
    <n v="73"/>
    <n v="22.003218706712186"/>
    <n v="1443.8534413575144"/>
    <n v="1"/>
    <n v="0"/>
    <n v="0"/>
    <n v="0"/>
    <n v="0"/>
    <n v="0"/>
    <n v="0"/>
    <n v="0"/>
    <n v="0"/>
    <n v="0"/>
  </r>
  <r>
    <d v="2017-07-18T00:00:00"/>
    <n v="2017"/>
    <x v="19"/>
    <s v="R"/>
    <s v="RS"/>
    <x v="2"/>
    <s v="CHI"/>
    <s v="H"/>
    <n v="2"/>
    <n v="1"/>
    <n v="1"/>
    <n v="-1"/>
    <n v="8"/>
    <n v="-8"/>
    <n v="1489.1279510407758"/>
    <n v="1421.8502226508022"/>
    <n v="0.7237076582394677"/>
    <n v="83"/>
    <n v="94"/>
    <n v="0"/>
    <n v="-11"/>
    <n v="0"/>
    <n v="0.41648578877789544"/>
    <n v="1"/>
    <n v="73"/>
    <n v="73"/>
    <n v="-22.003218706712186"/>
    <n v="1467.1247323340635"/>
    <n v="0"/>
    <n v="1"/>
    <n v="0"/>
    <n v="0"/>
    <n v="0"/>
    <n v="0"/>
    <n v="0"/>
    <n v="0"/>
    <n v="0"/>
    <n v="0"/>
  </r>
  <r>
    <d v="2017-07-19T00:00:00"/>
    <n v="2017"/>
    <x v="21"/>
    <s v="R"/>
    <s v="RS"/>
    <x v="8"/>
    <s v="MIN"/>
    <s v="A"/>
    <n v="2"/>
    <n v="2"/>
    <n v="0"/>
    <n v="0"/>
    <n v="0"/>
    <n v="0"/>
    <n v="1433.2229216801834"/>
    <n v="1702.4185284026673"/>
    <n v="0.11576533194820757"/>
    <n v="74"/>
    <n v="100"/>
    <n v="0"/>
    <n v="-26"/>
    <n v="0"/>
    <n v="0.53424122222308268"/>
    <n v="1"/>
    <n v="72.7"/>
    <n v="72.7"/>
    <n v="-4.4962487237388835"/>
    <n v="1428.7266729564444"/>
    <n v="0"/>
    <n v="1"/>
    <n v="0"/>
    <n v="0"/>
    <n v="0"/>
    <n v="0"/>
    <n v="0"/>
    <n v="0"/>
    <n v="0"/>
    <n v="0"/>
  </r>
  <r>
    <d v="2017-07-19T00:00:00"/>
    <n v="2017"/>
    <x v="17"/>
    <s v="R"/>
    <s v="RS"/>
    <x v="7"/>
    <s v="DAL"/>
    <s v="H"/>
    <n v="2"/>
    <n v="2"/>
    <n v="0"/>
    <n v="0"/>
    <n v="0"/>
    <n v="0"/>
    <n v="1702.4185284026673"/>
    <n v="1433.2229216801834"/>
    <n v="0.88423466805179252"/>
    <n v="100"/>
    <n v="74"/>
    <n v="0"/>
    <n v="26"/>
    <n v="1"/>
    <n v="0.53424122222308268"/>
    <n v="1"/>
    <n v="73.3"/>
    <n v="73.3"/>
    <n v="4.5333566911975227"/>
    <n v="1706.9518850938648"/>
    <n v="1"/>
    <n v="0"/>
    <n v="0"/>
    <n v="0"/>
    <n v="0"/>
    <n v="0"/>
    <n v="0"/>
    <n v="0"/>
    <n v="0"/>
    <n v="0"/>
  </r>
  <r>
    <d v="2017-07-19T00:00:00"/>
    <n v="2017"/>
    <x v="20"/>
    <s v="R"/>
    <s v="RS"/>
    <x v="1"/>
    <s v="NYL"/>
    <s v="A"/>
    <n v="2"/>
    <n v="2"/>
    <n v="0"/>
    <n v="0"/>
    <n v="0"/>
    <n v="0"/>
    <n v="1572.5050022720714"/>
    <n v="1491.4023524048548"/>
    <n v="0.49583047463772467"/>
    <n v="80"/>
    <n v="96"/>
    <n v="0"/>
    <n v="-16"/>
    <n v="0"/>
    <n v="0.48500659865193091"/>
    <n v="1"/>
    <n v="72.849999999999994"/>
    <n v="72.849999999999994"/>
    <n v="-17.519044639075315"/>
    <n v="1554.9859576329961"/>
    <n v="0"/>
    <n v="1"/>
    <n v="0"/>
    <n v="0"/>
    <n v="0"/>
    <n v="0"/>
    <n v="0"/>
    <n v="0"/>
    <n v="0"/>
    <n v="0"/>
  </r>
  <r>
    <d v="2017-07-19T00:00:00"/>
    <n v="2017"/>
    <x v="18"/>
    <s v="R"/>
    <s v="RS"/>
    <x v="5"/>
    <s v="CON"/>
    <s v="H"/>
    <n v="2"/>
    <n v="2"/>
    <n v="0"/>
    <n v="0"/>
    <n v="0"/>
    <n v="0"/>
    <n v="1491.4023524048548"/>
    <n v="1572.5050022720714"/>
    <n v="0.50416952536227533"/>
    <n v="96"/>
    <n v="80"/>
    <n v="0"/>
    <n v="16"/>
    <n v="1"/>
    <n v="0.48500659865193091"/>
    <n v="1"/>
    <n v="73.150000000000006"/>
    <n v="73.150000000000006"/>
    <n v="17.591188954678923"/>
    <n v="1508.9935413595338"/>
    <n v="1"/>
    <n v="0"/>
    <n v="0"/>
    <n v="0"/>
    <n v="0"/>
    <n v="0"/>
    <n v="0"/>
    <n v="0"/>
    <n v="0"/>
    <n v="0"/>
  </r>
  <r>
    <d v="2017-07-19T00:00:00"/>
    <n v="2017"/>
    <x v="19"/>
    <s v="R"/>
    <s v="RS"/>
    <x v="10"/>
    <s v="PHX"/>
    <s v="A"/>
    <n v="1"/>
    <n v="2"/>
    <n v="-1"/>
    <n v="1"/>
    <n v="-8"/>
    <n v="8"/>
    <n v="1411.4860555061684"/>
    <n v="1538.0983311160869"/>
    <n v="0.21341114645720802"/>
    <n v="84"/>
    <n v="77"/>
    <n v="0"/>
    <n v="7"/>
    <n v="1"/>
    <n v="0.33478403234312981"/>
    <n v="1"/>
    <n v="73"/>
    <n v="73"/>
    <n v="19.22362933752073"/>
    <n v="1430.7096848436893"/>
    <n v="1"/>
    <n v="0"/>
    <n v="0"/>
    <n v="0"/>
    <n v="0"/>
    <n v="0"/>
    <n v="0"/>
    <n v="0"/>
    <n v="0"/>
    <n v="0"/>
  </r>
  <r>
    <d v="2017-07-19T00:00:00"/>
    <n v="2017"/>
    <x v="19"/>
    <s v="R"/>
    <s v="RS"/>
    <x v="9"/>
    <s v="IND"/>
    <s v="H"/>
    <n v="2"/>
    <n v="1"/>
    <n v="1"/>
    <n v="-1"/>
    <n v="8"/>
    <n v="-8"/>
    <n v="1538.0983311160869"/>
    <n v="1411.4860555061684"/>
    <n v="0.78658885354279195"/>
    <n v="77"/>
    <n v="84"/>
    <n v="0"/>
    <n v="-7"/>
    <n v="0"/>
    <n v="0.33478403234312981"/>
    <n v="1"/>
    <n v="73"/>
    <n v="73"/>
    <n v="-19.22362933752073"/>
    <n v="1518.8747017785661"/>
    <n v="0"/>
    <n v="1"/>
    <n v="0"/>
    <n v="0"/>
    <n v="0"/>
    <n v="0"/>
    <n v="0"/>
    <n v="0"/>
    <n v="0"/>
    <n v="0"/>
  </r>
  <r>
    <d v="2017-07-19T00:00:00"/>
    <n v="2017"/>
    <x v="19"/>
    <s v="R"/>
    <s v="RS"/>
    <x v="0"/>
    <s v="WAS"/>
    <s v="A"/>
    <n v="0"/>
    <n v="2"/>
    <n v="-2"/>
    <n v="2"/>
    <n v="-16"/>
    <n v="16"/>
    <n v="1476.3834423647349"/>
    <n v="1528.3570945967094"/>
    <n v="0.2754920288668275"/>
    <n v="96"/>
    <n v="100"/>
    <n v="1"/>
    <n v="-4"/>
    <n v="0"/>
    <n v="0.2686536997775964"/>
    <n v="1"/>
    <n v="73"/>
    <n v="73"/>
    <n v="-5.4028725554446009"/>
    <n v="1470.9805698092903"/>
    <n v="0"/>
    <n v="1"/>
    <n v="0"/>
    <n v="0"/>
    <n v="0"/>
    <n v="0"/>
    <n v="0"/>
    <n v="0"/>
    <n v="0"/>
    <n v="0"/>
  </r>
  <r>
    <d v="2017-07-19T00:00:00"/>
    <n v="2017"/>
    <x v="20"/>
    <s v="R"/>
    <s v="RS"/>
    <x v="11"/>
    <s v="ATL"/>
    <s v="H"/>
    <n v="2"/>
    <n v="0"/>
    <n v="2"/>
    <n v="-2"/>
    <n v="16"/>
    <n v="-16"/>
    <n v="1528.3570945967094"/>
    <n v="1476.3834423647349"/>
    <n v="0.72450797113317256"/>
    <n v="100"/>
    <n v="96"/>
    <n v="1"/>
    <n v="4"/>
    <n v="1"/>
    <n v="0.2686536997775964"/>
    <n v="1"/>
    <n v="72.849999999999994"/>
    <n v="72.849999999999994"/>
    <n v="5.3917707625224525"/>
    <n v="1533.7488653592318"/>
    <n v="1"/>
    <n v="0"/>
    <n v="0"/>
    <n v="0"/>
    <n v="0"/>
    <n v="0"/>
    <n v="0"/>
    <n v="0"/>
    <n v="0"/>
    <n v="0"/>
  </r>
  <r>
    <d v="2017-07-20T00:00:00"/>
    <n v="2017"/>
    <x v="20"/>
    <s v="R"/>
    <s v="RS"/>
    <x v="6"/>
    <s v="LAS"/>
    <s v="A"/>
    <n v="1"/>
    <n v="2"/>
    <n v="-1"/>
    <n v="1"/>
    <n v="-8"/>
    <n v="8"/>
    <n v="1443.8534413575144"/>
    <n v="1647.0423988018495"/>
    <n v="0.14864150101484169"/>
    <n v="82"/>
    <n v="80"/>
    <n v="0"/>
    <n v="2"/>
    <n v="1"/>
    <n v="0.22905652390323505"/>
    <n v="1"/>
    <n v="72.849999999999994"/>
    <n v="72.849999999999994"/>
    <n v="14.206421558474233"/>
    <n v="1458.0598629159886"/>
    <n v="1"/>
    <n v="0"/>
    <n v="0"/>
    <n v="0"/>
    <n v="0"/>
    <n v="0"/>
    <n v="0"/>
    <n v="0"/>
    <n v="0"/>
    <n v="0"/>
  </r>
  <r>
    <d v="2017-07-20T00:00:00"/>
    <n v="2017"/>
    <x v="19"/>
    <s v="R"/>
    <s v="RS"/>
    <x v="3"/>
    <s v="CHI"/>
    <s v="H"/>
    <n v="2"/>
    <n v="1"/>
    <n v="1"/>
    <n v="-1"/>
    <n v="8"/>
    <n v="-8"/>
    <n v="1647.0423988018495"/>
    <n v="1443.8534413575144"/>
    <n v="0.85135849898515825"/>
    <n v="80"/>
    <n v="82"/>
    <n v="0"/>
    <n v="-2"/>
    <n v="0"/>
    <n v="0.22905652390323505"/>
    <n v="1"/>
    <n v="73"/>
    <n v="73"/>
    <n v="-14.235672941230183"/>
    <n v="1632.8067258606193"/>
    <n v="0"/>
    <n v="1"/>
    <n v="0"/>
    <n v="0"/>
    <n v="0"/>
    <n v="0"/>
    <n v="0"/>
    <n v="0"/>
    <n v="0"/>
    <n v="0"/>
  </r>
  <r>
    <d v="2017-07-20T00:00:00"/>
    <n v="2017"/>
    <x v="20"/>
    <s v="R"/>
    <s v="RS"/>
    <x v="10"/>
    <s v="SAS"/>
    <s v="A"/>
    <n v="0"/>
    <n v="1"/>
    <n v="-1"/>
    <n v="1"/>
    <n v="-8"/>
    <n v="8"/>
    <n v="1430.7096848436893"/>
    <n v="1288.7632812822148"/>
    <n v="0.56007412860559891"/>
    <n v="61"/>
    <n v="85"/>
    <n v="0"/>
    <n v="-24"/>
    <n v="0"/>
    <n v="0.56195770213800345"/>
    <n v="1"/>
    <n v="72.849999999999994"/>
    <n v="72.849999999999994"/>
    <n v="-22.928661139134007"/>
    <n v="1407.7810237045553"/>
    <n v="0"/>
    <n v="1"/>
    <n v="0"/>
    <n v="0"/>
    <n v="0"/>
    <n v="0"/>
    <n v="0"/>
    <n v="0"/>
    <n v="0"/>
    <n v="0"/>
  </r>
  <r>
    <d v="2017-07-20T00:00:00"/>
    <n v="2017"/>
    <x v="20"/>
    <s v="R"/>
    <s v="RS"/>
    <x v="4"/>
    <s v="IND"/>
    <s v="H"/>
    <n v="1"/>
    <n v="0"/>
    <n v="1"/>
    <n v="-1"/>
    <n v="8"/>
    <n v="-8"/>
    <n v="1288.7632812822148"/>
    <n v="1430.7096848436893"/>
    <n v="0.43992587139440109"/>
    <n v="85"/>
    <n v="61"/>
    <n v="0"/>
    <n v="24"/>
    <n v="1"/>
    <n v="0.56195770213800345"/>
    <n v="1"/>
    <n v="72.849999999999994"/>
    <n v="72.849999999999994"/>
    <n v="22.928661139134007"/>
    <n v="1311.6919424213488"/>
    <n v="1"/>
    <n v="0"/>
    <n v="0"/>
    <n v="0"/>
    <n v="0"/>
    <n v="0"/>
    <n v="0"/>
    <n v="0"/>
    <n v="0"/>
    <n v="0"/>
  </r>
  <r>
    <d v="2017-07-25T00:00:00"/>
    <n v="2017"/>
    <x v="20"/>
    <s v="R"/>
    <s v="RS"/>
    <x v="9"/>
    <s v="ATL"/>
    <s v="A"/>
    <n v="5"/>
    <n v="5"/>
    <n v="0"/>
    <n v="0"/>
    <n v="0"/>
    <n v="0"/>
    <n v="1518.8747017785661"/>
    <n v="1470.9805698092903"/>
    <n v="0.44822572520525433"/>
    <n v="91"/>
    <n v="99"/>
    <n v="1"/>
    <n v="-8"/>
    <n v="0"/>
    <n v="0.33607079884367258"/>
    <n v="1"/>
    <n v="72.849999999999994"/>
    <n v="72.849999999999994"/>
    <n v="-10.973801823207241"/>
    <n v="1507.9008999553589"/>
    <n v="0"/>
    <n v="1"/>
    <n v="0"/>
    <n v="0"/>
    <n v="0"/>
    <n v="0"/>
    <n v="0"/>
    <n v="0"/>
    <n v="0"/>
    <n v="0"/>
  </r>
  <r>
    <d v="2017-07-25T00:00:00"/>
    <n v="2017"/>
    <x v="20"/>
    <s v="R"/>
    <s v="RS"/>
    <x v="0"/>
    <s v="PHX"/>
    <s v="H"/>
    <n v="5"/>
    <n v="5"/>
    <n v="0"/>
    <n v="0"/>
    <n v="0"/>
    <n v="0"/>
    <n v="1470.9805698092903"/>
    <n v="1518.8747017785661"/>
    <n v="0.55177427479474561"/>
    <n v="99"/>
    <n v="91"/>
    <n v="1"/>
    <n v="8"/>
    <n v="1"/>
    <n v="0.33607079884367258"/>
    <n v="1"/>
    <n v="72.849999999999994"/>
    <n v="72.849999999999994"/>
    <n v="10.973801823207241"/>
    <n v="1481.9543716324974"/>
    <n v="1"/>
    <n v="0"/>
    <n v="0"/>
    <n v="0"/>
    <n v="0"/>
    <n v="0"/>
    <n v="0"/>
    <n v="0"/>
    <n v="0"/>
    <n v="0"/>
  </r>
  <r>
    <d v="2017-07-25T00:00:00"/>
    <n v="2017"/>
    <x v="21"/>
    <s v="R"/>
    <s v="RS"/>
    <x v="6"/>
    <s v="CON"/>
    <s v="A"/>
    <n v="4"/>
    <n v="5"/>
    <n v="-1"/>
    <n v="1"/>
    <n v="-8"/>
    <n v="8"/>
    <n v="1458.0598629159886"/>
    <n v="1554.9859576329961"/>
    <n v="0.24349776472207699"/>
    <n v="72"/>
    <n v="93"/>
    <n v="0"/>
    <n v="-21"/>
    <n v="0"/>
    <n v="0.54458889384826437"/>
    <n v="1"/>
    <n v="72.7"/>
    <n v="72.7"/>
    <n v="-9.6404691656466639"/>
    <n v="1448.4193937503419"/>
    <n v="0"/>
    <n v="1"/>
    <n v="0"/>
    <n v="0"/>
    <n v="0"/>
    <n v="0"/>
    <n v="0"/>
    <n v="0"/>
    <n v="0"/>
    <n v="0"/>
  </r>
  <r>
    <d v="2017-07-25T00:00:00"/>
    <n v="2017"/>
    <x v="21"/>
    <s v="R"/>
    <s v="RS"/>
    <x v="1"/>
    <s v="CHI"/>
    <s v="H"/>
    <n v="5"/>
    <n v="4"/>
    <n v="1"/>
    <n v="-1"/>
    <n v="8"/>
    <n v="-8"/>
    <n v="1554.9859576329961"/>
    <n v="1458.0598629159886"/>
    <n v="0.75650223527792304"/>
    <n v="93"/>
    <n v="72"/>
    <n v="0"/>
    <n v="21"/>
    <n v="1"/>
    <n v="0.54458889384826437"/>
    <n v="1"/>
    <n v="72.7"/>
    <n v="72.7"/>
    <n v="9.6404691656466639"/>
    <n v="1564.6264267986428"/>
    <n v="1"/>
    <n v="0"/>
    <n v="0"/>
    <n v="0"/>
    <n v="0"/>
    <n v="0"/>
    <n v="0"/>
    <n v="0"/>
    <n v="0"/>
    <n v="0"/>
  </r>
  <r>
    <d v="2017-07-25T00:00:00"/>
    <n v="2017"/>
    <x v="21"/>
    <s v="R"/>
    <s v="RS"/>
    <x v="10"/>
    <s v="DAL"/>
    <s v="A"/>
    <n v="4"/>
    <n v="5"/>
    <n v="-1"/>
    <n v="1"/>
    <n v="-8"/>
    <n v="8"/>
    <n v="1407.7810237045553"/>
    <n v="1428.7266729564444"/>
    <n v="0.33265102942184721"/>
    <n v="82"/>
    <n v="84"/>
    <n v="0"/>
    <n v="-2"/>
    <n v="0"/>
    <n v="0.26324643129572667"/>
    <n v="1"/>
    <n v="72.7"/>
    <n v="72.7"/>
    <n v="-6.366280575528382"/>
    <n v="1401.4147431290269"/>
    <n v="0"/>
    <n v="1"/>
    <n v="0"/>
    <n v="0"/>
    <n v="0"/>
    <n v="0"/>
    <n v="0"/>
    <n v="0"/>
    <n v="0"/>
    <n v="0"/>
  </r>
  <r>
    <d v="2017-07-25T00:00:00"/>
    <n v="2017"/>
    <x v="22"/>
    <s v="R"/>
    <s v="RS"/>
    <x v="8"/>
    <s v="IND"/>
    <s v="H"/>
    <n v="5"/>
    <n v="4"/>
    <n v="1"/>
    <n v="-1"/>
    <n v="8"/>
    <n v="-8"/>
    <n v="1428.7266729564444"/>
    <n v="1407.7810237045553"/>
    <n v="0.66734897057815268"/>
    <n v="84"/>
    <n v="82"/>
    <n v="0"/>
    <n v="2"/>
    <n v="1"/>
    <n v="0.26324643129572667"/>
    <n v="1"/>
    <n v="72.55"/>
    <n v="72.55"/>
    <n v="6.3531451960740606"/>
    <n v="1435.0798181525186"/>
    <n v="1"/>
    <n v="0"/>
    <n v="0"/>
    <n v="0"/>
    <n v="0"/>
    <n v="0"/>
    <n v="0"/>
    <n v="0"/>
    <n v="0"/>
    <n v="0"/>
  </r>
  <r>
    <d v="2017-07-25T00:00:00"/>
    <n v="2017"/>
    <x v="20"/>
    <s v="R"/>
    <s v="RS"/>
    <x v="2"/>
    <s v="LAS"/>
    <s v="A"/>
    <n v="6"/>
    <n v="4"/>
    <n v="2"/>
    <n v="-2"/>
    <n v="16"/>
    <n v="-16"/>
    <n v="1467.1247323340635"/>
    <n v="1632.8067258606193"/>
    <n v="0.22216772814596122"/>
    <n v="60"/>
    <n v="68"/>
    <n v="0"/>
    <n v="-8"/>
    <n v="0"/>
    <n v="0.34120581820100393"/>
    <n v="1"/>
    <n v="72.849999999999994"/>
    <n v="72.849999999999994"/>
    <n v="-5.5223885283537806"/>
    <n v="1461.6023438057098"/>
    <n v="0"/>
    <n v="1"/>
    <n v="0"/>
    <n v="0"/>
    <n v="0"/>
    <n v="0"/>
    <n v="0"/>
    <n v="0"/>
    <n v="0"/>
    <n v="0"/>
  </r>
  <r>
    <d v="2017-07-25T00:00:00"/>
    <n v="2017"/>
    <x v="20"/>
    <s v="R"/>
    <s v="RS"/>
    <x v="3"/>
    <s v="SEA"/>
    <s v="H"/>
    <n v="4"/>
    <n v="6"/>
    <n v="-2"/>
    <n v="2"/>
    <n v="-16"/>
    <n v="16"/>
    <n v="1632.8067258606193"/>
    <n v="1467.1247323340635"/>
    <n v="0.77783227185403869"/>
    <n v="68"/>
    <n v="60"/>
    <n v="0"/>
    <n v="8"/>
    <n v="1"/>
    <n v="0.34120581820100393"/>
    <n v="1"/>
    <n v="72.849999999999994"/>
    <n v="72.849999999999994"/>
    <n v="5.5223885283537824"/>
    <n v="1638.329114388973"/>
    <n v="1"/>
    <n v="0"/>
    <n v="0"/>
    <n v="0"/>
    <n v="0"/>
    <n v="0"/>
    <n v="0"/>
    <n v="0"/>
    <n v="0"/>
    <n v="0"/>
  </r>
  <r>
    <d v="2017-07-25T00:00:00"/>
    <n v="2017"/>
    <x v="19"/>
    <s v="R"/>
    <s v="RS"/>
    <x v="5"/>
    <s v="MIN"/>
    <s v="A"/>
    <n v="5"/>
    <n v="5"/>
    <n v="0"/>
    <n v="0"/>
    <n v="0"/>
    <n v="0"/>
    <n v="1508.9935413595338"/>
    <n v="1706.9518850938648"/>
    <n v="0.16478016714796834"/>
    <n v="75"/>
    <n v="76"/>
    <n v="0"/>
    <n v="-1"/>
    <n v="0"/>
    <n v="0.20960252962590209"/>
    <n v="1"/>
    <n v="73"/>
    <n v="73"/>
    <n v="-2.5212988102466989"/>
    <n v="1506.4722425492871"/>
    <n v="0"/>
    <n v="1"/>
    <n v="0"/>
    <n v="0"/>
    <n v="0"/>
    <n v="0"/>
    <n v="0"/>
    <n v="0"/>
    <n v="0"/>
    <n v="0"/>
  </r>
  <r>
    <d v="2017-07-25T00:00:00"/>
    <n v="2017"/>
    <x v="18"/>
    <s v="R"/>
    <s v="RS"/>
    <x v="7"/>
    <s v="NYL"/>
    <s v="H"/>
    <n v="5"/>
    <n v="5"/>
    <n v="0"/>
    <n v="0"/>
    <n v="0"/>
    <n v="0"/>
    <n v="1706.9518850938648"/>
    <n v="1508.9935413595338"/>
    <n v="0.83521983285203172"/>
    <n v="76"/>
    <n v="75"/>
    <n v="0"/>
    <n v="1"/>
    <n v="1"/>
    <n v="0.20960252962590209"/>
    <n v="1"/>
    <n v="73.150000000000006"/>
    <n v="73.150000000000006"/>
    <n v="2.5264795612266568"/>
    <n v="1709.4783646550914"/>
    <n v="1"/>
    <n v="0"/>
    <n v="0"/>
    <n v="0"/>
    <n v="0"/>
    <n v="0"/>
    <n v="0"/>
    <n v="0"/>
    <n v="0"/>
    <n v="0"/>
  </r>
  <r>
    <d v="2017-07-25T00:00:00"/>
    <n v="2017"/>
    <x v="21"/>
    <s v="R"/>
    <s v="RS"/>
    <x v="11"/>
    <s v="SAS"/>
    <s v="A"/>
    <n v="5"/>
    <n v="4"/>
    <n v="1"/>
    <n v="-1"/>
    <n v="8"/>
    <n v="-8"/>
    <n v="1533.7488653592318"/>
    <n v="1311.6919424213488"/>
    <n v="0.70823410314316038"/>
    <n v="85"/>
    <n v="76"/>
    <n v="0"/>
    <n v="9"/>
    <n v="1"/>
    <n v="0.34257829255543193"/>
    <n v="1"/>
    <n v="72.7"/>
    <n v="72.7"/>
    <n v="7.2665585834604522"/>
    <n v="1541.0154239426922"/>
    <n v="1"/>
    <n v="0"/>
    <n v="0"/>
    <n v="0"/>
    <n v="0"/>
    <n v="0"/>
    <n v="0"/>
    <n v="0"/>
    <n v="0"/>
    <n v="0"/>
  </r>
  <r>
    <d v="2017-07-25T00:00:00"/>
    <n v="2017"/>
    <x v="21"/>
    <s v="R"/>
    <s v="RS"/>
    <x v="4"/>
    <s v="WAS"/>
    <s v="H"/>
    <n v="4"/>
    <n v="5"/>
    <n v="-1"/>
    <n v="1"/>
    <n v="-8"/>
    <n v="8"/>
    <n v="1311.6919424213488"/>
    <n v="1533.7488653592318"/>
    <n v="0.29176589685683968"/>
    <n v="76"/>
    <n v="85"/>
    <n v="0"/>
    <n v="-9"/>
    <n v="0"/>
    <n v="0.34257829255543193"/>
    <n v="1"/>
    <n v="72.7"/>
    <n v="72.7"/>
    <n v="-7.266558583460454"/>
    <n v="1304.4253838378884"/>
    <n v="0"/>
    <n v="1"/>
    <n v="0"/>
    <n v="0"/>
    <n v="0"/>
    <n v="0"/>
    <n v="0"/>
    <n v="0"/>
    <n v="0"/>
    <n v="0"/>
  </r>
  <r>
    <d v="2017-07-28T00:00:00"/>
    <n v="2017"/>
    <x v="19"/>
    <s v="R"/>
    <s v="RS"/>
    <x v="7"/>
    <s v="ATL"/>
    <s v="A"/>
    <n v="2"/>
    <n v="2"/>
    <n v="0"/>
    <n v="0"/>
    <n v="0"/>
    <n v="0"/>
    <n v="1709.4783646550914"/>
    <n v="1481.9543716324974"/>
    <n v="0.69554883269204482"/>
    <n v="90"/>
    <n v="80"/>
    <n v="0"/>
    <n v="10"/>
    <n v="1"/>
    <n v="0.35568974089439648"/>
    <n v="1"/>
    <n v="73"/>
    <n v="73"/>
    <n v="7.9051814474777089"/>
    <n v="1717.383546102569"/>
    <n v="1"/>
    <n v="0"/>
    <n v="0"/>
    <n v="0"/>
    <n v="0"/>
    <n v="0"/>
    <n v="0"/>
    <n v="0"/>
    <n v="0"/>
    <n v="0"/>
  </r>
  <r>
    <d v="2017-07-28T00:00:00"/>
    <n v="2017"/>
    <x v="21"/>
    <s v="R"/>
    <s v="RS"/>
    <x v="0"/>
    <s v="MIN"/>
    <s v="H"/>
    <n v="2"/>
    <n v="2"/>
    <n v="0"/>
    <n v="0"/>
    <n v="0"/>
    <n v="0"/>
    <n v="1481.9543716324974"/>
    <n v="1709.4783646550914"/>
    <n v="0.30445116730795518"/>
    <n v="80"/>
    <n v="90"/>
    <n v="0"/>
    <n v="-10"/>
    <n v="0"/>
    <n v="0.35568974089439648"/>
    <n v="1"/>
    <n v="72.7"/>
    <n v="72.7"/>
    <n v="-7.8726944004332795"/>
    <n v="1474.0816772320641"/>
    <n v="0"/>
    <n v="1"/>
    <n v="0"/>
    <n v="0"/>
    <n v="0"/>
    <n v="0"/>
    <n v="0"/>
    <n v="0"/>
    <n v="0"/>
    <n v="0"/>
  </r>
  <r>
    <d v="2017-07-28T00:00:00"/>
    <n v="2017"/>
    <x v="21"/>
    <s v="R"/>
    <s v="RS"/>
    <x v="9"/>
    <s v="CHI"/>
    <s v="A"/>
    <n v="2"/>
    <n v="2"/>
    <n v="0"/>
    <n v="0"/>
    <n v="0"/>
    <n v="0"/>
    <n v="1507.9008999553589"/>
    <n v="1448.4193937503419"/>
    <n v="0.46477350892001645"/>
    <n v="86"/>
    <n v="80"/>
    <n v="0"/>
    <n v="6"/>
    <n v="1"/>
    <n v="0.33469083208640038"/>
    <n v="1"/>
    <n v="72.7"/>
    <n v="72.7"/>
    <n v="13.023143554863543"/>
    <n v="1520.9240435102224"/>
    <n v="1"/>
    <n v="0"/>
    <n v="0"/>
    <n v="0"/>
    <n v="0"/>
    <n v="0"/>
    <n v="0"/>
    <n v="0"/>
    <n v="0"/>
    <n v="0"/>
  </r>
  <r>
    <d v="2017-07-28T00:00:00"/>
    <n v="2017"/>
    <x v="22"/>
    <s v="R"/>
    <s v="RS"/>
    <x v="6"/>
    <s v="PHX"/>
    <s v="H"/>
    <n v="2"/>
    <n v="2"/>
    <n v="0"/>
    <n v="0"/>
    <n v="0"/>
    <n v="0"/>
    <n v="1448.4193937503419"/>
    <n v="1507.9008999553589"/>
    <n v="0.53522649107998355"/>
    <n v="80"/>
    <n v="86"/>
    <n v="0"/>
    <n v="-6"/>
    <n v="0"/>
    <n v="0.33469083208640038"/>
    <n v="1"/>
    <n v="72.55"/>
    <n v="72.55"/>
    <n v="-12.996273244915406"/>
    <n v="1435.4231205054266"/>
    <n v="0"/>
    <n v="1"/>
    <n v="0"/>
    <n v="0"/>
    <n v="0"/>
    <n v="0"/>
    <n v="0"/>
    <n v="0"/>
    <n v="0"/>
    <n v="0"/>
  </r>
  <r>
    <d v="2017-07-28T00:00:00"/>
    <n v="2017"/>
    <x v="20"/>
    <s v="R"/>
    <s v="RS"/>
    <x v="5"/>
    <s v="IND"/>
    <s v="A"/>
    <n v="2"/>
    <n v="2"/>
    <n v="0"/>
    <n v="0"/>
    <n v="0"/>
    <n v="0"/>
    <n v="1506.4722425492871"/>
    <n v="1401.4147431290269"/>
    <n v="0.53026712592400271"/>
    <n v="85"/>
    <n v="84"/>
    <n v="0"/>
    <n v="1"/>
    <n v="1"/>
    <n v="0.22452313809048038"/>
    <n v="1"/>
    <n v="72.849999999999994"/>
    <n v="72.849999999999994"/>
    <n v="7.6831907386388743"/>
    <n v="1514.1554332879259"/>
    <n v="1"/>
    <n v="0"/>
    <n v="0"/>
    <n v="0"/>
    <n v="0"/>
    <n v="0"/>
    <n v="0"/>
    <n v="0"/>
    <n v="0"/>
    <n v="0"/>
  </r>
  <r>
    <d v="2017-07-28T00:00:00"/>
    <n v="2017"/>
    <x v="22"/>
    <s v="R"/>
    <s v="RS"/>
    <x v="10"/>
    <s v="NYL"/>
    <s v="H"/>
    <n v="2"/>
    <n v="2"/>
    <n v="0"/>
    <n v="0"/>
    <n v="0"/>
    <n v="0"/>
    <n v="1401.4147431290269"/>
    <n v="1506.4722425492871"/>
    <n v="0.46973287407599729"/>
    <n v="84"/>
    <n v="85"/>
    <n v="0"/>
    <n v="-1"/>
    <n v="0"/>
    <n v="0.22452313809048038"/>
    <n v="1"/>
    <n v="72.55"/>
    <n v="72.55"/>
    <n v="-7.6515509689533348"/>
    <n v="1393.7631921600735"/>
    <n v="0"/>
    <n v="1"/>
    <n v="0"/>
    <n v="0"/>
    <n v="0"/>
    <n v="0"/>
    <n v="0"/>
    <n v="0"/>
    <n v="0"/>
    <n v="0"/>
  </r>
  <r>
    <d v="2017-07-28T00:00:00"/>
    <n v="2017"/>
    <x v="21"/>
    <s v="R"/>
    <s v="RS"/>
    <x v="3"/>
    <s v="SAS"/>
    <s v="A"/>
    <n v="2"/>
    <n v="2"/>
    <n v="0"/>
    <n v="0"/>
    <n v="0"/>
    <n v="0"/>
    <n v="1638.329114388973"/>
    <n v="1304.4253838378884"/>
    <n v="0.80823179442909354"/>
    <n v="85"/>
    <n v="73"/>
    <n v="0"/>
    <n v="12"/>
    <n v="1"/>
    <n v="0.35683812535953663"/>
    <n v="1"/>
    <n v="72.7"/>
    <n v="72.7"/>
    <n v="4.9748760474085243"/>
    <n v="1643.3039904363816"/>
    <n v="1"/>
    <n v="0"/>
    <n v="0"/>
    <n v="0"/>
    <n v="0"/>
    <n v="0"/>
    <n v="0"/>
    <n v="0"/>
    <n v="0"/>
    <n v="0"/>
  </r>
  <r>
    <d v="2017-07-28T00:00:00"/>
    <n v="2017"/>
    <x v="22"/>
    <s v="R"/>
    <s v="RS"/>
    <x v="4"/>
    <s v="LAS"/>
    <s v="H"/>
    <n v="2"/>
    <n v="2"/>
    <n v="0"/>
    <n v="0"/>
    <n v="0"/>
    <n v="0"/>
    <n v="1304.4253838378884"/>
    <n v="1638.329114388973"/>
    <n v="0.19176820557090651"/>
    <n v="73"/>
    <n v="85"/>
    <n v="0"/>
    <n v="-12"/>
    <n v="0"/>
    <n v="0.35683812535953663"/>
    <n v="1"/>
    <n v="72.55"/>
    <n v="72.55"/>
    <n v="-4.9646115163616029"/>
    <n v="1299.4607723215267"/>
    <n v="0"/>
    <n v="1"/>
    <n v="0"/>
    <n v="0"/>
    <n v="0"/>
    <n v="0"/>
    <n v="0"/>
    <n v="0"/>
    <n v="0"/>
    <n v="0"/>
  </r>
  <r>
    <d v="2017-07-28T00:00:00"/>
    <n v="2017"/>
    <x v="23"/>
    <s v="R"/>
    <s v="RS"/>
    <x v="8"/>
    <s v="SEA"/>
    <s v="A"/>
    <n v="2"/>
    <n v="2"/>
    <n v="0"/>
    <n v="0"/>
    <n v="0"/>
    <n v="0"/>
    <n v="1435.0798181525186"/>
    <n v="1461.6023438057098"/>
    <n v="0.34610178424606342"/>
    <n v="93"/>
    <n v="109"/>
    <n v="0"/>
    <n v="-16"/>
    <n v="0"/>
    <n v="0.50658934160640423"/>
    <n v="1"/>
    <n v="72.400000000000006"/>
    <n v="72.400000000000006"/>
    <n v="-12.69399879072509"/>
    <n v="1422.3858193617934"/>
    <n v="0"/>
    <n v="1"/>
    <n v="0"/>
    <n v="0"/>
    <n v="0"/>
    <n v="0"/>
    <n v="0"/>
    <n v="0"/>
    <n v="0"/>
    <n v="0"/>
  </r>
  <r>
    <d v="2017-07-28T00:00:00"/>
    <n v="2017"/>
    <x v="21"/>
    <s v="R"/>
    <s v="RS"/>
    <x v="2"/>
    <s v="DAL"/>
    <s v="H"/>
    <n v="2"/>
    <n v="2"/>
    <n v="0"/>
    <n v="0"/>
    <n v="0"/>
    <n v="0"/>
    <n v="1461.6023438057098"/>
    <n v="1435.0798181525186"/>
    <n v="0.65389821575393658"/>
    <n v="109"/>
    <n v="93"/>
    <n v="0"/>
    <n v="16"/>
    <n v="1"/>
    <n v="0.50658934160640423"/>
    <n v="1"/>
    <n v="72.7"/>
    <n v="72.7"/>
    <n v="12.746598233228093"/>
    <n v="1474.3489420389378"/>
    <n v="1"/>
    <n v="0"/>
    <n v="0"/>
    <n v="0"/>
    <n v="0"/>
    <n v="0"/>
    <n v="0"/>
    <n v="0"/>
    <n v="0"/>
    <n v="0"/>
  </r>
  <r>
    <d v="2017-07-30T00:00:00"/>
    <n v="2017"/>
    <x v="22"/>
    <s v="R"/>
    <s v="RS"/>
    <x v="11"/>
    <s v="ATL"/>
    <s v="A"/>
    <n v="4"/>
    <n v="1"/>
    <n v="3"/>
    <n v="-3"/>
    <n v="16"/>
    <n v="-16"/>
    <n v="1541.0154239426922"/>
    <n v="1474.0816772320641"/>
    <n v="0.52147816362118304"/>
    <n v="77"/>
    <n v="70"/>
    <n v="0"/>
    <n v="7"/>
    <n v="1"/>
    <n v="0.35055393238808757"/>
    <n v="1"/>
    <n v="72.55"/>
    <n v="72.55"/>
    <n v="12.170096467595648"/>
    <n v="1553.1855204102878"/>
    <n v="1"/>
    <n v="0"/>
    <n v="0"/>
    <n v="0"/>
    <n v="0"/>
    <n v="0"/>
    <n v="0"/>
    <n v="0"/>
    <n v="0"/>
    <n v="0"/>
  </r>
  <r>
    <d v="2017-07-30T00:00:00"/>
    <n v="2017"/>
    <x v="22"/>
    <s v="R"/>
    <s v="RS"/>
    <x v="0"/>
    <s v="WAS"/>
    <s v="H"/>
    <n v="1"/>
    <n v="4"/>
    <n v="-3"/>
    <n v="3"/>
    <n v="-16"/>
    <n v="16"/>
    <n v="1474.0816772320641"/>
    <n v="1541.0154239426922"/>
    <n v="0.47852183637881707"/>
    <n v="70"/>
    <n v="77"/>
    <n v="0"/>
    <n v="-7"/>
    <n v="0"/>
    <n v="0.35055393238808757"/>
    <n v="1"/>
    <n v="72.55"/>
    <n v="72.55"/>
    <n v="-12.17009646759565"/>
    <n v="1461.9115807644685"/>
    <n v="0"/>
    <n v="1"/>
    <n v="0"/>
    <n v="0"/>
    <n v="0"/>
    <n v="0"/>
    <n v="0"/>
    <n v="0"/>
    <n v="0"/>
    <n v="0"/>
  </r>
  <r>
    <d v="2017-07-30T00:00:00"/>
    <n v="2017"/>
    <x v="21"/>
    <s v="R"/>
    <s v="RS"/>
    <x v="5"/>
    <s v="CHI"/>
    <s v="A"/>
    <n v="1"/>
    <n v="1"/>
    <n v="0"/>
    <n v="0"/>
    <n v="0"/>
    <n v="0"/>
    <n v="1514.1554332879259"/>
    <n v="1435.4231205054266"/>
    <n v="0.4924197695372679"/>
    <n v="86"/>
    <n v="82"/>
    <n v="0"/>
    <n v="4"/>
    <n v="1"/>
    <n v="0.29225763527586829"/>
    <n v="1"/>
    <n v="72.7"/>
    <n v="72.7"/>
    <n v="10.784623184990394"/>
    <n v="1524.9400564729162"/>
    <n v="1"/>
    <n v="0"/>
    <n v="0"/>
    <n v="0"/>
    <n v="0"/>
    <n v="0"/>
    <n v="0"/>
    <n v="0"/>
    <n v="0"/>
    <n v="0"/>
  </r>
  <r>
    <d v="2017-07-30T00:00:00"/>
    <n v="2017"/>
    <x v="23"/>
    <s v="R"/>
    <s v="RS"/>
    <x v="6"/>
    <s v="NYL"/>
    <s v="H"/>
    <n v="1"/>
    <n v="1"/>
    <n v="0"/>
    <n v="0"/>
    <n v="0"/>
    <n v="0"/>
    <n v="1435.4231205054266"/>
    <n v="1514.1554332879259"/>
    <n v="0.50758023046273204"/>
    <n v="82"/>
    <n v="86"/>
    <n v="0"/>
    <n v="-4"/>
    <n v="0"/>
    <n v="0.29225763527586829"/>
    <n v="1"/>
    <n v="72.400000000000006"/>
    <n v="72.400000000000006"/>
    <n v="-10.740119925630045"/>
    <n v="1424.6830005797965"/>
    <n v="0"/>
    <n v="1"/>
    <n v="0"/>
    <n v="0"/>
    <n v="0"/>
    <n v="0"/>
    <n v="0"/>
    <n v="0"/>
    <n v="0"/>
    <n v="0"/>
  </r>
  <r>
    <d v="2017-07-30T00:00:00"/>
    <n v="2017"/>
    <x v="23"/>
    <s v="R"/>
    <s v="RS"/>
    <x v="10"/>
    <s v="CON"/>
    <s v="A"/>
    <n v="1"/>
    <n v="4"/>
    <n v="-3"/>
    <n v="3"/>
    <n v="-16"/>
    <n v="16"/>
    <n v="1393.7631921600735"/>
    <n v="1564.6264267986428"/>
    <n v="0.16093096254726172"/>
    <n v="73"/>
    <n v="89"/>
    <n v="0"/>
    <n v="-16"/>
    <n v="0"/>
    <n v="0.45324961895261023"/>
    <n v="1"/>
    <n v="72.400000000000006"/>
    <n v="72.400000000000006"/>
    <n v="-5.280993375540957"/>
    <n v="1388.4821987845326"/>
    <n v="0"/>
    <n v="1"/>
    <n v="0"/>
    <n v="0"/>
    <n v="0"/>
    <n v="0"/>
    <n v="0"/>
    <n v="0"/>
    <n v="0"/>
    <n v="0"/>
  </r>
  <r>
    <d v="2017-07-30T00:00:00"/>
    <n v="2017"/>
    <x v="22"/>
    <s v="R"/>
    <s v="RS"/>
    <x v="1"/>
    <s v="IND"/>
    <s v="H"/>
    <n v="4"/>
    <n v="1"/>
    <n v="3"/>
    <n v="-3"/>
    <n v="16"/>
    <n v="-16"/>
    <n v="1564.6264267986428"/>
    <n v="1393.7631921600735"/>
    <n v="0.8390690374527382"/>
    <n v="89"/>
    <n v="73"/>
    <n v="0"/>
    <n v="16"/>
    <n v="1"/>
    <n v="0.45324961895261023"/>
    <n v="1"/>
    <n v="72.55"/>
    <n v="72.55"/>
    <n v="5.2919346601587929"/>
    <n v="1569.9183614588017"/>
    <n v="1"/>
    <n v="0"/>
    <n v="0"/>
    <n v="0"/>
    <n v="0"/>
    <n v="0"/>
    <n v="0"/>
    <n v="0"/>
    <n v="0"/>
    <n v="0"/>
  </r>
  <r>
    <d v="2017-07-30T00:00:00"/>
    <n v="2017"/>
    <x v="24"/>
    <s v="R"/>
    <s v="RS"/>
    <x v="8"/>
    <s v="LAS"/>
    <s v="A"/>
    <n v="1"/>
    <n v="1"/>
    <n v="0"/>
    <n v="0"/>
    <n v="0"/>
    <n v="0"/>
    <n v="1422.3858193617934"/>
    <n v="1643.3039904363816"/>
    <n v="0.14738623131021678"/>
    <n v="74"/>
    <n v="95"/>
    <n v="0"/>
    <n v="-21"/>
    <n v="0"/>
    <n v="0.49706701040408419"/>
    <n v="1"/>
    <n v="72.25"/>
    <n v="72.25"/>
    <n v="-5.2930952111338119"/>
    <n v="1417.0927241506597"/>
    <n v="0"/>
    <n v="1"/>
    <n v="0"/>
    <n v="0"/>
    <n v="0"/>
    <n v="0"/>
    <n v="0"/>
    <n v="0"/>
    <n v="0"/>
    <n v="0"/>
  </r>
  <r>
    <d v="2017-07-30T00:00:00"/>
    <n v="2017"/>
    <x v="22"/>
    <s v="R"/>
    <s v="RS"/>
    <x v="3"/>
    <s v="DAL"/>
    <s v="H"/>
    <n v="1"/>
    <n v="1"/>
    <n v="0"/>
    <n v="0"/>
    <n v="0"/>
    <n v="0"/>
    <n v="1643.3039904363816"/>
    <n v="1422.3858193617934"/>
    <n v="0.85261376868978311"/>
    <n v="95"/>
    <n v="74"/>
    <n v="0"/>
    <n v="21"/>
    <n v="1"/>
    <n v="0.49706701040408419"/>
    <n v="1"/>
    <n v="72.55"/>
    <n v="72.55"/>
    <n v="5.3150734611454435"/>
    <n v="1648.619063897527"/>
    <n v="1"/>
    <n v="0"/>
    <n v="0"/>
    <n v="0"/>
    <n v="0"/>
    <n v="0"/>
    <n v="0"/>
    <n v="0"/>
    <n v="0"/>
    <n v="0"/>
  </r>
  <r>
    <d v="2017-07-30T00:00:00"/>
    <n v="2017"/>
    <x v="22"/>
    <s v="R"/>
    <s v="RS"/>
    <x v="2"/>
    <s v="MIN"/>
    <s v="A"/>
    <n v="1"/>
    <n v="1"/>
    <n v="0"/>
    <n v="0"/>
    <n v="0"/>
    <n v="0"/>
    <n v="1474.3489420389378"/>
    <n v="1717.383546102569"/>
    <n v="0.1320948154708968"/>
    <n v="82"/>
    <n v="93"/>
    <n v="0"/>
    <n v="-11"/>
    <n v="0"/>
    <n v="0.36575918749477471"/>
    <n v="1"/>
    <n v="72.55"/>
    <n v="72.55"/>
    <n v="-3.5052454420897323"/>
    <n v="1470.8436965968481"/>
    <n v="0"/>
    <n v="1"/>
    <n v="0"/>
    <n v="0"/>
    <n v="0"/>
    <n v="0"/>
    <n v="0"/>
    <n v="0"/>
    <n v="0"/>
    <n v="0"/>
  </r>
  <r>
    <d v="2017-07-30T00:00:00"/>
    <n v="2017"/>
    <x v="20"/>
    <s v="R"/>
    <s v="RS"/>
    <x v="7"/>
    <s v="SEA"/>
    <s v="H"/>
    <n v="1"/>
    <n v="1"/>
    <n v="0"/>
    <n v="0"/>
    <n v="0"/>
    <n v="0"/>
    <n v="1717.383546102569"/>
    <n v="1474.3489420389378"/>
    <n v="0.86790518452910315"/>
    <n v="93"/>
    <n v="82"/>
    <n v="0"/>
    <n v="11"/>
    <n v="1"/>
    <n v="0.36575918749477471"/>
    <n v="1"/>
    <n v="72.849999999999994"/>
    <n v="72.849999999999994"/>
    <n v="3.5197399098034059"/>
    <n v="1720.9032860123723"/>
    <n v="1"/>
    <n v="0"/>
    <n v="0"/>
    <n v="0"/>
    <n v="0"/>
    <n v="0"/>
    <n v="0"/>
    <n v="0"/>
    <n v="0"/>
    <n v="0"/>
  </r>
  <r>
    <d v="2017-07-30T00:00:00"/>
    <n v="2017"/>
    <x v="23"/>
    <s v="R"/>
    <s v="RS"/>
    <x v="4"/>
    <s v="PHX"/>
    <s v="A"/>
    <n v="1"/>
    <n v="1"/>
    <n v="0"/>
    <n v="0"/>
    <n v="0"/>
    <n v="0"/>
    <n v="1299.4607723215267"/>
    <n v="1520.9240435102224"/>
    <n v="0.14699235431947302"/>
    <n v="64"/>
    <n v="81"/>
    <n v="0"/>
    <n v="-17"/>
    <n v="0"/>
    <n v="0.44948785934095398"/>
    <n v="1"/>
    <n v="72.400000000000006"/>
    <n v="72.400000000000006"/>
    <n v="-4.7835605766164004"/>
    <n v="1294.6772117449104"/>
    <n v="0"/>
    <n v="1"/>
    <n v="0"/>
    <n v="0"/>
    <n v="0"/>
    <n v="0"/>
    <n v="0"/>
    <n v="0"/>
    <n v="0"/>
    <n v="0"/>
  </r>
  <r>
    <d v="2017-07-30T00:00:00"/>
    <n v="2017"/>
    <x v="22"/>
    <s v="R"/>
    <s v="RS"/>
    <x v="9"/>
    <s v="SAS"/>
    <s v="H"/>
    <n v="1"/>
    <n v="1"/>
    <n v="0"/>
    <n v="0"/>
    <n v="0"/>
    <n v="0"/>
    <n v="1520.9240435102224"/>
    <n v="1299.4607723215267"/>
    <n v="0.85300764568052689"/>
    <n v="81"/>
    <n v="64"/>
    <n v="0"/>
    <n v="17"/>
    <n v="1"/>
    <n v="0.44948785934095398"/>
    <n v="1"/>
    <n v="72.55"/>
    <n v="72.55"/>
    <n v="4.7934712684187843"/>
    <n v="1525.7175147786411"/>
    <n v="1"/>
    <n v="0"/>
    <n v="0"/>
    <n v="0"/>
    <n v="0"/>
    <n v="0"/>
    <n v="0"/>
    <n v="0"/>
    <n v="0"/>
    <n v="0"/>
  </r>
  <r>
    <d v="2017-08-01T00:00:00"/>
    <n v="2017"/>
    <x v="22"/>
    <s v="R"/>
    <s v="RS"/>
    <x v="5"/>
    <s v="SAS"/>
    <s v="A"/>
    <n v="1"/>
    <n v="1"/>
    <n v="0"/>
    <n v="0"/>
    <n v="0"/>
    <n v="0"/>
    <n v="1524.9400564729162"/>
    <n v="1294.6772117449104"/>
    <n v="0.69887714160874392"/>
    <n v="81"/>
    <n v="93"/>
    <n v="0"/>
    <n v="-12"/>
    <n v="0"/>
    <n v="0.38269562389138329"/>
    <n v="1"/>
    <n v="72.55"/>
    <n v="72.55"/>
    <n v="-19.404021581711973"/>
    <n v="1505.5360348912043"/>
    <n v="0"/>
    <n v="1"/>
    <n v="0"/>
    <n v="0"/>
    <n v="0"/>
    <n v="0"/>
    <n v="0"/>
    <n v="0"/>
    <n v="0"/>
    <n v="0"/>
  </r>
  <r>
    <d v="2017-08-01T00:00:00"/>
    <n v="2017"/>
    <x v="24"/>
    <s v="R"/>
    <s v="RS"/>
    <x v="4"/>
    <s v="NYL"/>
    <s v="H"/>
    <n v="1"/>
    <n v="1"/>
    <n v="0"/>
    <n v="0"/>
    <n v="0"/>
    <n v="0"/>
    <n v="1294.6772117449104"/>
    <n v="1524.9400564729162"/>
    <n v="0.30112285839125613"/>
    <n v="93"/>
    <n v="81"/>
    <n v="0"/>
    <n v="12"/>
    <n v="1"/>
    <n v="0.38269562389138329"/>
    <n v="1"/>
    <n v="72.25"/>
    <n v="72.25"/>
    <n v="19.323784414592556"/>
    <n v="1314.0009961595031"/>
    <n v="1"/>
    <n v="0"/>
    <n v="0"/>
    <n v="0"/>
    <n v="0"/>
    <n v="0"/>
    <n v="0"/>
    <n v="0"/>
    <n v="0"/>
    <n v="0"/>
  </r>
  <r>
    <d v="2017-08-03T00:00:00"/>
    <n v="2017"/>
    <x v="23"/>
    <s v="R"/>
    <s v="RS"/>
    <x v="0"/>
    <s v="MIN"/>
    <s v="A"/>
    <n v="3"/>
    <n v="3"/>
    <n v="0"/>
    <n v="0"/>
    <n v="0"/>
    <n v="0"/>
    <n v="1461.9115807644685"/>
    <n v="1720.9032860123723"/>
    <n v="0.12191503751879068"/>
    <n v="54"/>
    <n v="69"/>
    <n v="0"/>
    <n v="-15"/>
    <n v="0"/>
    <n v="0.41358537645146298"/>
    <n v="1"/>
    <n v="72.400000000000006"/>
    <n v="72.400000000000006"/>
    <n v="-3.6505728321607576"/>
    <n v="1458.2610079323076"/>
    <n v="0"/>
    <n v="1"/>
    <n v="0"/>
    <n v="0"/>
    <n v="0"/>
    <n v="0"/>
    <n v="0"/>
    <n v="0"/>
    <n v="0"/>
    <n v="0"/>
  </r>
  <r>
    <d v="2017-08-03T00:00:00"/>
    <n v="2017"/>
    <x v="21"/>
    <s v="R"/>
    <s v="RS"/>
    <x v="7"/>
    <s v="ATL"/>
    <s v="H"/>
    <n v="3"/>
    <n v="3"/>
    <n v="0"/>
    <n v="0"/>
    <n v="0"/>
    <n v="0"/>
    <n v="1720.9032860123723"/>
    <n v="1461.9115807644685"/>
    <n v="0.87808496248120926"/>
    <n v="69"/>
    <n v="54"/>
    <n v="0"/>
    <n v="15"/>
    <n v="1"/>
    <n v="0.41358537645146298"/>
    <n v="1"/>
    <n v="72.7"/>
    <n v="72.7"/>
    <n v="3.66569951516695"/>
    <n v="1724.5689855275393"/>
    <n v="1"/>
    <n v="0"/>
    <n v="0"/>
    <n v="0"/>
    <n v="0"/>
    <n v="0"/>
    <n v="0"/>
    <n v="0"/>
    <n v="0"/>
    <n v="0"/>
  </r>
  <r>
    <d v="2017-08-04T00:00:00"/>
    <n v="2017"/>
    <x v="23"/>
    <s v="R"/>
    <s v="RS"/>
    <x v="9"/>
    <s v="CON"/>
    <s v="A"/>
    <n v="4"/>
    <n v="4"/>
    <n v="0"/>
    <n v="0"/>
    <n v="0"/>
    <n v="0"/>
    <n v="1525.7175147786411"/>
    <n v="1569.9183614588017"/>
    <n v="0.3234452767962373"/>
    <n v="92"/>
    <n v="93"/>
    <n v="0"/>
    <n v="-1"/>
    <n v="0"/>
    <n v="0.23550506812480571"/>
    <n v="1"/>
    <n v="72.400000000000006"/>
    <n v="72.400000000000006"/>
    <n v="-5.5149253409298229"/>
    <n v="1520.2025894377114"/>
    <n v="0"/>
    <n v="1"/>
    <n v="0"/>
    <n v="0"/>
    <n v="0"/>
    <n v="0"/>
    <n v="0"/>
    <n v="0"/>
    <n v="0"/>
    <n v="0"/>
  </r>
  <r>
    <d v="2017-08-04T00:00:00"/>
    <n v="2017"/>
    <x v="23"/>
    <s v="R"/>
    <s v="RS"/>
    <x v="1"/>
    <s v="PHX"/>
    <s v="H"/>
    <n v="4"/>
    <n v="4"/>
    <n v="0"/>
    <n v="0"/>
    <n v="0"/>
    <n v="0"/>
    <n v="1569.9183614588017"/>
    <n v="1525.7175147786411"/>
    <n v="0.67655472320376275"/>
    <n v="93"/>
    <n v="92"/>
    <n v="0"/>
    <n v="1"/>
    <n v="1"/>
    <n v="0.23550506812480571"/>
    <n v="1"/>
    <n v="72.400000000000006"/>
    <n v="72.400000000000006"/>
    <n v="5.514925340929822"/>
    <n v="1575.4332867997314"/>
    <n v="1"/>
    <n v="0"/>
    <n v="0"/>
    <n v="0"/>
    <n v="0"/>
    <n v="0"/>
    <n v="0"/>
    <n v="0"/>
    <n v="0"/>
    <n v="0"/>
  </r>
  <r>
    <d v="2017-08-04T00:00:00"/>
    <n v="2017"/>
    <x v="23"/>
    <s v="R"/>
    <s v="RS"/>
    <x v="2"/>
    <s v="DAL"/>
    <s v="A"/>
    <n v="4"/>
    <n v="4"/>
    <n v="0"/>
    <n v="0"/>
    <n v="0"/>
    <n v="0"/>
    <n v="1470.8436965968481"/>
    <n v="1417.0927241506597"/>
    <n v="0.45657780931821712"/>
    <n v="80"/>
    <n v="93"/>
    <n v="0"/>
    <n v="-13"/>
    <n v="0"/>
    <n v="0.45180623523006158"/>
    <n v="1"/>
    <n v="72.400000000000006"/>
    <n v="72.400000000000006"/>
    <n v="-14.935012360918051"/>
    <n v="1455.90868423593"/>
    <n v="0"/>
    <n v="1"/>
    <n v="0"/>
    <n v="0"/>
    <n v="0"/>
    <n v="0"/>
    <n v="0"/>
    <n v="0"/>
    <n v="0"/>
    <n v="0"/>
  </r>
  <r>
    <d v="2017-08-04T00:00:00"/>
    <n v="2017"/>
    <x v="25"/>
    <s v="R"/>
    <s v="RS"/>
    <x v="8"/>
    <s v="SEA"/>
    <s v="H"/>
    <n v="4"/>
    <n v="4"/>
    <n v="0"/>
    <n v="0"/>
    <n v="0"/>
    <n v="0"/>
    <n v="1417.0927241506597"/>
    <n v="1470.8436965968481"/>
    <n v="0.54342219068178277"/>
    <n v="93"/>
    <n v="80"/>
    <n v="0"/>
    <n v="13"/>
    <n v="1"/>
    <n v="0.45180623523006158"/>
    <n v="1"/>
    <n v="72.099999999999994"/>
    <n v="72.099999999999994"/>
    <n v="14.873126950582755"/>
    <n v="1431.9658511012424"/>
    <n v="1"/>
    <n v="0"/>
    <n v="0"/>
    <n v="0"/>
    <n v="0"/>
    <n v="0"/>
    <n v="0"/>
    <n v="0"/>
    <n v="0"/>
    <n v="0"/>
  </r>
  <r>
    <d v="2017-08-04T00:00:00"/>
    <n v="2017"/>
    <x v="24"/>
    <s v="R"/>
    <s v="RS"/>
    <x v="6"/>
    <s v="IND"/>
    <s v="A"/>
    <n v="4"/>
    <n v="4"/>
    <n v="0"/>
    <n v="0"/>
    <n v="0"/>
    <n v="0"/>
    <n v="1424.6830005797965"/>
    <n v="1388.4821987845326"/>
    <n v="0.43164216137213329"/>
    <n v="81"/>
    <n v="70"/>
    <n v="0"/>
    <n v="11"/>
    <n v="1"/>
    <n v="0.42695585016824067"/>
    <n v="1"/>
    <n v="72.25"/>
    <n v="72.25"/>
    <n v="17.532452627810194"/>
    <n v="1442.2154532076067"/>
    <n v="1"/>
    <n v="0"/>
    <n v="0"/>
    <n v="0"/>
    <n v="0"/>
    <n v="0"/>
    <n v="0"/>
    <n v="0"/>
    <n v="0"/>
    <n v="0"/>
  </r>
  <r>
    <d v="2017-08-04T00:00:00"/>
    <n v="2017"/>
    <x v="24"/>
    <s v="R"/>
    <s v="RS"/>
    <x v="10"/>
    <s v="CHI"/>
    <s v="H"/>
    <n v="4"/>
    <n v="4"/>
    <n v="0"/>
    <n v="0"/>
    <n v="0"/>
    <n v="0"/>
    <n v="1388.4821987845326"/>
    <n v="1424.6830005797965"/>
    <n v="0.5683578386278666"/>
    <n v="70"/>
    <n v="81"/>
    <n v="0"/>
    <n v="-11"/>
    <n v="0"/>
    <n v="0.42695585016824067"/>
    <n v="1"/>
    <n v="72.25"/>
    <n v="72.25"/>
    <n v="-17.532452627810191"/>
    <n v="1370.9497461567223"/>
    <n v="0"/>
    <n v="1"/>
    <n v="0"/>
    <n v="0"/>
    <n v="0"/>
    <n v="0"/>
    <n v="0"/>
    <n v="0"/>
    <n v="0"/>
    <n v="0"/>
  </r>
  <r>
    <d v="2017-08-04T00:00:00"/>
    <n v="2017"/>
    <x v="23"/>
    <s v="R"/>
    <s v="RS"/>
    <x v="5"/>
    <s v="LAS"/>
    <s v="A"/>
    <n v="2"/>
    <n v="4"/>
    <n v="-2"/>
    <n v="2"/>
    <n v="-16"/>
    <n v="16"/>
    <n v="1505.5360348912043"/>
    <n v="1648.619063897527"/>
    <n v="0.18371141796738574"/>
    <n v="74"/>
    <n v="87"/>
    <n v="0"/>
    <n v="-13"/>
    <n v="0"/>
    <n v="0.42175539005658486"/>
    <n v="1"/>
    <n v="72.400000000000006"/>
    <n v="72.400000000000006"/>
    <n v="-5.6096447257702549"/>
    <n v="1499.926390165434"/>
    <n v="0"/>
    <n v="1"/>
    <n v="0"/>
    <n v="0"/>
    <n v="0"/>
    <n v="0"/>
    <n v="0"/>
    <n v="0"/>
    <n v="0"/>
    <n v="0"/>
  </r>
  <r>
    <d v="2017-08-04T00:00:00"/>
    <n v="2017"/>
    <x v="23"/>
    <s v="R"/>
    <s v="RS"/>
    <x v="3"/>
    <s v="NYL"/>
    <s v="H"/>
    <n v="4"/>
    <n v="2"/>
    <n v="2"/>
    <n v="-2"/>
    <n v="16"/>
    <n v="-16"/>
    <n v="1648.619063897527"/>
    <n v="1505.5360348912043"/>
    <n v="0.81628858203261423"/>
    <n v="87"/>
    <n v="74"/>
    <n v="0"/>
    <n v="13"/>
    <n v="1"/>
    <n v="0.42175539005658486"/>
    <n v="1"/>
    <n v="72.400000000000006"/>
    <n v="72.400000000000006"/>
    <n v="5.6096447257702549"/>
    <n v="1654.2287086232973"/>
    <n v="1"/>
    <n v="0"/>
    <n v="0"/>
    <n v="0"/>
    <n v="0"/>
    <n v="0"/>
    <n v="0"/>
    <n v="0"/>
    <n v="0"/>
    <n v="0"/>
  </r>
  <r>
    <d v="2017-08-04T00:00:00"/>
    <n v="2017"/>
    <x v="23"/>
    <s v="R"/>
    <s v="RS"/>
    <x v="11"/>
    <s v="SAS"/>
    <s v="A"/>
    <n v="4"/>
    <n v="2"/>
    <n v="2"/>
    <n v="-2"/>
    <n v="16"/>
    <n v="-16"/>
    <n v="1553.1855204102878"/>
    <n v="1314.0009961595031"/>
    <n v="0.746024519351421"/>
    <n v="74"/>
    <n v="76"/>
    <n v="0"/>
    <n v="-2"/>
    <n v="0"/>
    <n v="0.22332757166001646"/>
    <n v="1"/>
    <n v="72.400000000000006"/>
    <n v="72.400000000000006"/>
    <n v="-12.062407927724269"/>
    <n v="1541.1231124825636"/>
    <n v="0"/>
    <n v="1"/>
    <n v="0"/>
    <n v="0"/>
    <n v="0"/>
    <n v="0"/>
    <n v="0"/>
    <n v="0"/>
    <n v="0"/>
    <n v="0"/>
  </r>
  <r>
    <d v="2017-08-04T00:00:00"/>
    <n v="2017"/>
    <x v="25"/>
    <s v="R"/>
    <s v="RS"/>
    <x v="4"/>
    <s v="WAS"/>
    <s v="H"/>
    <n v="2"/>
    <n v="4"/>
    <n v="-2"/>
    <n v="2"/>
    <n v="-16"/>
    <n v="16"/>
    <n v="1314.0009961595031"/>
    <n v="1553.1855204102878"/>
    <n v="0.253975480648579"/>
    <n v="76"/>
    <n v="74"/>
    <n v="0"/>
    <n v="2"/>
    <n v="1"/>
    <n v="0.22332757166001646"/>
    <n v="1"/>
    <n v="72.099999999999994"/>
    <n v="72.099999999999994"/>
    <n v="12.012425574432591"/>
    <n v="1326.0134217339357"/>
    <n v="1"/>
    <n v="0"/>
    <n v="0"/>
    <n v="0"/>
    <n v="0"/>
    <n v="0"/>
    <n v="0"/>
    <n v="0"/>
    <n v="0"/>
    <n v="0"/>
  </r>
  <r>
    <d v="2017-08-05T00:00:00"/>
    <n v="2017"/>
    <x v="24"/>
    <s v="R"/>
    <s v="RS"/>
    <x v="0"/>
    <s v="CHI"/>
    <s v="A"/>
    <n v="1"/>
    <n v="0"/>
    <n v="1"/>
    <n v="-1"/>
    <n v="8"/>
    <n v="-8"/>
    <n v="1458.2610079323076"/>
    <n v="1442.2154532076067"/>
    <n v="0.42578390922343945"/>
    <n v="86"/>
    <n v="91"/>
    <n v="0"/>
    <n v="-5"/>
    <n v="0"/>
    <n v="0.32737850075330793"/>
    <n v="1"/>
    <n v="72.25"/>
    <n v="72.25"/>
    <n v="-10.071107969406169"/>
    <n v="1448.1898999629016"/>
    <n v="0"/>
    <n v="1"/>
    <n v="0"/>
    <n v="0"/>
    <n v="0"/>
    <n v="0"/>
    <n v="0"/>
    <n v="0"/>
    <n v="0"/>
    <n v="0"/>
  </r>
  <r>
    <d v="2017-08-05T00:00:00"/>
    <n v="2017"/>
    <x v="25"/>
    <s v="R"/>
    <s v="RS"/>
    <x v="6"/>
    <s v="ATL"/>
    <s v="H"/>
    <n v="0"/>
    <n v="1"/>
    <n v="-1"/>
    <n v="1"/>
    <n v="-8"/>
    <n v="8"/>
    <n v="1442.2154532076067"/>
    <n v="1458.2610079323076"/>
    <n v="0.57421609077656055"/>
    <n v="91"/>
    <n v="86"/>
    <n v="0"/>
    <n v="5"/>
    <n v="1"/>
    <n v="0.32737850075330793"/>
    <n v="1"/>
    <n v="72.099999999999994"/>
    <n v="72.099999999999994"/>
    <n v="10.050199094729201"/>
    <n v="1452.2656523023359"/>
    <n v="1"/>
    <n v="0"/>
    <n v="0"/>
    <n v="0"/>
    <n v="0"/>
    <n v="0"/>
    <n v="0"/>
    <n v="0"/>
    <n v="0"/>
    <n v="0"/>
  </r>
  <r>
    <d v="2017-08-05T00:00:00"/>
    <n v="2017"/>
    <x v="24"/>
    <s v="R"/>
    <s v="RS"/>
    <x v="2"/>
    <s v="SAS"/>
    <s v="A"/>
    <n v="0"/>
    <n v="0"/>
    <n v="0"/>
    <n v="0"/>
    <n v="0"/>
    <n v="0"/>
    <n v="1455.90868423593"/>
    <n v="1326.0134217339357"/>
    <n v="0.56566707944216787"/>
    <n v="80"/>
    <n v="87"/>
    <n v="1"/>
    <n v="-7"/>
    <n v="0"/>
    <n v="0.30056182434556661"/>
    <n v="1"/>
    <n v="72.25"/>
    <n v="72.25"/>
    <n v="-12.283795396936732"/>
    <n v="1443.6248888389932"/>
    <n v="0"/>
    <n v="1"/>
    <n v="0"/>
    <n v="0"/>
    <n v="0"/>
    <n v="0"/>
    <n v="0"/>
    <n v="0"/>
    <n v="0"/>
    <n v="0"/>
  </r>
  <r>
    <d v="2017-08-05T00:00:00"/>
    <n v="2017"/>
    <x v="26"/>
    <s v="R"/>
    <s v="RS"/>
    <x v="4"/>
    <s v="SEA"/>
    <s v="H"/>
    <n v="0"/>
    <n v="0"/>
    <n v="0"/>
    <n v="0"/>
    <n v="0"/>
    <n v="0"/>
    <n v="1326.0134217339357"/>
    <n v="1455.90868423593"/>
    <n v="0.43433292055783224"/>
    <n v="87"/>
    <n v="80"/>
    <n v="1"/>
    <n v="7"/>
    <n v="1"/>
    <n v="0.30056182434556661"/>
    <n v="1"/>
    <n v="71.95"/>
    <n v="71.95"/>
    <n v="12.23279001812592"/>
    <n v="1338.2462117520618"/>
    <n v="1"/>
    <n v="0"/>
    <n v="0"/>
    <n v="0"/>
    <n v="0"/>
    <n v="0"/>
    <n v="0"/>
    <n v="0"/>
    <n v="0"/>
    <n v="0"/>
  </r>
  <r>
    <d v="2017-08-06T00:00:00"/>
    <n v="2017"/>
    <x v="24"/>
    <s v="R"/>
    <s v="RS"/>
    <x v="3"/>
    <s v="DAL"/>
    <s v="A"/>
    <n v="1"/>
    <n v="1"/>
    <n v="0"/>
    <n v="0"/>
    <n v="0"/>
    <n v="0"/>
    <n v="1654.2287086232973"/>
    <n v="1431.9658511012424"/>
    <n v="0.68909783729836338"/>
    <n v="79"/>
    <n v="85"/>
    <n v="0"/>
    <n v="-6"/>
    <n v="0"/>
    <n v="0.29638467395795948"/>
    <n v="1"/>
    <n v="72.25"/>
    <n v="72.25"/>
    <n v="-14.756198233420553"/>
    <n v="1639.4725103898768"/>
    <n v="0"/>
    <n v="1"/>
    <n v="0"/>
    <n v="0"/>
    <n v="0"/>
    <n v="0"/>
    <n v="0"/>
    <n v="0"/>
    <n v="0"/>
    <n v="0"/>
  </r>
  <r>
    <d v="2017-08-06T00:00:00"/>
    <n v="2017"/>
    <x v="26"/>
    <s v="R"/>
    <s v="RS"/>
    <x v="8"/>
    <s v="LAS"/>
    <s v="H"/>
    <n v="1"/>
    <n v="1"/>
    <n v="0"/>
    <n v="0"/>
    <n v="0"/>
    <n v="0"/>
    <n v="1431.9658511012424"/>
    <n v="1654.2287086232973"/>
    <n v="0.31090216270163668"/>
    <n v="85"/>
    <n v="79"/>
    <n v="0"/>
    <n v="6"/>
    <n v="1"/>
    <n v="0.29638467395795948"/>
    <n v="1"/>
    <n v="71.95"/>
    <n v="71.95"/>
    <n v="14.694926822070713"/>
    <n v="1446.6607779233132"/>
    <n v="1"/>
    <n v="0"/>
    <n v="0"/>
    <n v="0"/>
    <n v="0"/>
    <n v="0"/>
    <n v="0"/>
    <n v="0"/>
    <n v="0"/>
    <n v="0"/>
  </r>
  <r>
    <d v="2017-08-06T00:00:00"/>
    <n v="2017"/>
    <x v="22"/>
    <s v="R"/>
    <s v="RS"/>
    <x v="7"/>
    <s v="IND"/>
    <s v="A"/>
    <n v="2"/>
    <n v="1"/>
    <n v="1"/>
    <n v="-1"/>
    <n v="8"/>
    <n v="-8"/>
    <n v="1724.5689855275393"/>
    <n v="1370.9497461567223"/>
    <n v="0.83809972084775297"/>
    <n v="82"/>
    <n v="84"/>
    <n v="0"/>
    <n v="-2"/>
    <n v="0"/>
    <n v="0.20687796393520971"/>
    <n v="1"/>
    <n v="72.55"/>
    <n v="72.55"/>
    <n v="-12.579035595405863"/>
    <n v="1711.9899499321334"/>
    <n v="0"/>
    <n v="1"/>
    <n v="0"/>
    <n v="0"/>
    <n v="0"/>
    <n v="0"/>
    <n v="0"/>
    <n v="0"/>
    <n v="0"/>
    <n v="0"/>
  </r>
  <r>
    <d v="2017-08-06T00:00:00"/>
    <n v="2017"/>
    <x v="25"/>
    <s v="R"/>
    <s v="RS"/>
    <x v="10"/>
    <s v="MIN"/>
    <s v="H"/>
    <n v="1"/>
    <n v="2"/>
    <n v="-1"/>
    <n v="1"/>
    <n v="-8"/>
    <n v="8"/>
    <n v="1370.9497461567223"/>
    <n v="1724.5689855275393"/>
    <n v="0.16190027915224697"/>
    <n v="84"/>
    <n v="82"/>
    <n v="0"/>
    <n v="2"/>
    <n v="1"/>
    <n v="0.20687796393520971"/>
    <n v="1"/>
    <n v="72.099999999999994"/>
    <n v="72.099999999999994"/>
    <n v="12.501012631685219"/>
    <n v="1383.4507587884075"/>
    <n v="1"/>
    <n v="0"/>
    <n v="0"/>
    <n v="0"/>
    <n v="0"/>
    <n v="0"/>
    <n v="0"/>
    <n v="0"/>
    <n v="0"/>
    <n v="0"/>
  </r>
  <r>
    <d v="2017-08-06T00:00:00"/>
    <n v="2017"/>
    <x v="24"/>
    <s v="R"/>
    <s v="RS"/>
    <x v="9"/>
    <s v="WAS"/>
    <s v="A"/>
    <n v="1"/>
    <n v="1"/>
    <n v="0"/>
    <n v="0"/>
    <n v="0"/>
    <n v="0"/>
    <n v="1520.2025894377114"/>
    <n v="1541.1231124825636"/>
    <n v="0.3534356994629293"/>
    <n v="80"/>
    <n v="85"/>
    <n v="0"/>
    <n v="-5"/>
    <n v="0"/>
    <n v="0.32607132326734772"/>
    <n v="1"/>
    <n v="72.25"/>
    <n v="72.25"/>
    <n v="-8.3264690389469038"/>
    <n v="1511.8761203987644"/>
    <n v="0"/>
    <n v="1"/>
    <n v="0"/>
    <n v="0"/>
    <n v="0"/>
    <n v="0"/>
    <n v="0"/>
    <n v="0"/>
    <n v="0"/>
    <n v="0"/>
  </r>
  <r>
    <d v="2017-08-06T00:00:00"/>
    <n v="2017"/>
    <x v="24"/>
    <s v="R"/>
    <s v="RS"/>
    <x v="11"/>
    <s v="PHX"/>
    <s v="H"/>
    <n v="1"/>
    <n v="1"/>
    <n v="0"/>
    <n v="0"/>
    <n v="0"/>
    <n v="0"/>
    <n v="1541.1231124825636"/>
    <n v="1520.2025894377114"/>
    <n v="0.6465643005370707"/>
    <n v="85"/>
    <n v="80"/>
    <n v="0"/>
    <n v="5"/>
    <n v="1"/>
    <n v="0.32607132326734772"/>
    <n v="1"/>
    <n v="72.25"/>
    <n v="72.25"/>
    <n v="8.3264690389469038"/>
    <n v="1549.4495815215105"/>
    <n v="1"/>
    <n v="0"/>
    <n v="0"/>
    <n v="0"/>
    <n v="0"/>
    <n v="0"/>
    <n v="0"/>
    <n v="0"/>
    <n v="0"/>
    <n v="0"/>
  </r>
  <r>
    <d v="2017-08-08T00:00:00"/>
    <n v="2017"/>
    <x v="23"/>
    <s v="R"/>
    <s v="RS"/>
    <x v="7"/>
    <s v="ATL"/>
    <s v="A"/>
    <n v="1"/>
    <n v="2"/>
    <n v="-1"/>
    <n v="1"/>
    <n v="-8"/>
    <n v="8"/>
    <n v="1711.9899499321334"/>
    <n v="1448.1898999629016"/>
    <n v="0.71968686361190148"/>
    <n v="81"/>
    <n v="72"/>
    <n v="0"/>
    <n v="9"/>
    <n v="1"/>
    <n v="0.33280900119311468"/>
    <n v="1"/>
    <n v="72.400000000000006"/>
    <n v="72.400000000000006"/>
    <n v="6.7542492098465861"/>
    <n v="1718.7441991419801"/>
    <n v="1"/>
    <n v="0"/>
    <n v="0"/>
    <n v="0"/>
    <n v="0"/>
    <n v="0"/>
    <n v="0"/>
    <n v="0"/>
    <n v="0"/>
    <n v="0"/>
  </r>
  <r>
    <d v="2017-08-08T00:00:00"/>
    <n v="2017"/>
    <x v="25"/>
    <s v="R"/>
    <s v="RS"/>
    <x v="0"/>
    <s v="MIN"/>
    <s v="H"/>
    <n v="2"/>
    <n v="1"/>
    <n v="1"/>
    <n v="-1"/>
    <n v="8"/>
    <n v="-8"/>
    <n v="1448.1898999629016"/>
    <n v="1711.9899499321334"/>
    <n v="0.28031313638809846"/>
    <n v="72"/>
    <n v="81"/>
    <n v="0"/>
    <n v="-9"/>
    <n v="0"/>
    <n v="0.33280900119311468"/>
    <n v="1"/>
    <n v="72.099999999999994"/>
    <n v="72.099999999999994"/>
    <n v="-6.7262619893637936"/>
    <n v="1441.4636379735377"/>
    <n v="0"/>
    <n v="1"/>
    <n v="0"/>
    <n v="0"/>
    <n v="0"/>
    <n v="0"/>
    <n v="0"/>
    <n v="0"/>
    <n v="0"/>
    <n v="0"/>
  </r>
  <r>
    <d v="2017-08-08T00:00:00"/>
    <n v="2017"/>
    <x v="25"/>
    <s v="R"/>
    <s v="RS"/>
    <x v="2"/>
    <s v="CON"/>
    <s v="A"/>
    <n v="2"/>
    <n v="3"/>
    <n v="-1"/>
    <n v="1"/>
    <n v="-8"/>
    <n v="8"/>
    <n v="1443.6248888389932"/>
    <n v="1575.4332867997314"/>
    <n v="0.20843307829189647"/>
    <n v="71"/>
    <n v="84"/>
    <n v="0"/>
    <n v="-13"/>
    <n v="0"/>
    <n v="0.42532582588027812"/>
    <n v="1"/>
    <n v="72.099999999999994"/>
    <n v="72.099999999999994"/>
    <n v="-6.3918071210159333"/>
    <n v="1437.2330817179773"/>
    <n v="0"/>
    <n v="1"/>
    <n v="0"/>
    <n v="0"/>
    <n v="0"/>
    <n v="0"/>
    <n v="0"/>
    <n v="0"/>
    <n v="0"/>
    <n v="0"/>
  </r>
  <r>
    <d v="2017-08-08T00:00:00"/>
    <n v="2017"/>
    <x v="24"/>
    <s v="R"/>
    <s v="RS"/>
    <x v="1"/>
    <s v="SEA"/>
    <s v="H"/>
    <n v="3"/>
    <n v="2"/>
    <n v="1"/>
    <n v="-1"/>
    <n v="8"/>
    <n v="-8"/>
    <n v="1575.4332867997314"/>
    <n v="1443.6248888389932"/>
    <n v="0.79156692170810361"/>
    <n v="84"/>
    <n v="71"/>
    <n v="0"/>
    <n v="13"/>
    <n v="1"/>
    <n v="0.42532582588027812"/>
    <n v="1"/>
    <n v="72.25"/>
    <n v="72.25"/>
    <n v="6.4051049166907212"/>
    <n v="1581.8383917164222"/>
    <n v="1"/>
    <n v="0"/>
    <n v="0"/>
    <n v="0"/>
    <n v="0"/>
    <n v="0"/>
    <n v="0"/>
    <n v="0"/>
    <n v="0"/>
    <n v="0"/>
  </r>
  <r>
    <d v="2017-08-08T00:00:00"/>
    <n v="2017"/>
    <x v="26"/>
    <s v="R"/>
    <s v="RS"/>
    <x v="10"/>
    <s v="NYL"/>
    <s v="A"/>
    <n v="1"/>
    <n v="3"/>
    <n v="-2"/>
    <n v="2"/>
    <n v="-16"/>
    <n v="16"/>
    <n v="1383.4507587884075"/>
    <n v="1499.926390165434"/>
    <n v="0.2078000820280749"/>
    <n v="76"/>
    <n v="81"/>
    <n v="0"/>
    <n v="-5"/>
    <n v="0"/>
    <n v="0.30240375215838922"/>
    <n v="1"/>
    <n v="71.95"/>
    <n v="71.95"/>
    <n v="-4.5213037880707798"/>
    <n v="1378.9294550003367"/>
    <n v="0"/>
    <n v="1"/>
    <n v="0"/>
    <n v="0"/>
    <n v="0"/>
    <n v="0"/>
    <n v="0"/>
    <n v="0"/>
    <n v="0"/>
    <n v="0"/>
  </r>
  <r>
    <d v="2017-08-08T00:00:00"/>
    <n v="2017"/>
    <x v="24"/>
    <s v="R"/>
    <s v="RS"/>
    <x v="5"/>
    <s v="IND"/>
    <s v="H"/>
    <n v="3"/>
    <n v="1"/>
    <n v="2"/>
    <n v="-2"/>
    <n v="16"/>
    <n v="-16"/>
    <n v="1499.926390165434"/>
    <n v="1383.4507587884075"/>
    <n v="0.79219991797192513"/>
    <n v="81"/>
    <n v="76"/>
    <n v="0"/>
    <n v="5"/>
    <n v="1"/>
    <n v="0.30240375215838922"/>
    <n v="1"/>
    <n v="72.25"/>
    <n v="72.25"/>
    <n v="4.5401556454220122"/>
    <n v="1504.4665458108559"/>
    <n v="1"/>
    <n v="0"/>
    <n v="0"/>
    <n v="0"/>
    <n v="0"/>
    <n v="0"/>
    <n v="0"/>
    <n v="0"/>
    <n v="0"/>
    <n v="0"/>
  </r>
  <r>
    <d v="2017-08-10T00:00:00"/>
    <n v="2017"/>
    <x v="27"/>
    <s v="R"/>
    <s v="RS"/>
    <x v="4"/>
    <s v="CHI"/>
    <s v="A"/>
    <n v="4"/>
    <n v="4"/>
    <n v="0"/>
    <n v="0"/>
    <n v="0"/>
    <n v="0"/>
    <n v="1338.2462117520618"/>
    <n v="1452.2656523023359"/>
    <n v="0.24234027680574924"/>
    <n v="74"/>
    <n v="94"/>
    <n v="0"/>
    <n v="-20"/>
    <n v="0"/>
    <n v="0.52500351930996647"/>
    <n v="1"/>
    <n v="71.8"/>
    <n v="71.8"/>
    <n v="-9.13507797029831"/>
    <n v="1329.1111337817636"/>
    <n v="0"/>
    <n v="1"/>
    <n v="0"/>
    <n v="0"/>
    <n v="0"/>
    <n v="0"/>
    <n v="0"/>
    <n v="0"/>
    <n v="0"/>
    <n v="0"/>
  </r>
  <r>
    <d v="2017-08-10T00:00:00"/>
    <n v="2017"/>
    <x v="26"/>
    <s v="R"/>
    <s v="RS"/>
    <x v="6"/>
    <s v="SAS"/>
    <s v="H"/>
    <n v="4"/>
    <n v="4"/>
    <n v="0"/>
    <n v="0"/>
    <n v="0"/>
    <n v="0"/>
    <n v="1452.2656523023359"/>
    <n v="1338.2462117520618"/>
    <n v="0.75765972319425079"/>
    <n v="94"/>
    <n v="74"/>
    <n v="0"/>
    <n v="20"/>
    <n v="1"/>
    <n v="0.52500351930996647"/>
    <n v="1"/>
    <n v="71.95"/>
    <n v="71.95"/>
    <n v="9.1541623950273472"/>
    <n v="1461.4198146973631"/>
    <n v="1"/>
    <n v="0"/>
    <n v="0"/>
    <n v="0"/>
    <n v="0"/>
    <n v="0"/>
    <n v="0"/>
    <n v="0"/>
    <n v="0"/>
    <n v="0"/>
  </r>
  <r>
    <d v="2017-08-10T00:00:00"/>
    <n v="2017"/>
    <x v="25"/>
    <s v="R"/>
    <s v="RS"/>
    <x v="9"/>
    <s v="DAL"/>
    <s v="A"/>
    <n v="3"/>
    <n v="3"/>
    <n v="0"/>
    <n v="0"/>
    <n v="0"/>
    <n v="0"/>
    <n v="1511.8761203987644"/>
    <n v="1446.6607779233132"/>
    <n v="0.47299301519926229"/>
    <n v="101"/>
    <n v="100"/>
    <n v="1"/>
    <n v="1"/>
    <n v="1"/>
    <n v="0.20843411851657476"/>
    <n v="1"/>
    <n v="72.099999999999994"/>
    <n v="72.099999999999994"/>
    <n v="7.919913639322318"/>
    <n v="1519.7960340380869"/>
    <n v="1"/>
    <n v="0"/>
    <n v="0"/>
    <n v="0"/>
    <n v="0"/>
    <n v="0"/>
    <n v="0"/>
    <n v="0"/>
    <n v="0"/>
    <n v="0"/>
  </r>
  <r>
    <d v="2017-08-10T00:00:00"/>
    <n v="2017"/>
    <x v="27"/>
    <s v="R"/>
    <s v="RS"/>
    <x v="8"/>
    <s v="PHX"/>
    <s v="H"/>
    <n v="3"/>
    <n v="3"/>
    <n v="0"/>
    <n v="0"/>
    <n v="0"/>
    <n v="0"/>
    <n v="1446.6607779233132"/>
    <n v="1511.8761203987644"/>
    <n v="0.52700698480073771"/>
    <n v="100"/>
    <n v="101"/>
    <n v="1"/>
    <n v="-1"/>
    <n v="0"/>
    <n v="0.20843411851657476"/>
    <n v="1"/>
    <n v="71.8"/>
    <n v="71.8"/>
    <n v="-7.8869597684236128"/>
    <n v="1438.7738181548896"/>
    <n v="0"/>
    <n v="1"/>
    <n v="0"/>
    <n v="0"/>
    <n v="0"/>
    <n v="0"/>
    <n v="0"/>
    <n v="0"/>
    <n v="0"/>
    <n v="0"/>
  </r>
  <r>
    <d v="2017-08-11T00:00:00"/>
    <n v="2017"/>
    <x v="25"/>
    <s v="R"/>
    <s v="RS"/>
    <x v="5"/>
    <s v="ATL"/>
    <s v="A"/>
    <n v="2"/>
    <n v="2"/>
    <n v="0"/>
    <n v="0"/>
    <n v="0"/>
    <n v="0"/>
    <n v="1504.4665458108559"/>
    <n v="1441.4636379735377"/>
    <n v="0.4698194894614709"/>
    <n v="83"/>
    <n v="77"/>
    <n v="0"/>
    <n v="6"/>
    <n v="1"/>
    <n v="0.33375767442293675"/>
    <n v="1"/>
    <n v="72.099999999999994"/>
    <n v="72.099999999999994"/>
    <n v="12.758225805384914"/>
    <n v="1517.2247716162408"/>
    <n v="1"/>
    <n v="0"/>
    <n v="0"/>
    <n v="0"/>
    <n v="0"/>
    <n v="0"/>
    <n v="0"/>
    <n v="0"/>
    <n v="0"/>
    <n v="0"/>
  </r>
  <r>
    <d v="2017-08-11T00:00:00"/>
    <n v="2017"/>
    <x v="26"/>
    <s v="R"/>
    <s v="RS"/>
    <x v="0"/>
    <s v="NYL"/>
    <s v="H"/>
    <n v="2"/>
    <n v="2"/>
    <n v="0"/>
    <n v="0"/>
    <n v="0"/>
    <n v="0"/>
    <n v="1441.4636379735377"/>
    <n v="1504.4665458108559"/>
    <n v="0.5301805105385291"/>
    <n v="77"/>
    <n v="83"/>
    <n v="0"/>
    <n v="-6"/>
    <n v="0"/>
    <n v="0.33375767442293675"/>
    <n v="1"/>
    <n v="71.95"/>
    <n v="71.95"/>
    <n v="-12.73168303325166"/>
    <n v="1428.7319549402862"/>
    <n v="0"/>
    <n v="1"/>
    <n v="0"/>
    <n v="0"/>
    <n v="0"/>
    <n v="0"/>
    <n v="0"/>
    <n v="0"/>
    <n v="0"/>
    <n v="0"/>
  </r>
  <r>
    <d v="2017-08-11T00:00:00"/>
    <n v="2017"/>
    <x v="25"/>
    <s v="R"/>
    <s v="RS"/>
    <x v="3"/>
    <s v="MIN"/>
    <s v="A"/>
    <n v="4"/>
    <n v="2"/>
    <n v="2"/>
    <n v="-2"/>
    <n v="16"/>
    <n v="-16"/>
    <n v="1639.4725103898768"/>
    <n v="1718.7441991419801"/>
    <n v="0.31958914089632301"/>
    <n v="70"/>
    <n v="64"/>
    <n v="0"/>
    <n v="6"/>
    <n v="1"/>
    <n v="0.3295132042829686"/>
    <n v="1"/>
    <n v="72.099999999999994"/>
    <n v="72.099999999999994"/>
    <n v="16.165134529918184"/>
    <n v="1655.6376449197949"/>
    <n v="1"/>
    <n v="0"/>
    <n v="0"/>
    <n v="0"/>
    <n v="0"/>
    <n v="0"/>
    <n v="0"/>
    <n v="0"/>
    <n v="0"/>
    <n v="0"/>
  </r>
  <r>
    <d v="2017-08-11T00:00:00"/>
    <n v="2017"/>
    <x v="24"/>
    <s v="R"/>
    <s v="RS"/>
    <x v="7"/>
    <s v="LAS"/>
    <s v="H"/>
    <n v="2"/>
    <n v="4"/>
    <n v="-2"/>
    <n v="2"/>
    <n v="-16"/>
    <n v="16"/>
    <n v="1718.7441991419801"/>
    <n v="1639.4725103898768"/>
    <n v="0.68041085910367693"/>
    <n v="64"/>
    <n v="70"/>
    <n v="0"/>
    <n v="-6"/>
    <n v="0"/>
    <n v="0.3295132042829686"/>
    <n v="1"/>
    <n v="72.25"/>
    <n v="72.25"/>
    <n v="-16.19876518428001"/>
    <n v="1702.5454339577"/>
    <n v="0"/>
    <n v="1"/>
    <n v="0"/>
    <n v="0"/>
    <n v="0"/>
    <n v="0"/>
    <n v="0"/>
    <n v="0"/>
    <n v="0"/>
    <n v="0"/>
  </r>
  <r>
    <d v="2017-08-12T00:00:00"/>
    <n v="2017"/>
    <x v="28"/>
    <s v="R"/>
    <s v="RS"/>
    <x v="8"/>
    <s v="CON"/>
    <s v="A"/>
    <n v="1"/>
    <n v="3"/>
    <n v="-2"/>
    <n v="2"/>
    <n v="-16"/>
    <n v="16"/>
    <n v="1438.7738181548896"/>
    <n v="1581.8383917164222"/>
    <n v="0.18372735012806993"/>
    <n v="88"/>
    <n v="96"/>
    <n v="0"/>
    <n v="-8"/>
    <n v="0"/>
    <n v="0.34695177817692452"/>
    <n v="1"/>
    <n v="71.650000000000006"/>
    <n v="71.650000000000006"/>
    <n v="-4.5672956337307813"/>
    <n v="1434.2065225211588"/>
    <n v="0"/>
    <n v="1"/>
    <n v="0"/>
    <n v="0"/>
    <n v="0"/>
    <n v="0"/>
    <n v="0"/>
    <n v="0"/>
    <n v="0"/>
    <n v="0"/>
  </r>
  <r>
    <d v="2017-08-12T00:00:00"/>
    <n v="2017"/>
    <x v="25"/>
    <s v="R"/>
    <s v="RS"/>
    <x v="1"/>
    <s v="DAL"/>
    <s v="H"/>
    <n v="3"/>
    <n v="1"/>
    <n v="2"/>
    <n v="-2"/>
    <n v="16"/>
    <n v="-16"/>
    <n v="1581.8383917164222"/>
    <n v="1438.7738181548896"/>
    <n v="0.81627264987193004"/>
    <n v="96"/>
    <n v="88"/>
    <n v="0"/>
    <n v="8"/>
    <n v="1"/>
    <n v="0.34695177817692452"/>
    <n v="1"/>
    <n v="72.099999999999994"/>
    <n v="72.099999999999994"/>
    <n v="4.5959806726027823"/>
    <n v="1586.4343723890249"/>
    <n v="1"/>
    <n v="0"/>
    <n v="0"/>
    <n v="0"/>
    <n v="0"/>
    <n v="0"/>
    <n v="0"/>
    <n v="0"/>
    <n v="0"/>
    <n v="0"/>
  </r>
  <r>
    <d v="2017-08-12T00:00:00"/>
    <n v="2017"/>
    <x v="26"/>
    <s v="R"/>
    <s v="RS"/>
    <x v="2"/>
    <s v="PHX"/>
    <s v="A"/>
    <n v="3"/>
    <n v="1"/>
    <n v="2"/>
    <n v="-2"/>
    <n v="16"/>
    <n v="-16"/>
    <n v="1437.2330817179773"/>
    <n v="1519.7960340380869"/>
    <n v="0.31548344530897304"/>
    <n v="98"/>
    <n v="89"/>
    <n v="0"/>
    <n v="9"/>
    <n v="1"/>
    <n v="0.37983775509453643"/>
    <n v="1"/>
    <n v="71.95"/>
    <n v="71.95"/>
    <n v="18.70737640346686"/>
    <n v="1455.9404581214442"/>
    <n v="1"/>
    <n v="0"/>
    <n v="0"/>
    <n v="0"/>
    <n v="0"/>
    <n v="0"/>
    <n v="0"/>
    <n v="0"/>
    <n v="0"/>
    <n v="0"/>
  </r>
  <r>
    <d v="2017-08-12T00:00:00"/>
    <n v="2017"/>
    <x v="26"/>
    <s v="R"/>
    <s v="RS"/>
    <x v="9"/>
    <s v="SEA"/>
    <s v="H"/>
    <n v="1"/>
    <n v="3"/>
    <n v="-2"/>
    <n v="2"/>
    <n v="-16"/>
    <n v="16"/>
    <n v="1519.7960340380869"/>
    <n v="1437.2330817179773"/>
    <n v="0.6845165546910269"/>
    <n v="89"/>
    <n v="98"/>
    <n v="0"/>
    <n v="-9"/>
    <n v="0"/>
    <n v="0.37983775509453643"/>
    <n v="1"/>
    <n v="71.95"/>
    <n v="71.95"/>
    <n v="-18.707376403466856"/>
    <n v="1501.0886576346199"/>
    <n v="0"/>
    <n v="1"/>
    <n v="0"/>
    <n v="0"/>
    <n v="0"/>
    <n v="0"/>
    <n v="0"/>
    <n v="0"/>
    <n v="0"/>
    <n v="0"/>
  </r>
  <r>
    <d v="2017-08-12T00:00:00"/>
    <n v="2017"/>
    <x v="27"/>
    <s v="R"/>
    <s v="RS"/>
    <x v="0"/>
    <s v="SAS"/>
    <s v="A"/>
    <n v="0"/>
    <n v="1"/>
    <n v="-1"/>
    <n v="1"/>
    <n v="-8"/>
    <n v="8"/>
    <n v="1428.7319549402862"/>
    <n v="1329.1111337817636"/>
    <n v="0.49945431799917184"/>
    <n v="68"/>
    <n v="84"/>
    <n v="0"/>
    <n v="-16"/>
    <n v="0"/>
    <n v="0.47809578657118579"/>
    <n v="1"/>
    <n v="71.8"/>
    <n v="71.8"/>
    <n v="-17.144906960449585"/>
    <n v="1411.5870479798366"/>
    <n v="0"/>
    <n v="1"/>
    <n v="0"/>
    <n v="0"/>
    <n v="0"/>
    <n v="0"/>
    <n v="0"/>
    <n v="0"/>
    <n v="0"/>
    <n v="0"/>
  </r>
  <r>
    <d v="2017-08-12T00:00:00"/>
    <n v="2017"/>
    <x v="28"/>
    <s v="R"/>
    <s v="RS"/>
    <x v="4"/>
    <s v="ATL"/>
    <s v="H"/>
    <n v="1"/>
    <n v="0"/>
    <n v="1"/>
    <n v="-1"/>
    <n v="8"/>
    <n v="-8"/>
    <n v="1329.1111337817636"/>
    <n v="1428.7319549402862"/>
    <n v="0.50054568200082816"/>
    <n v="84"/>
    <n v="68"/>
    <n v="0"/>
    <n v="16"/>
    <n v="1"/>
    <n v="0.47809578657118579"/>
    <n v="1"/>
    <n v="71.650000000000006"/>
    <n v="71.650000000000006"/>
    <n v="17.10908890969656"/>
    <n v="1346.2202226914601"/>
    <n v="1"/>
    <n v="0"/>
    <n v="0"/>
    <n v="0"/>
    <n v="0"/>
    <n v="0"/>
    <n v="0"/>
    <n v="0"/>
    <n v="0"/>
    <n v="0"/>
  </r>
  <r>
    <d v="2017-08-12T00:00:00"/>
    <n v="2017"/>
    <x v="27"/>
    <s v="R"/>
    <s v="RS"/>
    <x v="10"/>
    <s v="WAS"/>
    <s v="A"/>
    <n v="3"/>
    <n v="5"/>
    <n v="-2"/>
    <n v="2"/>
    <n v="-16"/>
    <n v="16"/>
    <n v="1378.9294550003367"/>
    <n v="1549.4495815215105"/>
    <n v="0.16119784178841723"/>
    <n v="80"/>
    <n v="100"/>
    <n v="0"/>
    <n v="-20"/>
    <n v="0"/>
    <n v="0.50335986854983938"/>
    <n v="1"/>
    <n v="71.8"/>
    <n v="71.8"/>
    <n v="-5.8258896557351285"/>
    <n v="1373.1035653446015"/>
    <n v="0"/>
    <n v="1"/>
    <n v="0"/>
    <n v="0"/>
    <n v="0"/>
    <n v="0"/>
    <n v="0"/>
    <n v="0"/>
    <n v="0"/>
    <n v="0"/>
  </r>
  <r>
    <d v="2017-08-12T00:00:00"/>
    <n v="2017"/>
    <x v="25"/>
    <s v="R"/>
    <s v="RS"/>
    <x v="11"/>
    <s v="IND"/>
    <s v="H"/>
    <n v="5"/>
    <n v="3"/>
    <n v="2"/>
    <n v="-2"/>
    <n v="16"/>
    <n v="-16"/>
    <n v="1549.4495815215105"/>
    <n v="1378.9294550003367"/>
    <n v="0.83880215821158277"/>
    <n v="100"/>
    <n v="80"/>
    <n v="0"/>
    <n v="20"/>
    <n v="1"/>
    <n v="0.50335986854983938"/>
    <n v="1"/>
    <n v="72.099999999999994"/>
    <n v="72.099999999999994"/>
    <n v="5.8502318130710691"/>
    <n v="1555.2998133345816"/>
    <n v="1"/>
    <n v="0"/>
    <n v="0"/>
    <n v="0"/>
    <n v="0"/>
    <n v="0"/>
    <n v="0"/>
    <n v="0"/>
    <n v="0"/>
    <n v="0"/>
  </r>
  <r>
    <d v="2017-08-13T00:00:00"/>
    <n v="2017"/>
    <x v="26"/>
    <s v="R"/>
    <s v="RS"/>
    <x v="3"/>
    <s v="NYL"/>
    <s v="A"/>
    <n v="1"/>
    <n v="1"/>
    <n v="0"/>
    <n v="0"/>
    <n v="0"/>
    <n v="0"/>
    <n v="1655.6376449197949"/>
    <n v="1517.2247716162408"/>
    <n v="0.57767241647789858"/>
    <n v="69"/>
    <n v="83"/>
    <n v="0"/>
    <n v="-14"/>
    <n v="0"/>
    <n v="0.43718178143091818"/>
    <n v="1"/>
    <n v="71.95"/>
    <n v="71.95"/>
    <n v="-18.170818247784425"/>
    <n v="1637.4668266720105"/>
    <n v="0"/>
    <n v="1"/>
    <n v="0"/>
    <n v="0"/>
    <n v="0"/>
    <n v="0"/>
    <n v="0"/>
    <n v="0"/>
    <n v="0"/>
    <n v="0"/>
  </r>
  <r>
    <d v="2017-08-13T00:00:00"/>
    <n v="2017"/>
    <x v="26"/>
    <s v="R"/>
    <s v="RS"/>
    <x v="5"/>
    <s v="LAS"/>
    <s v="H"/>
    <n v="1"/>
    <n v="1"/>
    <n v="0"/>
    <n v="0"/>
    <n v="0"/>
    <n v="0"/>
    <n v="1517.2247716162408"/>
    <n v="1655.6376449197949"/>
    <n v="0.42232758352210137"/>
    <n v="83"/>
    <n v="69"/>
    <n v="0"/>
    <n v="14"/>
    <n v="1"/>
    <n v="0.43718178143091818"/>
    <n v="1"/>
    <n v="71.95"/>
    <n v="71.95"/>
    <n v="18.170818247784425"/>
    <n v="1535.3955898640252"/>
    <n v="1"/>
    <n v="0"/>
    <n v="0"/>
    <n v="0"/>
    <n v="0"/>
    <n v="0"/>
    <n v="0"/>
    <n v="0"/>
    <n v="0"/>
    <n v="0"/>
  </r>
  <r>
    <d v="2017-08-15T00:00:00"/>
    <n v="2017"/>
    <x v="26"/>
    <s v="R"/>
    <s v="RS"/>
    <x v="1"/>
    <s v="ATL"/>
    <s v="A"/>
    <n v="2"/>
    <n v="2"/>
    <n v="0"/>
    <n v="0"/>
    <n v="0"/>
    <n v="0"/>
    <n v="1586.4343723890249"/>
    <n v="1411.5870479798366"/>
    <n v="0.62783947420184416"/>
    <n v="96"/>
    <n v="75"/>
    <n v="0"/>
    <n v="21"/>
    <n v="1"/>
    <n v="0.51372362209629241"/>
    <n v="1"/>
    <n v="71.95"/>
    <n v="71.95"/>
    <n v="13.755951655963116"/>
    <n v="1600.1903240449881"/>
    <n v="1"/>
    <n v="0"/>
    <n v="0"/>
    <n v="0"/>
    <n v="0"/>
    <n v="0"/>
    <n v="0"/>
    <n v="0"/>
    <n v="0"/>
    <n v="0"/>
  </r>
  <r>
    <d v="2017-08-15T00:00:00"/>
    <n v="2017"/>
    <x v="28"/>
    <s v="R"/>
    <s v="RS"/>
    <x v="0"/>
    <s v="CON"/>
    <s v="H"/>
    <n v="2"/>
    <n v="2"/>
    <n v="0"/>
    <n v="0"/>
    <n v="0"/>
    <n v="0"/>
    <n v="1411.5870479798366"/>
    <n v="1586.4343723890249"/>
    <n v="0.37216052579815584"/>
    <n v="75"/>
    <n v="96"/>
    <n v="0"/>
    <n v="-21"/>
    <n v="0"/>
    <n v="0.51372362209629241"/>
    <n v="1"/>
    <n v="71.650000000000006"/>
    <n v="71.650000000000006"/>
    <n v="-13.698595359968831"/>
    <n v="1397.8884526198678"/>
    <n v="0"/>
    <n v="1"/>
    <n v="0"/>
    <n v="0"/>
    <n v="0"/>
    <n v="0"/>
    <n v="0"/>
    <n v="0"/>
    <n v="0"/>
    <n v="0"/>
  </r>
  <r>
    <d v="2017-08-16T00:00:00"/>
    <n v="2017"/>
    <x v="25"/>
    <s v="R"/>
    <s v="RS"/>
    <x v="7"/>
    <s v="SEA"/>
    <s v="A"/>
    <n v="4"/>
    <n v="3"/>
    <n v="1"/>
    <n v="-1"/>
    <n v="8"/>
    <n v="-8"/>
    <n v="1702.5454339577"/>
    <n v="1455.9404581214442"/>
    <n v="0.73655375699323111"/>
    <n v="61"/>
    <n v="62"/>
    <n v="0"/>
    <n v="-1"/>
    <n v="0"/>
    <n v="0.20255398678479256"/>
    <n v="1"/>
    <n v="72.099999999999994"/>
    <n v="72.099999999999994"/>
    <n v="-10.756735987137358"/>
    <n v="1691.7886979705627"/>
    <n v="0"/>
    <n v="1"/>
    <n v="0"/>
    <n v="0"/>
    <n v="0"/>
    <n v="0"/>
    <n v="0"/>
    <n v="0"/>
    <n v="0"/>
    <n v="0"/>
  </r>
  <r>
    <d v="2017-08-16T00:00:00"/>
    <n v="2017"/>
    <x v="27"/>
    <s v="R"/>
    <s v="RS"/>
    <x v="2"/>
    <s v="MIN"/>
    <s v="H"/>
    <n v="3"/>
    <n v="4"/>
    <n v="-1"/>
    <n v="1"/>
    <n v="-8"/>
    <n v="8"/>
    <n v="1455.9404581214442"/>
    <n v="1702.5454339577"/>
    <n v="0.26344624300676883"/>
    <n v="62"/>
    <n v="61"/>
    <n v="0"/>
    <n v="1"/>
    <n v="1"/>
    <n v="0.20255398678479256"/>
    <n v="1"/>
    <n v="71.8"/>
    <n v="71.8"/>
    <n v="10.711978417149272"/>
    <n v="1466.6524365385935"/>
    <n v="1"/>
    <n v="0"/>
    <n v="0"/>
    <n v="0"/>
    <n v="0"/>
    <n v="0"/>
    <n v="0"/>
    <n v="0"/>
    <n v="0"/>
    <n v="0"/>
  </r>
  <r>
    <d v="2017-08-16T00:00:00"/>
    <n v="2017"/>
    <x v="27"/>
    <s v="R"/>
    <s v="RS"/>
    <x v="3"/>
    <s v="WAS"/>
    <s v="A"/>
    <n v="2"/>
    <n v="3"/>
    <n v="-1"/>
    <n v="1"/>
    <n v="-8"/>
    <n v="8"/>
    <n v="1637.4668266720105"/>
    <n v="1555.2998133345816"/>
    <n v="0.47435878259663611"/>
    <n v="95"/>
    <n v="62"/>
    <n v="0"/>
    <n v="33"/>
    <n v="1"/>
    <n v="0.69171239578304611"/>
    <n v="1"/>
    <n v="71.8"/>
    <n v="71.8"/>
    <n v="26.105944789330163"/>
    <n v="1663.5727714613406"/>
    <n v="1"/>
    <n v="0"/>
    <n v="0"/>
    <n v="0"/>
    <n v="0"/>
    <n v="0"/>
    <n v="0"/>
    <n v="0"/>
    <n v="0"/>
    <n v="0"/>
  </r>
  <r>
    <d v="2017-08-16T00:00:00"/>
    <n v="2017"/>
    <x v="26"/>
    <s v="R"/>
    <s v="RS"/>
    <x v="11"/>
    <s v="LAS"/>
    <s v="H"/>
    <n v="3"/>
    <n v="2"/>
    <n v="1"/>
    <n v="-1"/>
    <n v="8"/>
    <n v="-8"/>
    <n v="1555.2998133345816"/>
    <n v="1637.4668266720105"/>
    <n v="0.52564121740336389"/>
    <n v="62"/>
    <n v="95"/>
    <n v="0"/>
    <n v="-33"/>
    <n v="0"/>
    <n v="0.69171239578304611"/>
    <n v="1"/>
    <n v="71.95"/>
    <n v="71.95"/>
    <n v="-26.160483671202027"/>
    <n v="1529.1393296633796"/>
    <n v="0"/>
    <n v="1"/>
    <n v="0"/>
    <n v="0"/>
    <n v="0"/>
    <n v="0"/>
    <n v="0"/>
    <n v="0"/>
    <n v="0"/>
    <n v="0"/>
  </r>
  <r>
    <d v="2017-08-18T00:00:00"/>
    <n v="2017"/>
    <x v="28"/>
    <s v="R"/>
    <s v="RS"/>
    <x v="3"/>
    <s v="CHI"/>
    <s v="A"/>
    <n v="1"/>
    <n v="7"/>
    <n v="-6"/>
    <n v="6"/>
    <n v="-16"/>
    <n v="16"/>
    <n v="1663.5727714613406"/>
    <n v="1461.4198146973631"/>
    <n v="0.62150386890801723"/>
    <n v="115"/>
    <n v="106"/>
    <n v="1"/>
    <n v="9"/>
    <n v="1"/>
    <n v="0.31269716132177006"/>
    <n v="1"/>
    <n v="71.650000000000006"/>
    <n v="71.650000000000006"/>
    <n v="8.4801118019716544"/>
    <n v="1672.0528832633122"/>
    <n v="1"/>
    <n v="0"/>
    <n v="0"/>
    <n v="0"/>
    <n v="0"/>
    <n v="0"/>
    <n v="0"/>
    <n v="0"/>
    <n v="0"/>
    <n v="0"/>
  </r>
  <r>
    <d v="2017-08-18T00:00:00"/>
    <n v="2017"/>
    <x v="27"/>
    <s v="R"/>
    <s v="RS"/>
    <x v="6"/>
    <s v="LAS"/>
    <s v="H"/>
    <n v="7"/>
    <n v="1"/>
    <n v="6"/>
    <n v="-6"/>
    <n v="16"/>
    <n v="-16"/>
    <n v="1461.4198146973631"/>
    <n v="1663.5727714613406"/>
    <n v="0.37849613109198271"/>
    <n v="106"/>
    <n v="115"/>
    <n v="1"/>
    <n v="-9"/>
    <n v="0"/>
    <n v="0.31269716132177006"/>
    <n v="1"/>
    <n v="71.8"/>
    <n v="71.8"/>
    <n v="-8.4978650018362121"/>
    <n v="1452.9219496955268"/>
    <n v="0"/>
    <n v="1"/>
    <n v="0"/>
    <n v="0"/>
    <n v="0"/>
    <n v="0"/>
    <n v="0"/>
    <n v="0"/>
    <n v="0"/>
    <n v="0"/>
  </r>
  <r>
    <d v="2017-08-18T00:00:00"/>
    <n v="2017"/>
    <x v="27"/>
    <s v="R"/>
    <s v="RS"/>
    <x v="5"/>
    <s v="CON"/>
    <s v="A"/>
    <n v="4"/>
    <n v="2"/>
    <n v="2"/>
    <n v="-2"/>
    <n v="16"/>
    <n v="-16"/>
    <n v="1535.3955898640252"/>
    <n v="1600.1903240449881"/>
    <n v="0.3379765341651369"/>
    <n v="82"/>
    <n v="70"/>
    <n v="0"/>
    <n v="12"/>
    <n v="1"/>
    <n v="0.43276218417077544"/>
    <n v="1"/>
    <n v="71.8"/>
    <n v="71.8"/>
    <n v="20.570608171174751"/>
    <n v="1555.9661980352"/>
    <n v="1"/>
    <n v="0"/>
    <n v="0"/>
    <n v="0"/>
    <n v="0"/>
    <n v="0"/>
    <n v="0"/>
    <n v="0"/>
    <n v="0"/>
    <n v="0"/>
  </r>
  <r>
    <d v="2017-08-18T00:00:00"/>
    <n v="2017"/>
    <x v="27"/>
    <s v="R"/>
    <s v="RS"/>
    <x v="1"/>
    <s v="NYL"/>
    <s v="H"/>
    <n v="2"/>
    <n v="4"/>
    <n v="-2"/>
    <n v="2"/>
    <n v="-16"/>
    <n v="16"/>
    <n v="1600.1903240449881"/>
    <n v="1535.3955898640252"/>
    <n v="0.66202346583486305"/>
    <n v="70"/>
    <n v="82"/>
    <n v="0"/>
    <n v="-12"/>
    <n v="0"/>
    <n v="0.43276218417077544"/>
    <n v="1"/>
    <n v="71.8"/>
    <n v="71.8"/>
    <n v="-20.570608171174747"/>
    <n v="1579.6197158738132"/>
    <n v="0"/>
    <n v="1"/>
    <n v="0"/>
    <n v="0"/>
    <n v="0"/>
    <n v="0"/>
    <n v="0"/>
    <n v="0"/>
    <n v="0"/>
    <n v="0"/>
  </r>
  <r>
    <d v="2017-08-18T00:00:00"/>
    <n v="2017"/>
    <x v="28"/>
    <s v="R"/>
    <s v="RS"/>
    <x v="10"/>
    <s v="MIN"/>
    <s v="A"/>
    <n v="5"/>
    <n v="1"/>
    <n v="4"/>
    <n v="-4"/>
    <n v="16"/>
    <n v="-16"/>
    <n v="1373.1035653446015"/>
    <n v="1691.7886979705627"/>
    <n v="0.10585145729879676"/>
    <n v="52"/>
    <n v="111"/>
    <n v="0"/>
    <n v="-59"/>
    <n v="0"/>
    <n v="0.79843624406308356"/>
    <n v="1"/>
    <n v="71.650000000000006"/>
    <n v="71.650000000000006"/>
    <n v="-6.0555456055883825"/>
    <n v="1367.0480197390132"/>
    <n v="0"/>
    <n v="1"/>
    <n v="0"/>
    <n v="0"/>
    <n v="0"/>
    <n v="0"/>
    <n v="0"/>
    <n v="0"/>
    <n v="0"/>
    <n v="0"/>
  </r>
  <r>
    <d v="2017-08-18T00:00:00"/>
    <n v="2017"/>
    <x v="26"/>
    <s v="R"/>
    <s v="RS"/>
    <x v="7"/>
    <s v="IND"/>
    <s v="H"/>
    <n v="1"/>
    <n v="5"/>
    <n v="-4"/>
    <n v="4"/>
    <n v="-16"/>
    <n v="16"/>
    <n v="1691.7886979705627"/>
    <n v="1373.1035653446015"/>
    <n v="0.89414854270120314"/>
    <n v="111"/>
    <n v="52"/>
    <n v="0"/>
    <n v="59"/>
    <n v="1"/>
    <n v="0.79843624406308356"/>
    <n v="1"/>
    <n v="71.95"/>
    <n v="71.95"/>
    <n v="6.0809002975866644"/>
    <n v="1697.8695982681493"/>
    <n v="1"/>
    <n v="0"/>
    <n v="0"/>
    <n v="0"/>
    <n v="0"/>
    <n v="0"/>
    <n v="0"/>
    <n v="0"/>
    <n v="0"/>
    <n v="0"/>
  </r>
  <r>
    <d v="2017-08-18T00:00:00"/>
    <n v="2017"/>
    <x v="29"/>
    <s v="R"/>
    <s v="RS"/>
    <x v="4"/>
    <s v="SEA"/>
    <s v="A"/>
    <n v="5"/>
    <n v="1"/>
    <n v="4"/>
    <n v="-4"/>
    <n v="16"/>
    <n v="-16"/>
    <n v="1346.2202226914601"/>
    <n v="1466.6524365385935"/>
    <n v="0.27039891133004107"/>
    <n v="78"/>
    <n v="79"/>
    <n v="0"/>
    <n v="-1"/>
    <n v="0"/>
    <n v="0.2219088583916316"/>
    <n v="1"/>
    <n v="71.5"/>
    <n v="71.5"/>
    <n v="-4.2902798312366439"/>
    <n v="1341.9299428602235"/>
    <n v="0"/>
    <n v="1"/>
    <n v="0"/>
    <n v="0"/>
    <n v="0"/>
    <n v="0"/>
    <n v="0"/>
    <n v="0"/>
    <n v="0"/>
    <n v="0"/>
  </r>
  <r>
    <d v="2017-08-18T00:00:00"/>
    <n v="2017"/>
    <x v="28"/>
    <s v="R"/>
    <s v="RS"/>
    <x v="2"/>
    <s v="SAS"/>
    <s v="H"/>
    <n v="1"/>
    <n v="5"/>
    <n v="-4"/>
    <n v="4"/>
    <n v="-16"/>
    <n v="16"/>
    <n v="1466.6524365385935"/>
    <n v="1346.2202226914601"/>
    <n v="0.72960108866995887"/>
    <n v="79"/>
    <n v="78"/>
    <n v="0"/>
    <n v="1"/>
    <n v="1"/>
    <n v="0.2219088583916316"/>
    <n v="1"/>
    <n v="71.650000000000006"/>
    <n v="71.650000000000006"/>
    <n v="4.2992804182951838"/>
    <n v="1470.9517169568887"/>
    <n v="1"/>
    <n v="0"/>
    <n v="0"/>
    <n v="0"/>
    <n v="0"/>
    <n v="0"/>
    <n v="0"/>
    <n v="0"/>
    <n v="0"/>
    <n v="0"/>
  </r>
  <r>
    <d v="2017-08-18T00:00:00"/>
    <n v="2017"/>
    <x v="27"/>
    <s v="R"/>
    <s v="RS"/>
    <x v="9"/>
    <s v="WAS"/>
    <s v="A"/>
    <n v="5"/>
    <n v="1"/>
    <n v="4"/>
    <n v="-4"/>
    <n v="16"/>
    <n v="-16"/>
    <n v="1501.0886576346199"/>
    <n v="1529.1393296633796"/>
    <n v="0.3867939928548863"/>
    <n v="89"/>
    <n v="79"/>
    <n v="0"/>
    <n v="10"/>
    <n v="1"/>
    <n v="0.41346472972480863"/>
    <n v="1"/>
    <n v="71.8"/>
    <n v="71.8"/>
    <n v="18.204104221509638"/>
    <n v="1519.2927618561296"/>
    <n v="1"/>
    <n v="0"/>
    <n v="0"/>
    <n v="0"/>
    <n v="0"/>
    <n v="0"/>
    <n v="0"/>
    <n v="0"/>
    <n v="0"/>
    <n v="0"/>
  </r>
  <r>
    <d v="2017-08-18T00:00:00"/>
    <n v="2017"/>
    <x v="27"/>
    <s v="R"/>
    <s v="RS"/>
    <x v="11"/>
    <s v="PHX"/>
    <s v="H"/>
    <n v="1"/>
    <n v="5"/>
    <n v="-4"/>
    <n v="4"/>
    <n v="-16"/>
    <n v="16"/>
    <n v="1529.1393296633796"/>
    <n v="1501.0886576346199"/>
    <n v="0.61320600714511375"/>
    <n v="79"/>
    <n v="89"/>
    <n v="0"/>
    <n v="-10"/>
    <n v="0"/>
    <n v="0.41346472972480863"/>
    <n v="1"/>
    <n v="71.8"/>
    <n v="71.8"/>
    <n v="-18.204104221509638"/>
    <n v="1510.93522544187"/>
    <n v="0"/>
    <n v="1"/>
    <n v="0"/>
    <n v="0"/>
    <n v="0"/>
    <n v="0"/>
    <n v="0"/>
    <n v="0"/>
    <n v="0"/>
    <n v="0"/>
  </r>
  <r>
    <d v="2017-08-19T00:00:00"/>
    <n v="2017"/>
    <x v="29"/>
    <s v="R"/>
    <s v="RS"/>
    <x v="0"/>
    <s v="DAL"/>
    <s v="A"/>
    <n v="3"/>
    <n v="6"/>
    <n v="-3"/>
    <n v="3"/>
    <n v="-16"/>
    <n v="16"/>
    <n v="1397.8884526198678"/>
    <n v="1434.2065225211588"/>
    <n v="0.29383857787876111"/>
    <n v="86"/>
    <n v="90"/>
    <n v="0"/>
    <n v="-4"/>
    <n v="0"/>
    <n v="0.30228408933187673"/>
    <n v="1"/>
    <n v="71.5"/>
    <n v="71.5"/>
    <n v="-6.3508249751128352"/>
    <n v="1391.537627644755"/>
    <n v="0"/>
    <n v="1"/>
    <n v="0"/>
    <n v="0"/>
    <n v="0"/>
    <n v="0"/>
    <n v="0"/>
    <n v="0"/>
    <n v="0"/>
    <n v="0"/>
  </r>
  <r>
    <d v="2017-08-19T00:00:00"/>
    <n v="2017"/>
    <x v="29"/>
    <s v="R"/>
    <s v="RS"/>
    <x v="8"/>
    <s v="ATL"/>
    <s v="H"/>
    <n v="6"/>
    <n v="3"/>
    <n v="3"/>
    <n v="-3"/>
    <n v="16"/>
    <n v="-16"/>
    <n v="1434.2065225211588"/>
    <n v="1397.8884526198678"/>
    <n v="0.70616142212123889"/>
    <n v="90"/>
    <n v="86"/>
    <n v="0"/>
    <n v="4"/>
    <n v="1"/>
    <n v="0.30228408933187673"/>
    <n v="1"/>
    <n v="71.5"/>
    <n v="71.5"/>
    <n v="6.3508249751128352"/>
    <n v="1440.5573474962716"/>
    <n v="1"/>
    <n v="0"/>
    <n v="0"/>
    <n v="0"/>
    <n v="0"/>
    <n v="0"/>
    <n v="0"/>
    <n v="0"/>
    <n v="0"/>
    <n v="0"/>
  </r>
  <r>
    <d v="2017-08-20T00:00:00"/>
    <n v="2017"/>
    <x v="29"/>
    <s v="R"/>
    <s v="RS"/>
    <x v="2"/>
    <s v="CHI"/>
    <s v="A"/>
    <n v="1"/>
    <n v="1"/>
    <n v="0"/>
    <n v="0"/>
    <n v="0"/>
    <n v="0"/>
    <n v="1470.9517169568887"/>
    <n v="1452.9219496955268"/>
    <n v="0.40618594453109796"/>
    <n v="103"/>
    <n v="66"/>
    <n v="0"/>
    <n v="37"/>
    <n v="1"/>
    <n v="0.77319969162905366"/>
    <n v="1"/>
    <n v="71.5"/>
    <n v="71.5"/>
    <n v="32.828284387009028"/>
    <n v="1503.7800013438978"/>
    <n v="1"/>
    <n v="0"/>
    <n v="0"/>
    <n v="0"/>
    <n v="0"/>
    <n v="0"/>
    <n v="0"/>
    <n v="0"/>
    <n v="0"/>
    <n v="0"/>
  </r>
  <r>
    <d v="2017-08-20T00:00:00"/>
    <n v="2017"/>
    <x v="28"/>
    <s v="R"/>
    <s v="RS"/>
    <x v="6"/>
    <s v="SEA"/>
    <s v="H"/>
    <n v="1"/>
    <n v="1"/>
    <n v="0"/>
    <n v="0"/>
    <n v="0"/>
    <n v="0"/>
    <n v="1452.9219496955268"/>
    <n v="1470.9517169568887"/>
    <n v="0.59381405546890198"/>
    <n v="66"/>
    <n v="103"/>
    <n v="0"/>
    <n v="-37"/>
    <n v="0"/>
    <n v="0.77319969162905366"/>
    <n v="1"/>
    <n v="71.650000000000006"/>
    <n v="71.650000000000006"/>
    <n v="-32.897154913695061"/>
    <n v="1420.0247947818318"/>
    <n v="0"/>
    <n v="1"/>
    <n v="0"/>
    <n v="0"/>
    <n v="0"/>
    <n v="0"/>
    <n v="0"/>
    <n v="0"/>
    <n v="0"/>
    <n v="0"/>
  </r>
  <r>
    <d v="2017-08-20T00:00:00"/>
    <n v="2017"/>
    <x v="28"/>
    <s v="R"/>
    <s v="RS"/>
    <x v="9"/>
    <s v="CON"/>
    <s v="A"/>
    <n v="1"/>
    <n v="1"/>
    <n v="0"/>
    <n v="0"/>
    <n v="0"/>
    <n v="0"/>
    <n v="1519.2927618561296"/>
    <n v="1579.6197158738132"/>
    <n v="0.30347324967746669"/>
    <n v="66"/>
    <n v="94"/>
    <n v="0"/>
    <n v="-28"/>
    <n v="0"/>
    <n v="0.64658427679223385"/>
    <n v="1"/>
    <n v="71.650000000000006"/>
    <n v="71.650000000000006"/>
    <n v="-14.059236919047583"/>
    <n v="1505.2335249370819"/>
    <n v="0"/>
    <n v="1"/>
    <n v="0"/>
    <n v="0"/>
    <n v="0"/>
    <n v="0"/>
    <n v="0"/>
    <n v="0"/>
    <n v="0"/>
    <n v="0"/>
  </r>
  <r>
    <d v="2017-08-20T00:00:00"/>
    <n v="2017"/>
    <x v="28"/>
    <s v="R"/>
    <s v="RS"/>
    <x v="1"/>
    <s v="PHX"/>
    <s v="H"/>
    <n v="1"/>
    <n v="1"/>
    <n v="0"/>
    <n v="0"/>
    <n v="0"/>
    <n v="0"/>
    <n v="1579.6197158738132"/>
    <n v="1519.2927618561296"/>
    <n v="0.69652675032253331"/>
    <n v="94"/>
    <n v="66"/>
    <n v="0"/>
    <n v="28"/>
    <n v="1"/>
    <n v="0.64658427679223385"/>
    <n v="1"/>
    <n v="71.650000000000006"/>
    <n v="71.650000000000006"/>
    <n v="14.059236919047583"/>
    <n v="1593.6789527928609"/>
    <n v="1"/>
    <n v="0"/>
    <n v="0"/>
    <n v="0"/>
    <n v="0"/>
    <n v="0"/>
    <n v="0"/>
    <n v="0"/>
    <n v="0"/>
    <n v="0"/>
  </r>
  <r>
    <d v="2017-08-20T00:00:00"/>
    <n v="2017"/>
    <x v="28"/>
    <s v="R"/>
    <s v="RS"/>
    <x v="11"/>
    <s v="IND"/>
    <s v="A"/>
    <n v="1"/>
    <n v="1"/>
    <n v="0"/>
    <n v="0"/>
    <n v="0"/>
    <n v="0"/>
    <n v="1510.93522544187"/>
    <n v="1367.0480197390132"/>
    <n v="0.58534109225772013"/>
    <n v="87"/>
    <n v="82"/>
    <n v="0"/>
    <n v="5"/>
    <n v="1"/>
    <n v="0.29623555374596044"/>
    <n v="1"/>
    <n v="71.650000000000006"/>
    <n v="71.650000000000006"/>
    <n v="8.8012503539497615"/>
    <n v="1519.7364757958198"/>
    <n v="1"/>
    <n v="0"/>
    <n v="0"/>
    <n v="0"/>
    <n v="0"/>
    <n v="0"/>
    <n v="0"/>
    <n v="0"/>
    <n v="0"/>
    <n v="0"/>
  </r>
  <r>
    <d v="2017-08-20T00:00:00"/>
    <n v="2017"/>
    <x v="29"/>
    <s v="R"/>
    <s v="RS"/>
    <x v="10"/>
    <s v="WAS"/>
    <s v="H"/>
    <n v="1"/>
    <n v="1"/>
    <n v="0"/>
    <n v="0"/>
    <n v="0"/>
    <n v="0"/>
    <n v="1367.0480197390132"/>
    <n v="1510.93522544187"/>
    <n v="0.41465890774227993"/>
    <n v="82"/>
    <n v="87"/>
    <n v="0"/>
    <n v="-5"/>
    <n v="0"/>
    <n v="0.29623555374596044"/>
    <n v="1"/>
    <n v="71.5"/>
    <n v="71.5"/>
    <n v="-8.7828248472771531"/>
    <n v="1358.265194891736"/>
    <n v="0"/>
    <n v="1"/>
    <n v="0"/>
    <n v="0"/>
    <n v="0"/>
    <n v="0"/>
    <n v="0"/>
    <n v="0"/>
    <n v="0"/>
    <n v="0"/>
  </r>
  <r>
    <d v="2017-08-20T00:00:00"/>
    <n v="2017"/>
    <x v="27"/>
    <s v="R"/>
    <s v="RS"/>
    <x v="7"/>
    <s v="NYL"/>
    <s v="A"/>
    <n v="1"/>
    <n v="1"/>
    <n v="0"/>
    <n v="0"/>
    <n v="0"/>
    <n v="0"/>
    <n v="1697.8695982681493"/>
    <n v="1555.9661980352"/>
    <n v="0.58256666382697642"/>
    <n v="61"/>
    <n v="70"/>
    <n v="0"/>
    <n v="-9"/>
    <n v="0"/>
    <n v="0.36304091076311551"/>
    <n v="1"/>
    <n v="71.8"/>
    <n v="71.8"/>
    <n v="-15.185379213107023"/>
    <n v="1682.6842190550421"/>
    <n v="0"/>
    <n v="1"/>
    <n v="0"/>
    <n v="0"/>
    <n v="0"/>
    <n v="0"/>
    <n v="0"/>
    <n v="0"/>
    <n v="0"/>
    <n v="0"/>
  </r>
  <r>
    <d v="2017-08-20T00:00:00"/>
    <n v="2017"/>
    <x v="28"/>
    <s v="R"/>
    <s v="RS"/>
    <x v="5"/>
    <s v="MIN"/>
    <s v="H"/>
    <n v="1"/>
    <n v="1"/>
    <n v="0"/>
    <n v="0"/>
    <n v="0"/>
    <n v="0"/>
    <n v="1555.9661980352"/>
    <n v="1697.8695982681493"/>
    <n v="0.41743333617302358"/>
    <n v="70"/>
    <n v="61"/>
    <n v="0"/>
    <n v="9"/>
    <n v="1"/>
    <n v="0.36304091076311551"/>
    <n v="1"/>
    <n v="71.650000000000006"/>
    <n v="71.650000000000006"/>
    <n v="15.15365488327463"/>
    <n v="1571.1198529184746"/>
    <n v="1"/>
    <n v="0"/>
    <n v="0"/>
    <n v="0"/>
    <n v="0"/>
    <n v="0"/>
    <n v="0"/>
    <n v="0"/>
    <n v="0"/>
    <n v="0"/>
  </r>
  <r>
    <d v="2017-08-22T00:00:00"/>
    <n v="2017"/>
    <x v="30"/>
    <s v="R"/>
    <s v="RS"/>
    <x v="4"/>
    <s v="LAS"/>
    <s v="A"/>
    <n v="3"/>
    <n v="3"/>
    <n v="0"/>
    <n v="0"/>
    <n v="0"/>
    <n v="0"/>
    <n v="1341.9299428602235"/>
    <n v="1672.0528832633122"/>
    <n v="8.4409962526520041E-2"/>
    <n v="55"/>
    <n v="75"/>
    <n v="0"/>
    <n v="-20"/>
    <n v="0"/>
    <n v="0.4508558185193095"/>
    <n v="1"/>
    <n v="71.349999999999994"/>
    <n v="71.349999999999994"/>
    <n v="-2.7153471679326961"/>
    <n v="1339.2145956922907"/>
    <n v="0"/>
    <n v="1"/>
    <n v="0"/>
    <n v="0"/>
    <n v="0"/>
    <n v="0"/>
    <n v="0"/>
    <n v="0"/>
    <n v="0"/>
    <n v="0"/>
  </r>
  <r>
    <d v="2017-08-22T00:00:00"/>
    <n v="2017"/>
    <x v="29"/>
    <s v="R"/>
    <s v="RS"/>
    <x v="3"/>
    <s v="SAS"/>
    <s v="H"/>
    <n v="3"/>
    <n v="3"/>
    <n v="0"/>
    <n v="0"/>
    <n v="0"/>
    <n v="0"/>
    <n v="1672.0528832633122"/>
    <n v="1341.9299428602235"/>
    <n v="0.91559003747348"/>
    <n v="75"/>
    <n v="55"/>
    <n v="0"/>
    <n v="20"/>
    <n v="1"/>
    <n v="0.4508558185193095"/>
    <n v="1"/>
    <n v="71.5"/>
    <n v="71.5"/>
    <n v="2.7210556763446063"/>
    <n v="1674.7739389396568"/>
    <n v="1"/>
    <n v="0"/>
    <n v="0"/>
    <n v="0"/>
    <n v="0"/>
    <n v="0"/>
    <n v="0"/>
    <n v="0"/>
    <n v="0"/>
    <n v="0"/>
  </r>
  <r>
    <d v="2017-08-22T00:00:00"/>
    <n v="2017"/>
    <x v="29"/>
    <s v="R"/>
    <s v="RS"/>
    <x v="9"/>
    <s v="MIN"/>
    <s v="A"/>
    <n v="1"/>
    <n v="1"/>
    <n v="0"/>
    <n v="0"/>
    <n v="0"/>
    <n v="0"/>
    <n v="1505.2335249370819"/>
    <n v="1682.6842190550421"/>
    <n v="0.18167634020224535"/>
    <n v="69"/>
    <n v="105"/>
    <n v="0"/>
    <n v="-36"/>
    <n v="0"/>
    <n v="0.67389813087217132"/>
    <n v="1"/>
    <n v="71.5"/>
    <n v="71.5"/>
    <n v="-8.7538412451482746"/>
    <n v="1496.4796836919336"/>
    <n v="0"/>
    <n v="1"/>
    <n v="0"/>
    <n v="0"/>
    <n v="0"/>
    <n v="0"/>
    <n v="0"/>
    <n v="0"/>
    <n v="0"/>
    <n v="0"/>
  </r>
  <r>
    <d v="2017-08-22T00:00:00"/>
    <n v="2017"/>
    <x v="28"/>
    <s v="R"/>
    <s v="RS"/>
    <x v="7"/>
    <s v="PHX"/>
    <s v="H"/>
    <n v="1"/>
    <n v="1"/>
    <n v="0"/>
    <n v="0"/>
    <n v="0"/>
    <n v="0"/>
    <n v="1682.6842190550421"/>
    <n v="1505.2335249370819"/>
    <n v="0.81832365979775468"/>
    <n v="105"/>
    <n v="69"/>
    <n v="0"/>
    <n v="36"/>
    <n v="1"/>
    <n v="0.67389813087217132"/>
    <n v="1"/>
    <n v="71.650000000000006"/>
    <n v="71.650000000000006"/>
    <n v="8.7722059470611722"/>
    <n v="1691.4564250021033"/>
    <n v="1"/>
    <n v="0"/>
    <n v="0"/>
    <n v="0"/>
    <n v="0"/>
    <n v="0"/>
    <n v="0"/>
    <n v="0"/>
    <n v="0"/>
    <n v="0"/>
  </r>
  <r>
    <d v="2017-08-23T00:00:00"/>
    <n v="2017"/>
    <x v="30"/>
    <s v="R"/>
    <s v="RS"/>
    <x v="2"/>
    <s v="ATL"/>
    <s v="A"/>
    <n v="2"/>
    <n v="3"/>
    <n v="-1"/>
    <n v="1"/>
    <n v="-8"/>
    <n v="8"/>
    <n v="1503.7800013438978"/>
    <n v="1391.537627644755"/>
    <n v="0.51761090400998078"/>
    <n v="83"/>
    <n v="89"/>
    <n v="0"/>
    <n v="-6"/>
    <n v="0"/>
    <n v="0.32123403553940988"/>
    <n v="1"/>
    <n v="71.349999999999994"/>
    <n v="71.349999999999994"/>
    <n v="-11.863666990774318"/>
    <n v="1491.9163343531234"/>
    <n v="0"/>
    <n v="1"/>
    <n v="0"/>
    <n v="0"/>
    <n v="0"/>
    <n v="0"/>
    <n v="0"/>
    <n v="0"/>
    <n v="0"/>
    <n v="0"/>
  </r>
  <r>
    <d v="2017-08-23T00:00:00"/>
    <n v="2017"/>
    <x v="30"/>
    <s v="R"/>
    <s v="RS"/>
    <x v="0"/>
    <s v="SEA"/>
    <s v="H"/>
    <n v="3"/>
    <n v="2"/>
    <n v="1"/>
    <n v="-1"/>
    <n v="8"/>
    <n v="-8"/>
    <n v="1391.537627644755"/>
    <n v="1503.7800013438978"/>
    <n v="0.48238909599001922"/>
    <n v="89"/>
    <n v="83"/>
    <n v="0"/>
    <n v="6"/>
    <n v="1"/>
    <n v="0.32123403553940988"/>
    <n v="1"/>
    <n v="71.349999999999994"/>
    <n v="71.349999999999994"/>
    <n v="11.863666990774318"/>
    <n v="1403.4012946355294"/>
    <n v="1"/>
    <n v="0"/>
    <n v="0"/>
    <n v="0"/>
    <n v="0"/>
    <n v="0"/>
    <n v="0"/>
    <n v="0"/>
    <n v="0"/>
    <n v="0"/>
  </r>
  <r>
    <d v="2017-08-23T00:00:00"/>
    <n v="2017"/>
    <x v="30"/>
    <s v="R"/>
    <s v="RS"/>
    <x v="8"/>
    <s v="CON"/>
    <s v="A"/>
    <n v="3"/>
    <n v="2"/>
    <n v="1"/>
    <n v="-1"/>
    <n v="8"/>
    <n v="-8"/>
    <n v="1440.5573474962716"/>
    <n v="1593.6789527928609"/>
    <n v="0.21876493613446737"/>
    <n v="87"/>
    <n v="93"/>
    <n v="0"/>
    <n v="-6"/>
    <n v="0"/>
    <n v="0.3115292163388329"/>
    <n v="1"/>
    <n v="71.349999999999994"/>
    <n v="71.349999999999994"/>
    <n v="-4.8626215914541016"/>
    <n v="1435.6947259048175"/>
    <n v="0"/>
    <n v="1"/>
    <n v="0"/>
    <n v="0"/>
    <n v="0"/>
    <n v="0"/>
    <n v="0"/>
    <n v="0"/>
    <n v="0"/>
    <n v="0"/>
  </r>
  <r>
    <d v="2017-08-23T00:00:00"/>
    <n v="2017"/>
    <x v="29"/>
    <s v="R"/>
    <s v="RS"/>
    <x v="1"/>
    <s v="DAL"/>
    <s v="H"/>
    <n v="2"/>
    <n v="3"/>
    <n v="-1"/>
    <n v="1"/>
    <n v="-8"/>
    <n v="8"/>
    <n v="1593.6789527928609"/>
    <n v="1440.5573474962716"/>
    <n v="0.78123506386553265"/>
    <n v="93"/>
    <n v="87"/>
    <n v="0"/>
    <n v="6"/>
    <n v="1"/>
    <n v="0.3115292163388329"/>
    <n v="1"/>
    <n v="71.5"/>
    <n v="71.5"/>
    <n v="4.8728443418215592"/>
    <n v="1598.5517971346824"/>
    <n v="1"/>
    <n v="0"/>
    <n v="0"/>
    <n v="0"/>
    <n v="0"/>
    <n v="0"/>
    <n v="0"/>
    <n v="0"/>
    <n v="0"/>
    <n v="0"/>
  </r>
  <r>
    <d v="2017-08-23T00:00:00"/>
    <n v="2017"/>
    <x v="29"/>
    <s v="R"/>
    <s v="RS"/>
    <x v="5"/>
    <s v="IND"/>
    <s v="A"/>
    <n v="2"/>
    <n v="2"/>
    <n v="0"/>
    <n v="0"/>
    <n v="0"/>
    <n v="0"/>
    <n v="1571.1198529184746"/>
    <n v="1358.265194891736"/>
    <n v="0.67737776690272045"/>
    <n v="71"/>
    <n v="50"/>
    <n v="0"/>
    <n v="21"/>
    <n v="1"/>
    <n v="0.4999038955014139"/>
    <n v="1"/>
    <n v="71.5"/>
    <n v="71.5"/>
    <n v="11.531527943699709"/>
    <n v="1582.6513808621744"/>
    <n v="1"/>
    <n v="0"/>
    <n v="0"/>
    <n v="0"/>
    <n v="0"/>
    <n v="0"/>
    <n v="0"/>
    <n v="0"/>
    <n v="0"/>
    <n v="0"/>
  </r>
  <r>
    <d v="2017-08-23T00:00:00"/>
    <n v="2017"/>
    <x v="30"/>
    <s v="R"/>
    <s v="RS"/>
    <x v="10"/>
    <s v="NYL"/>
    <s v="H"/>
    <n v="2"/>
    <n v="2"/>
    <n v="0"/>
    <n v="0"/>
    <n v="0"/>
    <n v="0"/>
    <n v="1358.265194891736"/>
    <n v="1571.1198529184746"/>
    <n v="0.32262223309727955"/>
    <n v="50"/>
    <n v="71"/>
    <n v="0"/>
    <n v="-21"/>
    <n v="0"/>
    <n v="0.4999038955014139"/>
    <n v="1"/>
    <n v="71.349999999999994"/>
    <n v="71.349999999999994"/>
    <n v="-11.507335927034605"/>
    <n v="1346.7578589647014"/>
    <n v="0"/>
    <n v="1"/>
    <n v="0"/>
    <n v="0"/>
    <n v="0"/>
    <n v="0"/>
    <n v="0"/>
    <n v="0"/>
    <n v="0"/>
    <n v="0"/>
  </r>
  <r>
    <d v="2017-08-24T00:00:00"/>
    <n v="2017"/>
    <x v="30"/>
    <s v="R"/>
    <s v="RS"/>
    <x v="3"/>
    <s v="PHX"/>
    <s v="A"/>
    <n v="1"/>
    <n v="1"/>
    <n v="0"/>
    <n v="0"/>
    <n v="0"/>
    <n v="0"/>
    <n v="1674.7739389396568"/>
    <n v="1496.4796836919336"/>
    <n v="0.63246384594715765"/>
    <n v="82"/>
    <n v="67"/>
    <n v="0"/>
    <n v="15"/>
    <n v="1"/>
    <n v="0.43780029653106467"/>
    <n v="1"/>
    <n v="71.349999999999994"/>
    <n v="71.349999999999994"/>
    <n v="11.480745646376299"/>
    <n v="1686.2546845860331"/>
    <n v="1"/>
    <n v="0"/>
    <n v="0"/>
    <n v="0"/>
    <n v="0"/>
    <n v="0"/>
    <n v="0"/>
    <n v="0"/>
    <n v="0"/>
    <n v="0"/>
  </r>
  <r>
    <d v="2017-08-24T00:00:00"/>
    <n v="2017"/>
    <x v="30"/>
    <s v="R"/>
    <s v="RS"/>
    <x v="9"/>
    <s v="LAS"/>
    <s v="H"/>
    <n v="1"/>
    <n v="1"/>
    <n v="0"/>
    <n v="0"/>
    <n v="0"/>
    <n v="0"/>
    <n v="1496.4796836919336"/>
    <n v="1674.7739389396568"/>
    <n v="0.36753615405284235"/>
    <n v="67"/>
    <n v="82"/>
    <n v="0"/>
    <n v="-15"/>
    <n v="0"/>
    <n v="0.43780029653106467"/>
    <n v="1"/>
    <n v="71.349999999999994"/>
    <n v="71.349999999999994"/>
    <n v="-11.480745646376299"/>
    <n v="1484.9989380455572"/>
    <n v="0"/>
    <n v="1"/>
    <n v="0"/>
    <n v="0"/>
    <n v="0"/>
    <n v="0"/>
    <n v="0"/>
    <n v="0"/>
    <n v="0"/>
    <n v="0"/>
  </r>
  <r>
    <d v="2017-08-25T00:00:00"/>
    <n v="2017"/>
    <x v="29"/>
    <s v="R"/>
    <s v="RS"/>
    <x v="6"/>
    <s v="CON"/>
    <s v="A"/>
    <n v="4"/>
    <n v="1"/>
    <n v="3"/>
    <n v="-3"/>
    <n v="16"/>
    <n v="-16"/>
    <n v="1420.0247947818318"/>
    <n v="1598.5517971346824"/>
    <n v="0.20965270316365095"/>
    <n v="96"/>
    <n v="83"/>
    <n v="0"/>
    <n v="13"/>
    <n v="1"/>
    <n v="0.41091143358826332"/>
    <n v="1"/>
    <n v="71.5"/>
    <n v="71.5"/>
    <n v="23.220535965457753"/>
    <n v="1443.2453307472895"/>
    <n v="1"/>
    <n v="0"/>
    <n v="0"/>
    <n v="0"/>
    <n v="0"/>
    <n v="0"/>
    <n v="0"/>
    <n v="0"/>
    <n v="0"/>
    <n v="0"/>
  </r>
  <r>
    <d v="2017-08-25T00:00:00"/>
    <n v="2017"/>
    <x v="30"/>
    <s v="R"/>
    <s v="RS"/>
    <x v="1"/>
    <s v="CHI"/>
    <s v="H"/>
    <n v="1"/>
    <n v="4"/>
    <n v="-3"/>
    <n v="3"/>
    <n v="-16"/>
    <n v="16"/>
    <n v="1598.5517971346824"/>
    <n v="1420.0247947818318"/>
    <n v="0.79034729683634908"/>
    <n v="83"/>
    <n v="96"/>
    <n v="0"/>
    <n v="-13"/>
    <n v="0"/>
    <n v="0.41091143358826332"/>
    <n v="1"/>
    <n v="71.349999999999994"/>
    <n v="71.349999999999994"/>
    <n v="-23.171821554341406"/>
    <n v="1575.3799755803409"/>
    <n v="0"/>
    <n v="1"/>
    <n v="0"/>
    <n v="0"/>
    <n v="0"/>
    <n v="0"/>
    <n v="0"/>
    <n v="0"/>
    <n v="0"/>
    <n v="0"/>
  </r>
  <r>
    <d v="2017-08-25T00:00:00"/>
    <n v="2017"/>
    <x v="29"/>
    <s v="R"/>
    <s v="RS"/>
    <x v="11"/>
    <s v="NYL"/>
    <s v="A"/>
    <n v="4"/>
    <n v="1"/>
    <n v="3"/>
    <n v="-3"/>
    <n v="16"/>
    <n v="-16"/>
    <n v="1519.7364757958198"/>
    <n v="1582.6513808621744"/>
    <n v="0.34040198158776774"/>
    <n v="66"/>
    <n v="74"/>
    <n v="0"/>
    <n v="-8"/>
    <n v="0"/>
    <n v="0.36897073598092001"/>
    <n v="1"/>
    <n v="71.5"/>
    <n v="71.5"/>
    <n v="-8.9802834318198599"/>
    <n v="1510.7561923640001"/>
    <n v="0"/>
    <n v="1"/>
    <n v="0"/>
    <n v="0"/>
    <n v="0"/>
    <n v="0"/>
    <n v="0"/>
    <n v="0"/>
    <n v="0"/>
    <n v="0"/>
  </r>
  <r>
    <d v="2017-08-25T00:00:00"/>
    <n v="2017"/>
    <x v="30"/>
    <s v="R"/>
    <s v="RS"/>
    <x v="5"/>
    <s v="WAS"/>
    <s v="H"/>
    <n v="1"/>
    <n v="4"/>
    <n v="-3"/>
    <n v="3"/>
    <n v="-16"/>
    <n v="16"/>
    <n v="1582.6513808621744"/>
    <n v="1519.7364757958198"/>
    <n v="0.6595980184122322"/>
    <n v="74"/>
    <n v="66"/>
    <n v="0"/>
    <n v="8"/>
    <n v="1"/>
    <n v="0.36897073598092001"/>
    <n v="1"/>
    <n v="71.349999999999994"/>
    <n v="71.349999999999994"/>
    <n v="8.961443676368491"/>
    <n v="1591.6128245385428"/>
    <n v="1"/>
    <n v="0"/>
    <n v="0"/>
    <n v="0"/>
    <n v="0"/>
    <n v="0"/>
    <n v="0"/>
    <n v="0"/>
    <n v="0"/>
    <n v="0"/>
  </r>
  <r>
    <d v="2017-08-25T00:00:00"/>
    <n v="2017"/>
    <x v="29"/>
    <s v="R"/>
    <s v="RS"/>
    <x v="7"/>
    <s v="SAS"/>
    <s v="A"/>
    <n v="2"/>
    <n v="2"/>
    <n v="0"/>
    <n v="0"/>
    <n v="0"/>
    <n v="0"/>
    <n v="1691.4564250021033"/>
    <n v="1339.2145956922907"/>
    <n v="0.82406344753791805"/>
    <n v="89"/>
    <n v="70"/>
    <n v="0"/>
    <n v="19"/>
    <n v="1"/>
    <n v="0.4336779711490179"/>
    <n v="1"/>
    <n v="71.5"/>
    <n v="71.5"/>
    <n v="5.4554362092736541"/>
    <n v="1696.9118612113768"/>
    <n v="1"/>
    <n v="0"/>
    <n v="0"/>
    <n v="0"/>
    <n v="0"/>
    <n v="0"/>
    <n v="0"/>
    <n v="0"/>
    <n v="0"/>
    <n v="0"/>
  </r>
  <r>
    <d v="2017-08-25T00:00:00"/>
    <n v="2017"/>
    <x v="31"/>
    <s v="R"/>
    <s v="RS"/>
    <x v="4"/>
    <s v="MIN"/>
    <s v="H"/>
    <n v="2"/>
    <n v="2"/>
    <n v="0"/>
    <n v="0"/>
    <n v="0"/>
    <n v="0"/>
    <n v="1339.2145956922907"/>
    <n v="1691.4564250021033"/>
    <n v="0.17593655246208198"/>
    <n v="70"/>
    <n v="89"/>
    <n v="0"/>
    <n v="-19"/>
    <n v="0"/>
    <n v="0.4336779711490179"/>
    <n v="1"/>
    <n v="71.2"/>
    <n v="71.2"/>
    <n v="-5.4325462671368427"/>
    <n v="1333.7820494251539"/>
    <n v="0"/>
    <n v="1"/>
    <n v="0"/>
    <n v="0"/>
    <n v="0"/>
    <n v="0"/>
    <n v="0"/>
    <n v="0"/>
    <n v="0"/>
    <n v="0"/>
  </r>
  <r>
    <d v="2017-08-26T00:00:00"/>
    <n v="2017"/>
    <x v="31"/>
    <s v="R"/>
    <s v="RS"/>
    <x v="10"/>
    <s v="ATL"/>
    <s v="A"/>
    <n v="2"/>
    <n v="2"/>
    <n v="0"/>
    <n v="0"/>
    <n v="0"/>
    <n v="0"/>
    <n v="1346.7578589647014"/>
    <n v="1403.4012946355294"/>
    <n v="0.30797388647469565"/>
    <n v="74"/>
    <n v="79"/>
    <n v="1"/>
    <n v="-5"/>
    <n v="0"/>
    <n v="0.2851218120650747"/>
    <n v="1"/>
    <n v="71.2"/>
    <n v="71.2"/>
    <n v="-6.2520771677236846"/>
    <n v="1340.5057817969778"/>
    <n v="0"/>
    <n v="1"/>
    <n v="0"/>
    <n v="0"/>
    <n v="0"/>
    <n v="0"/>
    <n v="0"/>
    <n v="0"/>
    <n v="0"/>
    <n v="0"/>
  </r>
  <r>
    <d v="2017-08-26T00:00:00"/>
    <n v="2017"/>
    <x v="31"/>
    <s v="R"/>
    <s v="RS"/>
    <x v="0"/>
    <s v="IND"/>
    <s v="H"/>
    <n v="2"/>
    <n v="2"/>
    <n v="0"/>
    <n v="0"/>
    <n v="0"/>
    <n v="0"/>
    <n v="1403.4012946355294"/>
    <n v="1346.7578589647014"/>
    <n v="0.69202611352530441"/>
    <n v="79"/>
    <n v="74"/>
    <n v="1"/>
    <n v="5"/>
    <n v="1"/>
    <n v="0.2851218120650747"/>
    <n v="1"/>
    <n v="71.2"/>
    <n v="71.2"/>
    <n v="6.2520771677236828"/>
    <n v="1409.6533718032531"/>
    <n v="1"/>
    <n v="0"/>
    <n v="0"/>
    <n v="0"/>
    <n v="0"/>
    <n v="0"/>
    <n v="0"/>
    <n v="0"/>
    <n v="0"/>
    <n v="0"/>
  </r>
  <r>
    <d v="2017-08-26T00:00:00"/>
    <n v="2017"/>
    <x v="31"/>
    <s v="R"/>
    <s v="RS"/>
    <x v="8"/>
    <s v="WAS"/>
    <s v="A"/>
    <n v="2"/>
    <n v="0"/>
    <n v="2"/>
    <n v="-2"/>
    <n v="16"/>
    <n v="-16"/>
    <n v="1435.6947259048175"/>
    <n v="1510.7561923640001"/>
    <n v="0.32488218742582753"/>
    <n v="83"/>
    <n v="78"/>
    <n v="0"/>
    <n v="5"/>
    <n v="1"/>
    <n v="0.31222586598827434"/>
    <n v="1"/>
    <n v="71.2"/>
    <n v="71.2"/>
    <n v="15.00819414966573"/>
    <n v="1450.7029200544832"/>
    <n v="1"/>
    <n v="0"/>
    <n v="0"/>
    <n v="0"/>
    <n v="0"/>
    <n v="0"/>
    <n v="0"/>
    <n v="0"/>
    <n v="0"/>
    <n v="0"/>
  </r>
  <r>
    <d v="2017-08-26T00:00:00"/>
    <n v="2017"/>
    <x v="30"/>
    <s v="R"/>
    <s v="RS"/>
    <x v="11"/>
    <s v="DAL"/>
    <s v="H"/>
    <n v="0"/>
    <n v="2"/>
    <n v="-2"/>
    <n v="2"/>
    <n v="-16"/>
    <n v="16"/>
    <n v="1510.7561923640001"/>
    <n v="1435.6947259048175"/>
    <n v="0.67511781257417247"/>
    <n v="78"/>
    <n v="83"/>
    <n v="0"/>
    <n v="-5"/>
    <n v="0"/>
    <n v="0.31222586598827434"/>
    <n v="1"/>
    <n v="71.349999999999994"/>
    <n v="71.349999999999994"/>
    <n v="-15.039812536216992"/>
    <n v="1495.7163798277832"/>
    <n v="0"/>
    <n v="1"/>
    <n v="0"/>
    <n v="0"/>
    <n v="0"/>
    <n v="0"/>
    <n v="0"/>
    <n v="0"/>
    <n v="0"/>
    <n v="0"/>
  </r>
  <r>
    <d v="2017-08-27T00:00:00"/>
    <n v="2017"/>
    <x v="30"/>
    <s v="R"/>
    <s v="RS"/>
    <x v="7"/>
    <s v="LAS"/>
    <s v="A"/>
    <n v="1"/>
    <n v="2"/>
    <n v="-1"/>
    <n v="1"/>
    <n v="-8"/>
    <n v="8"/>
    <n v="1696.9118612113768"/>
    <n v="1686.2546845860331"/>
    <n v="0.37418636745765821"/>
    <n v="67"/>
    <n v="78"/>
    <n v="0"/>
    <n v="-11"/>
    <n v="0"/>
    <n v="0.43596418085951216"/>
    <n v="1"/>
    <n v="71.349999999999994"/>
    <n v="71.349999999999994"/>
    <n v="-11.639457724212797"/>
    <n v="1685.272403487164"/>
    <n v="0"/>
    <n v="1"/>
    <n v="0"/>
    <n v="0"/>
    <n v="0"/>
    <n v="0"/>
    <n v="0"/>
    <n v="0"/>
    <n v="0"/>
    <n v="0"/>
  </r>
  <r>
    <d v="2017-08-27T00:00:00"/>
    <n v="2017"/>
    <x v="31"/>
    <s v="R"/>
    <s v="RS"/>
    <x v="3"/>
    <s v="MIN"/>
    <s v="H"/>
    <n v="2"/>
    <n v="1"/>
    <n v="1"/>
    <n v="-1"/>
    <n v="8"/>
    <n v="-8"/>
    <n v="1686.2546845860331"/>
    <n v="1696.9118612113768"/>
    <n v="0.62581363254234179"/>
    <n v="78"/>
    <n v="67"/>
    <n v="0"/>
    <n v="11"/>
    <n v="1"/>
    <n v="0.43596418085951216"/>
    <n v="1"/>
    <n v="71.2"/>
    <n v="71.2"/>
    <n v="11.614987946236175"/>
    <n v="1697.8696725322693"/>
    <n v="1"/>
    <n v="0"/>
    <n v="0"/>
    <n v="0"/>
    <n v="0"/>
    <n v="0"/>
    <n v="0"/>
    <n v="0"/>
    <n v="0"/>
    <n v="0"/>
  </r>
  <r>
    <d v="2017-08-27T00:00:00"/>
    <n v="2017"/>
    <x v="30"/>
    <s v="R"/>
    <s v="RS"/>
    <x v="6"/>
    <s v="NYL"/>
    <s v="A"/>
    <n v="1"/>
    <n v="1"/>
    <n v="0"/>
    <n v="0"/>
    <n v="0"/>
    <n v="0"/>
    <n v="1443.2453307472895"/>
    <n v="1591.6128245385428"/>
    <n v="0.20790257447513791"/>
    <n v="62"/>
    <n v="92"/>
    <n v="0"/>
    <n v="-30"/>
    <n v="0"/>
    <n v="0.62608392401699753"/>
    <n v="1"/>
    <n v="71.349999999999994"/>
    <n v="71.349999999999994"/>
    <n v="-9.2872341953589785"/>
    <n v="1433.9580965519306"/>
    <n v="0"/>
    <n v="1"/>
    <n v="0"/>
    <n v="0"/>
    <n v="0"/>
    <n v="0"/>
    <n v="0"/>
    <n v="0"/>
    <n v="0"/>
    <n v="0"/>
  </r>
  <r>
    <d v="2017-08-27T00:00:00"/>
    <n v="2017"/>
    <x v="31"/>
    <s v="R"/>
    <s v="RS"/>
    <x v="5"/>
    <s v="CHI"/>
    <s v="H"/>
    <n v="1"/>
    <n v="1"/>
    <n v="0"/>
    <n v="0"/>
    <n v="0"/>
    <n v="0"/>
    <n v="1591.6128245385428"/>
    <n v="1443.2453307472895"/>
    <n v="0.79209742552486218"/>
    <n v="92"/>
    <n v="62"/>
    <n v="0"/>
    <n v="30"/>
    <n v="1"/>
    <n v="0.62608392401699753"/>
    <n v="1"/>
    <n v="71.2"/>
    <n v="71.2"/>
    <n v="9.2677095264128813"/>
    <n v="1600.8805340649556"/>
    <n v="1"/>
    <n v="0"/>
    <n v="0"/>
    <n v="0"/>
    <n v="0"/>
    <n v="0"/>
    <n v="0"/>
    <n v="0"/>
    <n v="0"/>
    <n v="0"/>
  </r>
  <r>
    <d v="2017-08-27T00:00:00"/>
    <n v="2017"/>
    <x v="31"/>
    <s v="R"/>
    <s v="RS"/>
    <x v="9"/>
    <s v="SEA"/>
    <s v="A"/>
    <n v="2"/>
    <n v="3"/>
    <n v="-1"/>
    <n v="1"/>
    <n v="-8"/>
    <n v="8"/>
    <n v="1484.9989380455572"/>
    <n v="1491.9163343531234"/>
    <n v="0.35081333831976014"/>
    <n v="75"/>
    <n v="71"/>
    <n v="0"/>
    <n v="4"/>
    <n v="1"/>
    <n v="0.30964777127913573"/>
    <n v="1"/>
    <n v="71.2"/>
    <n v="71.2"/>
    <n v="14.312567248860114"/>
    <n v="1499.3115052944174"/>
    <n v="1"/>
    <n v="0"/>
    <n v="0"/>
    <n v="0"/>
    <n v="0"/>
    <n v="0"/>
    <n v="0"/>
    <n v="0"/>
    <n v="0"/>
    <n v="0"/>
  </r>
  <r>
    <d v="2017-08-27T00:00:00"/>
    <n v="2017"/>
    <x v="31"/>
    <s v="R"/>
    <s v="RS"/>
    <x v="2"/>
    <s v="PHX"/>
    <s v="H"/>
    <n v="3"/>
    <n v="2"/>
    <n v="1"/>
    <n v="-1"/>
    <n v="8"/>
    <n v="-8"/>
    <n v="1491.9163343531234"/>
    <n v="1484.9989380455572"/>
    <n v="0.64918666168023997"/>
    <n v="71"/>
    <n v="75"/>
    <n v="0"/>
    <n v="-4"/>
    <n v="0"/>
    <n v="0.30964777127913573"/>
    <n v="1"/>
    <n v="71.2"/>
    <n v="71.2"/>
    <n v="-14.312567248860118"/>
    <n v="1477.6037671042632"/>
    <n v="0"/>
    <n v="1"/>
    <n v="0"/>
    <n v="0"/>
    <n v="0"/>
    <n v="0"/>
    <n v="0"/>
    <n v="0"/>
    <n v="0"/>
    <n v="0"/>
  </r>
  <r>
    <d v="2017-08-29T00:00:00"/>
    <n v="2017"/>
    <x v="31"/>
    <s v="R"/>
    <s v="RS"/>
    <x v="1"/>
    <s v="WAS"/>
    <s v="A"/>
    <n v="3"/>
    <n v="2"/>
    <n v="1"/>
    <n v="-1"/>
    <n v="8"/>
    <n v="-8"/>
    <n v="1575.3799755803409"/>
    <n v="1495.7163798277832"/>
    <n v="0.5167789608565424"/>
    <n v="86"/>
    <n v="76"/>
    <n v="0"/>
    <n v="10"/>
    <n v="1"/>
    <n v="0.39678837538559075"/>
    <n v="1"/>
    <n v="71.2"/>
    <n v="71.2"/>
    <n v="13.651638164459508"/>
    <n v="1589.0316137448003"/>
    <n v="1"/>
    <n v="0"/>
    <n v="0"/>
    <n v="0"/>
    <n v="0"/>
    <n v="0"/>
    <n v="0"/>
    <n v="0"/>
    <n v="0"/>
    <n v="0"/>
  </r>
  <r>
    <d v="2017-08-29T00:00:00"/>
    <n v="2017"/>
    <x v="31"/>
    <s v="R"/>
    <s v="RS"/>
    <x v="11"/>
    <s v="CON"/>
    <s v="H"/>
    <n v="2"/>
    <n v="3"/>
    <n v="-1"/>
    <n v="1"/>
    <n v="-8"/>
    <n v="8"/>
    <n v="1495.7163798277832"/>
    <n v="1575.3799755803409"/>
    <n v="0.48322103914345754"/>
    <n v="76"/>
    <n v="86"/>
    <n v="0"/>
    <n v="-10"/>
    <n v="0"/>
    <n v="0.39678837538559075"/>
    <n v="1"/>
    <n v="71.2"/>
    <n v="71.2"/>
    <n v="-13.651638164459508"/>
    <n v="1482.0647416633237"/>
    <n v="0"/>
    <n v="1"/>
    <n v="0"/>
    <n v="0"/>
    <n v="0"/>
    <n v="0"/>
    <n v="0"/>
    <n v="0"/>
    <n v="0"/>
    <n v="0"/>
  </r>
  <r>
    <d v="2017-08-30T00:00:00"/>
    <n v="2017"/>
    <x v="32"/>
    <s v="R"/>
    <s v="RS"/>
    <x v="8"/>
    <s v="CHI"/>
    <s v="A"/>
    <n v="3"/>
    <n v="2"/>
    <n v="1"/>
    <n v="-1"/>
    <n v="8"/>
    <n v="-8"/>
    <n v="1450.7029200544832"/>
    <n v="1433.9580965519306"/>
    <n v="0.42676835911034755"/>
    <n v="99"/>
    <n v="96"/>
    <n v="0"/>
    <n v="3"/>
    <n v="1"/>
    <n v="0.28619001995509136"/>
    <n v="1"/>
    <n v="71.05"/>
    <n v="71.05"/>
    <n v="11.655978065639312"/>
    <n v="1462.3588981201226"/>
    <n v="1"/>
    <n v="0"/>
    <n v="0"/>
    <n v="0"/>
    <n v="0"/>
    <n v="0"/>
    <n v="0"/>
    <n v="0"/>
    <n v="0"/>
    <n v="0"/>
  </r>
  <r>
    <d v="2017-08-30T00:00:00"/>
    <n v="2017"/>
    <x v="31"/>
    <s v="R"/>
    <s v="RS"/>
    <x v="6"/>
    <s v="DAL"/>
    <s v="H"/>
    <n v="2"/>
    <n v="3"/>
    <n v="-1"/>
    <n v="1"/>
    <n v="-8"/>
    <n v="8"/>
    <n v="1433.9580965519306"/>
    <n v="1450.7029200544832"/>
    <n v="0.57323164088965251"/>
    <n v="96"/>
    <n v="99"/>
    <n v="0"/>
    <n v="-3"/>
    <n v="0"/>
    <n v="0.28619001995509136"/>
    <n v="1"/>
    <n v="71.2"/>
    <n v="71.2"/>
    <n v="-11.680586041851079"/>
    <n v="1422.2775105100795"/>
    <n v="0"/>
    <n v="1"/>
    <n v="0"/>
    <n v="0"/>
    <n v="0"/>
    <n v="0"/>
    <n v="0"/>
    <n v="0"/>
    <n v="0"/>
    <n v="0"/>
  </r>
  <r>
    <d v="2017-08-30T00:00:00"/>
    <n v="2017"/>
    <x v="31"/>
    <s v="R"/>
    <s v="RS"/>
    <x v="7"/>
    <s v="IND"/>
    <s v="A"/>
    <n v="2"/>
    <n v="3"/>
    <n v="-1"/>
    <n v="1"/>
    <n v="-8"/>
    <n v="8"/>
    <n v="1685.272403487164"/>
    <n v="1340.5057817969778"/>
    <n v="0.80360658112991956"/>
    <n v="80"/>
    <n v="69"/>
    <n v="0"/>
    <n v="11"/>
    <n v="1"/>
    <n v="0.34167178193665831"/>
    <n v="1"/>
    <n v="71.2"/>
    <n v="71.2"/>
    <n v="4.7776687642812723"/>
    <n v="1690.0500722514453"/>
    <n v="1"/>
    <n v="0"/>
    <n v="0"/>
    <n v="0"/>
    <n v="0"/>
    <n v="0"/>
    <n v="0"/>
    <n v="0"/>
    <n v="0"/>
    <n v="0"/>
  </r>
  <r>
    <d v="2017-08-30T00:00:00"/>
    <n v="2017"/>
    <x v="32"/>
    <s v="R"/>
    <s v="RS"/>
    <x v="10"/>
    <s v="MIN"/>
    <s v="H"/>
    <n v="3"/>
    <n v="2"/>
    <n v="1"/>
    <n v="-1"/>
    <n v="8"/>
    <n v="-8"/>
    <n v="1340.5057817969778"/>
    <n v="1685.272403487164"/>
    <n v="0.19639341887008033"/>
    <n v="69"/>
    <n v="80"/>
    <n v="0"/>
    <n v="-11"/>
    <n v="0"/>
    <n v="0.34167178193665831"/>
    <n v="1"/>
    <n v="71.05"/>
    <n v="71.05"/>
    <n v="-4.7676034508733736"/>
    <n v="1335.7381783461044"/>
    <n v="0"/>
    <n v="1"/>
    <n v="0"/>
    <n v="0"/>
    <n v="0"/>
    <n v="0"/>
    <n v="0"/>
    <n v="0"/>
    <n v="0"/>
    <n v="0"/>
  </r>
  <r>
    <d v="2017-09-01T00:00:00"/>
    <n v="2017"/>
    <x v="32"/>
    <s v="R"/>
    <s v="RS"/>
    <x v="0"/>
    <s v="LAS"/>
    <s v="A"/>
    <n v="5"/>
    <n v="4"/>
    <n v="1"/>
    <n v="-1"/>
    <n v="8"/>
    <n v="-8"/>
    <n v="1409.6533718032531"/>
    <n v="1697.8696725322693"/>
    <n v="0.11399723679813881"/>
    <n v="56"/>
    <n v="81"/>
    <n v="0"/>
    <n v="-25"/>
    <n v="0"/>
    <n v="0.51713829078179407"/>
    <n v="1"/>
    <n v="71.05"/>
    <n v="71.05"/>
    <n v="-4.1885634864158039"/>
    <n v="1405.4648083168372"/>
    <n v="0"/>
    <n v="1"/>
    <n v="0"/>
    <n v="0"/>
    <n v="0"/>
    <n v="0"/>
    <n v="0"/>
    <n v="0"/>
    <n v="0"/>
    <n v="0"/>
  </r>
  <r>
    <d v="2017-09-01T00:00:00"/>
    <n v="2017"/>
    <x v="32"/>
    <s v="R"/>
    <s v="RS"/>
    <x v="3"/>
    <s v="ATL"/>
    <s v="H"/>
    <n v="4"/>
    <n v="5"/>
    <n v="-1"/>
    <n v="1"/>
    <n v="-8"/>
    <n v="8"/>
    <n v="1697.8696725322693"/>
    <n v="1409.6533718032531"/>
    <n v="0.88600276320186111"/>
    <n v="81"/>
    <n v="56"/>
    <n v="0"/>
    <n v="25"/>
    <n v="1"/>
    <n v="0.51713829078179407"/>
    <n v="1"/>
    <n v="71.05"/>
    <n v="71.05"/>
    <n v="4.1885634864158074"/>
    <n v="1702.0582360186852"/>
    <n v="1"/>
    <n v="0"/>
    <n v="0"/>
    <n v="0"/>
    <n v="0"/>
    <n v="0"/>
    <n v="0"/>
    <n v="0"/>
    <n v="0"/>
    <n v="0"/>
  </r>
  <r>
    <d v="2017-09-01T00:00:00"/>
    <n v="2017"/>
    <x v="32"/>
    <s v="R"/>
    <s v="RS"/>
    <x v="6"/>
    <s v="MIN"/>
    <s v="A"/>
    <n v="1"/>
    <n v="1"/>
    <n v="0"/>
    <n v="0"/>
    <n v="0"/>
    <n v="0"/>
    <n v="1422.2775105100795"/>
    <n v="1690.0500722514453"/>
    <n v="0.11660650831510946"/>
    <n v="87"/>
    <n v="110"/>
    <n v="0"/>
    <n v="-23"/>
    <n v="0"/>
    <n v="0.50307884363111255"/>
    <n v="1"/>
    <n v="71.05"/>
    <n v="71.05"/>
    <n v="-4.1679540961430668"/>
    <n v="1418.1095564139364"/>
    <n v="0"/>
    <n v="1"/>
    <n v="0"/>
    <n v="0"/>
    <n v="0"/>
    <n v="0"/>
    <n v="0"/>
    <n v="0"/>
    <n v="0"/>
    <n v="0"/>
  </r>
  <r>
    <d v="2017-09-01T00:00:00"/>
    <n v="2017"/>
    <x v="32"/>
    <s v="R"/>
    <s v="RS"/>
    <x v="7"/>
    <s v="CHI"/>
    <s v="H"/>
    <n v="1"/>
    <n v="1"/>
    <n v="0"/>
    <n v="0"/>
    <n v="0"/>
    <n v="0"/>
    <n v="1690.0500722514453"/>
    <n v="1422.2775105100795"/>
    <n v="0.88339349168489045"/>
    <n v="110"/>
    <n v="87"/>
    <n v="0"/>
    <n v="23"/>
    <n v="1"/>
    <n v="0.50307884363111255"/>
    <n v="1"/>
    <n v="71.05"/>
    <n v="71.05"/>
    <n v="4.1679540961430694"/>
    <n v="1694.2180263475884"/>
    <n v="1"/>
    <n v="0"/>
    <n v="0"/>
    <n v="0"/>
    <n v="0"/>
    <n v="0"/>
    <n v="0"/>
    <n v="0"/>
    <n v="0"/>
    <n v="0"/>
  </r>
  <r>
    <d v="2017-09-01T00:00:00"/>
    <n v="2017"/>
    <x v="32"/>
    <s v="R"/>
    <s v="RS"/>
    <x v="4"/>
    <s v="NYL"/>
    <s v="A"/>
    <n v="6"/>
    <n v="4"/>
    <n v="2"/>
    <n v="-2"/>
    <n v="16"/>
    <n v="-16"/>
    <n v="1333.7820494251539"/>
    <n v="1600.8805340649556"/>
    <n v="0.13742088117373316"/>
    <n v="69"/>
    <n v="81"/>
    <n v="0"/>
    <n v="-12"/>
    <n v="0"/>
    <n v="0.3730869722943202"/>
    <n v="1"/>
    <n v="71.05"/>
    <n v="71.05"/>
    <n v="-3.6427292716102775"/>
    <n v="1330.1393201535436"/>
    <n v="0"/>
    <n v="1"/>
    <n v="0"/>
    <n v="0"/>
    <n v="0"/>
    <n v="0"/>
    <n v="0"/>
    <n v="0"/>
    <n v="0"/>
    <n v="0"/>
  </r>
  <r>
    <d v="2017-09-01T00:00:00"/>
    <n v="2017"/>
    <x v="32"/>
    <s v="R"/>
    <s v="RS"/>
    <x v="5"/>
    <s v="SAS"/>
    <s v="H"/>
    <n v="4"/>
    <n v="6"/>
    <n v="-2"/>
    <n v="2"/>
    <n v="-16"/>
    <n v="16"/>
    <n v="1600.8805340649556"/>
    <n v="1333.7820494251539"/>
    <n v="0.86257911882626681"/>
    <n v="81"/>
    <n v="69"/>
    <n v="0"/>
    <n v="12"/>
    <n v="1"/>
    <n v="0.3730869722943202"/>
    <n v="1"/>
    <n v="71.05"/>
    <n v="71.05"/>
    <n v="3.6427292716102784"/>
    <n v="1604.5232633365658"/>
    <n v="1"/>
    <n v="0"/>
    <n v="0"/>
    <n v="0"/>
    <n v="0"/>
    <n v="0"/>
    <n v="0"/>
    <n v="0"/>
    <n v="0"/>
    <n v="0"/>
  </r>
  <r>
    <d v="2017-09-01T00:00:00"/>
    <n v="2017"/>
    <x v="32"/>
    <s v="R"/>
    <s v="RS"/>
    <x v="1"/>
    <s v="PHX"/>
    <s v="A"/>
    <n v="2"/>
    <n v="4"/>
    <n v="-2"/>
    <n v="2"/>
    <n v="-16"/>
    <n v="16"/>
    <n v="1589.0316137448003"/>
    <n v="1499.3115052944174"/>
    <n v="0.46225215801931052"/>
    <n v="66"/>
    <n v="86"/>
    <n v="0"/>
    <n v="-20"/>
    <n v="0"/>
    <n v="0.5348949948213878"/>
    <n v="1"/>
    <n v="71.05"/>
    <n v="71.05"/>
    <n v="-17.56756478084742"/>
    <n v="1571.4640489639528"/>
    <n v="0"/>
    <n v="1"/>
    <n v="0"/>
    <n v="0"/>
    <n v="0"/>
    <n v="0"/>
    <n v="0"/>
    <n v="0"/>
    <n v="0"/>
    <n v="0"/>
  </r>
  <r>
    <d v="2017-09-01T00:00:00"/>
    <n v="2017"/>
    <x v="32"/>
    <s v="R"/>
    <s v="RS"/>
    <x v="9"/>
    <s v="CON"/>
    <s v="H"/>
    <n v="4"/>
    <n v="2"/>
    <n v="2"/>
    <n v="-2"/>
    <n v="16"/>
    <n v="-16"/>
    <n v="1499.3115052944174"/>
    <n v="1589.0316137448003"/>
    <n v="0.53774784198068959"/>
    <n v="86"/>
    <n v="66"/>
    <n v="0"/>
    <n v="20"/>
    <n v="1"/>
    <n v="0.5348949948213878"/>
    <n v="1"/>
    <n v="71.05"/>
    <n v="71.05"/>
    <n v="17.567564780847416"/>
    <n v="1516.8790700752647"/>
    <n v="1"/>
    <n v="0"/>
    <n v="0"/>
    <n v="0"/>
    <n v="0"/>
    <n v="0"/>
    <n v="0"/>
    <n v="0"/>
    <n v="0"/>
    <n v="0"/>
  </r>
  <r>
    <d v="2017-09-01T00:00:00"/>
    <n v="2017"/>
    <x v="32"/>
    <s v="R"/>
    <s v="RS"/>
    <x v="2"/>
    <s v="WAS"/>
    <s v="A"/>
    <n v="4"/>
    <n v="2"/>
    <n v="2"/>
    <n v="-2"/>
    <n v="16"/>
    <n v="-16"/>
    <n v="1477.6037671042632"/>
    <n v="1482.0647416633237"/>
    <n v="0.41945392173460067"/>
    <n v="106"/>
    <n v="110"/>
    <n v="1"/>
    <n v="-4"/>
    <n v="0"/>
    <n v="0.27925135043858323"/>
    <n v="1"/>
    <n v="71.05"/>
    <n v="71.05"/>
    <n v="-8.3223049141759962"/>
    <n v="1469.2814621900873"/>
    <n v="0"/>
    <n v="1"/>
    <n v="0"/>
    <n v="0"/>
    <n v="0"/>
    <n v="0"/>
    <n v="0"/>
    <n v="0"/>
    <n v="0"/>
    <n v="0"/>
  </r>
  <r>
    <d v="2017-09-01T00:00:00"/>
    <n v="2017"/>
    <x v="32"/>
    <s v="R"/>
    <s v="RS"/>
    <x v="11"/>
    <s v="SEA"/>
    <s v="H"/>
    <n v="2"/>
    <n v="4"/>
    <n v="-2"/>
    <n v="2"/>
    <n v="-16"/>
    <n v="16"/>
    <n v="1482.0647416633237"/>
    <n v="1477.6037671042632"/>
    <n v="0.58054607826539928"/>
    <n v="110"/>
    <n v="106"/>
    <n v="1"/>
    <n v="4"/>
    <n v="1"/>
    <n v="0.27925135043858323"/>
    <n v="1"/>
    <n v="71.05"/>
    <n v="71.05"/>
    <n v="8.3223049141759979"/>
    <n v="1490.3870465774996"/>
    <n v="1"/>
    <n v="0"/>
    <n v="0"/>
    <n v="0"/>
    <n v="0"/>
    <n v="0"/>
    <n v="0"/>
    <n v="0"/>
    <n v="0"/>
    <n v="0"/>
  </r>
  <r>
    <d v="2017-09-02T00:00:00"/>
    <n v="2017"/>
    <x v="33"/>
    <s v="R"/>
    <s v="RS"/>
    <x v="4"/>
    <s v="IND"/>
    <s v="A"/>
    <n v="0"/>
    <n v="2"/>
    <n v="-2"/>
    <n v="2"/>
    <n v="-16"/>
    <n v="16"/>
    <n v="1330.1393201535436"/>
    <n v="1335.7381783461044"/>
    <n v="0.33181681830239901"/>
    <n v="75"/>
    <n v="71"/>
    <n v="0"/>
    <n v="4"/>
    <n v="1"/>
    <n v="0.30998642653406033"/>
    <n v="1"/>
    <n v="70.900000000000006"/>
    <n v="70.900000000000006"/>
    <n v="14.685355118610003"/>
    <n v="1344.8246752721536"/>
    <n v="1"/>
    <n v="0"/>
    <n v="0"/>
    <n v="0"/>
    <n v="0"/>
    <n v="0"/>
    <n v="0"/>
    <n v="0"/>
    <n v="0"/>
    <n v="0"/>
  </r>
  <r>
    <d v="2017-09-02T00:00:00"/>
    <n v="2017"/>
    <x v="33"/>
    <s v="R"/>
    <s v="RS"/>
    <x v="10"/>
    <s v="SAS"/>
    <s v="H"/>
    <n v="2"/>
    <n v="0"/>
    <n v="2"/>
    <n v="-2"/>
    <n v="16"/>
    <n v="-16"/>
    <n v="1335.7381783461044"/>
    <n v="1330.1393201535436"/>
    <n v="0.66818318169760094"/>
    <n v="71"/>
    <n v="75"/>
    <n v="0"/>
    <n v="-4"/>
    <n v="0"/>
    <n v="0.30998642653406033"/>
    <n v="1"/>
    <n v="70.900000000000006"/>
    <n v="70.900000000000006"/>
    <n v="-14.685355118610003"/>
    <n v="1321.0528232274944"/>
    <n v="0"/>
    <n v="1"/>
    <n v="0"/>
    <n v="0"/>
    <n v="0"/>
    <n v="0"/>
    <n v="0"/>
    <n v="0"/>
    <n v="0"/>
    <n v="0"/>
  </r>
  <r>
    <d v="2017-09-03T00:00:00"/>
    <n v="2017"/>
    <x v="33"/>
    <s v="R"/>
    <s v="RS"/>
    <x v="2"/>
    <s v="CHI"/>
    <s v="A"/>
    <n v="1"/>
    <n v="1"/>
    <n v="0"/>
    <n v="0"/>
    <n v="0"/>
    <n v="0"/>
    <n v="1469.2814621900873"/>
    <n v="1418.1095564139364"/>
    <n v="0.45289666722314836"/>
    <n v="85"/>
    <n v="80"/>
    <n v="0"/>
    <n v="5"/>
    <n v="1"/>
    <n v="0.31818742789507876"/>
    <n v="1"/>
    <n v="70.900000000000006"/>
    <n v="70.900000000000006"/>
    <n v="12.342371419460607"/>
    <n v="1481.6238336095478"/>
    <n v="1"/>
    <n v="0"/>
    <n v="0"/>
    <n v="0"/>
    <n v="0"/>
    <n v="0"/>
    <n v="0"/>
    <n v="0"/>
    <n v="0"/>
    <n v="0"/>
  </r>
  <r>
    <d v="2017-09-03T00:00:00"/>
    <n v="2017"/>
    <x v="33"/>
    <s v="R"/>
    <s v="RS"/>
    <x v="6"/>
    <s v="SEA"/>
    <s v="H"/>
    <n v="1"/>
    <n v="1"/>
    <n v="0"/>
    <n v="0"/>
    <n v="0"/>
    <n v="0"/>
    <n v="1418.1095564139364"/>
    <n v="1469.2814621900873"/>
    <n v="0.54710333277685164"/>
    <n v="80"/>
    <n v="85"/>
    <n v="0"/>
    <n v="-5"/>
    <n v="0"/>
    <n v="0.31818742789507876"/>
    <n v="1"/>
    <n v="70.900000000000006"/>
    <n v="70.900000000000006"/>
    <n v="-12.342371419460607"/>
    <n v="1405.7671849944759"/>
    <n v="0"/>
    <n v="1"/>
    <n v="0"/>
    <n v="0"/>
    <n v="0"/>
    <n v="0"/>
    <n v="0"/>
    <n v="0"/>
    <n v="0"/>
    <n v="0"/>
  </r>
  <r>
    <d v="2017-09-03T00:00:00"/>
    <n v="2017"/>
    <x v="33"/>
    <s v="R"/>
    <s v="RS"/>
    <x v="5"/>
    <s v="DAL"/>
    <s v="A"/>
    <n v="1"/>
    <n v="3"/>
    <n v="-2"/>
    <n v="2"/>
    <n v="-16"/>
    <n v="16"/>
    <n v="1604.5232633365658"/>
    <n v="1462.3588981201226"/>
    <n v="0.53758252967006714"/>
    <n v="82"/>
    <n v="81"/>
    <n v="0"/>
    <n v="1"/>
    <n v="1"/>
    <n v="0.21831573893045444"/>
    <n v="1"/>
    <n v="70.900000000000006"/>
    <n v="70.900000000000006"/>
    <n v="7.1575685316166426"/>
    <n v="1611.6808318681824"/>
    <n v="1"/>
    <n v="0"/>
    <n v="0"/>
    <n v="0"/>
    <n v="0"/>
    <n v="0"/>
    <n v="0"/>
    <n v="0"/>
    <n v="0"/>
    <n v="0"/>
  </r>
  <r>
    <d v="2017-09-03T00:00:00"/>
    <n v="2017"/>
    <x v="33"/>
    <s v="R"/>
    <s v="RS"/>
    <x v="8"/>
    <s v="NYL"/>
    <s v="H"/>
    <n v="3"/>
    <n v="1"/>
    <n v="2"/>
    <n v="-2"/>
    <n v="16"/>
    <n v="-16"/>
    <n v="1462.3588981201226"/>
    <n v="1604.5232633365658"/>
    <n v="0.46241747032993286"/>
    <n v="81"/>
    <n v="82"/>
    <n v="0"/>
    <n v="-1"/>
    <n v="0"/>
    <n v="0.21831573893045444"/>
    <n v="1"/>
    <n v="70.900000000000006"/>
    <n v="70.900000000000006"/>
    <n v="-7.1575685316166426"/>
    <n v="1455.201329588506"/>
    <n v="0"/>
    <n v="1"/>
    <n v="0"/>
    <n v="0"/>
    <n v="0"/>
    <n v="0"/>
    <n v="0"/>
    <n v="0"/>
    <n v="0"/>
    <n v="0"/>
  </r>
  <r>
    <d v="2017-09-03T00:00:00"/>
    <n v="2017"/>
    <x v="33"/>
    <s v="R"/>
    <s v="RS"/>
    <x v="1"/>
    <s v="LAS"/>
    <s v="A"/>
    <n v="1"/>
    <n v="1"/>
    <n v="0"/>
    <n v="0"/>
    <n v="0"/>
    <n v="0"/>
    <n v="1571.4640489639528"/>
    <n v="1702.0582360186852"/>
    <n v="0.22525454779019291"/>
    <n v="70"/>
    <n v="81"/>
    <n v="0"/>
    <n v="-11"/>
    <n v="0"/>
    <n v="0.39666727049022282"/>
    <n v="1"/>
    <n v="70.900000000000006"/>
    <n v="70.900000000000006"/>
    <n v="-6.3349934605948706"/>
    <n v="1565.1290555033579"/>
    <n v="0"/>
    <n v="1"/>
    <n v="0"/>
    <n v="0"/>
    <n v="0"/>
    <n v="0"/>
    <n v="0"/>
    <n v="0"/>
    <n v="0"/>
    <n v="0"/>
  </r>
  <r>
    <d v="2017-09-03T00:00:00"/>
    <n v="2017"/>
    <x v="33"/>
    <s v="R"/>
    <s v="RS"/>
    <x v="3"/>
    <s v="CON"/>
    <s v="H"/>
    <n v="1"/>
    <n v="1"/>
    <n v="0"/>
    <n v="0"/>
    <n v="0"/>
    <n v="0"/>
    <n v="1702.0582360186852"/>
    <n v="1571.4640489639528"/>
    <n v="0.77474545220980706"/>
    <n v="81"/>
    <n v="70"/>
    <n v="0"/>
    <n v="11"/>
    <n v="1"/>
    <n v="0.39666727049022282"/>
    <n v="1"/>
    <n v="70.900000000000006"/>
    <n v="70.900000000000006"/>
    <n v="6.3349934605948715"/>
    <n v="1708.3932294792801"/>
    <n v="1"/>
    <n v="0"/>
    <n v="0"/>
    <n v="0"/>
    <n v="0"/>
    <n v="0"/>
    <n v="0"/>
    <n v="0"/>
    <n v="0"/>
    <n v="0"/>
  </r>
  <r>
    <d v="2017-09-03T00:00:00"/>
    <n v="2017"/>
    <x v="33"/>
    <s v="R"/>
    <s v="RS"/>
    <x v="11"/>
    <s v="MIN"/>
    <s v="A"/>
    <n v="1"/>
    <n v="1"/>
    <n v="0"/>
    <n v="0"/>
    <n v="0"/>
    <n v="0"/>
    <n v="1490.3870465774996"/>
    <n v="1694.2180263475884"/>
    <n v="0.16018014689362103"/>
    <n v="72"/>
    <n v="86"/>
    <n v="0"/>
    <n v="-14"/>
    <n v="0"/>
    <n v="0.41680924033800038"/>
    <n v="1"/>
    <n v="70.900000000000006"/>
    <n v="70.900000000000006"/>
    <n v="-4.7336076828867286"/>
    <n v="1485.6534388946129"/>
    <n v="0"/>
    <n v="1"/>
    <n v="0"/>
    <n v="0"/>
    <n v="0"/>
    <n v="0"/>
    <n v="0"/>
    <n v="0"/>
    <n v="0"/>
    <n v="0"/>
  </r>
  <r>
    <d v="2017-09-03T00:00:00"/>
    <n v="2017"/>
    <x v="33"/>
    <s v="R"/>
    <s v="RS"/>
    <x v="7"/>
    <s v="WAS"/>
    <s v="H"/>
    <n v="1"/>
    <n v="1"/>
    <n v="0"/>
    <n v="0"/>
    <n v="0"/>
    <n v="0"/>
    <n v="1694.2180263475884"/>
    <n v="1490.3870465774996"/>
    <n v="0.83981985310637897"/>
    <n v="86"/>
    <n v="72"/>
    <n v="0"/>
    <n v="14"/>
    <n v="1"/>
    <n v="0.41680924033800038"/>
    <n v="1"/>
    <n v="70.900000000000006"/>
    <n v="70.900000000000006"/>
    <n v="4.7336076828867286"/>
    <n v="1698.9516340304751"/>
    <n v="1"/>
    <n v="0"/>
    <n v="0"/>
    <n v="0"/>
    <n v="0"/>
    <n v="0"/>
    <n v="0"/>
    <n v="0"/>
    <n v="0"/>
    <n v="0"/>
  </r>
  <r>
    <d v="2017-09-03T00:00:00"/>
    <n v="2017"/>
    <x v="33"/>
    <s v="R"/>
    <s v="RS"/>
    <x v="0"/>
    <s v="PHX"/>
    <s v="A"/>
    <n v="1"/>
    <n v="1"/>
    <n v="0"/>
    <n v="0"/>
    <n v="0"/>
    <n v="0"/>
    <n v="1405.4648083168372"/>
    <n v="1516.8790700752647"/>
    <n v="0.24510445626787206"/>
    <n v="70"/>
    <n v="84"/>
    <n v="0"/>
    <n v="-14"/>
    <n v="0"/>
    <n v="0.44618221816220183"/>
    <n v="1"/>
    <n v="70.900000000000006"/>
    <n v="70.900000000000006"/>
    <n v="-7.7537126235139038"/>
    <n v="1397.7110956933234"/>
    <n v="0"/>
    <n v="1"/>
    <n v="0"/>
    <n v="0"/>
    <n v="0"/>
    <n v="0"/>
    <n v="0"/>
    <n v="0"/>
    <n v="0"/>
    <n v="0"/>
  </r>
  <r>
    <d v="2017-09-03T00:00:00"/>
    <n v="2017"/>
    <x v="33"/>
    <s v="R"/>
    <s v="RS"/>
    <x v="9"/>
    <s v="ATL"/>
    <s v="H"/>
    <n v="1"/>
    <n v="1"/>
    <n v="0"/>
    <n v="0"/>
    <n v="0"/>
    <n v="0"/>
    <n v="1516.8790700752647"/>
    <n v="1405.4648083168372"/>
    <n v="0.75489554373212797"/>
    <n v="84"/>
    <n v="70"/>
    <n v="0"/>
    <n v="14"/>
    <n v="1"/>
    <n v="0.44618221816220183"/>
    <n v="1"/>
    <n v="70.900000000000006"/>
    <n v="70.900000000000006"/>
    <n v="7.7537126235139029"/>
    <n v="1524.6327826987786"/>
    <n v="1"/>
    <n v="0"/>
    <n v="0"/>
    <n v="0"/>
    <n v="0"/>
    <n v="0"/>
    <n v="0"/>
    <n v="0"/>
    <n v="0"/>
    <n v="0"/>
  </r>
  <r>
    <d v="2017-09-06T00:00:00"/>
    <n v="2017"/>
    <x v="34"/>
    <s v="P"/>
    <n v="0.5"/>
    <x v="2"/>
    <s v="PHX"/>
    <s v="A"/>
    <n v="2"/>
    <n v="2"/>
    <n v="0"/>
    <n v="0"/>
    <n v="0"/>
    <n v="0"/>
    <n v="1481.6238336095478"/>
    <n v="1524.6327826987786"/>
    <n v="0.32494849866175485"/>
    <n v="69"/>
    <n v="79"/>
    <n v="0"/>
    <n v="-10"/>
    <n v="0"/>
    <n v="0.40848912597996989"/>
    <n v="1.05"/>
    <n v="70.75"/>
    <n v="74.287500000000009"/>
    <n v="-9.8607688416658998"/>
    <n v="1471.7630647678818"/>
    <n v="0"/>
    <n v="0"/>
    <n v="0"/>
    <n v="0"/>
    <n v="0"/>
    <n v="0"/>
    <n v="0"/>
    <n v="0"/>
    <n v="0"/>
    <n v="0"/>
  </r>
  <r>
    <d v="2017-09-06T00:00:00"/>
    <n v="2017"/>
    <x v="34"/>
    <s v="P"/>
    <n v="0.5"/>
    <x v="9"/>
    <s v="SEA"/>
    <s v="H"/>
    <n v="2"/>
    <n v="2"/>
    <n v="0"/>
    <n v="0"/>
    <n v="0"/>
    <n v="0"/>
    <n v="1524.6327826987786"/>
    <n v="1481.6238336095478"/>
    <n v="0.67505150133824521"/>
    <n v="79"/>
    <n v="69"/>
    <n v="0"/>
    <n v="10"/>
    <n v="1"/>
    <n v="0.40848912597996989"/>
    <n v="1.05"/>
    <n v="70.75"/>
    <n v="74.287500000000009"/>
    <n v="9.8607688416658981"/>
    <n v="1534.4935515404445"/>
    <n v="0"/>
    <n v="0"/>
    <n v="0"/>
    <n v="0"/>
    <n v="0"/>
    <n v="0"/>
    <n v="0"/>
    <n v="0"/>
    <n v="0"/>
    <n v="0"/>
  </r>
  <r>
    <d v="2017-09-06T00:00:00"/>
    <n v="2017"/>
    <x v="34"/>
    <s v="P"/>
    <n v="0.5"/>
    <x v="8"/>
    <s v="WAS"/>
    <s v="A"/>
    <n v="2"/>
    <n v="2"/>
    <n v="0"/>
    <n v="0"/>
    <n v="0"/>
    <n v="0"/>
    <n v="1455.201329588506"/>
    <n v="1485.6534388946129"/>
    <n v="0.34100039445927494"/>
    <n v="76"/>
    <n v="86"/>
    <n v="0"/>
    <n v="-10"/>
    <n v="0"/>
    <n v="0.41265778274384129"/>
    <n v="1.05"/>
    <n v="70.75"/>
    <n v="74.287500000000009"/>
    <n v="-10.453474519407184"/>
    <n v="1444.7478550690989"/>
    <n v="0"/>
    <n v="0"/>
    <n v="0"/>
    <n v="0"/>
    <n v="0"/>
    <n v="0"/>
    <n v="0"/>
    <n v="0"/>
    <n v="0"/>
    <n v="0"/>
  </r>
  <r>
    <d v="2017-09-06T00:00:00"/>
    <n v="2017"/>
    <x v="34"/>
    <s v="P"/>
    <n v="0.5"/>
    <x v="11"/>
    <s v="DAL"/>
    <s v="H"/>
    <n v="2"/>
    <n v="2"/>
    <n v="0"/>
    <n v="0"/>
    <n v="0"/>
    <n v="0"/>
    <n v="1485.6534388946129"/>
    <n v="1455.201329588506"/>
    <n v="0.65899960554072512"/>
    <n v="86"/>
    <n v="76"/>
    <n v="0"/>
    <n v="10"/>
    <n v="1"/>
    <n v="0.41265778274384129"/>
    <n v="1.05"/>
    <n v="70.75"/>
    <n v="74.287500000000009"/>
    <n v="10.453474519407182"/>
    <n v="1496.10691341402"/>
    <n v="0"/>
    <n v="0"/>
    <n v="0"/>
    <n v="0"/>
    <n v="0"/>
    <n v="0"/>
    <n v="0"/>
    <n v="0"/>
    <n v="0"/>
    <n v="0"/>
  </r>
  <r>
    <d v="2017-09-10T00:00:00"/>
    <n v="2017"/>
    <x v="35"/>
    <s v="P"/>
    <n v="1"/>
    <x v="9"/>
    <s v="CON"/>
    <s v="A"/>
    <n v="3"/>
    <n v="6"/>
    <n v="-3"/>
    <n v="3"/>
    <n v="-16"/>
    <n v="16"/>
    <n v="1534.4935515404445"/>
    <n v="1565.1290555033579"/>
    <n v="0.30067159849909225"/>
    <n v="88"/>
    <n v="83"/>
    <n v="0"/>
    <n v="5"/>
    <n v="1"/>
    <n v="0.32349722502845546"/>
    <n v="1.1000000000000001"/>
    <n v="70.599999999999994"/>
    <n v="77.66"/>
    <n v="17.569083715920573"/>
    <n v="1552.0626352563652"/>
    <n v="0"/>
    <n v="0"/>
    <n v="1"/>
    <n v="0"/>
    <n v="0"/>
    <n v="0"/>
    <n v="0"/>
    <n v="0"/>
    <n v="0"/>
    <n v="0"/>
  </r>
  <r>
    <d v="2017-09-10T00:00:00"/>
    <n v="2017"/>
    <x v="34"/>
    <s v="P"/>
    <n v="1"/>
    <x v="1"/>
    <s v="PHX"/>
    <s v="H"/>
    <n v="6"/>
    <n v="3"/>
    <n v="3"/>
    <n v="-3"/>
    <n v="16"/>
    <n v="-16"/>
    <n v="1565.1290555033579"/>
    <n v="1534.4935515404445"/>
    <n v="0.69932840150090769"/>
    <n v="83"/>
    <n v="88"/>
    <n v="0"/>
    <n v="-5"/>
    <n v="0"/>
    <n v="0.32349722502845546"/>
    <n v="1.1000000000000001"/>
    <n v="70.75"/>
    <n v="77.825000000000003"/>
    <n v="-17.606411797469981"/>
    <n v="1547.522643705888"/>
    <n v="0"/>
    <n v="0"/>
    <n v="0"/>
    <n v="1"/>
    <n v="0"/>
    <n v="0"/>
    <n v="0"/>
    <n v="0"/>
    <n v="0"/>
    <n v="0"/>
  </r>
  <r>
    <d v="2017-09-10T00:00:00"/>
    <n v="2017"/>
    <x v="35"/>
    <s v="P"/>
    <n v="1"/>
    <x v="11"/>
    <s v="NYL"/>
    <s v="A"/>
    <n v="3"/>
    <n v="6"/>
    <n v="-3"/>
    <n v="3"/>
    <n v="-16"/>
    <n v="16"/>
    <n v="1496.10691341402"/>
    <n v="1611.6808318681824"/>
    <n v="0.20865586319242713"/>
    <n v="82"/>
    <n v="68"/>
    <n v="0"/>
    <n v="14"/>
    <n v="1"/>
    <n v="0.44477145376100641"/>
    <n v="1.1000000000000001"/>
    <n v="70.599999999999994"/>
    <n v="77.66"/>
    <n v="27.333779132013856"/>
    <n v="1523.4406925460339"/>
    <n v="0"/>
    <n v="0"/>
    <n v="1"/>
    <n v="0"/>
    <n v="0"/>
    <n v="0"/>
    <n v="0"/>
    <n v="0"/>
    <n v="0"/>
    <n v="0"/>
  </r>
  <r>
    <d v="2017-09-10T00:00:00"/>
    <n v="2017"/>
    <x v="34"/>
    <s v="P"/>
    <n v="1"/>
    <x v="5"/>
    <s v="WAS"/>
    <s v="H"/>
    <n v="6"/>
    <n v="3"/>
    <n v="3"/>
    <n v="-3"/>
    <n v="16"/>
    <n v="-16"/>
    <n v="1611.6808318681824"/>
    <n v="1496.10691341402"/>
    <n v="0.79134413680757276"/>
    <n v="68"/>
    <n v="82"/>
    <n v="0"/>
    <n v="-14"/>
    <n v="0"/>
    <n v="0.44477145376100641"/>
    <n v="1.1000000000000001"/>
    <n v="70.75"/>
    <n v="77.825000000000003"/>
    <n v="-27.391853733569121"/>
    <n v="1584.2889781346132"/>
    <n v="0"/>
    <n v="0"/>
    <n v="0"/>
    <n v="1"/>
    <n v="0"/>
    <n v="0"/>
    <n v="0"/>
    <n v="0"/>
    <n v="0"/>
    <n v="0"/>
  </r>
  <r>
    <d v="2017-09-12T00:00:00"/>
    <n v="2017"/>
    <x v="36"/>
    <s v="P"/>
    <n v="2"/>
    <x v="9"/>
    <s v="LAS"/>
    <s v="A"/>
    <n v="1"/>
    <n v="8"/>
    <n v="-7"/>
    <n v="7"/>
    <n v="-16"/>
    <n v="16"/>
    <n v="1552.0626352563652"/>
    <n v="1708.3932294792801"/>
    <n v="0.17255010227956769"/>
    <n v="66"/>
    <n v="79"/>
    <n v="0"/>
    <n v="-13"/>
    <n v="0"/>
    <n v="0.41763601675702067"/>
    <n v="1.2"/>
    <n v="70.45"/>
    <n v="84.54"/>
    <n v="-6.0922176363924434"/>
    <n v="1545.9704176199727"/>
    <n v="0"/>
    <n v="0"/>
    <n v="0"/>
    <n v="0"/>
    <n v="0"/>
    <n v="1"/>
    <n v="0"/>
    <n v="0"/>
    <n v="0"/>
    <n v="0"/>
  </r>
  <r>
    <d v="2017-09-12T00:00:00"/>
    <n v="2017"/>
    <x v="34"/>
    <s v="P"/>
    <n v="2"/>
    <x v="3"/>
    <s v="PHX"/>
    <s v="H"/>
    <n v="8"/>
    <n v="1"/>
    <n v="7"/>
    <n v="-7"/>
    <n v="16"/>
    <n v="-16"/>
    <n v="1708.3932294792801"/>
    <n v="1552.0626352563652"/>
    <n v="0.82744989772043231"/>
    <n v="79"/>
    <n v="66"/>
    <n v="0"/>
    <n v="13"/>
    <n v="1"/>
    <n v="0.41763601675702067"/>
    <n v="1.2"/>
    <n v="70.75"/>
    <n v="84.899999999999991"/>
    <n v="6.1181603658589827"/>
    <n v="1714.5113898451391"/>
    <n v="0"/>
    <n v="0"/>
    <n v="0"/>
    <n v="0"/>
    <n v="1"/>
    <n v="0"/>
    <n v="0"/>
    <n v="0"/>
    <n v="0"/>
    <n v="0"/>
  </r>
  <r>
    <d v="2017-09-12T00:00:00"/>
    <n v="2017"/>
    <x v="36"/>
    <s v="P"/>
    <n v="2"/>
    <x v="11"/>
    <s v="MIN"/>
    <s v="A"/>
    <n v="1"/>
    <n v="8"/>
    <n v="-7"/>
    <n v="7"/>
    <n v="-16"/>
    <n v="16"/>
    <n v="1523.4406925460339"/>
    <n v="1698.9516340304751"/>
    <n v="0.15735095381474398"/>
    <n v="81"/>
    <n v="101"/>
    <n v="0"/>
    <n v="-20"/>
    <n v="0"/>
    <n v="0.50153351014867997"/>
    <n v="1.2"/>
    <n v="70.45"/>
    <n v="84.54"/>
    <n v="-6.6716242592675705"/>
    <n v="1516.7690682867662"/>
    <n v="0"/>
    <n v="0"/>
    <n v="0"/>
    <n v="0"/>
    <n v="0"/>
    <n v="1"/>
    <n v="0"/>
    <n v="0"/>
    <n v="0"/>
    <n v="0"/>
  </r>
  <r>
    <d v="2017-09-12T00:00:00"/>
    <n v="2017"/>
    <x v="34"/>
    <s v="P"/>
    <n v="2"/>
    <x v="7"/>
    <s v="WAS"/>
    <s v="H"/>
    <n v="8"/>
    <n v="1"/>
    <n v="7"/>
    <n v="-7"/>
    <n v="16"/>
    <n v="-16"/>
    <n v="1698.9516340304751"/>
    <n v="1523.4406925460339"/>
    <n v="0.84264904618525605"/>
    <n v="101"/>
    <n v="81"/>
    <n v="0"/>
    <n v="20"/>
    <n v="1"/>
    <n v="0.50153351014867997"/>
    <n v="1.2"/>
    <n v="70.75"/>
    <n v="84.899999999999991"/>
    <n v="6.7000342986966697"/>
    <n v="1705.6516683291718"/>
    <n v="0"/>
    <n v="0"/>
    <n v="0"/>
    <n v="0"/>
    <n v="1"/>
    <n v="0"/>
    <n v="0"/>
    <n v="0"/>
    <n v="0"/>
    <n v="0"/>
  </r>
  <r>
    <d v="2017-09-14T00:00:00"/>
    <n v="2017"/>
    <x v="37"/>
    <s v="P"/>
    <n v="2"/>
    <x v="9"/>
    <s v="LAS"/>
    <s v="A"/>
    <n v="1"/>
    <n v="1"/>
    <n v="0"/>
    <n v="0"/>
    <n v="0"/>
    <n v="0"/>
    <n v="1545.9704176199727"/>
    <n v="1714.5113898451391"/>
    <n v="0.18942622980851048"/>
    <n v="72"/>
    <n v="86"/>
    <n v="0"/>
    <n v="-14"/>
    <n v="0"/>
    <n v="0.42755733011744279"/>
    <n v="1.2"/>
    <n v="70.3"/>
    <n v="84.36"/>
    <n v="-6.832364744281362"/>
    <n v="1539.1380528756913"/>
    <n v="0"/>
    <n v="0"/>
    <n v="0"/>
    <n v="0"/>
    <n v="0"/>
    <n v="1"/>
    <n v="0"/>
    <n v="0"/>
    <n v="0"/>
    <n v="0"/>
  </r>
  <r>
    <d v="2017-09-14T00:00:00"/>
    <n v="2017"/>
    <x v="35"/>
    <s v="P"/>
    <n v="2"/>
    <x v="3"/>
    <s v="PHX"/>
    <s v="H"/>
    <n v="1"/>
    <n v="1"/>
    <n v="0"/>
    <n v="0"/>
    <n v="0"/>
    <n v="0"/>
    <n v="1714.5113898451391"/>
    <n v="1545.9704176199727"/>
    <n v="0.81057377019148957"/>
    <n v="86"/>
    <n v="72"/>
    <n v="0"/>
    <n v="14"/>
    <n v="1"/>
    <n v="0.42755733011744279"/>
    <n v="1.2"/>
    <n v="70.599999999999994"/>
    <n v="84.719999999999985"/>
    <n v="6.861521350586969"/>
    <n v="1721.3729111957261"/>
    <n v="0"/>
    <n v="0"/>
    <n v="0"/>
    <n v="0"/>
    <n v="1"/>
    <n v="0"/>
    <n v="0"/>
    <n v="0"/>
    <n v="0"/>
    <n v="0"/>
  </r>
  <r>
    <d v="2017-09-14T00:00:00"/>
    <n v="2017"/>
    <x v="37"/>
    <s v="P"/>
    <n v="2"/>
    <x v="11"/>
    <s v="MIN"/>
    <s v="A"/>
    <n v="1"/>
    <n v="1"/>
    <n v="0"/>
    <n v="0"/>
    <n v="0"/>
    <n v="0"/>
    <n v="1516.7690682867662"/>
    <n v="1705.6516683291718"/>
    <n v="0.17209688728962444"/>
    <n v="83"/>
    <n v="93"/>
    <n v="0"/>
    <n v="-10"/>
    <n v="0"/>
    <n v="0.36558571558405145"/>
    <n v="1.2"/>
    <n v="70.3"/>
    <n v="84.36"/>
    <n v="-5.3076075688517204"/>
    <n v="1511.4614607179146"/>
    <n v="0"/>
    <n v="0"/>
    <n v="0"/>
    <n v="0"/>
    <n v="0"/>
    <n v="1"/>
    <n v="0"/>
    <n v="0"/>
    <n v="0"/>
    <n v="0"/>
  </r>
  <r>
    <d v="2017-09-14T00:00:00"/>
    <n v="2017"/>
    <x v="35"/>
    <s v="P"/>
    <n v="2"/>
    <x v="7"/>
    <s v="WAS"/>
    <s v="H"/>
    <n v="1"/>
    <n v="1"/>
    <n v="0"/>
    <n v="0"/>
    <n v="0"/>
    <n v="0"/>
    <n v="1705.6516683291718"/>
    <n v="1516.7690682867662"/>
    <n v="0.82790311271037564"/>
    <n v="93"/>
    <n v="83"/>
    <n v="0"/>
    <n v="10"/>
    <n v="1"/>
    <n v="0.36558571558405145"/>
    <n v="1.2"/>
    <n v="70.599999999999994"/>
    <n v="84.719999999999985"/>
    <n v="5.3302573877799597"/>
    <n v="1710.9819257169518"/>
    <n v="0"/>
    <n v="0"/>
    <n v="0"/>
    <n v="0"/>
    <n v="1"/>
    <n v="0"/>
    <n v="0"/>
    <n v="0"/>
    <n v="0"/>
    <n v="0"/>
  </r>
  <r>
    <d v="2017-09-17T00:00:00"/>
    <n v="2017"/>
    <x v="36"/>
    <s v="P"/>
    <n v="2"/>
    <x v="3"/>
    <s v="PHX"/>
    <s v="A"/>
    <n v="2"/>
    <n v="2"/>
    <n v="0"/>
    <n v="0"/>
    <n v="0"/>
    <n v="0"/>
    <n v="1721.3729111957261"/>
    <n v="1539.1380528756913"/>
    <n v="0.63772078064183846"/>
    <n v="89"/>
    <n v="87"/>
    <n v="0"/>
    <n v="2"/>
    <n v="1"/>
    <n v="0.23252892447108758"/>
    <n v="1.2"/>
    <n v="70.45"/>
    <n v="84.54"/>
    <n v="7.1216831822958078"/>
    <n v="1728.4945943780219"/>
    <n v="0"/>
    <n v="0"/>
    <n v="0"/>
    <n v="0"/>
    <n v="1"/>
    <n v="0"/>
    <n v="0"/>
    <n v="0"/>
    <n v="0"/>
    <n v="0"/>
  </r>
  <r>
    <d v="2017-09-17T00:00:00"/>
    <n v="2017"/>
    <x v="38"/>
    <s v="P"/>
    <n v="2"/>
    <x v="9"/>
    <s v="LAS"/>
    <s v="H"/>
    <n v="2"/>
    <n v="2"/>
    <n v="0"/>
    <n v="0"/>
    <n v="0"/>
    <n v="0"/>
    <n v="1539.1380528756913"/>
    <n v="1721.3729111957261"/>
    <n v="0.3622792193581616"/>
    <n v="87"/>
    <n v="89"/>
    <n v="0"/>
    <n v="-2"/>
    <n v="0"/>
    <n v="0.23252892447108758"/>
    <n v="1.2"/>
    <n v="70.150000000000006"/>
    <n v="84.18"/>
    <n v="-7.0913566392910008"/>
    <n v="1532.0466962364003"/>
    <n v="0"/>
    <n v="0"/>
    <n v="0"/>
    <n v="0"/>
    <n v="0"/>
    <n v="1"/>
    <n v="0"/>
    <n v="0"/>
    <n v="0"/>
    <n v="0"/>
  </r>
  <r>
    <d v="2017-09-17T00:00:00"/>
    <n v="2017"/>
    <x v="36"/>
    <s v="P"/>
    <n v="2"/>
    <x v="7"/>
    <s v="WAS"/>
    <s v="A"/>
    <n v="2"/>
    <n v="2"/>
    <n v="0"/>
    <n v="0"/>
    <n v="0"/>
    <n v="0"/>
    <n v="1710.9819257169518"/>
    <n v="1511.4614607179146"/>
    <n v="0.66038026245328874"/>
    <n v="81"/>
    <n v="70"/>
    <n v="0"/>
    <n v="11"/>
    <n v="1"/>
    <n v="0.37713143716660175"/>
    <n v="1.2"/>
    <n v="70.45"/>
    <n v="84.54"/>
    <n v="10.827991386779379"/>
    <n v="1721.8099171037311"/>
    <n v="0"/>
    <n v="0"/>
    <n v="0"/>
    <n v="0"/>
    <n v="1"/>
    <n v="0"/>
    <n v="0"/>
    <n v="0"/>
    <n v="0"/>
    <n v="0"/>
  </r>
  <r>
    <d v="2017-09-17T00:00:00"/>
    <n v="2017"/>
    <x v="38"/>
    <s v="P"/>
    <n v="2"/>
    <x v="11"/>
    <s v="MIN"/>
    <s v="H"/>
    <n v="2"/>
    <n v="2"/>
    <n v="0"/>
    <n v="0"/>
    <n v="0"/>
    <n v="0"/>
    <n v="1511.4614607179146"/>
    <n v="1710.9819257169518"/>
    <n v="0.33961973754671126"/>
    <n v="70"/>
    <n v="81"/>
    <n v="0"/>
    <n v="-11"/>
    <n v="0"/>
    <n v="0.37713143716660175"/>
    <n v="1.2"/>
    <n v="70.150000000000006"/>
    <n v="84.18"/>
    <n v="-10.781882126083371"/>
    <n v="1500.6795785918312"/>
    <n v="0"/>
    <n v="0"/>
    <n v="0"/>
    <n v="0"/>
    <n v="0"/>
    <n v="1"/>
    <n v="0"/>
    <n v="0"/>
    <n v="0"/>
    <n v="0"/>
  </r>
  <r>
    <d v="2017-09-24T00:00:00"/>
    <n v="2017"/>
    <x v="37"/>
    <s v="P"/>
    <n v="3"/>
    <x v="3"/>
    <s v="MIN"/>
    <s v="A"/>
    <n v="6"/>
    <n v="6"/>
    <n v="0"/>
    <n v="0"/>
    <n v="0"/>
    <n v="0"/>
    <n v="1728.4945943780219"/>
    <n v="1721.8099171037311"/>
    <n v="0.39053527497899565"/>
    <n v="85"/>
    <n v="84"/>
    <n v="0"/>
    <n v="1"/>
    <n v="1"/>
    <n v="0.24282698759399837"/>
    <n v="1.35"/>
    <n v="70.3"/>
    <n v="94.905000000000001"/>
    <n v="14.045416430151173"/>
    <n v="1742.5400108081731"/>
    <n v="0"/>
    <n v="0"/>
    <n v="0"/>
    <n v="0"/>
    <n v="0"/>
    <n v="0"/>
    <n v="1"/>
    <n v="0"/>
    <n v="0"/>
    <n v="0"/>
  </r>
  <r>
    <d v="2017-09-24T00:00:00"/>
    <n v="2017"/>
    <x v="37"/>
    <s v="P"/>
    <n v="3"/>
    <x v="7"/>
    <s v="LAS"/>
    <s v="H"/>
    <n v="6"/>
    <n v="6"/>
    <n v="0"/>
    <n v="0"/>
    <n v="0"/>
    <n v="0"/>
    <n v="1721.8099171037311"/>
    <n v="1728.4945943780219"/>
    <n v="0.60946472502100435"/>
    <n v="84"/>
    <n v="85"/>
    <n v="0"/>
    <n v="-1"/>
    <n v="0"/>
    <n v="0.24282698759399837"/>
    <n v="1.35"/>
    <n v="70.3"/>
    <n v="94.905000000000001"/>
    <n v="-14.045416430151173"/>
    <n v="1707.76450067358"/>
    <n v="0"/>
    <n v="0"/>
    <n v="0"/>
    <n v="0"/>
    <n v="0"/>
    <n v="0"/>
    <n v="0"/>
    <n v="1"/>
    <n v="0"/>
    <n v="0"/>
  </r>
  <r>
    <d v="2017-09-26T00:00:00"/>
    <n v="2017"/>
    <x v="38"/>
    <s v="P"/>
    <n v="3"/>
    <x v="3"/>
    <s v="MIN"/>
    <s v="A"/>
    <n v="1"/>
    <n v="1"/>
    <n v="0"/>
    <n v="0"/>
    <n v="0"/>
    <n v="0"/>
    <n v="1742.5400108081731"/>
    <n v="1707.76450067358"/>
    <n v="0.42963047991493647"/>
    <n v="68"/>
    <n v="70"/>
    <n v="0"/>
    <n v="-2"/>
    <n v="0"/>
    <n v="0.26029799128148362"/>
    <n v="1.35"/>
    <n v="70.150000000000006"/>
    <n v="94.702500000000015"/>
    <n v="-10.590765331542729"/>
    <n v="1731.9492454766303"/>
    <n v="0"/>
    <n v="0"/>
    <n v="0"/>
    <n v="0"/>
    <n v="0"/>
    <n v="0"/>
    <n v="0"/>
    <n v="1"/>
    <n v="0"/>
    <n v="0"/>
  </r>
  <r>
    <d v="2017-09-26T00:00:00"/>
    <n v="2017"/>
    <x v="38"/>
    <s v="P"/>
    <n v="3"/>
    <x v="7"/>
    <s v="LAS"/>
    <s v="H"/>
    <n v="1"/>
    <n v="1"/>
    <n v="0"/>
    <n v="0"/>
    <n v="0"/>
    <n v="0"/>
    <n v="1707.76450067358"/>
    <n v="1742.5400108081731"/>
    <n v="0.57036952008506348"/>
    <n v="70"/>
    <n v="68"/>
    <n v="0"/>
    <n v="2"/>
    <n v="1"/>
    <n v="0.26029799128148362"/>
    <n v="1.35"/>
    <n v="70.150000000000006"/>
    <n v="94.702500000000015"/>
    <n v="10.59076533154273"/>
    <n v="1718.3552660051228"/>
    <n v="0"/>
    <n v="0"/>
    <n v="0"/>
    <n v="0"/>
    <n v="0"/>
    <n v="0"/>
    <n v="1"/>
    <n v="0"/>
    <n v="0"/>
    <n v="0"/>
  </r>
  <r>
    <d v="2017-09-29T00:00:00"/>
    <n v="2017"/>
    <x v="39"/>
    <s v="P"/>
    <n v="3"/>
    <x v="7"/>
    <s v="LAS"/>
    <s v="A"/>
    <n v="2"/>
    <n v="2"/>
    <n v="0"/>
    <n v="0"/>
    <n v="0"/>
    <n v="0"/>
    <n v="1718.3552660051228"/>
    <n v="1731.9492454766303"/>
    <n v="0.36313197744620701"/>
    <n v="64"/>
    <n v="75"/>
    <n v="0"/>
    <n v="-11"/>
    <n v="0"/>
    <n v="0.43490918151967428"/>
    <n v="1.35"/>
    <n v="70"/>
    <n v="94.5"/>
    <n v="-14.924331238453943"/>
    <n v="1703.4309347666688"/>
    <n v="0"/>
    <n v="0"/>
    <n v="0"/>
    <n v="0"/>
    <n v="0"/>
    <n v="0"/>
    <n v="0"/>
    <n v="1"/>
    <n v="0"/>
    <n v="0"/>
  </r>
  <r>
    <d v="2017-09-29T00:00:00"/>
    <n v="2017"/>
    <x v="39"/>
    <s v="P"/>
    <n v="3"/>
    <x v="3"/>
    <s v="MIN"/>
    <s v="H"/>
    <n v="2"/>
    <n v="2"/>
    <n v="0"/>
    <n v="0"/>
    <n v="0"/>
    <n v="0"/>
    <n v="1731.9492454766303"/>
    <n v="1718.3552660051228"/>
    <n v="0.63686802255379305"/>
    <n v="75"/>
    <n v="64"/>
    <n v="0"/>
    <n v="11"/>
    <n v="1"/>
    <n v="0.43490918151967428"/>
    <n v="1.35"/>
    <n v="70"/>
    <n v="94.5"/>
    <n v="14.92433123845394"/>
    <n v="1746.8735767150843"/>
    <n v="0"/>
    <n v="0"/>
    <n v="0"/>
    <n v="0"/>
    <n v="0"/>
    <n v="0"/>
    <n v="1"/>
    <n v="0"/>
    <n v="0"/>
    <n v="0"/>
  </r>
  <r>
    <d v="2017-10-01T00:00:00"/>
    <n v="2017"/>
    <x v="40"/>
    <s v="P"/>
    <n v="3"/>
    <x v="7"/>
    <s v="LAS"/>
    <s v="A"/>
    <n v="1"/>
    <n v="1"/>
    <n v="0"/>
    <n v="0"/>
    <n v="0"/>
    <n v="0"/>
    <n v="1703.4309347666688"/>
    <n v="1746.8735767150843"/>
    <n v="0.32440110542071693"/>
    <n v="80"/>
    <n v="69"/>
    <n v="0"/>
    <n v="11"/>
    <n v="1"/>
    <n v="0.42446924892499688"/>
    <n v="1.35"/>
    <n v="69.849999999999994"/>
    <n v="94.297499999999999"/>
    <n v="27.041784162741479"/>
    <n v="1730.4727189294103"/>
    <n v="0"/>
    <n v="0"/>
    <n v="0"/>
    <n v="0"/>
    <n v="0"/>
    <n v="0"/>
    <n v="1"/>
    <n v="0"/>
    <n v="0"/>
    <n v="0"/>
  </r>
  <r>
    <d v="2017-10-01T00:00:00"/>
    <n v="2017"/>
    <x v="40"/>
    <s v="P"/>
    <n v="3"/>
    <x v="3"/>
    <s v="MIN"/>
    <s v="H"/>
    <n v="1"/>
    <n v="1"/>
    <n v="0"/>
    <n v="0"/>
    <n v="0"/>
    <n v="0"/>
    <n v="1746.8735767150843"/>
    <n v="1703.4309347666688"/>
    <n v="0.67559889457928313"/>
    <n v="69"/>
    <n v="80"/>
    <n v="0"/>
    <n v="-11"/>
    <n v="0"/>
    <n v="0.42446924892499688"/>
    <n v="1.35"/>
    <n v="69.849999999999994"/>
    <n v="94.297499999999999"/>
    <n v="-27.041784162741482"/>
    <n v="1719.8317925523427"/>
    <n v="0"/>
    <n v="0"/>
    <n v="0"/>
    <n v="0"/>
    <n v="0"/>
    <n v="0"/>
    <n v="0"/>
    <n v="1"/>
    <n v="0"/>
    <n v="0"/>
  </r>
  <r>
    <d v="2017-10-04T00:00:00"/>
    <n v="2017"/>
    <x v="41"/>
    <s v="P"/>
    <n v="3"/>
    <x v="3"/>
    <s v="MIN"/>
    <s v="A"/>
    <n v="2"/>
    <n v="2"/>
    <n v="0"/>
    <n v="0"/>
    <n v="0"/>
    <n v="0"/>
    <n v="1719.8317925523427"/>
    <n v="1730.4727189294103"/>
    <n v="0.36707239306614758"/>
    <n v="76"/>
    <n v="85"/>
    <n v="0"/>
    <n v="-9"/>
    <n v="0"/>
    <n v="0.40240324109525283"/>
    <n v="1.35"/>
    <n v="69.7"/>
    <n v="94.095000000000013"/>
    <n v="-13.8988779009876"/>
    <n v="1705.9329146513551"/>
    <n v="0"/>
    <n v="0"/>
    <n v="0"/>
    <n v="0"/>
    <n v="0"/>
    <n v="0"/>
    <n v="0"/>
    <n v="1"/>
    <n v="0"/>
    <n v="0"/>
  </r>
  <r>
    <d v="2017-10-04T00:00:00"/>
    <n v="2017"/>
    <x v="41"/>
    <s v="P"/>
    <n v="3"/>
    <x v="7"/>
    <s v="LAS"/>
    <s v="H"/>
    <n v="2"/>
    <n v="2"/>
    <n v="0"/>
    <n v="0"/>
    <n v="0"/>
    <n v="0"/>
    <n v="1730.4727189294103"/>
    <n v="1719.8317925523427"/>
    <n v="0.63292760693385242"/>
    <n v="85"/>
    <n v="76"/>
    <n v="0"/>
    <n v="9"/>
    <n v="1"/>
    <n v="0.40240324109525283"/>
    <n v="1.35"/>
    <n v="69.7"/>
    <n v="94.095000000000013"/>
    <n v="13.8988779009876"/>
    <n v="1744.3715968303979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0"/>
        <item m="1" x="50"/>
        <item m="1" x="28"/>
        <item m="1" x="26"/>
        <item m="1" x="38"/>
        <item m="1" x="54"/>
        <item m="1" x="16"/>
        <item x="6"/>
        <item m="1" x="40"/>
        <item m="1" x="17"/>
        <item x="1"/>
        <item x="8"/>
        <item m="1" x="33"/>
        <item m="1" x="13"/>
        <item m="1" x="55"/>
        <item m="1" x="35"/>
        <item m="1" x="15"/>
        <item x="10"/>
        <item m="1" x="49"/>
        <item m="1" x="48"/>
        <item m="1" x="25"/>
        <item m="1" x="24"/>
        <item m="1" x="57"/>
        <item x="3"/>
        <item m="1" x="56"/>
        <item m="1" x="27"/>
        <item m="1" x="19"/>
        <item m="1" x="34"/>
        <item x="7"/>
        <item m="1" x="42"/>
        <item m="1" x="22"/>
        <item m="1" x="30"/>
        <item m="1" x="43"/>
        <item m="1" x="51"/>
        <item x="5"/>
        <item m="1" x="44"/>
        <item m="1" x="32"/>
        <item m="1" x="21"/>
        <item m="1" x="29"/>
        <item x="9"/>
        <item m="1" x="46"/>
        <item m="1" x="20"/>
        <item m="1" x="31"/>
        <item m="1" x="14"/>
        <item x="4"/>
        <item m="1" x="41"/>
        <item x="2"/>
        <item m="1" x="52"/>
        <item m="1" x="47"/>
        <item m="1" x="53"/>
        <item m="1" x="45"/>
        <item m="1" x="23"/>
        <item m="1" x="12"/>
        <item m="1" x="18"/>
        <item m="1" x="37"/>
        <item x="11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9"/>
    </i>
    <i>
      <x v="35"/>
    </i>
    <i>
      <x v="40"/>
    </i>
    <i>
      <x v="45"/>
    </i>
    <i>
      <x v="47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2:C13"/>
  </sortState>
  <tableColumns count="4">
    <tableColumn id="1" xr3:uid="{8C17ECDF-4459-4994-A3F5-8E8FEDF92B6F}" name="TeamID"/>
    <tableColumn id="4" xr3:uid="{789F069E-DAF9-4B19-A6DB-107BA6995CE5}" name="Logo" dataDxfId="14"/>
    <tableColumn id="5" xr3:uid="{A9DA91BA-5529-4913-978B-19C8EF225B29}" name="TeamName" dataDxfId="13"/>
    <tableColumn id="2" xr3:uid="{AA4C8157-DB69-4779-8EEE-6F419B992D71}" name="PreSeasonElo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39" totalsRowShown="0" headerRowDxfId="54" dataDxfId="53">
  <autoFilter ref="A1:AL439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2"/>
    <tableColumn id="21" xr3:uid="{D754AB95-C77C-4DD5-B1B9-A24A4FEE7279}" name="Season" dataDxfId="51"/>
    <tableColumn id="19" xr3:uid="{4C42B78B-6AFC-42C3-A5F4-3266E247C458}" name="GamesPlayed" dataDxfId="50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9"/>
    <tableColumn id="14" xr3:uid="{EFA83923-8CCA-4DC9-BC85-5D86949A45D9}" name="Round" dataDxfId="48"/>
    <tableColumn id="2" xr3:uid="{6E102E51-A49B-416B-8CD2-B93B2A4EA389}" name="Team" dataDxfId="47"/>
    <tableColumn id="3" xr3:uid="{19101345-1C34-4AF3-88E6-76A7F19B7FE6}" name="Opponent" dataDxfId="46"/>
    <tableColumn id="16" xr3:uid="{4CBCDF29-B095-48DF-8EF6-06DC7D78C844}" name="HomeAway" dataDxfId="45"/>
    <tableColumn id="32" xr3:uid="{E3FA53E3-DAD6-4BC2-969A-C53F4798E86D}" name="DaysOff" dataDxfId="44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3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2">
      <calculatedColumnFormula>Games[[#This Row],[DaysOff]]-Games[[#This Row],[OppDaysOff]]</calculatedColumnFormula>
    </tableColumn>
    <tableColumn id="35" xr3:uid="{3F2DB366-7372-41BA-8B0C-09F9BA7EA850}" name="OppRestDiff" dataDxfId="41">
      <calculatedColumnFormula>Games[[#This Row],[OppDaysOff]]-Games[[#This Row],[DaysOff]]</calculatedColumnFormula>
    </tableColumn>
    <tableColumn id="36" xr3:uid="{BDD0FD2C-608F-4CCC-867B-4481F0F4B802}" name="RestAdj" dataDxfId="40">
      <calculatedColumnFormula>MAX(-16, MIN(16, Games[[#This Row],[RestDiff]]*8))</calculatedColumnFormula>
    </tableColumn>
    <tableColumn id="37" xr3:uid="{5F89213A-4C28-428C-B766-3B05D4F530A5}" name="OppRestAdj" dataDxfId="39">
      <calculatedColumnFormula>MAX(-16, MIN(16, Games[[#This Row],[OppRestDiff]]*8))</calculatedColumnFormula>
    </tableColumn>
    <tableColumn id="4" xr3:uid="{68053CFA-948B-4F2C-A114-7C46ABD9EA33}" name="PreGmRate" dataDxfId="38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7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6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5"/>
    <tableColumn id="8" xr3:uid="{0CDDF0F9-2F1E-487C-96DD-90F70CE7DAFC}" name="PointsAgainst" dataDxfId="34"/>
    <tableColumn id="22" xr3:uid="{AB7B5B5C-5BAD-4213-990E-8EB9B177497C}" name="OT" dataDxfId="33"/>
    <tableColumn id="9" xr3:uid="{CE171F1D-5E5D-4800-A6DC-8F6DBD74C939}" name="MOV" dataDxfId="32">
      <calculatedColumnFormula>Games[[#This Row],[PointsFor]]-Games[[#This Row],[PointsAgainst]]</calculatedColumnFormula>
    </tableColumn>
    <tableColumn id="10" xr3:uid="{883A3911-25F6-4C39-9637-F1C42D6A1FC2}" name="Result" dataDxfId="31">
      <calculatedColumnFormula>IF(Games[[#This Row],[MOV]]&gt;0,1,IF(Games[[#This Row],[MOV]]=0,0.5,0))</calculatedColumnFormula>
    </tableColumn>
    <tableColumn id="15" xr3:uid="{00048431-5FD6-47EE-807E-5B63FD521193}" name="MOVMult" dataDxfId="30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9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8">
      <calculatedColumnFormula>MAX(kmin, kmax - 0.15 * MIN(Games[[#This Row],[GamesPlayed]], 82))</calculatedColumnFormula>
    </tableColumn>
    <tableColumn id="29" xr3:uid="{FBA5D644-15ED-4725-9E52-1D37FD0FAC64}" name="Keff" dataDxfId="27">
      <calculatedColumnFormula>Games[[#This Row],[K]]*Games[[#This Row],[POMult]]</calculatedColumnFormula>
    </tableColumn>
    <tableColumn id="11" xr3:uid="{309DAEBD-E62C-4090-89E9-A58FD32AB89B}" name="RatingChange" dataDxfId="26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5">
      <calculatedColumnFormula>Games[[#This Row],[PreGmRate]]+Games[[#This Row],[RatingChange]]</calculatedColumnFormula>
    </tableColumn>
    <tableColumn id="17" xr3:uid="{90B7BF87-E472-4474-A10D-555BD3BF8F04}" name="W" dataDxfId="24">
      <calculatedColumnFormula>IF(Games[[#This Row],[Type]]="R",IF(Games[[#This Row],[Result]]&gt;0.5,1,0),0)</calculatedColumnFormula>
    </tableColumn>
    <tableColumn id="18" xr3:uid="{29756EA1-783D-4C76-A7B8-F906AF0EC7E7}" name="L" dataDxfId="23">
      <calculatedColumnFormula>IF(Games[[#This Row],[Type]]="R",IF(Games[[#This Row],[Result]]&lt;0.5,1,0),0)</calculatedColumnFormula>
    </tableColumn>
    <tableColumn id="23" xr3:uid="{C253CFA7-28A4-4AE5-B131-DC1E8F2B73F8}" name="R1W" dataDxfId="22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1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0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9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8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7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6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5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C2" sqref="C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79</v>
      </c>
      <c r="B2" s="8"/>
      <c r="C2" s="15" t="s">
        <v>80</v>
      </c>
      <c r="D2" s="13">
        <v>1478.1825082087134</v>
      </c>
    </row>
    <row r="3" spans="1:4" x14ac:dyDescent="0.35">
      <c r="A3" t="s">
        <v>77</v>
      </c>
      <c r="B3" s="8"/>
      <c r="C3" s="15" t="s">
        <v>78</v>
      </c>
      <c r="D3" s="13">
        <v>1507.3412627398945</v>
      </c>
    </row>
    <row r="4" spans="1:4" x14ac:dyDescent="0.35">
      <c r="A4" t="s">
        <v>76</v>
      </c>
      <c r="B4" s="8"/>
      <c r="C4" s="15" t="s">
        <v>75</v>
      </c>
      <c r="D4" s="13">
        <v>1481.0999963245786</v>
      </c>
    </row>
    <row r="5" spans="1:4" x14ac:dyDescent="0.35">
      <c r="A5" t="s">
        <v>87</v>
      </c>
      <c r="B5" s="8"/>
      <c r="C5" s="15" t="s">
        <v>86</v>
      </c>
      <c r="D5" s="13">
        <v>1360.4489898182105</v>
      </c>
    </row>
    <row r="6" spans="1:4" x14ac:dyDescent="0.35">
      <c r="A6" t="s">
        <v>69</v>
      </c>
      <c r="B6" s="8"/>
      <c r="C6" s="15" t="s">
        <v>70</v>
      </c>
      <c r="D6" s="13">
        <v>1511.4359994747761</v>
      </c>
    </row>
    <row r="7" spans="1:4" x14ac:dyDescent="0.35">
      <c r="A7" t="s">
        <v>63</v>
      </c>
      <c r="B7" s="8"/>
      <c r="C7" s="15" t="s">
        <v>64</v>
      </c>
      <c r="D7" s="13">
        <v>1668.3070550819393</v>
      </c>
    </row>
    <row r="8" spans="1:4" x14ac:dyDescent="0.35">
      <c r="A8" t="s">
        <v>67</v>
      </c>
      <c r="B8" s="8"/>
      <c r="C8" s="15" t="s">
        <v>68</v>
      </c>
      <c r="D8" s="13">
        <v>1706.2777722012445</v>
      </c>
    </row>
    <row r="9" spans="1:4" x14ac:dyDescent="0.35">
      <c r="A9" t="s">
        <v>60</v>
      </c>
      <c r="B9" s="8"/>
      <c r="C9" s="15" t="s">
        <v>61</v>
      </c>
      <c r="D9" s="13">
        <v>1499.2585224373815</v>
      </c>
    </row>
    <row r="10" spans="1:4" x14ac:dyDescent="0.35">
      <c r="A10" t="s">
        <v>40</v>
      </c>
      <c r="B10" s="8"/>
      <c r="C10" s="15" t="s">
        <v>62</v>
      </c>
      <c r="D10" s="13">
        <v>1535.711335494535</v>
      </c>
    </row>
    <row r="11" spans="1:4" x14ac:dyDescent="0.35">
      <c r="A11" t="s">
        <v>74</v>
      </c>
      <c r="B11" s="8"/>
      <c r="C11" s="15" t="s">
        <v>73</v>
      </c>
      <c r="D11" s="13">
        <v>1297.3520188454384</v>
      </c>
    </row>
    <row r="12" spans="1:4" x14ac:dyDescent="0.35">
      <c r="A12" t="s">
        <v>71</v>
      </c>
      <c r="B12" s="8"/>
      <c r="C12" s="15" t="s">
        <v>72</v>
      </c>
      <c r="D12" s="13">
        <v>1506.1150995107901</v>
      </c>
    </row>
    <row r="13" spans="1:4" x14ac:dyDescent="0.35">
      <c r="A13" t="s">
        <v>65</v>
      </c>
      <c r="B13" s="8"/>
      <c r="C13" s="15" t="s">
        <v>66</v>
      </c>
      <c r="D13" s="13">
        <v>1449.5451490251339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G2" sqref="G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MIN</v>
      </c>
      <c r="B2">
        <v>0</v>
      </c>
      <c r="C2" t="str">
        <v>Minnesota Lynx</v>
      </c>
      <c r="D2" s="1">
        <v>27</v>
      </c>
      <c r="E2" s="1">
        <v>7</v>
      </c>
      <c r="F2" s="3">
        <v>0.79411764705882348</v>
      </c>
      <c r="G2" s="9">
        <v>1744.3715968303979</v>
      </c>
      <c r="H2" s="1">
        <v>43012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26</v>
      </c>
      <c r="E3" s="1">
        <v>8</v>
      </c>
      <c r="F3" s="3">
        <v>0.76470588235294112</v>
      </c>
      <c r="G3" s="9">
        <v>1705.9329146513551</v>
      </c>
      <c r="H3" s="1">
        <v>43012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1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1</v>
      </c>
      <c r="AX3" s="4" cm="1">
        <f t="array" ref="AX3">_xlfn.IFNA(INDEX(Games[PostGmRate], MATCH(1, (Games[Team]=AK3)*(Games[Date]=AY3), 0)),0)</f>
        <v>1584.2889781346132</v>
      </c>
      <c r="AY3" s="1">
        <f>_xlfn.MAXIFS(Games[Date], Games[Team], AK3)</f>
        <v>42988</v>
      </c>
      <c r="AZ3">
        <f t="shared" si="2"/>
        <v>1</v>
      </c>
    </row>
    <row r="4" spans="1:68" x14ac:dyDescent="0.35">
      <c r="A4" t="str">
        <v>NYL</v>
      </c>
      <c r="B4">
        <v>0</v>
      </c>
      <c r="C4" t="str">
        <v>New York Liberty</v>
      </c>
      <c r="D4" s="1">
        <v>22</v>
      </c>
      <c r="E4" s="1">
        <v>12</v>
      </c>
      <c r="F4" s="3">
        <v>0.6470588235294118</v>
      </c>
      <c r="G4" s="9">
        <v>1584.2889781346132</v>
      </c>
      <c r="H4" s="1">
        <v>42988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21</v>
      </c>
      <c r="E5" s="1">
        <v>13</v>
      </c>
      <c r="F5" s="3">
        <v>0.61764705882352944</v>
      </c>
      <c r="G5" s="9">
        <v>1547.522643705888</v>
      </c>
      <c r="H5" s="1">
        <v>42988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18</v>
      </c>
      <c r="E6" s="1">
        <v>16</v>
      </c>
      <c r="F6" s="3">
        <v>0.52941176470588236</v>
      </c>
      <c r="G6" s="9">
        <v>1532.0466962364003</v>
      </c>
      <c r="H6" s="1">
        <v>42995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1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3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1</v>
      </c>
      <c r="AW6" s="1">
        <f t="shared" si="3"/>
        <v>3</v>
      </c>
      <c r="AX6" s="4" cm="1">
        <f t="array" ref="AX6">_xlfn.IFNA(INDEX(Games[PostGmRate], MATCH(1, (Games[Team]=AK6)*(Games[Date]=AY6), 0)),0)</f>
        <v>1532.0466962364003</v>
      </c>
      <c r="AY6" s="1">
        <f>_xlfn.MAXIFS(Games[Date], Games[Team], AK6)</f>
        <v>42995</v>
      </c>
      <c r="AZ6">
        <f>SUM(AV6:AW6)</f>
        <v>4</v>
      </c>
      <c r="BO6" s="4"/>
      <c r="BP6" s="1"/>
    </row>
    <row r="7" spans="1:68" x14ac:dyDescent="0.35">
      <c r="A7" t="str">
        <v>WAS</v>
      </c>
      <c r="B7">
        <v>0</v>
      </c>
      <c r="C7" t="str">
        <v>Washington Mystics</v>
      </c>
      <c r="D7" s="1">
        <v>18</v>
      </c>
      <c r="E7" s="1">
        <v>16</v>
      </c>
      <c r="F7" s="3">
        <v>0.52941176470588236</v>
      </c>
      <c r="G7" s="9">
        <v>1500.6795785918312</v>
      </c>
      <c r="H7" s="1">
        <v>42995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3</v>
      </c>
      <c r="AQ7" s="1">
        <f>_xlfn.XLOOKUP($AK7,StandingsPivot!$A$4:$A$33,StandingsPivot!G$4:G$33)</f>
        <v>0</v>
      </c>
      <c r="AR7" s="1">
        <f>_xlfn.XLOOKUP($AK7,StandingsPivot!$A$4:$A$33,StandingsPivot!H$4:H$33)</f>
        <v>2</v>
      </c>
      <c r="AS7" s="1">
        <f>_xlfn.XLOOKUP($AK7,StandingsPivot!$A$4:$A$33,StandingsPivot!I$4:I$33)</f>
        <v>3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5</v>
      </c>
      <c r="AW7" s="1">
        <f t="shared" si="3"/>
        <v>3</v>
      </c>
      <c r="AX7" s="4" cm="1">
        <f t="array" ref="AX7">_xlfn.IFNA(INDEX(Games[PostGmRate], MATCH(1, (Games[Team]=AK7)*(Games[Date]=AY7), 0)),0)</f>
        <v>1705.9329146513551</v>
      </c>
      <c r="AY7" s="1">
        <f>_xlfn.MAXIFS(Games[Date], Games[Team], AK7)</f>
        <v>43012</v>
      </c>
      <c r="AZ7">
        <f>SUM(AV7:AW7)</f>
        <v>8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15</v>
      </c>
      <c r="E8" s="1">
        <v>19</v>
      </c>
      <c r="F8" s="3">
        <v>0.44117647058823528</v>
      </c>
      <c r="G8" s="9">
        <v>1471.7630647678818</v>
      </c>
      <c r="H8" s="1">
        <v>42984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DAL</v>
      </c>
      <c r="B9">
        <v>0</v>
      </c>
      <c r="C9" t="str">
        <v>Dallas Wings</v>
      </c>
      <c r="D9" s="1">
        <v>16</v>
      </c>
      <c r="E9" s="1">
        <v>18</v>
      </c>
      <c r="F9" s="3">
        <v>0.47058823529411764</v>
      </c>
      <c r="G9" s="9">
        <v>1444.7478550690989</v>
      </c>
      <c r="H9" s="1">
        <v>42984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CHI</v>
      </c>
      <c r="B10">
        <v>0</v>
      </c>
      <c r="C10" t="str">
        <v>Chicago Sky</v>
      </c>
      <c r="D10" s="1">
        <v>12</v>
      </c>
      <c r="E10" s="1">
        <v>22</v>
      </c>
      <c r="F10" s="3">
        <v>0.35294117647058826</v>
      </c>
      <c r="G10" s="9">
        <v>1405.7671849944759</v>
      </c>
      <c r="H10" s="1">
        <v>42981</v>
      </c>
      <c r="O10" s="3"/>
      <c r="P10" s="4"/>
      <c r="Q10" s="1"/>
      <c r="AX10" s="4"/>
      <c r="BO10" s="4"/>
      <c r="BP10" s="1"/>
    </row>
    <row r="11" spans="1:68" x14ac:dyDescent="0.35">
      <c r="A11" t="str">
        <v>ATL</v>
      </c>
      <c r="B11">
        <v>0</v>
      </c>
      <c r="C11" t="str">
        <v>Atlanta Dream</v>
      </c>
      <c r="D11" s="1">
        <v>12</v>
      </c>
      <c r="E11" s="1">
        <v>22</v>
      </c>
      <c r="F11" s="3">
        <v>0.35294117647058826</v>
      </c>
      <c r="G11" s="9">
        <v>1397.7110956933234</v>
      </c>
      <c r="H11" s="1">
        <v>42981</v>
      </c>
      <c r="O11" s="3"/>
      <c r="P11" s="4"/>
      <c r="Q11" s="1"/>
      <c r="AX11" s="4"/>
      <c r="BO11" s="4"/>
      <c r="BP11" s="1"/>
    </row>
    <row r="12" spans="1:68" x14ac:dyDescent="0.35">
      <c r="A12" t="str">
        <v>SAS</v>
      </c>
      <c r="B12">
        <v>0</v>
      </c>
      <c r="C12" t="str">
        <v>San Antonio Silver Stars</v>
      </c>
      <c r="D12" s="1">
        <v>8</v>
      </c>
      <c r="E12" s="1">
        <v>26</v>
      </c>
      <c r="F12" s="3">
        <v>0.23529411764705882</v>
      </c>
      <c r="G12" s="9">
        <v>1344.8246752721536</v>
      </c>
      <c r="H12" s="1">
        <v>42980</v>
      </c>
      <c r="O12" s="3"/>
      <c r="P12" s="4"/>
      <c r="Q12" s="1"/>
      <c r="AX12" s="4"/>
      <c r="BO12" s="4"/>
      <c r="BP12" s="1"/>
    </row>
    <row r="13" spans="1:68" x14ac:dyDescent="0.35">
      <c r="A13" t="str">
        <v>IND</v>
      </c>
      <c r="B13">
        <v>0</v>
      </c>
      <c r="C13" t="str">
        <v>Indiana Fever</v>
      </c>
      <c r="D13" s="1">
        <v>9</v>
      </c>
      <c r="E13" s="1">
        <v>25</v>
      </c>
      <c r="F13" s="3">
        <v>0.26470588235294118</v>
      </c>
      <c r="G13" s="9">
        <v>1321.0528232274944</v>
      </c>
      <c r="H13" s="1">
        <v>42980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79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12</v>
      </c>
      <c r="E25" s="1">
        <f>_xlfn.XLOOKUP($A25,StandingsPivot!$A$4:$A$35,StandingsPivot!C$4:C$35)</f>
        <v>22</v>
      </c>
      <c r="F25" s="3">
        <f>(D25)/(D25+E25)</f>
        <v>0.35294117647058826</v>
      </c>
      <c r="G25" s="9" cm="1">
        <f t="array" ref="G25">INDEX(Games[PostGmRate], MATCH(1, (Games[Team]=A25)*(Games[Date]=H25), 0))</f>
        <v>1397.7110956933234</v>
      </c>
      <c r="H25" s="1">
        <f>_xlfn.MAXIFS(Games[Date], Games[Team], A25)</f>
        <v>42981</v>
      </c>
      <c r="AR25" s="3"/>
      <c r="AS25" s="4"/>
      <c r="BD25" s="1"/>
      <c r="BG25" s="3"/>
      <c r="BH25" s="4"/>
    </row>
    <row r="26" spans="1:60" x14ac:dyDescent="0.35">
      <c r="A26" t="s">
        <v>77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12</v>
      </c>
      <c r="E26" s="1">
        <f>_xlfn.XLOOKUP($A26,StandingsPivot!$A$4:$A$35,StandingsPivot!C$4:C$35)</f>
        <v>22</v>
      </c>
      <c r="F26" s="3">
        <f>(D26)/(D26+E26)</f>
        <v>0.35294117647058826</v>
      </c>
      <c r="G26" s="9" cm="1">
        <f t="array" ref="G26">INDEX(Games[PostGmRate], MATCH(1, (Games[Team]=A26)*(Games[Date]=H26), 0))</f>
        <v>1405.7671849944759</v>
      </c>
      <c r="H26" s="1">
        <f>_xlfn.MAXIFS(Games[Date], Games[Team], A26)</f>
        <v>42981</v>
      </c>
      <c r="AR26" s="3"/>
      <c r="AS26" s="4"/>
      <c r="BD26" s="1"/>
      <c r="BG26" s="3"/>
      <c r="BH26" s="4"/>
    </row>
    <row r="27" spans="1:60" x14ac:dyDescent="0.35">
      <c r="A27" t="s">
        <v>76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21</v>
      </c>
      <c r="E27" s="1">
        <f>_xlfn.XLOOKUP($A27,StandingsPivot!$A$4:$A$35,StandingsPivot!C$4:C$35)</f>
        <v>13</v>
      </c>
      <c r="F27" s="3">
        <f>(D27)/(D27+E27)</f>
        <v>0.61764705882352944</v>
      </c>
      <c r="G27" s="9" cm="1">
        <f t="array" ref="G27">INDEX(Games[PostGmRate], MATCH(1, (Games[Team]=A27)*(Games[Date]=H27), 0))</f>
        <v>1547.522643705888</v>
      </c>
      <c r="H27" s="1">
        <f>_xlfn.MAXIFS(Games[Date], Games[Team], A27)</f>
        <v>42988</v>
      </c>
      <c r="AR27" s="3"/>
      <c r="AS27" s="4"/>
      <c r="BD27" s="1"/>
      <c r="BG27" s="3"/>
      <c r="BH27" s="4"/>
    </row>
    <row r="28" spans="1:60" x14ac:dyDescent="0.35">
      <c r="A28" t="s">
        <v>87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16</v>
      </c>
      <c r="E28" s="1">
        <f>_xlfn.XLOOKUP($A28,StandingsPivot!$A$4:$A$35,StandingsPivot!C$4:C$35)</f>
        <v>18</v>
      </c>
      <c r="F28" s="3">
        <f>(D28)/(D28+E28)</f>
        <v>0.47058823529411764</v>
      </c>
      <c r="G28" s="9" cm="1">
        <f t="array" ref="G28">INDEX(Games[PostGmRate], MATCH(1, (Games[Team]=A28)*(Games[Date]=H28), 0))</f>
        <v>1444.7478550690989</v>
      </c>
      <c r="H28" s="1">
        <f>_xlfn.MAXIFS(Games[Date], Games[Team], A28)</f>
        <v>42984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9</v>
      </c>
      <c r="E29" s="1">
        <f>_xlfn.XLOOKUP($A29,StandingsPivot!$A$4:$A$35,StandingsPivot!C$4:C$35)</f>
        <v>25</v>
      </c>
      <c r="F29" s="3">
        <f>(D29)/(D29+E29)</f>
        <v>0.26470588235294118</v>
      </c>
      <c r="G29" s="9" cm="1">
        <f t="array" ref="G29">INDEX(Games[PostGmRate], MATCH(1, (Games[Team]=A29)*(Games[Date]=H29), 0))</f>
        <v>1321.0528232274944</v>
      </c>
      <c r="H29" s="1">
        <f>_xlfn.MAXIFS(Games[Date], Games[Team], A29)</f>
        <v>42980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26</v>
      </c>
      <c r="E30" s="1">
        <f>_xlfn.XLOOKUP($A30,StandingsPivot!$A$4:$A$35,StandingsPivot!C$4:C$35)</f>
        <v>8</v>
      </c>
      <c r="F30" s="3">
        <f>(D30)/(D30+E30)</f>
        <v>0.76470588235294112</v>
      </c>
      <c r="G30" s="9" cm="1">
        <f t="array" ref="G30">INDEX(Games[PostGmRate], MATCH(1, (Games[Team]=A30)*(Games[Date]=H30), 0))</f>
        <v>1705.9329146513551</v>
      </c>
      <c r="H30" s="1">
        <f>_xlfn.MAXIFS(Games[Date], Games[Team], A30)</f>
        <v>43012</v>
      </c>
      <c r="AR30" s="3"/>
      <c r="AS30" s="4"/>
      <c r="BD30" s="1"/>
      <c r="BG30" s="3"/>
      <c r="BH30" s="4"/>
    </row>
    <row r="31" spans="1:60" x14ac:dyDescent="0.35">
      <c r="A31" t="s">
        <v>67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27</v>
      </c>
      <c r="E31" s="1">
        <f>_xlfn.XLOOKUP($A31,StandingsPivot!$A$4:$A$35,StandingsPivot!C$4:C$35)</f>
        <v>7</v>
      </c>
      <c r="F31" s="3">
        <f>(D31)/(D31+E31)</f>
        <v>0.79411764705882348</v>
      </c>
      <c r="G31" s="9" cm="1">
        <f t="array" ref="G31">INDEX(Games[PostGmRate], MATCH(1, (Games[Team]=A31)*(Games[Date]=H31), 0))</f>
        <v>1744.3715968303979</v>
      </c>
      <c r="H31" s="1">
        <f>_xlfn.MAXIFS(Games[Date], Games[Team], A31)</f>
        <v>43012</v>
      </c>
      <c r="AR31" s="3"/>
      <c r="AS31" s="4"/>
      <c r="BD31" s="1"/>
      <c r="BG31" s="3"/>
      <c r="BH31" s="4"/>
    </row>
    <row r="32" spans="1:60" x14ac:dyDescent="0.35">
      <c r="A32" t="s">
        <v>60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22</v>
      </c>
      <c r="E32" s="1">
        <f>_xlfn.XLOOKUP($A32,StandingsPivot!$A$4:$A$35,StandingsPivot!C$4:C$35)</f>
        <v>12</v>
      </c>
      <c r="F32" s="3">
        <f>(D32)/(D32+E32)</f>
        <v>0.6470588235294118</v>
      </c>
      <c r="G32" s="9" cm="1">
        <f t="array" ref="G32">INDEX(Games[PostGmRate], MATCH(1, (Games[Team]=A32)*(Games[Date]=H32), 0))</f>
        <v>1584.2889781346132</v>
      </c>
      <c r="H32" s="1">
        <f>_xlfn.MAXIFS(Games[Date], Games[Team], A32)</f>
        <v>42988</v>
      </c>
    </row>
    <row r="33" spans="1:8" x14ac:dyDescent="0.35">
      <c r="A33" t="s">
        <v>40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18</v>
      </c>
      <c r="E33" s="1">
        <f>_xlfn.XLOOKUP($A33,StandingsPivot!$A$4:$A$35,StandingsPivot!C$4:C$35)</f>
        <v>16</v>
      </c>
      <c r="F33" s="3">
        <f>(D33)/(D33+E33)</f>
        <v>0.52941176470588236</v>
      </c>
      <c r="G33" s="9" cm="1">
        <f t="array" ref="G33">INDEX(Games[PostGmRate], MATCH(1, (Games[Team]=A33)*(Games[Date]=H33), 0))</f>
        <v>1532.0466962364003</v>
      </c>
      <c r="H33" s="1">
        <f>_xlfn.MAXIFS(Games[Date], Games[Team], A33)</f>
        <v>42995</v>
      </c>
    </row>
    <row r="34" spans="1:8" x14ac:dyDescent="0.35">
      <c r="A34" t="s">
        <v>74</v>
      </c>
      <c r="B34">
        <f>_xlfn.XLOOKUP(A34,ConfDiv[TeamID],ConfDiv[Logo])</f>
        <v>0</v>
      </c>
      <c r="C34" t="str">
        <f>_xlfn.XLOOKUP(A34,ConfDiv[TeamID],ConfDiv[TeamName])</f>
        <v>San Antonio Silver Stars</v>
      </c>
      <c r="D34" s="1">
        <f>_xlfn.XLOOKUP($A34,StandingsPivot!$A$4:$A$35,StandingsPivot!B$4:B$35)</f>
        <v>8</v>
      </c>
      <c r="E34" s="1">
        <f>_xlfn.XLOOKUP($A34,StandingsPivot!$A$4:$A$35,StandingsPivot!C$4:C$35)</f>
        <v>26</v>
      </c>
      <c r="F34" s="3">
        <f>(D34)/(D34+E34)</f>
        <v>0.23529411764705882</v>
      </c>
      <c r="G34" s="9" cm="1">
        <f t="array" ref="G34">INDEX(Games[PostGmRate], MATCH(1, (Games[Team]=A34)*(Games[Date]=H34), 0))</f>
        <v>1344.8246752721536</v>
      </c>
      <c r="H34" s="1">
        <f>_xlfn.MAXIFS(Games[Date], Games[Team], A34)</f>
        <v>42980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15</v>
      </c>
      <c r="E35" s="1">
        <f>_xlfn.XLOOKUP($A35,StandingsPivot!$A$4:$A$35,StandingsPivot!C$4:C$35)</f>
        <v>19</v>
      </c>
      <c r="F35" s="3">
        <f>(D35)/(D35+E35)</f>
        <v>0.44117647058823528</v>
      </c>
      <c r="G35" s="9" cm="1">
        <f t="array" ref="G35">INDEX(Games[PostGmRate], MATCH(1, (Games[Team]=A35)*(Games[Date]=H35), 0))</f>
        <v>1471.7630647678818</v>
      </c>
      <c r="H35" s="1">
        <f>_xlfn.MAXIFS(Games[Date], Games[Team], A35)</f>
        <v>42984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18</v>
      </c>
      <c r="E36" s="1">
        <f>_xlfn.XLOOKUP($A36,StandingsPivot!$A$4:$A$35,StandingsPivot!C$4:C$35)</f>
        <v>16</v>
      </c>
      <c r="F36" s="3">
        <f>(D36)/(D36+E36)</f>
        <v>0.52941176470588236</v>
      </c>
      <c r="G36" s="9" cm="1">
        <f t="array" ref="G36">INDEX(Games[PostGmRate], MATCH(1, (Games[Team]=A36)*(Games[Date]=H36), 0))</f>
        <v>1500.6795785918312</v>
      </c>
      <c r="H36" s="1">
        <f>_xlfn.MAXIFS(Games[Date], Games[Team], A36)</f>
        <v>42995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79</v>
      </c>
      <c r="B4" s="2">
        <v>12</v>
      </c>
      <c r="C4" s="2">
        <v>22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77</v>
      </c>
      <c r="B5" s="2">
        <v>12</v>
      </c>
      <c r="C5" s="2">
        <v>22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76</v>
      </c>
      <c r="B6" s="2">
        <v>21</v>
      </c>
      <c r="C6" s="2">
        <v>13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87</v>
      </c>
      <c r="B7" s="2">
        <v>16</v>
      </c>
      <c r="C7" s="2">
        <v>18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9</v>
      </c>
      <c r="C8" s="2">
        <v>25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26</v>
      </c>
      <c r="C9" s="2">
        <v>8</v>
      </c>
      <c r="D9" s="2">
        <v>0</v>
      </c>
      <c r="E9" s="2">
        <v>0</v>
      </c>
      <c r="F9" s="2">
        <v>3</v>
      </c>
      <c r="G9" s="2">
        <v>0</v>
      </c>
      <c r="H9" s="2">
        <v>2</v>
      </c>
      <c r="I9" s="2">
        <v>3</v>
      </c>
      <c r="J9" s="2">
        <v>0</v>
      </c>
      <c r="K9" s="2">
        <v>0</v>
      </c>
    </row>
    <row r="10" spans="1:11" x14ac:dyDescent="0.35">
      <c r="A10" s="6" t="s">
        <v>67</v>
      </c>
      <c r="B10" s="2">
        <v>27</v>
      </c>
      <c r="C10" s="2">
        <v>7</v>
      </c>
      <c r="D10" s="2">
        <v>0</v>
      </c>
      <c r="E10" s="2">
        <v>0</v>
      </c>
      <c r="F10" s="2">
        <v>3</v>
      </c>
      <c r="G10" s="2">
        <v>0</v>
      </c>
      <c r="H10" s="2">
        <v>3</v>
      </c>
      <c r="I10" s="2">
        <v>2</v>
      </c>
      <c r="J10" s="2">
        <v>0</v>
      </c>
      <c r="K10" s="2">
        <v>0</v>
      </c>
    </row>
    <row r="11" spans="1:11" x14ac:dyDescent="0.35">
      <c r="A11" s="6" t="s">
        <v>60</v>
      </c>
      <c r="B11" s="2">
        <v>22</v>
      </c>
      <c r="C11" s="2">
        <v>12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40</v>
      </c>
      <c r="B12" s="2">
        <v>18</v>
      </c>
      <c r="C12" s="2">
        <v>16</v>
      </c>
      <c r="D12" s="2">
        <v>1</v>
      </c>
      <c r="E12" s="2">
        <v>0</v>
      </c>
      <c r="F12" s="2">
        <v>0</v>
      </c>
      <c r="G12" s="2">
        <v>3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74</v>
      </c>
      <c r="B13" s="2">
        <v>8</v>
      </c>
      <c r="C13" s="2">
        <v>26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15</v>
      </c>
      <c r="C14" s="2">
        <v>19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18</v>
      </c>
      <c r="C15" s="2">
        <v>16</v>
      </c>
      <c r="D15" s="2">
        <v>1</v>
      </c>
      <c r="E15" s="2">
        <v>0</v>
      </c>
      <c r="F15" s="2">
        <v>0</v>
      </c>
      <c r="G15" s="2">
        <v>3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2</v>
      </c>
      <c r="E16" s="2">
        <v>2</v>
      </c>
      <c r="F16" s="2">
        <v>6</v>
      </c>
      <c r="G16" s="2">
        <v>6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6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39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42868</v>
      </c>
      <c r="B2" s="2">
        <v>2017</v>
      </c>
      <c r="C2" s="2">
        <f>COUNTIFS(Games[Team],Games[[#This Row],[Team]],Games[Season],Games[[#This Row],[Season]],Games[Date],"&lt;=" &amp; Games[[#This Row],[Date]])</f>
        <v>1</v>
      </c>
      <c r="D2" s="2" t="s">
        <v>81</v>
      </c>
      <c r="E2" s="2" t="s">
        <v>82</v>
      </c>
      <c r="F2" s="1" t="s">
        <v>79</v>
      </c>
      <c r="G2" s="1" t="s">
        <v>76</v>
      </c>
      <c r="H2" s="1" t="s">
        <v>83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1489.0912541043567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1490.5499981622893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0.37943664210097561</v>
      </c>
      <c r="R2" s="1">
        <v>81</v>
      </c>
      <c r="S2" s="1">
        <v>74</v>
      </c>
      <c r="T2" s="1">
        <v>0</v>
      </c>
      <c r="U2" s="1">
        <f>Games[[#This Row],[PointsFor]]-Games[[#This Row],[PointsAgainst]]</f>
        <v>7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0.36965780904347784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17.399693521586844</v>
      </c>
      <c r="AB2" s="4">
        <f>Games[[#This Row],[PreGmRate]]+Games[[#This Row],[RatingChange]]</f>
        <v>1506.4909476259436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42868</v>
      </c>
      <c r="B3" s="2">
        <v>2017</v>
      </c>
      <c r="C3" s="2">
        <f>COUNTIFS(Games[Team],Games[[#This Row],[Team]],Games[Season],Games[[#This Row],[Season]],Games[Date],"&lt;=" &amp; Games[[#This Row],[Date]])</f>
        <v>1</v>
      </c>
      <c r="D3" s="2" t="s">
        <v>81</v>
      </c>
      <c r="E3" s="2" t="s">
        <v>82</v>
      </c>
      <c r="F3" s="1" t="s">
        <v>76</v>
      </c>
      <c r="G3" s="1" t="s">
        <v>79</v>
      </c>
      <c r="H3" s="1" t="s">
        <v>84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1490.5499981622893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1489.0912541043567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0.62056335789902439</v>
      </c>
      <c r="R3" s="1">
        <v>74</v>
      </c>
      <c r="S3" s="1">
        <v>81</v>
      </c>
      <c r="T3" s="1">
        <v>0</v>
      </c>
      <c r="U3" s="1">
        <f>Games[[#This Row],[PointsFor]]-Games[[#This Row],[PointsAgainst]]</f>
        <v>-7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0.36965780904347784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-17.399693521586844</v>
      </c>
      <c r="AB3" s="4">
        <f>Games[[#This Row],[PreGmRate]]+Games[[#This Row],[RatingChange]]</f>
        <v>1473.1503046407024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42868</v>
      </c>
      <c r="B4" s="2">
        <v>2017</v>
      </c>
      <c r="C4" s="2">
        <f>COUNTIFS(Games[Team],Games[[#This Row],[Team]],Games[Season],Games[[#This Row],[Season]],Games[Date],"&lt;=" &amp; Games[[#This Row],[Date]])</f>
        <v>1</v>
      </c>
      <c r="D4" s="2" t="s">
        <v>81</v>
      </c>
      <c r="E4" s="2" t="s">
        <v>82</v>
      </c>
      <c r="F4" s="1" t="s">
        <v>71</v>
      </c>
      <c r="G4" s="1" t="s">
        <v>63</v>
      </c>
      <c r="H4" s="1" t="s">
        <v>83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1503.057549755395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1584.1535275409697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0.27881065063870913</v>
      </c>
      <c r="R4" s="1">
        <v>68</v>
      </c>
      <c r="S4" s="1">
        <v>78</v>
      </c>
      <c r="T4" s="1">
        <v>0</v>
      </c>
      <c r="U4" s="1">
        <f>Games[[#This Row],[PointsFor]]-Games[[#This Row],[PointsAgainst]]</f>
        <v>-10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0.39634472982767188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-8.3818142622361478</v>
      </c>
      <c r="AB4" s="4">
        <f>Games[[#This Row],[PreGmRate]]+Games[[#This Row],[RatingChange]]</f>
        <v>1494.675735493159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42868</v>
      </c>
      <c r="B5" s="2">
        <v>2017</v>
      </c>
      <c r="C5" s="2">
        <f>COUNTIFS(Games[Team],Games[[#This Row],[Team]],Games[Season],Games[[#This Row],[Season]],Games[Date],"&lt;=" &amp; Games[[#This Row],[Date]])</f>
        <v>1</v>
      </c>
      <c r="D5" s="2" t="s">
        <v>81</v>
      </c>
      <c r="E5" s="2" t="s">
        <v>82</v>
      </c>
      <c r="F5" s="1" t="s">
        <v>63</v>
      </c>
      <c r="G5" s="1" t="s">
        <v>71</v>
      </c>
      <c r="H5" s="1" t="s">
        <v>84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1584.1535275409697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1503.057549755395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0.72118934936129087</v>
      </c>
      <c r="R5" s="1">
        <v>78</v>
      </c>
      <c r="S5" s="1">
        <v>68</v>
      </c>
      <c r="T5" s="1">
        <v>0</v>
      </c>
      <c r="U5" s="1">
        <f>Games[[#This Row],[PointsFor]]-Games[[#This Row],[PointsAgainst]]</f>
        <v>10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0.39634472982767188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8.3818142622361478</v>
      </c>
      <c r="AB5" s="4">
        <f>Games[[#This Row],[PreGmRate]]+Games[[#This Row],[RatingChange]]</f>
        <v>1592.5353418032057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42868</v>
      </c>
      <c r="B6" s="2">
        <v>2017</v>
      </c>
      <c r="C6" s="2">
        <f>COUNTIFS(Games[Team],Games[[#This Row],[Team]],Games[Season],Games[[#This Row],[Season]],Games[Date],"&lt;=" &amp; Games[[#This Row],[Date]])</f>
        <v>1</v>
      </c>
      <c r="D6" s="2" t="s">
        <v>81</v>
      </c>
      <c r="E6" s="2" t="s">
        <v>82</v>
      </c>
      <c r="F6" s="1" t="s">
        <v>74</v>
      </c>
      <c r="G6" s="1" t="s">
        <v>60</v>
      </c>
      <c r="H6" s="1" t="s">
        <v>83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1398.6760094227193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1499.6292612186908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0.2564167839961356</v>
      </c>
      <c r="R6" s="1">
        <v>64</v>
      </c>
      <c r="S6" s="1">
        <v>73</v>
      </c>
      <c r="T6" s="1">
        <v>0</v>
      </c>
      <c r="U6" s="1">
        <f>Games[[#This Row],[PointsFor]]-Games[[#This Row],[PointsAgainst]]</f>
        <v>-9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0.37446836149120416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-7.2831149491583638</v>
      </c>
      <c r="AB6" s="4">
        <f>Games[[#This Row],[PreGmRate]]+Games[[#This Row],[RatingChange]]</f>
        <v>1391.392894473561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42868</v>
      </c>
      <c r="B7" s="2">
        <v>2017</v>
      </c>
      <c r="C7" s="2">
        <f>COUNTIFS(Games[Team],Games[[#This Row],[Team]],Games[Season],Games[[#This Row],[Season]],Games[Date],"&lt;=" &amp; Games[[#This Row],[Date]])</f>
        <v>1</v>
      </c>
      <c r="D7" s="2" t="s">
        <v>81</v>
      </c>
      <c r="E7" s="2" t="s">
        <v>82</v>
      </c>
      <c r="F7" s="1" t="s">
        <v>60</v>
      </c>
      <c r="G7" s="1" t="s">
        <v>74</v>
      </c>
      <c r="H7" s="1" t="s">
        <v>84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1499.6292612186908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1398.6760094227193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0.74358321600386434</v>
      </c>
      <c r="R7" s="1">
        <v>73</v>
      </c>
      <c r="S7" s="1">
        <v>64</v>
      </c>
      <c r="T7" s="1">
        <v>0</v>
      </c>
      <c r="U7" s="1">
        <f>Games[[#This Row],[PointsFor]]-Games[[#This Row],[PointsAgainst]]</f>
        <v>9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0.37446836149120416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7.2831149491583655</v>
      </c>
      <c r="AB7" s="4">
        <f>Games[[#This Row],[PreGmRate]]+Games[[#This Row],[RatingChange]]</f>
        <v>1506.9123761678491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42869</v>
      </c>
      <c r="B8" s="2">
        <v>2017</v>
      </c>
      <c r="C8" s="2">
        <f>COUNTIFS(Games[Team],Games[[#This Row],[Team]],Games[Season],Games[[#This Row],[Season]],Games[Date],"&lt;=" &amp; Games[[#This Row],[Date]])</f>
        <v>1</v>
      </c>
      <c r="D8" s="2" t="s">
        <v>81</v>
      </c>
      <c r="E8" s="2" t="s">
        <v>82</v>
      </c>
      <c r="F8" s="1" t="s">
        <v>77</v>
      </c>
      <c r="G8" s="1" t="s">
        <v>67</v>
      </c>
      <c r="H8" s="1" t="s">
        <v>83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1503.6706313699474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1603.1388861006221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0.25805006124930596</v>
      </c>
      <c r="R8" s="1">
        <v>61</v>
      </c>
      <c r="S8" s="1">
        <v>70</v>
      </c>
      <c r="T8" s="1">
        <v>0</v>
      </c>
      <c r="U8" s="1">
        <f>Games[[#This Row],[PointsFor]]-Games[[#This Row],[PointsAgainst]]</f>
        <v>-9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0.37489629377491829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-7.3378815776418014</v>
      </c>
      <c r="AB8" s="4">
        <f>Games[[#This Row],[PreGmRate]]+Games[[#This Row],[RatingChange]]</f>
        <v>1496.3327497923055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42869</v>
      </c>
      <c r="B9" s="2">
        <v>2017</v>
      </c>
      <c r="C9" s="2">
        <f>COUNTIFS(Games[Team],Games[[#This Row],[Team]],Games[Season],Games[[#This Row],[Season]],Games[Date],"&lt;=" &amp; Games[[#This Row],[Date]])</f>
        <v>1</v>
      </c>
      <c r="D9" s="2" t="s">
        <v>81</v>
      </c>
      <c r="E9" s="2" t="s">
        <v>82</v>
      </c>
      <c r="F9" s="1" t="s">
        <v>67</v>
      </c>
      <c r="G9" s="1" t="s">
        <v>77</v>
      </c>
      <c r="H9" s="1" t="s">
        <v>84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1603.1388861006221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1503.6706313699474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0.74194993875069404</v>
      </c>
      <c r="R9" s="1">
        <v>70</v>
      </c>
      <c r="S9" s="1">
        <v>61</v>
      </c>
      <c r="T9" s="1">
        <v>0</v>
      </c>
      <c r="U9" s="1">
        <f>Games[[#This Row],[PointsFor]]-Games[[#This Row],[PointsAgainst]]</f>
        <v>9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0.37489629377491829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7.3378815776418014</v>
      </c>
      <c r="AB9" s="4">
        <f>Games[[#This Row],[PreGmRate]]+Games[[#This Row],[RatingChange]]</f>
        <v>1610.476767678264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42869</v>
      </c>
      <c r="B10" s="2">
        <v>2017</v>
      </c>
      <c r="C10" s="2">
        <f>COUNTIFS(Games[Team],Games[[#This Row],[Team]],Games[Season],Games[[#This Row],[Season]],Games[Date],"&lt;=" &amp; Games[[#This Row],[Date]])</f>
        <v>1</v>
      </c>
      <c r="D10" s="2" t="s">
        <v>81</v>
      </c>
      <c r="E10" s="2" t="s">
        <v>82</v>
      </c>
      <c r="F10" s="1" t="s">
        <v>87</v>
      </c>
      <c r="G10" s="1" t="s">
        <v>40</v>
      </c>
      <c r="H10" s="1" t="s">
        <v>83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1430.2244949091053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1517.8556677472675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0.27130957944838496</v>
      </c>
      <c r="R10" s="1">
        <v>68</v>
      </c>
      <c r="S10" s="1">
        <v>58</v>
      </c>
      <c r="T10" s="1">
        <v>0</v>
      </c>
      <c r="U10" s="1">
        <f>Games[[#This Row],[PointsFor]]-Games[[#This Row],[PointsAgainst]]</f>
        <v>10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0.39433313662293473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21.795253199529004</v>
      </c>
      <c r="AB10" s="4">
        <f>Games[[#This Row],[PreGmRate]]+Games[[#This Row],[RatingChange]]</f>
        <v>1452.0197481086343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42869</v>
      </c>
      <c r="B11" s="2">
        <v>2017</v>
      </c>
      <c r="C11" s="2">
        <f>COUNTIFS(Games[Team],Games[[#This Row],[Team]],Games[Season],Games[[#This Row],[Season]],Games[Date],"&lt;=" &amp; Games[[#This Row],[Date]])</f>
        <v>1</v>
      </c>
      <c r="D11" s="2" t="s">
        <v>81</v>
      </c>
      <c r="E11" s="2" t="s">
        <v>82</v>
      </c>
      <c r="F11" s="1" t="s">
        <v>40</v>
      </c>
      <c r="G11" s="1" t="s">
        <v>87</v>
      </c>
      <c r="H11" s="1" t="s">
        <v>84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1517.8556677472675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1430.2244949091053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0.72869042055161504</v>
      </c>
      <c r="R11" s="1">
        <v>58</v>
      </c>
      <c r="S11" s="1">
        <v>68</v>
      </c>
      <c r="T11" s="1">
        <v>0</v>
      </c>
      <c r="U11" s="1">
        <f>Games[[#This Row],[PointsFor]]-Games[[#This Row],[PointsAgainst]]</f>
        <v>-10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0.39433313662293473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-21.795253199529004</v>
      </c>
      <c r="AB11" s="4">
        <f>Games[[#This Row],[PreGmRate]]+Games[[#This Row],[RatingChange]]</f>
        <v>1496.0604145477384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42869</v>
      </c>
      <c r="B12" s="2">
        <v>2017</v>
      </c>
      <c r="C12" s="2">
        <f>COUNTIFS(Games[Team],Games[[#This Row],[Team]],Games[Season],Games[[#This Row],[Season]],Games[Date],"&lt;=" &amp; Games[[#This Row],[Date]])</f>
        <v>1</v>
      </c>
      <c r="D12" s="2" t="s">
        <v>81</v>
      </c>
      <c r="E12" s="2" t="s">
        <v>82</v>
      </c>
      <c r="F12" s="1" t="s">
        <v>69</v>
      </c>
      <c r="G12" s="1" t="s">
        <v>71</v>
      </c>
      <c r="H12" s="1" t="s">
        <v>83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1</v>
      </c>
      <c r="L12" s="2">
        <f>Games[[#This Row],[OppDaysOff]]-Games[[#This Row],[DaysOff]]</f>
        <v>-1</v>
      </c>
      <c r="M12" s="1">
        <f>MAX(-16, MIN(16, Games[[#This Row],[RestDiff]]*8))</f>
        <v>8</v>
      </c>
      <c r="N12" s="1">
        <f>MAX(-16, MIN(16, Games[[#This Row],[OppRestDiff]]*8))</f>
        <v>-8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1505.717999737388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1494.675735493159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0.41875773779199882</v>
      </c>
      <c r="R12" s="1">
        <v>82</v>
      </c>
      <c r="S12" s="1">
        <v>87</v>
      </c>
      <c r="T12" s="1">
        <v>0</v>
      </c>
      <c r="U12" s="1">
        <f>Games[[#This Row],[PointsFor]]-Games[[#This Row],[PointsAgainst]]</f>
        <v>-5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0.32873102971508811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-10.441409538908044</v>
      </c>
      <c r="AB12" s="4">
        <f>Games[[#This Row],[PreGmRate]]+Games[[#This Row],[RatingChange]]</f>
        <v>1495.2765901984799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42869</v>
      </c>
      <c r="B13" s="2">
        <v>2017</v>
      </c>
      <c r="C13" s="2">
        <f>COUNTIFS(Games[Team],Games[[#This Row],[Team]],Games[Season],Games[[#This Row],[Season]],Games[Date],"&lt;=" &amp; Games[[#This Row],[Date]])</f>
        <v>2</v>
      </c>
      <c r="D13" s="2" t="s">
        <v>81</v>
      </c>
      <c r="E13" s="2" t="s">
        <v>82</v>
      </c>
      <c r="F13" s="1" t="s">
        <v>71</v>
      </c>
      <c r="G13" s="1" t="s">
        <v>69</v>
      </c>
      <c r="H13" s="1" t="s">
        <v>84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-1</v>
      </c>
      <c r="L13" s="2">
        <f>Games[[#This Row],[OppDaysOff]]-Games[[#This Row],[DaysOff]]</f>
        <v>1</v>
      </c>
      <c r="M13" s="1">
        <f>MAX(-16, MIN(16, Games[[#This Row],[RestDiff]]*8))</f>
        <v>-8</v>
      </c>
      <c r="N13" s="1">
        <f>MAX(-16, MIN(16, Games[[#This Row],[OppRestDiff]]*8))</f>
        <v>8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1494.675735493159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1505.717999737388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0.58124226220800113</v>
      </c>
      <c r="R13" s="1">
        <v>87</v>
      </c>
      <c r="S13" s="1">
        <v>82</v>
      </c>
      <c r="T13" s="1">
        <v>0</v>
      </c>
      <c r="U13" s="1">
        <f>Games[[#This Row],[PointsFor]]-Games[[#This Row],[PointsAgainst]]</f>
        <v>5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0.32873102971508811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10.420760739556217</v>
      </c>
      <c r="AB13" s="4">
        <f>Games[[#This Row],[PreGmRate]]+Games[[#This Row],[RatingChange]]</f>
        <v>1505.0964962327153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42869</v>
      </c>
      <c r="B14" s="2">
        <v>2017</v>
      </c>
      <c r="C14" s="2">
        <f>COUNTIFS(Games[Team],Games[[#This Row],[Team]],Games[Season],Games[[#This Row],[Season]],Games[Date],"&lt;=" &amp; Games[[#This Row],[Date]])</f>
        <v>2</v>
      </c>
      <c r="D14" s="2" t="s">
        <v>81</v>
      </c>
      <c r="E14" s="2" t="s">
        <v>82</v>
      </c>
      <c r="F14" s="1" t="s">
        <v>74</v>
      </c>
      <c r="G14" s="1" t="s">
        <v>65</v>
      </c>
      <c r="H14" s="1" t="s">
        <v>83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1391.392894473561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1474.772574512567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0.25814769444099289</v>
      </c>
      <c r="R14" s="1">
        <v>74</v>
      </c>
      <c r="S14" s="1">
        <v>89</v>
      </c>
      <c r="T14" s="1">
        <v>0</v>
      </c>
      <c r="U14" s="1">
        <f>Games[[#This Row],[PointsFor]]-Games[[#This Row],[PointsAgainst]]</f>
        <v>-15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0.4701785785140189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-9.188126562633558</v>
      </c>
      <c r="AB14" s="4">
        <f>Games[[#This Row],[PreGmRate]]+Games[[#This Row],[RatingChange]]</f>
        <v>1382.2047679109273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42869</v>
      </c>
      <c r="B15" s="2">
        <v>2017</v>
      </c>
      <c r="C15" s="2">
        <f>COUNTIFS(Games[Team],Games[[#This Row],[Team]],Games[Season],Games[[#This Row],[Season]],Games[Date],"&lt;=" &amp; Games[[#This Row],[Date]])</f>
        <v>1</v>
      </c>
      <c r="D15" s="2" t="s">
        <v>81</v>
      </c>
      <c r="E15" s="2" t="s">
        <v>82</v>
      </c>
      <c r="F15" s="1" t="s">
        <v>65</v>
      </c>
      <c r="G15" s="1" t="s">
        <v>74</v>
      </c>
      <c r="H15" s="1" t="s">
        <v>84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1474.772574512567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1391.392894473561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0.74185230555900716</v>
      </c>
      <c r="R15" s="1">
        <v>89</v>
      </c>
      <c r="S15" s="1">
        <v>74</v>
      </c>
      <c r="T15" s="1">
        <v>0</v>
      </c>
      <c r="U15" s="1">
        <f>Games[[#This Row],[PointsFor]]-Games[[#This Row],[PointsAgainst]]</f>
        <v>15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0.4701785785140189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9.2063328900363945</v>
      </c>
      <c r="AB15" s="4">
        <f>Games[[#This Row],[PreGmRate]]+Games[[#This Row],[RatingChange]]</f>
        <v>1483.9789074026035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42872</v>
      </c>
      <c r="B16" s="2">
        <v>2017</v>
      </c>
      <c r="C16" s="2">
        <f>COUNTIFS(Games[Team],Games[[#This Row],[Team]],Games[Season],Games[[#This Row],[Season]],Games[Date],"&lt;=" &amp; Games[[#This Row],[Date]])</f>
        <v>2</v>
      </c>
      <c r="D16" s="2" t="s">
        <v>81</v>
      </c>
      <c r="E16" s="2" t="s">
        <v>82</v>
      </c>
      <c r="F16" s="1" t="s">
        <v>69</v>
      </c>
      <c r="G16" s="1" t="s">
        <v>40</v>
      </c>
      <c r="H16" s="1" t="s">
        <v>83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1495.2765901984799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1496.0604145477384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0.38035188450263074</v>
      </c>
      <c r="R16" s="1">
        <v>62</v>
      </c>
      <c r="S16" s="1">
        <v>85</v>
      </c>
      <c r="T16" s="1">
        <v>0</v>
      </c>
      <c r="U16" s="1">
        <f>Games[[#This Row],[PointsFor]]-Games[[#This Row],[PointsAgainst]]</f>
        <v>-23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0.6149361009876082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-17.705632337851799</v>
      </c>
      <c r="AB16" s="4">
        <f>Games[[#This Row],[PreGmRate]]+Games[[#This Row],[RatingChange]]</f>
        <v>1477.5709578606281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42872</v>
      </c>
      <c r="B17" s="2">
        <v>2017</v>
      </c>
      <c r="C17" s="2">
        <f>COUNTIFS(Games[Team],Games[[#This Row],[Team]],Games[Season],Games[[#This Row],[Season]],Games[Date],"&lt;=" &amp; Games[[#This Row],[Date]])</f>
        <v>2</v>
      </c>
      <c r="D17" s="2" t="s">
        <v>81</v>
      </c>
      <c r="E17" s="2" t="s">
        <v>82</v>
      </c>
      <c r="F17" s="1" t="s">
        <v>40</v>
      </c>
      <c r="G17" s="1" t="s">
        <v>69</v>
      </c>
      <c r="H17" s="1" t="s">
        <v>84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1496.0604145477384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1495.2765901984799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0.6196481154973692</v>
      </c>
      <c r="R17" s="1">
        <v>85</v>
      </c>
      <c r="S17" s="1">
        <v>62</v>
      </c>
      <c r="T17" s="1">
        <v>0</v>
      </c>
      <c r="U17" s="1">
        <f>Games[[#This Row],[PointsFor]]-Games[[#This Row],[PointsAgainst]]</f>
        <v>23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0.6149361009876082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17.705632337851803</v>
      </c>
      <c r="AB17" s="4">
        <f>Games[[#This Row],[PreGmRate]]+Games[[#This Row],[RatingChange]]</f>
        <v>1513.7660468855902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42873</v>
      </c>
      <c r="B18" s="2">
        <v>2017</v>
      </c>
      <c r="C18" s="2">
        <f>COUNTIFS(Games[Team],Games[[#This Row],[Team]],Games[Season],Games[[#This Row],[Season]],Games[Date],"&lt;=" &amp; Games[[#This Row],[Date]])</f>
        <v>2</v>
      </c>
      <c r="D18" s="2" t="s">
        <v>81</v>
      </c>
      <c r="E18" s="2" t="s">
        <v>82</v>
      </c>
      <c r="F18" s="1" t="s">
        <v>67</v>
      </c>
      <c r="G18" s="1" t="s">
        <v>60</v>
      </c>
      <c r="H18" s="1" t="s">
        <v>83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1610.476767678264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1506.9123761678491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0.50512939176848248</v>
      </c>
      <c r="R18" s="1">
        <v>90</v>
      </c>
      <c r="S18" s="1">
        <v>71</v>
      </c>
      <c r="T18" s="1">
        <v>0</v>
      </c>
      <c r="U18" s="1">
        <f>Games[[#This Row],[PointsFor]]-Games[[#This Row],[PointsAgainst]]</f>
        <v>19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0.51640953960680613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19.3455818542066</v>
      </c>
      <c r="AB18" s="4">
        <f>Games[[#This Row],[PreGmRate]]+Games[[#This Row],[RatingChange]]</f>
        <v>1629.8223495324705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42873</v>
      </c>
      <c r="B19" s="2">
        <v>2017</v>
      </c>
      <c r="C19" s="2">
        <f>COUNTIFS(Games[Team],Games[[#This Row],[Team]],Games[Season],Games[[#This Row],[Season]],Games[Date],"&lt;=" &amp; Games[[#This Row],[Date]])</f>
        <v>2</v>
      </c>
      <c r="D19" s="2" t="s">
        <v>81</v>
      </c>
      <c r="E19" s="2" t="s">
        <v>82</v>
      </c>
      <c r="F19" s="1" t="s">
        <v>60</v>
      </c>
      <c r="G19" s="1" t="s">
        <v>67</v>
      </c>
      <c r="H19" s="1" t="s">
        <v>84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1506.9123761678491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1610.476767678264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0.49487060823151757</v>
      </c>
      <c r="R19" s="1">
        <v>71</v>
      </c>
      <c r="S19" s="1">
        <v>90</v>
      </c>
      <c r="T19" s="1">
        <v>0</v>
      </c>
      <c r="U19" s="1">
        <f>Games[[#This Row],[PointsFor]]-Games[[#This Row],[PointsAgainst]]</f>
        <v>-19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0.51640953960680613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-19.345581854206603</v>
      </c>
      <c r="AB19" s="4">
        <f>Games[[#This Row],[PreGmRate]]+Games[[#This Row],[RatingChange]]</f>
        <v>1487.5667943136425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42874</v>
      </c>
      <c r="B20" s="2">
        <v>2017</v>
      </c>
      <c r="C20" s="2">
        <f>COUNTIFS(Games[Team],Games[[#This Row],[Team]],Games[Season],Games[[#This Row],[Season]],Games[Date],"&lt;=" &amp; Games[[#This Row],[Date]])</f>
        <v>2</v>
      </c>
      <c r="D20" s="2" t="s">
        <v>81</v>
      </c>
      <c r="E20" s="2" t="s">
        <v>82</v>
      </c>
      <c r="F20" s="1" t="s">
        <v>79</v>
      </c>
      <c r="G20" s="1" t="s">
        <v>77</v>
      </c>
      <c r="H20" s="1" t="s">
        <v>83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1506.4909476259436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1496.3327497923055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0.41751956813095137</v>
      </c>
      <c r="R20" s="1">
        <v>91</v>
      </c>
      <c r="S20" s="1">
        <v>83</v>
      </c>
      <c r="T20" s="1">
        <v>0</v>
      </c>
      <c r="U20" s="1">
        <f>Games[[#This Row],[PointsFor]]-Games[[#This Row],[PointsAgainst]]</f>
        <v>8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0.38505597271313552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16.978568994473576</v>
      </c>
      <c r="AB20" s="4">
        <f>Games[[#This Row],[PreGmRate]]+Games[[#This Row],[RatingChange]]</f>
        <v>1523.4695166204172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42874</v>
      </c>
      <c r="B21" s="2">
        <v>2017</v>
      </c>
      <c r="C21" s="2">
        <f>COUNTIFS(Games[Team],Games[[#This Row],[Team]],Games[Season],Games[[#This Row],[Season]],Games[Date],"&lt;=" &amp; Games[[#This Row],[Date]])</f>
        <v>2</v>
      </c>
      <c r="D21" s="2" t="s">
        <v>81</v>
      </c>
      <c r="E21" s="2" t="s">
        <v>82</v>
      </c>
      <c r="F21" s="1" t="s">
        <v>77</v>
      </c>
      <c r="G21" s="1" t="s">
        <v>79</v>
      </c>
      <c r="H21" s="1" t="s">
        <v>84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1496.3327497923055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1506.4909476259436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0.58248043186904863</v>
      </c>
      <c r="R21" s="1">
        <v>83</v>
      </c>
      <c r="S21" s="1">
        <v>91</v>
      </c>
      <c r="T21" s="1">
        <v>0</v>
      </c>
      <c r="U21" s="1">
        <f>Games[[#This Row],[PointsFor]]-Games[[#This Row],[PointsAgainst]]</f>
        <v>-8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0.38505597271313552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-16.978568994473576</v>
      </c>
      <c r="AB21" s="4">
        <f>Games[[#This Row],[PreGmRate]]+Games[[#This Row],[RatingChange]]</f>
        <v>1479.354180797832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42874</v>
      </c>
      <c r="B22" s="2">
        <v>2017</v>
      </c>
      <c r="C22" s="2">
        <f>COUNTIFS(Games[Team],Games[[#This Row],[Team]],Games[Season],Games[[#This Row],[Season]],Games[Date],"&lt;=" &amp; Games[[#This Row],[Date]])</f>
        <v>2</v>
      </c>
      <c r="D22" s="2" t="s">
        <v>81</v>
      </c>
      <c r="E22" s="2" t="s">
        <v>82</v>
      </c>
      <c r="F22" s="1" t="s">
        <v>65</v>
      </c>
      <c r="G22" s="1" t="s">
        <v>63</v>
      </c>
      <c r="H22" s="1" t="s">
        <v>83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" s="2">
        <f>Games[[#This Row],[DaysOff]]-Games[[#This Row],[OppDaysOff]]</f>
        <v>-1</v>
      </c>
      <c r="L22" s="2">
        <f>Games[[#This Row],[OppDaysOff]]-Games[[#This Row],[DaysOff]]</f>
        <v>1</v>
      </c>
      <c r="M22" s="1">
        <f>MAX(-16, MIN(16, Games[[#This Row],[RestDiff]]*8))</f>
        <v>-8</v>
      </c>
      <c r="N22" s="1">
        <f>MAX(-16, MIN(16, Games[[#This Row],[OppRestDiff]]*8))</f>
        <v>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1483.9789074026035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1592.5353418032057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0.23137786166925506</v>
      </c>
      <c r="R22" s="1">
        <v>89</v>
      </c>
      <c r="S22" s="1">
        <v>99</v>
      </c>
      <c r="T22" s="1">
        <v>0</v>
      </c>
      <c r="U22" s="1">
        <f>Games[[#This Row],[PointsFor]]-Games[[#This Row],[PointsAgainst]]</f>
        <v>-10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0.38802731456616418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-6.796416424738192</v>
      </c>
      <c r="AB22" s="4">
        <f>Games[[#This Row],[PreGmRate]]+Games[[#This Row],[RatingChange]]</f>
        <v>1477.1824909778652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42874</v>
      </c>
      <c r="B23" s="2">
        <v>2017</v>
      </c>
      <c r="C23" s="2">
        <f>COUNTIFS(Games[Team],Games[[#This Row],[Team]],Games[Season],Games[[#This Row],[Season]],Games[Date],"&lt;=" &amp; Games[[#This Row],[Date]])</f>
        <v>2</v>
      </c>
      <c r="D23" s="2" t="s">
        <v>81</v>
      </c>
      <c r="E23" s="2" t="s">
        <v>82</v>
      </c>
      <c r="F23" s="1" t="s">
        <v>63</v>
      </c>
      <c r="G23" s="1" t="s">
        <v>65</v>
      </c>
      <c r="H23" s="1" t="s">
        <v>84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" s="2">
        <f>Games[[#This Row],[DaysOff]]-Games[[#This Row],[OppDaysOff]]</f>
        <v>1</v>
      </c>
      <c r="L23" s="2">
        <f>Games[[#This Row],[OppDaysOff]]-Games[[#This Row],[DaysOff]]</f>
        <v>-1</v>
      </c>
      <c r="M23" s="1">
        <f>MAX(-16, MIN(16, Games[[#This Row],[RestDiff]]*8))</f>
        <v>8</v>
      </c>
      <c r="N23" s="1">
        <f>MAX(-16, MIN(16, Games[[#This Row],[OppRestDiff]]*8))</f>
        <v>-8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1592.5353418032057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1483.9789074026035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0.768622138330745</v>
      </c>
      <c r="R23" s="1">
        <v>99</v>
      </c>
      <c r="S23" s="1">
        <v>89</v>
      </c>
      <c r="T23" s="1">
        <v>0</v>
      </c>
      <c r="U23" s="1">
        <f>Games[[#This Row],[PointsFor]]-Games[[#This Row],[PointsAgainst]]</f>
        <v>10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0.38802731456616418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6.7964164247381902</v>
      </c>
      <c r="AB23" s="4">
        <f>Games[[#This Row],[PreGmRate]]+Games[[#This Row],[RatingChange]]</f>
        <v>1599.331758227944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42874</v>
      </c>
      <c r="B24" s="2">
        <v>2017</v>
      </c>
      <c r="C24" s="2">
        <f>COUNTIFS(Games[Team],Games[[#This Row],[Team]],Games[Season],Games[[#This Row],[Season]],Games[Date],"&lt;=" &amp; Games[[#This Row],[Date]])</f>
        <v>3</v>
      </c>
      <c r="D24" s="2" t="s">
        <v>81</v>
      </c>
      <c r="E24" s="2" t="s">
        <v>82</v>
      </c>
      <c r="F24" s="1" t="s">
        <v>40</v>
      </c>
      <c r="G24" s="1" t="s">
        <v>74</v>
      </c>
      <c r="H24" s="1" t="s">
        <v>83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" s="2">
        <f>Games[[#This Row],[DaysOff]]-Games[[#This Row],[OppDaysOff]]</f>
        <v>-3</v>
      </c>
      <c r="L24" s="2">
        <f>Games[[#This Row],[OppDaysOff]]-Games[[#This Row],[DaysOff]]</f>
        <v>3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1513.7660468855902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1382.2047679109273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0.52237951780443503</v>
      </c>
      <c r="R24" s="1">
        <v>78</v>
      </c>
      <c r="S24" s="1">
        <v>72</v>
      </c>
      <c r="T24" s="1">
        <v>0</v>
      </c>
      <c r="U24" s="1">
        <f>Games[[#This Row],[PointsFor]]-Games[[#This Row],[PointsAgainst]]</f>
        <v>6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0.31657342396872978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11.423307428741866</v>
      </c>
      <c r="AB24" s="4">
        <f>Games[[#This Row],[PreGmRate]]+Games[[#This Row],[RatingChange]]</f>
        <v>1525.1893543143321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42874</v>
      </c>
      <c r="B25" s="2">
        <v>2017</v>
      </c>
      <c r="C25" s="2">
        <f>COUNTIFS(Games[Team],Games[[#This Row],[Team]],Games[Season],Games[[#This Row],[Season]],Games[Date],"&lt;=" &amp; Games[[#This Row],[Date]])</f>
        <v>3</v>
      </c>
      <c r="D25" s="2" t="s">
        <v>81</v>
      </c>
      <c r="E25" s="2" t="s">
        <v>82</v>
      </c>
      <c r="F25" s="1" t="s">
        <v>74</v>
      </c>
      <c r="G25" s="1" t="s">
        <v>40</v>
      </c>
      <c r="H25" s="1" t="s">
        <v>84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3</v>
      </c>
      <c r="L25" s="2">
        <f>Games[[#This Row],[OppDaysOff]]-Games[[#This Row],[DaysOff]]</f>
        <v>-3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1382.2047679109273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1513.7660468855902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0.47762048219556502</v>
      </c>
      <c r="R25" s="1">
        <v>72</v>
      </c>
      <c r="S25" s="1">
        <v>78</v>
      </c>
      <c r="T25" s="1">
        <v>0</v>
      </c>
      <c r="U25" s="1">
        <f>Games[[#This Row],[PointsFor]]-Games[[#This Row],[PointsAgainst]]</f>
        <v>-6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0.31657342396872978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-11.423307428741866</v>
      </c>
      <c r="AB25" s="4">
        <f>Games[[#This Row],[PreGmRate]]+Games[[#This Row],[RatingChange]]</f>
        <v>1370.7814604821854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42875</v>
      </c>
      <c r="B26" s="2">
        <v>2017</v>
      </c>
      <c r="C26" s="2">
        <f>COUNTIFS(Games[Team],Games[[#This Row],[Team]],Games[Season],Games[[#This Row],[Season]],Games[Date],"&lt;=" &amp; Games[[#This Row],[Date]])</f>
        <v>3</v>
      </c>
      <c r="D26" s="2" t="s">
        <v>81</v>
      </c>
      <c r="E26" s="2" t="s">
        <v>82</v>
      </c>
      <c r="F26" s="1" t="s">
        <v>67</v>
      </c>
      <c r="G26" s="1" t="s">
        <v>87</v>
      </c>
      <c r="H26" s="1" t="s">
        <v>83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" s="2">
        <f>Games[[#This Row],[DaysOff]]-Games[[#This Row],[OppDaysOff]]</f>
        <v>-4</v>
      </c>
      <c r="L26" s="2">
        <f>Games[[#This Row],[OppDaysOff]]-Games[[#This Row],[DaysOff]]</f>
        <v>4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1629.8223495324705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1452.0197481086343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0.58801472262214571</v>
      </c>
      <c r="R26" s="1">
        <v>89</v>
      </c>
      <c r="S26" s="1">
        <v>87</v>
      </c>
      <c r="T26" s="1">
        <v>0</v>
      </c>
      <c r="U26" s="1">
        <f>Games[[#This Row],[PointsFor]]-Games[[#This Row],[PointsAgainst]]</f>
        <v>2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0.23327694739395591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7.2608587581797295</v>
      </c>
      <c r="AB26" s="4">
        <f>Games[[#This Row],[PreGmRate]]+Games[[#This Row],[RatingChange]]</f>
        <v>1637.0832082906502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42875</v>
      </c>
      <c r="B27" s="2">
        <v>2017</v>
      </c>
      <c r="C27" s="2">
        <f>COUNTIFS(Games[Team],Games[[#This Row],[Team]],Games[Season],Games[[#This Row],[Season]],Games[Date],"&lt;=" &amp; Games[[#This Row],[Date]])</f>
        <v>2</v>
      </c>
      <c r="D27" s="2" t="s">
        <v>81</v>
      </c>
      <c r="E27" s="2" t="s">
        <v>82</v>
      </c>
      <c r="F27" s="1" t="s">
        <v>87</v>
      </c>
      <c r="G27" s="1" t="s">
        <v>67</v>
      </c>
      <c r="H27" s="1" t="s">
        <v>84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4</v>
      </c>
      <c r="L27" s="2">
        <f>Games[[#This Row],[OppDaysOff]]-Games[[#This Row],[DaysOff]]</f>
        <v>-4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1452.0197481086343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1629.8223495324705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0.41198527737785423</v>
      </c>
      <c r="R27" s="1">
        <v>87</v>
      </c>
      <c r="S27" s="1">
        <v>89</v>
      </c>
      <c r="T27" s="1">
        <v>0</v>
      </c>
      <c r="U27" s="1">
        <f>Games[[#This Row],[PointsFor]]-Games[[#This Row],[PointsAgainst]]</f>
        <v>-2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0.23327694739395591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-7.2752747583614239</v>
      </c>
      <c r="AB27" s="4">
        <f>Games[[#This Row],[PreGmRate]]+Games[[#This Row],[RatingChange]]</f>
        <v>1444.744473350273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42875</v>
      </c>
      <c r="B28" s="2">
        <v>2017</v>
      </c>
      <c r="C28" s="2">
        <f>COUNTIFS(Games[Team],Games[[#This Row],[Team]],Games[Season],Games[[#This Row],[Season]],Games[Date],"&lt;=" &amp; Games[[#This Row],[Date]])</f>
        <v>2</v>
      </c>
      <c r="D28" s="2" t="s">
        <v>81</v>
      </c>
      <c r="E28" s="2" t="s">
        <v>82</v>
      </c>
      <c r="F28" s="1" t="s">
        <v>76</v>
      </c>
      <c r="G28" s="1" t="s">
        <v>69</v>
      </c>
      <c r="H28" s="1" t="s">
        <v>83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4</v>
      </c>
      <c r="L28" s="2">
        <f>Games[[#This Row],[OppDaysOff]]-Games[[#This Row],[DaysOff]]</f>
        <v>-4</v>
      </c>
      <c r="M28" s="1">
        <f>MAX(-16, MIN(16, Games[[#This Row],[RestDiff]]*8))</f>
        <v>16</v>
      </c>
      <c r="N28" s="1">
        <f>MAX(-16, MIN(16, Games[[#This Row],[OppRestDiff]]*8))</f>
        <v>-16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1473.1503046407024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1477.5709578606281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0.41951044402043558</v>
      </c>
      <c r="R28" s="1">
        <v>79</v>
      </c>
      <c r="S28" s="1">
        <v>81</v>
      </c>
      <c r="T28" s="1">
        <v>0</v>
      </c>
      <c r="U28" s="1">
        <f>Games[[#This Row],[PointsFor]]-Games[[#This Row],[PointsAgainst]]</f>
        <v>-2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0.26685824766649435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-8.4746015230598424</v>
      </c>
      <c r="AB28" s="4">
        <f>Games[[#This Row],[PreGmRate]]+Games[[#This Row],[RatingChange]]</f>
        <v>1464.6757031176426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42875</v>
      </c>
      <c r="B29" s="2">
        <v>2017</v>
      </c>
      <c r="C29" s="2">
        <f>COUNTIFS(Games[Team],Games[[#This Row],[Team]],Games[Season],Games[[#This Row],[Season]],Games[Date],"&lt;=" &amp; Games[[#This Row],[Date]])</f>
        <v>3</v>
      </c>
      <c r="D29" s="2" t="s">
        <v>81</v>
      </c>
      <c r="E29" s="2" t="s">
        <v>82</v>
      </c>
      <c r="F29" s="1" t="s">
        <v>69</v>
      </c>
      <c r="G29" s="1" t="s">
        <v>76</v>
      </c>
      <c r="H29" s="1" t="s">
        <v>84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9" s="2">
        <f>Games[[#This Row],[DaysOff]]-Games[[#This Row],[OppDaysOff]]</f>
        <v>-4</v>
      </c>
      <c r="L29" s="2">
        <f>Games[[#This Row],[OppDaysOff]]-Games[[#This Row],[DaysOff]]</f>
        <v>4</v>
      </c>
      <c r="M29" s="1">
        <f>MAX(-16, MIN(16, Games[[#This Row],[RestDiff]]*8))</f>
        <v>-16</v>
      </c>
      <c r="N29" s="1">
        <f>MAX(-16, MIN(16, Games[[#This Row],[OppRestDiff]]*8))</f>
        <v>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1477.5709578606281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1473.1503046407024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0.58048955597956442</v>
      </c>
      <c r="R29" s="1">
        <v>81</v>
      </c>
      <c r="S29" s="1">
        <v>79</v>
      </c>
      <c r="T29" s="1">
        <v>0</v>
      </c>
      <c r="U29" s="1">
        <f>Games[[#This Row],[PointsFor]]-Games[[#This Row],[PointsAgainst]]</f>
        <v>2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0.26685824766649435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8.457809049764478</v>
      </c>
      <c r="AB29" s="4">
        <f>Games[[#This Row],[PreGmRate]]+Games[[#This Row],[RatingChange]]</f>
        <v>1486.0287669103927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42876</v>
      </c>
      <c r="B30" s="2">
        <v>2017</v>
      </c>
      <c r="C30" s="2">
        <f>COUNTIFS(Games[Team],Games[[#This Row],[Team]],Games[Season],Games[[#This Row],[Season]],Games[Date],"&lt;=" &amp; Games[[#This Row],[Date]])</f>
        <v>3</v>
      </c>
      <c r="D30" s="2" t="s">
        <v>81</v>
      </c>
      <c r="E30" s="2" t="s">
        <v>82</v>
      </c>
      <c r="F30" s="1" t="s">
        <v>77</v>
      </c>
      <c r="G30" s="1" t="s">
        <v>79</v>
      </c>
      <c r="H30" s="1" t="s">
        <v>83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1479.354180797832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1523.4695166204172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0.32355300227662859</v>
      </c>
      <c r="R30" s="1">
        <v>75</v>
      </c>
      <c r="S30" s="1">
        <v>71</v>
      </c>
      <c r="T30" s="1">
        <v>0</v>
      </c>
      <c r="U30" s="1">
        <f>Games[[#This Row],[PointsFor]]-Games[[#This Row],[PointsAgainst]]</f>
        <v>4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0.30038957894330526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15.351580857621958</v>
      </c>
      <c r="AB30" s="4">
        <f>Games[[#This Row],[PreGmRate]]+Games[[#This Row],[RatingChange]]</f>
        <v>1494.7057616554539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42876</v>
      </c>
      <c r="B31" s="2">
        <v>2017</v>
      </c>
      <c r="C31" s="2">
        <f>COUNTIFS(Games[Team],Games[[#This Row],[Team]],Games[Season],Games[[#This Row],[Season]],Games[Date],"&lt;=" &amp; Games[[#This Row],[Date]])</f>
        <v>3</v>
      </c>
      <c r="D31" s="2" t="s">
        <v>81</v>
      </c>
      <c r="E31" s="2" t="s">
        <v>82</v>
      </c>
      <c r="F31" s="1" t="s">
        <v>79</v>
      </c>
      <c r="G31" s="1" t="s">
        <v>77</v>
      </c>
      <c r="H31" s="1" t="s">
        <v>84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1523.4695166204172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1479.354180797832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0.67644699772337136</v>
      </c>
      <c r="R31" s="1">
        <v>71</v>
      </c>
      <c r="S31" s="1">
        <v>75</v>
      </c>
      <c r="T31" s="1">
        <v>0</v>
      </c>
      <c r="U31" s="1">
        <f>Games[[#This Row],[PointsFor]]-Games[[#This Row],[PointsAgainst]]</f>
        <v>-4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0.30038957894330526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-15.351580857621958</v>
      </c>
      <c r="AB31" s="4">
        <f>Games[[#This Row],[PreGmRate]]+Games[[#This Row],[RatingChange]]</f>
        <v>1508.1179357627952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42876</v>
      </c>
      <c r="B32" s="2">
        <v>2017</v>
      </c>
      <c r="C32" s="2">
        <f>COUNTIFS(Games[Team],Games[[#This Row],[Team]],Games[Season],Games[[#This Row],[Season]],Games[Date],"&lt;=" &amp; Games[[#This Row],[Date]])</f>
        <v>3</v>
      </c>
      <c r="D32" s="2" t="s">
        <v>81</v>
      </c>
      <c r="E32" s="2" t="s">
        <v>82</v>
      </c>
      <c r="F32" s="1" t="s">
        <v>65</v>
      </c>
      <c r="G32" s="1" t="s">
        <v>71</v>
      </c>
      <c r="H32" s="1" t="s">
        <v>83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2" s="2">
        <f>Games[[#This Row],[DaysOff]]-Games[[#This Row],[OppDaysOff]]</f>
        <v>-5</v>
      </c>
      <c r="L32" s="2">
        <f>Games[[#This Row],[OppDaysOff]]-Games[[#This Row],[DaysOff]]</f>
        <v>5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1477.1824909778652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1505.0964962327153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0.30397595422478529</v>
      </c>
      <c r="R32" s="1">
        <v>71</v>
      </c>
      <c r="S32" s="1">
        <v>81</v>
      </c>
      <c r="T32" s="1">
        <v>0</v>
      </c>
      <c r="U32" s="1">
        <f>Games[[#This Row],[PointsFor]]-Games[[#This Row],[PointsAgainst]]</f>
        <v>-10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0.41351074833074936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-9.4964328513216678</v>
      </c>
      <c r="AB32" s="4">
        <f>Games[[#This Row],[PreGmRate]]+Games[[#This Row],[RatingChange]]</f>
        <v>1467.6860581265435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42876</v>
      </c>
      <c r="B33" s="2">
        <v>2017</v>
      </c>
      <c r="C33" s="2">
        <f>COUNTIFS(Games[Team],Games[[#This Row],[Team]],Games[Season],Games[[#This Row],[Season]],Games[Date],"&lt;=" &amp; Games[[#This Row],[Date]])</f>
        <v>3</v>
      </c>
      <c r="D33" s="2" t="s">
        <v>81</v>
      </c>
      <c r="E33" s="2" t="s">
        <v>82</v>
      </c>
      <c r="F33" s="1" t="s">
        <v>71</v>
      </c>
      <c r="G33" s="1" t="s">
        <v>65</v>
      </c>
      <c r="H33" s="1" t="s">
        <v>84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5</v>
      </c>
      <c r="L33" s="2">
        <f>Games[[#This Row],[OppDaysOff]]-Games[[#This Row],[DaysOff]]</f>
        <v>-5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1505.0964962327153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1477.1824909778652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0.69602404577521471</v>
      </c>
      <c r="R33" s="1">
        <v>81</v>
      </c>
      <c r="S33" s="1">
        <v>71</v>
      </c>
      <c r="T33" s="1">
        <v>0</v>
      </c>
      <c r="U33" s="1">
        <f>Games[[#This Row],[PointsFor]]-Games[[#This Row],[PointsAgainst]]</f>
        <v>10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0.41351074833074936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9.4964328513216678</v>
      </c>
      <c r="AB33" s="4">
        <f>Games[[#This Row],[PreGmRate]]+Games[[#This Row],[RatingChange]]</f>
        <v>1514.592929084037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42878</v>
      </c>
      <c r="B34" s="2">
        <v>2017</v>
      </c>
      <c r="C34" s="2">
        <f>COUNTIFS(Games[Team],Games[[#This Row],[Team]],Games[Season],Games[[#This Row],[Season]],Games[Date],"&lt;=" &amp; Games[[#This Row],[Date]])</f>
        <v>3</v>
      </c>
      <c r="D34" s="2" t="s">
        <v>81</v>
      </c>
      <c r="E34" s="2" t="s">
        <v>82</v>
      </c>
      <c r="F34" s="1" t="s">
        <v>76</v>
      </c>
      <c r="G34" s="1" t="s">
        <v>67</v>
      </c>
      <c r="H34" s="1" t="s">
        <v>83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1464.6757031176426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1637.0832082906502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0.18603231850661098</v>
      </c>
      <c r="R34" s="1">
        <v>78</v>
      </c>
      <c r="S34" s="1">
        <v>80</v>
      </c>
      <c r="T34" s="1">
        <v>0</v>
      </c>
      <c r="U34" s="1">
        <f>Games[[#This Row],[PointsFor]]-Games[[#This Row],[PointsAgainst]]</f>
        <v>-2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0.23419398666949617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-3.2915359817086913</v>
      </c>
      <c r="AB34" s="4">
        <f>Games[[#This Row],[PreGmRate]]+Games[[#This Row],[RatingChange]]</f>
        <v>1461.3841671359339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42878</v>
      </c>
      <c r="B35" s="2">
        <v>2017</v>
      </c>
      <c r="C35" s="2">
        <f>COUNTIFS(Games[Team],Games[[#This Row],[Team]],Games[Season],Games[[#This Row],[Season]],Games[Date],"&lt;=" &amp; Games[[#This Row],[Date]])</f>
        <v>4</v>
      </c>
      <c r="D35" s="2" t="s">
        <v>81</v>
      </c>
      <c r="E35" s="2" t="s">
        <v>82</v>
      </c>
      <c r="F35" s="1" t="s">
        <v>67</v>
      </c>
      <c r="G35" s="1" t="s">
        <v>76</v>
      </c>
      <c r="H35" s="1" t="s">
        <v>84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1637.0832082906502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1464.6757031176426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0.81396768149338894</v>
      </c>
      <c r="R35" s="1">
        <v>80</v>
      </c>
      <c r="S35" s="1">
        <v>78</v>
      </c>
      <c r="T35" s="1">
        <v>0</v>
      </c>
      <c r="U35" s="1">
        <f>Games[[#This Row],[PointsFor]]-Games[[#This Row],[PointsAgainst]]</f>
        <v>2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0.23419398666949617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3.2850008341606287</v>
      </c>
      <c r="AB35" s="4">
        <f>Games[[#This Row],[PreGmRate]]+Games[[#This Row],[RatingChange]]</f>
        <v>1640.3682091248108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42878</v>
      </c>
      <c r="B36" s="2">
        <v>2017</v>
      </c>
      <c r="C36" s="2">
        <f>COUNTIFS(Games[Team],Games[[#This Row],[Team]],Games[Season],Games[[#This Row],[Season]],Games[Date],"&lt;=" &amp; Games[[#This Row],[Date]])</f>
        <v>3</v>
      </c>
      <c r="D36" s="2" t="s">
        <v>81</v>
      </c>
      <c r="E36" s="2" t="s">
        <v>82</v>
      </c>
      <c r="F36" s="1" t="s">
        <v>60</v>
      </c>
      <c r="G36" s="1" t="s">
        <v>40</v>
      </c>
      <c r="H36" s="1" t="s">
        <v>83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" s="2">
        <f>Games[[#This Row],[DaysOff]]-Games[[#This Row],[OppDaysOff]]</f>
        <v>1</v>
      </c>
      <c r="L36" s="2">
        <f>Games[[#This Row],[OppDaysOff]]-Games[[#This Row],[DaysOff]]</f>
        <v>-1</v>
      </c>
      <c r="M36" s="1">
        <f>MAX(-16, MIN(16, Games[[#This Row],[RestDiff]]*8))</f>
        <v>8</v>
      </c>
      <c r="N36" s="1">
        <f>MAX(-16, MIN(16, Games[[#This Row],[OppRestDiff]]*8))</f>
        <v>-8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1487.5667943136425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1525.1893543143321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0.35251274545685274</v>
      </c>
      <c r="R36" s="1">
        <v>69</v>
      </c>
      <c r="S36" s="1">
        <v>67</v>
      </c>
      <c r="T36" s="1">
        <v>0</v>
      </c>
      <c r="U36" s="1">
        <f>Games[[#This Row],[PointsFor]]-Games[[#This Row],[PointsAgainst]]</f>
        <v>2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0.25969919695987498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12.703877559521349</v>
      </c>
      <c r="AB36" s="4">
        <f>Games[[#This Row],[PreGmRate]]+Games[[#This Row],[RatingChange]]</f>
        <v>1500.2706718731638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42878</v>
      </c>
      <c r="B37" s="2">
        <v>2017</v>
      </c>
      <c r="C37" s="2">
        <f>COUNTIFS(Games[Team],Games[[#This Row],[Team]],Games[Season],Games[[#This Row],[Season]],Games[Date],"&lt;=" &amp; Games[[#This Row],[Date]])</f>
        <v>4</v>
      </c>
      <c r="D37" s="2" t="s">
        <v>81</v>
      </c>
      <c r="E37" s="2" t="s">
        <v>82</v>
      </c>
      <c r="F37" s="1" t="s">
        <v>40</v>
      </c>
      <c r="G37" s="1" t="s">
        <v>60</v>
      </c>
      <c r="H37" s="1" t="s">
        <v>84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" s="2">
        <f>Games[[#This Row],[DaysOff]]-Games[[#This Row],[OppDaysOff]]</f>
        <v>-1</v>
      </c>
      <c r="L37" s="2">
        <f>Games[[#This Row],[OppDaysOff]]-Games[[#This Row],[DaysOff]]</f>
        <v>1</v>
      </c>
      <c r="M37" s="1">
        <f>MAX(-16, MIN(16, Games[[#This Row],[RestDiff]]*8))</f>
        <v>-8</v>
      </c>
      <c r="N37" s="1">
        <f>MAX(-16, MIN(16, Games[[#This Row],[OppRestDiff]]*8))</f>
        <v>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1525.1893543143321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1487.5667943136425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0.64748725454314726</v>
      </c>
      <c r="R37" s="1">
        <v>67</v>
      </c>
      <c r="S37" s="1">
        <v>69</v>
      </c>
      <c r="T37" s="1">
        <v>0</v>
      </c>
      <c r="U37" s="1">
        <f>Games[[#This Row],[PointsFor]]-Games[[#This Row],[PointsAgainst]]</f>
        <v>-2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0.25969919695987498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-12.678654771514358</v>
      </c>
      <c r="AB37" s="4">
        <f>Games[[#This Row],[PreGmRate]]+Games[[#This Row],[RatingChange]]</f>
        <v>1512.5106995428177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42879</v>
      </c>
      <c r="B38" s="2">
        <v>2017</v>
      </c>
      <c r="C38" s="2">
        <f>COUNTIFS(Games[Team],Games[[#This Row],[Team]],Games[Season],Games[[#This Row],[Season]],Games[Date],"&lt;=" &amp; Games[[#This Row],[Date]])</f>
        <v>4</v>
      </c>
      <c r="D38" s="2" t="s">
        <v>81</v>
      </c>
      <c r="E38" s="2" t="s">
        <v>82</v>
      </c>
      <c r="F38" s="1" t="s">
        <v>65</v>
      </c>
      <c r="G38" s="1" t="s">
        <v>77</v>
      </c>
      <c r="H38" s="1" t="s">
        <v>83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1467.6860581265435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1494.7057616554539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0.34545435853691708</v>
      </c>
      <c r="R38" s="1">
        <v>82</v>
      </c>
      <c r="S38" s="1">
        <v>67</v>
      </c>
      <c r="T38" s="1">
        <v>0</v>
      </c>
      <c r="U38" s="1">
        <f>Games[[#This Row],[PointsFor]]-Games[[#This Row],[PointsAgainst]]</f>
        <v>15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0.49177501544521757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24.270445147684104</v>
      </c>
      <c r="AB38" s="4">
        <f>Games[[#This Row],[PreGmRate]]+Games[[#This Row],[RatingChange]]</f>
        <v>1491.9565032742275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42879</v>
      </c>
      <c r="B39" s="2">
        <v>2017</v>
      </c>
      <c r="C39" s="2">
        <f>COUNTIFS(Games[Team],Games[[#This Row],[Team]],Games[Season],Games[[#This Row],[Season]],Games[Date],"&lt;=" &amp; Games[[#This Row],[Date]])</f>
        <v>4</v>
      </c>
      <c r="D39" s="2" t="s">
        <v>81</v>
      </c>
      <c r="E39" s="2" t="s">
        <v>82</v>
      </c>
      <c r="F39" s="1" t="s">
        <v>77</v>
      </c>
      <c r="G39" s="1" t="s">
        <v>65</v>
      </c>
      <c r="H39" s="1" t="s">
        <v>84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1494.7057616554539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1467.6860581265435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0.65454564146308281</v>
      </c>
      <c r="R39" s="1">
        <v>67</v>
      </c>
      <c r="S39" s="1">
        <v>82</v>
      </c>
      <c r="T39" s="1">
        <v>0</v>
      </c>
      <c r="U39" s="1">
        <f>Games[[#This Row],[PointsFor]]-Games[[#This Row],[PointsAgainst]]</f>
        <v>-15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0.49177501544521757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-24.2704451476841</v>
      </c>
      <c r="AB39" s="4">
        <f>Games[[#This Row],[PreGmRate]]+Games[[#This Row],[RatingChange]]</f>
        <v>1470.4353165077698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42879</v>
      </c>
      <c r="B40" s="2">
        <v>2017</v>
      </c>
      <c r="C40" s="2">
        <f>COUNTIFS(Games[Team],Games[[#This Row],[Team]],Games[Season],Games[[#This Row],[Season]],Games[Date],"&lt;=" &amp; Games[[#This Row],[Date]])</f>
        <v>3</v>
      </c>
      <c r="D40" s="2" t="s">
        <v>81</v>
      </c>
      <c r="E40" s="2" t="s">
        <v>82</v>
      </c>
      <c r="F40" s="1" t="s">
        <v>63</v>
      </c>
      <c r="G40" s="1" t="s">
        <v>69</v>
      </c>
      <c r="H40" s="1" t="s">
        <v>83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1599.331758227944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1486.0287669103927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0.56482924776642962</v>
      </c>
      <c r="R40" s="1">
        <v>90</v>
      </c>
      <c r="S40" s="1">
        <v>93</v>
      </c>
      <c r="T40" s="1">
        <v>0</v>
      </c>
      <c r="U40" s="1">
        <f>Games[[#This Row],[PointsFor]]-Games[[#This Row],[PointsAgainst]]</f>
        <v>-3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0.26514842928142807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-11.314639062632567</v>
      </c>
      <c r="AB40" s="4">
        <f>Games[[#This Row],[PreGmRate]]+Games[[#This Row],[RatingChange]]</f>
        <v>1588.0171191653114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42879</v>
      </c>
      <c r="B41" s="2">
        <v>2017</v>
      </c>
      <c r="C41" s="2">
        <f>COUNTIFS(Games[Team],Games[[#This Row],[Team]],Games[Season],Games[[#This Row],[Season]],Games[Date],"&lt;=" &amp; Games[[#This Row],[Date]])</f>
        <v>4</v>
      </c>
      <c r="D41" s="2" t="s">
        <v>81</v>
      </c>
      <c r="E41" s="2" t="s">
        <v>82</v>
      </c>
      <c r="F41" s="1" t="s">
        <v>69</v>
      </c>
      <c r="G41" s="1" t="s">
        <v>63</v>
      </c>
      <c r="H41" s="1" t="s">
        <v>84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1486.0287669103927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1599.331758227944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0.43517075223357038</v>
      </c>
      <c r="R41" s="1">
        <v>93</v>
      </c>
      <c r="S41" s="1">
        <v>90</v>
      </c>
      <c r="T41" s="1">
        <v>0</v>
      </c>
      <c r="U41" s="1">
        <f>Games[[#This Row],[PointsFor]]-Games[[#This Row],[PointsAgainst]]</f>
        <v>3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0.26514842928142807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11.292174524453946</v>
      </c>
      <c r="AB41" s="4">
        <f>Games[[#This Row],[PreGmRate]]+Games[[#This Row],[RatingChange]]</f>
        <v>1497.3209414348466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42880</v>
      </c>
      <c r="B42" s="2">
        <v>2017</v>
      </c>
      <c r="C42" s="2">
        <f>COUNTIFS(Games[Team],Games[[#This Row],[Team]],Games[Season],Games[[#This Row],[Season]],Games[Date],"&lt;=" &amp; Games[[#This Row],[Date]])</f>
        <v>3</v>
      </c>
      <c r="D42" s="2" t="s">
        <v>81</v>
      </c>
      <c r="E42" s="2" t="s">
        <v>82</v>
      </c>
      <c r="F42" s="1" t="s">
        <v>87</v>
      </c>
      <c r="G42" s="1" t="s">
        <v>74</v>
      </c>
      <c r="H42" s="1" t="s">
        <v>83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1444.744473350273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1370.7814604821854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0.46259975147161042</v>
      </c>
      <c r="R42" s="1">
        <v>94</v>
      </c>
      <c r="S42" s="1">
        <v>82</v>
      </c>
      <c r="T42" s="1">
        <v>0</v>
      </c>
      <c r="U42" s="1">
        <f>Games[[#This Row],[PointsFor]]-Games[[#This Row],[PointsAgainst]]</f>
        <v>12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0.42964774185993165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17.443951285929497</v>
      </c>
      <c r="AB42" s="4">
        <f>Games[[#This Row],[PreGmRate]]+Games[[#This Row],[RatingChange]]</f>
        <v>1462.1884246362024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42880</v>
      </c>
      <c r="B43" s="2">
        <v>2017</v>
      </c>
      <c r="C43" s="2">
        <f>COUNTIFS(Games[Team],Games[[#This Row],[Team]],Games[Season],Games[[#This Row],[Season]],Games[Date],"&lt;=" &amp; Games[[#This Row],[Date]])</f>
        <v>4</v>
      </c>
      <c r="D43" s="2" t="s">
        <v>81</v>
      </c>
      <c r="E43" s="2" t="s">
        <v>82</v>
      </c>
      <c r="F43" s="1" t="s">
        <v>74</v>
      </c>
      <c r="G43" s="1" t="s">
        <v>87</v>
      </c>
      <c r="H43" s="1" t="s">
        <v>84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1370.7814604821854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1444.744473350273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0.53740024852838963</v>
      </c>
      <c r="R43" s="1">
        <v>82</v>
      </c>
      <c r="S43" s="1">
        <v>94</v>
      </c>
      <c r="T43" s="1">
        <v>0</v>
      </c>
      <c r="U43" s="1">
        <f>Games[[#This Row],[PointsFor]]-Games[[#This Row],[PointsAgainst]]</f>
        <v>-12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0.42964774185993165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-17.409317365441225</v>
      </c>
      <c r="AB43" s="4">
        <f>Games[[#This Row],[PreGmRate]]+Games[[#This Row],[RatingChange]]</f>
        <v>1353.3721431167442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42881</v>
      </c>
      <c r="B44" s="2">
        <v>2017</v>
      </c>
      <c r="C44" s="2">
        <f>COUNTIFS(Games[Team],Games[[#This Row],[Team]],Games[Season],Games[[#This Row],[Season]],Games[Date],"&lt;=" &amp; Games[[#This Row],[Date]])</f>
        <v>5</v>
      </c>
      <c r="D44" s="2" t="s">
        <v>81</v>
      </c>
      <c r="E44" s="2" t="s">
        <v>82</v>
      </c>
      <c r="F44" s="1" t="s">
        <v>67</v>
      </c>
      <c r="G44" s="1" t="s">
        <v>76</v>
      </c>
      <c r="H44" s="1" t="s">
        <v>83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1640.3682091248108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1461.3841671359339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0.63338636930474679</v>
      </c>
      <c r="R44" s="1">
        <v>82</v>
      </c>
      <c r="S44" s="1">
        <v>68</v>
      </c>
      <c r="T44" s="1">
        <v>0</v>
      </c>
      <c r="U44" s="1">
        <f>Games[[#This Row],[PointsFor]]-Games[[#This Row],[PointsAgainst]]</f>
        <v>14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0.42431943113496978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11.705986863525913</v>
      </c>
      <c r="AB44" s="4">
        <f>Games[[#This Row],[PreGmRate]]+Games[[#This Row],[RatingChange]]</f>
        <v>1652.0741959883367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42881</v>
      </c>
      <c r="B45" s="2">
        <v>2017</v>
      </c>
      <c r="C45" s="2">
        <f>COUNTIFS(Games[Team],Games[[#This Row],[Team]],Games[Season],Games[[#This Row],[Season]],Games[Date],"&lt;=" &amp; Games[[#This Row],[Date]])</f>
        <v>4</v>
      </c>
      <c r="D45" s="2" t="s">
        <v>81</v>
      </c>
      <c r="E45" s="2" t="s">
        <v>82</v>
      </c>
      <c r="F45" s="1" t="s">
        <v>76</v>
      </c>
      <c r="G45" s="1" t="s">
        <v>67</v>
      </c>
      <c r="H45" s="1" t="s">
        <v>84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1461.3841671359339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1640.3682091248108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0.36661363069525316</v>
      </c>
      <c r="R45" s="1">
        <v>68</v>
      </c>
      <c r="S45" s="1">
        <v>82</v>
      </c>
      <c r="T45" s="1">
        <v>0</v>
      </c>
      <c r="U45" s="1">
        <f>Games[[#This Row],[PointsFor]]-Games[[#This Row],[PointsAgainst]]</f>
        <v>-14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0.42431943113496978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-11.729321056609354</v>
      </c>
      <c r="AB45" s="4">
        <f>Games[[#This Row],[PreGmRate]]+Games[[#This Row],[RatingChange]]</f>
        <v>1449.6548460793247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42881</v>
      </c>
      <c r="B46" s="2">
        <v>2017</v>
      </c>
      <c r="C46" s="2">
        <f>COUNTIFS(Games[Team],Games[[#This Row],[Team]],Games[Season],Games[[#This Row],[Season]],Games[Date],"&lt;=" &amp; Games[[#This Row],[Date]])</f>
        <v>4</v>
      </c>
      <c r="D46" s="2" t="s">
        <v>81</v>
      </c>
      <c r="E46" s="2" t="s">
        <v>82</v>
      </c>
      <c r="F46" s="1" t="s">
        <v>60</v>
      </c>
      <c r="G46" s="1" t="s">
        <v>71</v>
      </c>
      <c r="H46" s="1" t="s">
        <v>83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" s="2">
        <f>Games[[#This Row],[DaysOff]]-Games[[#This Row],[OppDaysOff]]</f>
        <v>-2</v>
      </c>
      <c r="L46" s="2">
        <f>Games[[#This Row],[OppDaysOff]]-Games[[#This Row],[DaysOff]]</f>
        <v>2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1500.2706718731638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1514.592929084037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0.32077876553875256</v>
      </c>
      <c r="R46" s="1">
        <v>81</v>
      </c>
      <c r="S46" s="1">
        <v>87</v>
      </c>
      <c r="T46" s="1">
        <v>0</v>
      </c>
      <c r="U46" s="1">
        <f>Games[[#This Row],[PointsFor]]-Games[[#This Row],[PointsAgainst]]</f>
        <v>-6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0.34713759943542566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-8.3961195446712296</v>
      </c>
      <c r="AB46" s="4">
        <f>Games[[#This Row],[PreGmRate]]+Games[[#This Row],[RatingChange]]</f>
        <v>1491.8745523284927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42881</v>
      </c>
      <c r="B47" s="2">
        <v>2017</v>
      </c>
      <c r="C47" s="2">
        <f>COUNTIFS(Games[Team],Games[[#This Row],[Team]],Games[Season],Games[[#This Row],[Season]],Games[Date],"&lt;=" &amp; Games[[#This Row],[Date]])</f>
        <v>4</v>
      </c>
      <c r="D47" s="2" t="s">
        <v>81</v>
      </c>
      <c r="E47" s="2" t="s">
        <v>82</v>
      </c>
      <c r="F47" s="1" t="s">
        <v>71</v>
      </c>
      <c r="G47" s="1" t="s">
        <v>60</v>
      </c>
      <c r="H47" s="1" t="s">
        <v>84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2</v>
      </c>
      <c r="L47" s="2">
        <f>Games[[#This Row],[OppDaysOff]]-Games[[#This Row],[DaysOff]]</f>
        <v>-2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1514.592929084037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1500.2706718731638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0.67922123446124749</v>
      </c>
      <c r="R47" s="1">
        <v>87</v>
      </c>
      <c r="S47" s="1">
        <v>81</v>
      </c>
      <c r="T47" s="1">
        <v>0</v>
      </c>
      <c r="U47" s="1">
        <f>Games[[#This Row],[PointsFor]]-Games[[#This Row],[PointsAgainst]]</f>
        <v>6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0.34713759943542566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8.3961195446712278</v>
      </c>
      <c r="AB47" s="4">
        <f>Games[[#This Row],[PreGmRate]]+Games[[#This Row],[RatingChange]]</f>
        <v>1522.9890486287081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42881</v>
      </c>
      <c r="B48" s="2">
        <v>2017</v>
      </c>
      <c r="C48" s="2">
        <f>COUNTIFS(Games[Team],Games[[#This Row],[Team]],Games[Season],Games[[#This Row],[Season]],Games[Date],"&lt;=" &amp; Games[[#This Row],[Date]])</f>
        <v>5</v>
      </c>
      <c r="D48" s="2" t="s">
        <v>81</v>
      </c>
      <c r="E48" s="2" t="s">
        <v>82</v>
      </c>
      <c r="F48" s="1" t="s">
        <v>77</v>
      </c>
      <c r="G48" s="1" t="s">
        <v>65</v>
      </c>
      <c r="H48" s="1" t="s">
        <v>83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1470.4353165077698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1491.9565032742275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0.35264595103605811</v>
      </c>
      <c r="R48" s="1">
        <v>79</v>
      </c>
      <c r="S48" s="1">
        <v>88</v>
      </c>
      <c r="T48" s="1">
        <v>0</v>
      </c>
      <c r="U48" s="1">
        <f>Games[[#This Row],[PointsFor]]-Games[[#This Row],[PointsAgainst]]</f>
        <v>-9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0.39881897903571323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-10.58330283603423</v>
      </c>
      <c r="AB48" s="4">
        <f>Games[[#This Row],[PreGmRate]]+Games[[#This Row],[RatingChange]]</f>
        <v>1459.8520136717357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42881</v>
      </c>
      <c r="B49" s="2">
        <v>2017</v>
      </c>
      <c r="C49" s="2">
        <f>COUNTIFS(Games[Team],Games[[#This Row],[Team]],Games[Season],Games[[#This Row],[Season]],Games[Date],"&lt;=" &amp; Games[[#This Row],[Date]])</f>
        <v>5</v>
      </c>
      <c r="D49" s="2" t="s">
        <v>81</v>
      </c>
      <c r="E49" s="2" t="s">
        <v>82</v>
      </c>
      <c r="F49" s="1" t="s">
        <v>65</v>
      </c>
      <c r="G49" s="1" t="s">
        <v>77</v>
      </c>
      <c r="H49" s="1" t="s">
        <v>84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1491.9565032742275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1470.4353165077698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0.647354048963942</v>
      </c>
      <c r="R49" s="1">
        <v>88</v>
      </c>
      <c r="S49" s="1">
        <v>79</v>
      </c>
      <c r="T49" s="1">
        <v>0</v>
      </c>
      <c r="U49" s="1">
        <f>Games[[#This Row],[PointsFor]]-Games[[#This Row],[PointsAgainst]]</f>
        <v>9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0.39881897903571323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10.583302836034227</v>
      </c>
      <c r="AB49" s="4">
        <f>Games[[#This Row],[PreGmRate]]+Games[[#This Row],[RatingChange]]</f>
        <v>1502.5398061102617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42882</v>
      </c>
      <c r="B50" s="2">
        <v>2017</v>
      </c>
      <c r="C50" s="2">
        <f>COUNTIFS(Games[Team],Games[[#This Row],[Team]],Games[Season],Games[[#This Row],[Season]],Games[Date],"&lt;=" &amp; Games[[#This Row],[Date]])</f>
        <v>4</v>
      </c>
      <c r="D50" s="2" t="s">
        <v>81</v>
      </c>
      <c r="E50" s="2" t="s">
        <v>82</v>
      </c>
      <c r="F50" s="1" t="s">
        <v>63</v>
      </c>
      <c r="G50" s="1" t="s">
        <v>79</v>
      </c>
      <c r="H50" s="1" t="s">
        <v>83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" s="2">
        <f>Games[[#This Row],[DaysOff]]-Games[[#This Row],[OppDaysOff]]</f>
        <v>-3</v>
      </c>
      <c r="L50" s="2">
        <f>Games[[#This Row],[OppDaysOff]]-Games[[#This Row],[DaysOff]]</f>
        <v>3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1588.0171191653114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1508.1179357627952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0.4482329168660662</v>
      </c>
      <c r="R50" s="1">
        <v>73</v>
      </c>
      <c r="S50" s="1">
        <v>75</v>
      </c>
      <c r="T50" s="1">
        <v>0</v>
      </c>
      <c r="U50" s="1">
        <f>Games[[#This Row],[PointsFor]]-Games[[#This Row],[PointsAgainst]]</f>
        <v>-2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0.25112101729540953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75.400000000000006</v>
      </c>
      <c r="Z50" s="4">
        <f>Games[[#This Row],[K]]*Games[[#This Row],[POMult]]</f>
        <v>75.400000000000006</v>
      </c>
      <c r="AA50" s="4">
        <f>(Games[[#This Row],[Keff]]*Games[[#This Row],[MOVMult]])*(Games[[#This Row],[Result]]-Games[[#This Row],[ExpectedWin%]])</f>
        <v>-8.4870772375796246</v>
      </c>
      <c r="AB50" s="4">
        <f>Games[[#This Row],[PreGmRate]]+Games[[#This Row],[RatingChange]]</f>
        <v>1579.5300419277319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42882</v>
      </c>
      <c r="B51" s="2">
        <v>2017</v>
      </c>
      <c r="C51" s="2">
        <f>COUNTIFS(Games[Team],Games[[#This Row],[Team]],Games[Season],Games[[#This Row],[Season]],Games[Date],"&lt;=" &amp; Games[[#This Row],[Date]])</f>
        <v>4</v>
      </c>
      <c r="D51" s="2" t="s">
        <v>81</v>
      </c>
      <c r="E51" s="2" t="s">
        <v>82</v>
      </c>
      <c r="F51" s="1" t="s">
        <v>79</v>
      </c>
      <c r="G51" s="1" t="s">
        <v>63</v>
      </c>
      <c r="H51" s="1" t="s">
        <v>84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3</v>
      </c>
      <c r="L51" s="2">
        <f>Games[[#This Row],[OppDaysOff]]-Games[[#This Row],[DaysOff]]</f>
        <v>-3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1508.1179357627952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1588.0171191653114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0.55176708313393374</v>
      </c>
      <c r="R51" s="1">
        <v>75</v>
      </c>
      <c r="S51" s="1">
        <v>73</v>
      </c>
      <c r="T51" s="1">
        <v>0</v>
      </c>
      <c r="U51" s="1">
        <f>Games[[#This Row],[PointsFor]]-Games[[#This Row],[PointsAgainst]]</f>
        <v>2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0.25112101729540953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8.4870772375796246</v>
      </c>
      <c r="AB51" s="4">
        <f>Games[[#This Row],[PreGmRate]]+Games[[#This Row],[RatingChange]]</f>
        <v>1516.6050130003748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42882</v>
      </c>
      <c r="B52" s="2">
        <v>2017</v>
      </c>
      <c r="C52" s="2">
        <f>COUNTIFS(Games[Team],Games[[#This Row],[Team]],Games[Season],Games[[#This Row],[Season]],Games[Date],"&lt;=" &amp; Games[[#This Row],[Date]])</f>
        <v>4</v>
      </c>
      <c r="D52" s="2" t="s">
        <v>81</v>
      </c>
      <c r="E52" s="2" t="s">
        <v>82</v>
      </c>
      <c r="F52" s="1" t="s">
        <v>87</v>
      </c>
      <c r="G52" s="1" t="s">
        <v>40</v>
      </c>
      <c r="H52" s="1" t="s">
        <v>83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" s="2">
        <f>Games[[#This Row],[DaysOff]]-Games[[#This Row],[OppDaysOff]]</f>
        <v>-2</v>
      </c>
      <c r="L52" s="2">
        <f>Games[[#This Row],[OppDaysOff]]-Games[[#This Row],[DaysOff]]</f>
        <v>2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1462.1884246362024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1512.5106995428177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0.27739345212277433</v>
      </c>
      <c r="R52" s="1">
        <v>65</v>
      </c>
      <c r="S52" s="1">
        <v>107</v>
      </c>
      <c r="T52" s="1">
        <v>0</v>
      </c>
      <c r="U52" s="1">
        <f>Games[[#This Row],[PointsFor]]-Games[[#This Row],[PointsAgainst]]</f>
        <v>-42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0.80581759584012502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-16.854050761729059</v>
      </c>
      <c r="AB52" s="4">
        <f>Games[[#This Row],[PreGmRate]]+Games[[#This Row],[RatingChange]]</f>
        <v>1445.3343738744734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42882</v>
      </c>
      <c r="B53" s="2">
        <v>2017</v>
      </c>
      <c r="C53" s="2">
        <f>COUNTIFS(Games[Team],Games[[#This Row],[Team]],Games[Season],Games[[#This Row],[Season]],Games[Date],"&lt;=" &amp; Games[[#This Row],[Date]])</f>
        <v>5</v>
      </c>
      <c r="D53" s="2" t="s">
        <v>81</v>
      </c>
      <c r="E53" s="2" t="s">
        <v>82</v>
      </c>
      <c r="F53" s="1" t="s">
        <v>40</v>
      </c>
      <c r="G53" s="1" t="s">
        <v>87</v>
      </c>
      <c r="H53" s="1" t="s">
        <v>84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2</v>
      </c>
      <c r="L53" s="2">
        <f>Games[[#This Row],[OppDaysOff]]-Games[[#This Row],[DaysOff]]</f>
        <v>-2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1512.5106995428177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1462.1884246362024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0.72260654787722578</v>
      </c>
      <c r="R53" s="1">
        <v>107</v>
      </c>
      <c r="S53" s="1">
        <v>65</v>
      </c>
      <c r="T53" s="1">
        <v>0</v>
      </c>
      <c r="U53" s="1">
        <f>Games[[#This Row],[PointsFor]]-Games[[#This Row],[PointsAgainst]]</f>
        <v>42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0.80581759584012502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16.820521483025349</v>
      </c>
      <c r="AB53" s="4">
        <f>Games[[#This Row],[PreGmRate]]+Games[[#This Row],[RatingChange]]</f>
        <v>1529.3312210258432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42883</v>
      </c>
      <c r="B54" s="2">
        <v>2017</v>
      </c>
      <c r="C54" s="2">
        <f>COUNTIFS(Games[Team],Games[[#This Row],[Team]],Games[Season],Games[[#This Row],[Season]],Games[Date],"&lt;=" &amp; Games[[#This Row],[Date]])</f>
        <v>5</v>
      </c>
      <c r="D54" s="2" t="s">
        <v>81</v>
      </c>
      <c r="E54" s="2" t="s">
        <v>82</v>
      </c>
      <c r="F54" s="1" t="s">
        <v>76</v>
      </c>
      <c r="G54" s="1" t="s">
        <v>77</v>
      </c>
      <c r="H54" s="1" t="s">
        <v>83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1449.6548460793247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1459.8520136717357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0.36766607752631292</v>
      </c>
      <c r="R54" s="1">
        <v>97</v>
      </c>
      <c r="S54" s="1">
        <v>79</v>
      </c>
      <c r="T54" s="1">
        <v>0</v>
      </c>
      <c r="U54" s="1">
        <f>Games[[#This Row],[PointsFor]]-Games[[#This Row],[PointsAgainst]]</f>
        <v>18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0.5422262885121798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25.800822710214998</v>
      </c>
      <c r="AB54" s="4">
        <f>Games[[#This Row],[PreGmRate]]+Games[[#This Row],[RatingChange]]</f>
        <v>1475.4556687895397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42883</v>
      </c>
      <c r="B55" s="2">
        <v>2017</v>
      </c>
      <c r="C55" s="2">
        <f>COUNTIFS(Games[Team],Games[[#This Row],[Team]],Games[Season],Games[[#This Row],[Season]],Games[Date],"&lt;=" &amp; Games[[#This Row],[Date]])</f>
        <v>6</v>
      </c>
      <c r="D55" s="2" t="s">
        <v>81</v>
      </c>
      <c r="E55" s="2" t="s">
        <v>82</v>
      </c>
      <c r="F55" s="1" t="s">
        <v>77</v>
      </c>
      <c r="G55" s="1" t="s">
        <v>76</v>
      </c>
      <c r="H55" s="1" t="s">
        <v>84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1459.8520136717357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1449.6548460793247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0.63233392247368714</v>
      </c>
      <c r="R55" s="1">
        <v>79</v>
      </c>
      <c r="S55" s="1">
        <v>97</v>
      </c>
      <c r="T55" s="1">
        <v>0</v>
      </c>
      <c r="U55" s="1">
        <f>Games[[#This Row],[PointsFor]]-Games[[#This Row],[PointsAgainst]]</f>
        <v>-18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0.5422262885121798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-25.74939249883251</v>
      </c>
      <c r="AB55" s="4">
        <f>Games[[#This Row],[PreGmRate]]+Games[[#This Row],[RatingChange]]</f>
        <v>1434.1026211729031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42883</v>
      </c>
      <c r="B56" s="2">
        <v>2017</v>
      </c>
      <c r="C56" s="2">
        <f>COUNTIFS(Games[Team],Games[[#This Row],[Team]],Games[Season],Games[[#This Row],[Season]],Games[Date],"&lt;=" &amp; Games[[#This Row],[Date]])</f>
        <v>5</v>
      </c>
      <c r="D56" s="2" t="s">
        <v>81</v>
      </c>
      <c r="E56" s="2" t="s">
        <v>82</v>
      </c>
      <c r="F56" s="1" t="s">
        <v>74</v>
      </c>
      <c r="G56" s="1" t="s">
        <v>67</v>
      </c>
      <c r="H56" s="1" t="s">
        <v>83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1</v>
      </c>
      <c r="L56" s="2">
        <f>Games[[#This Row],[OppDaysOff]]-Games[[#This Row],[DaysOff]]</f>
        <v>-1</v>
      </c>
      <c r="M56" s="1">
        <f>MAX(-16, MIN(16, Games[[#This Row],[RestDiff]]*8))</f>
        <v>8</v>
      </c>
      <c r="N56" s="1">
        <f>MAX(-16, MIN(16, Games[[#This Row],[OppRestDiff]]*8))</f>
        <v>-8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1353.3721431167442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1652.0741959883367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0.10804125840221351</v>
      </c>
      <c r="R56" s="1">
        <v>66</v>
      </c>
      <c r="S56" s="1">
        <v>80</v>
      </c>
      <c r="T56" s="1">
        <v>0</v>
      </c>
      <c r="U56" s="1">
        <f>Games[[#This Row],[PointsFor]]-Games[[#This Row],[PointsAgainst]]</f>
        <v>-14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0.39042431624069773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-3.1741905664195236</v>
      </c>
      <c r="AB56" s="4">
        <f>Games[[#This Row],[PreGmRate]]+Games[[#This Row],[RatingChange]]</f>
        <v>1350.1979525503245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42883</v>
      </c>
      <c r="B57" s="2">
        <v>2017</v>
      </c>
      <c r="C57" s="2">
        <f>COUNTIFS(Games[Team],Games[[#This Row],[Team]],Games[Season],Games[[#This Row],[Season]],Games[Date],"&lt;=" &amp; Games[[#This Row],[Date]])</f>
        <v>6</v>
      </c>
      <c r="D57" s="2" t="s">
        <v>81</v>
      </c>
      <c r="E57" s="2" t="s">
        <v>82</v>
      </c>
      <c r="F57" s="1" t="s">
        <v>67</v>
      </c>
      <c r="G57" s="1" t="s">
        <v>74</v>
      </c>
      <c r="H57" s="1" t="s">
        <v>84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-1</v>
      </c>
      <c r="L57" s="2">
        <f>Games[[#This Row],[OppDaysOff]]-Games[[#This Row],[DaysOff]]</f>
        <v>1</v>
      </c>
      <c r="M57" s="1">
        <f>MAX(-16, MIN(16, Games[[#This Row],[RestDiff]]*8))</f>
        <v>-8</v>
      </c>
      <c r="N57" s="1">
        <f>MAX(-16, MIN(16, Games[[#This Row],[OppRestDiff]]*8))</f>
        <v>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1652.0741959883367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1353.3721431167442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0.89195874159778643</v>
      </c>
      <c r="R57" s="1">
        <v>80</v>
      </c>
      <c r="S57" s="1">
        <v>66</v>
      </c>
      <c r="T57" s="1">
        <v>0</v>
      </c>
      <c r="U57" s="1">
        <f>Games[[#This Row],[PointsFor]]-Games[[#This Row],[PointsAgainst]]</f>
        <v>14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0.39042431624069773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3.1678632762539047</v>
      </c>
      <c r="AB57" s="4">
        <f>Games[[#This Row],[PreGmRate]]+Games[[#This Row],[RatingChange]]</f>
        <v>1655.2420592645906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42883</v>
      </c>
      <c r="B58" s="2">
        <v>2017</v>
      </c>
      <c r="C58" s="2">
        <f>COUNTIFS(Games[Team],Games[[#This Row],[Team]],Games[Season],Games[[#This Row],[Season]],Games[Date],"&lt;=" &amp; Games[[#This Row],[Date]])</f>
        <v>5</v>
      </c>
      <c r="D58" s="2" t="s">
        <v>81</v>
      </c>
      <c r="E58" s="2" t="s">
        <v>82</v>
      </c>
      <c r="F58" s="1" t="s">
        <v>69</v>
      </c>
      <c r="G58" s="1" t="s">
        <v>71</v>
      </c>
      <c r="H58" s="1" t="s">
        <v>83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2</v>
      </c>
      <c r="L58" s="2">
        <f>Games[[#This Row],[OppDaysOff]]-Games[[#This Row],[DaysOff]]</f>
        <v>-2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1497.3209414348466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1522.9890486287081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0.39005201891372865</v>
      </c>
      <c r="R58" s="1">
        <v>70</v>
      </c>
      <c r="S58" s="1">
        <v>94</v>
      </c>
      <c r="T58" s="1">
        <v>0</v>
      </c>
      <c r="U58" s="1">
        <f>Games[[#This Row],[PointsFor]]-Games[[#This Row],[PointsAgainst]]</f>
        <v>-24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0.61527024560041588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-18.059051960917589</v>
      </c>
      <c r="AB58" s="4">
        <f>Games[[#This Row],[PreGmRate]]+Games[[#This Row],[RatingChange]]</f>
        <v>1479.2618894739292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42883</v>
      </c>
      <c r="B59" s="2">
        <v>2017</v>
      </c>
      <c r="C59" s="2">
        <f>COUNTIFS(Games[Team],Games[[#This Row],[Team]],Games[Season],Games[[#This Row],[Season]],Games[Date],"&lt;=" &amp; Games[[#This Row],[Date]])</f>
        <v>5</v>
      </c>
      <c r="D59" s="2" t="s">
        <v>81</v>
      </c>
      <c r="E59" s="2" t="s">
        <v>82</v>
      </c>
      <c r="F59" s="1" t="s">
        <v>71</v>
      </c>
      <c r="G59" s="1" t="s">
        <v>69</v>
      </c>
      <c r="H59" s="1" t="s">
        <v>84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9" s="2">
        <f>Games[[#This Row],[DaysOff]]-Games[[#This Row],[OppDaysOff]]</f>
        <v>-2</v>
      </c>
      <c r="L59" s="2">
        <f>Games[[#This Row],[OppDaysOff]]-Games[[#This Row],[DaysOff]]</f>
        <v>2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1522.9890486287081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1497.3209414348466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0.60994798108627135</v>
      </c>
      <c r="R59" s="1">
        <v>94</v>
      </c>
      <c r="S59" s="1">
        <v>70</v>
      </c>
      <c r="T59" s="1">
        <v>0</v>
      </c>
      <c r="U59" s="1">
        <f>Games[[#This Row],[PointsFor]]-Games[[#This Row],[PointsAgainst]]</f>
        <v>24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0.61527024560041588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18.059051960917589</v>
      </c>
      <c r="AB59" s="4">
        <f>Games[[#This Row],[PreGmRate]]+Games[[#This Row],[RatingChange]]</f>
        <v>1541.0481005896256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42885</v>
      </c>
      <c r="B60" s="2">
        <v>2017</v>
      </c>
      <c r="C60" s="2">
        <f>COUNTIFS(Games[Team],Games[[#This Row],[Team]],Games[Season],Games[[#This Row],[Season]],Games[Date],"&lt;=" &amp; Games[[#This Row],[Date]])</f>
        <v>6</v>
      </c>
      <c r="D60" s="2" t="s">
        <v>81</v>
      </c>
      <c r="E60" s="2" t="s">
        <v>82</v>
      </c>
      <c r="F60" s="1" t="s">
        <v>69</v>
      </c>
      <c r="G60" s="1" t="s">
        <v>87</v>
      </c>
      <c r="H60" s="1" t="s">
        <v>83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" s="2">
        <f>Games[[#This Row],[DaysOff]]-Games[[#This Row],[OppDaysOff]]</f>
        <v>-1</v>
      </c>
      <c r="L60" s="2">
        <f>Games[[#This Row],[OppDaysOff]]-Games[[#This Row],[DaysOff]]</f>
        <v>1</v>
      </c>
      <c r="M60" s="1">
        <f>MAX(-16, MIN(16, Games[[#This Row],[RestDiff]]*8))</f>
        <v>-8</v>
      </c>
      <c r="N60" s="1">
        <f>MAX(-16, MIN(16, Games[[#This Row],[OppRestDiff]]*8))</f>
        <v>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1479.2618894739292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1445.3343738744734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0.40604398078740295</v>
      </c>
      <c r="R60" s="1">
        <v>62</v>
      </c>
      <c r="S60" s="1">
        <v>89</v>
      </c>
      <c r="T60" s="1">
        <v>0</v>
      </c>
      <c r="U60" s="1">
        <f>Games[[#This Row],[PointsFor]]-Games[[#This Row],[PointsAgainst]]</f>
        <v>-27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0.6483363000551543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-19.77030421746916</v>
      </c>
      <c r="AB60" s="4">
        <f>Games[[#This Row],[PreGmRate]]+Games[[#This Row],[RatingChange]]</f>
        <v>1459.49158525646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42885</v>
      </c>
      <c r="B61" s="2">
        <v>2017</v>
      </c>
      <c r="C61" s="2">
        <f>COUNTIFS(Games[Team],Games[[#This Row],[Team]],Games[Season],Games[[#This Row],[Season]],Games[Date],"&lt;=" &amp; Games[[#This Row],[Date]])</f>
        <v>5</v>
      </c>
      <c r="D61" s="2" t="s">
        <v>81</v>
      </c>
      <c r="E61" s="2" t="s">
        <v>82</v>
      </c>
      <c r="F61" s="1" t="s">
        <v>87</v>
      </c>
      <c r="G61" s="1" t="s">
        <v>69</v>
      </c>
      <c r="H61" s="1" t="s">
        <v>84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1</v>
      </c>
      <c r="L61" s="2">
        <f>Games[[#This Row],[OppDaysOff]]-Games[[#This Row],[DaysOff]]</f>
        <v>-1</v>
      </c>
      <c r="M61" s="1">
        <f>MAX(-16, MIN(16, Games[[#This Row],[RestDiff]]*8))</f>
        <v>8</v>
      </c>
      <c r="N61" s="1">
        <f>MAX(-16, MIN(16, Games[[#This Row],[OppRestDiff]]*8))</f>
        <v>-8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1445.3343738744734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1479.2618894739292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0.593956019212597</v>
      </c>
      <c r="R61" s="1">
        <v>89</v>
      </c>
      <c r="S61" s="1">
        <v>62</v>
      </c>
      <c r="T61" s="1">
        <v>0</v>
      </c>
      <c r="U61" s="1">
        <f>Games[[#This Row],[PointsFor]]-Games[[#This Row],[PointsAgainst]]</f>
        <v>27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0.6483363000551543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19.809792175293669</v>
      </c>
      <c r="AB61" s="4">
        <f>Games[[#This Row],[PreGmRate]]+Games[[#This Row],[RatingChange]]</f>
        <v>1465.1441660497671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42885</v>
      </c>
      <c r="B62" s="2">
        <v>2017</v>
      </c>
      <c r="C62" s="2">
        <f>COUNTIFS(Games[Team],Games[[#This Row],[Team]],Games[Season],Games[[#This Row],[Season]],Games[Date],"&lt;=" &amp; Games[[#This Row],[Date]])</f>
        <v>5</v>
      </c>
      <c r="D62" s="2" t="s">
        <v>81</v>
      </c>
      <c r="E62" s="2" t="s">
        <v>82</v>
      </c>
      <c r="F62" s="1" t="s">
        <v>63</v>
      </c>
      <c r="G62" s="1" t="s">
        <v>60</v>
      </c>
      <c r="H62" s="1" t="s">
        <v>83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2" s="2">
        <f>Games[[#This Row],[DaysOff]]-Games[[#This Row],[OppDaysOff]]</f>
        <v>-1</v>
      </c>
      <c r="L62" s="2">
        <f>Games[[#This Row],[OppDaysOff]]-Games[[#This Row],[DaysOff]]</f>
        <v>1</v>
      </c>
      <c r="M62" s="1">
        <f>MAX(-16, MIN(16, Games[[#This Row],[RestDiff]]*8))</f>
        <v>-8</v>
      </c>
      <c r="N62" s="1">
        <f>MAX(-16, MIN(16, Games[[#This Row],[OppRestDiff]]*8))</f>
        <v>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1579.5300419277319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1491.8745523284927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0.48224229333308571</v>
      </c>
      <c r="R62" s="1">
        <v>90</v>
      </c>
      <c r="S62" s="1">
        <v>75</v>
      </c>
      <c r="T62" s="1">
        <v>0</v>
      </c>
      <c r="U62" s="1">
        <f>Games[[#This Row],[PointsFor]]-Games[[#This Row],[PointsAgainst]]</f>
        <v>15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0.4686172959525996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18.257923788379369</v>
      </c>
      <c r="AB62" s="4">
        <f>Games[[#This Row],[PreGmRate]]+Games[[#This Row],[RatingChange]]</f>
        <v>1597.7879657161113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42885</v>
      </c>
      <c r="B63" s="2">
        <v>2017</v>
      </c>
      <c r="C63" s="2">
        <f>COUNTIFS(Games[Team],Games[[#This Row],[Team]],Games[Season],Games[[#This Row],[Season]],Games[Date],"&lt;=" &amp; Games[[#This Row],[Date]])</f>
        <v>5</v>
      </c>
      <c r="D63" s="2" t="s">
        <v>81</v>
      </c>
      <c r="E63" s="2" t="s">
        <v>82</v>
      </c>
      <c r="F63" s="1" t="s">
        <v>60</v>
      </c>
      <c r="G63" s="1" t="s">
        <v>63</v>
      </c>
      <c r="H63" s="1" t="s">
        <v>84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1</v>
      </c>
      <c r="L63" s="2">
        <f>Games[[#This Row],[OppDaysOff]]-Games[[#This Row],[DaysOff]]</f>
        <v>-1</v>
      </c>
      <c r="M63" s="1">
        <f>MAX(-16, MIN(16, Games[[#This Row],[RestDiff]]*8))</f>
        <v>8</v>
      </c>
      <c r="N63" s="1">
        <f>MAX(-16, MIN(16, Games[[#This Row],[OppRestDiff]]*8))</f>
        <v>-8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1491.8745523284927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1579.5300419277319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0.51775770666691434</v>
      </c>
      <c r="R63" s="1">
        <v>75</v>
      </c>
      <c r="S63" s="1">
        <v>90</v>
      </c>
      <c r="T63" s="1">
        <v>0</v>
      </c>
      <c r="U63" s="1">
        <f>Games[[#This Row],[PointsFor]]-Games[[#This Row],[PointsAgainst]]</f>
        <v>-15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0.4686172959525996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-18.257923788379369</v>
      </c>
      <c r="AB63" s="4">
        <f>Games[[#This Row],[PreGmRate]]+Games[[#This Row],[RatingChange]]</f>
        <v>1473.6166285401132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42886</v>
      </c>
      <c r="B64" s="2">
        <v>2017</v>
      </c>
      <c r="C64" s="2">
        <f>COUNTIFS(Games[Team],Games[[#This Row],[Team]],Games[Season],Games[[#This Row],[Season]],Games[Date],"&lt;=" &amp; Games[[#This Row],[Date]])</f>
        <v>6</v>
      </c>
      <c r="D64" s="2" t="s">
        <v>81</v>
      </c>
      <c r="E64" s="2" t="s">
        <v>82</v>
      </c>
      <c r="F64" s="1" t="s">
        <v>74</v>
      </c>
      <c r="G64" s="1" t="s">
        <v>79</v>
      </c>
      <c r="H64" s="1" t="s">
        <v>83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4" s="2">
        <f>Games[[#This Row],[DaysOff]]-Games[[#This Row],[OppDaysOff]]</f>
        <v>-1</v>
      </c>
      <c r="L64" s="2">
        <f>Games[[#This Row],[OppDaysOff]]-Games[[#This Row],[DaysOff]]</f>
        <v>1</v>
      </c>
      <c r="M64" s="1">
        <f>MAX(-16, MIN(16, Games[[#This Row],[RestDiff]]*8))</f>
        <v>-8</v>
      </c>
      <c r="N64" s="1">
        <f>MAX(-16, MIN(16, Games[[#This Row],[OppRestDiff]]*8))</f>
        <v>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1350.1979525503245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1516.6050130003748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0.17747307430601431</v>
      </c>
      <c r="R64" s="1">
        <v>70</v>
      </c>
      <c r="S64" s="1">
        <v>77</v>
      </c>
      <c r="T64" s="1">
        <v>0</v>
      </c>
      <c r="U64" s="1">
        <f>Games[[#This Row],[PointsFor]]-Games[[#This Row],[PointsAgainst]]</f>
        <v>-7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0.32503389351508655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-4.332125801616785</v>
      </c>
      <c r="AB64" s="4">
        <f>Games[[#This Row],[PreGmRate]]+Games[[#This Row],[RatingChange]]</f>
        <v>1345.8658267487078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42886</v>
      </c>
      <c r="B65" s="2">
        <v>2017</v>
      </c>
      <c r="C65" s="2">
        <f>COUNTIFS(Games[Team],Games[[#This Row],[Team]],Games[Season],Games[[#This Row],[Season]],Games[Date],"&lt;=" &amp; Games[[#This Row],[Date]])</f>
        <v>5</v>
      </c>
      <c r="D65" s="2" t="s">
        <v>81</v>
      </c>
      <c r="E65" s="2" t="s">
        <v>82</v>
      </c>
      <c r="F65" s="1" t="s">
        <v>79</v>
      </c>
      <c r="G65" s="1" t="s">
        <v>74</v>
      </c>
      <c r="H65" s="1" t="s">
        <v>84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1</v>
      </c>
      <c r="L65" s="2">
        <f>Games[[#This Row],[OppDaysOff]]-Games[[#This Row],[DaysOff]]</f>
        <v>-1</v>
      </c>
      <c r="M65" s="1">
        <f>MAX(-16, MIN(16, Games[[#This Row],[RestDiff]]*8))</f>
        <v>8</v>
      </c>
      <c r="N65" s="1">
        <f>MAX(-16, MIN(16, Games[[#This Row],[OppRestDiff]]*8))</f>
        <v>-8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1516.6050130003748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1350.1979525503245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0.82252692569398567</v>
      </c>
      <c r="R65" s="1">
        <v>77</v>
      </c>
      <c r="S65" s="1">
        <v>70</v>
      </c>
      <c r="T65" s="1">
        <v>0</v>
      </c>
      <c r="U65" s="1">
        <f>Games[[#This Row],[PointsFor]]-Games[[#This Row],[PointsAgainst]]</f>
        <v>7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0.32503389351508655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4.3407785162671519</v>
      </c>
      <c r="AB65" s="4">
        <f>Games[[#This Row],[PreGmRate]]+Games[[#This Row],[RatingChange]]</f>
        <v>1520.945791516642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42886</v>
      </c>
      <c r="B66" s="2">
        <v>2017</v>
      </c>
      <c r="C66" s="2">
        <f>COUNTIFS(Games[Team],Games[[#This Row],[Team]],Games[Season],Games[[#This Row],[Season]],Games[Date],"&lt;=" &amp; Games[[#This Row],[Date]])</f>
        <v>6</v>
      </c>
      <c r="D66" s="2" t="s">
        <v>81</v>
      </c>
      <c r="E66" s="2" t="s">
        <v>82</v>
      </c>
      <c r="F66" s="1" t="s">
        <v>76</v>
      </c>
      <c r="G66" s="1" t="s">
        <v>65</v>
      </c>
      <c r="H66" s="1" t="s">
        <v>83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6" s="2">
        <f>Games[[#This Row],[DaysOff]]-Games[[#This Row],[OppDaysOff]]</f>
        <v>-2</v>
      </c>
      <c r="L66" s="2">
        <f>Games[[#This Row],[OppDaysOff]]-Games[[#This Row],[DaysOff]]</f>
        <v>2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1475.4556687895397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1502.5398061102617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0.30498761335252872</v>
      </c>
      <c r="R66" s="1">
        <v>76</v>
      </c>
      <c r="S66" s="1">
        <v>78</v>
      </c>
      <c r="T66" s="1">
        <v>0</v>
      </c>
      <c r="U66" s="1">
        <f>Games[[#This Row],[PointsFor]]-Games[[#This Row],[PointsAgainst]]</f>
        <v>-2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0.26192954109356009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-5.9993834469090634</v>
      </c>
      <c r="AB66" s="4">
        <f>Games[[#This Row],[PreGmRate]]+Games[[#This Row],[RatingChange]]</f>
        <v>1469.4562853426307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42886</v>
      </c>
      <c r="B67" s="2">
        <v>2017</v>
      </c>
      <c r="C67" s="2">
        <f>COUNTIFS(Games[Team],Games[[#This Row],[Team]],Games[Season],Games[[#This Row],[Season]],Games[Date],"&lt;=" &amp; Games[[#This Row],[Date]])</f>
        <v>6</v>
      </c>
      <c r="D67" s="2" t="s">
        <v>81</v>
      </c>
      <c r="E67" s="2" t="s">
        <v>82</v>
      </c>
      <c r="F67" s="1" t="s">
        <v>65</v>
      </c>
      <c r="G67" s="1" t="s">
        <v>76</v>
      </c>
      <c r="H67" s="1" t="s">
        <v>84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2</v>
      </c>
      <c r="L67" s="2">
        <f>Games[[#This Row],[OppDaysOff]]-Games[[#This Row],[DaysOff]]</f>
        <v>-2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1502.5398061102617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1475.4556687895397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0.69501238664747123</v>
      </c>
      <c r="R67" s="1">
        <v>78</v>
      </c>
      <c r="S67" s="1">
        <v>76</v>
      </c>
      <c r="T67" s="1">
        <v>0</v>
      </c>
      <c r="U67" s="1">
        <f>Games[[#This Row],[PointsFor]]-Games[[#This Row],[PointsAgainst]]</f>
        <v>2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0.26192954109356009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5.9993834469090643</v>
      </c>
      <c r="AB67" s="4">
        <f>Games[[#This Row],[PreGmRate]]+Games[[#This Row],[RatingChange]]</f>
        <v>1508.5391895571706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42887</v>
      </c>
      <c r="B68" s="2">
        <v>2017</v>
      </c>
      <c r="C68" s="2">
        <f>COUNTIFS(Games[Team],Games[[#This Row],[Team]],Games[Season],Games[[#This Row],[Season]],Games[Date],"&lt;=" &amp; Games[[#This Row],[Date]])</f>
        <v>6</v>
      </c>
      <c r="D68" s="2" t="s">
        <v>81</v>
      </c>
      <c r="E68" s="2" t="s">
        <v>82</v>
      </c>
      <c r="F68" s="1" t="s">
        <v>40</v>
      </c>
      <c r="G68" s="1" t="s">
        <v>77</v>
      </c>
      <c r="H68" s="1" t="s">
        <v>83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1529.3312210258432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1434.1026211729031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0.5391050781457748</v>
      </c>
      <c r="R68" s="1">
        <v>99</v>
      </c>
      <c r="S68" s="1">
        <v>91</v>
      </c>
      <c r="T68" s="1">
        <v>0</v>
      </c>
      <c r="U68" s="1">
        <f>Games[[#This Row],[PointsFor]]-Games[[#This Row],[PointsAgainst]]</f>
        <v>8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0.35976555957497669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12.452640371907901</v>
      </c>
      <c r="AB68" s="4">
        <f>Games[[#This Row],[PreGmRate]]+Games[[#This Row],[RatingChange]]</f>
        <v>1541.783861397751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42887</v>
      </c>
      <c r="B69" s="2">
        <v>2017</v>
      </c>
      <c r="C69" s="2">
        <f>COUNTIFS(Games[Team],Games[[#This Row],[Team]],Games[Season],Games[[#This Row],[Season]],Games[Date],"&lt;=" &amp; Games[[#This Row],[Date]])</f>
        <v>7</v>
      </c>
      <c r="D69" s="2" t="s">
        <v>81</v>
      </c>
      <c r="E69" s="2" t="s">
        <v>82</v>
      </c>
      <c r="F69" s="1" t="s">
        <v>77</v>
      </c>
      <c r="G69" s="1" t="s">
        <v>40</v>
      </c>
      <c r="H69" s="1" t="s">
        <v>84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1434.1026211729031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1529.3312210258432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0.4608949218542252</v>
      </c>
      <c r="R69" s="1">
        <v>91</v>
      </c>
      <c r="S69" s="1">
        <v>99</v>
      </c>
      <c r="T69" s="1">
        <v>0</v>
      </c>
      <c r="U69" s="1">
        <f>Games[[#This Row],[PointsFor]]-Games[[#This Row],[PointsAgainst]]</f>
        <v>-8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0.35976555957497669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-12.427768253987979</v>
      </c>
      <c r="AB69" s="4">
        <f>Games[[#This Row],[PreGmRate]]+Games[[#This Row],[RatingChange]]</f>
        <v>1421.6748529189151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42888</v>
      </c>
      <c r="B70" s="2">
        <v>2017</v>
      </c>
      <c r="C70" s="2">
        <f>COUNTIFS(Games[Team],Games[[#This Row],[Team]],Games[Season],Games[[#This Row],[Season]],Games[Date],"&lt;=" &amp; Games[[#This Row],[Date]])</f>
        <v>6</v>
      </c>
      <c r="D70" s="2" t="s">
        <v>81</v>
      </c>
      <c r="E70" s="2" t="s">
        <v>82</v>
      </c>
      <c r="F70" s="1" t="s">
        <v>87</v>
      </c>
      <c r="G70" s="1" t="s">
        <v>60</v>
      </c>
      <c r="H70" s="1" t="s">
        <v>83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1465.1441660497671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1473.6166285401132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0.36997727994710844</v>
      </c>
      <c r="R70" s="1">
        <v>89</v>
      </c>
      <c r="S70" s="1">
        <v>93</v>
      </c>
      <c r="T70" s="1">
        <v>0</v>
      </c>
      <c r="U70" s="1">
        <f>Games[[#This Row],[PointsFor]]-Games[[#This Row],[PointsAgainst]]</f>
        <v>-4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0.30924931554875268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-8.5925830664766636</v>
      </c>
      <c r="AB70" s="4">
        <f>Games[[#This Row],[PreGmRate]]+Games[[#This Row],[RatingChange]]</f>
        <v>1456.5515829832905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42888</v>
      </c>
      <c r="B71" s="2">
        <v>2017</v>
      </c>
      <c r="C71" s="2">
        <f>COUNTIFS(Games[Team],Games[[#This Row],[Team]],Games[Season],Games[[#This Row],[Season]],Games[Date],"&lt;=" &amp; Games[[#This Row],[Date]])</f>
        <v>6</v>
      </c>
      <c r="D71" s="2" t="s">
        <v>81</v>
      </c>
      <c r="E71" s="2" t="s">
        <v>82</v>
      </c>
      <c r="F71" s="1" t="s">
        <v>60</v>
      </c>
      <c r="G71" s="1" t="s">
        <v>87</v>
      </c>
      <c r="H71" s="1" t="s">
        <v>84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1473.6166285401132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1465.1441660497671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0.63002272005289162</v>
      </c>
      <c r="R71" s="1">
        <v>93</v>
      </c>
      <c r="S71" s="1">
        <v>89</v>
      </c>
      <c r="T71" s="1">
        <v>0</v>
      </c>
      <c r="U71" s="1">
        <f>Games[[#This Row],[PointsFor]]-Games[[#This Row],[PointsAgainst]]</f>
        <v>4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0.30924931554875268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8.5925830664766618</v>
      </c>
      <c r="AB71" s="4">
        <f>Games[[#This Row],[PreGmRate]]+Games[[#This Row],[RatingChange]]</f>
        <v>1482.2092116065899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42889</v>
      </c>
      <c r="B72" s="2">
        <v>2017</v>
      </c>
      <c r="C72" s="2">
        <f>COUNTIFS(Games[Team],Games[[#This Row],[Team]],Games[Season],Games[[#This Row],[Season]],Games[Date],"&lt;=" &amp; Games[[#This Row],[Date]])</f>
        <v>7</v>
      </c>
      <c r="D72" s="2" t="s">
        <v>81</v>
      </c>
      <c r="E72" s="2" t="s">
        <v>82</v>
      </c>
      <c r="F72" s="1" t="s">
        <v>87</v>
      </c>
      <c r="G72" s="1" t="s">
        <v>69</v>
      </c>
      <c r="H72" s="1" t="s">
        <v>83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2" s="2">
        <f>Games[[#This Row],[DaysOff]]-Games[[#This Row],[OppDaysOff]]</f>
        <v>-3</v>
      </c>
      <c r="L72" s="2">
        <f>Games[[#This Row],[OppDaysOff]]-Games[[#This Row],[DaysOff]]</f>
        <v>3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1456.5515829832905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1459.49158525646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0.33521898285022667</v>
      </c>
      <c r="R72" s="1">
        <v>85</v>
      </c>
      <c r="S72" s="1">
        <v>91</v>
      </c>
      <c r="T72" s="1">
        <v>0</v>
      </c>
      <c r="U72" s="1">
        <f>Games[[#This Row],[PointsFor]]-Games[[#This Row],[PointsAgainst]]</f>
        <v>-6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0.35042222597354888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-8.8042402528144521</v>
      </c>
      <c r="AB72" s="4">
        <f>Games[[#This Row],[PreGmRate]]+Games[[#This Row],[RatingChange]]</f>
        <v>1447.747342730476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42889</v>
      </c>
      <c r="B73" s="2">
        <v>2017</v>
      </c>
      <c r="C73" s="2">
        <f>COUNTIFS(Games[Team],Games[[#This Row],[Team]],Games[Season],Games[[#This Row],[Season]],Games[Date],"&lt;=" &amp; Games[[#This Row],[Date]])</f>
        <v>7</v>
      </c>
      <c r="D73" s="2" t="s">
        <v>81</v>
      </c>
      <c r="E73" s="2" t="s">
        <v>82</v>
      </c>
      <c r="F73" s="1" t="s">
        <v>69</v>
      </c>
      <c r="G73" s="1" t="s">
        <v>87</v>
      </c>
      <c r="H73" s="1" t="s">
        <v>84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3" s="2">
        <f>Games[[#This Row],[DaysOff]]-Games[[#This Row],[OppDaysOff]]</f>
        <v>3</v>
      </c>
      <c r="L73" s="2">
        <f>Games[[#This Row],[OppDaysOff]]-Games[[#This Row],[DaysOff]]</f>
        <v>-3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1459.49158525646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1456.5515829832905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0.66478101714977333</v>
      </c>
      <c r="R73" s="1">
        <v>91</v>
      </c>
      <c r="S73" s="1">
        <v>85</v>
      </c>
      <c r="T73" s="1">
        <v>0</v>
      </c>
      <c r="U73" s="1">
        <f>Games[[#This Row],[PointsFor]]-Games[[#This Row],[PointsAgainst]]</f>
        <v>6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0.35042222597354888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8.8042402528144521</v>
      </c>
      <c r="AB73" s="4">
        <f>Games[[#This Row],[PreGmRate]]+Games[[#This Row],[RatingChange]]</f>
        <v>1468.2958255092744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42889</v>
      </c>
      <c r="B74" s="2">
        <v>2017</v>
      </c>
      <c r="C74" s="2">
        <f>COUNTIFS(Games[Team],Games[[#This Row],[Team]],Games[Season],Games[[#This Row],[Season]],Games[Date],"&lt;=" &amp; Games[[#This Row],[Date]])</f>
        <v>7</v>
      </c>
      <c r="D74" s="2" t="s">
        <v>81</v>
      </c>
      <c r="E74" s="2" t="s">
        <v>82</v>
      </c>
      <c r="F74" s="1" t="s">
        <v>76</v>
      </c>
      <c r="G74" s="1" t="s">
        <v>74</v>
      </c>
      <c r="H74" s="1" t="s">
        <v>83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1469.4562853426307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1345.8658267487078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0.55672992150651246</v>
      </c>
      <c r="R74" s="1">
        <v>85</v>
      </c>
      <c r="S74" s="1">
        <v>77</v>
      </c>
      <c r="T74" s="1">
        <v>0</v>
      </c>
      <c r="U74" s="1">
        <f>Games[[#This Row],[PointsFor]]-Games[[#This Row],[PointsAgainst]]</f>
        <v>8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0.35205651338604027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11.696406068291884</v>
      </c>
      <c r="AB74" s="4">
        <f>Games[[#This Row],[PreGmRate]]+Games[[#This Row],[RatingChange]]</f>
        <v>1481.1526914109227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42889</v>
      </c>
      <c r="B75" s="2">
        <v>2017</v>
      </c>
      <c r="C75" s="2">
        <f>COUNTIFS(Games[Team],Games[[#This Row],[Team]],Games[Season],Games[[#This Row],[Season]],Games[Date],"&lt;=" &amp; Games[[#This Row],[Date]])</f>
        <v>7</v>
      </c>
      <c r="D75" s="2" t="s">
        <v>81</v>
      </c>
      <c r="E75" s="2" t="s">
        <v>82</v>
      </c>
      <c r="F75" s="1" t="s">
        <v>74</v>
      </c>
      <c r="G75" s="1" t="s">
        <v>76</v>
      </c>
      <c r="H75" s="1" t="s">
        <v>84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1345.8658267487078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1469.4562853426307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0.44327007849348748</v>
      </c>
      <c r="R75" s="1">
        <v>77</v>
      </c>
      <c r="S75" s="1">
        <v>85</v>
      </c>
      <c r="T75" s="1">
        <v>0</v>
      </c>
      <c r="U75" s="1">
        <f>Games[[#This Row],[PointsFor]]-Games[[#This Row],[PointsAgainst]]</f>
        <v>-8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0.35205651338604027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-11.696406068291882</v>
      </c>
      <c r="AB75" s="4">
        <f>Games[[#This Row],[PreGmRate]]+Games[[#This Row],[RatingChange]]</f>
        <v>1334.1694206804159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42889</v>
      </c>
      <c r="B76" s="2">
        <v>2017</v>
      </c>
      <c r="C76" s="2">
        <f>COUNTIFS(Games[Team],Games[[#This Row],[Team]],Games[Season],Games[[#This Row],[Season]],Games[Date],"&lt;=" &amp; Games[[#This Row],[Date]])</f>
        <v>7</v>
      </c>
      <c r="D76" s="2" t="s">
        <v>81</v>
      </c>
      <c r="E76" s="2" t="s">
        <v>82</v>
      </c>
      <c r="F76" s="1" t="s">
        <v>67</v>
      </c>
      <c r="G76" s="1" t="s">
        <v>71</v>
      </c>
      <c r="H76" s="1" t="s">
        <v>83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1655.2420592645906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1541.0481005896256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0.54334353681551761</v>
      </c>
      <c r="R76" s="1">
        <v>100</v>
      </c>
      <c r="S76" s="1">
        <v>77</v>
      </c>
      <c r="T76" s="1">
        <v>0</v>
      </c>
      <c r="U76" s="1">
        <f>Games[[#This Row],[PointsFor]]-Games[[#This Row],[PointsAgainst]]</f>
        <v>23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0.56186936349853456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19.230766659206434</v>
      </c>
      <c r="AB76" s="4">
        <f>Games[[#This Row],[PreGmRate]]+Games[[#This Row],[RatingChange]]</f>
        <v>1674.472825923797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42889</v>
      </c>
      <c r="B77" s="2">
        <v>2017</v>
      </c>
      <c r="C77" s="2">
        <f>COUNTIFS(Games[Team],Games[[#This Row],[Team]],Games[Season],Games[[#This Row],[Season]],Games[Date],"&lt;=" &amp; Games[[#This Row],[Date]])</f>
        <v>6</v>
      </c>
      <c r="D77" s="2" t="s">
        <v>81</v>
      </c>
      <c r="E77" s="2" t="s">
        <v>82</v>
      </c>
      <c r="F77" s="1" t="s">
        <v>71</v>
      </c>
      <c r="G77" s="1" t="s">
        <v>67</v>
      </c>
      <c r="H77" s="1" t="s">
        <v>84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5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1541.0481005896256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1655.2420592645906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0.45665646318448228</v>
      </c>
      <c r="R77" s="1">
        <v>77</v>
      </c>
      <c r="S77" s="1">
        <v>100</v>
      </c>
      <c r="T77" s="1">
        <v>0</v>
      </c>
      <c r="U77" s="1">
        <f>Games[[#This Row],[PointsFor]]-Games[[#This Row],[PointsAgainst]]</f>
        <v>-23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0.56186936349853456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-19.269253850652472</v>
      </c>
      <c r="AB77" s="4">
        <f>Games[[#This Row],[PreGmRate]]+Games[[#This Row],[RatingChange]]</f>
        <v>1521.7788467389732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42890</v>
      </c>
      <c r="B78" s="2">
        <v>2017</v>
      </c>
      <c r="C78" s="2">
        <f>COUNTIFS(Games[Team],Games[[#This Row],[Team]],Games[Season],Games[[#This Row],[Season]],Games[Date],"&lt;=" &amp; Games[[#This Row],[Date]])</f>
        <v>7</v>
      </c>
      <c r="D78" s="2" t="s">
        <v>81</v>
      </c>
      <c r="E78" s="2" t="s">
        <v>82</v>
      </c>
      <c r="F78" s="1" t="s">
        <v>40</v>
      </c>
      <c r="G78" s="1" t="s">
        <v>60</v>
      </c>
      <c r="H78" s="1" t="s">
        <v>83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1</v>
      </c>
      <c r="L78" s="2">
        <f>Games[[#This Row],[OppDaysOff]]-Games[[#This Row],[DaysOff]]</f>
        <v>-1</v>
      </c>
      <c r="M78" s="1">
        <f>MAX(-16, MIN(16, Games[[#This Row],[RestDiff]]*8))</f>
        <v>8</v>
      </c>
      <c r="N78" s="1">
        <f>MAX(-16, MIN(16, Games[[#This Row],[OppRestDiff]]*8))</f>
        <v>-8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1541.783861397751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1482.2092116065899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0.48787732260385697</v>
      </c>
      <c r="R78" s="1">
        <v>72</v>
      </c>
      <c r="S78" s="1">
        <v>88</v>
      </c>
      <c r="T78" s="1">
        <v>0</v>
      </c>
      <c r="U78" s="1">
        <f>Games[[#This Row],[PointsFor]]-Games[[#This Row],[PointsAgainst]]</f>
        <v>-16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0.49329608121209301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-18.03806445288717</v>
      </c>
      <c r="AB78" s="4">
        <f>Games[[#This Row],[PreGmRate]]+Games[[#This Row],[RatingChange]]</f>
        <v>1523.7457969448637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42890</v>
      </c>
      <c r="B79" s="2">
        <v>2017</v>
      </c>
      <c r="C79" s="2">
        <f>COUNTIFS(Games[Team],Games[[#This Row],[Team]],Games[Season],Games[[#This Row],[Season]],Games[Date],"&lt;=" &amp; Games[[#This Row],[Date]])</f>
        <v>7</v>
      </c>
      <c r="D79" s="2" t="s">
        <v>81</v>
      </c>
      <c r="E79" s="2" t="s">
        <v>82</v>
      </c>
      <c r="F79" s="1" t="s">
        <v>60</v>
      </c>
      <c r="G79" s="1" t="s">
        <v>40</v>
      </c>
      <c r="H79" s="1" t="s">
        <v>84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-1</v>
      </c>
      <c r="L79" s="2">
        <f>Games[[#This Row],[OppDaysOff]]-Games[[#This Row],[DaysOff]]</f>
        <v>1</v>
      </c>
      <c r="M79" s="1">
        <f>MAX(-16, MIN(16, Games[[#This Row],[RestDiff]]*8))</f>
        <v>-8</v>
      </c>
      <c r="N79" s="1">
        <f>MAX(-16, MIN(16, Games[[#This Row],[OppRestDiff]]*8))</f>
        <v>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1482.2092116065899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1541.783861397751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0.51212267739614303</v>
      </c>
      <c r="R79" s="1">
        <v>88</v>
      </c>
      <c r="S79" s="1">
        <v>72</v>
      </c>
      <c r="T79" s="1">
        <v>0</v>
      </c>
      <c r="U79" s="1">
        <f>Games[[#This Row],[PointsFor]]-Games[[#This Row],[PointsAgainst]]</f>
        <v>16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0.49329608121209301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18.03806445288717</v>
      </c>
      <c r="AB79" s="4">
        <f>Games[[#This Row],[PreGmRate]]+Games[[#This Row],[RatingChange]]</f>
        <v>1500.2472760594769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42890</v>
      </c>
      <c r="B80" s="2">
        <v>2017</v>
      </c>
      <c r="C80" s="2">
        <f>COUNTIFS(Games[Team],Games[[#This Row],[Team]],Games[Season],Games[[#This Row],[Season]],Games[Date],"&lt;=" &amp; Games[[#This Row],[Date]])</f>
        <v>6</v>
      </c>
      <c r="D80" s="2" t="s">
        <v>81</v>
      </c>
      <c r="E80" s="2" t="s">
        <v>82</v>
      </c>
      <c r="F80" s="1" t="s">
        <v>79</v>
      </c>
      <c r="G80" s="1" t="s">
        <v>65</v>
      </c>
      <c r="H80" s="1" t="s">
        <v>83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3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1520.945791516642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1508.5391895571706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0.39840276089869248</v>
      </c>
      <c r="R80" s="1">
        <v>72</v>
      </c>
      <c r="S80" s="1">
        <v>78</v>
      </c>
      <c r="T80" s="1">
        <v>0</v>
      </c>
      <c r="U80" s="1">
        <f>Games[[#This Row],[PointsFor]]-Games[[#This Row],[PointsAgainst]]</f>
        <v>-6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0.34768609196610201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-10.402784332299417</v>
      </c>
      <c r="AB80" s="4">
        <f>Games[[#This Row],[PreGmRate]]+Games[[#This Row],[RatingChange]]</f>
        <v>1510.5430071843425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42890</v>
      </c>
      <c r="B81" s="2">
        <v>2017</v>
      </c>
      <c r="C81" s="2">
        <f>COUNTIFS(Games[Team],Games[[#This Row],[Team]],Games[Season],Games[[#This Row],[Season]],Games[Date],"&lt;=" &amp; Games[[#This Row],[Date]])</f>
        <v>7</v>
      </c>
      <c r="D81" s="2" t="s">
        <v>81</v>
      </c>
      <c r="E81" s="2" t="s">
        <v>82</v>
      </c>
      <c r="F81" s="1" t="s">
        <v>65</v>
      </c>
      <c r="G81" s="1" t="s">
        <v>79</v>
      </c>
      <c r="H81" s="1" t="s">
        <v>84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1508.5391895571706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1520.945791516642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0.60159723910130747</v>
      </c>
      <c r="R81" s="1">
        <v>78</v>
      </c>
      <c r="S81" s="1">
        <v>72</v>
      </c>
      <c r="T81" s="1">
        <v>0</v>
      </c>
      <c r="U81" s="1">
        <f>Games[[#This Row],[PointsFor]]-Games[[#This Row],[PointsAgainst]]</f>
        <v>6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0.34768609196610201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10.382006467454614</v>
      </c>
      <c r="AB81" s="4">
        <f>Games[[#This Row],[PreGmRate]]+Games[[#This Row],[RatingChange]]</f>
        <v>1518.9211960246253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42892</v>
      </c>
      <c r="B82" s="2">
        <v>2017</v>
      </c>
      <c r="C82" s="2">
        <f>COUNTIFS(Games[Team],Games[[#This Row],[Team]],Games[Season],Games[[#This Row],[Season]],Games[Date],"&lt;=" &amp; Games[[#This Row],[Date]])</f>
        <v>8</v>
      </c>
      <c r="D82" s="2" t="s">
        <v>81</v>
      </c>
      <c r="E82" s="2" t="s">
        <v>82</v>
      </c>
      <c r="F82" s="1" t="s">
        <v>65</v>
      </c>
      <c r="G82" s="1" t="s">
        <v>87</v>
      </c>
      <c r="H82" s="1" t="s">
        <v>83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1518.9211960246253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1447.747342730476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0.45861076756988539</v>
      </c>
      <c r="R82" s="1">
        <v>101</v>
      </c>
      <c r="S82" s="1">
        <v>89</v>
      </c>
      <c r="T82" s="1">
        <v>0</v>
      </c>
      <c r="U82" s="1">
        <f>Games[[#This Row],[PointsFor]]-Games[[#This Row],[PointsAgainst]]</f>
        <v>12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0.43059045800337981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17.43715440875356</v>
      </c>
      <c r="AB82" s="4">
        <f>Games[[#This Row],[PreGmRate]]+Games[[#This Row],[RatingChange]]</f>
        <v>1536.3583504333787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42892</v>
      </c>
      <c r="B83" s="2">
        <v>2017</v>
      </c>
      <c r="C83" s="2">
        <f>COUNTIFS(Games[Team],Games[[#This Row],[Team]],Games[Season],Games[[#This Row],[Season]],Games[Date],"&lt;=" &amp; Games[[#This Row],[Date]])</f>
        <v>8</v>
      </c>
      <c r="D83" s="2" t="s">
        <v>81</v>
      </c>
      <c r="E83" s="2" t="s">
        <v>82</v>
      </c>
      <c r="F83" s="1" t="s">
        <v>87</v>
      </c>
      <c r="G83" s="1" t="s">
        <v>65</v>
      </c>
      <c r="H83" s="1" t="s">
        <v>84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1447.747342730476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1518.9211960246253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0.54138923243011461</v>
      </c>
      <c r="R83" s="1">
        <v>89</v>
      </c>
      <c r="S83" s="1">
        <v>101</v>
      </c>
      <c r="T83" s="1">
        <v>0</v>
      </c>
      <c r="U83" s="1">
        <f>Games[[#This Row],[PointsFor]]-Games[[#This Row],[PointsAgainst]]</f>
        <v>-12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0.43059045800337981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-17.43715440875356</v>
      </c>
      <c r="AB83" s="4">
        <f>Games[[#This Row],[PreGmRate]]+Games[[#This Row],[RatingChange]]</f>
        <v>1430.3101883217225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42892</v>
      </c>
      <c r="B84" s="2">
        <v>2017</v>
      </c>
      <c r="C84" s="2">
        <f>COUNTIFS(Games[Team],Games[[#This Row],[Team]],Games[Season],Games[[#This Row],[Season]],Games[Date],"&lt;=" &amp; Games[[#This Row],[Date]])</f>
        <v>8</v>
      </c>
      <c r="D84" s="2" t="s">
        <v>81</v>
      </c>
      <c r="E84" s="2" t="s">
        <v>82</v>
      </c>
      <c r="F84" s="1" t="s">
        <v>77</v>
      </c>
      <c r="G84" s="1" t="s">
        <v>63</v>
      </c>
      <c r="H84" s="1" t="s">
        <v>83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4" s="2">
        <f>Games[[#This Row],[DaysOff]]-Games[[#This Row],[OppDaysOff]]</f>
        <v>-2</v>
      </c>
      <c r="L84" s="2">
        <f>Games[[#This Row],[OppDaysOff]]-Games[[#This Row],[DaysOff]]</f>
        <v>2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1421.6748529189151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1597.7879657161113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0.15689188698780987</v>
      </c>
      <c r="R84" s="1">
        <v>70</v>
      </c>
      <c r="S84" s="1">
        <v>79</v>
      </c>
      <c r="T84" s="1">
        <v>0</v>
      </c>
      <c r="U84" s="1">
        <f>Games[[#This Row],[PointsFor]]-Games[[#This Row],[PointsAgainst]]</f>
        <v>-9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0.35401583492394723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74.8</v>
      </c>
      <c r="Z84" s="4">
        <f>Games[[#This Row],[K]]*Games[[#This Row],[POMult]]</f>
        <v>74.8</v>
      </c>
      <c r="AA84" s="4">
        <f>(Games[[#This Row],[Keff]]*Games[[#This Row],[MOVMult]])*(Games[[#This Row],[Result]]-Games[[#This Row],[ExpectedWin%]])</f>
        <v>-4.1545574848857747</v>
      </c>
      <c r="AB84" s="4">
        <f>Games[[#This Row],[PreGmRate]]+Games[[#This Row],[RatingChange]]</f>
        <v>1417.5202954340293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42892</v>
      </c>
      <c r="B85" s="2">
        <v>2017</v>
      </c>
      <c r="C85" s="2">
        <f>COUNTIFS(Games[Team],Games[[#This Row],[Team]],Games[Season],Games[[#This Row],[Season]],Games[Date],"&lt;=" &amp; Games[[#This Row],[Date]])</f>
        <v>6</v>
      </c>
      <c r="D85" s="2" t="s">
        <v>81</v>
      </c>
      <c r="E85" s="2" t="s">
        <v>82</v>
      </c>
      <c r="F85" s="1" t="s">
        <v>63</v>
      </c>
      <c r="G85" s="1" t="s">
        <v>77</v>
      </c>
      <c r="H85" s="1" t="s">
        <v>84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6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5" s="2">
        <f>Games[[#This Row],[DaysOff]]-Games[[#This Row],[OppDaysOff]]</f>
        <v>2</v>
      </c>
      <c r="L85" s="2">
        <f>Games[[#This Row],[OppDaysOff]]-Games[[#This Row],[DaysOff]]</f>
        <v>-2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1597.7879657161113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1421.6748529189151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0.84310811301219002</v>
      </c>
      <c r="R85" s="1">
        <v>79</v>
      </c>
      <c r="S85" s="1">
        <v>70</v>
      </c>
      <c r="T85" s="1">
        <v>0</v>
      </c>
      <c r="U85" s="1">
        <f>Games[[#This Row],[PointsFor]]-Games[[#This Row],[PointsAgainst]]</f>
        <v>9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0.35401583492394723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4.1712201485952125</v>
      </c>
      <c r="AB85" s="4">
        <f>Games[[#This Row],[PreGmRate]]+Games[[#This Row],[RatingChange]]</f>
        <v>1601.9591858647066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42892</v>
      </c>
      <c r="B86" s="2">
        <v>2017</v>
      </c>
      <c r="C86" s="2">
        <f>COUNTIFS(Games[Team],Games[[#This Row],[Team]],Games[Season],Games[[#This Row],[Season]],Games[Date],"&lt;=" &amp; Games[[#This Row],[Date]])</f>
        <v>7</v>
      </c>
      <c r="D86" s="2" t="s">
        <v>81</v>
      </c>
      <c r="E86" s="2" t="s">
        <v>82</v>
      </c>
      <c r="F86" s="1" t="s">
        <v>71</v>
      </c>
      <c r="G86" s="1" t="s">
        <v>74</v>
      </c>
      <c r="H86" s="1" t="s">
        <v>83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1521.7788467389732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1334.1694206804159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0.64483770245345162</v>
      </c>
      <c r="R86" s="1">
        <v>85</v>
      </c>
      <c r="S86" s="1">
        <v>76</v>
      </c>
      <c r="T86" s="1">
        <v>0</v>
      </c>
      <c r="U86" s="1">
        <f>Games[[#This Row],[PointsFor]]-Games[[#This Row],[PointsAgainst]]</f>
        <v>9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0.35108282159805171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9.3456190470142815</v>
      </c>
      <c r="AB86" s="4">
        <f>Games[[#This Row],[PreGmRate]]+Games[[#This Row],[RatingChange]]</f>
        <v>1531.1244657859875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42892</v>
      </c>
      <c r="B87" s="2">
        <v>2017</v>
      </c>
      <c r="C87" s="2">
        <f>COUNTIFS(Games[Team],Games[[#This Row],[Team]],Games[Season],Games[[#This Row],[Season]],Games[Date],"&lt;=" &amp; Games[[#This Row],[Date]])</f>
        <v>8</v>
      </c>
      <c r="D87" s="2" t="s">
        <v>81</v>
      </c>
      <c r="E87" s="2" t="s">
        <v>82</v>
      </c>
      <c r="F87" s="1" t="s">
        <v>74</v>
      </c>
      <c r="G87" s="1" t="s">
        <v>71</v>
      </c>
      <c r="H87" s="1" t="s">
        <v>84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1334.1694206804159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1521.7788467389732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0.35516229754654832</v>
      </c>
      <c r="R87" s="1">
        <v>76</v>
      </c>
      <c r="S87" s="1">
        <v>85</v>
      </c>
      <c r="T87" s="1">
        <v>0</v>
      </c>
      <c r="U87" s="1">
        <f>Games[[#This Row],[PointsFor]]-Games[[#This Row],[PointsAgainst]]</f>
        <v>-9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0.35108282159805171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-9.3269153397820954</v>
      </c>
      <c r="AB87" s="4">
        <f>Games[[#This Row],[PreGmRate]]+Games[[#This Row],[RatingChange]]</f>
        <v>1324.8425053406338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42893</v>
      </c>
      <c r="B88" s="2">
        <v>2017</v>
      </c>
      <c r="C88" s="2">
        <f>COUNTIFS(Games[Team],Games[[#This Row],[Team]],Games[Season],Games[[#This Row],[Season]],Games[Date],"&lt;=" &amp; Games[[#This Row],[Date]])</f>
        <v>8</v>
      </c>
      <c r="D88" s="2" t="s">
        <v>81</v>
      </c>
      <c r="E88" s="2" t="s">
        <v>82</v>
      </c>
      <c r="F88" s="1" t="s">
        <v>40</v>
      </c>
      <c r="G88" s="1" t="s">
        <v>69</v>
      </c>
      <c r="H88" s="1" t="s">
        <v>83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8" s="2">
        <f>Games[[#This Row],[DaysOff]]-Games[[#This Row],[OppDaysOff]]</f>
        <v>-1</v>
      </c>
      <c r="L88" s="2">
        <f>Games[[#This Row],[OppDaysOff]]-Games[[#This Row],[DaysOff]]</f>
        <v>1</v>
      </c>
      <c r="M88" s="1">
        <f>MAX(-16, MIN(16, Games[[#This Row],[RestDiff]]*8))</f>
        <v>-8</v>
      </c>
      <c r="N88" s="1">
        <f>MAX(-16, MIN(16, Games[[#This Row],[OppRestDiff]]*8))</f>
        <v>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1523.7457969448637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1468.2958255092744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0.43623643376348298</v>
      </c>
      <c r="R88" s="1">
        <v>98</v>
      </c>
      <c r="S88" s="1">
        <v>90</v>
      </c>
      <c r="T88" s="1">
        <v>1</v>
      </c>
      <c r="U88" s="1">
        <f>Games[[#This Row],[PointsFor]]-Games[[#This Row],[PointsAgainst]]</f>
        <v>8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0.33404817981212742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14.086649647298527</v>
      </c>
      <c r="AB88" s="4">
        <f>Games[[#This Row],[PreGmRate]]+Games[[#This Row],[RatingChange]]</f>
        <v>1537.8324465921623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42893</v>
      </c>
      <c r="B89" s="2">
        <v>2017</v>
      </c>
      <c r="C89" s="2">
        <f>COUNTIFS(Games[Team],Games[[#This Row],[Team]],Games[Season],Games[[#This Row],[Season]],Games[Date],"&lt;=" &amp; Games[[#This Row],[Date]])</f>
        <v>8</v>
      </c>
      <c r="D89" s="2" t="s">
        <v>81</v>
      </c>
      <c r="E89" s="2" t="s">
        <v>82</v>
      </c>
      <c r="F89" s="1" t="s">
        <v>69</v>
      </c>
      <c r="G89" s="1" t="s">
        <v>40</v>
      </c>
      <c r="H89" s="1" t="s">
        <v>84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9" s="2">
        <f>Games[[#This Row],[DaysOff]]-Games[[#This Row],[OppDaysOff]]</f>
        <v>1</v>
      </c>
      <c r="L89" s="2">
        <f>Games[[#This Row],[OppDaysOff]]-Games[[#This Row],[DaysOff]]</f>
        <v>-1</v>
      </c>
      <c r="M89" s="1">
        <f>MAX(-16, MIN(16, Games[[#This Row],[RestDiff]]*8))</f>
        <v>8</v>
      </c>
      <c r="N89" s="1">
        <f>MAX(-16, MIN(16, Games[[#This Row],[OppRestDiff]]*8))</f>
        <v>-8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1468.2958255092744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1523.7457969448637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0.56376356623651702</v>
      </c>
      <c r="R89" s="1">
        <v>90</v>
      </c>
      <c r="S89" s="1">
        <v>98</v>
      </c>
      <c r="T89" s="1">
        <v>1</v>
      </c>
      <c r="U89" s="1">
        <f>Games[[#This Row],[PointsFor]]-Games[[#This Row],[PointsAgainst]]</f>
        <v>-8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0.33404817981212742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-14.086649647298527</v>
      </c>
      <c r="AB89" s="4">
        <f>Games[[#This Row],[PreGmRate]]+Games[[#This Row],[RatingChange]]</f>
        <v>1454.2091758619758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42893</v>
      </c>
      <c r="B90" s="2">
        <v>2017</v>
      </c>
      <c r="C90" s="2">
        <f>COUNTIFS(Games[Team],Games[[#This Row],[Team]],Games[Season],Games[[#This Row],[Season]],Games[Date],"&lt;=" &amp; Games[[#This Row],[Date]])</f>
        <v>7</v>
      </c>
      <c r="D90" s="2" t="s">
        <v>81</v>
      </c>
      <c r="E90" s="2" t="s">
        <v>82</v>
      </c>
      <c r="F90" s="1" t="s">
        <v>79</v>
      </c>
      <c r="G90" s="1" t="s">
        <v>60</v>
      </c>
      <c r="H90" s="1" t="s">
        <v>83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1510.5430071843425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1500.2472760594769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0.395494024418649</v>
      </c>
      <c r="R90" s="1">
        <v>61</v>
      </c>
      <c r="S90" s="1">
        <v>76</v>
      </c>
      <c r="T90" s="1">
        <v>0</v>
      </c>
      <c r="U90" s="1">
        <f>Games[[#This Row],[PointsFor]]-Games[[#This Row],[PointsAgainst]]</f>
        <v>-15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0.49857040567571986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-14.778762133944831</v>
      </c>
      <c r="AB90" s="4">
        <f>Games[[#This Row],[PreGmRate]]+Games[[#This Row],[RatingChange]]</f>
        <v>1495.7642450503977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42893</v>
      </c>
      <c r="B91" s="2">
        <v>2017</v>
      </c>
      <c r="C91" s="2">
        <f>COUNTIFS(Games[Team],Games[[#This Row],[Team]],Games[Season],Games[[#This Row],[Season]],Games[Date],"&lt;=" &amp; Games[[#This Row],[Date]])</f>
        <v>8</v>
      </c>
      <c r="D91" s="2" t="s">
        <v>81</v>
      </c>
      <c r="E91" s="2" t="s">
        <v>82</v>
      </c>
      <c r="F91" s="1" t="s">
        <v>60</v>
      </c>
      <c r="G91" s="1" t="s">
        <v>79</v>
      </c>
      <c r="H91" s="1" t="s">
        <v>84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1500.2472760594769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1510.5430071843425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0.604505975581351</v>
      </c>
      <c r="R91" s="1">
        <v>76</v>
      </c>
      <c r="S91" s="1">
        <v>61</v>
      </c>
      <c r="T91" s="1">
        <v>0</v>
      </c>
      <c r="U91" s="1">
        <f>Games[[#This Row],[PointsFor]]-Games[[#This Row],[PointsAgainst]]</f>
        <v>15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0.49857040567571986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14.749184891515322</v>
      </c>
      <c r="AB91" s="4">
        <f>Games[[#This Row],[PreGmRate]]+Games[[#This Row],[RatingChange]]</f>
        <v>1514.9964609509923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42895</v>
      </c>
      <c r="B92" s="2">
        <v>2017</v>
      </c>
      <c r="C92" s="2">
        <f>COUNTIFS(Games[Team],Games[[#This Row],[Team]],Games[Season],Games[[#This Row],[Season]],Games[Date],"&lt;=" &amp; Games[[#This Row],[Date]])</f>
        <v>7</v>
      </c>
      <c r="D92" s="2" t="s">
        <v>81</v>
      </c>
      <c r="E92" s="2" t="s">
        <v>82</v>
      </c>
      <c r="F92" s="1" t="s">
        <v>63</v>
      </c>
      <c r="G92" s="1" t="s">
        <v>87</v>
      </c>
      <c r="H92" s="1" t="s">
        <v>83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1601.9591858647066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1430.3101883217225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0.62352757542180026</v>
      </c>
      <c r="R92" s="1">
        <v>90</v>
      </c>
      <c r="S92" s="1">
        <v>96</v>
      </c>
      <c r="T92" s="1">
        <v>0</v>
      </c>
      <c r="U92" s="1">
        <f>Games[[#This Row],[PointsFor]]-Games[[#This Row],[PointsAgainst]]</f>
        <v>-6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0.30732127101341761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-14.362165359941145</v>
      </c>
      <c r="AB92" s="4">
        <f>Games[[#This Row],[PreGmRate]]+Games[[#This Row],[RatingChange]]</f>
        <v>1587.5970205047654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42895</v>
      </c>
      <c r="B93" s="2">
        <v>2017</v>
      </c>
      <c r="C93" s="2">
        <f>COUNTIFS(Games[Team],Games[[#This Row],[Team]],Games[Season],Games[[#This Row],[Season]],Games[Date],"&lt;=" &amp; Games[[#This Row],[Date]])</f>
        <v>9</v>
      </c>
      <c r="D93" s="2" t="s">
        <v>81</v>
      </c>
      <c r="E93" s="2" t="s">
        <v>82</v>
      </c>
      <c r="F93" s="1" t="s">
        <v>87</v>
      </c>
      <c r="G93" s="1" t="s">
        <v>63</v>
      </c>
      <c r="H93" s="1" t="s">
        <v>84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1430.3101883217225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1601.9591858647066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0.37647242457819974</v>
      </c>
      <c r="R93" s="1">
        <v>96</v>
      </c>
      <c r="S93" s="1">
        <v>90</v>
      </c>
      <c r="T93" s="1">
        <v>0</v>
      </c>
      <c r="U93" s="1">
        <f>Games[[#This Row],[PointsFor]]-Games[[#This Row],[PointsAgainst]]</f>
        <v>6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0.30732127101341761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14.304678373843982</v>
      </c>
      <c r="AB93" s="4">
        <f>Games[[#This Row],[PreGmRate]]+Games[[#This Row],[RatingChange]]</f>
        <v>1444.6148666955664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42895</v>
      </c>
      <c r="B94" s="2">
        <v>2017</v>
      </c>
      <c r="C94" s="2">
        <f>COUNTIFS(Games[Team],Games[[#This Row],[Team]],Games[Season],Games[[#This Row],[Season]],Games[Date],"&lt;=" &amp; Games[[#This Row],[Date]])</f>
        <v>8</v>
      </c>
      <c r="D94" s="2" t="s">
        <v>81</v>
      </c>
      <c r="E94" s="2" t="s">
        <v>82</v>
      </c>
      <c r="F94" s="1" t="s">
        <v>71</v>
      </c>
      <c r="G94" s="1" t="s">
        <v>69</v>
      </c>
      <c r="H94" s="1" t="s">
        <v>83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1</v>
      </c>
      <c r="L94" s="2">
        <f>Games[[#This Row],[OppDaysOff]]-Games[[#This Row],[DaysOff]]</f>
        <v>-1</v>
      </c>
      <c r="M94" s="1">
        <f>MAX(-16, MIN(16, Games[[#This Row],[RestDiff]]*8))</f>
        <v>8</v>
      </c>
      <c r="N94" s="1">
        <f>MAX(-16, MIN(16, Games[[#This Row],[OppRestDiff]]*8))</f>
        <v>-8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1531.1244657859875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1454.2091758619758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0.51282731829318018</v>
      </c>
      <c r="R94" s="1">
        <v>80</v>
      </c>
      <c r="S94" s="1">
        <v>83</v>
      </c>
      <c r="T94" s="1">
        <v>0</v>
      </c>
      <c r="U94" s="1">
        <f>Games[[#This Row],[PointsFor]]-Games[[#This Row],[PointsAgainst]]</f>
        <v>-3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0.2727042491120707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-10.460794119195533</v>
      </c>
      <c r="AB94" s="4">
        <f>Games[[#This Row],[PreGmRate]]+Games[[#This Row],[RatingChange]]</f>
        <v>1520.663671666792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42895</v>
      </c>
      <c r="B95" s="2">
        <v>2017</v>
      </c>
      <c r="C95" s="2">
        <f>COUNTIFS(Games[Team],Games[[#This Row],[Team]],Games[Season],Games[[#This Row],[Season]],Games[Date],"&lt;=" &amp; Games[[#This Row],[Date]])</f>
        <v>9</v>
      </c>
      <c r="D95" s="2" t="s">
        <v>81</v>
      </c>
      <c r="E95" s="2" t="s">
        <v>82</v>
      </c>
      <c r="F95" s="1" t="s">
        <v>69</v>
      </c>
      <c r="G95" s="1" t="s">
        <v>71</v>
      </c>
      <c r="H95" s="1" t="s">
        <v>84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5" s="2">
        <f>Games[[#This Row],[DaysOff]]-Games[[#This Row],[OppDaysOff]]</f>
        <v>-1</v>
      </c>
      <c r="L95" s="2">
        <f>Games[[#This Row],[OppDaysOff]]-Games[[#This Row],[DaysOff]]</f>
        <v>1</v>
      </c>
      <c r="M95" s="1">
        <f>MAX(-16, MIN(16, Games[[#This Row],[RestDiff]]*8))</f>
        <v>-8</v>
      </c>
      <c r="N95" s="1">
        <f>MAX(-16, MIN(16, Games[[#This Row],[OppRestDiff]]*8))</f>
        <v>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1454.2091758619758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1531.1244657859875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0.48717268170681977</v>
      </c>
      <c r="R95" s="1">
        <v>83</v>
      </c>
      <c r="S95" s="1">
        <v>80</v>
      </c>
      <c r="T95" s="1">
        <v>0</v>
      </c>
      <c r="U95" s="1">
        <f>Games[[#This Row],[PointsFor]]-Games[[#This Row],[PointsAgainst]]</f>
        <v>3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0.2727042491120707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10.439816590881639</v>
      </c>
      <c r="AB95" s="4">
        <f>Games[[#This Row],[PreGmRate]]+Games[[#This Row],[RatingChange]]</f>
        <v>1464.6489924528576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42895</v>
      </c>
      <c r="B96" s="2">
        <v>2017</v>
      </c>
      <c r="C96" s="2">
        <f>COUNTIFS(Games[Team],Games[[#This Row],[Team]],Games[Season],Games[[#This Row],[Season]],Games[Date],"&lt;=" &amp; Games[[#This Row],[Date]])</f>
        <v>8</v>
      </c>
      <c r="D96" s="2" t="s">
        <v>81</v>
      </c>
      <c r="E96" s="2" t="s">
        <v>82</v>
      </c>
      <c r="F96" s="1" t="s">
        <v>67</v>
      </c>
      <c r="G96" s="1" t="s">
        <v>65</v>
      </c>
      <c r="H96" s="1" t="s">
        <v>83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5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3</v>
      </c>
      <c r="L96" s="2">
        <f>Games[[#This Row],[OppDaysOff]]-Games[[#This Row],[DaysOff]]</f>
        <v>-3</v>
      </c>
      <c r="M96" s="1">
        <f>MAX(-16, MIN(16, Games[[#This Row],[RestDiff]]*8))</f>
        <v>16</v>
      </c>
      <c r="N96" s="1">
        <f>MAX(-16, MIN(16, Games[[#This Row],[OppRestDiff]]*8))</f>
        <v>-16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1674.472825923797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1536.3583504333787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0.62145175878448256</v>
      </c>
      <c r="R96" s="1">
        <v>98</v>
      </c>
      <c r="S96" s="1">
        <v>73</v>
      </c>
      <c r="T96" s="1">
        <v>0</v>
      </c>
      <c r="U96" s="1">
        <f>Games[[#This Row],[PointsFor]]-Games[[#This Row],[PointsAgainst]]</f>
        <v>25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0.57514782790952534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16.285545662316878</v>
      </c>
      <c r="AB96" s="4">
        <f>Games[[#This Row],[PreGmRate]]+Games[[#This Row],[RatingChange]]</f>
        <v>1690.758371586114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42895</v>
      </c>
      <c r="B97" s="2">
        <v>2017</v>
      </c>
      <c r="C97" s="2">
        <f>COUNTIFS(Games[Team],Games[[#This Row],[Team]],Games[Season],Games[[#This Row],[Season]],Games[Date],"&lt;=" &amp; Games[[#This Row],[Date]])</f>
        <v>9</v>
      </c>
      <c r="D97" s="2" t="s">
        <v>81</v>
      </c>
      <c r="E97" s="2" t="s">
        <v>82</v>
      </c>
      <c r="F97" s="1" t="s">
        <v>65</v>
      </c>
      <c r="G97" s="1" t="s">
        <v>67</v>
      </c>
      <c r="H97" s="1" t="s">
        <v>84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7" s="2">
        <f>Games[[#This Row],[DaysOff]]-Games[[#This Row],[OppDaysOff]]</f>
        <v>-3</v>
      </c>
      <c r="L97" s="2">
        <f>Games[[#This Row],[OppDaysOff]]-Games[[#This Row],[DaysOff]]</f>
        <v>3</v>
      </c>
      <c r="M97" s="1">
        <f>MAX(-16, MIN(16, Games[[#This Row],[RestDiff]]*8))</f>
        <v>-16</v>
      </c>
      <c r="N97" s="1">
        <f>MAX(-16, MIN(16, Games[[#This Row],[OppRestDiff]]*8))</f>
        <v>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1536.3583504333787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1674.472825923797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0.3785482412155175</v>
      </c>
      <c r="R97" s="1">
        <v>73</v>
      </c>
      <c r="S97" s="1">
        <v>98</v>
      </c>
      <c r="T97" s="1">
        <v>0</v>
      </c>
      <c r="U97" s="1">
        <f>Games[[#This Row],[PointsFor]]-Games[[#This Row],[PointsAgainst]]</f>
        <v>-25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0.57514782790952534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-16.252887482512769</v>
      </c>
      <c r="AB97" s="4">
        <f>Games[[#This Row],[PreGmRate]]+Games[[#This Row],[RatingChange]]</f>
        <v>1520.105462950866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42896</v>
      </c>
      <c r="B98" s="2">
        <v>2017</v>
      </c>
      <c r="C98" s="2">
        <f>COUNTIFS(Games[Team],Games[[#This Row],[Team]],Games[Season],Games[[#This Row],[Season]],Games[Date],"&lt;=" &amp; Games[[#This Row],[Date]])</f>
        <v>8</v>
      </c>
      <c r="D98" s="2" t="s">
        <v>81</v>
      </c>
      <c r="E98" s="2" t="s">
        <v>82</v>
      </c>
      <c r="F98" s="1" t="s">
        <v>79</v>
      </c>
      <c r="G98" s="1" t="s">
        <v>76</v>
      </c>
      <c r="H98" s="1" t="s">
        <v>83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8" s="2">
        <f>Games[[#This Row],[DaysOff]]-Games[[#This Row],[OppDaysOff]]</f>
        <v>-4</v>
      </c>
      <c r="L98" s="2">
        <f>Games[[#This Row],[OppDaysOff]]-Games[[#This Row],[DaysOff]]</f>
        <v>4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1495.7642450503977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1481.1526914109227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0.35809573334530148</v>
      </c>
      <c r="R98" s="1">
        <v>71</v>
      </c>
      <c r="S98" s="1">
        <v>104</v>
      </c>
      <c r="T98" s="1">
        <v>0</v>
      </c>
      <c r="U98" s="1">
        <f>Games[[#This Row],[PointsFor]]-Games[[#This Row],[PointsAgainst]]</f>
        <v>-33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0.7301847359611694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-19.558407679916709</v>
      </c>
      <c r="AB98" s="4">
        <f>Games[[#This Row],[PreGmRate]]+Games[[#This Row],[RatingChange]]</f>
        <v>1476.205837370481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42896</v>
      </c>
      <c r="B99" s="2">
        <v>2017</v>
      </c>
      <c r="C99" s="2">
        <f>COUNTIFS(Games[Team],Games[[#This Row],[Team]],Games[Season],Games[[#This Row],[Season]],Games[Date],"&lt;=" &amp; Games[[#This Row],[Date]])</f>
        <v>8</v>
      </c>
      <c r="D99" s="2" t="s">
        <v>81</v>
      </c>
      <c r="E99" s="2" t="s">
        <v>82</v>
      </c>
      <c r="F99" s="1" t="s">
        <v>76</v>
      </c>
      <c r="G99" s="1" t="s">
        <v>79</v>
      </c>
      <c r="H99" s="1" t="s">
        <v>84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6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9" s="2">
        <f>Games[[#This Row],[DaysOff]]-Games[[#This Row],[OppDaysOff]]</f>
        <v>4</v>
      </c>
      <c r="L99" s="2">
        <f>Games[[#This Row],[OppDaysOff]]-Games[[#This Row],[DaysOff]]</f>
        <v>-4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1481.1526914109227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1495.7642450503977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0.64190426665469846</v>
      </c>
      <c r="R99" s="1">
        <v>104</v>
      </c>
      <c r="S99" s="1">
        <v>71</v>
      </c>
      <c r="T99" s="1">
        <v>0</v>
      </c>
      <c r="U99" s="1">
        <f>Games[[#This Row],[PointsFor]]-Games[[#This Row],[PointsAgainst]]</f>
        <v>33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0.7301847359611694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19.558407679916712</v>
      </c>
      <c r="AB99" s="4">
        <f>Games[[#This Row],[PreGmRate]]+Games[[#This Row],[RatingChange]]</f>
        <v>1500.7110990908393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42896</v>
      </c>
      <c r="B100" s="2">
        <v>2017</v>
      </c>
      <c r="C100" s="2">
        <f>COUNTIFS(Games[Team],Games[[#This Row],[Team]],Games[Season],Games[[#This Row],[Season]],Games[Date],"&lt;=" &amp; Games[[#This Row],[Date]])</f>
        <v>8</v>
      </c>
      <c r="D100" s="2" t="s">
        <v>81</v>
      </c>
      <c r="E100" s="2" t="s">
        <v>82</v>
      </c>
      <c r="F100" s="1" t="s">
        <v>63</v>
      </c>
      <c r="G100" s="1" t="s">
        <v>40</v>
      </c>
      <c r="H100" s="1" t="s">
        <v>83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1587.5970205047654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1537.8324465921623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0.40581778893012788</v>
      </c>
      <c r="R100" s="1">
        <v>89</v>
      </c>
      <c r="S100" s="1">
        <v>87</v>
      </c>
      <c r="T100" s="1">
        <v>0</v>
      </c>
      <c r="U100" s="1">
        <f>Games[[#This Row],[PointsFor]]-Games[[#This Row],[PointsAgainst]]</f>
        <v>2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0.25717610474857344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11.430148098227562</v>
      </c>
      <c r="AB100" s="4">
        <f>Games[[#This Row],[PreGmRate]]+Games[[#This Row],[RatingChange]]</f>
        <v>1599.027168602993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42896</v>
      </c>
      <c r="B101" s="2">
        <v>2017</v>
      </c>
      <c r="C101" s="2">
        <f>COUNTIFS(Games[Team],Games[[#This Row],[Team]],Games[Season],Games[[#This Row],[Season]],Games[Date],"&lt;=" &amp; Games[[#This Row],[Date]])</f>
        <v>9</v>
      </c>
      <c r="D101" s="2" t="s">
        <v>81</v>
      </c>
      <c r="E101" s="2" t="s">
        <v>82</v>
      </c>
      <c r="F101" s="1" t="s">
        <v>40</v>
      </c>
      <c r="G101" s="1" t="s">
        <v>63</v>
      </c>
      <c r="H101" s="1" t="s">
        <v>84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1537.8324465921623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1587.5970205047654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0.59418221106987212</v>
      </c>
      <c r="R101" s="1">
        <v>87</v>
      </c>
      <c r="S101" s="1">
        <v>89</v>
      </c>
      <c r="T101" s="1">
        <v>0</v>
      </c>
      <c r="U101" s="1">
        <f>Games[[#This Row],[PointsFor]]-Games[[#This Row],[PointsAgainst]]</f>
        <v>-2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0.25717610474857344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-11.407226678244486</v>
      </c>
      <c r="AB101" s="4">
        <f>Games[[#This Row],[PreGmRate]]+Games[[#This Row],[RatingChange]]</f>
        <v>1526.4252199139178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42896</v>
      </c>
      <c r="B102" s="2">
        <v>2017</v>
      </c>
      <c r="C102" s="2">
        <f>COUNTIFS(Games[Team],Games[[#This Row],[Team]],Games[Season],Games[[#This Row],[Season]],Games[Date],"&lt;=" &amp; Games[[#This Row],[Date]])</f>
        <v>9</v>
      </c>
      <c r="D102" s="2" t="s">
        <v>81</v>
      </c>
      <c r="E102" s="2" t="s">
        <v>82</v>
      </c>
      <c r="F102" s="1" t="s">
        <v>77</v>
      </c>
      <c r="G102" s="1" t="s">
        <v>74</v>
      </c>
      <c r="H102" s="1" t="s">
        <v>83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1417.5202954340293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1324.8425053406338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0.5124857475777439</v>
      </c>
      <c r="R102" s="1">
        <v>85</v>
      </c>
      <c r="S102" s="1">
        <v>81</v>
      </c>
      <c r="T102" s="1">
        <v>1</v>
      </c>
      <c r="U102" s="1">
        <f>Games[[#This Row],[PointsFor]]-Games[[#This Row],[PointsAgainst]]</f>
        <v>4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0.26019426981250193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9.4692341746884825</v>
      </c>
      <c r="AB102" s="4">
        <f>Games[[#This Row],[PreGmRate]]+Games[[#This Row],[RatingChange]]</f>
        <v>1426.9895296087177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42896</v>
      </c>
      <c r="B103" s="2">
        <v>2017</v>
      </c>
      <c r="C103" s="2">
        <f>COUNTIFS(Games[Team],Games[[#This Row],[Team]],Games[Season],Games[[#This Row],[Season]],Games[Date],"&lt;=" &amp; Games[[#This Row],[Date]])</f>
        <v>9</v>
      </c>
      <c r="D103" s="2" t="s">
        <v>81</v>
      </c>
      <c r="E103" s="2" t="s">
        <v>82</v>
      </c>
      <c r="F103" s="1" t="s">
        <v>74</v>
      </c>
      <c r="G103" s="1" t="s">
        <v>77</v>
      </c>
      <c r="H103" s="1" t="s">
        <v>84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1324.8425053406338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1417.5202954340293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0.48751425242225604</v>
      </c>
      <c r="R103" s="1">
        <v>81</v>
      </c>
      <c r="S103" s="1">
        <v>85</v>
      </c>
      <c r="T103" s="1">
        <v>1</v>
      </c>
      <c r="U103" s="1">
        <f>Games[[#This Row],[PointsFor]]-Games[[#This Row],[PointsAgainst]]</f>
        <v>-4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0.26019426981250193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-9.4692341746884825</v>
      </c>
      <c r="AB103" s="4">
        <f>Games[[#This Row],[PreGmRate]]+Games[[#This Row],[RatingChange]]</f>
        <v>1315.3732711659454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42897</v>
      </c>
      <c r="B104" s="2">
        <v>2017</v>
      </c>
      <c r="C104" s="2">
        <f>COUNTIFS(Games[Team],Games[[#This Row],[Team]],Games[Season],Games[[#This Row],[Season]],Games[Date],"&lt;=" &amp; Games[[#This Row],[Date]])</f>
        <v>9</v>
      </c>
      <c r="D104" s="2" t="s">
        <v>81</v>
      </c>
      <c r="E104" s="2" t="s">
        <v>82</v>
      </c>
      <c r="F104" s="1" t="s">
        <v>67</v>
      </c>
      <c r="G104" s="1" t="s">
        <v>87</v>
      </c>
      <c r="H104" s="1" t="s">
        <v>83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1690.758371586114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1444.6148666955664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0.71775910149419186</v>
      </c>
      <c r="R104" s="1">
        <v>91</v>
      </c>
      <c r="S104" s="1">
        <v>74</v>
      </c>
      <c r="T104" s="1">
        <v>0</v>
      </c>
      <c r="U104" s="1">
        <f>Games[[#This Row],[PointsFor]]-Games[[#This Row],[PointsAgainst]]</f>
        <v>17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0.44181679116745382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9.3087630397142185</v>
      </c>
      <c r="AB104" s="4">
        <f>Games[[#This Row],[PreGmRate]]+Games[[#This Row],[RatingChange]]</f>
        <v>1700.0671346258282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42897</v>
      </c>
      <c r="B105" s="2">
        <v>2017</v>
      </c>
      <c r="C105" s="2">
        <f>COUNTIFS(Games[Team],Games[[#This Row],[Team]],Games[Season],Games[[#This Row],[Season]],Games[Date],"&lt;=" &amp; Games[[#This Row],[Date]])</f>
        <v>10</v>
      </c>
      <c r="D105" s="2" t="s">
        <v>81</v>
      </c>
      <c r="E105" s="2" t="s">
        <v>82</v>
      </c>
      <c r="F105" s="1" t="s">
        <v>87</v>
      </c>
      <c r="G105" s="1" t="s">
        <v>67</v>
      </c>
      <c r="H105" s="1" t="s">
        <v>84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1444.6148666955664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1690.758371586114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0.28224089850580819</v>
      </c>
      <c r="R105" s="1">
        <v>74</v>
      </c>
      <c r="S105" s="1">
        <v>91</v>
      </c>
      <c r="T105" s="1">
        <v>0</v>
      </c>
      <c r="U105" s="1">
        <f>Games[[#This Row],[PointsFor]]-Games[[#This Row],[PointsAgainst]]</f>
        <v>-17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0.44181679116745382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74.5</v>
      </c>
      <c r="Z105" s="4">
        <f>Games[[#This Row],[K]]*Games[[#This Row],[POMult]]</f>
        <v>74.5</v>
      </c>
      <c r="AA105" s="4">
        <f>(Games[[#This Row],[Keff]]*Games[[#This Row],[MOVMult]])*(Games[[#This Row],[Result]]-Games[[#This Row],[ExpectedWin%]])</f>
        <v>-9.2900582244971126</v>
      </c>
      <c r="AB105" s="4">
        <f>Games[[#This Row],[PreGmRate]]+Games[[#This Row],[RatingChange]]</f>
        <v>1435.3248084710692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42897</v>
      </c>
      <c r="B106" s="2">
        <v>2017</v>
      </c>
      <c r="C106" s="2">
        <f>COUNTIFS(Games[Team],Games[[#This Row],[Team]],Games[Season],Games[[#This Row],[Season]],Games[Date],"&lt;=" &amp; Games[[#This Row],[Date]])</f>
        <v>9</v>
      </c>
      <c r="D106" s="2" t="s">
        <v>81</v>
      </c>
      <c r="E106" s="2" t="s">
        <v>82</v>
      </c>
      <c r="F106" s="1" t="s">
        <v>71</v>
      </c>
      <c r="G106" s="1" t="s">
        <v>60</v>
      </c>
      <c r="H106" s="1" t="s">
        <v>83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6" s="2">
        <f>Games[[#This Row],[DaysOff]]-Games[[#This Row],[OppDaysOff]]</f>
        <v>-2</v>
      </c>
      <c r="L106" s="2">
        <f>Games[[#This Row],[OppDaysOff]]-Games[[#This Row],[DaysOff]]</f>
        <v>2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1520.663671666792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1514.9964609509923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0.34634900973032962</v>
      </c>
      <c r="R106" s="1">
        <v>86</v>
      </c>
      <c r="S106" s="1">
        <v>94</v>
      </c>
      <c r="T106" s="1">
        <v>0</v>
      </c>
      <c r="U106" s="1">
        <f>Games[[#This Row],[PointsFor]]-Games[[#This Row],[PointsAgainst]]</f>
        <v>-8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0.38649026685146143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-9.9926879071630434</v>
      </c>
      <c r="AB106" s="4">
        <f>Games[[#This Row],[PreGmRate]]+Games[[#This Row],[RatingChange]]</f>
        <v>1510.6709837596288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42897</v>
      </c>
      <c r="B107" s="2">
        <v>2017</v>
      </c>
      <c r="C107" s="2">
        <f>COUNTIFS(Games[Team],Games[[#This Row],[Team]],Games[Season],Games[[#This Row],[Season]],Games[Date],"&lt;=" &amp; Games[[#This Row],[Date]])</f>
        <v>9</v>
      </c>
      <c r="D107" s="2" t="s">
        <v>81</v>
      </c>
      <c r="E107" s="2" t="s">
        <v>82</v>
      </c>
      <c r="F107" s="1" t="s">
        <v>60</v>
      </c>
      <c r="G107" s="1" t="s">
        <v>71</v>
      </c>
      <c r="H107" s="1" t="s">
        <v>84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2</v>
      </c>
      <c r="L107" s="2">
        <f>Games[[#This Row],[OppDaysOff]]-Games[[#This Row],[DaysOff]]</f>
        <v>-2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1514.9964609509923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1520.663671666792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0.65365099026967044</v>
      </c>
      <c r="R107" s="1">
        <v>94</v>
      </c>
      <c r="S107" s="1">
        <v>86</v>
      </c>
      <c r="T107" s="1">
        <v>0</v>
      </c>
      <c r="U107" s="1">
        <f>Games[[#This Row],[PointsFor]]-Games[[#This Row],[PointsAgainst]]</f>
        <v>8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0.38649026685146143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9.9926879071630417</v>
      </c>
      <c r="AB107" s="4">
        <f>Games[[#This Row],[PreGmRate]]+Games[[#This Row],[RatingChange]]</f>
        <v>1524.9891488581554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42897</v>
      </c>
      <c r="B108" s="2">
        <v>2017</v>
      </c>
      <c r="C108" s="2">
        <f>COUNTIFS(Games[Team],Games[[#This Row],[Team]],Games[Season],Games[[#This Row],[Season]],Games[Date],"&lt;=" &amp; Games[[#This Row],[Date]])</f>
        <v>10</v>
      </c>
      <c r="D108" s="2" t="s">
        <v>81</v>
      </c>
      <c r="E108" s="2" t="s">
        <v>82</v>
      </c>
      <c r="F108" s="1" t="s">
        <v>69</v>
      </c>
      <c r="G108" s="1" t="s">
        <v>65</v>
      </c>
      <c r="H108" s="1" t="s">
        <v>83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1464.6489924528576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1520.105462950866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0.30943202422341648</v>
      </c>
      <c r="R108" s="1">
        <v>70</v>
      </c>
      <c r="S108" s="1">
        <v>88</v>
      </c>
      <c r="T108" s="1">
        <v>0</v>
      </c>
      <c r="U108" s="1">
        <f>Games[[#This Row],[PointsFor]]-Games[[#This Row],[PointsAgainst]]</f>
        <v>-18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0.52267898885517472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-12.049154506767643</v>
      </c>
      <c r="AB108" s="4">
        <f>Games[[#This Row],[PreGmRate]]+Games[[#This Row],[RatingChange]]</f>
        <v>1452.59983794609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42897</v>
      </c>
      <c r="B109" s="2">
        <v>2017</v>
      </c>
      <c r="C109" s="2">
        <f>COUNTIFS(Games[Team],Games[[#This Row],[Team]],Games[Season],Games[[#This Row],[Season]],Games[Date],"&lt;=" &amp; Games[[#This Row],[Date]])</f>
        <v>10</v>
      </c>
      <c r="D109" s="2" t="s">
        <v>81</v>
      </c>
      <c r="E109" s="2" t="s">
        <v>82</v>
      </c>
      <c r="F109" s="1" t="s">
        <v>65</v>
      </c>
      <c r="G109" s="1" t="s">
        <v>69</v>
      </c>
      <c r="H109" s="1" t="s">
        <v>84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1520.105462950866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1464.6489924528576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0.69056797577658346</v>
      </c>
      <c r="R109" s="1">
        <v>88</v>
      </c>
      <c r="S109" s="1">
        <v>70</v>
      </c>
      <c r="T109" s="1">
        <v>0</v>
      </c>
      <c r="U109" s="1">
        <f>Games[[#This Row],[PointsFor]]-Games[[#This Row],[PointsAgainst]]</f>
        <v>18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0.52267898885517472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12.049154506767644</v>
      </c>
      <c r="AB109" s="4">
        <f>Games[[#This Row],[PreGmRate]]+Games[[#This Row],[RatingChange]]</f>
        <v>1532.1546174576335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42899</v>
      </c>
      <c r="B110" s="2">
        <v>2017</v>
      </c>
      <c r="C110" s="2">
        <f>COUNTIFS(Games[Team],Games[[#This Row],[Team]],Games[Season],Games[[#This Row],[Season]],Games[Date],"&lt;=" &amp; Games[[#This Row],[Date]])</f>
        <v>11</v>
      </c>
      <c r="D110" s="2" t="s">
        <v>81</v>
      </c>
      <c r="E110" s="2" t="s">
        <v>82</v>
      </c>
      <c r="F110" s="1" t="s">
        <v>87</v>
      </c>
      <c r="G110" s="1" t="s">
        <v>63</v>
      </c>
      <c r="H110" s="1" t="s">
        <v>83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1435.3248084710692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1599.027168602993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0.1797572787341466</v>
      </c>
      <c r="R110" s="1">
        <v>87</v>
      </c>
      <c r="S110" s="1">
        <v>97</v>
      </c>
      <c r="T110" s="1">
        <v>0</v>
      </c>
      <c r="U110" s="1">
        <f>Games[[#This Row],[PointsFor]]-Games[[#This Row],[PointsAgainst]]</f>
        <v>-10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0.37233611530130423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-4.9762549321157881</v>
      </c>
      <c r="AB110" s="4">
        <f>Games[[#This Row],[PreGmRate]]+Games[[#This Row],[RatingChange]]</f>
        <v>1430.3485535389534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42899</v>
      </c>
      <c r="B111" s="2">
        <v>2017</v>
      </c>
      <c r="C111" s="2">
        <f>COUNTIFS(Games[Team],Games[[#This Row],[Team]],Games[Season],Games[[#This Row],[Season]],Games[Date],"&lt;=" &amp; Games[[#This Row],[Date]])</f>
        <v>9</v>
      </c>
      <c r="D111" s="2" t="s">
        <v>81</v>
      </c>
      <c r="E111" s="2" t="s">
        <v>82</v>
      </c>
      <c r="F111" s="1" t="s">
        <v>63</v>
      </c>
      <c r="G111" s="1" t="s">
        <v>87</v>
      </c>
      <c r="H111" s="1" t="s">
        <v>84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1599.027168602993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1435.3248084710692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0.82024272126585329</v>
      </c>
      <c r="R111" s="1">
        <v>97</v>
      </c>
      <c r="S111" s="1">
        <v>87</v>
      </c>
      <c r="T111" s="1">
        <v>0</v>
      </c>
      <c r="U111" s="1">
        <f>Games[[#This Row],[PointsFor]]-Games[[#This Row],[PointsAgainst]]</f>
        <v>10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0.37233611530130423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4.996333970174093</v>
      </c>
      <c r="AB111" s="4">
        <f>Games[[#This Row],[PreGmRate]]+Games[[#This Row],[RatingChange]]</f>
        <v>1604.0235025731672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42899</v>
      </c>
      <c r="B112" s="2">
        <v>2017</v>
      </c>
      <c r="C112" s="2">
        <f>COUNTIFS(Games[Team],Games[[#This Row],[Team]],Games[Season],Games[[#This Row],[Season]],Games[Date],"&lt;=" &amp; Games[[#This Row],[Date]])</f>
        <v>9</v>
      </c>
      <c r="D112" s="2" t="s">
        <v>81</v>
      </c>
      <c r="E112" s="2" t="s">
        <v>82</v>
      </c>
      <c r="F112" s="1" t="s">
        <v>79</v>
      </c>
      <c r="G112" s="1" t="s">
        <v>71</v>
      </c>
      <c r="H112" s="1" t="s">
        <v>83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1</v>
      </c>
      <c r="L112" s="2">
        <f>Games[[#This Row],[OppDaysOff]]-Games[[#This Row],[DaysOff]]</f>
        <v>-1</v>
      </c>
      <c r="M112" s="1">
        <f>MAX(-16, MIN(16, Games[[#This Row],[RestDiff]]*8))</f>
        <v>8</v>
      </c>
      <c r="N112" s="1">
        <f>MAX(-16, MIN(16, Games[[#This Row],[OppRestDiff]]*8))</f>
        <v>-8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1476.205837370481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1510.6709837596288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0.35667230162740277</v>
      </c>
      <c r="R112" s="1">
        <v>91</v>
      </c>
      <c r="S112" s="1">
        <v>86</v>
      </c>
      <c r="T112" s="1">
        <v>1</v>
      </c>
      <c r="U112" s="1">
        <f>Games[[#This Row],[PointsFor]]-Games[[#This Row],[PointsAgainst]]</f>
        <v>5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0.29024428477885894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13.938811311251396</v>
      </c>
      <c r="AB112" s="4">
        <f>Games[[#This Row],[PreGmRate]]+Games[[#This Row],[RatingChange]]</f>
        <v>1490.1446486817324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42899</v>
      </c>
      <c r="B113" s="2">
        <v>2017</v>
      </c>
      <c r="C113" s="2">
        <f>COUNTIFS(Games[Team],Games[[#This Row],[Team]],Games[Season],Games[[#This Row],[Season]],Games[Date],"&lt;=" &amp; Games[[#This Row],[Date]])</f>
        <v>10</v>
      </c>
      <c r="D113" s="2" t="s">
        <v>81</v>
      </c>
      <c r="E113" s="2" t="s">
        <v>82</v>
      </c>
      <c r="F113" s="1" t="s">
        <v>71</v>
      </c>
      <c r="G113" s="1" t="s">
        <v>79</v>
      </c>
      <c r="H113" s="1" t="s">
        <v>84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-1</v>
      </c>
      <c r="L113" s="2">
        <f>Games[[#This Row],[OppDaysOff]]-Games[[#This Row],[DaysOff]]</f>
        <v>1</v>
      </c>
      <c r="M113" s="1">
        <f>MAX(-16, MIN(16, Games[[#This Row],[RestDiff]]*8))</f>
        <v>-8</v>
      </c>
      <c r="N113" s="1">
        <f>MAX(-16, MIN(16, Games[[#This Row],[OppRestDiff]]*8))</f>
        <v>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1510.6709837596288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1476.205837370481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0.64332769837259729</v>
      </c>
      <c r="R113" s="1">
        <v>86</v>
      </c>
      <c r="S113" s="1">
        <v>91</v>
      </c>
      <c r="T113" s="1">
        <v>1</v>
      </c>
      <c r="U113" s="1">
        <f>Games[[#This Row],[PointsFor]]-Games[[#This Row],[PointsAgainst]]</f>
        <v>-5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0.29024428477885894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-13.910802983097506</v>
      </c>
      <c r="AB113" s="4">
        <f>Games[[#This Row],[PreGmRate]]+Games[[#This Row],[RatingChange]]</f>
        <v>1496.7601807765313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42900</v>
      </c>
      <c r="B114" s="2">
        <v>2017</v>
      </c>
      <c r="C114" s="2">
        <f>COUNTIFS(Games[Team],Games[[#This Row],[Team]],Games[Season],Games[[#This Row],[Season]],Games[Date],"&lt;=" &amp; Games[[#This Row],[Date]])</f>
        <v>10</v>
      </c>
      <c r="D114" s="2" t="s">
        <v>81</v>
      </c>
      <c r="E114" s="2" t="s">
        <v>82</v>
      </c>
      <c r="F114" s="1" t="s">
        <v>60</v>
      </c>
      <c r="G114" s="1" t="s">
        <v>76</v>
      </c>
      <c r="H114" s="1" t="s">
        <v>83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1524.9891488581554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1500.7110990908393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0.39272059513374769</v>
      </c>
      <c r="R114" s="1">
        <v>76</v>
      </c>
      <c r="S114" s="1">
        <v>96</v>
      </c>
      <c r="T114" s="1">
        <v>0</v>
      </c>
      <c r="U114" s="1">
        <f>Games[[#This Row],[PointsFor]]-Games[[#This Row],[PointsAgainst]]</f>
        <v>-20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0.5634870533386771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-16.486326334830871</v>
      </c>
      <c r="AB114" s="4">
        <f>Games[[#This Row],[PreGmRate]]+Games[[#This Row],[RatingChange]]</f>
        <v>1508.5028225233245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42900</v>
      </c>
      <c r="B115" s="2">
        <v>2017</v>
      </c>
      <c r="C115" s="2">
        <f>COUNTIFS(Games[Team],Games[[#This Row],[Team]],Games[Season],Games[[#This Row],[Season]],Games[Date],"&lt;=" &amp; Games[[#This Row],[Date]])</f>
        <v>9</v>
      </c>
      <c r="D115" s="2" t="s">
        <v>81</v>
      </c>
      <c r="E115" s="2" t="s">
        <v>82</v>
      </c>
      <c r="F115" s="1" t="s">
        <v>76</v>
      </c>
      <c r="G115" s="1" t="s">
        <v>60</v>
      </c>
      <c r="H115" s="1" t="s">
        <v>84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1500.7110990908393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1524.9891488581554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0.60727940486625231</v>
      </c>
      <c r="R115" s="1">
        <v>96</v>
      </c>
      <c r="S115" s="1">
        <v>76</v>
      </c>
      <c r="T115" s="1">
        <v>0</v>
      </c>
      <c r="U115" s="1">
        <f>Games[[#This Row],[PointsFor]]-Games[[#This Row],[PointsAgainst]]</f>
        <v>20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0.5634870533386771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16.519520280471472</v>
      </c>
      <c r="AB115" s="4">
        <f>Games[[#This Row],[PreGmRate]]+Games[[#This Row],[RatingChange]]</f>
        <v>1517.2306193713107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42901</v>
      </c>
      <c r="B116" s="2">
        <v>2017</v>
      </c>
      <c r="C116" s="2">
        <f>COUNTIFS(Games[Team],Games[[#This Row],[Team]],Games[Season],Games[[#This Row],[Season]],Games[Date],"&lt;=" &amp; Games[[#This Row],[Date]])</f>
        <v>10</v>
      </c>
      <c r="D116" s="2" t="s">
        <v>81</v>
      </c>
      <c r="E116" s="2" t="s">
        <v>82</v>
      </c>
      <c r="F116" s="1" t="s">
        <v>79</v>
      </c>
      <c r="G116" s="1" t="s">
        <v>69</v>
      </c>
      <c r="H116" s="1" t="s">
        <v>83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-2</v>
      </c>
      <c r="L116" s="2">
        <f>Games[[#This Row],[OppDaysOff]]-Games[[#This Row],[DaysOff]]</f>
        <v>2</v>
      </c>
      <c r="M116" s="1">
        <f>MAX(-16, MIN(16, Games[[#This Row],[RestDiff]]*8))</f>
        <v>-16</v>
      </c>
      <c r="N116" s="1">
        <f>MAX(-16, MIN(16, Games[[#This Row],[OppRestDiff]]*8))</f>
        <v>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1490.1446486817324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1452.59983794609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0.38897462625700885</v>
      </c>
      <c r="R116" s="1">
        <v>74</v>
      </c>
      <c r="S116" s="1">
        <v>85</v>
      </c>
      <c r="T116" s="1">
        <v>0</v>
      </c>
      <c r="U116" s="1">
        <f>Games[[#This Row],[PointsFor]]-Games[[#This Row],[PointsAgainst]]</f>
        <v>-11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0.42649216394468331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-12.359149940358497</v>
      </c>
      <c r="AB116" s="4">
        <f>Games[[#This Row],[PreGmRate]]+Games[[#This Row],[RatingChange]]</f>
        <v>1477.7854987413739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42901</v>
      </c>
      <c r="B117" s="2">
        <v>2017</v>
      </c>
      <c r="C117" s="2">
        <f>COUNTIFS(Games[Team],Games[[#This Row],[Team]],Games[Season],Games[[#This Row],[Season]],Games[Date],"&lt;=" &amp; Games[[#This Row],[Date]])</f>
        <v>11</v>
      </c>
      <c r="D117" s="2" t="s">
        <v>81</v>
      </c>
      <c r="E117" s="2" t="s">
        <v>82</v>
      </c>
      <c r="F117" s="1" t="s">
        <v>69</v>
      </c>
      <c r="G117" s="1" t="s">
        <v>79</v>
      </c>
      <c r="H117" s="1" t="s">
        <v>84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2</v>
      </c>
      <c r="L117" s="2">
        <f>Games[[#This Row],[OppDaysOff]]-Games[[#This Row],[DaysOff]]</f>
        <v>-2</v>
      </c>
      <c r="M117" s="1">
        <f>MAX(-16, MIN(16, Games[[#This Row],[RestDiff]]*8))</f>
        <v>16</v>
      </c>
      <c r="N117" s="1">
        <f>MAX(-16, MIN(16, Games[[#This Row],[OppRestDiff]]*8))</f>
        <v>-16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1452.59983794609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1490.1446486817324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0.61102537374299115</v>
      </c>
      <c r="R117" s="1">
        <v>85</v>
      </c>
      <c r="S117" s="1">
        <v>74</v>
      </c>
      <c r="T117" s="1">
        <v>0</v>
      </c>
      <c r="U117" s="1">
        <f>Games[[#This Row],[PointsFor]]-Games[[#This Row],[PointsAgainst]]</f>
        <v>11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0.42649216394468331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12.334265745847707</v>
      </c>
      <c r="AB117" s="4">
        <f>Games[[#This Row],[PreGmRate]]+Games[[#This Row],[RatingChange]]</f>
        <v>1464.9341036919377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42901</v>
      </c>
      <c r="B118" s="2">
        <v>2017</v>
      </c>
      <c r="C118" s="2">
        <f>COUNTIFS(Games[Team],Games[[#This Row],[Team]],Games[Season],Games[[#This Row],[Season]],Games[Date],"&lt;=" &amp; Games[[#This Row],[Date]])</f>
        <v>10</v>
      </c>
      <c r="D118" s="2" t="s">
        <v>81</v>
      </c>
      <c r="E118" s="2" t="s">
        <v>82</v>
      </c>
      <c r="F118" s="1" t="s">
        <v>74</v>
      </c>
      <c r="G118" s="1" t="s">
        <v>63</v>
      </c>
      <c r="H118" s="1" t="s">
        <v>83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3</v>
      </c>
      <c r="L118" s="2">
        <f>Games[[#This Row],[OppDaysOff]]-Games[[#This Row],[DaysOff]]</f>
        <v>-3</v>
      </c>
      <c r="M118" s="1">
        <f>MAX(-16, MIN(16, Games[[#This Row],[RestDiff]]*8))</f>
        <v>16</v>
      </c>
      <c r="N118" s="1">
        <f>MAX(-16, MIN(16, Games[[#This Row],[OppRestDiff]]*8))</f>
        <v>-16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1315.3732711659454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1604.0235025731672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0.12336531486760982</v>
      </c>
      <c r="R118" s="1">
        <v>75</v>
      </c>
      <c r="S118" s="1">
        <v>80</v>
      </c>
      <c r="T118" s="1">
        <v>0</v>
      </c>
      <c r="U118" s="1">
        <f>Games[[#This Row],[PointsFor]]-Games[[#This Row],[PointsAgainst]]</f>
        <v>-5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0.26742827976264538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74.5</v>
      </c>
      <c r="Z118" s="4">
        <f>Games[[#This Row],[K]]*Games[[#This Row],[POMult]]</f>
        <v>74.5</v>
      </c>
      <c r="AA118" s="4">
        <f>(Games[[#This Row],[Keff]]*Games[[#This Row],[MOVMult]])*(Games[[#This Row],[Result]]-Games[[#This Row],[ExpectedWin%]])</f>
        <v>-2.4578573583379386</v>
      </c>
      <c r="AB118" s="4">
        <f>Games[[#This Row],[PreGmRate]]+Games[[#This Row],[RatingChange]]</f>
        <v>1312.9154138076076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42901</v>
      </c>
      <c r="B119" s="2">
        <v>2017</v>
      </c>
      <c r="C119" s="2">
        <f>COUNTIFS(Games[Team],Games[[#This Row],[Team]],Games[Season],Games[[#This Row],[Season]],Games[Date],"&lt;=" &amp; Games[[#This Row],[Date]])</f>
        <v>10</v>
      </c>
      <c r="D119" s="2" t="s">
        <v>81</v>
      </c>
      <c r="E119" s="2" t="s">
        <v>82</v>
      </c>
      <c r="F119" s="1" t="s">
        <v>63</v>
      </c>
      <c r="G119" s="1" t="s">
        <v>74</v>
      </c>
      <c r="H119" s="1" t="s">
        <v>84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9" s="2">
        <f>Games[[#This Row],[DaysOff]]-Games[[#This Row],[OppDaysOff]]</f>
        <v>-3</v>
      </c>
      <c r="L119" s="2">
        <f>Games[[#This Row],[OppDaysOff]]-Games[[#This Row],[DaysOff]]</f>
        <v>3</v>
      </c>
      <c r="M119" s="1">
        <f>MAX(-16, MIN(16, Games[[#This Row],[RestDiff]]*8))</f>
        <v>-16</v>
      </c>
      <c r="N119" s="1">
        <f>MAX(-16, MIN(16, Games[[#This Row],[OppRestDiff]]*8))</f>
        <v>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1604.0235025731672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1315.3732711659454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0.87663468513239018</v>
      </c>
      <c r="R119" s="1">
        <v>80</v>
      </c>
      <c r="S119" s="1">
        <v>75</v>
      </c>
      <c r="T119" s="1">
        <v>0</v>
      </c>
      <c r="U119" s="1">
        <f>Games[[#This Row],[PointsFor]]-Games[[#This Row],[PointsAgainst]]</f>
        <v>5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0.26742827976264538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2.4578573583379386</v>
      </c>
      <c r="AB119" s="4">
        <f>Games[[#This Row],[PreGmRate]]+Games[[#This Row],[RatingChange]]</f>
        <v>1606.481359931505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42902</v>
      </c>
      <c r="B120" s="2">
        <v>2017</v>
      </c>
      <c r="C120" s="2">
        <f>COUNTIFS(Games[Team],Games[[#This Row],[Team]],Games[Season],Games[[#This Row],[Season]],Games[Date],"&lt;=" &amp; Games[[#This Row],[Date]])</f>
        <v>11</v>
      </c>
      <c r="D120" s="2" t="s">
        <v>81</v>
      </c>
      <c r="E120" s="2" t="s">
        <v>82</v>
      </c>
      <c r="F120" s="1" t="s">
        <v>60</v>
      </c>
      <c r="G120" s="1" t="s">
        <v>87</v>
      </c>
      <c r="H120" s="1" t="s">
        <v>83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1508.5028225233245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1430.3485535389534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0.46860283148902426</v>
      </c>
      <c r="R120" s="1">
        <v>102</v>
      </c>
      <c r="S120" s="1">
        <v>93</v>
      </c>
      <c r="T120" s="1">
        <v>1</v>
      </c>
      <c r="U120" s="1">
        <f>Games[[#This Row],[PointsFor]]-Games[[#This Row],[PointsAgainst]]</f>
        <v>9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0.34303312202479014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13.553025791871868</v>
      </c>
      <c r="AB120" s="4">
        <f>Games[[#This Row],[PreGmRate]]+Games[[#This Row],[RatingChange]]</f>
        <v>1522.0558483151965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42902</v>
      </c>
      <c r="B121" s="2">
        <v>2017</v>
      </c>
      <c r="C121" s="2">
        <f>COUNTIFS(Games[Team],Games[[#This Row],[Team]],Games[Season],Games[[#This Row],[Season]],Games[Date],"&lt;=" &amp; Games[[#This Row],[Date]])</f>
        <v>12</v>
      </c>
      <c r="D121" s="2" t="s">
        <v>81</v>
      </c>
      <c r="E121" s="2" t="s">
        <v>82</v>
      </c>
      <c r="F121" s="1" t="s">
        <v>87</v>
      </c>
      <c r="G121" s="1" t="s">
        <v>60</v>
      </c>
      <c r="H121" s="1" t="s">
        <v>84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1430.3485535389534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1508.5028225233245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0.53139716851097574</v>
      </c>
      <c r="R121" s="1">
        <v>93</v>
      </c>
      <c r="S121" s="1">
        <v>102</v>
      </c>
      <c r="T121" s="1">
        <v>1</v>
      </c>
      <c r="U121" s="1">
        <f>Games[[#This Row],[PointsFor]]-Games[[#This Row],[PointsAgainst]]</f>
        <v>-9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0.34303312202479014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74.2</v>
      </c>
      <c r="Z121" s="4">
        <f>Games[[#This Row],[K]]*Games[[#This Row],[POMult]]</f>
        <v>74.2</v>
      </c>
      <c r="AA121" s="4">
        <f>(Games[[#This Row],[Keff]]*Games[[#This Row],[MOVMult]])*(Games[[#This Row],[Result]]-Games[[#This Row],[ExpectedWin%]])</f>
        <v>-13.525682767409451</v>
      </c>
      <c r="AB121" s="4">
        <f>Games[[#This Row],[PreGmRate]]+Games[[#This Row],[RatingChange]]</f>
        <v>1416.8228707715439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42902</v>
      </c>
      <c r="B122" s="2">
        <v>2017</v>
      </c>
      <c r="C122" s="2">
        <f>COUNTIFS(Games[Team],Games[[#This Row],[Team]],Games[Season],Games[[#This Row],[Season]],Games[Date],"&lt;=" &amp; Games[[#This Row],[Date]])</f>
        <v>10</v>
      </c>
      <c r="D122" s="2" t="s">
        <v>81</v>
      </c>
      <c r="E122" s="2" t="s">
        <v>82</v>
      </c>
      <c r="F122" s="1" t="s">
        <v>77</v>
      </c>
      <c r="G122" s="1" t="s">
        <v>40</v>
      </c>
      <c r="H122" s="1" t="s">
        <v>83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1426.9895296087177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1526.4252199139178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0.25808595322658784</v>
      </c>
      <c r="R122" s="1">
        <v>78</v>
      </c>
      <c r="S122" s="1">
        <v>86</v>
      </c>
      <c r="T122" s="1">
        <v>0</v>
      </c>
      <c r="U122" s="1">
        <f>Games[[#This Row],[PointsFor]]-Games[[#This Row],[PointsAgainst]]</f>
        <v>-8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0.35860077222764414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-6.8949617485480728</v>
      </c>
      <c r="AB122" s="4">
        <f>Games[[#This Row],[PreGmRate]]+Games[[#This Row],[RatingChange]]</f>
        <v>1420.0945678601697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42902</v>
      </c>
      <c r="B123" s="2">
        <v>2017</v>
      </c>
      <c r="C123" s="2">
        <f>COUNTIFS(Games[Team],Games[[#This Row],[Team]],Games[Season],Games[[#This Row],[Season]],Games[Date],"&lt;=" &amp; Games[[#This Row],[Date]])</f>
        <v>10</v>
      </c>
      <c r="D123" s="2" t="s">
        <v>81</v>
      </c>
      <c r="E123" s="2" t="s">
        <v>82</v>
      </c>
      <c r="F123" s="1" t="s">
        <v>40</v>
      </c>
      <c r="G123" s="1" t="s">
        <v>77</v>
      </c>
      <c r="H123" s="1" t="s">
        <v>84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1526.4252199139178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1426.9895296087177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0.74191404677341222</v>
      </c>
      <c r="R123" s="1">
        <v>86</v>
      </c>
      <c r="S123" s="1">
        <v>78</v>
      </c>
      <c r="T123" s="1">
        <v>0</v>
      </c>
      <c r="U123" s="1">
        <f>Games[[#This Row],[PointsFor]]-Games[[#This Row],[PointsAgainst]]</f>
        <v>8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0.35860077222764414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6.894961748548071</v>
      </c>
      <c r="AB123" s="4">
        <f>Games[[#This Row],[PreGmRate]]+Games[[#This Row],[RatingChange]]</f>
        <v>1533.3201816624658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42903</v>
      </c>
      <c r="B124" s="2">
        <v>2017</v>
      </c>
      <c r="C124" s="2">
        <f>COUNTIFS(Games[Team],Games[[#This Row],[Team]],Games[Season],Games[[#This Row],[Season]],Games[Date],"&lt;=" &amp; Games[[#This Row],[Date]])</f>
        <v>10</v>
      </c>
      <c r="D124" s="2" t="s">
        <v>81</v>
      </c>
      <c r="E124" s="2" t="s">
        <v>82</v>
      </c>
      <c r="F124" s="1" t="s">
        <v>76</v>
      </c>
      <c r="G124" s="1" t="s">
        <v>67</v>
      </c>
      <c r="H124" s="1" t="s">
        <v>83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4" s="2">
        <f>Games[[#This Row],[DaysOff]]-Games[[#This Row],[OppDaysOff]]</f>
        <v>-3</v>
      </c>
      <c r="L124" s="2">
        <f>Games[[#This Row],[OppDaysOff]]-Games[[#This Row],[DaysOff]]</f>
        <v>3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1517.2306193713107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1700.0671346258282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0.15184009004745147</v>
      </c>
      <c r="R124" s="1">
        <v>98</v>
      </c>
      <c r="S124" s="1">
        <v>93</v>
      </c>
      <c r="T124" s="1">
        <v>0</v>
      </c>
      <c r="U124" s="1">
        <f>Games[[#This Row],[PointsFor]]-Games[[#This Row],[PointsAgainst]]</f>
        <v>5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0.2878917111038421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18.191276478561026</v>
      </c>
      <c r="AB124" s="4">
        <f>Games[[#This Row],[PreGmRate]]+Games[[#This Row],[RatingChange]]</f>
        <v>1535.4218958498718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42903</v>
      </c>
      <c r="B125" s="2">
        <v>2017</v>
      </c>
      <c r="C125" s="2">
        <f>COUNTIFS(Games[Team],Games[[#This Row],[Team]],Games[Season],Games[[#This Row],[Season]],Games[Date],"&lt;=" &amp; Games[[#This Row],[Date]])</f>
        <v>10</v>
      </c>
      <c r="D125" s="2" t="s">
        <v>81</v>
      </c>
      <c r="E125" s="2" t="s">
        <v>82</v>
      </c>
      <c r="F125" s="1" t="s">
        <v>67</v>
      </c>
      <c r="G125" s="1" t="s">
        <v>76</v>
      </c>
      <c r="H125" s="1" t="s">
        <v>84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3</v>
      </c>
      <c r="L125" s="2">
        <f>Games[[#This Row],[OppDaysOff]]-Games[[#This Row],[DaysOff]]</f>
        <v>-3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1700.0671346258282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1517.2306193713107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0.84815990995254853</v>
      </c>
      <c r="R125" s="1">
        <v>93</v>
      </c>
      <c r="S125" s="1">
        <v>98</v>
      </c>
      <c r="T125" s="1">
        <v>0</v>
      </c>
      <c r="U125" s="1">
        <f>Games[[#This Row],[PointsFor]]-Games[[#This Row],[PointsAgainst]]</f>
        <v>-5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0.2878917111038421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-18.191276478561026</v>
      </c>
      <c r="AB125" s="4">
        <f>Games[[#This Row],[PreGmRate]]+Games[[#This Row],[RatingChange]]</f>
        <v>1681.8758581472671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42904</v>
      </c>
      <c r="B126" s="2">
        <v>2017</v>
      </c>
      <c r="C126" s="2">
        <f>COUNTIFS(Games[Team],Games[[#This Row],[Team]],Games[Season],Games[[#This Row],[Season]],Games[Date],"&lt;=" &amp; Games[[#This Row],[Date]])</f>
        <v>12</v>
      </c>
      <c r="D126" s="2" t="s">
        <v>81</v>
      </c>
      <c r="E126" s="2" t="s">
        <v>82</v>
      </c>
      <c r="F126" s="1" t="s">
        <v>69</v>
      </c>
      <c r="G126" s="1" t="s">
        <v>77</v>
      </c>
      <c r="H126" s="1" t="s">
        <v>83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1</v>
      </c>
      <c r="L126" s="2">
        <f>Games[[#This Row],[OppDaysOff]]-Games[[#This Row],[DaysOff]]</f>
        <v>-1</v>
      </c>
      <c r="M126" s="1">
        <f>MAX(-16, MIN(16, Games[[#This Row],[RestDiff]]*8))</f>
        <v>8</v>
      </c>
      <c r="N126" s="1">
        <f>MAX(-16, MIN(16, Games[[#This Row],[OppRestDiff]]*8))</f>
        <v>-8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1464.9341036919377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1420.0945678601697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0.46671869570142271</v>
      </c>
      <c r="R126" s="1">
        <v>91</v>
      </c>
      <c r="S126" s="1">
        <v>79</v>
      </c>
      <c r="T126" s="1">
        <v>0</v>
      </c>
      <c r="U126" s="1">
        <f>Games[[#This Row],[PointsFor]]-Games[[#This Row],[PointsAgainst]]</f>
        <v>12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0.43969950819895909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74.2</v>
      </c>
      <c r="Z126" s="4">
        <f>Games[[#This Row],[K]]*Games[[#This Row],[POMult]]</f>
        <v>74.2</v>
      </c>
      <c r="AA126" s="4">
        <f>(Games[[#This Row],[Keff]]*Games[[#This Row],[MOVMult]])*(Games[[#This Row],[Result]]-Games[[#This Row],[ExpectedWin%]])</f>
        <v>17.398677720598368</v>
      </c>
      <c r="AB126" s="4">
        <f>Games[[#This Row],[PreGmRate]]+Games[[#This Row],[RatingChange]]</f>
        <v>1482.3327814125362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42904</v>
      </c>
      <c r="B127" s="2">
        <v>2017</v>
      </c>
      <c r="C127" s="2">
        <f>COUNTIFS(Games[Team],Games[[#This Row],[Team]],Games[Season],Games[[#This Row],[Season]],Games[Date],"&lt;=" &amp; Games[[#This Row],[Date]])</f>
        <v>11</v>
      </c>
      <c r="D127" s="2" t="s">
        <v>81</v>
      </c>
      <c r="E127" s="2" t="s">
        <v>82</v>
      </c>
      <c r="F127" s="1" t="s">
        <v>77</v>
      </c>
      <c r="G127" s="1" t="s">
        <v>69</v>
      </c>
      <c r="H127" s="1" t="s">
        <v>84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-1</v>
      </c>
      <c r="L127" s="2">
        <f>Games[[#This Row],[OppDaysOff]]-Games[[#This Row],[DaysOff]]</f>
        <v>1</v>
      </c>
      <c r="M127" s="1">
        <f>MAX(-16, MIN(16, Games[[#This Row],[RestDiff]]*8))</f>
        <v>-8</v>
      </c>
      <c r="N127" s="1">
        <f>MAX(-16, MIN(16, Games[[#This Row],[OppRestDiff]]*8))</f>
        <v>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1420.0945678601697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1464.9341036919377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0.53328130429857734</v>
      </c>
      <c r="R127" s="1">
        <v>79</v>
      </c>
      <c r="S127" s="1">
        <v>91</v>
      </c>
      <c r="T127" s="1">
        <v>0</v>
      </c>
      <c r="U127" s="1">
        <f>Games[[#This Row],[PointsFor]]-Games[[#This Row],[PointsAgainst]]</f>
        <v>-12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0.43969950819895909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-17.433850249683132</v>
      </c>
      <c r="AB127" s="4">
        <f>Games[[#This Row],[PreGmRate]]+Games[[#This Row],[RatingChange]]</f>
        <v>1402.6607176104867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42904</v>
      </c>
      <c r="B128" s="2">
        <v>2017</v>
      </c>
      <c r="C128" s="2">
        <f>COUNTIFS(Games[Team],Games[[#This Row],[Team]],Games[Season],Games[[#This Row],[Season]],Games[Date],"&lt;=" &amp; Games[[#This Row],[Date]])</f>
        <v>11</v>
      </c>
      <c r="D128" s="2" t="s">
        <v>81</v>
      </c>
      <c r="E128" s="2" t="s">
        <v>82</v>
      </c>
      <c r="F128" s="1" t="s">
        <v>40</v>
      </c>
      <c r="G128" s="1" t="s">
        <v>63</v>
      </c>
      <c r="H128" s="1" t="s">
        <v>83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1533.3201816624658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1606.481359931505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0.26957185787706905</v>
      </c>
      <c r="R128" s="1">
        <v>59</v>
      </c>
      <c r="S128" s="1">
        <v>90</v>
      </c>
      <c r="T128" s="1">
        <v>0</v>
      </c>
      <c r="U128" s="1">
        <f>Games[[#This Row],[PointsFor]]-Games[[#This Row],[PointsAgainst]]</f>
        <v>-31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0.67436979961206533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-13.516169755465391</v>
      </c>
      <c r="AB128" s="4">
        <f>Games[[#This Row],[PreGmRate]]+Games[[#This Row],[RatingChange]]</f>
        <v>1519.8040119070004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42904</v>
      </c>
      <c r="B129" s="2">
        <v>2017</v>
      </c>
      <c r="C129" s="2">
        <f>COUNTIFS(Games[Team],Games[[#This Row],[Team]],Games[Season],Games[[#This Row],[Season]],Games[Date],"&lt;=" &amp; Games[[#This Row],[Date]])</f>
        <v>11</v>
      </c>
      <c r="D129" s="2" t="s">
        <v>81</v>
      </c>
      <c r="E129" s="2" t="s">
        <v>82</v>
      </c>
      <c r="F129" s="1" t="s">
        <v>63</v>
      </c>
      <c r="G129" s="1" t="s">
        <v>40</v>
      </c>
      <c r="H129" s="1" t="s">
        <v>84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1606.481359931505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1533.3201816624658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0.73042814212293095</v>
      </c>
      <c r="R129" s="1">
        <v>90</v>
      </c>
      <c r="S129" s="1">
        <v>59</v>
      </c>
      <c r="T129" s="1">
        <v>0</v>
      </c>
      <c r="U129" s="1">
        <f>Games[[#This Row],[PointsFor]]-Games[[#This Row],[PointsAgainst]]</f>
        <v>31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0.67436979961206533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13.516169755465391</v>
      </c>
      <c r="AB129" s="4">
        <f>Games[[#This Row],[PreGmRate]]+Games[[#This Row],[RatingChange]]</f>
        <v>1619.9975296869704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42904</v>
      </c>
      <c r="B130" s="2">
        <v>2017</v>
      </c>
      <c r="C130" s="2">
        <f>COUNTIFS(Games[Team],Games[[#This Row],[Team]],Games[Season],Games[[#This Row],[Season]],Games[Date],"&lt;=" &amp; Games[[#This Row],[Date]])</f>
        <v>11</v>
      </c>
      <c r="D130" s="2" t="s">
        <v>81</v>
      </c>
      <c r="E130" s="2" t="s">
        <v>82</v>
      </c>
      <c r="F130" s="1" t="s">
        <v>74</v>
      </c>
      <c r="G130" s="1" t="s">
        <v>71</v>
      </c>
      <c r="H130" s="1" t="s">
        <v>83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0" s="2">
        <f>Games[[#This Row],[DaysOff]]-Games[[#This Row],[OppDaysOff]]</f>
        <v>-2</v>
      </c>
      <c r="L130" s="2">
        <f>Games[[#This Row],[OppDaysOff]]-Games[[#This Row],[DaysOff]]</f>
        <v>2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1312.9154138076076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1496.7601807765313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0.15109413793757664</v>
      </c>
      <c r="R130" s="1">
        <v>57</v>
      </c>
      <c r="S130" s="1">
        <v>75</v>
      </c>
      <c r="T130" s="1">
        <v>0</v>
      </c>
      <c r="U130" s="1">
        <f>Games[[#This Row],[PointsFor]]-Games[[#This Row],[PointsAgainst]]</f>
        <v>-18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0.47418665316694542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-5.3269413333041724</v>
      </c>
      <c r="AB130" s="4">
        <f>Games[[#This Row],[PreGmRate]]+Games[[#This Row],[RatingChange]]</f>
        <v>1307.5884724743034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42904</v>
      </c>
      <c r="B131" s="2">
        <v>2017</v>
      </c>
      <c r="C131" s="2">
        <f>COUNTIFS(Games[Team],Games[[#This Row],[Team]],Games[Season],Games[[#This Row],[Season]],Games[Date],"&lt;=" &amp; Games[[#This Row],[Date]])</f>
        <v>11</v>
      </c>
      <c r="D131" s="2" t="s">
        <v>81</v>
      </c>
      <c r="E131" s="2" t="s">
        <v>82</v>
      </c>
      <c r="F131" s="1" t="s">
        <v>71</v>
      </c>
      <c r="G131" s="1" t="s">
        <v>74</v>
      </c>
      <c r="H131" s="1" t="s">
        <v>84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2</v>
      </c>
      <c r="L131" s="2">
        <f>Games[[#This Row],[OppDaysOff]]-Games[[#This Row],[DaysOff]]</f>
        <v>-2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1496.7601807765313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1312.9154138076076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0.84890586206242336</v>
      </c>
      <c r="R131" s="1">
        <v>75</v>
      </c>
      <c r="S131" s="1">
        <v>57</v>
      </c>
      <c r="T131" s="1">
        <v>0</v>
      </c>
      <c r="U131" s="1">
        <f>Games[[#This Row],[PointsFor]]-Games[[#This Row],[PointsAgainst]]</f>
        <v>18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0.47418665316694542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5.3269413333041724</v>
      </c>
      <c r="AB131" s="4">
        <f>Games[[#This Row],[PreGmRate]]+Games[[#This Row],[RatingChange]]</f>
        <v>1502.0871221098355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42904</v>
      </c>
      <c r="B132" s="2">
        <v>2017</v>
      </c>
      <c r="C132" s="2">
        <f>COUNTIFS(Games[Team],Games[[#This Row],[Team]],Games[Season],Games[[#This Row],[Season]],Games[Date],"&lt;=" &amp; Games[[#This Row],[Date]])</f>
        <v>13</v>
      </c>
      <c r="D132" s="2" t="s">
        <v>81</v>
      </c>
      <c r="E132" s="2" t="s">
        <v>82</v>
      </c>
      <c r="F132" s="1" t="s">
        <v>87</v>
      </c>
      <c r="G132" s="1" t="s">
        <v>65</v>
      </c>
      <c r="H132" s="1" t="s">
        <v>83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2" s="2">
        <f>Games[[#This Row],[DaysOff]]-Games[[#This Row],[OppDaysOff]]</f>
        <v>-5</v>
      </c>
      <c r="L132" s="2">
        <f>Games[[#This Row],[OppDaysOff]]-Games[[#This Row],[DaysOff]]</f>
        <v>5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1416.8228707715439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1532.1546174576335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0.20888614071339348</v>
      </c>
      <c r="R132" s="1">
        <v>87</v>
      </c>
      <c r="S132" s="1">
        <v>83</v>
      </c>
      <c r="T132" s="1">
        <v>0</v>
      </c>
      <c r="U132" s="1">
        <f>Games[[#This Row],[PointsFor]]-Games[[#This Row],[PointsAgainst]]</f>
        <v>4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0.28412549368341611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16.644634352181853</v>
      </c>
      <c r="AB132" s="4">
        <f>Games[[#This Row],[PreGmRate]]+Games[[#This Row],[RatingChange]]</f>
        <v>1433.4675051237257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42904</v>
      </c>
      <c r="B133" s="2">
        <v>2017</v>
      </c>
      <c r="C133" s="2">
        <f>COUNTIFS(Games[Team],Games[[#This Row],[Team]],Games[Season],Games[[#This Row],[Season]],Games[Date],"&lt;=" &amp; Games[[#This Row],[Date]])</f>
        <v>11</v>
      </c>
      <c r="D133" s="2" t="s">
        <v>81</v>
      </c>
      <c r="E133" s="2" t="s">
        <v>82</v>
      </c>
      <c r="F133" s="1" t="s">
        <v>65</v>
      </c>
      <c r="G133" s="1" t="s">
        <v>87</v>
      </c>
      <c r="H133" s="1" t="s">
        <v>84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5</v>
      </c>
      <c r="L133" s="2">
        <f>Games[[#This Row],[OppDaysOff]]-Games[[#This Row],[DaysOff]]</f>
        <v>-5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1532.1546174576335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1416.8228707715439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0.79111385928660649</v>
      </c>
      <c r="R133" s="1">
        <v>83</v>
      </c>
      <c r="S133" s="1">
        <v>87</v>
      </c>
      <c r="T133" s="1">
        <v>0</v>
      </c>
      <c r="U133" s="1">
        <f>Games[[#This Row],[PointsFor]]-Games[[#This Row],[PointsAgainst]]</f>
        <v>-4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0.28412549368341611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-16.712067036930733</v>
      </c>
      <c r="AB133" s="4">
        <f>Games[[#This Row],[PreGmRate]]+Games[[#This Row],[RatingChange]]</f>
        <v>1515.4425504207029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42907</v>
      </c>
      <c r="B134" s="2">
        <v>2017</v>
      </c>
      <c r="C134" s="2">
        <f>COUNTIFS(Games[Team],Games[[#This Row],[Team]],Games[Season],Games[[#This Row],[Season]],Games[Date],"&lt;=" &amp; Games[[#This Row],[Date]])</f>
        <v>12</v>
      </c>
      <c r="D134" s="2" t="s">
        <v>81</v>
      </c>
      <c r="E134" s="2" t="s">
        <v>82</v>
      </c>
      <c r="F134" s="1" t="s">
        <v>74</v>
      </c>
      <c r="G134" s="1" t="s">
        <v>87</v>
      </c>
      <c r="H134" s="1" t="s">
        <v>83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1307.5884724743034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1433.4675051237257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0.23002663269710882</v>
      </c>
      <c r="R134" s="1">
        <v>78</v>
      </c>
      <c r="S134" s="1">
        <v>81</v>
      </c>
      <c r="T134" s="1">
        <v>0</v>
      </c>
      <c r="U134" s="1">
        <f>Games[[#This Row],[PointsFor]]-Games[[#This Row],[PointsAgainst]]</f>
        <v>-3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0.26263348068988063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-4.4826219835887882</v>
      </c>
      <c r="AB134" s="4">
        <f>Games[[#This Row],[PreGmRate]]+Games[[#This Row],[RatingChange]]</f>
        <v>1303.1058504907146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42907</v>
      </c>
      <c r="B135" s="2">
        <v>2017</v>
      </c>
      <c r="C135" s="2">
        <f>COUNTIFS(Games[Team],Games[[#This Row],[Team]],Games[Season],Games[[#This Row],[Season]],Games[Date],"&lt;=" &amp; Games[[#This Row],[Date]])</f>
        <v>14</v>
      </c>
      <c r="D135" s="2" t="s">
        <v>81</v>
      </c>
      <c r="E135" s="2" t="s">
        <v>82</v>
      </c>
      <c r="F135" s="1" t="s">
        <v>87</v>
      </c>
      <c r="G135" s="1" t="s">
        <v>74</v>
      </c>
      <c r="H135" s="1" t="s">
        <v>84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1433.4675051237257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1307.5884724743034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0.76997336730289123</v>
      </c>
      <c r="R135" s="1">
        <v>81</v>
      </c>
      <c r="S135" s="1">
        <v>78</v>
      </c>
      <c r="T135" s="1">
        <v>0</v>
      </c>
      <c r="U135" s="1">
        <f>Games[[#This Row],[PointsFor]]-Games[[#This Row],[PointsAgainst]]</f>
        <v>3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0.26263348068988063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73.900000000000006</v>
      </c>
      <c r="Z135" s="4">
        <f>Games[[#This Row],[K]]*Games[[#This Row],[POMult]]</f>
        <v>73.900000000000006</v>
      </c>
      <c r="AA135" s="4">
        <f>(Games[[#This Row],[Keff]]*Games[[#This Row],[MOVMult]])*(Games[[#This Row],[Result]]-Games[[#This Row],[ExpectedWin%]])</f>
        <v>4.464498175029803</v>
      </c>
      <c r="AB135" s="4">
        <f>Games[[#This Row],[PreGmRate]]+Games[[#This Row],[RatingChange]]</f>
        <v>1437.9320032987555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42909</v>
      </c>
      <c r="B136" s="2">
        <v>2017</v>
      </c>
      <c r="C136" s="2">
        <f>COUNTIFS(Games[Team],Games[[#This Row],[Team]],Games[Season],Games[[#This Row],[Season]],Games[Date],"&lt;=" &amp; Games[[#This Row],[Date]])</f>
        <v>12</v>
      </c>
      <c r="D136" s="2" t="s">
        <v>81</v>
      </c>
      <c r="E136" s="2" t="s">
        <v>82</v>
      </c>
      <c r="F136" s="1" t="s">
        <v>77</v>
      </c>
      <c r="G136" s="1" t="s">
        <v>79</v>
      </c>
      <c r="H136" s="1" t="s">
        <v>83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36" s="2">
        <f>Games[[#This Row],[DaysOff]]-Games[[#This Row],[OppDaysOff]]</f>
        <v>-3</v>
      </c>
      <c r="L136" s="2">
        <f>Games[[#This Row],[OppDaysOff]]-Games[[#This Row],[DaysOff]]</f>
        <v>3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1402.6607176104867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1477.7854987413739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0.2497019202350195</v>
      </c>
      <c r="R136" s="1">
        <v>82</v>
      </c>
      <c r="S136" s="1">
        <v>78</v>
      </c>
      <c r="T136" s="1">
        <v>0</v>
      </c>
      <c r="U136" s="1">
        <f>Games[[#This Row],[PointsFor]]-Games[[#This Row],[PointsAgainst]]</f>
        <v>4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0.29308447880152538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16.316633546704885</v>
      </c>
      <c r="AB136" s="4">
        <f>Games[[#This Row],[PreGmRate]]+Games[[#This Row],[RatingChange]]</f>
        <v>1418.9773511571916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42909</v>
      </c>
      <c r="B137" s="2">
        <v>2017</v>
      </c>
      <c r="C137" s="2">
        <f>COUNTIFS(Games[Team],Games[[#This Row],[Team]],Games[Season],Games[[#This Row],[Season]],Games[Date],"&lt;=" &amp; Games[[#This Row],[Date]])</f>
        <v>11</v>
      </c>
      <c r="D137" s="2" t="s">
        <v>81</v>
      </c>
      <c r="E137" s="2" t="s">
        <v>82</v>
      </c>
      <c r="F137" s="1" t="s">
        <v>79</v>
      </c>
      <c r="G137" s="1" t="s">
        <v>77</v>
      </c>
      <c r="H137" s="1" t="s">
        <v>84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7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7" s="2">
        <f>Games[[#This Row],[DaysOff]]-Games[[#This Row],[OppDaysOff]]</f>
        <v>3</v>
      </c>
      <c r="L137" s="2">
        <f>Games[[#This Row],[OppDaysOff]]-Games[[#This Row],[DaysOff]]</f>
        <v>-3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1477.7854987413739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1402.6607176104867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0.75029807976498042</v>
      </c>
      <c r="R137" s="1">
        <v>78</v>
      </c>
      <c r="S137" s="1">
        <v>82</v>
      </c>
      <c r="T137" s="1">
        <v>0</v>
      </c>
      <c r="U137" s="1">
        <f>Games[[#This Row],[PointsFor]]-Games[[#This Row],[PointsAgainst]]</f>
        <v>-4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0.29308447880152538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-16.349618654952938</v>
      </c>
      <c r="AB137" s="4">
        <f>Games[[#This Row],[PreGmRate]]+Games[[#This Row],[RatingChange]]</f>
        <v>1461.4358800864209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42909</v>
      </c>
      <c r="B138" s="2">
        <v>2017</v>
      </c>
      <c r="C138" s="2">
        <f>COUNTIFS(Games[Team],Games[[#This Row],[Team]],Games[Season],Games[[#This Row],[Season]],Games[Date],"&lt;=" &amp; Games[[#This Row],[Date]])</f>
        <v>12</v>
      </c>
      <c r="D138" s="2" t="s">
        <v>81</v>
      </c>
      <c r="E138" s="2" t="s">
        <v>82</v>
      </c>
      <c r="F138" s="1" t="s">
        <v>65</v>
      </c>
      <c r="G138" s="1" t="s">
        <v>67</v>
      </c>
      <c r="H138" s="1" t="s">
        <v>83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8" s="2">
        <f>Games[[#This Row],[DaysOff]]-Games[[#This Row],[OppDaysOff]]</f>
        <v>-1</v>
      </c>
      <c r="L138" s="2">
        <f>Games[[#This Row],[OppDaysOff]]-Games[[#This Row],[DaysOff]]</f>
        <v>1</v>
      </c>
      <c r="M138" s="1">
        <f>MAX(-16, MIN(16, Games[[#This Row],[RestDiff]]*8))</f>
        <v>-8</v>
      </c>
      <c r="N138" s="1">
        <f>MAX(-16, MIN(16, Games[[#This Row],[OppRestDiff]]*8))</f>
        <v>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1515.4425504207029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1681.8758581472671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0.17745101959476769</v>
      </c>
      <c r="R138" s="1">
        <v>76</v>
      </c>
      <c r="S138" s="1">
        <v>93</v>
      </c>
      <c r="T138" s="1">
        <v>0</v>
      </c>
      <c r="U138" s="1">
        <f>Games[[#This Row],[PointsFor]]-Games[[#This Row],[PointsAgainst]]</f>
        <v>-17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0.46758995062952069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-6.1566940610674852</v>
      </c>
      <c r="AB138" s="4">
        <f>Games[[#This Row],[PreGmRate]]+Games[[#This Row],[RatingChange]]</f>
        <v>1509.2858563596353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42909</v>
      </c>
      <c r="B139" s="2">
        <v>2017</v>
      </c>
      <c r="C139" s="2">
        <f>COUNTIFS(Games[Team],Games[[#This Row],[Team]],Games[Season],Games[[#This Row],[Season]],Games[Date],"&lt;=" &amp; Games[[#This Row],[Date]])</f>
        <v>11</v>
      </c>
      <c r="D139" s="2" t="s">
        <v>81</v>
      </c>
      <c r="E139" s="2" t="s">
        <v>82</v>
      </c>
      <c r="F139" s="1" t="s">
        <v>67</v>
      </c>
      <c r="G139" s="1" t="s">
        <v>65</v>
      </c>
      <c r="H139" s="1" t="s">
        <v>84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9" s="2">
        <f>Games[[#This Row],[DaysOff]]-Games[[#This Row],[OppDaysOff]]</f>
        <v>1</v>
      </c>
      <c r="L139" s="2">
        <f>Games[[#This Row],[OppDaysOff]]-Games[[#This Row],[DaysOff]]</f>
        <v>-1</v>
      </c>
      <c r="M139" s="1">
        <f>MAX(-16, MIN(16, Games[[#This Row],[RestDiff]]*8))</f>
        <v>8</v>
      </c>
      <c r="N139" s="1">
        <f>MAX(-16, MIN(16, Games[[#This Row],[OppRestDiff]]*8))</f>
        <v>-8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1681.8758581472671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1515.4425504207029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0.82254898040523239</v>
      </c>
      <c r="R139" s="1">
        <v>93</v>
      </c>
      <c r="S139" s="1">
        <v>76</v>
      </c>
      <c r="T139" s="1">
        <v>0</v>
      </c>
      <c r="U139" s="1">
        <f>Games[[#This Row],[PointsFor]]-Games[[#This Row],[PointsAgainst]]</f>
        <v>17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0.46758995062952069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74.349999999999994</v>
      </c>
      <c r="Z139" s="4">
        <f>Games[[#This Row],[K]]*Games[[#This Row],[POMult]]</f>
        <v>74.349999999999994</v>
      </c>
      <c r="AA139" s="4">
        <f>(Games[[#This Row],[Keff]]*Games[[#This Row],[MOVMult]])*(Games[[#This Row],[Result]]-Games[[#This Row],[ExpectedWin%]])</f>
        <v>6.1691402080912026</v>
      </c>
      <c r="AB139" s="4">
        <f>Games[[#This Row],[PreGmRate]]+Games[[#This Row],[RatingChange]]</f>
        <v>1688.0449983553583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42909</v>
      </c>
      <c r="B140" s="2">
        <v>2017</v>
      </c>
      <c r="C140" s="2">
        <f>COUNTIFS(Games[Team],Games[[#This Row],[Team]],Games[Season],Games[[#This Row],[Season]],Games[Date],"&lt;=" &amp; Games[[#This Row],[Date]])</f>
        <v>11</v>
      </c>
      <c r="D140" s="2" t="s">
        <v>81</v>
      </c>
      <c r="E140" s="2" t="s">
        <v>82</v>
      </c>
      <c r="F140" s="1" t="s">
        <v>76</v>
      </c>
      <c r="G140" s="1" t="s">
        <v>60</v>
      </c>
      <c r="H140" s="1" t="s">
        <v>83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1535.4218958498718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1522.0558483151965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0.37784501892075417</v>
      </c>
      <c r="R140" s="1">
        <v>94</v>
      </c>
      <c r="S140" s="1">
        <v>89</v>
      </c>
      <c r="T140" s="1">
        <v>0</v>
      </c>
      <c r="U140" s="1">
        <f>Games[[#This Row],[PointsFor]]-Games[[#This Row],[PointsAgainst]]</f>
        <v>5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0.32810145904640559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15.177062306302398</v>
      </c>
      <c r="AB140" s="4">
        <f>Games[[#This Row],[PreGmRate]]+Games[[#This Row],[RatingChange]]</f>
        <v>1550.5989581561741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42909</v>
      </c>
      <c r="B141" s="2">
        <v>2017</v>
      </c>
      <c r="C141" s="2">
        <f>COUNTIFS(Games[Team],Games[[#This Row],[Team]],Games[Season],Games[[#This Row],[Season]],Games[Date],"&lt;=" &amp; Games[[#This Row],[Date]])</f>
        <v>12</v>
      </c>
      <c r="D141" s="2" t="s">
        <v>81</v>
      </c>
      <c r="E141" s="2" t="s">
        <v>82</v>
      </c>
      <c r="F141" s="1" t="s">
        <v>60</v>
      </c>
      <c r="G141" s="1" t="s">
        <v>76</v>
      </c>
      <c r="H141" s="1" t="s">
        <v>84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1522.0558483151965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1535.4218958498718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0.62215498107924594</v>
      </c>
      <c r="R141" s="1">
        <v>89</v>
      </c>
      <c r="S141" s="1">
        <v>94</v>
      </c>
      <c r="T141" s="1">
        <v>0</v>
      </c>
      <c r="U141" s="1">
        <f>Games[[#This Row],[PointsFor]]-Games[[#This Row],[PointsAgainst]]</f>
        <v>-5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0.32810145904640559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74.2</v>
      </c>
      <c r="Z141" s="4">
        <f>Games[[#This Row],[K]]*Games[[#This Row],[POMult]]</f>
        <v>74.2</v>
      </c>
      <c r="AA141" s="4">
        <f>(Games[[#This Row],[Keff]]*Games[[#This Row],[MOVMult]])*(Games[[#This Row],[Result]]-Games[[#This Row],[ExpectedWin%]])</f>
        <v>-15.146442812745638</v>
      </c>
      <c r="AB141" s="4">
        <f>Games[[#This Row],[PreGmRate]]+Games[[#This Row],[RatingChange]]</f>
        <v>1506.9094055024509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42909</v>
      </c>
      <c r="B142" s="2">
        <v>2017</v>
      </c>
      <c r="C142" s="2">
        <f>COUNTIFS(Games[Team],Games[[#This Row],[Team]],Games[Season],Games[[#This Row],[Season]],Games[Date],"&lt;=" &amp; Games[[#This Row],[Date]])</f>
        <v>15</v>
      </c>
      <c r="D142" s="2" t="s">
        <v>81</v>
      </c>
      <c r="E142" s="2" t="s">
        <v>82</v>
      </c>
      <c r="F142" s="1" t="s">
        <v>87</v>
      </c>
      <c r="G142" s="1" t="s">
        <v>74</v>
      </c>
      <c r="H142" s="1" t="s">
        <v>83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1437.9320032987555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1303.1058504907146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0.57262736165618466</v>
      </c>
      <c r="R142" s="1">
        <v>81</v>
      </c>
      <c r="S142" s="1">
        <v>69</v>
      </c>
      <c r="T142" s="1">
        <v>0</v>
      </c>
      <c r="U142" s="1">
        <f>Games[[#This Row],[PointsFor]]-Games[[#This Row],[PointsAgainst]]</f>
        <v>12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0.41005739252290718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73.75</v>
      </c>
      <c r="Z142" s="4">
        <f>Games[[#This Row],[K]]*Games[[#This Row],[POMult]]</f>
        <v>73.75</v>
      </c>
      <c r="AA142" s="4">
        <f>(Games[[#This Row],[Keff]]*Games[[#This Row],[MOVMult]])*(Games[[#This Row],[Result]]-Games[[#This Row],[ExpectedWin%]])</f>
        <v>12.9244890914739</v>
      </c>
      <c r="AB142" s="4">
        <f>Games[[#This Row],[PreGmRate]]+Games[[#This Row],[RatingChange]]</f>
        <v>1450.8564923902293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42909</v>
      </c>
      <c r="B143" s="2">
        <v>2017</v>
      </c>
      <c r="C143" s="2">
        <f>COUNTIFS(Games[Team],Games[[#This Row],[Team]],Games[Season],Games[[#This Row],[Season]],Games[Date],"&lt;=" &amp; Games[[#This Row],[Date]])</f>
        <v>13</v>
      </c>
      <c r="D143" s="2" t="s">
        <v>81</v>
      </c>
      <c r="E143" s="2" t="s">
        <v>82</v>
      </c>
      <c r="F143" s="1" t="s">
        <v>74</v>
      </c>
      <c r="G143" s="1" t="s">
        <v>87</v>
      </c>
      <c r="H143" s="1" t="s">
        <v>84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1303.1058504907146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1437.9320032987555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0.42737263834381534</v>
      </c>
      <c r="R143" s="1">
        <v>69</v>
      </c>
      <c r="S143" s="1">
        <v>81</v>
      </c>
      <c r="T143" s="1">
        <v>0</v>
      </c>
      <c r="U143" s="1">
        <f>Games[[#This Row],[PointsFor]]-Games[[#This Row],[PointsAgainst]]</f>
        <v>-12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0.41005739252290718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74.05</v>
      </c>
      <c r="Z143" s="4">
        <f>Games[[#This Row],[K]]*Games[[#This Row],[POMult]]</f>
        <v>74.05</v>
      </c>
      <c r="AA143" s="4">
        <f>(Games[[#This Row],[Keff]]*Games[[#This Row],[MOVMult]])*(Games[[#This Row],[Result]]-Games[[#This Row],[ExpectedWin%]])</f>
        <v>-12.97706328438837</v>
      </c>
      <c r="AB143" s="4">
        <f>Games[[#This Row],[PreGmRate]]+Games[[#This Row],[RatingChange]]</f>
        <v>1290.1287872063263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42909</v>
      </c>
      <c r="B144" s="2">
        <v>2017</v>
      </c>
      <c r="C144" s="2">
        <f>COUNTIFS(Games[Team],Games[[#This Row],[Team]],Games[Season],Games[[#This Row],[Season]],Games[Date],"&lt;=" &amp; Games[[#This Row],[Date]])</f>
        <v>12</v>
      </c>
      <c r="D144" s="2" t="s">
        <v>81</v>
      </c>
      <c r="E144" s="2" t="s">
        <v>82</v>
      </c>
      <c r="F144" s="1" t="s">
        <v>40</v>
      </c>
      <c r="G144" s="1" t="s">
        <v>71</v>
      </c>
      <c r="H144" s="1" t="s">
        <v>83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1519.8040119070004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1502.0871221098355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0.40575160250510683</v>
      </c>
      <c r="R144" s="1">
        <v>85</v>
      </c>
      <c r="S144" s="1">
        <v>82</v>
      </c>
      <c r="T144" s="1">
        <v>0</v>
      </c>
      <c r="U144" s="1">
        <f>Games[[#This Row],[PointsFor]]-Games[[#This Row],[PointsAgainst]]</f>
        <v>3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0.28596156318112059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12.608969289381253</v>
      </c>
      <c r="AB144" s="4">
        <f>Games[[#This Row],[PreGmRate]]+Games[[#This Row],[RatingChange]]</f>
        <v>1532.4129811963817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42909</v>
      </c>
      <c r="B145" s="2">
        <v>2017</v>
      </c>
      <c r="C145" s="2">
        <f>COUNTIFS(Games[Team],Games[[#This Row],[Team]],Games[Season],Games[[#This Row],[Season]],Games[Date],"&lt;=" &amp; Games[[#This Row],[Date]])</f>
        <v>12</v>
      </c>
      <c r="D145" s="2" t="s">
        <v>81</v>
      </c>
      <c r="E145" s="2" t="s">
        <v>82</v>
      </c>
      <c r="F145" s="1" t="s">
        <v>71</v>
      </c>
      <c r="G145" s="1" t="s">
        <v>40</v>
      </c>
      <c r="H145" s="1" t="s">
        <v>84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1502.0871221098355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1519.8040119070004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0.59424839749489311</v>
      </c>
      <c r="R145" s="1">
        <v>82</v>
      </c>
      <c r="S145" s="1">
        <v>85</v>
      </c>
      <c r="T145" s="1">
        <v>0</v>
      </c>
      <c r="U145" s="1">
        <f>Games[[#This Row],[PointsFor]]-Games[[#This Row],[PointsAgainst]]</f>
        <v>-3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0.28596156318112059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-12.608969289381253</v>
      </c>
      <c r="AB145" s="4">
        <f>Games[[#This Row],[PreGmRate]]+Games[[#This Row],[RatingChange]]</f>
        <v>1489.4781528204542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42910</v>
      </c>
      <c r="B146" s="2">
        <v>2017</v>
      </c>
      <c r="C146" s="2">
        <f>COUNTIFS(Games[Team],Games[[#This Row],[Team]],Games[Season],Games[[#This Row],[Season]],Games[Date],"&lt;=" &amp; Games[[#This Row],[Date]])</f>
        <v>12</v>
      </c>
      <c r="D146" s="2" t="s">
        <v>81</v>
      </c>
      <c r="E146" s="2" t="s">
        <v>82</v>
      </c>
      <c r="F146" s="1" t="s">
        <v>63</v>
      </c>
      <c r="G146" s="1" t="s">
        <v>69</v>
      </c>
      <c r="H146" s="1" t="s">
        <v>83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1619.9975296869704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1482.3327814125362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0.57662140953544583</v>
      </c>
      <c r="R146" s="1">
        <v>84</v>
      </c>
      <c r="S146" s="1">
        <v>73</v>
      </c>
      <c r="T146" s="1">
        <v>0</v>
      </c>
      <c r="U146" s="1">
        <f>Games[[#This Row],[PointsFor]]-Games[[#This Row],[PointsAgainst]]</f>
        <v>11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0.39457058653150212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12.3953132163244</v>
      </c>
      <c r="AB146" s="4">
        <f>Games[[#This Row],[PreGmRate]]+Games[[#This Row],[RatingChange]]</f>
        <v>1632.3928429032949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42910</v>
      </c>
      <c r="B147" s="2">
        <v>2017</v>
      </c>
      <c r="C147" s="2">
        <f>COUNTIFS(Games[Team],Games[[#This Row],[Team]],Games[Season],Games[[#This Row],[Season]],Games[Date],"&lt;=" &amp; Games[[#This Row],[Date]])</f>
        <v>13</v>
      </c>
      <c r="D147" s="2" t="s">
        <v>81</v>
      </c>
      <c r="E147" s="2" t="s">
        <v>82</v>
      </c>
      <c r="F147" s="1" t="s">
        <v>69</v>
      </c>
      <c r="G147" s="1" t="s">
        <v>63</v>
      </c>
      <c r="H147" s="1" t="s">
        <v>84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1482.3327814125362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1619.9975296869704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0.42337859046455423</v>
      </c>
      <c r="R147" s="1">
        <v>73</v>
      </c>
      <c r="S147" s="1">
        <v>84</v>
      </c>
      <c r="T147" s="1">
        <v>0</v>
      </c>
      <c r="U147" s="1">
        <f>Games[[#This Row],[PointsFor]]-Games[[#This Row],[PointsAgainst]]</f>
        <v>-11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0.39457058653150212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-12.370255305509728</v>
      </c>
      <c r="AB147" s="4">
        <f>Games[[#This Row],[PreGmRate]]+Games[[#This Row],[RatingChange]]</f>
        <v>1469.9625261070264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42911</v>
      </c>
      <c r="B148" s="2">
        <v>2017</v>
      </c>
      <c r="C148" s="2">
        <f>COUNTIFS(Games[Team],Games[[#This Row],[Team]],Games[Season],Games[[#This Row],[Season]],Games[Date],"&lt;=" &amp; Games[[#This Row],[Date]])</f>
        <v>13</v>
      </c>
      <c r="D148" s="2" t="s">
        <v>81</v>
      </c>
      <c r="E148" s="2" t="s">
        <v>82</v>
      </c>
      <c r="F148" s="1" t="s">
        <v>65</v>
      </c>
      <c r="G148" s="1" t="s">
        <v>77</v>
      </c>
      <c r="H148" s="1" t="s">
        <v>83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1509.2858563596353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1418.9773511571916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0.50907767119331748</v>
      </c>
      <c r="R148" s="1">
        <v>97</v>
      </c>
      <c r="S148" s="1">
        <v>63</v>
      </c>
      <c r="T148" s="1">
        <v>0</v>
      </c>
      <c r="U148" s="1">
        <f>Games[[#This Row],[PointsFor]]-Games[[#This Row],[PointsAgainst]]</f>
        <v>34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0.6981443123183344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25.379499473420111</v>
      </c>
      <c r="AB148" s="4">
        <f>Games[[#This Row],[PreGmRate]]+Games[[#This Row],[RatingChange]]</f>
        <v>1534.6653558330554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42911</v>
      </c>
      <c r="B149" s="2">
        <v>2017</v>
      </c>
      <c r="C149" s="2">
        <f>COUNTIFS(Games[Team],Games[[#This Row],[Team]],Games[Season],Games[[#This Row],[Season]],Games[Date],"&lt;=" &amp; Games[[#This Row],[Date]])</f>
        <v>13</v>
      </c>
      <c r="D149" s="2" t="s">
        <v>81</v>
      </c>
      <c r="E149" s="2" t="s">
        <v>82</v>
      </c>
      <c r="F149" s="1" t="s">
        <v>77</v>
      </c>
      <c r="G149" s="1" t="s">
        <v>65</v>
      </c>
      <c r="H149" s="1" t="s">
        <v>84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1418.9773511571916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1509.2858563596353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0.49092232880668257</v>
      </c>
      <c r="R149" s="1">
        <v>63</v>
      </c>
      <c r="S149" s="1">
        <v>97</v>
      </c>
      <c r="T149" s="1">
        <v>0</v>
      </c>
      <c r="U149" s="1">
        <f>Games[[#This Row],[PointsFor]]-Games[[#This Row],[PointsAgainst]]</f>
        <v>-34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0.6981443123183344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-25.379499473420115</v>
      </c>
      <c r="AB149" s="4">
        <f>Games[[#This Row],[PreGmRate]]+Games[[#This Row],[RatingChange]]</f>
        <v>1393.5978516837715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42911</v>
      </c>
      <c r="B150" s="2">
        <v>2017</v>
      </c>
      <c r="C150" s="2">
        <f>COUNTIFS(Games[Team],Games[[#This Row],[Team]],Games[Season],Games[[#This Row],[Season]],Games[Date],"&lt;=" &amp; Games[[#This Row],[Date]])</f>
        <v>12</v>
      </c>
      <c r="D150" s="2" t="s">
        <v>81</v>
      </c>
      <c r="E150" s="2" t="s">
        <v>82</v>
      </c>
      <c r="F150" s="1" t="s">
        <v>76</v>
      </c>
      <c r="G150" s="1" t="s">
        <v>87</v>
      </c>
      <c r="H150" s="1" t="s">
        <v>83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1550.5989581561741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1450.8564923902293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0.5226397380832033</v>
      </c>
      <c r="R150" s="1">
        <v>82</v>
      </c>
      <c r="S150" s="1">
        <v>96</v>
      </c>
      <c r="T150" s="1">
        <v>0</v>
      </c>
      <c r="U150" s="1">
        <f>Games[[#This Row],[PointsFor]]-Games[[#This Row],[PointsAgainst]]</f>
        <v>-14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0.45018897177919132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-17.458269155357836</v>
      </c>
      <c r="AB150" s="4">
        <f>Games[[#This Row],[PreGmRate]]+Games[[#This Row],[RatingChange]]</f>
        <v>1533.1406890008163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42911</v>
      </c>
      <c r="B151" s="2">
        <v>2017</v>
      </c>
      <c r="C151" s="2">
        <f>COUNTIFS(Games[Team],Games[[#This Row],[Team]],Games[Season],Games[[#This Row],[Season]],Games[Date],"&lt;=" &amp; Games[[#This Row],[Date]])</f>
        <v>16</v>
      </c>
      <c r="D151" s="2" t="s">
        <v>81</v>
      </c>
      <c r="E151" s="2" t="s">
        <v>82</v>
      </c>
      <c r="F151" s="1" t="s">
        <v>87</v>
      </c>
      <c r="G151" s="1" t="s">
        <v>76</v>
      </c>
      <c r="H151" s="1" t="s">
        <v>84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1450.8564923902293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1550.5989581561741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0.4773602619167967</v>
      </c>
      <c r="R151" s="1">
        <v>96</v>
      </c>
      <c r="S151" s="1">
        <v>82</v>
      </c>
      <c r="T151" s="1">
        <v>0</v>
      </c>
      <c r="U151" s="1">
        <f>Games[[#This Row],[PointsFor]]-Games[[#This Row],[PointsAgainst]]</f>
        <v>14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0.45018897177919132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73.599999999999994</v>
      </c>
      <c r="Z151" s="4">
        <f>Games[[#This Row],[K]]*Games[[#This Row],[POMult]]</f>
        <v>73.599999999999994</v>
      </c>
      <c r="AA151" s="4">
        <f>(Games[[#This Row],[Keff]]*Games[[#This Row],[MOVMult]])*(Games[[#This Row],[Result]]-Games[[#This Row],[ExpectedWin%]])</f>
        <v>17.317097167578662</v>
      </c>
      <c r="AB151" s="4">
        <f>Games[[#This Row],[PreGmRate]]+Games[[#This Row],[RatingChange]]</f>
        <v>1468.1735895578079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42911</v>
      </c>
      <c r="B152" s="2">
        <v>2017</v>
      </c>
      <c r="C152" s="2">
        <f>COUNTIFS(Games[Team],Games[[#This Row],[Team]],Games[Season],Games[[#This Row],[Season]],Games[Date],"&lt;=" &amp; Games[[#This Row],[Date]])</f>
        <v>14</v>
      </c>
      <c r="D152" s="2" t="s">
        <v>81</v>
      </c>
      <c r="E152" s="2" t="s">
        <v>82</v>
      </c>
      <c r="F152" s="1" t="s">
        <v>74</v>
      </c>
      <c r="G152" s="1" t="s">
        <v>67</v>
      </c>
      <c r="H152" s="1" t="s">
        <v>83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1290.1287872063263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1688.0449983553583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5.8738107343373168E-2</v>
      </c>
      <c r="R152" s="1">
        <v>78</v>
      </c>
      <c r="S152" s="1">
        <v>87</v>
      </c>
      <c r="T152" s="1">
        <v>0</v>
      </c>
      <c r="U152" s="1">
        <f>Games[[#This Row],[PointsFor]]-Games[[#This Row],[PointsAgainst]]</f>
        <v>-9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0.30487570573326833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73.900000000000006</v>
      </c>
      <c r="Z152" s="4">
        <f>Games[[#This Row],[K]]*Games[[#This Row],[POMult]]</f>
        <v>73.900000000000006</v>
      </c>
      <c r="AA152" s="4">
        <f>(Games[[#This Row],[Keff]]*Games[[#This Row],[MOVMult]])*(Games[[#This Row],[Result]]-Games[[#This Row],[ExpectedWin%]])</f>
        <v>-1.3233880406083305</v>
      </c>
      <c r="AB152" s="4">
        <f>Games[[#This Row],[PreGmRate]]+Games[[#This Row],[RatingChange]]</f>
        <v>1288.805399165718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42911</v>
      </c>
      <c r="B153" s="2">
        <v>2017</v>
      </c>
      <c r="C153" s="2">
        <f>COUNTIFS(Games[Team],Games[[#This Row],[Team]],Games[Season],Games[[#This Row],[Season]],Games[Date],"&lt;=" &amp; Games[[#This Row],[Date]])</f>
        <v>12</v>
      </c>
      <c r="D153" s="2" t="s">
        <v>81</v>
      </c>
      <c r="E153" s="2" t="s">
        <v>82</v>
      </c>
      <c r="F153" s="1" t="s">
        <v>67</v>
      </c>
      <c r="G153" s="1" t="s">
        <v>74</v>
      </c>
      <c r="H153" s="1" t="s">
        <v>84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1688.0449983553583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1290.1287872063263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0.94126189265662685</v>
      </c>
      <c r="R153" s="1">
        <v>87</v>
      </c>
      <c r="S153" s="1">
        <v>78</v>
      </c>
      <c r="T153" s="1">
        <v>0</v>
      </c>
      <c r="U153" s="1">
        <f>Games[[#This Row],[PointsFor]]-Games[[#This Row],[PointsAgainst]]</f>
        <v>9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0.30487570573326833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1.3287603871872542</v>
      </c>
      <c r="AB153" s="4">
        <f>Games[[#This Row],[PreGmRate]]+Games[[#This Row],[RatingChange]]</f>
        <v>1689.3737587425455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42913</v>
      </c>
      <c r="B154" s="2">
        <v>2017</v>
      </c>
      <c r="C154" s="2">
        <f>COUNTIFS(Games[Team],Games[[#This Row],[Team]],Games[Season],Games[[#This Row],[Season]],Games[Date],"&lt;=" &amp; Games[[#This Row],[Date]])</f>
        <v>13</v>
      </c>
      <c r="D154" s="2" t="s">
        <v>81</v>
      </c>
      <c r="E154" s="2" t="s">
        <v>82</v>
      </c>
      <c r="F154" s="1" t="s">
        <v>63</v>
      </c>
      <c r="G154" s="1" t="s">
        <v>76</v>
      </c>
      <c r="H154" s="1" t="s">
        <v>83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1632.3928429032949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1533.1406890008163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0.54485455474553834</v>
      </c>
      <c r="R154" s="1">
        <v>87</v>
      </c>
      <c r="S154" s="1">
        <v>79</v>
      </c>
      <c r="T154" s="1">
        <v>0</v>
      </c>
      <c r="U154" s="1">
        <f>Games[[#This Row],[PointsFor]]-Games[[#This Row],[PointsAgainst]]</f>
        <v>8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0.35865142928874666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12.087815699357138</v>
      </c>
      <c r="AB154" s="4">
        <f>Games[[#This Row],[PreGmRate]]+Games[[#This Row],[RatingChange]]</f>
        <v>1644.4806586026521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42913</v>
      </c>
      <c r="B155" s="2">
        <v>2017</v>
      </c>
      <c r="C155" s="2">
        <f>COUNTIFS(Games[Team],Games[[#This Row],[Team]],Games[Season],Games[[#This Row],[Season]],Games[Date],"&lt;=" &amp; Games[[#This Row],[Date]])</f>
        <v>13</v>
      </c>
      <c r="D155" s="2" t="s">
        <v>81</v>
      </c>
      <c r="E155" s="2" t="s">
        <v>82</v>
      </c>
      <c r="F155" s="1" t="s">
        <v>76</v>
      </c>
      <c r="G155" s="1" t="s">
        <v>63</v>
      </c>
      <c r="H155" s="1" t="s">
        <v>84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1533.1406890008163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1632.3928429032949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0.45514544525446171</v>
      </c>
      <c r="R155" s="1">
        <v>79</v>
      </c>
      <c r="S155" s="1">
        <v>87</v>
      </c>
      <c r="T155" s="1">
        <v>0</v>
      </c>
      <c r="U155" s="1">
        <f>Games[[#This Row],[PointsFor]]-Games[[#This Row],[PointsAgainst]]</f>
        <v>-8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0.35865142928874666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74.05</v>
      </c>
      <c r="Z155" s="4">
        <f>Games[[#This Row],[K]]*Games[[#This Row],[POMult]]</f>
        <v>74.05</v>
      </c>
      <c r="AA155" s="4">
        <f>(Games[[#This Row],[Keff]]*Games[[#This Row],[MOVMult]])*(Games[[#This Row],[Result]]-Games[[#This Row],[ExpectedWin%]])</f>
        <v>-12.08781569935714</v>
      </c>
      <c r="AB155" s="4">
        <f>Games[[#This Row],[PreGmRate]]+Games[[#This Row],[RatingChange]]</f>
        <v>1521.0528733014592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42913</v>
      </c>
      <c r="B156" s="2">
        <v>2017</v>
      </c>
      <c r="C156" s="2">
        <f>COUNTIFS(Games[Team],Games[[#This Row],[Team]],Games[Season],Games[[#This Row],[Season]],Games[Date],"&lt;=" &amp; Games[[#This Row],[Date]])</f>
        <v>13</v>
      </c>
      <c r="D156" s="2" t="s">
        <v>81</v>
      </c>
      <c r="E156" s="2" t="s">
        <v>82</v>
      </c>
      <c r="F156" s="1" t="s">
        <v>71</v>
      </c>
      <c r="G156" s="1" t="s">
        <v>65</v>
      </c>
      <c r="H156" s="1" t="s">
        <v>83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2</v>
      </c>
      <c r="L156" s="2">
        <f>Games[[#This Row],[OppDaysOff]]-Games[[#This Row],[DaysOff]]</f>
        <v>-2</v>
      </c>
      <c r="M156" s="1">
        <f>MAX(-16, MIN(16, Games[[#This Row],[RestDiff]]*8))</f>
        <v>16</v>
      </c>
      <c r="N156" s="1">
        <f>MAX(-16, MIN(16, Games[[#This Row],[OppRestDiff]]*8))</f>
        <v>-16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1489.4781528204542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1534.6653558330554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0.36367368445811965</v>
      </c>
      <c r="R156" s="1">
        <v>70</v>
      </c>
      <c r="S156" s="1">
        <v>100</v>
      </c>
      <c r="T156" s="1">
        <v>0</v>
      </c>
      <c r="U156" s="1">
        <f>Games[[#This Row],[PointsFor]]-Games[[#This Row],[PointsAgainst]]</f>
        <v>-30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0.67796328896358671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-18.257576004991435</v>
      </c>
      <c r="AB156" s="4">
        <f>Games[[#This Row],[PreGmRate]]+Games[[#This Row],[RatingChange]]</f>
        <v>1471.2205768154627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42913</v>
      </c>
      <c r="B157" s="2">
        <v>2017</v>
      </c>
      <c r="C157" s="2">
        <f>COUNTIFS(Games[Team],Games[[#This Row],[Team]],Games[Season],Games[[#This Row],[Season]],Games[Date],"&lt;=" &amp; Games[[#This Row],[Date]])</f>
        <v>14</v>
      </c>
      <c r="D157" s="2" t="s">
        <v>81</v>
      </c>
      <c r="E157" s="2" t="s">
        <v>82</v>
      </c>
      <c r="F157" s="1" t="s">
        <v>65</v>
      </c>
      <c r="G157" s="1" t="s">
        <v>71</v>
      </c>
      <c r="H157" s="1" t="s">
        <v>84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7" s="2">
        <f>Games[[#This Row],[DaysOff]]-Games[[#This Row],[OppDaysOff]]</f>
        <v>-2</v>
      </c>
      <c r="L157" s="2">
        <f>Games[[#This Row],[OppDaysOff]]-Games[[#This Row],[DaysOff]]</f>
        <v>2</v>
      </c>
      <c r="M157" s="1">
        <f>MAX(-16, MIN(16, Games[[#This Row],[RestDiff]]*8))</f>
        <v>-16</v>
      </c>
      <c r="N157" s="1">
        <f>MAX(-16, MIN(16, Games[[#This Row],[OppRestDiff]]*8))</f>
        <v>16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1534.6653558330554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1489.4781528204542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0.63632631554188024</v>
      </c>
      <c r="R157" s="1">
        <v>100</v>
      </c>
      <c r="S157" s="1">
        <v>70</v>
      </c>
      <c r="T157" s="1">
        <v>0</v>
      </c>
      <c r="U157" s="1">
        <f>Games[[#This Row],[PointsFor]]-Games[[#This Row],[PointsAgainst]]</f>
        <v>30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0.67796328896358671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18.220592393907733</v>
      </c>
      <c r="AB157" s="4">
        <f>Games[[#This Row],[PreGmRate]]+Games[[#This Row],[RatingChange]]</f>
        <v>1552.8859482269631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42914</v>
      </c>
      <c r="B158" s="2">
        <v>2017</v>
      </c>
      <c r="C158" s="2">
        <f>COUNTIFS(Games[Team],Games[[#This Row],[Team]],Games[Season],Games[[#This Row],[Season]],Games[Date],"&lt;=" &amp; Games[[#This Row],[Date]])</f>
        <v>14</v>
      </c>
      <c r="D158" s="2" t="s">
        <v>81</v>
      </c>
      <c r="E158" s="2" t="s">
        <v>82</v>
      </c>
      <c r="F158" s="1" t="s">
        <v>69</v>
      </c>
      <c r="G158" s="1" t="s">
        <v>77</v>
      </c>
      <c r="H158" s="1" t="s">
        <v>83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1469.9625261070264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1393.5978516837715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0.51203540888253785</v>
      </c>
      <c r="R158" s="1">
        <v>82</v>
      </c>
      <c r="S158" s="1">
        <v>75</v>
      </c>
      <c r="T158" s="1">
        <v>0</v>
      </c>
      <c r="U158" s="1">
        <f>Games[[#This Row],[PointsFor]]-Games[[#This Row],[PointsAgainst]]</f>
        <v>7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0.34796372532424591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12.547774896719883</v>
      </c>
      <c r="AB158" s="4">
        <f>Games[[#This Row],[PreGmRate]]+Games[[#This Row],[RatingChange]]</f>
        <v>1482.5103010037462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42914</v>
      </c>
      <c r="B159" s="2">
        <v>2017</v>
      </c>
      <c r="C159" s="2">
        <f>COUNTIFS(Games[Team],Games[[#This Row],[Team]],Games[Season],Games[[#This Row],[Season]],Games[Date],"&lt;=" &amp; Games[[#This Row],[Date]])</f>
        <v>14</v>
      </c>
      <c r="D159" s="2" t="s">
        <v>81</v>
      </c>
      <c r="E159" s="2" t="s">
        <v>82</v>
      </c>
      <c r="F159" s="1" t="s">
        <v>77</v>
      </c>
      <c r="G159" s="1" t="s">
        <v>69</v>
      </c>
      <c r="H159" s="1" t="s">
        <v>84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1393.5978516837715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1469.9625261070264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0.48796459111746221</v>
      </c>
      <c r="R159" s="1">
        <v>75</v>
      </c>
      <c r="S159" s="1">
        <v>82</v>
      </c>
      <c r="T159" s="1">
        <v>0</v>
      </c>
      <c r="U159" s="1">
        <f>Games[[#This Row],[PointsFor]]-Games[[#This Row],[PointsAgainst]]</f>
        <v>-7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0.34796372532424591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-12.547774896719885</v>
      </c>
      <c r="AB159" s="4">
        <f>Games[[#This Row],[PreGmRate]]+Games[[#This Row],[RatingChange]]</f>
        <v>1381.0500767870517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42915</v>
      </c>
      <c r="B160" s="2">
        <v>2017</v>
      </c>
      <c r="C160" s="2">
        <f>COUNTIFS(Games[Team],Games[[#This Row],[Team]],Games[Season],Games[[#This Row],[Season]],Games[Date],"&lt;=" &amp; Games[[#This Row],[Date]])</f>
        <v>14</v>
      </c>
      <c r="D160" s="2" t="s">
        <v>81</v>
      </c>
      <c r="E160" s="2" t="s">
        <v>82</v>
      </c>
      <c r="F160" s="1" t="s">
        <v>71</v>
      </c>
      <c r="G160" s="1" t="s">
        <v>76</v>
      </c>
      <c r="H160" s="1" t="s">
        <v>83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1471.2205768154627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1521.0528733014592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0.31639244894393237</v>
      </c>
      <c r="R160" s="1">
        <v>89</v>
      </c>
      <c r="S160" s="1">
        <v>96</v>
      </c>
      <c r="T160" s="1">
        <v>0</v>
      </c>
      <c r="U160" s="1">
        <f>Games[[#This Row],[PointsFor]]-Games[[#This Row],[PointsAgainst]]</f>
        <v>-7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0.35535056041781538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-8.3085942958657455</v>
      </c>
      <c r="AB160" s="4">
        <f>Games[[#This Row],[PreGmRate]]+Games[[#This Row],[RatingChange]]</f>
        <v>1462.9119825195969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42915</v>
      </c>
      <c r="B161" s="2">
        <v>2017</v>
      </c>
      <c r="C161" s="2">
        <f>COUNTIFS(Games[Team],Games[[#This Row],[Team]],Games[Season],Games[[#This Row],[Season]],Games[Date],"&lt;=" &amp; Games[[#This Row],[Date]])</f>
        <v>14</v>
      </c>
      <c r="D161" s="2" t="s">
        <v>81</v>
      </c>
      <c r="E161" s="2" t="s">
        <v>82</v>
      </c>
      <c r="F161" s="1" t="s">
        <v>76</v>
      </c>
      <c r="G161" s="1" t="s">
        <v>71</v>
      </c>
      <c r="H161" s="1" t="s">
        <v>84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1521.0528733014592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1471.2205768154627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0.68360755105606752</v>
      </c>
      <c r="R161" s="1">
        <v>96</v>
      </c>
      <c r="S161" s="1">
        <v>89</v>
      </c>
      <c r="T161" s="1">
        <v>0</v>
      </c>
      <c r="U161" s="1">
        <f>Games[[#This Row],[PointsFor]]-Games[[#This Row],[PointsAgainst]]</f>
        <v>7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0.35535056041781538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8.308594295865749</v>
      </c>
      <c r="AB161" s="4">
        <f>Games[[#This Row],[PreGmRate]]+Games[[#This Row],[RatingChange]]</f>
        <v>1529.3614675973249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42915</v>
      </c>
      <c r="B162" s="2">
        <v>2017</v>
      </c>
      <c r="C162" s="2">
        <f>COUNTIFS(Games[Team],Games[[#This Row],[Team]],Games[Season],Games[[#This Row],[Season]],Games[Date],"&lt;=" &amp; Games[[#This Row],[Date]])</f>
        <v>13</v>
      </c>
      <c r="D162" s="2" t="s">
        <v>81</v>
      </c>
      <c r="E162" s="2" t="s">
        <v>82</v>
      </c>
      <c r="F162" s="1" t="s">
        <v>60</v>
      </c>
      <c r="G162" s="1" t="s">
        <v>65</v>
      </c>
      <c r="H162" s="1" t="s">
        <v>83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4</v>
      </c>
      <c r="L162" s="2">
        <f>Games[[#This Row],[OppDaysOff]]-Games[[#This Row],[DaysOff]]</f>
        <v>-4</v>
      </c>
      <c r="M162" s="1">
        <f>MAX(-16, MIN(16, Games[[#This Row],[RestDiff]]*8))</f>
        <v>16</v>
      </c>
      <c r="N162" s="1">
        <f>MAX(-16, MIN(16, Games[[#This Row],[OppRestDiff]]*8))</f>
        <v>-16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1506.9094055024509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1552.8859482269631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0.36262283204016371</v>
      </c>
      <c r="R162" s="1">
        <v>54</v>
      </c>
      <c r="S162" s="1">
        <v>67</v>
      </c>
      <c r="T162" s="1">
        <v>0</v>
      </c>
      <c r="U162" s="1">
        <f>Games[[#This Row],[PointsFor]]-Games[[#This Row],[PointsAgainst]]</f>
        <v>-13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0.45462533792033422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-12.207699915365408</v>
      </c>
      <c r="AB162" s="4">
        <f>Games[[#This Row],[PreGmRate]]+Games[[#This Row],[RatingChange]]</f>
        <v>1494.7017055870856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42915</v>
      </c>
      <c r="B163" s="2">
        <v>2017</v>
      </c>
      <c r="C163" s="2">
        <f>COUNTIFS(Games[Team],Games[[#This Row],[Team]],Games[Season],Games[[#This Row],[Season]],Games[Date],"&lt;=" &amp; Games[[#This Row],[Date]])</f>
        <v>15</v>
      </c>
      <c r="D163" s="2" t="s">
        <v>81</v>
      </c>
      <c r="E163" s="2" t="s">
        <v>82</v>
      </c>
      <c r="F163" s="1" t="s">
        <v>65</v>
      </c>
      <c r="G163" s="1" t="s">
        <v>60</v>
      </c>
      <c r="H163" s="1" t="s">
        <v>84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3" s="2">
        <f>Games[[#This Row],[DaysOff]]-Games[[#This Row],[OppDaysOff]]</f>
        <v>-4</v>
      </c>
      <c r="L163" s="2">
        <f>Games[[#This Row],[OppDaysOff]]-Games[[#This Row],[DaysOff]]</f>
        <v>4</v>
      </c>
      <c r="M163" s="1">
        <f>MAX(-16, MIN(16, Games[[#This Row],[RestDiff]]*8))</f>
        <v>-16</v>
      </c>
      <c r="N163" s="1">
        <f>MAX(-16, MIN(16, Games[[#This Row],[OppRestDiff]]*8))</f>
        <v>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1552.8859482269631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1506.9094055024509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0.63737716795983634</v>
      </c>
      <c r="R163" s="1">
        <v>67</v>
      </c>
      <c r="S163" s="1">
        <v>54</v>
      </c>
      <c r="T163" s="1">
        <v>0</v>
      </c>
      <c r="U163" s="1">
        <f>Games[[#This Row],[PointsFor]]-Games[[#This Row],[PointsAgainst]]</f>
        <v>13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0.45462533792033422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73.75</v>
      </c>
      <c r="Z163" s="4">
        <f>Games[[#This Row],[K]]*Games[[#This Row],[POMult]]</f>
        <v>73.75</v>
      </c>
      <c r="AA163" s="4">
        <f>(Games[[#This Row],[Keff]]*Games[[#This Row],[MOVMult]])*(Games[[#This Row],[Result]]-Games[[#This Row],[ExpectedWin%]])</f>
        <v>12.15824265709924</v>
      </c>
      <c r="AB163" s="4">
        <f>Games[[#This Row],[PreGmRate]]+Games[[#This Row],[RatingChange]]</f>
        <v>1565.0441908840623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42916</v>
      </c>
      <c r="B164" s="2">
        <v>2017</v>
      </c>
      <c r="C164" s="2">
        <f>COUNTIFS(Games[Team],Games[[#This Row],[Team]],Games[Season],Games[[#This Row],[Season]],Games[Date],"&lt;=" &amp; Games[[#This Row],[Date]])</f>
        <v>14</v>
      </c>
      <c r="D164" s="2" t="s">
        <v>81</v>
      </c>
      <c r="E164" s="2" t="s">
        <v>82</v>
      </c>
      <c r="F164" s="1" t="s">
        <v>63</v>
      </c>
      <c r="G164" s="1" t="s">
        <v>79</v>
      </c>
      <c r="H164" s="1" t="s">
        <v>83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64" s="2">
        <f>Games[[#This Row],[DaysOff]]-Games[[#This Row],[OppDaysOff]]</f>
        <v>-4</v>
      </c>
      <c r="L164" s="2">
        <f>Games[[#This Row],[OppDaysOff]]-Games[[#This Row],[DaysOff]]</f>
        <v>4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1644.4806586026521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1461.4358800864209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0.59530514133647872</v>
      </c>
      <c r="R164" s="1">
        <v>85</v>
      </c>
      <c r="S164" s="1">
        <v>76</v>
      </c>
      <c r="T164" s="1">
        <v>0</v>
      </c>
      <c r="U164" s="1">
        <f>Games[[#This Row],[PointsFor]]-Games[[#This Row],[PointsAgainst]]</f>
        <v>9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0.35224154716041545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10.534470358304976</v>
      </c>
      <c r="AB164" s="4">
        <f>Games[[#This Row],[PreGmRate]]+Games[[#This Row],[RatingChange]]</f>
        <v>1655.0151289609571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42916</v>
      </c>
      <c r="B165" s="2">
        <v>2017</v>
      </c>
      <c r="C165" s="2">
        <f>COUNTIFS(Games[Team],Games[[#This Row],[Team]],Games[Season],Games[[#This Row],[Season]],Games[Date],"&lt;=" &amp; Games[[#This Row],[Date]])</f>
        <v>12</v>
      </c>
      <c r="D165" s="2" t="s">
        <v>81</v>
      </c>
      <c r="E165" s="2" t="s">
        <v>82</v>
      </c>
      <c r="F165" s="1" t="s">
        <v>79</v>
      </c>
      <c r="G165" s="1" t="s">
        <v>63</v>
      </c>
      <c r="H165" s="1" t="s">
        <v>84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4</v>
      </c>
      <c r="L165" s="2">
        <f>Games[[#This Row],[OppDaysOff]]-Games[[#This Row],[DaysOff]]</f>
        <v>-4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1461.4358800864209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1644.4806586026521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0.40469485866352134</v>
      </c>
      <c r="R165" s="1">
        <v>76</v>
      </c>
      <c r="S165" s="1">
        <v>85</v>
      </c>
      <c r="T165" s="1">
        <v>0</v>
      </c>
      <c r="U165" s="1">
        <f>Games[[#This Row],[PointsFor]]-Games[[#This Row],[PointsAgainst]]</f>
        <v>-9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0.35224154716041545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-10.577235461248028</v>
      </c>
      <c r="AB165" s="4">
        <f>Games[[#This Row],[PreGmRate]]+Games[[#This Row],[RatingChange]]</f>
        <v>1450.8586446251729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42916</v>
      </c>
      <c r="B166" s="2">
        <v>2017</v>
      </c>
      <c r="C166" s="2">
        <f>COUNTIFS(Games[Team],Games[[#This Row],[Team]],Games[Season],Games[[#This Row],[Season]],Games[Date],"&lt;=" &amp; Games[[#This Row],[Date]])</f>
        <v>13</v>
      </c>
      <c r="D166" s="2" t="s">
        <v>81</v>
      </c>
      <c r="E166" s="2" t="s">
        <v>82</v>
      </c>
      <c r="F166" s="1" t="s">
        <v>67</v>
      </c>
      <c r="G166" s="1" t="s">
        <v>40</v>
      </c>
      <c r="H166" s="1" t="s">
        <v>83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66" s="2">
        <f>Games[[#This Row],[DaysOff]]-Games[[#This Row],[OppDaysOff]]</f>
        <v>-2</v>
      </c>
      <c r="L166" s="2">
        <f>Games[[#This Row],[OppDaysOff]]-Games[[#This Row],[DaysOff]]</f>
        <v>2</v>
      </c>
      <c r="M166" s="1">
        <f>MAX(-16, MIN(16, Games[[#This Row],[RestDiff]]*8))</f>
        <v>-16</v>
      </c>
      <c r="N166" s="1">
        <f>MAX(-16, MIN(16, Games[[#This Row],[OppRestDiff]]*8))</f>
        <v>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1689.3737587425455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1532.4129811963817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0.55867570174692083</v>
      </c>
      <c r="R166" s="1">
        <v>91</v>
      </c>
      <c r="S166" s="1">
        <v>83</v>
      </c>
      <c r="T166" s="1">
        <v>0</v>
      </c>
      <c r="U166" s="1">
        <f>Games[[#This Row],[PointsFor]]-Games[[#This Row],[PointsAgainst]]</f>
        <v>8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0.34339875530245673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11.222293398893221</v>
      </c>
      <c r="AB166" s="4">
        <f>Games[[#This Row],[PreGmRate]]+Games[[#This Row],[RatingChange]]</f>
        <v>1700.5960521414388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42916</v>
      </c>
      <c r="B167" s="2">
        <v>2017</v>
      </c>
      <c r="C167" s="2">
        <f>COUNTIFS(Games[Team],Games[[#This Row],[Team]],Games[Season],Games[[#This Row],[Season]],Games[Date],"&lt;=" &amp; Games[[#This Row],[Date]])</f>
        <v>13</v>
      </c>
      <c r="D167" s="2" t="s">
        <v>81</v>
      </c>
      <c r="E167" s="2" t="s">
        <v>82</v>
      </c>
      <c r="F167" s="1" t="s">
        <v>40</v>
      </c>
      <c r="G167" s="1" t="s">
        <v>67</v>
      </c>
      <c r="H167" s="1" t="s">
        <v>84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7" s="2">
        <f>Games[[#This Row],[DaysOff]]-Games[[#This Row],[OppDaysOff]]</f>
        <v>2</v>
      </c>
      <c r="L167" s="2">
        <f>Games[[#This Row],[OppDaysOff]]-Games[[#This Row],[DaysOff]]</f>
        <v>-2</v>
      </c>
      <c r="M167" s="1">
        <f>MAX(-16, MIN(16, Games[[#This Row],[RestDiff]]*8))</f>
        <v>16</v>
      </c>
      <c r="N167" s="1">
        <f>MAX(-16, MIN(16, Games[[#This Row],[OppRestDiff]]*8))</f>
        <v>-16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1532.4129811963817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1689.3737587425455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0.44132429825307912</v>
      </c>
      <c r="R167" s="1">
        <v>83</v>
      </c>
      <c r="S167" s="1">
        <v>91</v>
      </c>
      <c r="T167" s="1">
        <v>0</v>
      </c>
      <c r="U167" s="1">
        <f>Games[[#This Row],[PointsFor]]-Games[[#This Row],[PointsAgainst]]</f>
        <v>-8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0.34339875530245673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-11.222293398893219</v>
      </c>
      <c r="AB167" s="4">
        <f>Games[[#This Row],[PreGmRate]]+Games[[#This Row],[RatingChange]]</f>
        <v>1521.1906877974884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42916</v>
      </c>
      <c r="B168" s="2">
        <v>2017</v>
      </c>
      <c r="C168" s="2">
        <f>COUNTIFS(Games[Team],Games[[#This Row],[Team]],Games[Season],Games[[#This Row],[Season]],Games[Date],"&lt;=" &amp; Games[[#This Row],[Date]])</f>
        <v>15</v>
      </c>
      <c r="D168" s="2" t="s">
        <v>81</v>
      </c>
      <c r="E168" s="2" t="s">
        <v>82</v>
      </c>
      <c r="F168" s="1" t="s">
        <v>77</v>
      </c>
      <c r="G168" s="1" t="s">
        <v>74</v>
      </c>
      <c r="H168" s="1" t="s">
        <v>83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8" s="2">
        <f>Games[[#This Row],[DaysOff]]-Games[[#This Row],[OppDaysOff]]</f>
        <v>-3</v>
      </c>
      <c r="L168" s="2">
        <f>Games[[#This Row],[OppDaysOff]]-Games[[#This Row],[DaysOff]]</f>
        <v>3</v>
      </c>
      <c r="M168" s="1">
        <f>MAX(-16, MIN(16, Games[[#This Row],[RestDiff]]*8))</f>
        <v>-16</v>
      </c>
      <c r="N168" s="1">
        <f>MAX(-16, MIN(16, Games[[#This Row],[OppRestDiff]]*8))</f>
        <v>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1381.0500767870517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1288.805399165718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0.46586651675876217</v>
      </c>
      <c r="R168" s="1">
        <v>82</v>
      </c>
      <c r="S168" s="1">
        <v>89</v>
      </c>
      <c r="T168" s="1">
        <v>0</v>
      </c>
      <c r="U168" s="1">
        <f>Games[[#This Row],[PointsFor]]-Games[[#This Row],[PointsAgainst]]</f>
        <v>-7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0.34368770456234521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-11.808303791073978</v>
      </c>
      <c r="AB168" s="4">
        <f>Games[[#This Row],[PreGmRate]]+Games[[#This Row],[RatingChange]]</f>
        <v>1369.2417729959777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42916</v>
      </c>
      <c r="B169" s="2">
        <v>2017</v>
      </c>
      <c r="C169" s="2">
        <f>COUNTIFS(Games[Team],Games[[#This Row],[Team]],Games[Season],Games[[#This Row],[Season]],Games[Date],"&lt;=" &amp; Games[[#This Row],[Date]])</f>
        <v>15</v>
      </c>
      <c r="D169" s="2" t="s">
        <v>81</v>
      </c>
      <c r="E169" s="2" t="s">
        <v>82</v>
      </c>
      <c r="F169" s="1" t="s">
        <v>74</v>
      </c>
      <c r="G169" s="1" t="s">
        <v>77</v>
      </c>
      <c r="H169" s="1" t="s">
        <v>84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3</v>
      </c>
      <c r="L169" s="2">
        <f>Games[[#This Row],[OppDaysOff]]-Games[[#This Row],[DaysOff]]</f>
        <v>-3</v>
      </c>
      <c r="M169" s="1">
        <f>MAX(-16, MIN(16, Games[[#This Row],[RestDiff]]*8))</f>
        <v>16</v>
      </c>
      <c r="N169" s="1">
        <f>MAX(-16, MIN(16, Games[[#This Row],[OppRestDiff]]*8))</f>
        <v>-16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1288.805399165718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1381.0500767870517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0.53413348324123777</v>
      </c>
      <c r="R169" s="1">
        <v>89</v>
      </c>
      <c r="S169" s="1">
        <v>82</v>
      </c>
      <c r="T169" s="1">
        <v>0</v>
      </c>
      <c r="U169" s="1">
        <f>Games[[#This Row],[PointsFor]]-Games[[#This Row],[PointsAgainst]]</f>
        <v>7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0.34368770456234521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11.80830379107398</v>
      </c>
      <c r="AB169" s="4">
        <f>Games[[#This Row],[PreGmRate]]+Games[[#This Row],[RatingChange]]</f>
        <v>1300.6137029567919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42917</v>
      </c>
      <c r="B170" s="2">
        <v>2017</v>
      </c>
      <c r="C170" s="2">
        <f>COUNTIFS(Games[Team],Games[[#This Row],[Team]],Games[Season],Games[[#This Row],[Season]],Games[Date],"&lt;=" &amp; Games[[#This Row],[Date]])</f>
        <v>15</v>
      </c>
      <c r="D170" s="2" t="s">
        <v>81</v>
      </c>
      <c r="E170" s="2" t="s">
        <v>82</v>
      </c>
      <c r="F170" s="1" t="s">
        <v>71</v>
      </c>
      <c r="G170" s="1" t="s">
        <v>87</v>
      </c>
      <c r="H170" s="1" t="s">
        <v>83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0" s="2">
        <f>Games[[#This Row],[DaysOff]]-Games[[#This Row],[OppDaysOff]]</f>
        <v>-4</v>
      </c>
      <c r="L170" s="2">
        <f>Games[[#This Row],[OppDaysOff]]-Games[[#This Row],[DaysOff]]</f>
        <v>4</v>
      </c>
      <c r="M170" s="1">
        <f>MAX(-16, MIN(16, Games[[#This Row],[RestDiff]]*8))</f>
        <v>-16</v>
      </c>
      <c r="N170" s="1">
        <f>MAX(-16, MIN(16, Games[[#This Row],[OppRestDiff]]*8))</f>
        <v>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1462.9119825195969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1468.1735895578079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0.33224738929052489</v>
      </c>
      <c r="R170" s="1">
        <v>89</v>
      </c>
      <c r="S170" s="1">
        <v>69</v>
      </c>
      <c r="T170" s="1">
        <v>0</v>
      </c>
      <c r="U170" s="1">
        <f>Games[[#This Row],[PointsFor]]-Games[[#This Row],[PointsAgainst]]</f>
        <v>20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0.57237767029339726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28.187742919203959</v>
      </c>
      <c r="AB170" s="4">
        <f>Games[[#This Row],[PreGmRate]]+Games[[#This Row],[RatingChange]]</f>
        <v>1491.0997254388008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42917</v>
      </c>
      <c r="B171" s="2">
        <v>2017</v>
      </c>
      <c r="C171" s="2">
        <f>COUNTIFS(Games[Team],Games[[#This Row],[Team]],Games[Season],Games[[#This Row],[Season]],Games[Date],"&lt;=" &amp; Games[[#This Row],[Date]])</f>
        <v>17</v>
      </c>
      <c r="D171" s="2" t="s">
        <v>81</v>
      </c>
      <c r="E171" s="2" t="s">
        <v>82</v>
      </c>
      <c r="F171" s="1" t="s">
        <v>87</v>
      </c>
      <c r="G171" s="1" t="s">
        <v>71</v>
      </c>
      <c r="H171" s="1" t="s">
        <v>84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4</v>
      </c>
      <c r="L171" s="2">
        <f>Games[[#This Row],[OppDaysOff]]-Games[[#This Row],[DaysOff]]</f>
        <v>-4</v>
      </c>
      <c r="M171" s="1">
        <f>MAX(-16, MIN(16, Games[[#This Row],[RestDiff]]*8))</f>
        <v>16</v>
      </c>
      <c r="N171" s="1">
        <f>MAX(-16, MIN(16, Games[[#This Row],[OppRestDiff]]*8))</f>
        <v>-16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1468.1735895578079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1462.9119825195969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0.66775261070947523</v>
      </c>
      <c r="R171" s="1">
        <v>69</v>
      </c>
      <c r="S171" s="1">
        <v>89</v>
      </c>
      <c r="T171" s="1">
        <v>0</v>
      </c>
      <c r="U171" s="1">
        <f>Games[[#This Row],[PointsFor]]-Games[[#This Row],[PointsAgainst]]</f>
        <v>-20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0.57237767029339726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73.45</v>
      </c>
      <c r="Z171" s="4">
        <f>Games[[#This Row],[K]]*Games[[#This Row],[POMult]]</f>
        <v>73.45</v>
      </c>
      <c r="AA171" s="4">
        <f>(Games[[#This Row],[Keff]]*Games[[#This Row],[MOVMult]])*(Games[[#This Row],[Result]]-Games[[#This Row],[ExpectedWin%]])</f>
        <v>-28.0730809141089</v>
      </c>
      <c r="AB171" s="4">
        <f>Games[[#This Row],[PreGmRate]]+Games[[#This Row],[RatingChange]]</f>
        <v>1440.100508643699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42917</v>
      </c>
      <c r="B172" s="2">
        <v>2017</v>
      </c>
      <c r="C172" s="2">
        <f>COUNTIFS(Games[Team],Games[[#This Row],[Team]],Games[Season],Games[[#This Row],[Season]],Games[Date],"&lt;=" &amp; Games[[#This Row],[Date]])</f>
        <v>15</v>
      </c>
      <c r="D172" s="2" t="s">
        <v>81</v>
      </c>
      <c r="E172" s="2" t="s">
        <v>82</v>
      </c>
      <c r="F172" s="1" t="s">
        <v>76</v>
      </c>
      <c r="G172" s="1" t="s">
        <v>69</v>
      </c>
      <c r="H172" s="1" t="s">
        <v>83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-1</v>
      </c>
      <c r="L172" s="2">
        <f>Games[[#This Row],[OppDaysOff]]-Games[[#This Row],[DaysOff]]</f>
        <v>1</v>
      </c>
      <c r="M172" s="1">
        <f>MAX(-16, MIN(16, Games[[#This Row],[RestDiff]]*8))</f>
        <v>-8</v>
      </c>
      <c r="N172" s="1">
        <f>MAX(-16, MIN(16, Games[[#This Row],[OppRestDiff]]*8))</f>
        <v>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1529.3614675973249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1482.5103010037462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0.42410378064464582</v>
      </c>
      <c r="R172" s="1">
        <v>91</v>
      </c>
      <c r="S172" s="1">
        <v>85</v>
      </c>
      <c r="T172" s="1">
        <v>0</v>
      </c>
      <c r="U172" s="1">
        <f>Games[[#This Row],[PointsFor]]-Games[[#This Row],[PointsAgainst]]</f>
        <v>6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0.33808117969752316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14.359100900196378</v>
      </c>
      <c r="AB172" s="4">
        <f>Games[[#This Row],[PreGmRate]]+Games[[#This Row],[RatingChange]]</f>
        <v>1543.7205684975213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42917</v>
      </c>
      <c r="B173" s="2">
        <v>2017</v>
      </c>
      <c r="C173" s="2">
        <f>COUNTIFS(Games[Team],Games[[#This Row],[Team]],Games[Season],Games[[#This Row],[Season]],Games[Date],"&lt;=" &amp; Games[[#This Row],[Date]])</f>
        <v>15</v>
      </c>
      <c r="D173" s="2" t="s">
        <v>81</v>
      </c>
      <c r="E173" s="2" t="s">
        <v>82</v>
      </c>
      <c r="F173" s="1" t="s">
        <v>69</v>
      </c>
      <c r="G173" s="1" t="s">
        <v>76</v>
      </c>
      <c r="H173" s="1" t="s">
        <v>84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1</v>
      </c>
      <c r="L173" s="2">
        <f>Games[[#This Row],[OppDaysOff]]-Games[[#This Row],[DaysOff]]</f>
        <v>-1</v>
      </c>
      <c r="M173" s="1">
        <f>MAX(-16, MIN(16, Games[[#This Row],[RestDiff]]*8))</f>
        <v>8</v>
      </c>
      <c r="N173" s="1">
        <f>MAX(-16, MIN(16, Games[[#This Row],[OppRestDiff]]*8))</f>
        <v>-8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1482.5103010037462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1529.3614675973249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0.57589621935535418</v>
      </c>
      <c r="R173" s="1">
        <v>85</v>
      </c>
      <c r="S173" s="1">
        <v>91</v>
      </c>
      <c r="T173" s="1">
        <v>0</v>
      </c>
      <c r="U173" s="1">
        <f>Games[[#This Row],[PointsFor]]-Games[[#This Row],[PointsAgainst]]</f>
        <v>-6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0.33808117969752316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-14.359100900196378</v>
      </c>
      <c r="AB173" s="4">
        <f>Games[[#This Row],[PreGmRate]]+Games[[#This Row],[RatingChange]]</f>
        <v>1468.1512001035499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42918</v>
      </c>
      <c r="B174" s="2">
        <v>2017</v>
      </c>
      <c r="C174" s="2">
        <f>COUNTIFS(Games[Team],Games[[#This Row],[Team]],Games[Season],Games[[#This Row],[Season]],Games[Date],"&lt;=" &amp; Games[[#This Row],[Date]])</f>
        <v>14</v>
      </c>
      <c r="D174" s="2" t="s">
        <v>81</v>
      </c>
      <c r="E174" s="2" t="s">
        <v>82</v>
      </c>
      <c r="F174" s="1" t="s">
        <v>60</v>
      </c>
      <c r="G174" s="1" t="s">
        <v>79</v>
      </c>
      <c r="H174" s="1" t="s">
        <v>83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1494.7017055870856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1450.8586446251729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0.46529128314744073</v>
      </c>
      <c r="R174" s="1">
        <v>72</v>
      </c>
      <c r="S174" s="1">
        <v>81</v>
      </c>
      <c r="T174" s="1">
        <v>0</v>
      </c>
      <c r="U174" s="1">
        <f>Games[[#This Row],[PointsFor]]-Games[[#This Row],[PointsAgainst]]</f>
        <v>-9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0.3916618164030653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-13.467301671527528</v>
      </c>
      <c r="AB174" s="4">
        <f>Games[[#This Row],[PreGmRate]]+Games[[#This Row],[RatingChange]]</f>
        <v>1481.234403915558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42918</v>
      </c>
      <c r="B175" s="2">
        <v>2017</v>
      </c>
      <c r="C175" s="2">
        <f>COUNTIFS(Games[Team],Games[[#This Row],[Team]],Games[Season],Games[[#This Row],[Season]],Games[Date],"&lt;=" &amp; Games[[#This Row],[Date]])</f>
        <v>13</v>
      </c>
      <c r="D175" s="2" t="s">
        <v>81</v>
      </c>
      <c r="E175" s="2" t="s">
        <v>82</v>
      </c>
      <c r="F175" s="1" t="s">
        <v>79</v>
      </c>
      <c r="G175" s="1" t="s">
        <v>60</v>
      </c>
      <c r="H175" s="1" t="s">
        <v>84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1450.8586446251729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1494.7017055870856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0.53470871685255927</v>
      </c>
      <c r="R175" s="1">
        <v>81</v>
      </c>
      <c r="S175" s="1">
        <v>72</v>
      </c>
      <c r="T175" s="1">
        <v>0</v>
      </c>
      <c r="U175" s="1">
        <f>Games[[#This Row],[PointsFor]]-Games[[#This Row],[PointsAgainst]]</f>
        <v>9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0.3916618164030653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74.05</v>
      </c>
      <c r="Z175" s="4">
        <f>Games[[#This Row],[K]]*Games[[#This Row],[POMult]]</f>
        <v>74.05</v>
      </c>
      <c r="AA175" s="4">
        <f>(Games[[#This Row],[Keff]]*Games[[#This Row],[MOVMult]])*(Games[[#This Row],[Result]]-Games[[#This Row],[ExpectedWin%]])</f>
        <v>13.494637195894631</v>
      </c>
      <c r="AB175" s="4">
        <f>Games[[#This Row],[PreGmRate]]+Games[[#This Row],[RatingChange]]</f>
        <v>1464.3532818210676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42918</v>
      </c>
      <c r="B176" s="2">
        <v>2017</v>
      </c>
      <c r="C176" s="2">
        <f>COUNTIFS(Games[Team],Games[[#This Row],[Team]],Games[Season],Games[[#This Row],[Season]],Games[Date],"&lt;=" &amp; Games[[#This Row],[Date]])</f>
        <v>16</v>
      </c>
      <c r="D176" s="2" t="s">
        <v>81</v>
      </c>
      <c r="E176" s="2" t="s">
        <v>82</v>
      </c>
      <c r="F176" s="1" t="s">
        <v>65</v>
      </c>
      <c r="G176" s="1" t="s">
        <v>63</v>
      </c>
      <c r="H176" s="1" t="s">
        <v>83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1565.0441908840623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1655.0151289609571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0.2871320842988298</v>
      </c>
      <c r="R176" s="1">
        <v>69</v>
      </c>
      <c r="S176" s="1">
        <v>76</v>
      </c>
      <c r="T176" s="1">
        <v>0</v>
      </c>
      <c r="U176" s="1">
        <f>Games[[#This Row],[PointsFor]]-Games[[#This Row],[PointsAgainst]]</f>
        <v>-7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0.34429349830678874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73.599999999999994</v>
      </c>
      <c r="Z176" s="4">
        <f>Games[[#This Row],[K]]*Games[[#This Row],[POMult]]</f>
        <v>73.599999999999994</v>
      </c>
      <c r="AA176" s="4">
        <f>(Games[[#This Row],[Keff]]*Games[[#This Row],[MOVMult]])*(Games[[#This Row],[Result]]-Games[[#This Row],[ExpectedWin%]])</f>
        <v>-7.2759274397611806</v>
      </c>
      <c r="AB176" s="4">
        <f>Games[[#This Row],[PreGmRate]]+Games[[#This Row],[RatingChange]]</f>
        <v>1557.7682634443011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42918</v>
      </c>
      <c r="B177" s="2">
        <v>2017</v>
      </c>
      <c r="C177" s="2">
        <f>COUNTIFS(Games[Team],Games[[#This Row],[Team]],Games[Season],Games[[#This Row],[Season]],Games[Date],"&lt;=" &amp; Games[[#This Row],[Date]])</f>
        <v>15</v>
      </c>
      <c r="D177" s="2" t="s">
        <v>81</v>
      </c>
      <c r="E177" s="2" t="s">
        <v>82</v>
      </c>
      <c r="F177" s="1" t="s">
        <v>63</v>
      </c>
      <c r="G177" s="1" t="s">
        <v>65</v>
      </c>
      <c r="H177" s="1" t="s">
        <v>84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1655.0151289609571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1565.0441908840623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0.71286791570117025</v>
      </c>
      <c r="R177" s="1">
        <v>76</v>
      </c>
      <c r="S177" s="1">
        <v>69</v>
      </c>
      <c r="T177" s="1">
        <v>0</v>
      </c>
      <c r="U177" s="1">
        <f>Games[[#This Row],[PointsFor]]-Games[[#This Row],[PointsAgainst]]</f>
        <v>7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0.34429349830678874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7.2907560962280851</v>
      </c>
      <c r="AB177" s="4">
        <f>Games[[#This Row],[PreGmRate]]+Games[[#This Row],[RatingChange]]</f>
        <v>1662.3058850571852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42921</v>
      </c>
      <c r="B178" s="2">
        <v>2017</v>
      </c>
      <c r="C178" s="2">
        <f>COUNTIFS(Games[Team],Games[[#This Row],[Team]],Games[Season],Games[[#This Row],[Season]],Games[Date],"&lt;=" &amp; Games[[#This Row],[Date]])</f>
        <v>14</v>
      </c>
      <c r="D178" s="2" t="s">
        <v>81</v>
      </c>
      <c r="E178" s="2" t="s">
        <v>82</v>
      </c>
      <c r="F178" s="1" t="s">
        <v>79</v>
      </c>
      <c r="G178" s="1" t="s">
        <v>87</v>
      </c>
      <c r="H178" s="1" t="s">
        <v>83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1464.3532818210676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1440.100508643699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0.39268589432228768</v>
      </c>
      <c r="R178" s="1">
        <v>84</v>
      </c>
      <c r="S178" s="1">
        <v>94</v>
      </c>
      <c r="T178" s="1">
        <v>0</v>
      </c>
      <c r="U178" s="1">
        <f>Games[[#This Row],[PointsFor]]-Games[[#This Row],[PointsAgainst]]</f>
        <v>-10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0.41474738740508255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73.900000000000006</v>
      </c>
      <c r="Z178" s="4">
        <f>Games[[#This Row],[K]]*Games[[#This Row],[POMult]]</f>
        <v>73.900000000000006</v>
      </c>
      <c r="AA178" s="4">
        <f>(Games[[#This Row],[Keff]]*Games[[#This Row],[MOVMult]])*(Games[[#This Row],[Result]]-Games[[#This Row],[ExpectedWin%]])</f>
        <v>-12.03575666195969</v>
      </c>
      <c r="AB178" s="4">
        <f>Games[[#This Row],[PreGmRate]]+Games[[#This Row],[RatingChange]]</f>
        <v>1452.3175251591078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42921</v>
      </c>
      <c r="B179" s="2">
        <v>2017</v>
      </c>
      <c r="C179" s="2">
        <f>COUNTIFS(Games[Team],Games[[#This Row],[Team]],Games[Season],Games[[#This Row],[Season]],Games[Date],"&lt;=" &amp; Games[[#This Row],[Date]])</f>
        <v>18</v>
      </c>
      <c r="D179" s="2" t="s">
        <v>81</v>
      </c>
      <c r="E179" s="2" t="s">
        <v>82</v>
      </c>
      <c r="F179" s="1" t="s">
        <v>87</v>
      </c>
      <c r="G179" s="1" t="s">
        <v>79</v>
      </c>
      <c r="H179" s="1" t="s">
        <v>84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1440.100508643699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1464.3532818210676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0.60731410567771227</v>
      </c>
      <c r="R179" s="1">
        <v>94</v>
      </c>
      <c r="S179" s="1">
        <v>84</v>
      </c>
      <c r="T179" s="1">
        <v>0</v>
      </c>
      <c r="U179" s="1">
        <f>Games[[#This Row],[PointsFor]]-Games[[#This Row],[PointsAgainst]]</f>
        <v>10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0.41474738740508255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73.3</v>
      </c>
      <c r="Z179" s="4">
        <f>Games[[#This Row],[K]]*Games[[#This Row],[POMult]]</f>
        <v>73.3</v>
      </c>
      <c r="AA179" s="4">
        <f>(Games[[#This Row],[Keff]]*Games[[#This Row],[MOVMult]])*(Games[[#This Row],[Result]]-Games[[#This Row],[ExpectedWin%]])</f>
        <v>11.938037392715092</v>
      </c>
      <c r="AB179" s="4">
        <f>Games[[#This Row],[PreGmRate]]+Games[[#This Row],[RatingChange]]</f>
        <v>1452.0385460364141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42921</v>
      </c>
      <c r="B180" s="2">
        <v>2017</v>
      </c>
      <c r="C180" s="2">
        <f>COUNTIFS(Games[Team],Games[[#This Row],[Team]],Games[Season],Games[[#This Row],[Season]],Games[Date],"&lt;=" &amp; Games[[#This Row],[Date]])</f>
        <v>17</v>
      </c>
      <c r="D180" s="2" t="s">
        <v>81</v>
      </c>
      <c r="E180" s="2" t="s">
        <v>82</v>
      </c>
      <c r="F180" s="1" t="s">
        <v>65</v>
      </c>
      <c r="G180" s="1" t="s">
        <v>40</v>
      </c>
      <c r="H180" s="1" t="s">
        <v>83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0" s="2">
        <f>Games[[#This Row],[DaysOff]]-Games[[#This Row],[OppDaysOff]]</f>
        <v>-2</v>
      </c>
      <c r="L180" s="2">
        <f>Games[[#This Row],[OppDaysOff]]-Games[[#This Row],[DaysOff]]</f>
        <v>2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1557.7682634443011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1521.1906877974884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0.38765211690825579</v>
      </c>
      <c r="R180" s="1">
        <v>80</v>
      </c>
      <c r="S180" s="1">
        <v>88</v>
      </c>
      <c r="T180" s="1">
        <v>0</v>
      </c>
      <c r="U180" s="1">
        <f>Games[[#This Row],[PointsFor]]-Games[[#This Row],[PointsAgainst]]</f>
        <v>-8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0.37682928364592788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73.45</v>
      </c>
      <c r="Z180" s="4">
        <f>Games[[#This Row],[K]]*Games[[#This Row],[POMult]]</f>
        <v>73.45</v>
      </c>
      <c r="AA180" s="4">
        <f>(Games[[#This Row],[Keff]]*Games[[#This Row],[MOVMult]])*(Games[[#This Row],[Result]]-Games[[#This Row],[ExpectedWin%]])</f>
        <v>-10.729478276123949</v>
      </c>
      <c r="AB180" s="4">
        <f>Games[[#This Row],[PreGmRate]]+Games[[#This Row],[RatingChange]]</f>
        <v>1547.0387851681771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42921</v>
      </c>
      <c r="B181" s="2">
        <v>2017</v>
      </c>
      <c r="C181" s="2">
        <f>COUNTIFS(Games[Team],Games[[#This Row],[Team]],Games[Season],Games[[#This Row],[Season]],Games[Date],"&lt;=" &amp; Games[[#This Row],[Date]])</f>
        <v>14</v>
      </c>
      <c r="D181" s="2" t="s">
        <v>81</v>
      </c>
      <c r="E181" s="2" t="s">
        <v>82</v>
      </c>
      <c r="F181" s="1" t="s">
        <v>40</v>
      </c>
      <c r="G181" s="1" t="s">
        <v>65</v>
      </c>
      <c r="H181" s="1" t="s">
        <v>84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2</v>
      </c>
      <c r="L181" s="2">
        <f>Games[[#This Row],[OppDaysOff]]-Games[[#This Row],[DaysOff]]</f>
        <v>-2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1521.1906877974884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1557.7682634443011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0.61234788309174426</v>
      </c>
      <c r="R181" s="1">
        <v>88</v>
      </c>
      <c r="S181" s="1">
        <v>80</v>
      </c>
      <c r="T181" s="1">
        <v>0</v>
      </c>
      <c r="U181" s="1">
        <f>Games[[#This Row],[PointsFor]]-Games[[#This Row],[PointsAgainst]]</f>
        <v>8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0.37682928364592788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73.900000000000006</v>
      </c>
      <c r="Z181" s="4">
        <f>Games[[#This Row],[K]]*Games[[#This Row],[POMult]]</f>
        <v>73.900000000000006</v>
      </c>
      <c r="AA181" s="4">
        <f>(Games[[#This Row],[Keff]]*Games[[#This Row],[MOVMult]])*(Games[[#This Row],[Result]]-Games[[#This Row],[ExpectedWin%]])</f>
        <v>10.795213677407212</v>
      </c>
      <c r="AB181" s="4">
        <f>Games[[#This Row],[PreGmRate]]+Games[[#This Row],[RatingChange]]</f>
        <v>1531.9859014748956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42921</v>
      </c>
      <c r="B182" s="2">
        <v>2017</v>
      </c>
      <c r="C182" s="2">
        <f>COUNTIFS(Games[Team],Games[[#This Row],[Team]],Games[Season],Games[[#This Row],[Season]],Games[Date],"&lt;=" &amp; Games[[#This Row],[Date]])</f>
        <v>16</v>
      </c>
      <c r="D182" s="2" t="s">
        <v>81</v>
      </c>
      <c r="E182" s="2" t="s">
        <v>82</v>
      </c>
      <c r="F182" s="1" t="s">
        <v>76</v>
      </c>
      <c r="G182" s="1" t="s">
        <v>74</v>
      </c>
      <c r="H182" s="1" t="s">
        <v>83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1543.7205684975213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1300.6137029567919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0.69504011887706441</v>
      </c>
      <c r="R182" s="1">
        <v>89</v>
      </c>
      <c r="S182" s="1">
        <v>56</v>
      </c>
      <c r="T182" s="1">
        <v>0</v>
      </c>
      <c r="U182" s="1">
        <f>Games[[#This Row],[PointsFor]]-Games[[#This Row],[PointsAgainst]]</f>
        <v>33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0.6145704367204361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13.794062491041601</v>
      </c>
      <c r="AB182" s="4">
        <f>Games[[#This Row],[PreGmRate]]+Games[[#This Row],[RatingChange]]</f>
        <v>1557.5146309885629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42921</v>
      </c>
      <c r="B183" s="2">
        <v>2017</v>
      </c>
      <c r="C183" s="2">
        <f>COUNTIFS(Games[Team],Games[[#This Row],[Team]],Games[Season],Games[[#This Row],[Season]],Games[Date],"&lt;=" &amp; Games[[#This Row],[Date]])</f>
        <v>16</v>
      </c>
      <c r="D183" s="2" t="s">
        <v>81</v>
      </c>
      <c r="E183" s="2" t="s">
        <v>82</v>
      </c>
      <c r="F183" s="1" t="s">
        <v>74</v>
      </c>
      <c r="G183" s="1" t="s">
        <v>76</v>
      </c>
      <c r="H183" s="1" t="s">
        <v>84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1300.6137029567919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1543.7205684975213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0.30495988112293565</v>
      </c>
      <c r="R183" s="1">
        <v>56</v>
      </c>
      <c r="S183" s="1">
        <v>89</v>
      </c>
      <c r="T183" s="1">
        <v>0</v>
      </c>
      <c r="U183" s="1">
        <f>Games[[#This Row],[PointsFor]]-Games[[#This Row],[PointsAgainst]]</f>
        <v>-33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0.6145704367204361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-13.794062491041602</v>
      </c>
      <c r="AB183" s="4">
        <f>Games[[#This Row],[PreGmRate]]+Games[[#This Row],[RatingChange]]</f>
        <v>1286.8196404657504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42922</v>
      </c>
      <c r="B184" s="2">
        <v>2017</v>
      </c>
      <c r="C184" s="2">
        <f>COUNTIFS(Games[Team],Games[[#This Row],[Team]],Games[Season],Games[[#This Row],[Season]],Games[Date],"&lt;=" &amp; Games[[#This Row],[Date]])</f>
        <v>16</v>
      </c>
      <c r="D184" s="2" t="s">
        <v>81</v>
      </c>
      <c r="E184" s="2" t="s">
        <v>82</v>
      </c>
      <c r="F184" s="1" t="s">
        <v>63</v>
      </c>
      <c r="G184" s="1" t="s">
        <v>67</v>
      </c>
      <c r="H184" s="1" t="s">
        <v>83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4" s="2">
        <f>Games[[#This Row],[DaysOff]]-Games[[#This Row],[OppDaysOff]]</f>
        <v>-2</v>
      </c>
      <c r="L184" s="2">
        <f>Games[[#This Row],[OppDaysOff]]-Games[[#This Row],[DaysOff]]</f>
        <v>2</v>
      </c>
      <c r="M184" s="1">
        <f>MAX(-16, MIN(16, Games[[#This Row],[RestDiff]]*8))</f>
        <v>-16</v>
      </c>
      <c r="N184" s="1">
        <f>MAX(-16, MIN(16, Games[[#This Row],[OppRestDiff]]*8))</f>
        <v>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1662.3058850571852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1700.5960521414388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0.29148852886512289</v>
      </c>
      <c r="R184" s="1">
        <v>77</v>
      </c>
      <c r="S184" s="1">
        <v>88</v>
      </c>
      <c r="T184" s="1">
        <v>0</v>
      </c>
      <c r="U184" s="1">
        <f>Games[[#This Row],[PointsFor]]-Games[[#This Row],[PointsAgainst]]</f>
        <v>-11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0.42623544815182712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-9.1442659386709639</v>
      </c>
      <c r="AB184" s="4">
        <f>Games[[#This Row],[PreGmRate]]+Games[[#This Row],[RatingChange]]</f>
        <v>1653.1616191185142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42922</v>
      </c>
      <c r="B185" s="2">
        <v>2017</v>
      </c>
      <c r="C185" s="2">
        <f>COUNTIFS(Games[Team],Games[[#This Row],[Team]],Games[Season],Games[[#This Row],[Season]],Games[Date],"&lt;=" &amp; Games[[#This Row],[Date]])</f>
        <v>14</v>
      </c>
      <c r="D185" s="2" t="s">
        <v>81</v>
      </c>
      <c r="E185" s="2" t="s">
        <v>82</v>
      </c>
      <c r="F185" s="1" t="s">
        <v>67</v>
      </c>
      <c r="G185" s="1" t="s">
        <v>63</v>
      </c>
      <c r="H185" s="1" t="s">
        <v>84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5" s="2">
        <f>Games[[#This Row],[DaysOff]]-Games[[#This Row],[OppDaysOff]]</f>
        <v>2</v>
      </c>
      <c r="L185" s="2">
        <f>Games[[#This Row],[OppDaysOff]]-Games[[#This Row],[DaysOff]]</f>
        <v>-2</v>
      </c>
      <c r="M185" s="1">
        <f>MAX(-16, MIN(16, Games[[#This Row],[RestDiff]]*8))</f>
        <v>16</v>
      </c>
      <c r="N185" s="1">
        <f>MAX(-16, MIN(16, Games[[#This Row],[OppRestDiff]]*8))</f>
        <v>-16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1700.5960521414388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1662.3058850571852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0.70851147113487711</v>
      </c>
      <c r="R185" s="1">
        <v>88</v>
      </c>
      <c r="S185" s="1">
        <v>77</v>
      </c>
      <c r="T185" s="1">
        <v>0</v>
      </c>
      <c r="U185" s="1">
        <f>Games[[#This Row],[PointsFor]]-Games[[#This Row],[PointsAgainst]]</f>
        <v>11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0.42623544815182712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73.900000000000006</v>
      </c>
      <c r="Z185" s="4">
        <f>Games[[#This Row],[K]]*Games[[#This Row],[POMult]]</f>
        <v>73.900000000000006</v>
      </c>
      <c r="AA185" s="4">
        <f>(Games[[#This Row],[Keff]]*Games[[#This Row],[MOVMult]])*(Games[[#This Row],[Result]]-Games[[#This Row],[ExpectedWin%]])</f>
        <v>9.1815387617905468</v>
      </c>
      <c r="AB185" s="4">
        <f>Games[[#This Row],[PreGmRate]]+Games[[#This Row],[RatingChange]]</f>
        <v>1709.7775909032293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42922</v>
      </c>
      <c r="B186" s="2">
        <v>2017</v>
      </c>
      <c r="C186" s="2">
        <f>COUNTIFS(Games[Team],Games[[#This Row],[Team]],Games[Season],Games[[#This Row],[Season]],Games[Date],"&lt;=" &amp; Games[[#This Row],[Date]])</f>
        <v>15</v>
      </c>
      <c r="D186" s="2" t="s">
        <v>81</v>
      </c>
      <c r="E186" s="2" t="s">
        <v>82</v>
      </c>
      <c r="F186" s="1" t="s">
        <v>60</v>
      </c>
      <c r="G186" s="1" t="s">
        <v>71</v>
      </c>
      <c r="H186" s="1" t="s">
        <v>83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1481.234403915558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1491.0997254388008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0.34695847165420246</v>
      </c>
      <c r="R186" s="1">
        <v>79</v>
      </c>
      <c r="S186" s="1">
        <v>70</v>
      </c>
      <c r="T186" s="1">
        <v>0</v>
      </c>
      <c r="U186" s="1">
        <f>Games[[#This Row],[PointsFor]]-Games[[#This Row],[PointsAgainst]]</f>
        <v>9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0.40266120857430693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19.392893715153686</v>
      </c>
      <c r="AB186" s="4">
        <f>Games[[#This Row],[PreGmRate]]+Games[[#This Row],[RatingChange]]</f>
        <v>1500.6272976307116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42922</v>
      </c>
      <c r="B187" s="2">
        <v>2017</v>
      </c>
      <c r="C187" s="2">
        <f>COUNTIFS(Games[Team],Games[[#This Row],[Team]],Games[Season],Games[[#This Row],[Season]],Games[Date],"&lt;=" &amp; Games[[#This Row],[Date]])</f>
        <v>16</v>
      </c>
      <c r="D187" s="2" t="s">
        <v>81</v>
      </c>
      <c r="E187" s="2" t="s">
        <v>82</v>
      </c>
      <c r="F187" s="1" t="s">
        <v>71</v>
      </c>
      <c r="G187" s="1" t="s">
        <v>60</v>
      </c>
      <c r="H187" s="1" t="s">
        <v>84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1491.0997254388008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1481.234403915558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0.65304152834579743</v>
      </c>
      <c r="R187" s="1">
        <v>70</v>
      </c>
      <c r="S187" s="1">
        <v>79</v>
      </c>
      <c r="T187" s="1">
        <v>0</v>
      </c>
      <c r="U187" s="1">
        <f>Games[[#This Row],[PointsFor]]-Games[[#This Row],[PointsAgainst]]</f>
        <v>-9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0.40266120857430693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-19.353450541495743</v>
      </c>
      <c r="AB187" s="4">
        <f>Games[[#This Row],[PreGmRate]]+Games[[#This Row],[RatingChange]]</f>
        <v>1471.7462748973051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42923</v>
      </c>
      <c r="B188" s="2">
        <v>2017</v>
      </c>
      <c r="C188" s="2">
        <f>COUNTIFS(Games[Team],Games[[#This Row],[Team]],Games[Season],Games[[#This Row],[Season]],Games[Date],"&lt;=" &amp; Games[[#This Row],[Date]])</f>
        <v>16</v>
      </c>
      <c r="D188" s="2" t="s">
        <v>81</v>
      </c>
      <c r="E188" s="2" t="s">
        <v>82</v>
      </c>
      <c r="F188" s="1" t="s">
        <v>69</v>
      </c>
      <c r="G188" s="1" t="s">
        <v>79</v>
      </c>
      <c r="H188" s="1" t="s">
        <v>83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4</v>
      </c>
      <c r="L188" s="2">
        <f>Games[[#This Row],[OppDaysOff]]-Games[[#This Row],[DaysOff]]</f>
        <v>-4</v>
      </c>
      <c r="M188" s="1">
        <f>MAX(-16, MIN(16, Games[[#This Row],[RestDiff]]*8))</f>
        <v>16</v>
      </c>
      <c r="N188" s="1">
        <f>MAX(-16, MIN(16, Games[[#This Row],[OppRestDiff]]*8))</f>
        <v>-16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1468.1512001035499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1452.3175251591078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0.44813965499454939</v>
      </c>
      <c r="R188" s="1">
        <v>68</v>
      </c>
      <c r="S188" s="1">
        <v>89</v>
      </c>
      <c r="T188" s="1">
        <v>0</v>
      </c>
      <c r="U188" s="1">
        <f>Games[[#This Row],[PointsFor]]-Games[[#This Row],[PointsAgainst]]</f>
        <v>-21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0.58091132190195249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-19.160243794336246</v>
      </c>
      <c r="AB188" s="4">
        <f>Games[[#This Row],[PreGmRate]]+Games[[#This Row],[RatingChange]]</f>
        <v>1448.9909563092135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42923</v>
      </c>
      <c r="B189" s="2">
        <v>2017</v>
      </c>
      <c r="C189" s="2">
        <f>COUNTIFS(Games[Team],Games[[#This Row],[Team]],Games[Season],Games[[#This Row],[Season]],Games[Date],"&lt;=" &amp; Games[[#This Row],[Date]])</f>
        <v>15</v>
      </c>
      <c r="D189" s="2" t="s">
        <v>81</v>
      </c>
      <c r="E189" s="2" t="s">
        <v>82</v>
      </c>
      <c r="F189" s="1" t="s">
        <v>79</v>
      </c>
      <c r="G189" s="1" t="s">
        <v>69</v>
      </c>
      <c r="H189" s="1" t="s">
        <v>84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9" s="2">
        <f>Games[[#This Row],[DaysOff]]-Games[[#This Row],[OppDaysOff]]</f>
        <v>-4</v>
      </c>
      <c r="L189" s="2">
        <f>Games[[#This Row],[OppDaysOff]]-Games[[#This Row],[DaysOff]]</f>
        <v>4</v>
      </c>
      <c r="M189" s="1">
        <f>MAX(-16, MIN(16, Games[[#This Row],[RestDiff]]*8))</f>
        <v>-16</v>
      </c>
      <c r="N189" s="1">
        <f>MAX(-16, MIN(16, Games[[#This Row],[OppRestDiff]]*8))</f>
        <v>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1452.3175251591078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1468.1512001035499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0.55186034500545056</v>
      </c>
      <c r="R189" s="1">
        <v>89</v>
      </c>
      <c r="S189" s="1">
        <v>68</v>
      </c>
      <c r="T189" s="1">
        <v>0</v>
      </c>
      <c r="U189" s="1">
        <f>Games[[#This Row],[PointsFor]]-Games[[#This Row],[PointsAgainst]]</f>
        <v>21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0.58091132190195249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73.75</v>
      </c>
      <c r="Z189" s="4">
        <f>Games[[#This Row],[K]]*Games[[#This Row],[POMult]]</f>
        <v>73.75</v>
      </c>
      <c r="AA189" s="4">
        <f>(Games[[#This Row],[Keff]]*Games[[#This Row],[MOVMult]])*(Games[[#This Row],[Result]]-Games[[#This Row],[ExpectedWin%]])</f>
        <v>19.199293204243187</v>
      </c>
      <c r="AB189" s="4">
        <f>Games[[#This Row],[PreGmRate]]+Games[[#This Row],[RatingChange]]</f>
        <v>1471.5168183633509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42923</v>
      </c>
      <c r="B190" s="2">
        <v>2017</v>
      </c>
      <c r="C190" s="2">
        <f>COUNTIFS(Games[Team],Games[[#This Row],[Team]],Games[Season],Games[[#This Row],[Season]],Games[Date],"&lt;=" &amp; Games[[#This Row],[Date]])</f>
        <v>15</v>
      </c>
      <c r="D190" s="2" t="s">
        <v>81</v>
      </c>
      <c r="E190" s="2" t="s">
        <v>82</v>
      </c>
      <c r="F190" s="1" t="s">
        <v>40</v>
      </c>
      <c r="G190" s="1" t="s">
        <v>74</v>
      </c>
      <c r="H190" s="1" t="s">
        <v>83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1531.9859014748956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1286.8196404657504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0.71661809399082788</v>
      </c>
      <c r="R190" s="1">
        <v>92</v>
      </c>
      <c r="S190" s="1">
        <v>77</v>
      </c>
      <c r="T190" s="1">
        <v>0</v>
      </c>
      <c r="U190" s="1">
        <f>Games[[#This Row],[PointsFor]]-Games[[#This Row],[PointsAgainst]]</f>
        <v>15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0.41754201570769828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73.75</v>
      </c>
      <c r="Z190" s="4">
        <f>Games[[#This Row],[K]]*Games[[#This Row],[POMult]]</f>
        <v>73.75</v>
      </c>
      <c r="AA190" s="4">
        <f>(Games[[#This Row],[Keff]]*Games[[#This Row],[MOVMult]])*(Games[[#This Row],[Result]]-Games[[#This Row],[ExpectedWin%]])</f>
        <v>8.7263841034492433</v>
      </c>
      <c r="AB190" s="4">
        <f>Games[[#This Row],[PreGmRate]]+Games[[#This Row],[RatingChange]]</f>
        <v>1540.7122855783448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42923</v>
      </c>
      <c r="B191" s="2">
        <v>2017</v>
      </c>
      <c r="C191" s="2">
        <f>COUNTIFS(Games[Team],Games[[#This Row],[Team]],Games[Season],Games[[#This Row],[Season]],Games[Date],"&lt;=" &amp; Games[[#This Row],[Date]])</f>
        <v>17</v>
      </c>
      <c r="D191" s="2" t="s">
        <v>81</v>
      </c>
      <c r="E191" s="2" t="s">
        <v>82</v>
      </c>
      <c r="F191" s="1" t="s">
        <v>74</v>
      </c>
      <c r="G191" s="1" t="s">
        <v>40</v>
      </c>
      <c r="H191" s="1" t="s">
        <v>84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1286.8196404657504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1531.9859014748956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0.28338190600917212</v>
      </c>
      <c r="R191" s="1">
        <v>77</v>
      </c>
      <c r="S191" s="1">
        <v>92</v>
      </c>
      <c r="T191" s="1">
        <v>0</v>
      </c>
      <c r="U191" s="1">
        <f>Games[[#This Row],[PointsFor]]-Games[[#This Row],[PointsAgainst]]</f>
        <v>-15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0.41754201570769828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73.45</v>
      </c>
      <c r="Z191" s="4">
        <f>Games[[#This Row],[K]]*Games[[#This Row],[POMult]]</f>
        <v>73.45</v>
      </c>
      <c r="AA191" s="4">
        <f>(Games[[#This Row],[Keff]]*Games[[#This Row],[MOVMult]])*(Games[[#This Row],[Result]]-Games[[#This Row],[ExpectedWin%]])</f>
        <v>-8.6908869477741959</v>
      </c>
      <c r="AB191" s="4">
        <f>Games[[#This Row],[PreGmRate]]+Games[[#This Row],[RatingChange]]</f>
        <v>1278.1287535179761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42924</v>
      </c>
      <c r="B192" s="2">
        <v>2017</v>
      </c>
      <c r="C192" s="2">
        <f>COUNTIFS(Games[Team],Games[[#This Row],[Team]],Games[Season],Games[[#This Row],[Season]],Games[Date],"&lt;=" &amp; Games[[#This Row],[Date]])</f>
        <v>15</v>
      </c>
      <c r="D192" s="2" t="s">
        <v>81</v>
      </c>
      <c r="E192" s="2" t="s">
        <v>82</v>
      </c>
      <c r="F192" s="1" t="s">
        <v>67</v>
      </c>
      <c r="G192" s="1" t="s">
        <v>77</v>
      </c>
      <c r="H192" s="1" t="s">
        <v>83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92" s="2">
        <f>Games[[#This Row],[DaysOff]]-Games[[#This Row],[OppDaysOff]]</f>
        <v>-6</v>
      </c>
      <c r="L192" s="2">
        <f>Games[[#This Row],[OppDaysOff]]-Games[[#This Row],[DaysOff]]</f>
        <v>6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1709.7775909032293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1369.2417729959777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0.78457545957717822</v>
      </c>
      <c r="R192" s="1">
        <v>76</v>
      </c>
      <c r="S192" s="1">
        <v>100</v>
      </c>
      <c r="T192" s="1">
        <v>0</v>
      </c>
      <c r="U192" s="1">
        <f>Games[[#This Row],[PointsFor]]-Games[[#This Row],[PointsAgainst]]</f>
        <v>-24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0.48951612067170119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-28.324597231799761</v>
      </c>
      <c r="AB192" s="4">
        <f>Games[[#This Row],[PreGmRate]]+Games[[#This Row],[RatingChange]]</f>
        <v>1681.4529936714296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42924</v>
      </c>
      <c r="B193" s="2">
        <v>2017</v>
      </c>
      <c r="C193" s="2">
        <f>COUNTIFS(Games[Team],Games[[#This Row],[Team]],Games[Season],Games[[#This Row],[Season]],Games[Date],"&lt;=" &amp; Games[[#This Row],[Date]])</f>
        <v>16</v>
      </c>
      <c r="D193" s="2" t="s">
        <v>81</v>
      </c>
      <c r="E193" s="2" t="s">
        <v>82</v>
      </c>
      <c r="F193" s="1" t="s">
        <v>77</v>
      </c>
      <c r="G193" s="1" t="s">
        <v>67</v>
      </c>
      <c r="H193" s="1" t="s">
        <v>84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7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6</v>
      </c>
      <c r="L193" s="2">
        <f>Games[[#This Row],[OppDaysOff]]-Games[[#This Row],[DaysOff]]</f>
        <v>-6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1369.2417729959777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1709.7775909032293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0.2154245404228218</v>
      </c>
      <c r="R193" s="1">
        <v>100</v>
      </c>
      <c r="S193" s="1">
        <v>76</v>
      </c>
      <c r="T193" s="1">
        <v>0</v>
      </c>
      <c r="U193" s="1">
        <f>Games[[#This Row],[PointsFor]]-Games[[#This Row],[PointsAgainst]]</f>
        <v>24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0.48951612067170119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28.266987881497787</v>
      </c>
      <c r="AB193" s="4">
        <f>Games[[#This Row],[PreGmRate]]+Games[[#This Row],[RatingChange]]</f>
        <v>1397.5087608774754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42924</v>
      </c>
      <c r="B194" s="2">
        <v>2017</v>
      </c>
      <c r="C194" s="2">
        <f>COUNTIFS(Games[Team],Games[[#This Row],[Team]],Games[Season],Games[[#This Row],[Season]],Games[Date],"&lt;=" &amp; Games[[#This Row],[Date]])</f>
        <v>18</v>
      </c>
      <c r="D194" s="2" t="s">
        <v>81</v>
      </c>
      <c r="E194" s="2" t="s">
        <v>82</v>
      </c>
      <c r="F194" s="1" t="s">
        <v>65</v>
      </c>
      <c r="G194" s="1" t="s">
        <v>76</v>
      </c>
      <c r="H194" s="1" t="s">
        <v>83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1547.0387851681771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1557.5146309885629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0.36729319974953012</v>
      </c>
      <c r="R194" s="1">
        <v>92</v>
      </c>
      <c r="S194" s="1">
        <v>96</v>
      </c>
      <c r="T194" s="1">
        <v>0</v>
      </c>
      <c r="U194" s="1">
        <f>Games[[#This Row],[PointsFor]]-Games[[#This Row],[PointsAgainst]]</f>
        <v>-4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0.30873749622932078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73.3</v>
      </c>
      <c r="Z194" s="4">
        <f>Games[[#This Row],[K]]*Games[[#This Row],[POMult]]</f>
        <v>73.3</v>
      </c>
      <c r="AA194" s="4">
        <f>(Games[[#This Row],[Keff]]*Games[[#This Row],[MOVMult]])*(Games[[#This Row],[Result]]-Games[[#This Row],[ExpectedWin%]])</f>
        <v>-8.3120135045707944</v>
      </c>
      <c r="AB194" s="4">
        <f>Games[[#This Row],[PreGmRate]]+Games[[#This Row],[RatingChange]]</f>
        <v>1538.7267716636063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42924</v>
      </c>
      <c r="B195" s="2">
        <v>2017</v>
      </c>
      <c r="C195" s="2">
        <f>COUNTIFS(Games[Team],Games[[#This Row],[Team]],Games[Season],Games[[#This Row],[Season]],Games[Date],"&lt;=" &amp; Games[[#This Row],[Date]])</f>
        <v>17</v>
      </c>
      <c r="D195" s="2" t="s">
        <v>81</v>
      </c>
      <c r="E195" s="2" t="s">
        <v>82</v>
      </c>
      <c r="F195" s="1" t="s">
        <v>76</v>
      </c>
      <c r="G195" s="1" t="s">
        <v>65</v>
      </c>
      <c r="H195" s="1" t="s">
        <v>84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1557.5146309885629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1547.0387851681771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0.63270680025046977</v>
      </c>
      <c r="R195" s="1">
        <v>96</v>
      </c>
      <c r="S195" s="1">
        <v>92</v>
      </c>
      <c r="T195" s="1">
        <v>0</v>
      </c>
      <c r="U195" s="1">
        <f>Games[[#This Row],[PointsFor]]-Games[[#This Row],[PointsAgainst]]</f>
        <v>4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0.30873749622932078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8.3290230820017079</v>
      </c>
      <c r="AB195" s="4">
        <f>Games[[#This Row],[PreGmRate]]+Games[[#This Row],[RatingChange]]</f>
        <v>1565.8436540705645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42924</v>
      </c>
      <c r="B196" s="2">
        <v>2017</v>
      </c>
      <c r="C196" s="2">
        <f>COUNTIFS(Games[Team],Games[[#This Row],[Team]],Games[Season],Games[[#This Row],[Season]],Games[Date],"&lt;=" &amp; Games[[#This Row],[Date]])</f>
        <v>17</v>
      </c>
      <c r="D196" s="2" t="s">
        <v>81</v>
      </c>
      <c r="E196" s="2" t="s">
        <v>82</v>
      </c>
      <c r="F196" s="1" t="s">
        <v>63</v>
      </c>
      <c r="G196" s="1" t="s">
        <v>71</v>
      </c>
      <c r="H196" s="1" t="s">
        <v>83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1653.1616191185142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1471.7462748973051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0.63663017543888101</v>
      </c>
      <c r="R196" s="1">
        <v>69</v>
      </c>
      <c r="S196" s="1">
        <v>81</v>
      </c>
      <c r="T196" s="1">
        <v>0</v>
      </c>
      <c r="U196" s="1">
        <f>Games[[#This Row],[PointsFor]]-Games[[#This Row],[PointsAgainst]]</f>
        <v>-12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0.39622792231284176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73.45</v>
      </c>
      <c r="Z196" s="4">
        <f>Games[[#This Row],[K]]*Games[[#This Row],[POMult]]</f>
        <v>73.45</v>
      </c>
      <c r="AA196" s="4">
        <f>(Games[[#This Row],[Keff]]*Games[[#This Row],[MOVMult]])*(Games[[#This Row],[Result]]-Games[[#This Row],[ExpectedWin%]])</f>
        <v>-18.527810367057082</v>
      </c>
      <c r="AB196" s="4">
        <f>Games[[#This Row],[PreGmRate]]+Games[[#This Row],[RatingChange]]</f>
        <v>1634.6338087514571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42924</v>
      </c>
      <c r="B197" s="2">
        <v>2017</v>
      </c>
      <c r="C197" s="2">
        <f>COUNTIFS(Games[Team],Games[[#This Row],[Team]],Games[Season],Games[[#This Row],[Season]],Games[Date],"&lt;=" &amp; Games[[#This Row],[Date]])</f>
        <v>17</v>
      </c>
      <c r="D197" s="2" t="s">
        <v>81</v>
      </c>
      <c r="E197" s="2" t="s">
        <v>82</v>
      </c>
      <c r="F197" s="1" t="s">
        <v>71</v>
      </c>
      <c r="G197" s="1" t="s">
        <v>63</v>
      </c>
      <c r="H197" s="1" t="s">
        <v>84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1471.7462748973051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1653.1616191185142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0.36336982456111899</v>
      </c>
      <c r="R197" s="1">
        <v>81</v>
      </c>
      <c r="S197" s="1">
        <v>69</v>
      </c>
      <c r="T197" s="1">
        <v>0</v>
      </c>
      <c r="U197" s="1">
        <f>Games[[#This Row],[PointsFor]]-Games[[#This Row],[PointsAgainst]]</f>
        <v>12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0.39622792231284176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18.527810367057082</v>
      </c>
      <c r="AB197" s="4">
        <f>Games[[#This Row],[PreGmRate]]+Games[[#This Row],[RatingChange]]</f>
        <v>1490.2740852643622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42925</v>
      </c>
      <c r="B198" s="2">
        <v>2017</v>
      </c>
      <c r="C198" s="2">
        <f>COUNTIFS(Games[Team],Games[[#This Row],[Team]],Games[Season],Games[[#This Row],[Season]],Games[Date],"&lt;=" &amp; Games[[#This Row],[Date]])</f>
        <v>19</v>
      </c>
      <c r="D198" s="2" t="s">
        <v>81</v>
      </c>
      <c r="E198" s="2" t="s">
        <v>82</v>
      </c>
      <c r="F198" s="1" t="s">
        <v>87</v>
      </c>
      <c r="G198" s="1" t="s">
        <v>79</v>
      </c>
      <c r="H198" s="1" t="s">
        <v>83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2</v>
      </c>
      <c r="L198" s="2">
        <f>Games[[#This Row],[OppDaysOff]]-Games[[#This Row],[DaysOff]]</f>
        <v>-2</v>
      </c>
      <c r="M198" s="1">
        <f>MAX(-16, MIN(16, Games[[#This Row],[RestDiff]]*8))</f>
        <v>16</v>
      </c>
      <c r="N198" s="1">
        <f>MAX(-16, MIN(16, Games[[#This Row],[OppRestDiff]]*8))</f>
        <v>-16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1452.0385460364141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1471.5168183633509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0.39856161024523196</v>
      </c>
      <c r="R198" s="1">
        <v>78</v>
      </c>
      <c r="S198" s="1">
        <v>98</v>
      </c>
      <c r="T198" s="1">
        <v>0</v>
      </c>
      <c r="U198" s="1">
        <f>Games[[#This Row],[PointsFor]]-Games[[#This Row],[PointsAgainst]]</f>
        <v>-20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0.56570489723793749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73.150000000000006</v>
      </c>
      <c r="Z198" s="4">
        <f>Games[[#This Row],[K]]*Games[[#This Row],[POMult]]</f>
        <v>73.150000000000006</v>
      </c>
      <c r="AA198" s="4">
        <f>(Games[[#This Row],[Keff]]*Games[[#This Row],[MOVMult]])*(Games[[#This Row],[Result]]-Games[[#This Row],[ExpectedWin%]])</f>
        <v>-16.493002836188921</v>
      </c>
      <c r="AB198" s="4">
        <f>Games[[#This Row],[PreGmRate]]+Games[[#This Row],[RatingChange]]</f>
        <v>1435.5455432002252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42925</v>
      </c>
      <c r="B199" s="2">
        <v>2017</v>
      </c>
      <c r="C199" s="2">
        <f>COUNTIFS(Games[Team],Games[[#This Row],[Team]],Games[Season],Games[[#This Row],[Season]],Games[Date],"&lt;=" &amp; Games[[#This Row],[Date]])</f>
        <v>16</v>
      </c>
      <c r="D199" s="2" t="s">
        <v>81</v>
      </c>
      <c r="E199" s="2" t="s">
        <v>82</v>
      </c>
      <c r="F199" s="1" t="s">
        <v>79</v>
      </c>
      <c r="G199" s="1" t="s">
        <v>87</v>
      </c>
      <c r="H199" s="1" t="s">
        <v>84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9" s="2">
        <f>Games[[#This Row],[DaysOff]]-Games[[#This Row],[OppDaysOff]]</f>
        <v>-2</v>
      </c>
      <c r="L199" s="2">
        <f>Games[[#This Row],[OppDaysOff]]-Games[[#This Row],[DaysOff]]</f>
        <v>2</v>
      </c>
      <c r="M199" s="1">
        <f>MAX(-16, MIN(16, Games[[#This Row],[RestDiff]]*8))</f>
        <v>-16</v>
      </c>
      <c r="N199" s="1">
        <f>MAX(-16, MIN(16, Games[[#This Row],[OppRestDiff]]*8))</f>
        <v>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1471.5168183633509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1452.0385460364141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0.60143838975476804</v>
      </c>
      <c r="R199" s="1">
        <v>98</v>
      </c>
      <c r="S199" s="1">
        <v>78</v>
      </c>
      <c r="T199" s="1">
        <v>0</v>
      </c>
      <c r="U199" s="1">
        <f>Games[[#This Row],[PointsFor]]-Games[[#This Row],[PointsAgainst]]</f>
        <v>20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0.56570489723793749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16.594463550833964</v>
      </c>
      <c r="AB199" s="4">
        <f>Games[[#This Row],[PreGmRate]]+Games[[#This Row],[RatingChange]]</f>
        <v>1488.1112819141849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42925</v>
      </c>
      <c r="B200" s="2">
        <v>2017</v>
      </c>
      <c r="C200" s="2">
        <f>COUNTIFS(Games[Team],Games[[#This Row],[Team]],Games[Season],Games[[#This Row],[Season]],Games[Date],"&lt;=" &amp; Games[[#This Row],[Date]])</f>
        <v>16</v>
      </c>
      <c r="D200" s="2" t="s">
        <v>81</v>
      </c>
      <c r="E200" s="2" t="s">
        <v>82</v>
      </c>
      <c r="F200" s="1" t="s">
        <v>60</v>
      </c>
      <c r="G200" s="1" t="s">
        <v>40</v>
      </c>
      <c r="H200" s="1" t="s">
        <v>83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1500.6272976307116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1540.7122855783448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0.34928416936690526</v>
      </c>
      <c r="R200" s="1">
        <v>69</v>
      </c>
      <c r="S200" s="1">
        <v>81</v>
      </c>
      <c r="T200" s="1">
        <v>0</v>
      </c>
      <c r="U200" s="1">
        <f>Games[[#This Row],[PointsFor]]-Games[[#This Row],[PointsAgainst]]</f>
        <v>-12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0.44138533811116726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-11.34683186379668</v>
      </c>
      <c r="AB200" s="4">
        <f>Games[[#This Row],[PreGmRate]]+Games[[#This Row],[RatingChange]]</f>
        <v>1489.2804657669149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42925</v>
      </c>
      <c r="B201" s="2">
        <v>2017</v>
      </c>
      <c r="C201" s="2">
        <f>COUNTIFS(Games[Team],Games[[#This Row],[Team]],Games[Season],Games[[#This Row],[Season]],Games[Date],"&lt;=" &amp; Games[[#This Row],[Date]])</f>
        <v>16</v>
      </c>
      <c r="D201" s="2" t="s">
        <v>81</v>
      </c>
      <c r="E201" s="2" t="s">
        <v>82</v>
      </c>
      <c r="F201" s="1" t="s">
        <v>40</v>
      </c>
      <c r="G201" s="1" t="s">
        <v>60</v>
      </c>
      <c r="H201" s="1" t="s">
        <v>84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1540.7122855783448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1500.6272976307116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0.65071583063309479</v>
      </c>
      <c r="R201" s="1">
        <v>81</v>
      </c>
      <c r="S201" s="1">
        <v>69</v>
      </c>
      <c r="T201" s="1">
        <v>0</v>
      </c>
      <c r="U201" s="1">
        <f>Games[[#This Row],[PointsFor]]-Games[[#This Row],[PointsAgainst]]</f>
        <v>12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0.44138533811116726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11.346831863796679</v>
      </c>
      <c r="AB201" s="4">
        <f>Games[[#This Row],[PreGmRate]]+Games[[#This Row],[RatingChange]]</f>
        <v>1552.0591174421415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42928</v>
      </c>
      <c r="B202" s="2">
        <v>2017</v>
      </c>
      <c r="C202" s="2">
        <f>COUNTIFS(Games[Team],Games[[#This Row],[Team]],Games[Season],Games[[#This Row],[Season]],Games[Date],"&lt;=" &amp; Games[[#This Row],[Date]])</f>
        <v>20</v>
      </c>
      <c r="D202" s="2" t="s">
        <v>81</v>
      </c>
      <c r="E202" s="2" t="s">
        <v>82</v>
      </c>
      <c r="F202" s="1" t="s">
        <v>87</v>
      </c>
      <c r="G202" s="1" t="s">
        <v>77</v>
      </c>
      <c r="H202" s="1" t="s">
        <v>83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1435.5455432002252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1397.5087608774754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0.41176131260500592</v>
      </c>
      <c r="R202" s="1">
        <v>84</v>
      </c>
      <c r="S202" s="1">
        <v>90</v>
      </c>
      <c r="T202" s="1">
        <v>0</v>
      </c>
      <c r="U202" s="1">
        <f>Games[[#This Row],[PointsFor]]-Games[[#This Row],[PointsAgainst]]</f>
        <v>-6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0.34048819819256188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</v>
      </c>
      <c r="Z202" s="4">
        <f>Games[[#This Row],[K]]*Games[[#This Row],[POMult]]</f>
        <v>73</v>
      </c>
      <c r="AA202" s="4">
        <f>(Games[[#This Row],[Keff]]*Games[[#This Row],[MOVMult]])*(Games[[#This Row],[Result]]-Games[[#This Row],[ExpectedWin%]])</f>
        <v>-10.234590321242635</v>
      </c>
      <c r="AB202" s="4">
        <f>Games[[#This Row],[PreGmRate]]+Games[[#This Row],[RatingChange]]</f>
        <v>1425.3109528789826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42928</v>
      </c>
      <c r="B203" s="2">
        <v>2017</v>
      </c>
      <c r="C203" s="2">
        <f>COUNTIFS(Games[Team],Games[[#This Row],[Team]],Games[Season],Games[[#This Row],[Season]],Games[Date],"&lt;=" &amp; Games[[#This Row],[Date]])</f>
        <v>17</v>
      </c>
      <c r="D203" s="2" t="s">
        <v>81</v>
      </c>
      <c r="E203" s="2" t="s">
        <v>82</v>
      </c>
      <c r="F203" s="1" t="s">
        <v>77</v>
      </c>
      <c r="G203" s="1" t="s">
        <v>87</v>
      </c>
      <c r="H203" s="1" t="s">
        <v>84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1397.5087608774754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1435.5455432002252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0.58823868739499396</v>
      </c>
      <c r="R203" s="1">
        <v>90</v>
      </c>
      <c r="S203" s="1">
        <v>84</v>
      </c>
      <c r="T203" s="1">
        <v>0</v>
      </c>
      <c r="U203" s="1">
        <f>Games[[#This Row],[PointsFor]]-Games[[#This Row],[PointsAgainst]]</f>
        <v>6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0.34048819819256188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10.297680261579067</v>
      </c>
      <c r="AB203" s="4">
        <f>Games[[#This Row],[PreGmRate]]+Games[[#This Row],[RatingChange]]</f>
        <v>1407.8064411390544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42928</v>
      </c>
      <c r="B204" s="2">
        <v>2017</v>
      </c>
      <c r="C204" s="2">
        <f>COUNTIFS(Games[Team],Games[[#This Row],[Team]],Games[Season],Games[[#This Row],[Season]],Games[Date],"&lt;=" &amp; Games[[#This Row],[Date]])</f>
        <v>18</v>
      </c>
      <c r="D204" s="2" t="s">
        <v>81</v>
      </c>
      <c r="E204" s="2" t="s">
        <v>82</v>
      </c>
      <c r="F204" s="1" t="s">
        <v>74</v>
      </c>
      <c r="G204" s="1" t="s">
        <v>69</v>
      </c>
      <c r="H204" s="1" t="s">
        <v>83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1278.1287535179761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1448.9909563092135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0.18738307322826181</v>
      </c>
      <c r="R204" s="1">
        <v>79</v>
      </c>
      <c r="S204" s="1">
        <v>72</v>
      </c>
      <c r="T204" s="1">
        <v>0</v>
      </c>
      <c r="U204" s="1">
        <f>Games[[#This Row],[PointsFor]]-Games[[#This Row],[PointsAgainst]]</f>
        <v>7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0.32397757125427024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19.297665953068719</v>
      </c>
      <c r="AB204" s="4">
        <f>Games[[#This Row],[PreGmRate]]+Games[[#This Row],[RatingChange]]</f>
        <v>1297.4264194710447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42928</v>
      </c>
      <c r="B205" s="2">
        <v>2017</v>
      </c>
      <c r="C205" s="2">
        <f>COUNTIFS(Games[Team],Games[[#This Row],[Team]],Games[Season],Games[[#This Row],[Season]],Games[Date],"&lt;=" &amp; Games[[#This Row],[Date]])</f>
        <v>17</v>
      </c>
      <c r="D205" s="2" t="s">
        <v>81</v>
      </c>
      <c r="E205" s="2" t="s">
        <v>82</v>
      </c>
      <c r="F205" s="1" t="s">
        <v>69</v>
      </c>
      <c r="G205" s="1" t="s">
        <v>74</v>
      </c>
      <c r="H205" s="1" t="s">
        <v>84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1448.9909563092135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1278.1287535179761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0.81261692677173825</v>
      </c>
      <c r="R205" s="1">
        <v>72</v>
      </c>
      <c r="S205" s="1">
        <v>79</v>
      </c>
      <c r="T205" s="1">
        <v>0</v>
      </c>
      <c r="U205" s="1">
        <f>Games[[#This Row],[PointsFor]]-Games[[#This Row],[PointsAgainst]]</f>
        <v>-7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0.32397757125427024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-19.337156401813065</v>
      </c>
      <c r="AB205" s="4">
        <f>Games[[#This Row],[PreGmRate]]+Games[[#This Row],[RatingChange]]</f>
        <v>1429.6537999074005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42928</v>
      </c>
      <c r="B206" s="2">
        <v>2017</v>
      </c>
      <c r="C206" s="2">
        <f>COUNTIFS(Games[Team],Games[[#This Row],[Team]],Games[Season],Games[[#This Row],[Season]],Games[Date],"&lt;=" &amp; Games[[#This Row],[Date]])</f>
        <v>17</v>
      </c>
      <c r="D206" s="2" t="s">
        <v>81</v>
      </c>
      <c r="E206" s="2" t="s">
        <v>82</v>
      </c>
      <c r="F206" s="1" t="s">
        <v>79</v>
      </c>
      <c r="G206" s="1" t="s">
        <v>40</v>
      </c>
      <c r="H206" s="1" t="s">
        <v>83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1488.1112819141849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1552.0591174421415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0.29908554689915834</v>
      </c>
      <c r="R206" s="1">
        <v>84</v>
      </c>
      <c r="S206" s="1">
        <v>89</v>
      </c>
      <c r="T206" s="1">
        <v>0</v>
      </c>
      <c r="U206" s="1">
        <f>Games[[#This Row],[PointsFor]]-Games[[#This Row],[PointsAgainst]]</f>
        <v>-5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0.31497120321204247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-6.9192349241782267</v>
      </c>
      <c r="AB206" s="4">
        <f>Games[[#This Row],[PreGmRate]]+Games[[#This Row],[RatingChange]]</f>
        <v>1481.1920469900067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42928</v>
      </c>
      <c r="B207" s="2">
        <v>2017</v>
      </c>
      <c r="C207" s="2">
        <f>COUNTIFS(Games[Team],Games[[#This Row],[Team]],Games[Season],Games[[#This Row],[Season]],Games[Date],"&lt;=" &amp; Games[[#This Row],[Date]])</f>
        <v>17</v>
      </c>
      <c r="D207" s="2" t="s">
        <v>81</v>
      </c>
      <c r="E207" s="2" t="s">
        <v>82</v>
      </c>
      <c r="F207" s="1" t="s">
        <v>40</v>
      </c>
      <c r="G207" s="1" t="s">
        <v>79</v>
      </c>
      <c r="H207" s="1" t="s">
        <v>84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1552.0591174421415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1488.1112819141849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0.70091445310084166</v>
      </c>
      <c r="R207" s="1">
        <v>89</v>
      </c>
      <c r="S207" s="1">
        <v>84</v>
      </c>
      <c r="T207" s="1">
        <v>0</v>
      </c>
      <c r="U207" s="1">
        <f>Games[[#This Row],[PointsFor]]-Games[[#This Row],[PointsAgainst]]</f>
        <v>5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0.31497120321204247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6.9192349241782267</v>
      </c>
      <c r="AB207" s="4">
        <f>Games[[#This Row],[PreGmRate]]+Games[[#This Row],[RatingChange]]</f>
        <v>1558.9783523663198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42928</v>
      </c>
      <c r="B208" s="2">
        <v>2017</v>
      </c>
      <c r="C208" s="2">
        <f>COUNTIFS(Games[Team],Games[[#This Row],[Team]],Games[Season],Games[[#This Row],[Season]],Games[Date],"&lt;=" &amp; Games[[#This Row],[Date]])</f>
        <v>18</v>
      </c>
      <c r="D208" s="2" t="s">
        <v>81</v>
      </c>
      <c r="E208" s="2" t="s">
        <v>82</v>
      </c>
      <c r="F208" s="1" t="s">
        <v>76</v>
      </c>
      <c r="G208" s="1" t="s">
        <v>71</v>
      </c>
      <c r="H208" s="1" t="s">
        <v>83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1565.8436540705645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1490.2740852643622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0.48787001477964809</v>
      </c>
      <c r="R208" s="1">
        <v>83</v>
      </c>
      <c r="S208" s="1">
        <v>79</v>
      </c>
      <c r="T208" s="1">
        <v>0</v>
      </c>
      <c r="U208" s="1">
        <f>Games[[#This Row],[PointsFor]]-Games[[#This Row],[PointsAgainst]]</f>
        <v>4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0.29298228103263452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10.998299324996493</v>
      </c>
      <c r="AB208" s="4">
        <f>Games[[#This Row],[PreGmRate]]+Games[[#This Row],[RatingChange]]</f>
        <v>1576.8419533955609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42928</v>
      </c>
      <c r="B209" s="2">
        <v>2017</v>
      </c>
      <c r="C209" s="2">
        <f>COUNTIFS(Games[Team],Games[[#This Row],[Team]],Games[Season],Games[[#This Row],[Season]],Games[Date],"&lt;=" &amp; Games[[#This Row],[Date]])</f>
        <v>18</v>
      </c>
      <c r="D209" s="2" t="s">
        <v>81</v>
      </c>
      <c r="E209" s="2" t="s">
        <v>82</v>
      </c>
      <c r="F209" s="1" t="s">
        <v>71</v>
      </c>
      <c r="G209" s="1" t="s">
        <v>76</v>
      </c>
      <c r="H209" s="1" t="s">
        <v>84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1490.2740852643622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1565.8436540705645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0.51212998522035191</v>
      </c>
      <c r="R209" s="1">
        <v>79</v>
      </c>
      <c r="S209" s="1">
        <v>83</v>
      </c>
      <c r="T209" s="1">
        <v>0</v>
      </c>
      <c r="U209" s="1">
        <f>Games[[#This Row],[PointsFor]]-Games[[#This Row],[PointsAgainst]]</f>
        <v>-4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0.29298228103263452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-10.998299324996493</v>
      </c>
      <c r="AB209" s="4">
        <f>Games[[#This Row],[PreGmRate]]+Games[[#This Row],[RatingChange]]</f>
        <v>1479.2757859393657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42929</v>
      </c>
      <c r="B210" s="2">
        <v>2017</v>
      </c>
      <c r="C210" s="2">
        <f>COUNTIFS(Games[Team],Games[[#This Row],[Team]],Games[Season],Games[[#This Row],[Season]],Games[Date],"&lt;=" &amp; Games[[#This Row],[Date]])</f>
        <v>19</v>
      </c>
      <c r="D210" s="2" t="s">
        <v>81</v>
      </c>
      <c r="E210" s="2" t="s">
        <v>82</v>
      </c>
      <c r="F210" s="1" t="s">
        <v>76</v>
      </c>
      <c r="G210" s="1" t="s">
        <v>63</v>
      </c>
      <c r="H210" s="1" t="s">
        <v>83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-4</v>
      </c>
      <c r="L210" s="2">
        <f>Games[[#This Row],[OppDaysOff]]-Games[[#This Row],[DaysOff]]</f>
        <v>4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1576.8419533955609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1634.6338087514571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0.26885760637820127</v>
      </c>
      <c r="R210" s="1">
        <v>77</v>
      </c>
      <c r="S210" s="1">
        <v>87</v>
      </c>
      <c r="T210" s="1">
        <v>0</v>
      </c>
      <c r="U210" s="1">
        <f>Games[[#This Row],[PointsFor]]-Games[[#This Row],[PointsAgainst]]</f>
        <v>-10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0.40368812775868207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73.150000000000006</v>
      </c>
      <c r="Z210" s="4">
        <f>Games[[#This Row],[K]]*Games[[#This Row],[POMult]]</f>
        <v>73.150000000000006</v>
      </c>
      <c r="AA210" s="4">
        <f>(Games[[#This Row],[Keff]]*Games[[#This Row],[MOVMult]])*(Games[[#This Row],[Result]]-Games[[#This Row],[ExpectedWin%]])</f>
        <v>-7.9393077274951391</v>
      </c>
      <c r="AB210" s="4">
        <f>Games[[#This Row],[PreGmRate]]+Games[[#This Row],[RatingChange]]</f>
        <v>1568.9026456680658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42929</v>
      </c>
      <c r="B211" s="2">
        <v>2017</v>
      </c>
      <c r="C211" s="2">
        <f>COUNTIFS(Games[Team],Games[[#This Row],[Team]],Games[Season],Games[[#This Row],[Season]],Games[Date],"&lt;=" &amp; Games[[#This Row],[Date]])</f>
        <v>18</v>
      </c>
      <c r="D211" s="2" t="s">
        <v>81</v>
      </c>
      <c r="E211" s="2" t="s">
        <v>82</v>
      </c>
      <c r="F211" s="1" t="s">
        <v>63</v>
      </c>
      <c r="G211" s="1" t="s">
        <v>76</v>
      </c>
      <c r="H211" s="1" t="s">
        <v>84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1" s="2">
        <f>Games[[#This Row],[DaysOff]]-Games[[#This Row],[OppDaysOff]]</f>
        <v>4</v>
      </c>
      <c r="L211" s="2">
        <f>Games[[#This Row],[OppDaysOff]]-Games[[#This Row],[DaysOff]]</f>
        <v>-4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1634.6338087514571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1576.8419533955609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0.73114239362179867</v>
      </c>
      <c r="R211" s="1">
        <v>87</v>
      </c>
      <c r="S211" s="1">
        <v>77</v>
      </c>
      <c r="T211" s="1">
        <v>0</v>
      </c>
      <c r="U211" s="1">
        <f>Games[[#This Row],[PointsFor]]-Games[[#This Row],[PointsAgainst]]</f>
        <v>10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0.40368812775868207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7.9555879210580152</v>
      </c>
      <c r="AB211" s="4">
        <f>Games[[#This Row],[PreGmRate]]+Games[[#This Row],[RatingChange]]</f>
        <v>1642.589396672515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42930</v>
      </c>
      <c r="B212" s="2">
        <v>2017</v>
      </c>
      <c r="C212" s="2">
        <f>COUNTIFS(Games[Team],Games[[#This Row],[Team]],Games[Season],Games[[#This Row],[Season]],Games[Date],"&lt;=" &amp; Games[[#This Row],[Date]])</f>
        <v>19</v>
      </c>
      <c r="D212" s="2" t="s">
        <v>81</v>
      </c>
      <c r="E212" s="2" t="s">
        <v>82</v>
      </c>
      <c r="F212" s="1" t="s">
        <v>65</v>
      </c>
      <c r="G212" s="1" t="s">
        <v>69</v>
      </c>
      <c r="H212" s="1" t="s">
        <v>83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4</v>
      </c>
      <c r="L212" s="2">
        <f>Games[[#This Row],[OppDaysOff]]-Games[[#This Row],[DaysOff]]</f>
        <v>-4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1538.7267716636063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1429.6537999074005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0.5814037131126919</v>
      </c>
      <c r="R212" s="1">
        <v>72</v>
      </c>
      <c r="S212" s="1">
        <v>58</v>
      </c>
      <c r="T212" s="1">
        <v>0</v>
      </c>
      <c r="U212" s="1">
        <f>Games[[#This Row],[PointsFor]]-Games[[#This Row],[PointsAgainst]]</f>
        <v>14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0.44698021948763655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13.686676632869144</v>
      </c>
      <c r="AB212" s="4">
        <f>Games[[#This Row],[PreGmRate]]+Games[[#This Row],[RatingChange]]</f>
        <v>1552.4134482964755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42930</v>
      </c>
      <c r="B213" s="2">
        <v>2017</v>
      </c>
      <c r="C213" s="2">
        <f>COUNTIFS(Games[Team],Games[[#This Row],[Team]],Games[Season],Games[[#This Row],[Season]],Games[Date],"&lt;=" &amp; Games[[#This Row],[Date]])</f>
        <v>18</v>
      </c>
      <c r="D213" s="2" t="s">
        <v>81</v>
      </c>
      <c r="E213" s="2" t="s">
        <v>82</v>
      </c>
      <c r="F213" s="1" t="s">
        <v>69</v>
      </c>
      <c r="G213" s="1" t="s">
        <v>65</v>
      </c>
      <c r="H213" s="1" t="s">
        <v>84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3" s="2">
        <f>Games[[#This Row],[DaysOff]]-Games[[#This Row],[OppDaysOff]]</f>
        <v>-4</v>
      </c>
      <c r="L213" s="2">
        <f>Games[[#This Row],[OppDaysOff]]-Games[[#This Row],[DaysOff]]</f>
        <v>4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1429.6537999074005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1538.7267716636063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0.41859628688730799</v>
      </c>
      <c r="R213" s="1">
        <v>58</v>
      </c>
      <c r="S213" s="1">
        <v>72</v>
      </c>
      <c r="T213" s="1">
        <v>0</v>
      </c>
      <c r="U213" s="1">
        <f>Games[[#This Row],[PointsFor]]-Games[[#This Row],[PointsAgainst]]</f>
        <v>-14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0.44698021948763655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-13.714742271897578</v>
      </c>
      <c r="AB213" s="4">
        <f>Games[[#This Row],[PreGmRate]]+Games[[#This Row],[RatingChange]]</f>
        <v>1415.9390576355029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42930</v>
      </c>
      <c r="B214" s="2">
        <v>2017</v>
      </c>
      <c r="C214" s="2">
        <f>COUNTIFS(Games[Team],Games[[#This Row],[Team]],Games[Season],Games[[#This Row],[Season]],Games[Date],"&lt;=" &amp; Games[[#This Row],[Date]])</f>
        <v>18</v>
      </c>
      <c r="D214" s="2" t="s">
        <v>81</v>
      </c>
      <c r="E214" s="2" t="s">
        <v>82</v>
      </c>
      <c r="F214" s="1" t="s">
        <v>77</v>
      </c>
      <c r="G214" s="1" t="s">
        <v>60</v>
      </c>
      <c r="H214" s="1" t="s">
        <v>83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4" s="2">
        <f>Games[[#This Row],[DaysOff]]-Games[[#This Row],[OppDaysOff]]</f>
        <v>-3</v>
      </c>
      <c r="L214" s="2">
        <f>Games[[#This Row],[OppDaysOff]]-Games[[#This Row],[DaysOff]]</f>
        <v>3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1407.8064411390544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1489.2804657669149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0.24291722181991027</v>
      </c>
      <c r="R214" s="1">
        <v>78</v>
      </c>
      <c r="S214" s="1">
        <v>68</v>
      </c>
      <c r="T214" s="1">
        <v>0</v>
      </c>
      <c r="U214" s="1">
        <f>Games[[#This Row],[PointsFor]]-Games[[#This Row],[PointsAgainst]]</f>
        <v>10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0.39622780441936212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21.988332202315178</v>
      </c>
      <c r="AB214" s="4">
        <f>Games[[#This Row],[PreGmRate]]+Games[[#This Row],[RatingChange]]</f>
        <v>1429.7947733413696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42930</v>
      </c>
      <c r="B215" s="2">
        <v>2017</v>
      </c>
      <c r="C215" s="2">
        <f>COUNTIFS(Games[Team],Games[[#This Row],[Team]],Games[Season],Games[[#This Row],[Season]],Games[Date],"&lt;=" &amp; Games[[#This Row],[Date]])</f>
        <v>17</v>
      </c>
      <c r="D215" s="2" t="s">
        <v>81</v>
      </c>
      <c r="E215" s="2" t="s">
        <v>82</v>
      </c>
      <c r="F215" s="1" t="s">
        <v>60</v>
      </c>
      <c r="G215" s="1" t="s">
        <v>77</v>
      </c>
      <c r="H215" s="1" t="s">
        <v>84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3</v>
      </c>
      <c r="L215" s="2">
        <f>Games[[#This Row],[OppDaysOff]]-Games[[#This Row],[DaysOff]]</f>
        <v>-3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1489.2804657669149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1407.8064411390544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0.75708277818008973</v>
      </c>
      <c r="R215" s="1">
        <v>68</v>
      </c>
      <c r="S215" s="1">
        <v>78</v>
      </c>
      <c r="T215" s="1">
        <v>0</v>
      </c>
      <c r="U215" s="1">
        <f>Games[[#This Row],[PointsFor]]-Games[[#This Row],[PointsAgainst]]</f>
        <v>-10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0.39622780441936212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73.45</v>
      </c>
      <c r="Z215" s="4">
        <f>Games[[#This Row],[K]]*Games[[#This Row],[POMult]]</f>
        <v>73.45</v>
      </c>
      <c r="AA215" s="4">
        <f>(Games[[#This Row],[Keff]]*Games[[#This Row],[MOVMult]])*(Games[[#This Row],[Result]]-Games[[#This Row],[ExpectedWin%]])</f>
        <v>-22.033328789359484</v>
      </c>
      <c r="AB215" s="4">
        <f>Games[[#This Row],[PreGmRate]]+Games[[#This Row],[RatingChange]]</f>
        <v>1467.2471369775553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42930</v>
      </c>
      <c r="B216" s="2">
        <v>2017</v>
      </c>
      <c r="C216" s="2">
        <f>COUNTIFS(Games[Team],Games[[#This Row],[Team]],Games[Season],Games[[#This Row],[Season]],Games[Date],"&lt;=" &amp; Games[[#This Row],[Date]])</f>
        <v>16</v>
      </c>
      <c r="D216" s="2" t="s">
        <v>81</v>
      </c>
      <c r="E216" s="2" t="s">
        <v>82</v>
      </c>
      <c r="F216" s="1" t="s">
        <v>67</v>
      </c>
      <c r="G216" s="1" t="s">
        <v>40</v>
      </c>
      <c r="H216" s="1" t="s">
        <v>83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4</v>
      </c>
      <c r="L216" s="2">
        <f>Games[[#This Row],[OppDaysOff]]-Games[[#This Row],[DaysOff]]</f>
        <v>-4</v>
      </c>
      <c r="M216" s="1">
        <f>MAX(-16, MIN(16, Games[[#This Row],[RestDiff]]*8))</f>
        <v>16</v>
      </c>
      <c r="N216" s="1">
        <f>MAX(-16, MIN(16, Games[[#This Row],[OppRestDiff]]*8))</f>
        <v>-16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1681.4529936714296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1558.9783523663198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0.6000526879990753</v>
      </c>
      <c r="R216" s="1">
        <v>88</v>
      </c>
      <c r="S216" s="1">
        <v>71</v>
      </c>
      <c r="T216" s="1">
        <v>0</v>
      </c>
      <c r="U216" s="1">
        <f>Games[[#This Row],[PointsFor]]-Games[[#This Row],[PointsAgainst]]</f>
        <v>17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0.48313250246360551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73.599999999999994</v>
      </c>
      <c r="Z216" s="4">
        <f>Games[[#This Row],[K]]*Games[[#This Row],[POMult]]</f>
        <v>73.599999999999994</v>
      </c>
      <c r="AA216" s="4">
        <f>(Games[[#This Row],[Keff]]*Games[[#This Row],[MOVMult]])*(Games[[#This Row],[Result]]-Games[[#This Row],[ExpectedWin%]])</f>
        <v>14.221547363564095</v>
      </c>
      <c r="AB216" s="4">
        <f>Games[[#This Row],[PreGmRate]]+Games[[#This Row],[RatingChange]]</f>
        <v>1695.6745410349936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42930</v>
      </c>
      <c r="B217" s="2">
        <v>2017</v>
      </c>
      <c r="C217" s="2">
        <f>COUNTIFS(Games[Team],Games[[#This Row],[Team]],Games[Season],Games[[#This Row],[Season]],Games[Date],"&lt;=" &amp; Games[[#This Row],[Date]])</f>
        <v>18</v>
      </c>
      <c r="D217" s="2" t="s">
        <v>81</v>
      </c>
      <c r="E217" s="2" t="s">
        <v>82</v>
      </c>
      <c r="F217" s="1" t="s">
        <v>40</v>
      </c>
      <c r="G217" s="1" t="s">
        <v>67</v>
      </c>
      <c r="H217" s="1" t="s">
        <v>84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7" s="2">
        <f>Games[[#This Row],[DaysOff]]-Games[[#This Row],[OppDaysOff]]</f>
        <v>-4</v>
      </c>
      <c r="L217" s="2">
        <f>Games[[#This Row],[OppDaysOff]]-Games[[#This Row],[DaysOff]]</f>
        <v>4</v>
      </c>
      <c r="M217" s="1">
        <f>MAX(-16, MIN(16, Games[[#This Row],[RestDiff]]*8))</f>
        <v>-16</v>
      </c>
      <c r="N217" s="1">
        <f>MAX(-16, MIN(16, Games[[#This Row],[OppRestDiff]]*8))</f>
        <v>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1558.9783523663198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1681.4529936714296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0.3999473120009247</v>
      </c>
      <c r="R217" s="1">
        <v>71</v>
      </c>
      <c r="S217" s="1">
        <v>88</v>
      </c>
      <c r="T217" s="1">
        <v>0</v>
      </c>
      <c r="U217" s="1">
        <f>Games[[#This Row],[PointsFor]]-Games[[#This Row],[PointsAgainst]]</f>
        <v>-17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0.48313250246360551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73.3</v>
      </c>
      <c r="Z217" s="4">
        <f>Games[[#This Row],[K]]*Games[[#This Row],[POMult]]</f>
        <v>73.3</v>
      </c>
      <c r="AA217" s="4">
        <f>(Games[[#This Row],[Keff]]*Games[[#This Row],[MOVMult]])*(Games[[#This Row],[Result]]-Games[[#This Row],[ExpectedWin%]])</f>
        <v>-14.163579099853917</v>
      </c>
      <c r="AB217" s="4">
        <f>Games[[#This Row],[PreGmRate]]+Games[[#This Row],[RatingChange]]</f>
        <v>1544.8147732664659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42931</v>
      </c>
      <c r="B218" s="2">
        <v>2017</v>
      </c>
      <c r="C218" s="2">
        <f>COUNTIFS(Games[Team],Games[[#This Row],[Team]],Games[Season],Games[[#This Row],[Season]],Games[Date],"&lt;=" &amp; Games[[#This Row],[Date]])</f>
        <v>18</v>
      </c>
      <c r="D218" s="2" t="s">
        <v>81</v>
      </c>
      <c r="E218" s="2" t="s">
        <v>82</v>
      </c>
      <c r="F218" s="1" t="s">
        <v>79</v>
      </c>
      <c r="G218" s="1" t="s">
        <v>71</v>
      </c>
      <c r="H218" s="1" t="s">
        <v>83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1481.1920469900067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1479.2757859393657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0.38402186322535992</v>
      </c>
      <c r="R218" s="1">
        <v>84</v>
      </c>
      <c r="S218" s="1">
        <v>90</v>
      </c>
      <c r="T218" s="1">
        <v>0</v>
      </c>
      <c r="U218" s="1">
        <f>Games[[#This Row],[PointsFor]]-Games[[#This Row],[PointsAgainst]]</f>
        <v>-6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0.35072070074225342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73.3</v>
      </c>
      <c r="Z218" s="4">
        <f>Games[[#This Row],[K]]*Games[[#This Row],[POMult]]</f>
        <v>73.3</v>
      </c>
      <c r="AA218" s="4">
        <f>(Games[[#This Row],[Keff]]*Games[[#This Row],[MOVMult]])*(Games[[#This Row],[Result]]-Games[[#This Row],[ExpectedWin%]])</f>
        <v>-9.8723677639555376</v>
      </c>
      <c r="AB218" s="4">
        <f>Games[[#This Row],[PreGmRate]]+Games[[#This Row],[RatingChange]]</f>
        <v>1471.3196792260512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42931</v>
      </c>
      <c r="B219" s="2">
        <v>2017</v>
      </c>
      <c r="C219" s="2">
        <f>COUNTIFS(Games[Team],Games[[#This Row],[Team]],Games[Season],Games[[#This Row],[Season]],Games[Date],"&lt;=" &amp; Games[[#This Row],[Date]])</f>
        <v>19</v>
      </c>
      <c r="D219" s="2" t="s">
        <v>81</v>
      </c>
      <c r="E219" s="2" t="s">
        <v>82</v>
      </c>
      <c r="F219" s="1" t="s">
        <v>71</v>
      </c>
      <c r="G219" s="1" t="s">
        <v>79</v>
      </c>
      <c r="H219" s="1" t="s">
        <v>84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1479.2757859393657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1481.1920469900067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0.61597813677463997</v>
      </c>
      <c r="R219" s="1">
        <v>90</v>
      </c>
      <c r="S219" s="1">
        <v>84</v>
      </c>
      <c r="T219" s="1">
        <v>0</v>
      </c>
      <c r="U219" s="1">
        <f>Games[[#This Row],[PointsFor]]-Games[[#This Row],[PointsAgainst]]</f>
        <v>6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0.35072070074225342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9.8521651014099305</v>
      </c>
      <c r="AB219" s="4">
        <f>Games[[#This Row],[PreGmRate]]+Games[[#This Row],[RatingChange]]</f>
        <v>1489.1279510407758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42932</v>
      </c>
      <c r="B220" s="2">
        <v>2017</v>
      </c>
      <c r="C220" s="2">
        <f>COUNTIFS(Games[Team],Games[[#This Row],[Team]],Games[Season],Games[[#This Row],[Season]],Games[Date],"&lt;=" &amp; Games[[#This Row],[Date]])</f>
        <v>19</v>
      </c>
      <c r="D220" s="2" t="s">
        <v>81</v>
      </c>
      <c r="E220" s="2" t="s">
        <v>82</v>
      </c>
      <c r="F220" s="1" t="s">
        <v>74</v>
      </c>
      <c r="G220" s="1" t="s">
        <v>76</v>
      </c>
      <c r="H220" s="1" t="s">
        <v>83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1</v>
      </c>
      <c r="L220" s="2">
        <f>Games[[#This Row],[OppDaysOff]]-Games[[#This Row],[DaysOff]]</f>
        <v>-1</v>
      </c>
      <c r="M220" s="1">
        <f>MAX(-16, MIN(16, Games[[#This Row],[RestDiff]]*8))</f>
        <v>8</v>
      </c>
      <c r="N220" s="1">
        <f>MAX(-16, MIN(16, Games[[#This Row],[OppRestDiff]]*8))</f>
        <v>-8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1297.4264194710447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1568.9026456680658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0.12409804258982907</v>
      </c>
      <c r="R220" s="1">
        <v>75</v>
      </c>
      <c r="S220" s="1">
        <v>89</v>
      </c>
      <c r="T220" s="1">
        <v>0</v>
      </c>
      <c r="U220" s="1">
        <f>Games[[#This Row],[PointsFor]]-Games[[#This Row],[PointsAgainst]]</f>
        <v>-14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0.39764809911551807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-3.6097587066165264</v>
      </c>
      <c r="AB220" s="4">
        <f>Games[[#This Row],[PreGmRate]]+Games[[#This Row],[RatingChange]]</f>
        <v>1293.8166607644282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42932</v>
      </c>
      <c r="B221" s="2">
        <v>2017</v>
      </c>
      <c r="C221" s="2">
        <f>COUNTIFS(Games[Team],Games[[#This Row],[Team]],Games[Season],Games[[#This Row],[Season]],Games[Date],"&lt;=" &amp; Games[[#This Row],[Date]])</f>
        <v>20</v>
      </c>
      <c r="D221" s="2" t="s">
        <v>81</v>
      </c>
      <c r="E221" s="2" t="s">
        <v>82</v>
      </c>
      <c r="F221" s="1" t="s">
        <v>76</v>
      </c>
      <c r="G221" s="1" t="s">
        <v>74</v>
      </c>
      <c r="H221" s="1" t="s">
        <v>84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1" s="2">
        <f>Games[[#This Row],[DaysOff]]-Games[[#This Row],[OppDaysOff]]</f>
        <v>-1</v>
      </c>
      <c r="L221" s="2">
        <f>Games[[#This Row],[OppDaysOff]]-Games[[#This Row],[DaysOff]]</f>
        <v>1</v>
      </c>
      <c r="M221" s="1">
        <f>MAX(-16, MIN(16, Games[[#This Row],[RestDiff]]*8))</f>
        <v>-8</v>
      </c>
      <c r="N221" s="1">
        <f>MAX(-16, MIN(16, Games[[#This Row],[OppRestDiff]]*8))</f>
        <v>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1568.9026456680658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1297.4264194710447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0.87590195741017096</v>
      </c>
      <c r="R221" s="1">
        <v>89</v>
      </c>
      <c r="S221" s="1">
        <v>75</v>
      </c>
      <c r="T221" s="1">
        <v>0</v>
      </c>
      <c r="U221" s="1">
        <f>Games[[#This Row],[PointsFor]]-Games[[#This Row],[PointsAgainst]]</f>
        <v>14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0.39764809911551807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</v>
      </c>
      <c r="Z221" s="4">
        <f>Games[[#This Row],[K]]*Games[[#This Row],[POMult]]</f>
        <v>73</v>
      </c>
      <c r="AA221" s="4">
        <f>(Games[[#This Row],[Keff]]*Games[[#This Row],[MOVMult]])*(Games[[#This Row],[Result]]-Games[[#This Row],[ExpectedWin%]])</f>
        <v>3.6023566040055548</v>
      </c>
      <c r="AB221" s="4">
        <f>Games[[#This Row],[PreGmRate]]+Games[[#This Row],[RatingChange]]</f>
        <v>1572.5050022720714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42932</v>
      </c>
      <c r="B222" s="2">
        <v>2017</v>
      </c>
      <c r="C222" s="2">
        <f>COUNTIFS(Games[Team],Games[[#This Row],[Team]],Games[Season],Games[[#This Row],[Season]],Games[Date],"&lt;=" &amp; Games[[#This Row],[Date]])</f>
        <v>19</v>
      </c>
      <c r="D222" s="2" t="s">
        <v>81</v>
      </c>
      <c r="E222" s="2" t="s">
        <v>82</v>
      </c>
      <c r="F222" s="1" t="s">
        <v>77</v>
      </c>
      <c r="G222" s="1" t="s">
        <v>87</v>
      </c>
      <c r="H222" s="1" t="s">
        <v>83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2" s="2">
        <f>Games[[#This Row],[DaysOff]]-Games[[#This Row],[OppDaysOff]]</f>
        <v>-2</v>
      </c>
      <c r="L222" s="2">
        <f>Games[[#This Row],[OppDaysOff]]-Games[[#This Row],[DaysOff]]</f>
        <v>2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1429.7947733413696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1425.3109528789826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0.34480841805623891</v>
      </c>
      <c r="R222" s="1">
        <v>106</v>
      </c>
      <c r="S222" s="1">
        <v>112</v>
      </c>
      <c r="T222" s="1">
        <v>1</v>
      </c>
      <c r="U222" s="1">
        <f>Games[[#This Row],[PointsFor]]-Games[[#This Row],[PointsAgainst]]</f>
        <v>-6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0.31497577263647286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-7.9445506905674605</v>
      </c>
      <c r="AB222" s="4">
        <f>Games[[#This Row],[PreGmRate]]+Games[[#This Row],[RatingChange]]</f>
        <v>1421.8502226508022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42932</v>
      </c>
      <c r="B223" s="2">
        <v>2017</v>
      </c>
      <c r="C223" s="2">
        <f>COUNTIFS(Games[Team],Games[[#This Row],[Team]],Games[Season],Games[[#This Row],[Season]],Games[Date],"&lt;=" &amp; Games[[#This Row],[Date]])</f>
        <v>21</v>
      </c>
      <c r="D223" s="2" t="s">
        <v>81</v>
      </c>
      <c r="E223" s="2" t="s">
        <v>82</v>
      </c>
      <c r="F223" s="1" t="s">
        <v>87</v>
      </c>
      <c r="G223" s="1" t="s">
        <v>77</v>
      </c>
      <c r="H223" s="1" t="s">
        <v>84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2</v>
      </c>
      <c r="L223" s="2">
        <f>Games[[#This Row],[OppDaysOff]]-Games[[#This Row],[DaysOff]]</f>
        <v>-2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1425.3109528789826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1429.7947733413696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0.65519158194376115</v>
      </c>
      <c r="R223" s="1">
        <v>112</v>
      </c>
      <c r="S223" s="1">
        <v>106</v>
      </c>
      <c r="T223" s="1">
        <v>1</v>
      </c>
      <c r="U223" s="1">
        <f>Games[[#This Row],[PointsFor]]-Games[[#This Row],[PointsAgainst]]</f>
        <v>6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0.31497577263647286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72.849999999999994</v>
      </c>
      <c r="Z223" s="4">
        <f>Games[[#This Row],[K]]*Games[[#This Row],[POMult]]</f>
        <v>72.849999999999994</v>
      </c>
      <c r="AA223" s="4">
        <f>(Games[[#This Row],[Keff]]*Games[[#This Row],[MOVMult]])*(Games[[#This Row],[Result]]-Games[[#This Row],[ExpectedWin%]])</f>
        <v>7.9119688012008105</v>
      </c>
      <c r="AB223" s="4">
        <f>Games[[#This Row],[PreGmRate]]+Games[[#This Row],[RatingChange]]</f>
        <v>1433.2229216801834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42932</v>
      </c>
      <c r="B224" s="2">
        <v>2017</v>
      </c>
      <c r="C224" s="2">
        <f>COUNTIFS(Games[Team],Games[[#This Row],[Team]],Games[Season],Games[[#This Row],[Season]],Games[Date],"&lt;=" &amp; Games[[#This Row],[Date]])</f>
        <v>19</v>
      </c>
      <c r="D224" s="2" t="s">
        <v>81</v>
      </c>
      <c r="E224" s="2" t="s">
        <v>82</v>
      </c>
      <c r="F224" s="1" t="s">
        <v>40</v>
      </c>
      <c r="G224" s="1" t="s">
        <v>67</v>
      </c>
      <c r="H224" s="1" t="s">
        <v>83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1544.8147732664659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1695.6745410349936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0.20554987547962972</v>
      </c>
      <c r="R224" s="1">
        <v>66</v>
      </c>
      <c r="S224" s="1">
        <v>81</v>
      </c>
      <c r="T224" s="1">
        <v>0</v>
      </c>
      <c r="U224" s="1">
        <f>Games[[#This Row],[PointsFor]]-Games[[#This Row],[PointsAgainst]]</f>
        <v>-15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0.44669154271379036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-6.7164421503788958</v>
      </c>
      <c r="AB224" s="4">
        <f>Games[[#This Row],[PreGmRate]]+Games[[#This Row],[RatingChange]]</f>
        <v>1538.0983311160869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42932</v>
      </c>
      <c r="B225" s="2">
        <v>2017</v>
      </c>
      <c r="C225" s="2">
        <f>COUNTIFS(Games[Team],Games[[#This Row],[Team]],Games[Season],Games[[#This Row],[Season]],Games[Date],"&lt;=" &amp; Games[[#This Row],[Date]])</f>
        <v>17</v>
      </c>
      <c r="D225" s="2" t="s">
        <v>81</v>
      </c>
      <c r="E225" s="2" t="s">
        <v>82</v>
      </c>
      <c r="F225" s="1" t="s">
        <v>67</v>
      </c>
      <c r="G225" s="1" t="s">
        <v>40</v>
      </c>
      <c r="H225" s="1" t="s">
        <v>84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1695.6745410349936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1544.8147732664659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0.79445012452037023</v>
      </c>
      <c r="R225" s="1">
        <v>81</v>
      </c>
      <c r="S225" s="1">
        <v>66</v>
      </c>
      <c r="T225" s="1">
        <v>0</v>
      </c>
      <c r="U225" s="1">
        <f>Games[[#This Row],[PointsFor]]-Games[[#This Row],[PointsAgainst]]</f>
        <v>15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0.44669154271379036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73.45</v>
      </c>
      <c r="Z225" s="4">
        <f>Games[[#This Row],[K]]*Games[[#This Row],[POMult]]</f>
        <v>73.45</v>
      </c>
      <c r="AA225" s="4">
        <f>(Games[[#This Row],[Keff]]*Games[[#This Row],[MOVMult]])*(Games[[#This Row],[Result]]-Games[[#This Row],[ExpectedWin%]])</f>
        <v>6.7439873676736832</v>
      </c>
      <c r="AB225" s="4">
        <f>Games[[#This Row],[PreGmRate]]+Games[[#This Row],[RatingChange]]</f>
        <v>1702.4185284026673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42932</v>
      </c>
      <c r="B226" s="2">
        <v>2017</v>
      </c>
      <c r="C226" s="2">
        <f>COUNTIFS(Games[Team],Games[[#This Row],[Team]],Games[Season],Games[[#This Row],[Season]],Games[Date],"&lt;=" &amp; Games[[#This Row],[Date]])</f>
        <v>20</v>
      </c>
      <c r="D226" s="2" t="s">
        <v>81</v>
      </c>
      <c r="E226" s="2" t="s">
        <v>82</v>
      </c>
      <c r="F226" s="1" t="s">
        <v>65</v>
      </c>
      <c r="G226" s="1" t="s">
        <v>60</v>
      </c>
      <c r="H226" s="1" t="s">
        <v>83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1552.4134482964755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1467.2471369775553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0.50167845060571714</v>
      </c>
      <c r="R226" s="1">
        <v>55</v>
      </c>
      <c r="S226" s="1">
        <v>85</v>
      </c>
      <c r="T226" s="1">
        <v>0</v>
      </c>
      <c r="U226" s="1">
        <f>Games[[#This Row],[PointsFor]]-Games[[#This Row],[PointsAgainst]]</f>
        <v>-30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0.65687312536494147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-24.056353699766174</v>
      </c>
      <c r="AB226" s="4">
        <f>Games[[#This Row],[PreGmRate]]+Games[[#This Row],[RatingChange]]</f>
        <v>1528.3570945967094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42932</v>
      </c>
      <c r="B227" s="2">
        <v>2017</v>
      </c>
      <c r="C227" s="2">
        <f>COUNTIFS(Games[Team],Games[[#This Row],[Team]],Games[Season],Games[[#This Row],[Season]],Games[Date],"&lt;=" &amp; Games[[#This Row],[Date]])</f>
        <v>18</v>
      </c>
      <c r="D227" s="2" t="s">
        <v>81</v>
      </c>
      <c r="E227" s="2" t="s">
        <v>82</v>
      </c>
      <c r="F227" s="1" t="s">
        <v>60</v>
      </c>
      <c r="G227" s="1" t="s">
        <v>65</v>
      </c>
      <c r="H227" s="1" t="s">
        <v>84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1467.2471369775553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1552.4134482964755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0.4983215493942828</v>
      </c>
      <c r="R227" s="1">
        <v>85</v>
      </c>
      <c r="S227" s="1">
        <v>55</v>
      </c>
      <c r="T227" s="1">
        <v>0</v>
      </c>
      <c r="U227" s="1">
        <f>Games[[#This Row],[PointsFor]]-Games[[#This Row],[PointsAgainst]]</f>
        <v>30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0.65687312536494147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24.155215427299463</v>
      </c>
      <c r="AB227" s="4">
        <f>Games[[#This Row],[PreGmRate]]+Games[[#This Row],[RatingChange]]</f>
        <v>1491.4023524048548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42933</v>
      </c>
      <c r="B228" s="2">
        <v>2017</v>
      </c>
      <c r="C228" s="2">
        <f>COUNTIFS(Games[Team],Games[[#This Row],[Team]],Games[Season],Games[[#This Row],[Season]],Games[Date],"&lt;=" &amp; Games[[#This Row],[Date]])</f>
        <v>19</v>
      </c>
      <c r="D228" s="2" t="s">
        <v>81</v>
      </c>
      <c r="E228" s="2" t="s">
        <v>82</v>
      </c>
      <c r="F228" s="1" t="s">
        <v>69</v>
      </c>
      <c r="G228" s="1" t="s">
        <v>63</v>
      </c>
      <c r="H228" s="1" t="s">
        <v>83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1415.9390576355029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1642.589396672515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0.13234861920739979</v>
      </c>
      <c r="R228" s="1">
        <v>62</v>
      </c>
      <c r="S228" s="1">
        <v>80</v>
      </c>
      <c r="T228" s="1">
        <v>0</v>
      </c>
      <c r="U228" s="1">
        <f>Games[[#This Row],[PointsFor]]-Games[[#This Row],[PointsAgainst]]</f>
        <v>-18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0.45995903873300897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73.150000000000006</v>
      </c>
      <c r="Z228" s="4">
        <f>Games[[#This Row],[K]]*Games[[#This Row],[POMult]]</f>
        <v>73.150000000000006</v>
      </c>
      <c r="AA228" s="4">
        <f>(Games[[#This Row],[Keff]]*Games[[#This Row],[MOVMult]])*(Games[[#This Row],[Result]]-Games[[#This Row],[ExpectedWin%]])</f>
        <v>-4.4530021293344371</v>
      </c>
      <c r="AB228" s="4">
        <f>Games[[#This Row],[PreGmRate]]+Games[[#This Row],[RatingChange]]</f>
        <v>1411.4860555061684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42933</v>
      </c>
      <c r="B229" s="2">
        <v>2017</v>
      </c>
      <c r="C229" s="2">
        <f>COUNTIFS(Games[Team],Games[[#This Row],[Team]],Games[Season],Games[[#This Row],[Season]],Games[Date],"&lt;=" &amp; Games[[#This Row],[Date]])</f>
        <v>19</v>
      </c>
      <c r="D229" s="2" t="s">
        <v>81</v>
      </c>
      <c r="E229" s="2" t="s">
        <v>82</v>
      </c>
      <c r="F229" s="1" t="s">
        <v>63</v>
      </c>
      <c r="G229" s="1" t="s">
        <v>69</v>
      </c>
      <c r="H229" s="1" t="s">
        <v>84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1642.589396672515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1415.9390576355029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0.86765138079260018</v>
      </c>
      <c r="R229" s="1">
        <v>80</v>
      </c>
      <c r="S229" s="1">
        <v>62</v>
      </c>
      <c r="T229" s="1">
        <v>0</v>
      </c>
      <c r="U229" s="1">
        <f>Games[[#This Row],[PointsFor]]-Games[[#This Row],[PointsAgainst]]</f>
        <v>18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0.45995903873300897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73.150000000000006</v>
      </c>
      <c r="Z229" s="4">
        <f>Games[[#This Row],[K]]*Games[[#This Row],[POMult]]</f>
        <v>73.150000000000006</v>
      </c>
      <c r="AA229" s="4">
        <f>(Games[[#This Row],[Keff]]*Games[[#This Row],[MOVMult]])*(Games[[#This Row],[Result]]-Games[[#This Row],[ExpectedWin%]])</f>
        <v>4.453002129334438</v>
      </c>
      <c r="AB229" s="4">
        <f>Games[[#This Row],[PreGmRate]]+Games[[#This Row],[RatingChange]]</f>
        <v>1647.0423988018495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42934</v>
      </c>
      <c r="B230" s="2">
        <v>2017</v>
      </c>
      <c r="C230" s="2">
        <f>COUNTIFS(Games[Team],Games[[#This Row],[Team]],Games[Season],Games[[#This Row],[Season]],Games[Date],"&lt;=" &amp; Games[[#This Row],[Date]])</f>
        <v>20</v>
      </c>
      <c r="D230" s="2" t="s">
        <v>81</v>
      </c>
      <c r="E230" s="2" t="s">
        <v>82</v>
      </c>
      <c r="F230" s="1" t="s">
        <v>74</v>
      </c>
      <c r="G230" s="1" t="s">
        <v>79</v>
      </c>
      <c r="H230" s="1" t="s">
        <v>83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1293.8166607644282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1471.3196792260512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0.16834030460787711</v>
      </c>
      <c r="R230" s="1">
        <v>75</v>
      </c>
      <c r="S230" s="1">
        <v>88</v>
      </c>
      <c r="T230" s="1">
        <v>0</v>
      </c>
      <c r="U230" s="1">
        <f>Games[[#This Row],[PointsFor]]-Games[[#This Row],[PointsAgainst]]</f>
        <v>-13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0.41121688968024739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-5.0533794822133951</v>
      </c>
      <c r="AB230" s="4">
        <f>Games[[#This Row],[PreGmRate]]+Games[[#This Row],[RatingChange]]</f>
        <v>1288.7632812822148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42934</v>
      </c>
      <c r="B231" s="2">
        <v>2017</v>
      </c>
      <c r="C231" s="2">
        <f>COUNTIFS(Games[Team],Games[[#This Row],[Team]],Games[Season],Games[[#This Row],[Season]],Games[Date],"&lt;=" &amp; Games[[#This Row],[Date]])</f>
        <v>19</v>
      </c>
      <c r="D231" s="2" t="s">
        <v>81</v>
      </c>
      <c r="E231" s="2" t="s">
        <v>82</v>
      </c>
      <c r="F231" s="1" t="s">
        <v>79</v>
      </c>
      <c r="G231" s="1" t="s">
        <v>74</v>
      </c>
      <c r="H231" s="1" t="s">
        <v>84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1471.3196792260512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1293.8166607644282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0.83165969539212281</v>
      </c>
      <c r="R231" s="1">
        <v>88</v>
      </c>
      <c r="S231" s="1">
        <v>75</v>
      </c>
      <c r="T231" s="1">
        <v>0</v>
      </c>
      <c r="U231" s="1">
        <f>Games[[#This Row],[PointsFor]]-Games[[#This Row],[PointsAgainst]]</f>
        <v>13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0.41121688968024739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5.063763138683699</v>
      </c>
      <c r="AB231" s="4">
        <f>Games[[#This Row],[PreGmRate]]+Games[[#This Row],[RatingChange]]</f>
        <v>1476.3834423647349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42934</v>
      </c>
      <c r="B232" s="2">
        <v>2017</v>
      </c>
      <c r="C232" s="2">
        <f>COUNTIFS(Games[Team],Games[[#This Row],[Team]],Games[Season],Games[[#This Row],[Season]],Games[Date],"&lt;=" &amp; Games[[#This Row],[Date]])</f>
        <v>20</v>
      </c>
      <c r="D232" s="2" t="s">
        <v>81</v>
      </c>
      <c r="E232" s="2" t="s">
        <v>82</v>
      </c>
      <c r="F232" s="1" t="s">
        <v>77</v>
      </c>
      <c r="G232" s="1" t="s">
        <v>71</v>
      </c>
      <c r="H232" s="1" t="s">
        <v>83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1421.8502226508022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1489.1279510407758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0.27629234176053236</v>
      </c>
      <c r="R232" s="1">
        <v>94</v>
      </c>
      <c r="S232" s="1">
        <v>83</v>
      </c>
      <c r="T232" s="1">
        <v>0</v>
      </c>
      <c r="U232" s="1">
        <f>Games[[#This Row],[PointsFor]]-Games[[#This Row],[PointsAgainst]]</f>
        <v>11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0.41648578877789544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22.003218706712186</v>
      </c>
      <c r="AB232" s="4">
        <f>Games[[#This Row],[PreGmRate]]+Games[[#This Row],[RatingChange]]</f>
        <v>1443.8534413575144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42934</v>
      </c>
      <c r="B233" s="2">
        <v>2017</v>
      </c>
      <c r="C233" s="2">
        <f>COUNTIFS(Games[Team],Games[[#This Row],[Team]],Games[Season],Games[[#This Row],[Season]],Games[Date],"&lt;=" &amp; Games[[#This Row],[Date]])</f>
        <v>20</v>
      </c>
      <c r="D233" s="2" t="s">
        <v>81</v>
      </c>
      <c r="E233" s="2" t="s">
        <v>82</v>
      </c>
      <c r="F233" s="1" t="s">
        <v>71</v>
      </c>
      <c r="G233" s="1" t="s">
        <v>77</v>
      </c>
      <c r="H233" s="1" t="s">
        <v>84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1489.1279510407758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1421.8502226508022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0.7237076582394677</v>
      </c>
      <c r="R233" s="1">
        <v>83</v>
      </c>
      <c r="S233" s="1">
        <v>94</v>
      </c>
      <c r="T233" s="1">
        <v>0</v>
      </c>
      <c r="U233" s="1">
        <f>Games[[#This Row],[PointsFor]]-Games[[#This Row],[PointsAgainst]]</f>
        <v>-11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0.41648578877789544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-22.003218706712186</v>
      </c>
      <c r="AB233" s="4">
        <f>Games[[#This Row],[PreGmRate]]+Games[[#This Row],[RatingChange]]</f>
        <v>1467.1247323340635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42935</v>
      </c>
      <c r="B234" s="2">
        <v>2017</v>
      </c>
      <c r="C234" s="2">
        <f>COUNTIFS(Games[Team],Games[[#This Row],[Team]],Games[Season],Games[[#This Row],[Season]],Games[Date],"&lt;=" &amp; Games[[#This Row],[Date]])</f>
        <v>22</v>
      </c>
      <c r="D234" s="2" t="s">
        <v>81</v>
      </c>
      <c r="E234" s="2" t="s">
        <v>82</v>
      </c>
      <c r="F234" s="1" t="s">
        <v>87</v>
      </c>
      <c r="G234" s="1" t="s">
        <v>67</v>
      </c>
      <c r="H234" s="1" t="s">
        <v>83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1433.2229216801834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1702.4185284026673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0.11576533194820757</v>
      </c>
      <c r="R234" s="1">
        <v>74</v>
      </c>
      <c r="S234" s="1">
        <v>100</v>
      </c>
      <c r="T234" s="1">
        <v>0</v>
      </c>
      <c r="U234" s="1">
        <f>Games[[#This Row],[PointsFor]]-Games[[#This Row],[PointsAgainst]]</f>
        <v>-26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0.53424122222308268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72.7</v>
      </c>
      <c r="Z234" s="4">
        <f>Games[[#This Row],[K]]*Games[[#This Row],[POMult]]</f>
        <v>72.7</v>
      </c>
      <c r="AA234" s="4">
        <f>(Games[[#This Row],[Keff]]*Games[[#This Row],[MOVMult]])*(Games[[#This Row],[Result]]-Games[[#This Row],[ExpectedWin%]])</f>
        <v>-4.4962487237388835</v>
      </c>
      <c r="AB234" s="4">
        <f>Games[[#This Row],[PreGmRate]]+Games[[#This Row],[RatingChange]]</f>
        <v>1428.7266729564444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42935</v>
      </c>
      <c r="B235" s="2">
        <v>2017</v>
      </c>
      <c r="C235" s="2">
        <f>COUNTIFS(Games[Team],Games[[#This Row],[Team]],Games[Season],Games[[#This Row],[Season]],Games[Date],"&lt;=" &amp; Games[[#This Row],[Date]])</f>
        <v>18</v>
      </c>
      <c r="D235" s="2" t="s">
        <v>81</v>
      </c>
      <c r="E235" s="2" t="s">
        <v>82</v>
      </c>
      <c r="F235" s="1" t="s">
        <v>67</v>
      </c>
      <c r="G235" s="1" t="s">
        <v>87</v>
      </c>
      <c r="H235" s="1" t="s">
        <v>84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1702.4185284026673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1433.2229216801834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0.88423466805179252</v>
      </c>
      <c r="R235" s="1">
        <v>100</v>
      </c>
      <c r="S235" s="1">
        <v>74</v>
      </c>
      <c r="T235" s="1">
        <v>0</v>
      </c>
      <c r="U235" s="1">
        <f>Games[[#This Row],[PointsFor]]-Games[[#This Row],[PointsAgainst]]</f>
        <v>26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0.53424122222308268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4.5333566911975227</v>
      </c>
      <c r="AB235" s="4">
        <f>Games[[#This Row],[PreGmRate]]+Games[[#This Row],[RatingChange]]</f>
        <v>1706.9518850938648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42935</v>
      </c>
      <c r="B236" s="2">
        <v>2017</v>
      </c>
      <c r="C236" s="2">
        <f>COUNTIFS(Games[Team],Games[[#This Row],[Team]],Games[Season],Games[[#This Row],[Season]],Games[Date],"&lt;=" &amp; Games[[#This Row],[Date]])</f>
        <v>21</v>
      </c>
      <c r="D236" s="2" t="s">
        <v>81</v>
      </c>
      <c r="E236" s="2" t="s">
        <v>82</v>
      </c>
      <c r="F236" s="1" t="s">
        <v>76</v>
      </c>
      <c r="G236" s="1" t="s">
        <v>60</v>
      </c>
      <c r="H236" s="1" t="s">
        <v>83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1572.5050022720714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1491.4023524048548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0.49583047463772467</v>
      </c>
      <c r="R236" s="1">
        <v>80</v>
      </c>
      <c r="S236" s="1">
        <v>96</v>
      </c>
      <c r="T236" s="1">
        <v>0</v>
      </c>
      <c r="U236" s="1">
        <f>Games[[#This Row],[PointsFor]]-Games[[#This Row],[PointsAgainst]]</f>
        <v>-16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0.48500659865193091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72.849999999999994</v>
      </c>
      <c r="Z236" s="4">
        <f>Games[[#This Row],[K]]*Games[[#This Row],[POMult]]</f>
        <v>72.849999999999994</v>
      </c>
      <c r="AA236" s="4">
        <f>(Games[[#This Row],[Keff]]*Games[[#This Row],[MOVMult]])*(Games[[#This Row],[Result]]-Games[[#This Row],[ExpectedWin%]])</f>
        <v>-17.519044639075315</v>
      </c>
      <c r="AB236" s="4">
        <f>Games[[#This Row],[PreGmRate]]+Games[[#This Row],[RatingChange]]</f>
        <v>1554.9859576329961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42935</v>
      </c>
      <c r="B237" s="2">
        <v>2017</v>
      </c>
      <c r="C237" s="2">
        <f>COUNTIFS(Games[Team],Games[[#This Row],[Team]],Games[Season],Games[[#This Row],[Season]],Games[Date],"&lt;=" &amp; Games[[#This Row],[Date]])</f>
        <v>19</v>
      </c>
      <c r="D237" s="2" t="s">
        <v>81</v>
      </c>
      <c r="E237" s="2" t="s">
        <v>82</v>
      </c>
      <c r="F237" s="1" t="s">
        <v>60</v>
      </c>
      <c r="G237" s="1" t="s">
        <v>76</v>
      </c>
      <c r="H237" s="1" t="s">
        <v>84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1491.4023524048548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1572.5050022720714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0.50416952536227533</v>
      </c>
      <c r="R237" s="1">
        <v>96</v>
      </c>
      <c r="S237" s="1">
        <v>80</v>
      </c>
      <c r="T237" s="1">
        <v>0</v>
      </c>
      <c r="U237" s="1">
        <f>Games[[#This Row],[PointsFor]]-Games[[#This Row],[PointsAgainst]]</f>
        <v>16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0.48500659865193091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17.591188954678923</v>
      </c>
      <c r="AB237" s="4">
        <f>Games[[#This Row],[PreGmRate]]+Games[[#This Row],[RatingChange]]</f>
        <v>1508.9935413595338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42935</v>
      </c>
      <c r="B238" s="2">
        <v>2017</v>
      </c>
      <c r="C238" s="2">
        <f>COUNTIFS(Games[Team],Games[[#This Row],[Team]],Games[Season],Games[[#This Row],[Season]],Games[Date],"&lt;=" &amp; Games[[#This Row],[Date]])</f>
        <v>20</v>
      </c>
      <c r="D238" s="2" t="s">
        <v>81</v>
      </c>
      <c r="E238" s="2" t="s">
        <v>82</v>
      </c>
      <c r="F238" s="1" t="s">
        <v>69</v>
      </c>
      <c r="G238" s="1" t="s">
        <v>40</v>
      </c>
      <c r="H238" s="1" t="s">
        <v>83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1411.4860555061684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1538.0983311160869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0.21341114645720802</v>
      </c>
      <c r="R238" s="1">
        <v>84</v>
      </c>
      <c r="S238" s="1">
        <v>77</v>
      </c>
      <c r="T238" s="1">
        <v>0</v>
      </c>
      <c r="U238" s="1">
        <f>Games[[#This Row],[PointsFor]]-Games[[#This Row],[PointsAgainst]]</f>
        <v>7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0.33478403234312981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19.22362933752073</v>
      </c>
      <c r="AB238" s="4">
        <f>Games[[#This Row],[PreGmRate]]+Games[[#This Row],[RatingChange]]</f>
        <v>1430.7096848436893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42935</v>
      </c>
      <c r="B239" s="2">
        <v>2017</v>
      </c>
      <c r="C239" s="2">
        <f>COUNTIFS(Games[Team],Games[[#This Row],[Team]],Games[Season],Games[[#This Row],[Season]],Games[Date],"&lt;=" &amp; Games[[#This Row],[Date]])</f>
        <v>20</v>
      </c>
      <c r="D239" s="2" t="s">
        <v>81</v>
      </c>
      <c r="E239" s="2" t="s">
        <v>82</v>
      </c>
      <c r="F239" s="1" t="s">
        <v>40</v>
      </c>
      <c r="G239" s="1" t="s">
        <v>69</v>
      </c>
      <c r="H239" s="1" t="s">
        <v>84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1538.0983311160869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1411.4860555061684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0.78658885354279195</v>
      </c>
      <c r="R239" s="1">
        <v>77</v>
      </c>
      <c r="S239" s="1">
        <v>84</v>
      </c>
      <c r="T239" s="1">
        <v>0</v>
      </c>
      <c r="U239" s="1">
        <f>Games[[#This Row],[PointsFor]]-Games[[#This Row],[PointsAgainst]]</f>
        <v>-7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0.33478403234312981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-19.22362933752073</v>
      </c>
      <c r="AB239" s="4">
        <f>Games[[#This Row],[PreGmRate]]+Games[[#This Row],[RatingChange]]</f>
        <v>1518.8747017785661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42935</v>
      </c>
      <c r="B240" s="2">
        <v>2017</v>
      </c>
      <c r="C240" s="2">
        <f>COUNTIFS(Games[Team],Games[[#This Row],[Team]],Games[Season],Games[[#This Row],[Season]],Games[Date],"&lt;=" &amp; Games[[#This Row],[Date]])</f>
        <v>20</v>
      </c>
      <c r="D240" s="2" t="s">
        <v>81</v>
      </c>
      <c r="E240" s="2" t="s">
        <v>82</v>
      </c>
      <c r="F240" s="1" t="s">
        <v>79</v>
      </c>
      <c r="G240" s="1" t="s">
        <v>65</v>
      </c>
      <c r="H240" s="1" t="s">
        <v>83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1476.3834423647349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1528.3570945967094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0.2754920288668275</v>
      </c>
      <c r="R240" s="1">
        <v>96</v>
      </c>
      <c r="S240" s="1">
        <v>100</v>
      </c>
      <c r="T240" s="1">
        <v>1</v>
      </c>
      <c r="U240" s="1">
        <f>Games[[#This Row],[PointsFor]]-Games[[#This Row],[PointsAgainst]]</f>
        <v>-4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0.2686536997775964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</v>
      </c>
      <c r="Z240" s="4">
        <f>Games[[#This Row],[K]]*Games[[#This Row],[POMult]]</f>
        <v>73</v>
      </c>
      <c r="AA240" s="4">
        <f>(Games[[#This Row],[Keff]]*Games[[#This Row],[MOVMult]])*(Games[[#This Row],[Result]]-Games[[#This Row],[ExpectedWin%]])</f>
        <v>-5.4028725554446009</v>
      </c>
      <c r="AB240" s="4">
        <f>Games[[#This Row],[PreGmRate]]+Games[[#This Row],[RatingChange]]</f>
        <v>1470.9805698092903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42935</v>
      </c>
      <c r="B241" s="2">
        <v>2017</v>
      </c>
      <c r="C241" s="2">
        <f>COUNTIFS(Games[Team],Games[[#This Row],[Team]],Games[Season],Games[[#This Row],[Season]],Games[Date],"&lt;=" &amp; Games[[#This Row],[Date]])</f>
        <v>21</v>
      </c>
      <c r="D241" s="2" t="s">
        <v>81</v>
      </c>
      <c r="E241" s="2" t="s">
        <v>82</v>
      </c>
      <c r="F241" s="1" t="s">
        <v>65</v>
      </c>
      <c r="G241" s="1" t="s">
        <v>79</v>
      </c>
      <c r="H241" s="1" t="s">
        <v>84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1528.3570945967094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1476.3834423647349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0.72450797113317256</v>
      </c>
      <c r="R241" s="1">
        <v>100</v>
      </c>
      <c r="S241" s="1">
        <v>96</v>
      </c>
      <c r="T241" s="1">
        <v>1</v>
      </c>
      <c r="U241" s="1">
        <f>Games[[#This Row],[PointsFor]]-Games[[#This Row],[PointsAgainst]]</f>
        <v>4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0.2686536997775964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5.3917707625224525</v>
      </c>
      <c r="AB241" s="4">
        <f>Games[[#This Row],[PreGmRate]]+Games[[#This Row],[RatingChange]]</f>
        <v>1533.7488653592318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42936</v>
      </c>
      <c r="B242" s="2">
        <v>2017</v>
      </c>
      <c r="C242" s="2">
        <f>COUNTIFS(Games[Team],Games[[#This Row],[Team]],Games[Season],Games[[#This Row],[Season]],Games[Date],"&lt;=" &amp; Games[[#This Row],[Date]])</f>
        <v>21</v>
      </c>
      <c r="D242" s="2" t="s">
        <v>81</v>
      </c>
      <c r="E242" s="2" t="s">
        <v>82</v>
      </c>
      <c r="F242" s="1" t="s">
        <v>77</v>
      </c>
      <c r="G242" s="1" t="s">
        <v>63</v>
      </c>
      <c r="H242" s="1" t="s">
        <v>83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1443.8534413575144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1647.0423988018495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0.14864150101484169</v>
      </c>
      <c r="R242" s="1">
        <v>82</v>
      </c>
      <c r="S242" s="1">
        <v>80</v>
      </c>
      <c r="T242" s="1">
        <v>0</v>
      </c>
      <c r="U242" s="1">
        <f>Games[[#This Row],[PointsFor]]-Games[[#This Row],[PointsAgainst]]</f>
        <v>2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0.22905652390323505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72.849999999999994</v>
      </c>
      <c r="Z242" s="4">
        <f>Games[[#This Row],[K]]*Games[[#This Row],[POMult]]</f>
        <v>72.849999999999994</v>
      </c>
      <c r="AA242" s="4">
        <f>(Games[[#This Row],[Keff]]*Games[[#This Row],[MOVMult]])*(Games[[#This Row],[Result]]-Games[[#This Row],[ExpectedWin%]])</f>
        <v>14.206421558474233</v>
      </c>
      <c r="AB242" s="4">
        <f>Games[[#This Row],[PreGmRate]]+Games[[#This Row],[RatingChange]]</f>
        <v>1458.0598629159886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42936</v>
      </c>
      <c r="B243" s="2">
        <v>2017</v>
      </c>
      <c r="C243" s="2">
        <f>COUNTIFS(Games[Team],Games[[#This Row],[Team]],Games[Season],Games[[#This Row],[Season]],Games[Date],"&lt;=" &amp; Games[[#This Row],[Date]])</f>
        <v>20</v>
      </c>
      <c r="D243" s="2" t="s">
        <v>81</v>
      </c>
      <c r="E243" s="2" t="s">
        <v>82</v>
      </c>
      <c r="F243" s="1" t="s">
        <v>63</v>
      </c>
      <c r="G243" s="1" t="s">
        <v>77</v>
      </c>
      <c r="H243" s="1" t="s">
        <v>84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1647.0423988018495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1443.8534413575144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0.85135849898515825</v>
      </c>
      <c r="R243" s="1">
        <v>80</v>
      </c>
      <c r="S243" s="1">
        <v>82</v>
      </c>
      <c r="T243" s="1">
        <v>0</v>
      </c>
      <c r="U243" s="1">
        <f>Games[[#This Row],[PointsFor]]-Games[[#This Row],[PointsAgainst]]</f>
        <v>-2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0.22905652390323505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</v>
      </c>
      <c r="Z243" s="4">
        <f>Games[[#This Row],[K]]*Games[[#This Row],[POMult]]</f>
        <v>73</v>
      </c>
      <c r="AA243" s="4">
        <f>(Games[[#This Row],[Keff]]*Games[[#This Row],[MOVMult]])*(Games[[#This Row],[Result]]-Games[[#This Row],[ExpectedWin%]])</f>
        <v>-14.235672941230183</v>
      </c>
      <c r="AB243" s="4">
        <f>Games[[#This Row],[PreGmRate]]+Games[[#This Row],[RatingChange]]</f>
        <v>1632.8067258606193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42936</v>
      </c>
      <c r="B244" s="2">
        <v>2017</v>
      </c>
      <c r="C244" s="2">
        <f>COUNTIFS(Games[Team],Games[[#This Row],[Team]],Games[Season],Games[[#This Row],[Season]],Games[Date],"&lt;=" &amp; Games[[#This Row],[Date]])</f>
        <v>21</v>
      </c>
      <c r="D244" s="2" t="s">
        <v>81</v>
      </c>
      <c r="E244" s="2" t="s">
        <v>82</v>
      </c>
      <c r="F244" s="1" t="s">
        <v>69</v>
      </c>
      <c r="G244" s="1" t="s">
        <v>74</v>
      </c>
      <c r="H244" s="1" t="s">
        <v>83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1430.7096848436893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1288.7632812822148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0.56007412860559891</v>
      </c>
      <c r="R244" s="1">
        <v>61</v>
      </c>
      <c r="S244" s="1">
        <v>85</v>
      </c>
      <c r="T244" s="1">
        <v>0</v>
      </c>
      <c r="U244" s="1">
        <f>Games[[#This Row],[PointsFor]]-Games[[#This Row],[PointsAgainst]]</f>
        <v>-24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0.56195770213800345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72.849999999999994</v>
      </c>
      <c r="Z244" s="4">
        <f>Games[[#This Row],[K]]*Games[[#This Row],[POMult]]</f>
        <v>72.849999999999994</v>
      </c>
      <c r="AA244" s="4">
        <f>(Games[[#This Row],[Keff]]*Games[[#This Row],[MOVMult]])*(Games[[#This Row],[Result]]-Games[[#This Row],[ExpectedWin%]])</f>
        <v>-22.928661139134007</v>
      </c>
      <c r="AB244" s="4">
        <f>Games[[#This Row],[PreGmRate]]+Games[[#This Row],[RatingChange]]</f>
        <v>1407.7810237045553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42936</v>
      </c>
      <c r="B245" s="2">
        <v>2017</v>
      </c>
      <c r="C245" s="2">
        <f>COUNTIFS(Games[Team],Games[[#This Row],[Team]],Games[Season],Games[[#This Row],[Season]],Games[Date],"&lt;=" &amp; Games[[#This Row],[Date]])</f>
        <v>21</v>
      </c>
      <c r="D245" s="2" t="s">
        <v>81</v>
      </c>
      <c r="E245" s="2" t="s">
        <v>82</v>
      </c>
      <c r="F245" s="1" t="s">
        <v>74</v>
      </c>
      <c r="G245" s="1" t="s">
        <v>69</v>
      </c>
      <c r="H245" s="1" t="s">
        <v>84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1288.7632812822148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1430.7096848436893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0.43992587139440109</v>
      </c>
      <c r="R245" s="1">
        <v>85</v>
      </c>
      <c r="S245" s="1">
        <v>61</v>
      </c>
      <c r="T245" s="1">
        <v>0</v>
      </c>
      <c r="U245" s="1">
        <f>Games[[#This Row],[PointsFor]]-Games[[#This Row],[PointsAgainst]]</f>
        <v>24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0.56195770213800345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22.928661139134007</v>
      </c>
      <c r="AB245" s="4">
        <f>Games[[#This Row],[PreGmRate]]+Games[[#This Row],[RatingChange]]</f>
        <v>1311.6919424213488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42941</v>
      </c>
      <c r="B246" s="2">
        <v>2017</v>
      </c>
      <c r="C246" s="2">
        <f>COUNTIFS(Games[Team],Games[[#This Row],[Team]],Games[Season],Games[[#This Row],[Season]],Games[Date],"&lt;=" &amp; Games[[#This Row],[Date]])</f>
        <v>21</v>
      </c>
      <c r="D246" s="2" t="s">
        <v>81</v>
      </c>
      <c r="E246" s="2" t="s">
        <v>82</v>
      </c>
      <c r="F246" s="1" t="s">
        <v>40</v>
      </c>
      <c r="G246" s="1" t="s">
        <v>79</v>
      </c>
      <c r="H246" s="1" t="s">
        <v>83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1518.8747017785661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1470.9805698092903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0.44822572520525433</v>
      </c>
      <c r="R246" s="1">
        <v>91</v>
      </c>
      <c r="S246" s="1">
        <v>99</v>
      </c>
      <c r="T246" s="1">
        <v>1</v>
      </c>
      <c r="U246" s="1">
        <f>Games[[#This Row],[PointsFor]]-Games[[#This Row],[PointsAgainst]]</f>
        <v>-8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0.33607079884367258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-10.973801823207241</v>
      </c>
      <c r="AB246" s="4">
        <f>Games[[#This Row],[PreGmRate]]+Games[[#This Row],[RatingChange]]</f>
        <v>1507.9008999553589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42941</v>
      </c>
      <c r="B247" s="2">
        <v>2017</v>
      </c>
      <c r="C247" s="2">
        <f>COUNTIFS(Games[Team],Games[[#This Row],[Team]],Games[Season],Games[[#This Row],[Season]],Games[Date],"&lt;=" &amp; Games[[#This Row],[Date]])</f>
        <v>21</v>
      </c>
      <c r="D247" s="2" t="s">
        <v>81</v>
      </c>
      <c r="E247" s="2" t="s">
        <v>82</v>
      </c>
      <c r="F247" s="1" t="s">
        <v>79</v>
      </c>
      <c r="G247" s="1" t="s">
        <v>40</v>
      </c>
      <c r="H247" s="1" t="s">
        <v>84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1470.9805698092903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1518.8747017785661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0.55177427479474561</v>
      </c>
      <c r="R247" s="1">
        <v>99</v>
      </c>
      <c r="S247" s="1">
        <v>91</v>
      </c>
      <c r="T247" s="1">
        <v>1</v>
      </c>
      <c r="U247" s="1">
        <f>Games[[#This Row],[PointsFor]]-Games[[#This Row],[PointsAgainst]]</f>
        <v>8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0.33607079884367258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10.973801823207241</v>
      </c>
      <c r="AB247" s="4">
        <f>Games[[#This Row],[PreGmRate]]+Games[[#This Row],[RatingChange]]</f>
        <v>1481.9543716324974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42941</v>
      </c>
      <c r="B248" s="2">
        <v>2017</v>
      </c>
      <c r="C248" s="2">
        <f>COUNTIFS(Games[Team],Games[[#This Row],[Team]],Games[Season],Games[[#This Row],[Season]],Games[Date],"&lt;=" &amp; Games[[#This Row],[Date]])</f>
        <v>22</v>
      </c>
      <c r="D248" s="2" t="s">
        <v>81</v>
      </c>
      <c r="E248" s="2" t="s">
        <v>82</v>
      </c>
      <c r="F248" s="1" t="s">
        <v>77</v>
      </c>
      <c r="G248" s="1" t="s">
        <v>76</v>
      </c>
      <c r="H248" s="1" t="s">
        <v>83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1458.0598629159886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1554.9859576329961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0.24349776472207699</v>
      </c>
      <c r="R248" s="1">
        <v>72</v>
      </c>
      <c r="S248" s="1">
        <v>93</v>
      </c>
      <c r="T248" s="1">
        <v>0</v>
      </c>
      <c r="U248" s="1">
        <f>Games[[#This Row],[PointsFor]]-Games[[#This Row],[PointsAgainst]]</f>
        <v>-21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0.54458889384826437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72.7</v>
      </c>
      <c r="Z248" s="4">
        <f>Games[[#This Row],[K]]*Games[[#This Row],[POMult]]</f>
        <v>72.7</v>
      </c>
      <c r="AA248" s="4">
        <f>(Games[[#This Row],[Keff]]*Games[[#This Row],[MOVMult]])*(Games[[#This Row],[Result]]-Games[[#This Row],[ExpectedWin%]])</f>
        <v>-9.6404691656466639</v>
      </c>
      <c r="AB248" s="4">
        <f>Games[[#This Row],[PreGmRate]]+Games[[#This Row],[RatingChange]]</f>
        <v>1448.4193937503419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42941</v>
      </c>
      <c r="B249" s="2">
        <v>2017</v>
      </c>
      <c r="C249" s="2">
        <f>COUNTIFS(Games[Team],Games[[#This Row],[Team]],Games[Season],Games[[#This Row],[Season]],Games[Date],"&lt;=" &amp; Games[[#This Row],[Date]])</f>
        <v>22</v>
      </c>
      <c r="D249" s="2" t="s">
        <v>81</v>
      </c>
      <c r="E249" s="2" t="s">
        <v>82</v>
      </c>
      <c r="F249" s="1" t="s">
        <v>76</v>
      </c>
      <c r="G249" s="1" t="s">
        <v>77</v>
      </c>
      <c r="H249" s="1" t="s">
        <v>84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1554.9859576329961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1458.0598629159886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0.75650223527792304</v>
      </c>
      <c r="R249" s="1">
        <v>93</v>
      </c>
      <c r="S249" s="1">
        <v>72</v>
      </c>
      <c r="T249" s="1">
        <v>0</v>
      </c>
      <c r="U249" s="1">
        <f>Games[[#This Row],[PointsFor]]-Games[[#This Row],[PointsAgainst]]</f>
        <v>21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0.54458889384826437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9.6404691656466639</v>
      </c>
      <c r="AB249" s="4">
        <f>Games[[#This Row],[PreGmRate]]+Games[[#This Row],[RatingChange]]</f>
        <v>1564.6264267986428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42941</v>
      </c>
      <c r="B250" s="2">
        <v>2017</v>
      </c>
      <c r="C250" s="2">
        <f>COUNTIFS(Games[Team],Games[[#This Row],[Team]],Games[Season],Games[[#This Row],[Season]],Games[Date],"&lt;=" &amp; Games[[#This Row],[Date]])</f>
        <v>22</v>
      </c>
      <c r="D250" s="2" t="s">
        <v>81</v>
      </c>
      <c r="E250" s="2" t="s">
        <v>82</v>
      </c>
      <c r="F250" s="1" t="s">
        <v>69</v>
      </c>
      <c r="G250" s="1" t="s">
        <v>87</v>
      </c>
      <c r="H250" s="1" t="s">
        <v>83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1407.7810237045553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1428.7266729564444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0.33265102942184721</v>
      </c>
      <c r="R250" s="1">
        <v>82</v>
      </c>
      <c r="S250" s="1">
        <v>84</v>
      </c>
      <c r="T250" s="1">
        <v>0</v>
      </c>
      <c r="U250" s="1">
        <f>Games[[#This Row],[PointsFor]]-Games[[#This Row],[PointsAgainst]]</f>
        <v>-2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0.26324643129572667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72.7</v>
      </c>
      <c r="Z250" s="4">
        <f>Games[[#This Row],[K]]*Games[[#This Row],[POMult]]</f>
        <v>72.7</v>
      </c>
      <c r="AA250" s="4">
        <f>(Games[[#This Row],[Keff]]*Games[[#This Row],[MOVMult]])*(Games[[#This Row],[Result]]-Games[[#This Row],[ExpectedWin%]])</f>
        <v>-6.366280575528382</v>
      </c>
      <c r="AB250" s="4">
        <f>Games[[#This Row],[PreGmRate]]+Games[[#This Row],[RatingChange]]</f>
        <v>1401.4147431290269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42941</v>
      </c>
      <c r="B251" s="2">
        <v>2017</v>
      </c>
      <c r="C251" s="2">
        <f>COUNTIFS(Games[Team],Games[[#This Row],[Team]],Games[Season],Games[[#This Row],[Season]],Games[Date],"&lt;=" &amp; Games[[#This Row],[Date]])</f>
        <v>23</v>
      </c>
      <c r="D251" s="2" t="s">
        <v>81</v>
      </c>
      <c r="E251" s="2" t="s">
        <v>82</v>
      </c>
      <c r="F251" s="1" t="s">
        <v>87</v>
      </c>
      <c r="G251" s="1" t="s">
        <v>69</v>
      </c>
      <c r="H251" s="1" t="s">
        <v>84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1428.7266729564444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1407.7810237045553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0.66734897057815268</v>
      </c>
      <c r="R251" s="1">
        <v>84</v>
      </c>
      <c r="S251" s="1">
        <v>82</v>
      </c>
      <c r="T251" s="1">
        <v>0</v>
      </c>
      <c r="U251" s="1">
        <f>Games[[#This Row],[PointsFor]]-Games[[#This Row],[PointsAgainst]]</f>
        <v>2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0.26324643129572667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72.55</v>
      </c>
      <c r="Z251" s="4">
        <f>Games[[#This Row],[K]]*Games[[#This Row],[POMult]]</f>
        <v>72.55</v>
      </c>
      <c r="AA251" s="4">
        <f>(Games[[#This Row],[Keff]]*Games[[#This Row],[MOVMult]])*(Games[[#This Row],[Result]]-Games[[#This Row],[ExpectedWin%]])</f>
        <v>6.3531451960740606</v>
      </c>
      <c r="AB251" s="4">
        <f>Games[[#This Row],[PreGmRate]]+Games[[#This Row],[RatingChange]]</f>
        <v>1435.0798181525186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42941</v>
      </c>
      <c r="B252" s="2">
        <v>2017</v>
      </c>
      <c r="C252" s="2">
        <f>COUNTIFS(Games[Team],Games[[#This Row],[Team]],Games[Season],Games[[#This Row],[Season]],Games[Date],"&lt;=" &amp; Games[[#This Row],[Date]])</f>
        <v>21</v>
      </c>
      <c r="D252" s="2" t="s">
        <v>81</v>
      </c>
      <c r="E252" s="2" t="s">
        <v>82</v>
      </c>
      <c r="F252" s="1" t="s">
        <v>71</v>
      </c>
      <c r="G252" s="1" t="s">
        <v>63</v>
      </c>
      <c r="H252" s="1" t="s">
        <v>83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2" s="2">
        <f>Games[[#This Row],[DaysOff]]-Games[[#This Row],[OppDaysOff]]</f>
        <v>2</v>
      </c>
      <c r="L252" s="2">
        <f>Games[[#This Row],[OppDaysOff]]-Games[[#This Row],[DaysOff]]</f>
        <v>-2</v>
      </c>
      <c r="M252" s="1">
        <f>MAX(-16, MIN(16, Games[[#This Row],[RestDiff]]*8))</f>
        <v>16</v>
      </c>
      <c r="N252" s="1">
        <f>MAX(-16, MIN(16, Games[[#This Row],[OppRestDiff]]*8))</f>
        <v>-16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1467.1247323340635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1632.8067258606193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0.22216772814596122</v>
      </c>
      <c r="R252" s="1">
        <v>60</v>
      </c>
      <c r="S252" s="1">
        <v>68</v>
      </c>
      <c r="T252" s="1">
        <v>0</v>
      </c>
      <c r="U252" s="1">
        <f>Games[[#This Row],[PointsFor]]-Games[[#This Row],[PointsAgainst]]</f>
        <v>-8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0.34120581820100393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-5.5223885283537806</v>
      </c>
      <c r="AB252" s="4">
        <f>Games[[#This Row],[PreGmRate]]+Games[[#This Row],[RatingChange]]</f>
        <v>1461.6023438057098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42941</v>
      </c>
      <c r="B253" s="2">
        <v>2017</v>
      </c>
      <c r="C253" s="2">
        <f>COUNTIFS(Games[Team],Games[[#This Row],[Team]],Games[Season],Games[[#This Row],[Season]],Games[Date],"&lt;=" &amp; Games[[#This Row],[Date]])</f>
        <v>21</v>
      </c>
      <c r="D253" s="2" t="s">
        <v>81</v>
      </c>
      <c r="E253" s="2" t="s">
        <v>82</v>
      </c>
      <c r="F253" s="1" t="s">
        <v>63</v>
      </c>
      <c r="G253" s="1" t="s">
        <v>71</v>
      </c>
      <c r="H253" s="1" t="s">
        <v>84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3" s="2">
        <f>Games[[#This Row],[DaysOff]]-Games[[#This Row],[OppDaysOff]]</f>
        <v>-2</v>
      </c>
      <c r="L253" s="2">
        <f>Games[[#This Row],[OppDaysOff]]-Games[[#This Row],[DaysOff]]</f>
        <v>2</v>
      </c>
      <c r="M253" s="1">
        <f>MAX(-16, MIN(16, Games[[#This Row],[RestDiff]]*8))</f>
        <v>-16</v>
      </c>
      <c r="N253" s="1">
        <f>MAX(-16, MIN(16, Games[[#This Row],[OppRestDiff]]*8))</f>
        <v>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1632.8067258606193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1467.1247323340635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0.77783227185403869</v>
      </c>
      <c r="R253" s="1">
        <v>68</v>
      </c>
      <c r="S253" s="1">
        <v>60</v>
      </c>
      <c r="T253" s="1">
        <v>0</v>
      </c>
      <c r="U253" s="1">
        <f>Games[[#This Row],[PointsFor]]-Games[[#This Row],[PointsAgainst]]</f>
        <v>8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0.34120581820100393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72.849999999999994</v>
      </c>
      <c r="Z253" s="4">
        <f>Games[[#This Row],[K]]*Games[[#This Row],[POMult]]</f>
        <v>72.849999999999994</v>
      </c>
      <c r="AA253" s="4">
        <f>(Games[[#This Row],[Keff]]*Games[[#This Row],[MOVMult]])*(Games[[#This Row],[Result]]-Games[[#This Row],[ExpectedWin%]])</f>
        <v>5.5223885283537824</v>
      </c>
      <c r="AB253" s="4">
        <f>Games[[#This Row],[PreGmRate]]+Games[[#This Row],[RatingChange]]</f>
        <v>1638.329114388973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42941</v>
      </c>
      <c r="B254" s="2">
        <v>2017</v>
      </c>
      <c r="C254" s="2">
        <f>COUNTIFS(Games[Team],Games[[#This Row],[Team]],Games[Season],Games[[#This Row],[Season]],Games[Date],"&lt;=" &amp; Games[[#This Row],[Date]])</f>
        <v>20</v>
      </c>
      <c r="D254" s="2" t="s">
        <v>81</v>
      </c>
      <c r="E254" s="2" t="s">
        <v>82</v>
      </c>
      <c r="F254" s="1" t="s">
        <v>60</v>
      </c>
      <c r="G254" s="1" t="s">
        <v>67</v>
      </c>
      <c r="H254" s="1" t="s">
        <v>83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1508.9935413595338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1706.9518850938648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0.16478016714796834</v>
      </c>
      <c r="R254" s="1">
        <v>75</v>
      </c>
      <c r="S254" s="1">
        <v>76</v>
      </c>
      <c r="T254" s="1">
        <v>0</v>
      </c>
      <c r="U254" s="1">
        <f>Games[[#This Row],[PointsFor]]-Games[[#This Row],[PointsAgainst]]</f>
        <v>-1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0.20960252962590209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</v>
      </c>
      <c r="Z254" s="4">
        <f>Games[[#This Row],[K]]*Games[[#This Row],[POMult]]</f>
        <v>73</v>
      </c>
      <c r="AA254" s="4">
        <f>(Games[[#This Row],[Keff]]*Games[[#This Row],[MOVMult]])*(Games[[#This Row],[Result]]-Games[[#This Row],[ExpectedWin%]])</f>
        <v>-2.5212988102466989</v>
      </c>
      <c r="AB254" s="4">
        <f>Games[[#This Row],[PreGmRate]]+Games[[#This Row],[RatingChange]]</f>
        <v>1506.4722425492871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42941</v>
      </c>
      <c r="B255" s="2">
        <v>2017</v>
      </c>
      <c r="C255" s="2">
        <f>COUNTIFS(Games[Team],Games[[#This Row],[Team]],Games[Season],Games[[#This Row],[Season]],Games[Date],"&lt;=" &amp; Games[[#This Row],[Date]])</f>
        <v>19</v>
      </c>
      <c r="D255" s="2" t="s">
        <v>81</v>
      </c>
      <c r="E255" s="2" t="s">
        <v>82</v>
      </c>
      <c r="F255" s="1" t="s">
        <v>67</v>
      </c>
      <c r="G255" s="1" t="s">
        <v>60</v>
      </c>
      <c r="H255" s="1" t="s">
        <v>84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1706.9518850938648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1508.9935413595338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0.83521983285203172</v>
      </c>
      <c r="R255" s="1">
        <v>76</v>
      </c>
      <c r="S255" s="1">
        <v>75</v>
      </c>
      <c r="T255" s="1">
        <v>0</v>
      </c>
      <c r="U255" s="1">
        <f>Games[[#This Row],[PointsFor]]-Games[[#This Row],[PointsAgainst]]</f>
        <v>1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0.20960252962590209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73.150000000000006</v>
      </c>
      <c r="Z255" s="4">
        <f>Games[[#This Row],[K]]*Games[[#This Row],[POMult]]</f>
        <v>73.150000000000006</v>
      </c>
      <c r="AA255" s="4">
        <f>(Games[[#This Row],[Keff]]*Games[[#This Row],[MOVMult]])*(Games[[#This Row],[Result]]-Games[[#This Row],[ExpectedWin%]])</f>
        <v>2.5264795612266568</v>
      </c>
      <c r="AB255" s="4">
        <f>Games[[#This Row],[PreGmRate]]+Games[[#This Row],[RatingChange]]</f>
        <v>1709.4783646550914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42941</v>
      </c>
      <c r="B256" s="2">
        <v>2017</v>
      </c>
      <c r="C256" s="2">
        <f>COUNTIFS(Games[Team],Games[[#This Row],[Team]],Games[Season],Games[[#This Row],[Season]],Games[Date],"&lt;=" &amp; Games[[#This Row],[Date]])</f>
        <v>22</v>
      </c>
      <c r="D256" s="2" t="s">
        <v>81</v>
      </c>
      <c r="E256" s="2" t="s">
        <v>82</v>
      </c>
      <c r="F256" s="1" t="s">
        <v>65</v>
      </c>
      <c r="G256" s="1" t="s">
        <v>74</v>
      </c>
      <c r="H256" s="1" t="s">
        <v>83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1533.7488653592318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1311.6919424213488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0.70823410314316038</v>
      </c>
      <c r="R256" s="1">
        <v>85</v>
      </c>
      <c r="S256" s="1">
        <v>76</v>
      </c>
      <c r="T256" s="1">
        <v>0</v>
      </c>
      <c r="U256" s="1">
        <f>Games[[#This Row],[PointsFor]]-Games[[#This Row],[PointsAgainst]]</f>
        <v>9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0.34257829255543193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7.2665585834604522</v>
      </c>
      <c r="AB256" s="4">
        <f>Games[[#This Row],[PreGmRate]]+Games[[#This Row],[RatingChange]]</f>
        <v>1541.0154239426922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42941</v>
      </c>
      <c r="B257" s="2">
        <v>2017</v>
      </c>
      <c r="C257" s="2">
        <f>COUNTIFS(Games[Team],Games[[#This Row],[Team]],Games[Season],Games[[#This Row],[Season]],Games[Date],"&lt;=" &amp; Games[[#This Row],[Date]])</f>
        <v>22</v>
      </c>
      <c r="D257" s="2" t="s">
        <v>81</v>
      </c>
      <c r="E257" s="2" t="s">
        <v>82</v>
      </c>
      <c r="F257" s="1" t="s">
        <v>74</v>
      </c>
      <c r="G257" s="1" t="s">
        <v>65</v>
      </c>
      <c r="H257" s="1" t="s">
        <v>84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1311.6919424213488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1533.7488653592318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0.29176589685683968</v>
      </c>
      <c r="R257" s="1">
        <v>76</v>
      </c>
      <c r="S257" s="1">
        <v>85</v>
      </c>
      <c r="T257" s="1">
        <v>0</v>
      </c>
      <c r="U257" s="1">
        <f>Games[[#This Row],[PointsFor]]-Games[[#This Row],[PointsAgainst]]</f>
        <v>-9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0.34257829255543193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-7.266558583460454</v>
      </c>
      <c r="AB257" s="4">
        <f>Games[[#This Row],[PreGmRate]]+Games[[#This Row],[RatingChange]]</f>
        <v>1304.4253838378884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42944</v>
      </c>
      <c r="B258" s="2">
        <v>2017</v>
      </c>
      <c r="C258" s="2">
        <f>COUNTIFS(Games[Team],Games[[#This Row],[Team]],Games[Season],Games[[#This Row],[Season]],Games[Date],"&lt;=" &amp; Games[[#This Row],[Date]])</f>
        <v>20</v>
      </c>
      <c r="D258" s="2" t="s">
        <v>81</v>
      </c>
      <c r="E258" s="2" t="s">
        <v>82</v>
      </c>
      <c r="F258" s="1" t="s">
        <v>67</v>
      </c>
      <c r="G258" s="1" t="s">
        <v>79</v>
      </c>
      <c r="H258" s="1" t="s">
        <v>83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1709.4783646550914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1481.9543716324974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0.69554883269204482</v>
      </c>
      <c r="R258" s="1">
        <v>90</v>
      </c>
      <c r="S258" s="1">
        <v>80</v>
      </c>
      <c r="T258" s="1">
        <v>0</v>
      </c>
      <c r="U258" s="1">
        <f>Games[[#This Row],[PointsFor]]-Games[[#This Row],[PointsAgainst]]</f>
        <v>10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0.35568974089439648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</v>
      </c>
      <c r="Z258" s="4">
        <f>Games[[#This Row],[K]]*Games[[#This Row],[POMult]]</f>
        <v>73</v>
      </c>
      <c r="AA258" s="4">
        <f>(Games[[#This Row],[Keff]]*Games[[#This Row],[MOVMult]])*(Games[[#This Row],[Result]]-Games[[#This Row],[ExpectedWin%]])</f>
        <v>7.9051814474777089</v>
      </c>
      <c r="AB258" s="4">
        <f>Games[[#This Row],[PreGmRate]]+Games[[#This Row],[RatingChange]]</f>
        <v>1717.383546102569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42944</v>
      </c>
      <c r="B259" s="2">
        <v>2017</v>
      </c>
      <c r="C259" s="2">
        <f>COUNTIFS(Games[Team],Games[[#This Row],[Team]],Games[Season],Games[[#This Row],[Season]],Games[Date],"&lt;=" &amp; Games[[#This Row],[Date]])</f>
        <v>22</v>
      </c>
      <c r="D259" s="2" t="s">
        <v>81</v>
      </c>
      <c r="E259" s="2" t="s">
        <v>82</v>
      </c>
      <c r="F259" s="1" t="s">
        <v>79</v>
      </c>
      <c r="G259" s="1" t="s">
        <v>67</v>
      </c>
      <c r="H259" s="1" t="s">
        <v>84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1481.9543716324974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1709.4783646550914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0.30445116730795518</v>
      </c>
      <c r="R259" s="1">
        <v>80</v>
      </c>
      <c r="S259" s="1">
        <v>90</v>
      </c>
      <c r="T259" s="1">
        <v>0</v>
      </c>
      <c r="U259" s="1">
        <f>Games[[#This Row],[PointsFor]]-Games[[#This Row],[PointsAgainst]]</f>
        <v>-10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0.35568974089439648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-7.8726944004332795</v>
      </c>
      <c r="AB259" s="4">
        <f>Games[[#This Row],[PreGmRate]]+Games[[#This Row],[RatingChange]]</f>
        <v>1474.0816772320641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42944</v>
      </c>
      <c r="B260" s="2">
        <v>2017</v>
      </c>
      <c r="C260" s="2">
        <f>COUNTIFS(Games[Team],Games[[#This Row],[Team]],Games[Season],Games[[#This Row],[Season]],Games[Date],"&lt;=" &amp; Games[[#This Row],[Date]])</f>
        <v>22</v>
      </c>
      <c r="D260" s="2" t="s">
        <v>81</v>
      </c>
      <c r="E260" s="2" t="s">
        <v>82</v>
      </c>
      <c r="F260" s="1" t="s">
        <v>40</v>
      </c>
      <c r="G260" s="1" t="s">
        <v>77</v>
      </c>
      <c r="H260" s="1" t="s">
        <v>83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1507.9008999553589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1448.4193937503419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0.46477350892001645</v>
      </c>
      <c r="R260" s="1">
        <v>86</v>
      </c>
      <c r="S260" s="1">
        <v>80</v>
      </c>
      <c r="T260" s="1">
        <v>0</v>
      </c>
      <c r="U260" s="1">
        <f>Games[[#This Row],[PointsFor]]-Games[[#This Row],[PointsAgainst]]</f>
        <v>6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0.33469083208640038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13.023143554863543</v>
      </c>
      <c r="AB260" s="4">
        <f>Games[[#This Row],[PreGmRate]]+Games[[#This Row],[RatingChange]]</f>
        <v>1520.9240435102224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42944</v>
      </c>
      <c r="B261" s="2">
        <v>2017</v>
      </c>
      <c r="C261" s="2">
        <f>COUNTIFS(Games[Team],Games[[#This Row],[Team]],Games[Season],Games[[#This Row],[Season]],Games[Date],"&lt;=" &amp; Games[[#This Row],[Date]])</f>
        <v>23</v>
      </c>
      <c r="D261" s="2" t="s">
        <v>81</v>
      </c>
      <c r="E261" s="2" t="s">
        <v>82</v>
      </c>
      <c r="F261" s="1" t="s">
        <v>77</v>
      </c>
      <c r="G261" s="1" t="s">
        <v>40</v>
      </c>
      <c r="H261" s="1" t="s">
        <v>84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1448.4193937503419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1507.9008999553589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0.53522649107998355</v>
      </c>
      <c r="R261" s="1">
        <v>80</v>
      </c>
      <c r="S261" s="1">
        <v>86</v>
      </c>
      <c r="T261" s="1">
        <v>0</v>
      </c>
      <c r="U261" s="1">
        <f>Games[[#This Row],[PointsFor]]-Games[[#This Row],[PointsAgainst]]</f>
        <v>-6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0.33469083208640038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-12.996273244915406</v>
      </c>
      <c r="AB261" s="4">
        <f>Games[[#This Row],[PreGmRate]]+Games[[#This Row],[RatingChange]]</f>
        <v>1435.4231205054266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42944</v>
      </c>
      <c r="B262" s="2">
        <v>2017</v>
      </c>
      <c r="C262" s="2">
        <f>COUNTIFS(Games[Team],Games[[#This Row],[Team]],Games[Season],Games[[#This Row],[Season]],Games[Date],"&lt;=" &amp; Games[[#This Row],[Date]])</f>
        <v>21</v>
      </c>
      <c r="D262" s="2" t="s">
        <v>81</v>
      </c>
      <c r="E262" s="2" t="s">
        <v>82</v>
      </c>
      <c r="F262" s="1" t="s">
        <v>60</v>
      </c>
      <c r="G262" s="1" t="s">
        <v>69</v>
      </c>
      <c r="H262" s="1" t="s">
        <v>83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1506.4722425492871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1401.4147431290269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0.53026712592400271</v>
      </c>
      <c r="R262" s="1">
        <v>85</v>
      </c>
      <c r="S262" s="1">
        <v>84</v>
      </c>
      <c r="T262" s="1">
        <v>0</v>
      </c>
      <c r="U262" s="1">
        <f>Games[[#This Row],[PointsFor]]-Games[[#This Row],[PointsAgainst]]</f>
        <v>1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0.22452313809048038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72.849999999999994</v>
      </c>
      <c r="Z262" s="4">
        <f>Games[[#This Row],[K]]*Games[[#This Row],[POMult]]</f>
        <v>72.849999999999994</v>
      </c>
      <c r="AA262" s="4">
        <f>(Games[[#This Row],[Keff]]*Games[[#This Row],[MOVMult]])*(Games[[#This Row],[Result]]-Games[[#This Row],[ExpectedWin%]])</f>
        <v>7.6831907386388743</v>
      </c>
      <c r="AB262" s="4">
        <f>Games[[#This Row],[PreGmRate]]+Games[[#This Row],[RatingChange]]</f>
        <v>1514.1554332879259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42944</v>
      </c>
      <c r="B263" s="2">
        <v>2017</v>
      </c>
      <c r="C263" s="2">
        <f>COUNTIFS(Games[Team],Games[[#This Row],[Team]],Games[Season],Games[[#This Row],[Season]],Games[Date],"&lt;=" &amp; Games[[#This Row],[Date]])</f>
        <v>23</v>
      </c>
      <c r="D263" s="2" t="s">
        <v>81</v>
      </c>
      <c r="E263" s="2" t="s">
        <v>82</v>
      </c>
      <c r="F263" s="1" t="s">
        <v>69</v>
      </c>
      <c r="G263" s="1" t="s">
        <v>60</v>
      </c>
      <c r="H263" s="1" t="s">
        <v>84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1401.4147431290269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1506.4722425492871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0.46973287407599729</v>
      </c>
      <c r="R263" s="1">
        <v>84</v>
      </c>
      <c r="S263" s="1">
        <v>85</v>
      </c>
      <c r="T263" s="1">
        <v>0</v>
      </c>
      <c r="U263" s="1">
        <f>Games[[#This Row],[PointsFor]]-Games[[#This Row],[PointsAgainst]]</f>
        <v>-1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0.22452313809048038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72.55</v>
      </c>
      <c r="Z263" s="4">
        <f>Games[[#This Row],[K]]*Games[[#This Row],[POMult]]</f>
        <v>72.55</v>
      </c>
      <c r="AA263" s="4">
        <f>(Games[[#This Row],[Keff]]*Games[[#This Row],[MOVMult]])*(Games[[#This Row],[Result]]-Games[[#This Row],[ExpectedWin%]])</f>
        <v>-7.6515509689533348</v>
      </c>
      <c r="AB263" s="4">
        <f>Games[[#This Row],[PreGmRate]]+Games[[#This Row],[RatingChange]]</f>
        <v>1393.7631921600735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42944</v>
      </c>
      <c r="B264" s="2">
        <v>2017</v>
      </c>
      <c r="C264" s="2">
        <f>COUNTIFS(Games[Team],Games[[#This Row],[Team]],Games[Season],Games[[#This Row],[Season]],Games[Date],"&lt;=" &amp; Games[[#This Row],[Date]])</f>
        <v>22</v>
      </c>
      <c r="D264" s="2" t="s">
        <v>81</v>
      </c>
      <c r="E264" s="2" t="s">
        <v>82</v>
      </c>
      <c r="F264" s="1" t="s">
        <v>63</v>
      </c>
      <c r="G264" s="1" t="s">
        <v>74</v>
      </c>
      <c r="H264" s="1" t="s">
        <v>83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1638.329114388973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1304.4253838378884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0.80823179442909354</v>
      </c>
      <c r="R264" s="1">
        <v>85</v>
      </c>
      <c r="S264" s="1">
        <v>73</v>
      </c>
      <c r="T264" s="1">
        <v>0</v>
      </c>
      <c r="U264" s="1">
        <f>Games[[#This Row],[PointsFor]]-Games[[#This Row],[PointsAgainst]]</f>
        <v>12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0.35683812535953663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4.9748760474085243</v>
      </c>
      <c r="AB264" s="4">
        <f>Games[[#This Row],[PreGmRate]]+Games[[#This Row],[RatingChange]]</f>
        <v>1643.3039904363816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42944</v>
      </c>
      <c r="B265" s="2">
        <v>2017</v>
      </c>
      <c r="C265" s="2">
        <f>COUNTIFS(Games[Team],Games[[#This Row],[Team]],Games[Season],Games[[#This Row],[Season]],Games[Date],"&lt;=" &amp; Games[[#This Row],[Date]])</f>
        <v>23</v>
      </c>
      <c r="D265" s="2" t="s">
        <v>81</v>
      </c>
      <c r="E265" s="2" t="s">
        <v>82</v>
      </c>
      <c r="F265" s="1" t="s">
        <v>74</v>
      </c>
      <c r="G265" s="1" t="s">
        <v>63</v>
      </c>
      <c r="H265" s="1" t="s">
        <v>84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1304.4253838378884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1638.329114388973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0.19176820557090651</v>
      </c>
      <c r="R265" s="1">
        <v>73</v>
      </c>
      <c r="S265" s="1">
        <v>85</v>
      </c>
      <c r="T265" s="1">
        <v>0</v>
      </c>
      <c r="U265" s="1">
        <f>Games[[#This Row],[PointsFor]]-Games[[#This Row],[PointsAgainst]]</f>
        <v>-12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0.35683812535953663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-4.9646115163616029</v>
      </c>
      <c r="AB265" s="4">
        <f>Games[[#This Row],[PreGmRate]]+Games[[#This Row],[RatingChange]]</f>
        <v>1299.4607723215267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42944</v>
      </c>
      <c r="B266" s="2">
        <v>2017</v>
      </c>
      <c r="C266" s="2">
        <f>COUNTIFS(Games[Team],Games[[#This Row],[Team]],Games[Season],Games[[#This Row],[Season]],Games[Date],"&lt;=" &amp; Games[[#This Row],[Date]])</f>
        <v>24</v>
      </c>
      <c r="D266" s="2" t="s">
        <v>81</v>
      </c>
      <c r="E266" s="2" t="s">
        <v>82</v>
      </c>
      <c r="F266" s="1" t="s">
        <v>87</v>
      </c>
      <c r="G266" s="1" t="s">
        <v>71</v>
      </c>
      <c r="H266" s="1" t="s">
        <v>83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1435.0798181525186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1461.6023438057098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0.34610178424606342</v>
      </c>
      <c r="R266" s="1">
        <v>93</v>
      </c>
      <c r="S266" s="1">
        <v>109</v>
      </c>
      <c r="T266" s="1">
        <v>0</v>
      </c>
      <c r="U266" s="1">
        <f>Games[[#This Row],[PointsFor]]-Games[[#This Row],[PointsAgainst]]</f>
        <v>-16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0.50658934160640423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72.400000000000006</v>
      </c>
      <c r="Z266" s="4">
        <f>Games[[#This Row],[K]]*Games[[#This Row],[POMult]]</f>
        <v>72.400000000000006</v>
      </c>
      <c r="AA266" s="4">
        <f>(Games[[#This Row],[Keff]]*Games[[#This Row],[MOVMult]])*(Games[[#This Row],[Result]]-Games[[#This Row],[ExpectedWin%]])</f>
        <v>-12.69399879072509</v>
      </c>
      <c r="AB266" s="4">
        <f>Games[[#This Row],[PreGmRate]]+Games[[#This Row],[RatingChange]]</f>
        <v>1422.3858193617934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42944</v>
      </c>
      <c r="B267" s="2">
        <v>2017</v>
      </c>
      <c r="C267" s="2">
        <f>COUNTIFS(Games[Team],Games[[#This Row],[Team]],Games[Season],Games[[#This Row],[Season]],Games[Date],"&lt;=" &amp; Games[[#This Row],[Date]])</f>
        <v>22</v>
      </c>
      <c r="D267" s="2" t="s">
        <v>81</v>
      </c>
      <c r="E267" s="2" t="s">
        <v>82</v>
      </c>
      <c r="F267" s="1" t="s">
        <v>71</v>
      </c>
      <c r="G267" s="1" t="s">
        <v>87</v>
      </c>
      <c r="H267" s="1" t="s">
        <v>84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1461.6023438057098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1435.0798181525186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0.65389821575393658</v>
      </c>
      <c r="R267" s="1">
        <v>109</v>
      </c>
      <c r="S267" s="1">
        <v>93</v>
      </c>
      <c r="T267" s="1">
        <v>0</v>
      </c>
      <c r="U267" s="1">
        <f>Games[[#This Row],[PointsFor]]-Games[[#This Row],[PointsAgainst]]</f>
        <v>16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0.50658934160640423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12.746598233228093</v>
      </c>
      <c r="AB267" s="4">
        <f>Games[[#This Row],[PreGmRate]]+Games[[#This Row],[RatingChange]]</f>
        <v>1474.3489420389378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42946</v>
      </c>
      <c r="B268" s="2">
        <v>2017</v>
      </c>
      <c r="C268" s="2">
        <f>COUNTIFS(Games[Team],Games[[#This Row],[Team]],Games[Season],Games[[#This Row],[Season]],Games[Date],"&lt;=" &amp; Games[[#This Row],[Date]])</f>
        <v>23</v>
      </c>
      <c r="D268" s="2" t="s">
        <v>81</v>
      </c>
      <c r="E268" s="2" t="s">
        <v>82</v>
      </c>
      <c r="F268" s="1" t="s">
        <v>65</v>
      </c>
      <c r="G268" s="1" t="s">
        <v>79</v>
      </c>
      <c r="H268" s="1" t="s">
        <v>83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3</v>
      </c>
      <c r="L268" s="2">
        <f>Games[[#This Row],[OppDaysOff]]-Games[[#This Row],[DaysOff]]</f>
        <v>-3</v>
      </c>
      <c r="M268" s="1">
        <f>MAX(-16, MIN(16, Games[[#This Row],[RestDiff]]*8))</f>
        <v>16</v>
      </c>
      <c r="N268" s="1">
        <f>MAX(-16, MIN(16, Games[[#This Row],[OppRestDiff]]*8))</f>
        <v>-16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1541.0154239426922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1474.0816772320641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0.52147816362118304</v>
      </c>
      <c r="R268" s="1">
        <v>77</v>
      </c>
      <c r="S268" s="1">
        <v>70</v>
      </c>
      <c r="T268" s="1">
        <v>0</v>
      </c>
      <c r="U268" s="1">
        <f>Games[[#This Row],[PointsFor]]-Games[[#This Row],[PointsAgainst]]</f>
        <v>7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0.35055393238808757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72.55</v>
      </c>
      <c r="Z268" s="4">
        <f>Games[[#This Row],[K]]*Games[[#This Row],[POMult]]</f>
        <v>72.55</v>
      </c>
      <c r="AA268" s="4">
        <f>(Games[[#This Row],[Keff]]*Games[[#This Row],[MOVMult]])*(Games[[#This Row],[Result]]-Games[[#This Row],[ExpectedWin%]])</f>
        <v>12.170096467595648</v>
      </c>
      <c r="AB268" s="4">
        <f>Games[[#This Row],[PreGmRate]]+Games[[#This Row],[RatingChange]]</f>
        <v>1553.1855204102878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42946</v>
      </c>
      <c r="B269" s="2">
        <v>2017</v>
      </c>
      <c r="C269" s="2">
        <f>COUNTIFS(Games[Team],Games[[#This Row],[Team]],Games[Season],Games[[#This Row],[Season]],Games[Date],"&lt;=" &amp; Games[[#This Row],[Date]])</f>
        <v>23</v>
      </c>
      <c r="D269" s="2" t="s">
        <v>81</v>
      </c>
      <c r="E269" s="2" t="s">
        <v>82</v>
      </c>
      <c r="F269" s="1" t="s">
        <v>79</v>
      </c>
      <c r="G269" s="1" t="s">
        <v>65</v>
      </c>
      <c r="H269" s="1" t="s">
        <v>84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9" s="2">
        <f>Games[[#This Row],[DaysOff]]-Games[[#This Row],[OppDaysOff]]</f>
        <v>-3</v>
      </c>
      <c r="L269" s="2">
        <f>Games[[#This Row],[OppDaysOff]]-Games[[#This Row],[DaysOff]]</f>
        <v>3</v>
      </c>
      <c r="M269" s="1">
        <f>MAX(-16, MIN(16, Games[[#This Row],[RestDiff]]*8))</f>
        <v>-16</v>
      </c>
      <c r="N269" s="1">
        <f>MAX(-16, MIN(16, Games[[#This Row],[OppRestDiff]]*8))</f>
        <v>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1474.0816772320641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1541.0154239426922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0.47852183637881707</v>
      </c>
      <c r="R269" s="1">
        <v>70</v>
      </c>
      <c r="S269" s="1">
        <v>77</v>
      </c>
      <c r="T269" s="1">
        <v>0</v>
      </c>
      <c r="U269" s="1">
        <f>Games[[#This Row],[PointsFor]]-Games[[#This Row],[PointsAgainst]]</f>
        <v>-7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0.35055393238808757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72.55</v>
      </c>
      <c r="Z269" s="4">
        <f>Games[[#This Row],[K]]*Games[[#This Row],[POMult]]</f>
        <v>72.55</v>
      </c>
      <c r="AA269" s="4">
        <f>(Games[[#This Row],[Keff]]*Games[[#This Row],[MOVMult]])*(Games[[#This Row],[Result]]-Games[[#This Row],[ExpectedWin%]])</f>
        <v>-12.17009646759565</v>
      </c>
      <c r="AB269" s="4">
        <f>Games[[#This Row],[PreGmRate]]+Games[[#This Row],[RatingChange]]</f>
        <v>1461.9115807644685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42946</v>
      </c>
      <c r="B270" s="2">
        <v>2017</v>
      </c>
      <c r="C270" s="2">
        <f>COUNTIFS(Games[Team],Games[[#This Row],[Team]],Games[Season],Games[[#This Row],[Season]],Games[Date],"&lt;=" &amp; Games[[#This Row],[Date]])</f>
        <v>22</v>
      </c>
      <c r="D270" s="2" t="s">
        <v>81</v>
      </c>
      <c r="E270" s="2" t="s">
        <v>82</v>
      </c>
      <c r="F270" s="1" t="s">
        <v>60</v>
      </c>
      <c r="G270" s="1" t="s">
        <v>77</v>
      </c>
      <c r="H270" s="1" t="s">
        <v>83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1514.1554332879259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1435.4231205054266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0.4924197695372679</v>
      </c>
      <c r="R270" s="1">
        <v>86</v>
      </c>
      <c r="S270" s="1">
        <v>82</v>
      </c>
      <c r="T270" s="1">
        <v>0</v>
      </c>
      <c r="U270" s="1">
        <f>Games[[#This Row],[PointsFor]]-Games[[#This Row],[PointsAgainst]]</f>
        <v>4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0.29225763527586829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72.7</v>
      </c>
      <c r="Z270" s="4">
        <f>Games[[#This Row],[K]]*Games[[#This Row],[POMult]]</f>
        <v>72.7</v>
      </c>
      <c r="AA270" s="4">
        <f>(Games[[#This Row],[Keff]]*Games[[#This Row],[MOVMult]])*(Games[[#This Row],[Result]]-Games[[#This Row],[ExpectedWin%]])</f>
        <v>10.784623184990394</v>
      </c>
      <c r="AB270" s="4">
        <f>Games[[#This Row],[PreGmRate]]+Games[[#This Row],[RatingChange]]</f>
        <v>1524.9400564729162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42946</v>
      </c>
      <c r="B271" s="2">
        <v>2017</v>
      </c>
      <c r="C271" s="2">
        <f>COUNTIFS(Games[Team],Games[[#This Row],[Team]],Games[Season],Games[[#This Row],[Season]],Games[Date],"&lt;=" &amp; Games[[#This Row],[Date]])</f>
        <v>24</v>
      </c>
      <c r="D271" s="2" t="s">
        <v>81</v>
      </c>
      <c r="E271" s="2" t="s">
        <v>82</v>
      </c>
      <c r="F271" s="1" t="s">
        <v>77</v>
      </c>
      <c r="G271" s="1" t="s">
        <v>60</v>
      </c>
      <c r="H271" s="1" t="s">
        <v>84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1435.4231205054266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1514.1554332879259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0.50758023046273204</v>
      </c>
      <c r="R271" s="1">
        <v>82</v>
      </c>
      <c r="S271" s="1">
        <v>86</v>
      </c>
      <c r="T271" s="1">
        <v>0</v>
      </c>
      <c r="U271" s="1">
        <f>Games[[#This Row],[PointsFor]]-Games[[#This Row],[PointsAgainst]]</f>
        <v>-4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0.29225763527586829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72.400000000000006</v>
      </c>
      <c r="Z271" s="4">
        <f>Games[[#This Row],[K]]*Games[[#This Row],[POMult]]</f>
        <v>72.400000000000006</v>
      </c>
      <c r="AA271" s="4">
        <f>(Games[[#This Row],[Keff]]*Games[[#This Row],[MOVMult]])*(Games[[#This Row],[Result]]-Games[[#This Row],[ExpectedWin%]])</f>
        <v>-10.740119925630045</v>
      </c>
      <c r="AB271" s="4">
        <f>Games[[#This Row],[PreGmRate]]+Games[[#This Row],[RatingChange]]</f>
        <v>1424.6830005797965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42946</v>
      </c>
      <c r="B272" s="2">
        <v>2017</v>
      </c>
      <c r="C272" s="2">
        <f>COUNTIFS(Games[Team],Games[[#This Row],[Team]],Games[Season],Games[[#This Row],[Season]],Games[Date],"&lt;=" &amp; Games[[#This Row],[Date]])</f>
        <v>24</v>
      </c>
      <c r="D272" s="2" t="s">
        <v>81</v>
      </c>
      <c r="E272" s="2" t="s">
        <v>82</v>
      </c>
      <c r="F272" s="1" t="s">
        <v>69</v>
      </c>
      <c r="G272" s="1" t="s">
        <v>76</v>
      </c>
      <c r="H272" s="1" t="s">
        <v>83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2" s="2">
        <f>Games[[#This Row],[DaysOff]]-Games[[#This Row],[OppDaysOff]]</f>
        <v>-3</v>
      </c>
      <c r="L272" s="2">
        <f>Games[[#This Row],[OppDaysOff]]-Games[[#This Row],[DaysOff]]</f>
        <v>3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1393.7631921600735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1564.6264267986428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0.16093096254726172</v>
      </c>
      <c r="R272" s="1">
        <v>73</v>
      </c>
      <c r="S272" s="1">
        <v>89</v>
      </c>
      <c r="T272" s="1">
        <v>0</v>
      </c>
      <c r="U272" s="1">
        <f>Games[[#This Row],[PointsFor]]-Games[[#This Row],[PointsAgainst]]</f>
        <v>-16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0.45324961895261023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-5.280993375540957</v>
      </c>
      <c r="AB272" s="4">
        <f>Games[[#This Row],[PreGmRate]]+Games[[#This Row],[RatingChange]]</f>
        <v>1388.4821987845326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42946</v>
      </c>
      <c r="B273" s="2">
        <v>2017</v>
      </c>
      <c r="C273" s="2">
        <f>COUNTIFS(Games[Team],Games[[#This Row],[Team]],Games[Season],Games[[#This Row],[Season]],Games[Date],"&lt;=" &amp; Games[[#This Row],[Date]])</f>
        <v>23</v>
      </c>
      <c r="D273" s="2" t="s">
        <v>81</v>
      </c>
      <c r="E273" s="2" t="s">
        <v>82</v>
      </c>
      <c r="F273" s="1" t="s">
        <v>76</v>
      </c>
      <c r="G273" s="1" t="s">
        <v>69</v>
      </c>
      <c r="H273" s="1" t="s">
        <v>84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3</v>
      </c>
      <c r="L273" s="2">
        <f>Games[[#This Row],[OppDaysOff]]-Games[[#This Row],[DaysOff]]</f>
        <v>-3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1564.6264267986428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1393.7631921600735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0.8390690374527382</v>
      </c>
      <c r="R273" s="1">
        <v>89</v>
      </c>
      <c r="S273" s="1">
        <v>73</v>
      </c>
      <c r="T273" s="1">
        <v>0</v>
      </c>
      <c r="U273" s="1">
        <f>Games[[#This Row],[PointsFor]]-Games[[#This Row],[PointsAgainst]]</f>
        <v>16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0.45324961895261023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5.2919346601587929</v>
      </c>
      <c r="AB273" s="4">
        <f>Games[[#This Row],[PreGmRate]]+Games[[#This Row],[RatingChange]]</f>
        <v>1569.9183614588017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42946</v>
      </c>
      <c r="B274" s="2">
        <v>2017</v>
      </c>
      <c r="C274" s="2">
        <f>COUNTIFS(Games[Team],Games[[#This Row],[Team]],Games[Season],Games[[#This Row],[Season]],Games[Date],"&lt;=" &amp; Games[[#This Row],[Date]])</f>
        <v>25</v>
      </c>
      <c r="D274" s="2" t="s">
        <v>81</v>
      </c>
      <c r="E274" s="2" t="s">
        <v>82</v>
      </c>
      <c r="F274" s="1" t="s">
        <v>87</v>
      </c>
      <c r="G274" s="1" t="s">
        <v>63</v>
      </c>
      <c r="H274" s="1" t="s">
        <v>83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1422.3858193617934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1643.3039904363816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0.14738623131021678</v>
      </c>
      <c r="R274" s="1">
        <v>74</v>
      </c>
      <c r="S274" s="1">
        <v>95</v>
      </c>
      <c r="T274" s="1">
        <v>0</v>
      </c>
      <c r="U274" s="1">
        <f>Games[[#This Row],[PointsFor]]-Games[[#This Row],[PointsAgainst]]</f>
        <v>-21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0.49706701040408419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72.25</v>
      </c>
      <c r="Z274" s="4">
        <f>Games[[#This Row],[K]]*Games[[#This Row],[POMult]]</f>
        <v>72.25</v>
      </c>
      <c r="AA274" s="4">
        <f>(Games[[#This Row],[Keff]]*Games[[#This Row],[MOVMult]])*(Games[[#This Row],[Result]]-Games[[#This Row],[ExpectedWin%]])</f>
        <v>-5.2930952111338119</v>
      </c>
      <c r="AB274" s="4">
        <f>Games[[#This Row],[PreGmRate]]+Games[[#This Row],[RatingChange]]</f>
        <v>1417.0927241506597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42946</v>
      </c>
      <c r="B275" s="2">
        <v>2017</v>
      </c>
      <c r="C275" s="2">
        <f>COUNTIFS(Games[Team],Games[[#This Row],[Team]],Games[Season],Games[[#This Row],[Season]],Games[Date],"&lt;=" &amp; Games[[#This Row],[Date]])</f>
        <v>23</v>
      </c>
      <c r="D275" s="2" t="s">
        <v>81</v>
      </c>
      <c r="E275" s="2" t="s">
        <v>82</v>
      </c>
      <c r="F275" s="1" t="s">
        <v>63</v>
      </c>
      <c r="G275" s="1" t="s">
        <v>87</v>
      </c>
      <c r="H275" s="1" t="s">
        <v>84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1643.3039904363816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1422.3858193617934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0.85261376868978311</v>
      </c>
      <c r="R275" s="1">
        <v>95</v>
      </c>
      <c r="S275" s="1">
        <v>74</v>
      </c>
      <c r="T275" s="1">
        <v>0</v>
      </c>
      <c r="U275" s="1">
        <f>Games[[#This Row],[PointsFor]]-Games[[#This Row],[PointsAgainst]]</f>
        <v>21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0.49706701040408419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5.3150734611454435</v>
      </c>
      <c r="AB275" s="4">
        <f>Games[[#This Row],[PreGmRate]]+Games[[#This Row],[RatingChange]]</f>
        <v>1648.619063897527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42946</v>
      </c>
      <c r="B276" s="2">
        <v>2017</v>
      </c>
      <c r="C276" s="2">
        <f>COUNTIFS(Games[Team],Games[[#This Row],[Team]],Games[Season],Games[[#This Row],[Season]],Games[Date],"&lt;=" &amp; Games[[#This Row],[Date]])</f>
        <v>23</v>
      </c>
      <c r="D276" s="2" t="s">
        <v>81</v>
      </c>
      <c r="E276" s="2" t="s">
        <v>82</v>
      </c>
      <c r="F276" s="1" t="s">
        <v>71</v>
      </c>
      <c r="G276" s="1" t="s">
        <v>67</v>
      </c>
      <c r="H276" s="1" t="s">
        <v>83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1474.3489420389378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1717.383546102569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0.1320948154708968</v>
      </c>
      <c r="R276" s="1">
        <v>82</v>
      </c>
      <c r="S276" s="1">
        <v>93</v>
      </c>
      <c r="T276" s="1">
        <v>0</v>
      </c>
      <c r="U276" s="1">
        <f>Games[[#This Row],[PointsFor]]-Games[[#This Row],[PointsAgainst]]</f>
        <v>-11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0.36575918749477471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-3.5052454420897323</v>
      </c>
      <c r="AB276" s="4">
        <f>Games[[#This Row],[PreGmRate]]+Games[[#This Row],[RatingChange]]</f>
        <v>1470.8436965968481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42946</v>
      </c>
      <c r="B277" s="2">
        <v>2017</v>
      </c>
      <c r="C277" s="2">
        <f>COUNTIFS(Games[Team],Games[[#This Row],[Team]],Games[Season],Games[[#This Row],[Season]],Games[Date],"&lt;=" &amp; Games[[#This Row],[Date]])</f>
        <v>21</v>
      </c>
      <c r="D277" s="2" t="s">
        <v>81</v>
      </c>
      <c r="E277" s="2" t="s">
        <v>82</v>
      </c>
      <c r="F277" s="1" t="s">
        <v>67</v>
      </c>
      <c r="G277" s="1" t="s">
        <v>71</v>
      </c>
      <c r="H277" s="1" t="s">
        <v>84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1717.383546102569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1474.3489420389378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0.86790518452910315</v>
      </c>
      <c r="R277" s="1">
        <v>93</v>
      </c>
      <c r="S277" s="1">
        <v>82</v>
      </c>
      <c r="T277" s="1">
        <v>0</v>
      </c>
      <c r="U277" s="1">
        <f>Games[[#This Row],[PointsFor]]-Games[[#This Row],[PointsAgainst]]</f>
        <v>11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0.36575918749477471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72.849999999999994</v>
      </c>
      <c r="Z277" s="4">
        <f>Games[[#This Row],[K]]*Games[[#This Row],[POMult]]</f>
        <v>72.849999999999994</v>
      </c>
      <c r="AA277" s="4">
        <f>(Games[[#This Row],[Keff]]*Games[[#This Row],[MOVMult]])*(Games[[#This Row],[Result]]-Games[[#This Row],[ExpectedWin%]])</f>
        <v>3.5197399098034059</v>
      </c>
      <c r="AB277" s="4">
        <f>Games[[#This Row],[PreGmRate]]+Games[[#This Row],[RatingChange]]</f>
        <v>1720.9032860123723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42946</v>
      </c>
      <c r="B278" s="2">
        <v>2017</v>
      </c>
      <c r="C278" s="2">
        <f>COUNTIFS(Games[Team],Games[[#This Row],[Team]],Games[Season],Games[[#This Row],[Season]],Games[Date],"&lt;=" &amp; Games[[#This Row],[Date]])</f>
        <v>24</v>
      </c>
      <c r="D278" s="2" t="s">
        <v>81</v>
      </c>
      <c r="E278" s="2" t="s">
        <v>82</v>
      </c>
      <c r="F278" s="1" t="s">
        <v>74</v>
      </c>
      <c r="G278" s="1" t="s">
        <v>40</v>
      </c>
      <c r="H278" s="1" t="s">
        <v>83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1299.4607723215267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1520.9240435102224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0.14699235431947302</v>
      </c>
      <c r="R278" s="1">
        <v>64</v>
      </c>
      <c r="S278" s="1">
        <v>81</v>
      </c>
      <c r="T278" s="1">
        <v>0</v>
      </c>
      <c r="U278" s="1">
        <f>Games[[#This Row],[PointsFor]]-Games[[#This Row],[PointsAgainst]]</f>
        <v>-17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0.44948785934095398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72.400000000000006</v>
      </c>
      <c r="Z278" s="4">
        <f>Games[[#This Row],[K]]*Games[[#This Row],[POMult]]</f>
        <v>72.400000000000006</v>
      </c>
      <c r="AA278" s="4">
        <f>(Games[[#This Row],[Keff]]*Games[[#This Row],[MOVMult]])*(Games[[#This Row],[Result]]-Games[[#This Row],[ExpectedWin%]])</f>
        <v>-4.7835605766164004</v>
      </c>
      <c r="AB278" s="4">
        <f>Games[[#This Row],[PreGmRate]]+Games[[#This Row],[RatingChange]]</f>
        <v>1294.6772117449104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42946</v>
      </c>
      <c r="B279" s="2">
        <v>2017</v>
      </c>
      <c r="C279" s="2">
        <f>COUNTIFS(Games[Team],Games[[#This Row],[Team]],Games[Season],Games[[#This Row],[Season]],Games[Date],"&lt;=" &amp; Games[[#This Row],[Date]])</f>
        <v>23</v>
      </c>
      <c r="D279" s="2" t="s">
        <v>81</v>
      </c>
      <c r="E279" s="2" t="s">
        <v>82</v>
      </c>
      <c r="F279" s="1" t="s">
        <v>40</v>
      </c>
      <c r="G279" s="1" t="s">
        <v>74</v>
      </c>
      <c r="H279" s="1" t="s">
        <v>84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1520.9240435102224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1299.4607723215267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0.85300764568052689</v>
      </c>
      <c r="R279" s="1">
        <v>81</v>
      </c>
      <c r="S279" s="1">
        <v>64</v>
      </c>
      <c r="T279" s="1">
        <v>0</v>
      </c>
      <c r="U279" s="1">
        <f>Games[[#This Row],[PointsFor]]-Games[[#This Row],[PointsAgainst]]</f>
        <v>17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0.44948785934095398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4.7934712684187843</v>
      </c>
      <c r="AB279" s="4">
        <f>Games[[#This Row],[PreGmRate]]+Games[[#This Row],[RatingChange]]</f>
        <v>1525.7175147786411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42948</v>
      </c>
      <c r="B280" s="2">
        <v>2017</v>
      </c>
      <c r="C280" s="2">
        <f>COUNTIFS(Games[Team],Games[[#This Row],[Team]],Games[Season],Games[[#This Row],[Season]],Games[Date],"&lt;=" &amp; Games[[#This Row],[Date]])</f>
        <v>23</v>
      </c>
      <c r="D280" s="2" t="s">
        <v>81</v>
      </c>
      <c r="E280" s="2" t="s">
        <v>82</v>
      </c>
      <c r="F280" s="1" t="s">
        <v>60</v>
      </c>
      <c r="G280" s="1" t="s">
        <v>74</v>
      </c>
      <c r="H280" s="1" t="s">
        <v>83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1524.9400564729162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1294.6772117449104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0.69887714160874392</v>
      </c>
      <c r="R280" s="1">
        <v>81</v>
      </c>
      <c r="S280" s="1">
        <v>93</v>
      </c>
      <c r="T280" s="1">
        <v>0</v>
      </c>
      <c r="U280" s="1">
        <f>Games[[#This Row],[PointsFor]]-Games[[#This Row],[PointsAgainst]]</f>
        <v>-12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0.38269562389138329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72.55</v>
      </c>
      <c r="Z280" s="4">
        <f>Games[[#This Row],[K]]*Games[[#This Row],[POMult]]</f>
        <v>72.55</v>
      </c>
      <c r="AA280" s="4">
        <f>(Games[[#This Row],[Keff]]*Games[[#This Row],[MOVMult]])*(Games[[#This Row],[Result]]-Games[[#This Row],[ExpectedWin%]])</f>
        <v>-19.404021581711973</v>
      </c>
      <c r="AB280" s="4">
        <f>Games[[#This Row],[PreGmRate]]+Games[[#This Row],[RatingChange]]</f>
        <v>1505.5360348912043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42948</v>
      </c>
      <c r="B281" s="2">
        <v>2017</v>
      </c>
      <c r="C281" s="2">
        <f>COUNTIFS(Games[Team],Games[[#This Row],[Team]],Games[Season],Games[[#This Row],[Season]],Games[Date],"&lt;=" &amp; Games[[#This Row],[Date]])</f>
        <v>25</v>
      </c>
      <c r="D281" s="2" t="s">
        <v>81</v>
      </c>
      <c r="E281" s="2" t="s">
        <v>82</v>
      </c>
      <c r="F281" s="1" t="s">
        <v>74</v>
      </c>
      <c r="G281" s="1" t="s">
        <v>60</v>
      </c>
      <c r="H281" s="1" t="s">
        <v>84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1294.6772117449104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1524.9400564729162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0.30112285839125613</v>
      </c>
      <c r="R281" s="1">
        <v>93</v>
      </c>
      <c r="S281" s="1">
        <v>81</v>
      </c>
      <c r="T281" s="1">
        <v>0</v>
      </c>
      <c r="U281" s="1">
        <f>Games[[#This Row],[PointsFor]]-Games[[#This Row],[PointsAgainst]]</f>
        <v>12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0.38269562389138329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72.25</v>
      </c>
      <c r="Z281" s="4">
        <f>Games[[#This Row],[K]]*Games[[#This Row],[POMult]]</f>
        <v>72.25</v>
      </c>
      <c r="AA281" s="4">
        <f>(Games[[#This Row],[Keff]]*Games[[#This Row],[MOVMult]])*(Games[[#This Row],[Result]]-Games[[#This Row],[ExpectedWin%]])</f>
        <v>19.323784414592556</v>
      </c>
      <c r="AB281" s="4">
        <f>Games[[#This Row],[PreGmRate]]+Games[[#This Row],[RatingChange]]</f>
        <v>1314.0009961595031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42950</v>
      </c>
      <c r="B282" s="2">
        <v>2017</v>
      </c>
      <c r="C282" s="2">
        <f>COUNTIFS(Games[Team],Games[[#This Row],[Team]],Games[Season],Games[[#This Row],[Season]],Games[Date],"&lt;=" &amp; Games[[#This Row],[Date]])</f>
        <v>24</v>
      </c>
      <c r="D282" s="2" t="s">
        <v>81</v>
      </c>
      <c r="E282" s="2" t="s">
        <v>82</v>
      </c>
      <c r="F282" s="1" t="s">
        <v>79</v>
      </c>
      <c r="G282" s="1" t="s">
        <v>67</v>
      </c>
      <c r="H282" s="1" t="s">
        <v>83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1461.9115807644685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1720.9032860123723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0.12191503751879068</v>
      </c>
      <c r="R282" s="1">
        <v>54</v>
      </c>
      <c r="S282" s="1">
        <v>69</v>
      </c>
      <c r="T282" s="1">
        <v>0</v>
      </c>
      <c r="U282" s="1">
        <f>Games[[#This Row],[PointsFor]]-Games[[#This Row],[PointsAgainst]]</f>
        <v>-15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0.41358537645146298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-3.6505728321607576</v>
      </c>
      <c r="AB282" s="4">
        <f>Games[[#This Row],[PreGmRate]]+Games[[#This Row],[RatingChange]]</f>
        <v>1458.2610079323076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42950</v>
      </c>
      <c r="B283" s="2">
        <v>2017</v>
      </c>
      <c r="C283" s="2">
        <f>COUNTIFS(Games[Team],Games[[#This Row],[Team]],Games[Season],Games[[#This Row],[Season]],Games[Date],"&lt;=" &amp; Games[[#This Row],[Date]])</f>
        <v>22</v>
      </c>
      <c r="D283" s="2" t="s">
        <v>81</v>
      </c>
      <c r="E283" s="2" t="s">
        <v>82</v>
      </c>
      <c r="F283" s="1" t="s">
        <v>67</v>
      </c>
      <c r="G283" s="1" t="s">
        <v>79</v>
      </c>
      <c r="H283" s="1" t="s">
        <v>84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1720.9032860123723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1461.9115807644685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0.87808496248120926</v>
      </c>
      <c r="R283" s="1">
        <v>69</v>
      </c>
      <c r="S283" s="1">
        <v>54</v>
      </c>
      <c r="T283" s="1">
        <v>0</v>
      </c>
      <c r="U283" s="1">
        <f>Games[[#This Row],[PointsFor]]-Games[[#This Row],[PointsAgainst]]</f>
        <v>15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0.41358537645146298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3.66569951516695</v>
      </c>
      <c r="AB283" s="4">
        <f>Games[[#This Row],[PreGmRate]]+Games[[#This Row],[RatingChange]]</f>
        <v>1724.5689855275393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42951</v>
      </c>
      <c r="B284" s="2">
        <v>2017</v>
      </c>
      <c r="C284" s="2">
        <f>COUNTIFS(Games[Team],Games[[#This Row],[Team]],Games[Season],Games[[#This Row],[Season]],Games[Date],"&lt;=" &amp; Games[[#This Row],[Date]])</f>
        <v>24</v>
      </c>
      <c r="D284" s="2" t="s">
        <v>81</v>
      </c>
      <c r="E284" s="2" t="s">
        <v>82</v>
      </c>
      <c r="F284" s="1" t="s">
        <v>40</v>
      </c>
      <c r="G284" s="1" t="s">
        <v>76</v>
      </c>
      <c r="H284" s="1" t="s">
        <v>83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1525.7175147786411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1569.9183614588017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0.3234452767962373</v>
      </c>
      <c r="R284" s="1">
        <v>92</v>
      </c>
      <c r="S284" s="1">
        <v>93</v>
      </c>
      <c r="T284" s="1">
        <v>0</v>
      </c>
      <c r="U284" s="1">
        <f>Games[[#This Row],[PointsFor]]-Games[[#This Row],[PointsAgainst]]</f>
        <v>-1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0.23550506812480571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-5.5149253409298229</v>
      </c>
      <c r="AB284" s="4">
        <f>Games[[#This Row],[PreGmRate]]+Games[[#This Row],[RatingChange]]</f>
        <v>1520.2025894377114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42951</v>
      </c>
      <c r="B285" s="2">
        <v>2017</v>
      </c>
      <c r="C285" s="2">
        <f>COUNTIFS(Games[Team],Games[[#This Row],[Team]],Games[Season],Games[[#This Row],[Season]],Games[Date],"&lt;=" &amp; Games[[#This Row],[Date]])</f>
        <v>24</v>
      </c>
      <c r="D285" s="2" t="s">
        <v>81</v>
      </c>
      <c r="E285" s="2" t="s">
        <v>82</v>
      </c>
      <c r="F285" s="1" t="s">
        <v>76</v>
      </c>
      <c r="G285" s="1" t="s">
        <v>40</v>
      </c>
      <c r="H285" s="1" t="s">
        <v>84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1569.9183614588017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1525.7175147786411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0.67655472320376275</v>
      </c>
      <c r="R285" s="1">
        <v>93</v>
      </c>
      <c r="S285" s="1">
        <v>92</v>
      </c>
      <c r="T285" s="1">
        <v>0</v>
      </c>
      <c r="U285" s="1">
        <f>Games[[#This Row],[PointsFor]]-Games[[#This Row],[PointsAgainst]]</f>
        <v>1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0.23550506812480571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5.514925340929822</v>
      </c>
      <c r="AB285" s="4">
        <f>Games[[#This Row],[PreGmRate]]+Games[[#This Row],[RatingChange]]</f>
        <v>1575.4332867997314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42951</v>
      </c>
      <c r="B286" s="2">
        <v>2017</v>
      </c>
      <c r="C286" s="2">
        <f>COUNTIFS(Games[Team],Games[[#This Row],[Team]],Games[Season],Games[[#This Row],[Season]],Games[Date],"&lt;=" &amp; Games[[#This Row],[Date]])</f>
        <v>24</v>
      </c>
      <c r="D286" s="2" t="s">
        <v>81</v>
      </c>
      <c r="E286" s="2" t="s">
        <v>82</v>
      </c>
      <c r="F286" s="1" t="s">
        <v>71</v>
      </c>
      <c r="G286" s="1" t="s">
        <v>87</v>
      </c>
      <c r="H286" s="1" t="s">
        <v>83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1470.8436965968481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1417.0927241506597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0.45657780931821712</v>
      </c>
      <c r="R286" s="1">
        <v>80</v>
      </c>
      <c r="S286" s="1">
        <v>93</v>
      </c>
      <c r="T286" s="1">
        <v>0</v>
      </c>
      <c r="U286" s="1">
        <f>Games[[#This Row],[PointsFor]]-Games[[#This Row],[PointsAgainst]]</f>
        <v>-13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0.45180623523006158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-14.935012360918051</v>
      </c>
      <c r="AB286" s="4">
        <f>Games[[#This Row],[PreGmRate]]+Games[[#This Row],[RatingChange]]</f>
        <v>1455.90868423593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42951</v>
      </c>
      <c r="B287" s="2">
        <v>2017</v>
      </c>
      <c r="C287" s="2">
        <f>COUNTIFS(Games[Team],Games[[#This Row],[Team]],Games[Season],Games[[#This Row],[Season]],Games[Date],"&lt;=" &amp; Games[[#This Row],[Date]])</f>
        <v>26</v>
      </c>
      <c r="D287" s="2" t="s">
        <v>81</v>
      </c>
      <c r="E287" s="2" t="s">
        <v>82</v>
      </c>
      <c r="F287" s="1" t="s">
        <v>87</v>
      </c>
      <c r="G287" s="1" t="s">
        <v>71</v>
      </c>
      <c r="H287" s="1" t="s">
        <v>84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1417.0927241506597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1470.8436965968481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0.54342219068178277</v>
      </c>
      <c r="R287" s="1">
        <v>93</v>
      </c>
      <c r="S287" s="1">
        <v>80</v>
      </c>
      <c r="T287" s="1">
        <v>0</v>
      </c>
      <c r="U287" s="1">
        <f>Games[[#This Row],[PointsFor]]-Games[[#This Row],[PointsAgainst]]</f>
        <v>13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0.45180623523006158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72.099999999999994</v>
      </c>
      <c r="Z287" s="4">
        <f>Games[[#This Row],[K]]*Games[[#This Row],[POMult]]</f>
        <v>72.099999999999994</v>
      </c>
      <c r="AA287" s="4">
        <f>(Games[[#This Row],[Keff]]*Games[[#This Row],[MOVMult]])*(Games[[#This Row],[Result]]-Games[[#This Row],[ExpectedWin%]])</f>
        <v>14.873126950582755</v>
      </c>
      <c r="AB287" s="4">
        <f>Games[[#This Row],[PreGmRate]]+Games[[#This Row],[RatingChange]]</f>
        <v>1431.9658511012424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42951</v>
      </c>
      <c r="B288" s="2">
        <v>2017</v>
      </c>
      <c r="C288" s="2">
        <f>COUNTIFS(Games[Team],Games[[#This Row],[Team]],Games[Season],Games[[#This Row],[Season]],Games[Date],"&lt;=" &amp; Games[[#This Row],[Date]])</f>
        <v>25</v>
      </c>
      <c r="D288" s="2" t="s">
        <v>81</v>
      </c>
      <c r="E288" s="2" t="s">
        <v>82</v>
      </c>
      <c r="F288" s="1" t="s">
        <v>77</v>
      </c>
      <c r="G288" s="1" t="s">
        <v>69</v>
      </c>
      <c r="H288" s="1" t="s">
        <v>83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1424.6830005797965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1388.4821987845326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0.43164216137213329</v>
      </c>
      <c r="R288" s="1">
        <v>81</v>
      </c>
      <c r="S288" s="1">
        <v>70</v>
      </c>
      <c r="T288" s="1">
        <v>0</v>
      </c>
      <c r="U288" s="1">
        <f>Games[[#This Row],[PointsFor]]-Games[[#This Row],[PointsAgainst]]</f>
        <v>11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0.42695585016824067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72.25</v>
      </c>
      <c r="Z288" s="4">
        <f>Games[[#This Row],[K]]*Games[[#This Row],[POMult]]</f>
        <v>72.25</v>
      </c>
      <c r="AA288" s="4">
        <f>(Games[[#This Row],[Keff]]*Games[[#This Row],[MOVMult]])*(Games[[#This Row],[Result]]-Games[[#This Row],[ExpectedWin%]])</f>
        <v>17.532452627810194</v>
      </c>
      <c r="AB288" s="4">
        <f>Games[[#This Row],[PreGmRate]]+Games[[#This Row],[RatingChange]]</f>
        <v>1442.2154532076067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42951</v>
      </c>
      <c r="B289" s="2">
        <v>2017</v>
      </c>
      <c r="C289" s="2">
        <f>COUNTIFS(Games[Team],Games[[#This Row],[Team]],Games[Season],Games[[#This Row],[Season]],Games[Date],"&lt;=" &amp; Games[[#This Row],[Date]])</f>
        <v>25</v>
      </c>
      <c r="D289" s="2" t="s">
        <v>81</v>
      </c>
      <c r="E289" s="2" t="s">
        <v>82</v>
      </c>
      <c r="F289" s="1" t="s">
        <v>69</v>
      </c>
      <c r="G289" s="1" t="s">
        <v>77</v>
      </c>
      <c r="H289" s="1" t="s">
        <v>84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1388.4821987845326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1424.6830005797965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0.5683578386278666</v>
      </c>
      <c r="R289" s="1">
        <v>70</v>
      </c>
      <c r="S289" s="1">
        <v>81</v>
      </c>
      <c r="T289" s="1">
        <v>0</v>
      </c>
      <c r="U289" s="1">
        <f>Games[[#This Row],[PointsFor]]-Games[[#This Row],[PointsAgainst]]</f>
        <v>-11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0.42695585016824067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72.25</v>
      </c>
      <c r="Z289" s="4">
        <f>Games[[#This Row],[K]]*Games[[#This Row],[POMult]]</f>
        <v>72.25</v>
      </c>
      <c r="AA289" s="4">
        <f>(Games[[#This Row],[Keff]]*Games[[#This Row],[MOVMult]])*(Games[[#This Row],[Result]]-Games[[#This Row],[ExpectedWin%]])</f>
        <v>-17.532452627810191</v>
      </c>
      <c r="AB289" s="4">
        <f>Games[[#This Row],[PreGmRate]]+Games[[#This Row],[RatingChange]]</f>
        <v>1370.9497461567223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42951</v>
      </c>
      <c r="B290" s="2">
        <v>2017</v>
      </c>
      <c r="C290" s="2">
        <f>COUNTIFS(Games[Team],Games[[#This Row],[Team]],Games[Season],Games[[#This Row],[Season]],Games[Date],"&lt;=" &amp; Games[[#This Row],[Date]])</f>
        <v>24</v>
      </c>
      <c r="D290" s="2" t="s">
        <v>81</v>
      </c>
      <c r="E290" s="2" t="s">
        <v>82</v>
      </c>
      <c r="F290" s="1" t="s">
        <v>60</v>
      </c>
      <c r="G290" s="1" t="s">
        <v>63</v>
      </c>
      <c r="H290" s="1" t="s">
        <v>83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1505.5360348912043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1648.619063897527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0.18371141796738574</v>
      </c>
      <c r="R290" s="1">
        <v>74</v>
      </c>
      <c r="S290" s="1">
        <v>87</v>
      </c>
      <c r="T290" s="1">
        <v>0</v>
      </c>
      <c r="U290" s="1">
        <f>Games[[#This Row],[PointsFor]]-Games[[#This Row],[PointsAgainst]]</f>
        <v>-13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0.42175539005658486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-5.6096447257702549</v>
      </c>
      <c r="AB290" s="4">
        <f>Games[[#This Row],[PreGmRate]]+Games[[#This Row],[RatingChange]]</f>
        <v>1499.926390165434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42951</v>
      </c>
      <c r="B291" s="2">
        <v>2017</v>
      </c>
      <c r="C291" s="2">
        <f>COUNTIFS(Games[Team],Games[[#This Row],[Team]],Games[Season],Games[[#This Row],[Season]],Games[Date],"&lt;=" &amp; Games[[#This Row],[Date]])</f>
        <v>24</v>
      </c>
      <c r="D291" s="2" t="s">
        <v>81</v>
      </c>
      <c r="E291" s="2" t="s">
        <v>82</v>
      </c>
      <c r="F291" s="1" t="s">
        <v>63</v>
      </c>
      <c r="G291" s="1" t="s">
        <v>60</v>
      </c>
      <c r="H291" s="1" t="s">
        <v>84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1648.619063897527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1505.5360348912043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0.81628858203261423</v>
      </c>
      <c r="R291" s="1">
        <v>87</v>
      </c>
      <c r="S291" s="1">
        <v>74</v>
      </c>
      <c r="T291" s="1">
        <v>0</v>
      </c>
      <c r="U291" s="1">
        <f>Games[[#This Row],[PointsFor]]-Games[[#This Row],[PointsAgainst]]</f>
        <v>13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0.42175539005658486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5.6096447257702549</v>
      </c>
      <c r="AB291" s="4">
        <f>Games[[#This Row],[PreGmRate]]+Games[[#This Row],[RatingChange]]</f>
        <v>1654.2287086232973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42951</v>
      </c>
      <c r="B292" s="2">
        <v>2017</v>
      </c>
      <c r="C292" s="2">
        <f>COUNTIFS(Games[Team],Games[[#This Row],[Team]],Games[Season],Games[[#This Row],[Season]],Games[Date],"&lt;=" &amp; Games[[#This Row],[Date]])</f>
        <v>24</v>
      </c>
      <c r="D292" s="2" t="s">
        <v>81</v>
      </c>
      <c r="E292" s="2" t="s">
        <v>82</v>
      </c>
      <c r="F292" s="1" t="s">
        <v>65</v>
      </c>
      <c r="G292" s="1" t="s">
        <v>74</v>
      </c>
      <c r="H292" s="1" t="s">
        <v>83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2</v>
      </c>
      <c r="L292" s="2">
        <f>Games[[#This Row],[OppDaysOff]]-Games[[#This Row],[DaysOff]]</f>
        <v>-2</v>
      </c>
      <c r="M292" s="1">
        <f>MAX(-16, MIN(16, Games[[#This Row],[RestDiff]]*8))</f>
        <v>16</v>
      </c>
      <c r="N292" s="1">
        <f>MAX(-16, MIN(16, Games[[#This Row],[OppRestDiff]]*8))</f>
        <v>-16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1553.1855204102878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1314.0009961595031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0.746024519351421</v>
      </c>
      <c r="R292" s="1">
        <v>74</v>
      </c>
      <c r="S292" s="1">
        <v>76</v>
      </c>
      <c r="T292" s="1">
        <v>0</v>
      </c>
      <c r="U292" s="1">
        <f>Games[[#This Row],[PointsFor]]-Games[[#This Row],[PointsAgainst]]</f>
        <v>-2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0.22332757166001646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-12.062407927724269</v>
      </c>
      <c r="AB292" s="4">
        <f>Games[[#This Row],[PreGmRate]]+Games[[#This Row],[RatingChange]]</f>
        <v>1541.1231124825636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42951</v>
      </c>
      <c r="B293" s="2">
        <v>2017</v>
      </c>
      <c r="C293" s="2">
        <f>COUNTIFS(Games[Team],Games[[#This Row],[Team]],Games[Season],Games[[#This Row],[Season]],Games[Date],"&lt;=" &amp; Games[[#This Row],[Date]])</f>
        <v>26</v>
      </c>
      <c r="D293" s="2" t="s">
        <v>81</v>
      </c>
      <c r="E293" s="2" t="s">
        <v>82</v>
      </c>
      <c r="F293" s="1" t="s">
        <v>74</v>
      </c>
      <c r="G293" s="1" t="s">
        <v>65</v>
      </c>
      <c r="H293" s="1" t="s">
        <v>84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3" s="2">
        <f>Games[[#This Row],[DaysOff]]-Games[[#This Row],[OppDaysOff]]</f>
        <v>-2</v>
      </c>
      <c r="L293" s="2">
        <f>Games[[#This Row],[OppDaysOff]]-Games[[#This Row],[DaysOff]]</f>
        <v>2</v>
      </c>
      <c r="M293" s="1">
        <f>MAX(-16, MIN(16, Games[[#This Row],[RestDiff]]*8))</f>
        <v>-16</v>
      </c>
      <c r="N293" s="1">
        <f>MAX(-16, MIN(16, Games[[#This Row],[OppRestDiff]]*8))</f>
        <v>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1314.0009961595031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1553.1855204102878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0.253975480648579</v>
      </c>
      <c r="R293" s="1">
        <v>76</v>
      </c>
      <c r="S293" s="1">
        <v>74</v>
      </c>
      <c r="T293" s="1">
        <v>0</v>
      </c>
      <c r="U293" s="1">
        <f>Games[[#This Row],[PointsFor]]-Games[[#This Row],[PointsAgainst]]</f>
        <v>2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0.22332757166001646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72.099999999999994</v>
      </c>
      <c r="Z293" s="4">
        <f>Games[[#This Row],[K]]*Games[[#This Row],[POMult]]</f>
        <v>72.099999999999994</v>
      </c>
      <c r="AA293" s="4">
        <f>(Games[[#This Row],[Keff]]*Games[[#This Row],[MOVMult]])*(Games[[#This Row],[Result]]-Games[[#This Row],[ExpectedWin%]])</f>
        <v>12.012425574432591</v>
      </c>
      <c r="AB293" s="4">
        <f>Games[[#This Row],[PreGmRate]]+Games[[#This Row],[RatingChange]]</f>
        <v>1326.0134217339357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42952</v>
      </c>
      <c r="B294" s="2">
        <v>2017</v>
      </c>
      <c r="C294" s="2">
        <f>COUNTIFS(Games[Team],Games[[#This Row],[Team]],Games[Season],Games[[#This Row],[Season]],Games[Date],"&lt;=" &amp; Games[[#This Row],[Date]])</f>
        <v>25</v>
      </c>
      <c r="D294" s="2" t="s">
        <v>81</v>
      </c>
      <c r="E294" s="2" t="s">
        <v>82</v>
      </c>
      <c r="F294" s="1" t="s">
        <v>79</v>
      </c>
      <c r="G294" s="1" t="s">
        <v>77</v>
      </c>
      <c r="H294" s="1" t="s">
        <v>83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4" s="2">
        <f>Games[[#This Row],[DaysOff]]-Games[[#This Row],[OppDaysOff]]</f>
        <v>1</v>
      </c>
      <c r="L294" s="2">
        <f>Games[[#This Row],[OppDaysOff]]-Games[[#This Row],[DaysOff]]</f>
        <v>-1</v>
      </c>
      <c r="M294" s="1">
        <f>MAX(-16, MIN(16, Games[[#This Row],[RestDiff]]*8))</f>
        <v>8</v>
      </c>
      <c r="N294" s="1">
        <f>MAX(-16, MIN(16, Games[[#This Row],[OppRestDiff]]*8))</f>
        <v>-8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1458.2610079323076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1442.2154532076067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0.42578390922343945</v>
      </c>
      <c r="R294" s="1">
        <v>86</v>
      </c>
      <c r="S294" s="1">
        <v>91</v>
      </c>
      <c r="T294" s="1">
        <v>0</v>
      </c>
      <c r="U294" s="1">
        <f>Games[[#This Row],[PointsFor]]-Games[[#This Row],[PointsAgainst]]</f>
        <v>-5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0.32737850075330793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-10.071107969406169</v>
      </c>
      <c r="AB294" s="4">
        <f>Games[[#This Row],[PreGmRate]]+Games[[#This Row],[RatingChange]]</f>
        <v>1448.1898999629016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42952</v>
      </c>
      <c r="B295" s="2">
        <v>2017</v>
      </c>
      <c r="C295" s="2">
        <f>COUNTIFS(Games[Team],Games[[#This Row],[Team]],Games[Season],Games[[#This Row],[Season]],Games[Date],"&lt;=" &amp; Games[[#This Row],[Date]])</f>
        <v>26</v>
      </c>
      <c r="D295" s="2" t="s">
        <v>81</v>
      </c>
      <c r="E295" s="2" t="s">
        <v>82</v>
      </c>
      <c r="F295" s="1" t="s">
        <v>77</v>
      </c>
      <c r="G295" s="1" t="s">
        <v>79</v>
      </c>
      <c r="H295" s="1" t="s">
        <v>84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-1</v>
      </c>
      <c r="L295" s="2">
        <f>Games[[#This Row],[OppDaysOff]]-Games[[#This Row],[DaysOff]]</f>
        <v>1</v>
      </c>
      <c r="M295" s="1">
        <f>MAX(-16, MIN(16, Games[[#This Row],[RestDiff]]*8))</f>
        <v>-8</v>
      </c>
      <c r="N295" s="1">
        <f>MAX(-16, MIN(16, Games[[#This Row],[OppRestDiff]]*8))</f>
        <v>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1442.2154532076067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1458.2610079323076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0.57421609077656055</v>
      </c>
      <c r="R295" s="1">
        <v>91</v>
      </c>
      <c r="S295" s="1">
        <v>86</v>
      </c>
      <c r="T295" s="1">
        <v>0</v>
      </c>
      <c r="U295" s="1">
        <f>Games[[#This Row],[PointsFor]]-Games[[#This Row],[PointsAgainst]]</f>
        <v>5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0.32737850075330793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72.099999999999994</v>
      </c>
      <c r="Z295" s="4">
        <f>Games[[#This Row],[K]]*Games[[#This Row],[POMult]]</f>
        <v>72.099999999999994</v>
      </c>
      <c r="AA295" s="4">
        <f>(Games[[#This Row],[Keff]]*Games[[#This Row],[MOVMult]])*(Games[[#This Row],[Result]]-Games[[#This Row],[ExpectedWin%]])</f>
        <v>10.050199094729201</v>
      </c>
      <c r="AB295" s="4">
        <f>Games[[#This Row],[PreGmRate]]+Games[[#This Row],[RatingChange]]</f>
        <v>1452.2656523023359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42952</v>
      </c>
      <c r="B296" s="2">
        <v>2017</v>
      </c>
      <c r="C296" s="2">
        <f>COUNTIFS(Games[Team],Games[[#This Row],[Team]],Games[Season],Games[[#This Row],[Season]],Games[Date],"&lt;=" &amp; Games[[#This Row],[Date]])</f>
        <v>25</v>
      </c>
      <c r="D296" s="2" t="s">
        <v>81</v>
      </c>
      <c r="E296" s="2" t="s">
        <v>82</v>
      </c>
      <c r="F296" s="1" t="s">
        <v>71</v>
      </c>
      <c r="G296" s="1" t="s">
        <v>74</v>
      </c>
      <c r="H296" s="1" t="s">
        <v>83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1455.90868423593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1326.0134217339357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0.56566707944216787</v>
      </c>
      <c r="R296" s="1">
        <v>80</v>
      </c>
      <c r="S296" s="1">
        <v>87</v>
      </c>
      <c r="T296" s="1">
        <v>1</v>
      </c>
      <c r="U296" s="1">
        <f>Games[[#This Row],[PointsFor]]-Games[[#This Row],[PointsAgainst]]</f>
        <v>-7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0.30056182434556661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-12.283795396936732</v>
      </c>
      <c r="AB296" s="4">
        <f>Games[[#This Row],[PreGmRate]]+Games[[#This Row],[RatingChange]]</f>
        <v>1443.6248888389932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42952</v>
      </c>
      <c r="B297" s="2">
        <v>2017</v>
      </c>
      <c r="C297" s="2">
        <f>COUNTIFS(Games[Team],Games[[#This Row],[Team]],Games[Season],Games[[#This Row],[Season]],Games[Date],"&lt;=" &amp; Games[[#This Row],[Date]])</f>
        <v>27</v>
      </c>
      <c r="D297" s="2" t="s">
        <v>81</v>
      </c>
      <c r="E297" s="2" t="s">
        <v>82</v>
      </c>
      <c r="F297" s="1" t="s">
        <v>74</v>
      </c>
      <c r="G297" s="1" t="s">
        <v>71</v>
      </c>
      <c r="H297" s="1" t="s">
        <v>84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1326.0134217339357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1455.90868423593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0.43433292055783224</v>
      </c>
      <c r="R297" s="1">
        <v>87</v>
      </c>
      <c r="S297" s="1">
        <v>80</v>
      </c>
      <c r="T297" s="1">
        <v>1</v>
      </c>
      <c r="U297" s="1">
        <f>Games[[#This Row],[PointsFor]]-Games[[#This Row],[PointsAgainst]]</f>
        <v>7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0.30056182434556661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71.95</v>
      </c>
      <c r="Z297" s="4">
        <f>Games[[#This Row],[K]]*Games[[#This Row],[POMult]]</f>
        <v>71.95</v>
      </c>
      <c r="AA297" s="4">
        <f>(Games[[#This Row],[Keff]]*Games[[#This Row],[MOVMult]])*(Games[[#This Row],[Result]]-Games[[#This Row],[ExpectedWin%]])</f>
        <v>12.23279001812592</v>
      </c>
      <c r="AB297" s="4">
        <f>Games[[#This Row],[PreGmRate]]+Games[[#This Row],[RatingChange]]</f>
        <v>1338.2462117520618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42953</v>
      </c>
      <c r="B298" s="2">
        <v>2017</v>
      </c>
      <c r="C298" s="2">
        <f>COUNTIFS(Games[Team],Games[[#This Row],[Team]],Games[Season],Games[[#This Row],[Season]],Games[Date],"&lt;=" &amp; Games[[#This Row],[Date]])</f>
        <v>25</v>
      </c>
      <c r="D298" s="2" t="s">
        <v>81</v>
      </c>
      <c r="E298" s="2" t="s">
        <v>82</v>
      </c>
      <c r="F298" s="1" t="s">
        <v>63</v>
      </c>
      <c r="G298" s="1" t="s">
        <v>87</v>
      </c>
      <c r="H298" s="1" t="s">
        <v>83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1654.2287086232973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1431.9658511012424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0.68909783729836338</v>
      </c>
      <c r="R298" s="1">
        <v>79</v>
      </c>
      <c r="S298" s="1">
        <v>85</v>
      </c>
      <c r="T298" s="1">
        <v>0</v>
      </c>
      <c r="U298" s="1">
        <f>Games[[#This Row],[PointsFor]]-Games[[#This Row],[PointsAgainst]]</f>
        <v>-6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0.29638467395795948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-14.756198233420553</v>
      </c>
      <c r="AB298" s="4">
        <f>Games[[#This Row],[PreGmRate]]+Games[[#This Row],[RatingChange]]</f>
        <v>1639.4725103898768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42953</v>
      </c>
      <c r="B299" s="2">
        <v>2017</v>
      </c>
      <c r="C299" s="2">
        <f>COUNTIFS(Games[Team],Games[[#This Row],[Team]],Games[Season],Games[[#This Row],[Season]],Games[Date],"&lt;=" &amp; Games[[#This Row],[Date]])</f>
        <v>27</v>
      </c>
      <c r="D299" s="2" t="s">
        <v>81</v>
      </c>
      <c r="E299" s="2" t="s">
        <v>82</v>
      </c>
      <c r="F299" s="1" t="s">
        <v>87</v>
      </c>
      <c r="G299" s="1" t="s">
        <v>63</v>
      </c>
      <c r="H299" s="1" t="s">
        <v>84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1431.9658511012424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1654.2287086232973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0.31090216270163668</v>
      </c>
      <c r="R299" s="1">
        <v>85</v>
      </c>
      <c r="S299" s="1">
        <v>79</v>
      </c>
      <c r="T299" s="1">
        <v>0</v>
      </c>
      <c r="U299" s="1">
        <f>Games[[#This Row],[PointsFor]]-Games[[#This Row],[PointsAgainst]]</f>
        <v>6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0.29638467395795948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71.95</v>
      </c>
      <c r="Z299" s="4">
        <f>Games[[#This Row],[K]]*Games[[#This Row],[POMult]]</f>
        <v>71.95</v>
      </c>
      <c r="AA299" s="4">
        <f>(Games[[#This Row],[Keff]]*Games[[#This Row],[MOVMult]])*(Games[[#This Row],[Result]]-Games[[#This Row],[ExpectedWin%]])</f>
        <v>14.694926822070713</v>
      </c>
      <c r="AB299" s="4">
        <f>Games[[#This Row],[PreGmRate]]+Games[[#This Row],[RatingChange]]</f>
        <v>1446.6607779233132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42953</v>
      </c>
      <c r="B300" s="2">
        <v>2017</v>
      </c>
      <c r="C300" s="2">
        <f>COUNTIFS(Games[Team],Games[[#This Row],[Team]],Games[Season],Games[[#This Row],[Season]],Games[Date],"&lt;=" &amp; Games[[#This Row],[Date]])</f>
        <v>23</v>
      </c>
      <c r="D300" s="2" t="s">
        <v>81</v>
      </c>
      <c r="E300" s="2" t="s">
        <v>82</v>
      </c>
      <c r="F300" s="1" t="s">
        <v>67</v>
      </c>
      <c r="G300" s="1" t="s">
        <v>69</v>
      </c>
      <c r="H300" s="1" t="s">
        <v>83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">
        <f>MAX(-16, MIN(16, Games[[#This Row],[RestDiff]]*8))</f>
        <v>8</v>
      </c>
      <c r="N300" s="1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1724.5689855275393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1370.9497461567223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0.83809972084775297</v>
      </c>
      <c r="R300" s="1">
        <v>82</v>
      </c>
      <c r="S300" s="1">
        <v>84</v>
      </c>
      <c r="T300" s="1">
        <v>0</v>
      </c>
      <c r="U300" s="1">
        <f>Games[[#This Row],[PointsFor]]-Games[[#This Row],[PointsAgainst]]</f>
        <v>-2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0.20687796393520971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72.55</v>
      </c>
      <c r="Z300" s="4">
        <f>Games[[#This Row],[K]]*Games[[#This Row],[POMult]]</f>
        <v>72.55</v>
      </c>
      <c r="AA300" s="4">
        <f>(Games[[#This Row],[Keff]]*Games[[#This Row],[MOVMult]])*(Games[[#This Row],[Result]]-Games[[#This Row],[ExpectedWin%]])</f>
        <v>-12.579035595405863</v>
      </c>
      <c r="AB300" s="4">
        <f>Games[[#This Row],[PreGmRate]]+Games[[#This Row],[RatingChange]]</f>
        <v>1711.9899499321334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42953</v>
      </c>
      <c r="B301" s="2">
        <v>2017</v>
      </c>
      <c r="C301" s="2">
        <f>COUNTIFS(Games[Team],Games[[#This Row],[Team]],Games[Season],Games[[#This Row],[Season]],Games[Date],"&lt;=" &amp; Games[[#This Row],[Date]])</f>
        <v>26</v>
      </c>
      <c r="D301" s="2" t="s">
        <v>81</v>
      </c>
      <c r="E301" s="2" t="s">
        <v>82</v>
      </c>
      <c r="F301" s="1" t="s">
        <v>69</v>
      </c>
      <c r="G301" s="1" t="s">
        <v>67</v>
      </c>
      <c r="H301" s="1" t="s">
        <v>84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">
        <f>MAX(-16, MIN(16, Games[[#This Row],[RestDiff]]*8))</f>
        <v>-8</v>
      </c>
      <c r="N301" s="1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1370.9497461567223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1724.5689855275393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0.16190027915224697</v>
      </c>
      <c r="R301" s="1">
        <v>84</v>
      </c>
      <c r="S301" s="1">
        <v>82</v>
      </c>
      <c r="T301" s="1">
        <v>0</v>
      </c>
      <c r="U301" s="1">
        <f>Games[[#This Row],[PointsFor]]-Games[[#This Row],[PointsAgainst]]</f>
        <v>2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0.20687796393520971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12.501012631685219</v>
      </c>
      <c r="AB301" s="4">
        <f>Games[[#This Row],[PreGmRate]]+Games[[#This Row],[RatingChange]]</f>
        <v>1383.4507587884075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42953</v>
      </c>
      <c r="B302" s="2">
        <v>2017</v>
      </c>
      <c r="C302" s="2">
        <f>COUNTIFS(Games[Team],Games[[#This Row],[Team]],Games[Season],Games[[#This Row],[Season]],Games[Date],"&lt;=" &amp; Games[[#This Row],[Date]])</f>
        <v>25</v>
      </c>
      <c r="D302" s="2" t="s">
        <v>81</v>
      </c>
      <c r="E302" s="2" t="s">
        <v>82</v>
      </c>
      <c r="F302" s="1" t="s">
        <v>40</v>
      </c>
      <c r="G302" s="1" t="s">
        <v>65</v>
      </c>
      <c r="H302" s="1" t="s">
        <v>83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1520.2025894377114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1541.1231124825636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0.3534356994629293</v>
      </c>
      <c r="R302" s="1">
        <v>80</v>
      </c>
      <c r="S302" s="1">
        <v>85</v>
      </c>
      <c r="T302" s="1">
        <v>0</v>
      </c>
      <c r="U302" s="1">
        <f>Games[[#This Row],[PointsFor]]-Games[[#This Row],[PointsAgainst]]</f>
        <v>-5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0.32607132326734772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-8.3264690389469038</v>
      </c>
      <c r="AB302" s="4">
        <f>Games[[#This Row],[PreGmRate]]+Games[[#This Row],[RatingChange]]</f>
        <v>1511.8761203987644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42953</v>
      </c>
      <c r="B303" s="2">
        <v>2017</v>
      </c>
      <c r="C303" s="2">
        <f>COUNTIFS(Games[Team],Games[[#This Row],[Team]],Games[Season],Games[[#This Row],[Season]],Games[Date],"&lt;=" &amp; Games[[#This Row],[Date]])</f>
        <v>25</v>
      </c>
      <c r="D303" s="2" t="s">
        <v>81</v>
      </c>
      <c r="E303" s="2" t="s">
        <v>82</v>
      </c>
      <c r="F303" s="1" t="s">
        <v>65</v>
      </c>
      <c r="G303" s="1" t="s">
        <v>40</v>
      </c>
      <c r="H303" s="1" t="s">
        <v>84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1541.1231124825636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1520.2025894377114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0.6465643005370707</v>
      </c>
      <c r="R303" s="1">
        <v>85</v>
      </c>
      <c r="S303" s="1">
        <v>80</v>
      </c>
      <c r="T303" s="1">
        <v>0</v>
      </c>
      <c r="U303" s="1">
        <f>Games[[#This Row],[PointsFor]]-Games[[#This Row],[PointsAgainst]]</f>
        <v>5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0.32607132326734772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8.3264690389469038</v>
      </c>
      <c r="AB303" s="4">
        <f>Games[[#This Row],[PreGmRate]]+Games[[#This Row],[RatingChange]]</f>
        <v>1549.4495815215105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42955</v>
      </c>
      <c r="B304" s="2">
        <v>2017</v>
      </c>
      <c r="C304" s="2">
        <f>COUNTIFS(Games[Team],Games[[#This Row],[Team]],Games[Season],Games[[#This Row],[Season]],Games[Date],"&lt;=" &amp; Games[[#This Row],[Date]])</f>
        <v>24</v>
      </c>
      <c r="D304" s="2" t="s">
        <v>81</v>
      </c>
      <c r="E304" s="2" t="s">
        <v>82</v>
      </c>
      <c r="F304" s="1" t="s">
        <v>67</v>
      </c>
      <c r="G304" s="1" t="s">
        <v>79</v>
      </c>
      <c r="H304" s="1" t="s">
        <v>83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-1</v>
      </c>
      <c r="L304" s="2">
        <f>Games[[#This Row],[OppDaysOff]]-Games[[#This Row],[DaysOff]]</f>
        <v>1</v>
      </c>
      <c r="M304" s="1">
        <f>MAX(-16, MIN(16, Games[[#This Row],[RestDiff]]*8))</f>
        <v>-8</v>
      </c>
      <c r="N304" s="1">
        <f>MAX(-16, MIN(16, Games[[#This Row],[OppRestDiff]]*8))</f>
        <v>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1711.9899499321334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1448.1898999629016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0.71968686361190148</v>
      </c>
      <c r="R304" s="1">
        <v>81</v>
      </c>
      <c r="S304" s="1">
        <v>72</v>
      </c>
      <c r="T304" s="1">
        <v>0</v>
      </c>
      <c r="U304" s="1">
        <f>Games[[#This Row],[PointsFor]]-Games[[#This Row],[PointsAgainst]]</f>
        <v>9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0.33280900119311468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72.400000000000006</v>
      </c>
      <c r="Z304" s="4">
        <f>Games[[#This Row],[K]]*Games[[#This Row],[POMult]]</f>
        <v>72.400000000000006</v>
      </c>
      <c r="AA304" s="4">
        <f>(Games[[#This Row],[Keff]]*Games[[#This Row],[MOVMult]])*(Games[[#This Row],[Result]]-Games[[#This Row],[ExpectedWin%]])</f>
        <v>6.7542492098465861</v>
      </c>
      <c r="AB304" s="4">
        <f>Games[[#This Row],[PreGmRate]]+Games[[#This Row],[RatingChange]]</f>
        <v>1718.7441991419801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42955</v>
      </c>
      <c r="B305" s="2">
        <v>2017</v>
      </c>
      <c r="C305" s="2">
        <f>COUNTIFS(Games[Team],Games[[#This Row],[Team]],Games[Season],Games[[#This Row],[Season]],Games[Date],"&lt;=" &amp; Games[[#This Row],[Date]])</f>
        <v>26</v>
      </c>
      <c r="D305" s="2" t="s">
        <v>81</v>
      </c>
      <c r="E305" s="2" t="s">
        <v>82</v>
      </c>
      <c r="F305" s="1" t="s">
        <v>79</v>
      </c>
      <c r="G305" s="1" t="s">
        <v>67</v>
      </c>
      <c r="H305" s="1" t="s">
        <v>84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1</v>
      </c>
      <c r="L305" s="2">
        <f>Games[[#This Row],[OppDaysOff]]-Games[[#This Row],[DaysOff]]</f>
        <v>-1</v>
      </c>
      <c r="M305" s="1">
        <f>MAX(-16, MIN(16, Games[[#This Row],[RestDiff]]*8))</f>
        <v>8</v>
      </c>
      <c r="N305" s="1">
        <f>MAX(-16, MIN(16, Games[[#This Row],[OppRestDiff]]*8))</f>
        <v>-8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1448.1898999629016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1711.9899499321334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0.28031313638809846</v>
      </c>
      <c r="R305" s="1">
        <v>72</v>
      </c>
      <c r="S305" s="1">
        <v>81</v>
      </c>
      <c r="T305" s="1">
        <v>0</v>
      </c>
      <c r="U305" s="1">
        <f>Games[[#This Row],[PointsFor]]-Games[[#This Row],[PointsAgainst]]</f>
        <v>-9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0.33280900119311468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-6.7262619893637936</v>
      </c>
      <c r="AB305" s="4">
        <f>Games[[#This Row],[PreGmRate]]+Games[[#This Row],[RatingChange]]</f>
        <v>1441.4636379735377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42955</v>
      </c>
      <c r="B306" s="2">
        <v>2017</v>
      </c>
      <c r="C306" s="2">
        <f>COUNTIFS(Games[Team],Games[[#This Row],[Team]],Games[Season],Games[[#This Row],[Season]],Games[Date],"&lt;=" &amp; Games[[#This Row],[Date]])</f>
        <v>26</v>
      </c>
      <c r="D306" s="2" t="s">
        <v>81</v>
      </c>
      <c r="E306" s="2" t="s">
        <v>82</v>
      </c>
      <c r="F306" s="1" t="s">
        <v>71</v>
      </c>
      <c r="G306" s="1" t="s">
        <v>76</v>
      </c>
      <c r="H306" s="1" t="s">
        <v>83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-1</v>
      </c>
      <c r="L306" s="2">
        <f>Games[[#This Row],[OppDaysOff]]-Games[[#This Row],[DaysOff]]</f>
        <v>1</v>
      </c>
      <c r="M306" s="1">
        <f>MAX(-16, MIN(16, Games[[#This Row],[RestDiff]]*8))</f>
        <v>-8</v>
      </c>
      <c r="N306" s="1">
        <f>MAX(-16, MIN(16, Games[[#This Row],[OppRestDiff]]*8))</f>
        <v>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1443.6248888389932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1575.4332867997314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0.20843307829189647</v>
      </c>
      <c r="R306" s="1">
        <v>71</v>
      </c>
      <c r="S306" s="1">
        <v>84</v>
      </c>
      <c r="T306" s="1">
        <v>0</v>
      </c>
      <c r="U306" s="1">
        <f>Games[[#This Row],[PointsFor]]-Games[[#This Row],[PointsAgainst]]</f>
        <v>-13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0.42532582588027812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-6.3918071210159333</v>
      </c>
      <c r="AB306" s="4">
        <f>Games[[#This Row],[PreGmRate]]+Games[[#This Row],[RatingChange]]</f>
        <v>1437.2330817179773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42955</v>
      </c>
      <c r="B307" s="2">
        <v>2017</v>
      </c>
      <c r="C307" s="2">
        <f>COUNTIFS(Games[Team],Games[[#This Row],[Team]],Games[Season],Games[[#This Row],[Season]],Games[Date],"&lt;=" &amp; Games[[#This Row],[Date]])</f>
        <v>25</v>
      </c>
      <c r="D307" s="2" t="s">
        <v>81</v>
      </c>
      <c r="E307" s="2" t="s">
        <v>82</v>
      </c>
      <c r="F307" s="1" t="s">
        <v>76</v>
      </c>
      <c r="G307" s="1" t="s">
        <v>71</v>
      </c>
      <c r="H307" s="1" t="s">
        <v>84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1</v>
      </c>
      <c r="L307" s="2">
        <f>Games[[#This Row],[OppDaysOff]]-Games[[#This Row],[DaysOff]]</f>
        <v>-1</v>
      </c>
      <c r="M307" s="1">
        <f>MAX(-16, MIN(16, Games[[#This Row],[RestDiff]]*8))</f>
        <v>8</v>
      </c>
      <c r="N307" s="1">
        <f>MAX(-16, MIN(16, Games[[#This Row],[OppRestDiff]]*8))</f>
        <v>-8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1575.4332867997314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1443.6248888389932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0.79156692170810361</v>
      </c>
      <c r="R307" s="1">
        <v>84</v>
      </c>
      <c r="S307" s="1">
        <v>71</v>
      </c>
      <c r="T307" s="1">
        <v>0</v>
      </c>
      <c r="U307" s="1">
        <f>Games[[#This Row],[PointsFor]]-Games[[#This Row],[PointsAgainst]]</f>
        <v>13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0.42532582588027812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6.4051049166907212</v>
      </c>
      <c r="AB307" s="4">
        <f>Games[[#This Row],[PreGmRate]]+Games[[#This Row],[RatingChange]]</f>
        <v>1581.8383917164222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42955</v>
      </c>
      <c r="B308" s="2">
        <v>2017</v>
      </c>
      <c r="C308" s="2">
        <f>COUNTIFS(Games[Team],Games[[#This Row],[Team]],Games[Season],Games[[#This Row],[Season]],Games[Date],"&lt;=" &amp; Games[[#This Row],[Date]])</f>
        <v>27</v>
      </c>
      <c r="D308" s="2" t="s">
        <v>81</v>
      </c>
      <c r="E308" s="2" t="s">
        <v>82</v>
      </c>
      <c r="F308" s="1" t="s">
        <v>69</v>
      </c>
      <c r="G308" s="1" t="s">
        <v>60</v>
      </c>
      <c r="H308" s="1" t="s">
        <v>83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8" s="2">
        <f>Games[[#This Row],[DaysOff]]-Games[[#This Row],[OppDaysOff]]</f>
        <v>-2</v>
      </c>
      <c r="L308" s="2">
        <f>Games[[#This Row],[OppDaysOff]]-Games[[#This Row],[DaysOff]]</f>
        <v>2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1383.4507587884075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1499.926390165434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0.2078000820280749</v>
      </c>
      <c r="R308" s="1">
        <v>76</v>
      </c>
      <c r="S308" s="1">
        <v>81</v>
      </c>
      <c r="T308" s="1">
        <v>0</v>
      </c>
      <c r="U308" s="1">
        <f>Games[[#This Row],[PointsFor]]-Games[[#This Row],[PointsAgainst]]</f>
        <v>-5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0.30240375215838922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71.95</v>
      </c>
      <c r="Z308" s="4">
        <f>Games[[#This Row],[K]]*Games[[#This Row],[POMult]]</f>
        <v>71.95</v>
      </c>
      <c r="AA308" s="4">
        <f>(Games[[#This Row],[Keff]]*Games[[#This Row],[MOVMult]])*(Games[[#This Row],[Result]]-Games[[#This Row],[ExpectedWin%]])</f>
        <v>-4.5213037880707798</v>
      </c>
      <c r="AB308" s="4">
        <f>Games[[#This Row],[PreGmRate]]+Games[[#This Row],[RatingChange]]</f>
        <v>1378.9294550003367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42955</v>
      </c>
      <c r="B309" s="2">
        <v>2017</v>
      </c>
      <c r="C309" s="2">
        <f>COUNTIFS(Games[Team],Games[[#This Row],[Team]],Games[Season],Games[[#This Row],[Season]],Games[Date],"&lt;=" &amp; Games[[#This Row],[Date]])</f>
        <v>25</v>
      </c>
      <c r="D309" s="2" t="s">
        <v>81</v>
      </c>
      <c r="E309" s="2" t="s">
        <v>82</v>
      </c>
      <c r="F309" s="1" t="s">
        <v>60</v>
      </c>
      <c r="G309" s="1" t="s">
        <v>69</v>
      </c>
      <c r="H309" s="1" t="s">
        <v>84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2</v>
      </c>
      <c r="L309" s="2">
        <f>Games[[#This Row],[OppDaysOff]]-Games[[#This Row],[DaysOff]]</f>
        <v>-2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1499.926390165434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1383.4507587884075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0.79219991797192513</v>
      </c>
      <c r="R309" s="1">
        <v>81</v>
      </c>
      <c r="S309" s="1">
        <v>76</v>
      </c>
      <c r="T309" s="1">
        <v>0</v>
      </c>
      <c r="U309" s="1">
        <f>Games[[#This Row],[PointsFor]]-Games[[#This Row],[PointsAgainst]]</f>
        <v>5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0.30240375215838922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4.5401556454220122</v>
      </c>
      <c r="AB309" s="4">
        <f>Games[[#This Row],[PreGmRate]]+Games[[#This Row],[RatingChange]]</f>
        <v>1504.4665458108559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42957</v>
      </c>
      <c r="B310" s="2">
        <v>2017</v>
      </c>
      <c r="C310" s="2">
        <f>COUNTIFS(Games[Team],Games[[#This Row],[Team]],Games[Season],Games[[#This Row],[Season]],Games[Date],"&lt;=" &amp; Games[[#This Row],[Date]])</f>
        <v>28</v>
      </c>
      <c r="D310" s="2" t="s">
        <v>81</v>
      </c>
      <c r="E310" s="2" t="s">
        <v>82</v>
      </c>
      <c r="F310" s="1" t="s">
        <v>74</v>
      </c>
      <c r="G310" s="1" t="s">
        <v>77</v>
      </c>
      <c r="H310" s="1" t="s">
        <v>83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1338.2462117520618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1452.2656523023359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0.24234027680574924</v>
      </c>
      <c r="R310" s="1">
        <v>74</v>
      </c>
      <c r="S310" s="1">
        <v>94</v>
      </c>
      <c r="T310" s="1">
        <v>0</v>
      </c>
      <c r="U310" s="1">
        <f>Games[[#This Row],[PointsFor]]-Games[[#This Row],[PointsAgainst]]</f>
        <v>-20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0.52500351930996647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71.8</v>
      </c>
      <c r="Z310" s="4">
        <f>Games[[#This Row],[K]]*Games[[#This Row],[POMult]]</f>
        <v>71.8</v>
      </c>
      <c r="AA310" s="4">
        <f>(Games[[#This Row],[Keff]]*Games[[#This Row],[MOVMult]])*(Games[[#This Row],[Result]]-Games[[#This Row],[ExpectedWin%]])</f>
        <v>-9.13507797029831</v>
      </c>
      <c r="AB310" s="4">
        <f>Games[[#This Row],[PreGmRate]]+Games[[#This Row],[RatingChange]]</f>
        <v>1329.1111337817636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42957</v>
      </c>
      <c r="B311" s="2">
        <v>2017</v>
      </c>
      <c r="C311" s="2">
        <f>COUNTIFS(Games[Team],Games[[#This Row],[Team]],Games[Season],Games[[#This Row],[Season]],Games[Date],"&lt;=" &amp; Games[[#This Row],[Date]])</f>
        <v>27</v>
      </c>
      <c r="D311" s="2" t="s">
        <v>81</v>
      </c>
      <c r="E311" s="2" t="s">
        <v>82</v>
      </c>
      <c r="F311" s="1" t="s">
        <v>77</v>
      </c>
      <c r="G311" s="1" t="s">
        <v>74</v>
      </c>
      <c r="H311" s="1" t="s">
        <v>84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1452.2656523023359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1338.2462117520618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0.75765972319425079</v>
      </c>
      <c r="R311" s="1">
        <v>94</v>
      </c>
      <c r="S311" s="1">
        <v>74</v>
      </c>
      <c r="T311" s="1">
        <v>0</v>
      </c>
      <c r="U311" s="1">
        <f>Games[[#This Row],[PointsFor]]-Games[[#This Row],[PointsAgainst]]</f>
        <v>20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0.52500351930996647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71.95</v>
      </c>
      <c r="Z311" s="4">
        <f>Games[[#This Row],[K]]*Games[[#This Row],[POMult]]</f>
        <v>71.95</v>
      </c>
      <c r="AA311" s="4">
        <f>(Games[[#This Row],[Keff]]*Games[[#This Row],[MOVMult]])*(Games[[#This Row],[Result]]-Games[[#This Row],[ExpectedWin%]])</f>
        <v>9.1541623950273472</v>
      </c>
      <c r="AB311" s="4">
        <f>Games[[#This Row],[PreGmRate]]+Games[[#This Row],[RatingChange]]</f>
        <v>1461.4198146973631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42957</v>
      </c>
      <c r="B312" s="2">
        <v>2017</v>
      </c>
      <c r="C312" s="2">
        <f>COUNTIFS(Games[Team],Games[[#This Row],[Team]],Games[Season],Games[[#This Row],[Season]],Games[Date],"&lt;=" &amp; Games[[#This Row],[Date]])</f>
        <v>26</v>
      </c>
      <c r="D312" s="2" t="s">
        <v>81</v>
      </c>
      <c r="E312" s="2" t="s">
        <v>82</v>
      </c>
      <c r="F312" s="1" t="s">
        <v>40</v>
      </c>
      <c r="G312" s="1" t="s">
        <v>87</v>
      </c>
      <c r="H312" s="1" t="s">
        <v>83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1511.8761203987644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1446.6607779233132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0.47299301519926229</v>
      </c>
      <c r="R312" s="1">
        <v>101</v>
      </c>
      <c r="S312" s="1">
        <v>100</v>
      </c>
      <c r="T312" s="1">
        <v>1</v>
      </c>
      <c r="U312" s="1">
        <f>Games[[#This Row],[PointsFor]]-Games[[#This Row],[PointsAgainst]]</f>
        <v>1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0.20843411851657476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7.919913639322318</v>
      </c>
      <c r="AB312" s="4">
        <f>Games[[#This Row],[PreGmRate]]+Games[[#This Row],[RatingChange]]</f>
        <v>1519.7960340380869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42957</v>
      </c>
      <c r="B313" s="2">
        <v>2017</v>
      </c>
      <c r="C313" s="2">
        <f>COUNTIFS(Games[Team],Games[[#This Row],[Team]],Games[Season],Games[[#This Row],[Season]],Games[Date],"&lt;=" &amp; Games[[#This Row],[Date]])</f>
        <v>28</v>
      </c>
      <c r="D313" s="2" t="s">
        <v>81</v>
      </c>
      <c r="E313" s="2" t="s">
        <v>82</v>
      </c>
      <c r="F313" s="1" t="s">
        <v>87</v>
      </c>
      <c r="G313" s="1" t="s">
        <v>40</v>
      </c>
      <c r="H313" s="1" t="s">
        <v>84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1446.6607779233132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1511.8761203987644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0.52700698480073771</v>
      </c>
      <c r="R313" s="1">
        <v>100</v>
      </c>
      <c r="S313" s="1">
        <v>101</v>
      </c>
      <c r="T313" s="1">
        <v>1</v>
      </c>
      <c r="U313" s="1">
        <f>Games[[#This Row],[PointsFor]]-Games[[#This Row],[PointsAgainst]]</f>
        <v>-1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0.20843411851657476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71.8</v>
      </c>
      <c r="Z313" s="4">
        <f>Games[[#This Row],[K]]*Games[[#This Row],[POMult]]</f>
        <v>71.8</v>
      </c>
      <c r="AA313" s="4">
        <f>(Games[[#This Row],[Keff]]*Games[[#This Row],[MOVMult]])*(Games[[#This Row],[Result]]-Games[[#This Row],[ExpectedWin%]])</f>
        <v>-7.8869597684236128</v>
      </c>
      <c r="AB313" s="4">
        <f>Games[[#This Row],[PreGmRate]]+Games[[#This Row],[RatingChange]]</f>
        <v>1438.7738181548896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42958</v>
      </c>
      <c r="B314" s="2">
        <v>2017</v>
      </c>
      <c r="C314" s="2">
        <f>COUNTIFS(Games[Team],Games[[#This Row],[Team]],Games[Season],Games[[#This Row],[Season]],Games[Date],"&lt;=" &amp; Games[[#This Row],[Date]])</f>
        <v>26</v>
      </c>
      <c r="D314" s="2" t="s">
        <v>81</v>
      </c>
      <c r="E314" s="2" t="s">
        <v>82</v>
      </c>
      <c r="F314" s="1" t="s">
        <v>60</v>
      </c>
      <c r="G314" s="1" t="s">
        <v>79</v>
      </c>
      <c r="H314" s="1" t="s">
        <v>83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1504.4665458108559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1441.4636379735377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0.4698194894614709</v>
      </c>
      <c r="R314" s="1">
        <v>83</v>
      </c>
      <c r="S314" s="1">
        <v>77</v>
      </c>
      <c r="T314" s="1">
        <v>0</v>
      </c>
      <c r="U314" s="1">
        <f>Games[[#This Row],[PointsFor]]-Games[[#This Row],[PointsAgainst]]</f>
        <v>6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0.33375767442293675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12.758225805384914</v>
      </c>
      <c r="AB314" s="4">
        <f>Games[[#This Row],[PreGmRate]]+Games[[#This Row],[RatingChange]]</f>
        <v>1517.2247716162408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42958</v>
      </c>
      <c r="B315" s="2">
        <v>2017</v>
      </c>
      <c r="C315" s="2">
        <f>COUNTIFS(Games[Team],Games[[#This Row],[Team]],Games[Season],Games[[#This Row],[Season]],Games[Date],"&lt;=" &amp; Games[[#This Row],[Date]])</f>
        <v>27</v>
      </c>
      <c r="D315" s="2" t="s">
        <v>81</v>
      </c>
      <c r="E315" s="2" t="s">
        <v>82</v>
      </c>
      <c r="F315" s="1" t="s">
        <v>79</v>
      </c>
      <c r="G315" s="1" t="s">
        <v>60</v>
      </c>
      <c r="H315" s="1" t="s">
        <v>84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1441.4636379735377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1504.4665458108559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0.5301805105385291</v>
      </c>
      <c r="R315" s="1">
        <v>77</v>
      </c>
      <c r="S315" s="1">
        <v>83</v>
      </c>
      <c r="T315" s="1">
        <v>0</v>
      </c>
      <c r="U315" s="1">
        <f>Games[[#This Row],[PointsFor]]-Games[[#This Row],[PointsAgainst]]</f>
        <v>-6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0.33375767442293675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-12.73168303325166</v>
      </c>
      <c r="AB315" s="4">
        <f>Games[[#This Row],[PreGmRate]]+Games[[#This Row],[RatingChange]]</f>
        <v>1428.7319549402862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42958</v>
      </c>
      <c r="B316" s="2">
        <v>2017</v>
      </c>
      <c r="C316" s="2">
        <f>COUNTIFS(Games[Team],Games[[#This Row],[Team]],Games[Season],Games[[#This Row],[Season]],Games[Date],"&lt;=" &amp; Games[[#This Row],[Date]])</f>
        <v>26</v>
      </c>
      <c r="D316" s="2" t="s">
        <v>81</v>
      </c>
      <c r="E316" s="2" t="s">
        <v>82</v>
      </c>
      <c r="F316" s="1" t="s">
        <v>63</v>
      </c>
      <c r="G316" s="1" t="s">
        <v>67</v>
      </c>
      <c r="H316" s="1" t="s">
        <v>83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2</v>
      </c>
      <c r="L316" s="2">
        <f>Games[[#This Row],[OppDaysOff]]-Games[[#This Row],[DaysOff]]</f>
        <v>-2</v>
      </c>
      <c r="M316" s="1">
        <f>MAX(-16, MIN(16, Games[[#This Row],[RestDiff]]*8))</f>
        <v>16</v>
      </c>
      <c r="N316" s="1">
        <f>MAX(-16, MIN(16, Games[[#This Row],[OppRestDiff]]*8))</f>
        <v>-16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1639.4725103898768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1718.7441991419801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0.31958914089632301</v>
      </c>
      <c r="R316" s="1">
        <v>70</v>
      </c>
      <c r="S316" s="1">
        <v>64</v>
      </c>
      <c r="T316" s="1">
        <v>0</v>
      </c>
      <c r="U316" s="1">
        <f>Games[[#This Row],[PointsFor]]-Games[[#This Row],[PointsAgainst]]</f>
        <v>6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0.3295132042829686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72.099999999999994</v>
      </c>
      <c r="Z316" s="4">
        <f>Games[[#This Row],[K]]*Games[[#This Row],[POMult]]</f>
        <v>72.099999999999994</v>
      </c>
      <c r="AA316" s="4">
        <f>(Games[[#This Row],[Keff]]*Games[[#This Row],[MOVMult]])*(Games[[#This Row],[Result]]-Games[[#This Row],[ExpectedWin%]])</f>
        <v>16.165134529918184</v>
      </c>
      <c r="AB316" s="4">
        <f>Games[[#This Row],[PreGmRate]]+Games[[#This Row],[RatingChange]]</f>
        <v>1655.6376449197949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42958</v>
      </c>
      <c r="B317" s="2">
        <v>2017</v>
      </c>
      <c r="C317" s="2">
        <f>COUNTIFS(Games[Team],Games[[#This Row],[Team]],Games[Season],Games[[#This Row],[Season]],Games[Date],"&lt;=" &amp; Games[[#This Row],[Date]])</f>
        <v>25</v>
      </c>
      <c r="D317" s="2" t="s">
        <v>81</v>
      </c>
      <c r="E317" s="2" t="s">
        <v>82</v>
      </c>
      <c r="F317" s="1" t="s">
        <v>67</v>
      </c>
      <c r="G317" s="1" t="s">
        <v>63</v>
      </c>
      <c r="H317" s="1" t="s">
        <v>84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7" s="2">
        <f>Games[[#This Row],[DaysOff]]-Games[[#This Row],[OppDaysOff]]</f>
        <v>-2</v>
      </c>
      <c r="L317" s="2">
        <f>Games[[#This Row],[OppDaysOff]]-Games[[#This Row],[DaysOff]]</f>
        <v>2</v>
      </c>
      <c r="M317" s="1">
        <f>MAX(-16, MIN(16, Games[[#This Row],[RestDiff]]*8))</f>
        <v>-16</v>
      </c>
      <c r="N317" s="1">
        <f>MAX(-16, MIN(16, Games[[#This Row],[OppRestDiff]]*8))</f>
        <v>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1718.7441991419801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1639.4725103898768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0.68041085910367693</v>
      </c>
      <c r="R317" s="1">
        <v>64</v>
      </c>
      <c r="S317" s="1">
        <v>70</v>
      </c>
      <c r="T317" s="1">
        <v>0</v>
      </c>
      <c r="U317" s="1">
        <f>Games[[#This Row],[PointsFor]]-Games[[#This Row],[PointsAgainst]]</f>
        <v>-6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0.3295132042829686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72.25</v>
      </c>
      <c r="Z317" s="4">
        <f>Games[[#This Row],[K]]*Games[[#This Row],[POMult]]</f>
        <v>72.25</v>
      </c>
      <c r="AA317" s="4">
        <f>(Games[[#This Row],[Keff]]*Games[[#This Row],[MOVMult]])*(Games[[#This Row],[Result]]-Games[[#This Row],[ExpectedWin%]])</f>
        <v>-16.19876518428001</v>
      </c>
      <c r="AB317" s="4">
        <f>Games[[#This Row],[PreGmRate]]+Games[[#This Row],[RatingChange]]</f>
        <v>1702.5454339577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42959</v>
      </c>
      <c r="B318" s="2">
        <v>2017</v>
      </c>
      <c r="C318" s="2">
        <f>COUNTIFS(Games[Team],Games[[#This Row],[Team]],Games[Season],Games[[#This Row],[Season]],Games[Date],"&lt;=" &amp; Games[[#This Row],[Date]])</f>
        <v>29</v>
      </c>
      <c r="D318" s="2" t="s">
        <v>81</v>
      </c>
      <c r="E318" s="2" t="s">
        <v>82</v>
      </c>
      <c r="F318" s="1" t="s">
        <v>87</v>
      </c>
      <c r="G318" s="1" t="s">
        <v>76</v>
      </c>
      <c r="H318" s="1" t="s">
        <v>83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8" s="2">
        <f>Games[[#This Row],[DaysOff]]-Games[[#This Row],[OppDaysOff]]</f>
        <v>-2</v>
      </c>
      <c r="L318" s="2">
        <f>Games[[#This Row],[OppDaysOff]]-Games[[#This Row],[DaysOff]]</f>
        <v>2</v>
      </c>
      <c r="M318" s="1">
        <f>MAX(-16, MIN(16, Games[[#This Row],[RestDiff]]*8))</f>
        <v>-16</v>
      </c>
      <c r="N318" s="1">
        <f>MAX(-16, MIN(16, Games[[#This Row],[OppRestDiff]]*8))</f>
        <v>16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1438.7738181548896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1581.8383917164222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0.18372735012806993</v>
      </c>
      <c r="R318" s="1">
        <v>88</v>
      </c>
      <c r="S318" s="1">
        <v>96</v>
      </c>
      <c r="T318" s="1">
        <v>0</v>
      </c>
      <c r="U318" s="1">
        <f>Games[[#This Row],[PointsFor]]-Games[[#This Row],[PointsAgainst]]</f>
        <v>-8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0.34695177817692452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71.650000000000006</v>
      </c>
      <c r="Z318" s="4">
        <f>Games[[#This Row],[K]]*Games[[#This Row],[POMult]]</f>
        <v>71.650000000000006</v>
      </c>
      <c r="AA318" s="4">
        <f>(Games[[#This Row],[Keff]]*Games[[#This Row],[MOVMult]])*(Games[[#This Row],[Result]]-Games[[#This Row],[ExpectedWin%]])</f>
        <v>-4.5672956337307813</v>
      </c>
      <c r="AB318" s="4">
        <f>Games[[#This Row],[PreGmRate]]+Games[[#This Row],[RatingChange]]</f>
        <v>1434.2065225211588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42959</v>
      </c>
      <c r="B319" s="2">
        <v>2017</v>
      </c>
      <c r="C319" s="2">
        <f>COUNTIFS(Games[Team],Games[[#This Row],[Team]],Games[Season],Games[[#This Row],[Season]],Games[Date],"&lt;=" &amp; Games[[#This Row],[Date]])</f>
        <v>26</v>
      </c>
      <c r="D319" s="2" t="s">
        <v>81</v>
      </c>
      <c r="E319" s="2" t="s">
        <v>82</v>
      </c>
      <c r="F319" s="1" t="s">
        <v>76</v>
      </c>
      <c r="G319" s="1" t="s">
        <v>87</v>
      </c>
      <c r="H319" s="1" t="s">
        <v>84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2</v>
      </c>
      <c r="L319" s="2">
        <f>Games[[#This Row],[OppDaysOff]]-Games[[#This Row],[DaysOff]]</f>
        <v>-2</v>
      </c>
      <c r="M319" s="1">
        <f>MAX(-16, MIN(16, Games[[#This Row],[RestDiff]]*8))</f>
        <v>16</v>
      </c>
      <c r="N319" s="1">
        <f>MAX(-16, MIN(16, Games[[#This Row],[OppRestDiff]]*8))</f>
        <v>-16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1581.8383917164222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1438.7738181548896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0.81627264987193004</v>
      </c>
      <c r="R319" s="1">
        <v>96</v>
      </c>
      <c r="S319" s="1">
        <v>88</v>
      </c>
      <c r="T319" s="1">
        <v>0</v>
      </c>
      <c r="U319" s="1">
        <f>Games[[#This Row],[PointsFor]]-Games[[#This Row],[PointsAgainst]]</f>
        <v>8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0.34695177817692452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72.099999999999994</v>
      </c>
      <c r="Z319" s="4">
        <f>Games[[#This Row],[K]]*Games[[#This Row],[POMult]]</f>
        <v>72.099999999999994</v>
      </c>
      <c r="AA319" s="4">
        <f>(Games[[#This Row],[Keff]]*Games[[#This Row],[MOVMult]])*(Games[[#This Row],[Result]]-Games[[#This Row],[ExpectedWin%]])</f>
        <v>4.5959806726027823</v>
      </c>
      <c r="AB319" s="4">
        <f>Games[[#This Row],[PreGmRate]]+Games[[#This Row],[RatingChange]]</f>
        <v>1586.4343723890249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42959</v>
      </c>
      <c r="B320" s="2">
        <v>2017</v>
      </c>
      <c r="C320" s="2">
        <f>COUNTIFS(Games[Team],Games[[#This Row],[Team]],Games[Season],Games[[#This Row],[Season]],Games[Date],"&lt;=" &amp; Games[[#This Row],[Date]])</f>
        <v>27</v>
      </c>
      <c r="D320" s="2" t="s">
        <v>81</v>
      </c>
      <c r="E320" s="2" t="s">
        <v>82</v>
      </c>
      <c r="F320" s="1" t="s">
        <v>71</v>
      </c>
      <c r="G320" s="1" t="s">
        <v>40</v>
      </c>
      <c r="H320" s="1" t="s">
        <v>83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2</v>
      </c>
      <c r="L320" s="2">
        <f>Games[[#This Row],[OppDaysOff]]-Games[[#This Row],[DaysOff]]</f>
        <v>-2</v>
      </c>
      <c r="M320" s="1">
        <f>MAX(-16, MIN(16, Games[[#This Row],[RestDiff]]*8))</f>
        <v>16</v>
      </c>
      <c r="N320" s="1">
        <f>MAX(-16, MIN(16, Games[[#This Row],[OppRestDiff]]*8))</f>
        <v>-16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1437.2330817179773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1519.7960340380869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0.31548344530897304</v>
      </c>
      <c r="R320" s="1">
        <v>98</v>
      </c>
      <c r="S320" s="1">
        <v>89</v>
      </c>
      <c r="T320" s="1">
        <v>0</v>
      </c>
      <c r="U320" s="1">
        <f>Games[[#This Row],[PointsFor]]-Games[[#This Row],[PointsAgainst]]</f>
        <v>9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0.37983775509453643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18.70737640346686</v>
      </c>
      <c r="AB320" s="4">
        <f>Games[[#This Row],[PreGmRate]]+Games[[#This Row],[RatingChange]]</f>
        <v>1455.9404581214442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42959</v>
      </c>
      <c r="B321" s="2">
        <v>2017</v>
      </c>
      <c r="C321" s="2">
        <f>COUNTIFS(Games[Team],Games[[#This Row],[Team]],Games[Season],Games[[#This Row],[Season]],Games[Date],"&lt;=" &amp; Games[[#This Row],[Date]])</f>
        <v>27</v>
      </c>
      <c r="D321" s="2" t="s">
        <v>81</v>
      </c>
      <c r="E321" s="2" t="s">
        <v>82</v>
      </c>
      <c r="F321" s="1" t="s">
        <v>40</v>
      </c>
      <c r="G321" s="1" t="s">
        <v>71</v>
      </c>
      <c r="H321" s="1" t="s">
        <v>84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1" s="2">
        <f>Games[[#This Row],[DaysOff]]-Games[[#This Row],[OppDaysOff]]</f>
        <v>-2</v>
      </c>
      <c r="L321" s="2">
        <f>Games[[#This Row],[OppDaysOff]]-Games[[#This Row],[DaysOff]]</f>
        <v>2</v>
      </c>
      <c r="M321" s="1">
        <f>MAX(-16, MIN(16, Games[[#This Row],[RestDiff]]*8))</f>
        <v>-16</v>
      </c>
      <c r="N321" s="1">
        <f>MAX(-16, MIN(16, Games[[#This Row],[OppRestDiff]]*8))</f>
        <v>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1519.7960340380869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1437.2330817179773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0.6845165546910269</v>
      </c>
      <c r="R321" s="1">
        <v>89</v>
      </c>
      <c r="S321" s="1">
        <v>98</v>
      </c>
      <c r="T321" s="1">
        <v>0</v>
      </c>
      <c r="U321" s="1">
        <f>Games[[#This Row],[PointsFor]]-Games[[#This Row],[PointsAgainst]]</f>
        <v>-9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0.37983775509453643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-18.707376403466856</v>
      </c>
      <c r="AB321" s="4">
        <f>Games[[#This Row],[PreGmRate]]+Games[[#This Row],[RatingChange]]</f>
        <v>1501.0886576346199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42959</v>
      </c>
      <c r="B322" s="2">
        <v>2017</v>
      </c>
      <c r="C322" s="2">
        <f>COUNTIFS(Games[Team],Games[[#This Row],[Team]],Games[Season],Games[[#This Row],[Season]],Games[Date],"&lt;=" &amp; Games[[#This Row],[Date]])</f>
        <v>28</v>
      </c>
      <c r="D322" s="2" t="s">
        <v>81</v>
      </c>
      <c r="E322" s="2" t="s">
        <v>82</v>
      </c>
      <c r="F322" s="1" t="s">
        <v>79</v>
      </c>
      <c r="G322" s="1" t="s">
        <v>74</v>
      </c>
      <c r="H322" s="1" t="s">
        <v>83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-1</v>
      </c>
      <c r="L322" s="2">
        <f>Games[[#This Row],[OppDaysOff]]-Games[[#This Row],[DaysOff]]</f>
        <v>1</v>
      </c>
      <c r="M322" s="1">
        <f>MAX(-16, MIN(16, Games[[#This Row],[RestDiff]]*8))</f>
        <v>-8</v>
      </c>
      <c r="N322" s="1">
        <f>MAX(-16, MIN(16, Games[[#This Row],[OppRestDiff]]*8))</f>
        <v>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1428.7319549402862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1329.1111337817636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0.49945431799917184</v>
      </c>
      <c r="R322" s="1">
        <v>68</v>
      </c>
      <c r="S322" s="1">
        <v>84</v>
      </c>
      <c r="T322" s="1">
        <v>0</v>
      </c>
      <c r="U322" s="1">
        <f>Games[[#This Row],[PointsFor]]-Games[[#This Row],[PointsAgainst]]</f>
        <v>-16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0.47809578657118579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-17.144906960449585</v>
      </c>
      <c r="AB322" s="4">
        <f>Games[[#This Row],[PreGmRate]]+Games[[#This Row],[RatingChange]]</f>
        <v>1411.5870479798366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42959</v>
      </c>
      <c r="B323" s="2">
        <v>2017</v>
      </c>
      <c r="C323" s="2">
        <f>COUNTIFS(Games[Team],Games[[#This Row],[Team]],Games[Season],Games[[#This Row],[Season]],Games[Date],"&lt;=" &amp; Games[[#This Row],[Date]])</f>
        <v>29</v>
      </c>
      <c r="D323" s="2" t="s">
        <v>81</v>
      </c>
      <c r="E323" s="2" t="s">
        <v>82</v>
      </c>
      <c r="F323" s="1" t="s">
        <v>74</v>
      </c>
      <c r="G323" s="1" t="s">
        <v>79</v>
      </c>
      <c r="H323" s="1" t="s">
        <v>84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3" s="2">
        <f>Games[[#This Row],[DaysOff]]-Games[[#This Row],[OppDaysOff]]</f>
        <v>1</v>
      </c>
      <c r="L323" s="2">
        <f>Games[[#This Row],[OppDaysOff]]-Games[[#This Row],[DaysOff]]</f>
        <v>-1</v>
      </c>
      <c r="M323" s="1">
        <f>MAX(-16, MIN(16, Games[[#This Row],[RestDiff]]*8))</f>
        <v>8</v>
      </c>
      <c r="N323" s="1">
        <f>MAX(-16, MIN(16, Games[[#This Row],[OppRestDiff]]*8))</f>
        <v>-8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1329.1111337817636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1428.7319549402862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0.50054568200082816</v>
      </c>
      <c r="R323" s="1">
        <v>84</v>
      </c>
      <c r="S323" s="1">
        <v>68</v>
      </c>
      <c r="T323" s="1">
        <v>0</v>
      </c>
      <c r="U323" s="1">
        <f>Games[[#This Row],[PointsFor]]-Games[[#This Row],[PointsAgainst]]</f>
        <v>16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0.47809578657118579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71.650000000000006</v>
      </c>
      <c r="Z323" s="4">
        <f>Games[[#This Row],[K]]*Games[[#This Row],[POMult]]</f>
        <v>71.650000000000006</v>
      </c>
      <c r="AA323" s="4">
        <f>(Games[[#This Row],[Keff]]*Games[[#This Row],[MOVMult]])*(Games[[#This Row],[Result]]-Games[[#This Row],[ExpectedWin%]])</f>
        <v>17.10908890969656</v>
      </c>
      <c r="AB323" s="4">
        <f>Games[[#This Row],[PreGmRate]]+Games[[#This Row],[RatingChange]]</f>
        <v>1346.2202226914601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42959</v>
      </c>
      <c r="B324" s="2">
        <v>2017</v>
      </c>
      <c r="C324" s="2">
        <f>COUNTIFS(Games[Team],Games[[#This Row],[Team]],Games[Season],Games[[#This Row],[Season]],Games[Date],"&lt;=" &amp; Games[[#This Row],[Date]])</f>
        <v>28</v>
      </c>
      <c r="D324" s="2" t="s">
        <v>81</v>
      </c>
      <c r="E324" s="2" t="s">
        <v>82</v>
      </c>
      <c r="F324" s="1" t="s">
        <v>69</v>
      </c>
      <c r="G324" s="1" t="s">
        <v>65</v>
      </c>
      <c r="H324" s="1" t="s">
        <v>83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4" s="2">
        <f>Games[[#This Row],[DaysOff]]-Games[[#This Row],[OppDaysOff]]</f>
        <v>-2</v>
      </c>
      <c r="L324" s="2">
        <f>Games[[#This Row],[OppDaysOff]]-Games[[#This Row],[DaysOff]]</f>
        <v>2</v>
      </c>
      <c r="M324" s="1">
        <f>MAX(-16, MIN(16, Games[[#This Row],[RestDiff]]*8))</f>
        <v>-16</v>
      </c>
      <c r="N324" s="1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1378.9294550003367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1549.4495815215105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0.16119784178841723</v>
      </c>
      <c r="R324" s="1">
        <v>80</v>
      </c>
      <c r="S324" s="1">
        <v>100</v>
      </c>
      <c r="T324" s="1">
        <v>0</v>
      </c>
      <c r="U324" s="1">
        <f>Games[[#This Row],[PointsFor]]-Games[[#This Row],[PointsAgainst]]</f>
        <v>-20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0.50335986854983938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71.8</v>
      </c>
      <c r="Z324" s="4">
        <f>Games[[#This Row],[K]]*Games[[#This Row],[POMult]]</f>
        <v>71.8</v>
      </c>
      <c r="AA324" s="4">
        <f>(Games[[#This Row],[Keff]]*Games[[#This Row],[MOVMult]])*(Games[[#This Row],[Result]]-Games[[#This Row],[ExpectedWin%]])</f>
        <v>-5.8258896557351285</v>
      </c>
      <c r="AB324" s="4">
        <f>Games[[#This Row],[PreGmRate]]+Games[[#This Row],[RatingChange]]</f>
        <v>1373.1035653446015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42959</v>
      </c>
      <c r="B325" s="2">
        <v>2017</v>
      </c>
      <c r="C325" s="2">
        <f>COUNTIFS(Games[Team],Games[[#This Row],[Team]],Games[Season],Games[[#This Row],[Season]],Games[Date],"&lt;=" &amp; Games[[#This Row],[Date]])</f>
        <v>26</v>
      </c>
      <c r="D325" s="2" t="s">
        <v>81</v>
      </c>
      <c r="E325" s="2" t="s">
        <v>82</v>
      </c>
      <c r="F325" s="1" t="s">
        <v>65</v>
      </c>
      <c r="G325" s="1" t="s">
        <v>69</v>
      </c>
      <c r="H325" s="1" t="s">
        <v>84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5" s="2">
        <f>Games[[#This Row],[DaysOff]]-Games[[#This Row],[OppDaysOff]]</f>
        <v>2</v>
      </c>
      <c r="L325" s="2">
        <f>Games[[#This Row],[OppDaysOff]]-Games[[#This Row],[DaysOff]]</f>
        <v>-2</v>
      </c>
      <c r="M325" s="1">
        <f>MAX(-16, MIN(16, Games[[#This Row],[RestDiff]]*8))</f>
        <v>16</v>
      </c>
      <c r="N325" s="1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1549.4495815215105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1378.9294550003367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0.83880215821158277</v>
      </c>
      <c r="R325" s="1">
        <v>100</v>
      </c>
      <c r="S325" s="1">
        <v>80</v>
      </c>
      <c r="T325" s="1">
        <v>0</v>
      </c>
      <c r="U325" s="1">
        <f>Games[[#This Row],[PointsFor]]-Games[[#This Row],[PointsAgainst]]</f>
        <v>20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0.50335986854983938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5.8502318130710691</v>
      </c>
      <c r="AB325" s="4">
        <f>Games[[#This Row],[PreGmRate]]+Games[[#This Row],[RatingChange]]</f>
        <v>1555.2998133345816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42960</v>
      </c>
      <c r="B326" s="2">
        <v>2017</v>
      </c>
      <c r="C326" s="2">
        <f>COUNTIFS(Games[Team],Games[[#This Row],[Team]],Games[Season],Games[[#This Row],[Season]],Games[Date],"&lt;=" &amp; Games[[#This Row],[Date]])</f>
        <v>27</v>
      </c>
      <c r="D326" s="2" t="s">
        <v>81</v>
      </c>
      <c r="E326" s="2" t="s">
        <v>82</v>
      </c>
      <c r="F326" s="1" t="s">
        <v>63</v>
      </c>
      <c r="G326" s="1" t="s">
        <v>60</v>
      </c>
      <c r="H326" s="1" t="s">
        <v>83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1655.6376449197949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1517.2247716162408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0.57767241647789858</v>
      </c>
      <c r="R326" s="1">
        <v>69</v>
      </c>
      <c r="S326" s="1">
        <v>83</v>
      </c>
      <c r="T326" s="1">
        <v>0</v>
      </c>
      <c r="U326" s="1">
        <f>Games[[#This Row],[PointsFor]]-Games[[#This Row],[PointsAgainst]]</f>
        <v>-14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0.43718178143091818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-18.170818247784425</v>
      </c>
      <c r="AB326" s="4">
        <f>Games[[#This Row],[PreGmRate]]+Games[[#This Row],[RatingChange]]</f>
        <v>1637.4668266720105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42960</v>
      </c>
      <c r="B327" s="2">
        <v>2017</v>
      </c>
      <c r="C327" s="2">
        <f>COUNTIFS(Games[Team],Games[[#This Row],[Team]],Games[Season],Games[[#This Row],[Season]],Games[Date],"&lt;=" &amp; Games[[#This Row],[Date]])</f>
        <v>27</v>
      </c>
      <c r="D327" s="2" t="s">
        <v>81</v>
      </c>
      <c r="E327" s="2" t="s">
        <v>82</v>
      </c>
      <c r="F327" s="1" t="s">
        <v>60</v>
      </c>
      <c r="G327" s="1" t="s">
        <v>63</v>
      </c>
      <c r="H327" s="1" t="s">
        <v>84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1517.2247716162408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1655.6376449197949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0.42232758352210137</v>
      </c>
      <c r="R327" s="1">
        <v>83</v>
      </c>
      <c r="S327" s="1">
        <v>69</v>
      </c>
      <c r="T327" s="1">
        <v>0</v>
      </c>
      <c r="U327" s="1">
        <f>Games[[#This Row],[PointsFor]]-Games[[#This Row],[PointsAgainst]]</f>
        <v>14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0.43718178143091818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18.170818247784425</v>
      </c>
      <c r="AB327" s="4">
        <f>Games[[#This Row],[PreGmRate]]+Games[[#This Row],[RatingChange]]</f>
        <v>1535.3955898640252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42962</v>
      </c>
      <c r="B328" s="2">
        <v>2017</v>
      </c>
      <c r="C328" s="2">
        <f>COUNTIFS(Games[Team],Games[[#This Row],[Team]],Games[Season],Games[[#This Row],[Season]],Games[Date],"&lt;=" &amp; Games[[#This Row],[Date]])</f>
        <v>27</v>
      </c>
      <c r="D328" s="2" t="s">
        <v>81</v>
      </c>
      <c r="E328" s="2" t="s">
        <v>82</v>
      </c>
      <c r="F328" s="1" t="s">
        <v>76</v>
      </c>
      <c r="G328" s="1" t="s">
        <v>79</v>
      </c>
      <c r="H328" s="1" t="s">
        <v>83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1586.4343723890249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1411.5870479798366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0.62783947420184416</v>
      </c>
      <c r="R328" s="1">
        <v>96</v>
      </c>
      <c r="S328" s="1">
        <v>75</v>
      </c>
      <c r="T328" s="1">
        <v>0</v>
      </c>
      <c r="U328" s="1">
        <f>Games[[#This Row],[PointsFor]]-Games[[#This Row],[PointsAgainst]]</f>
        <v>21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0.51372362209629241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13.755951655963116</v>
      </c>
      <c r="AB328" s="4">
        <f>Games[[#This Row],[PreGmRate]]+Games[[#This Row],[RatingChange]]</f>
        <v>1600.1903240449881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42962</v>
      </c>
      <c r="B329" s="2">
        <v>2017</v>
      </c>
      <c r="C329" s="2">
        <f>COUNTIFS(Games[Team],Games[[#This Row],[Team]],Games[Season],Games[[#This Row],[Season]],Games[Date],"&lt;=" &amp; Games[[#This Row],[Date]])</f>
        <v>29</v>
      </c>
      <c r="D329" s="2" t="s">
        <v>81</v>
      </c>
      <c r="E329" s="2" t="s">
        <v>82</v>
      </c>
      <c r="F329" s="1" t="s">
        <v>79</v>
      </c>
      <c r="G329" s="1" t="s">
        <v>76</v>
      </c>
      <c r="H329" s="1" t="s">
        <v>84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1411.5870479798366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1586.4343723890249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0.37216052579815584</v>
      </c>
      <c r="R329" s="1">
        <v>75</v>
      </c>
      <c r="S329" s="1">
        <v>96</v>
      </c>
      <c r="T329" s="1">
        <v>0</v>
      </c>
      <c r="U329" s="1">
        <f>Games[[#This Row],[PointsFor]]-Games[[#This Row],[PointsAgainst]]</f>
        <v>-21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0.51372362209629241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71.650000000000006</v>
      </c>
      <c r="Z329" s="4">
        <f>Games[[#This Row],[K]]*Games[[#This Row],[POMult]]</f>
        <v>71.650000000000006</v>
      </c>
      <c r="AA329" s="4">
        <f>(Games[[#This Row],[Keff]]*Games[[#This Row],[MOVMult]])*(Games[[#This Row],[Result]]-Games[[#This Row],[ExpectedWin%]])</f>
        <v>-13.698595359968831</v>
      </c>
      <c r="AB329" s="4">
        <f>Games[[#This Row],[PreGmRate]]+Games[[#This Row],[RatingChange]]</f>
        <v>1397.8884526198678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42963</v>
      </c>
      <c r="B330" s="2">
        <v>2017</v>
      </c>
      <c r="C330" s="2">
        <f>COUNTIFS(Games[Team],Games[[#This Row],[Team]],Games[Season],Games[[#This Row],[Season]],Games[Date],"&lt;=" &amp; Games[[#This Row],[Date]])</f>
        <v>26</v>
      </c>
      <c r="D330" s="2" t="s">
        <v>81</v>
      </c>
      <c r="E330" s="2" t="s">
        <v>82</v>
      </c>
      <c r="F330" s="1" t="s">
        <v>67</v>
      </c>
      <c r="G330" s="1" t="s">
        <v>71</v>
      </c>
      <c r="H330" s="1" t="s">
        <v>83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0" s="2">
        <f>Games[[#This Row],[DaysOff]]-Games[[#This Row],[OppDaysOff]]</f>
        <v>1</v>
      </c>
      <c r="L330" s="2">
        <f>Games[[#This Row],[OppDaysOff]]-Games[[#This Row],[DaysOff]]</f>
        <v>-1</v>
      </c>
      <c r="M330" s="1">
        <f>MAX(-16, MIN(16, Games[[#This Row],[RestDiff]]*8))</f>
        <v>8</v>
      </c>
      <c r="N330" s="1">
        <f>MAX(-16, MIN(16, Games[[#This Row],[OppRestDiff]]*8))</f>
        <v>-8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1702.5454339577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1455.9404581214442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0.73655375699323111</v>
      </c>
      <c r="R330" s="1">
        <v>61</v>
      </c>
      <c r="S330" s="1">
        <v>62</v>
      </c>
      <c r="T330" s="1">
        <v>0</v>
      </c>
      <c r="U330" s="1">
        <f>Games[[#This Row],[PointsFor]]-Games[[#This Row],[PointsAgainst]]</f>
        <v>-1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0.20255398678479256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72.099999999999994</v>
      </c>
      <c r="Z330" s="4">
        <f>Games[[#This Row],[K]]*Games[[#This Row],[POMult]]</f>
        <v>72.099999999999994</v>
      </c>
      <c r="AA330" s="4">
        <f>(Games[[#This Row],[Keff]]*Games[[#This Row],[MOVMult]])*(Games[[#This Row],[Result]]-Games[[#This Row],[ExpectedWin%]])</f>
        <v>-10.756735987137358</v>
      </c>
      <c r="AB330" s="4">
        <f>Games[[#This Row],[PreGmRate]]+Games[[#This Row],[RatingChange]]</f>
        <v>1691.7886979705627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42963</v>
      </c>
      <c r="B331" s="2">
        <v>2017</v>
      </c>
      <c r="C331" s="2">
        <f>COUNTIFS(Games[Team],Games[[#This Row],[Team]],Games[Season],Games[[#This Row],[Season]],Games[Date],"&lt;=" &amp; Games[[#This Row],[Date]])</f>
        <v>28</v>
      </c>
      <c r="D331" s="2" t="s">
        <v>81</v>
      </c>
      <c r="E331" s="2" t="s">
        <v>82</v>
      </c>
      <c r="F331" s="1" t="s">
        <v>71</v>
      </c>
      <c r="G331" s="1" t="s">
        <v>67</v>
      </c>
      <c r="H331" s="1" t="s">
        <v>84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1" s="2">
        <f>Games[[#This Row],[DaysOff]]-Games[[#This Row],[OppDaysOff]]</f>
        <v>-1</v>
      </c>
      <c r="L331" s="2">
        <f>Games[[#This Row],[OppDaysOff]]-Games[[#This Row],[DaysOff]]</f>
        <v>1</v>
      </c>
      <c r="M331" s="1">
        <f>MAX(-16, MIN(16, Games[[#This Row],[RestDiff]]*8))</f>
        <v>-8</v>
      </c>
      <c r="N331" s="1">
        <f>MAX(-16, MIN(16, Games[[#This Row],[OppRestDiff]]*8))</f>
        <v>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1455.9404581214442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1702.5454339577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0.26344624300676883</v>
      </c>
      <c r="R331" s="1">
        <v>62</v>
      </c>
      <c r="S331" s="1">
        <v>61</v>
      </c>
      <c r="T331" s="1">
        <v>0</v>
      </c>
      <c r="U331" s="1">
        <f>Games[[#This Row],[PointsFor]]-Games[[#This Row],[PointsAgainst]]</f>
        <v>1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0.20255398678479256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10.711978417149272</v>
      </c>
      <c r="AB331" s="4">
        <f>Games[[#This Row],[PreGmRate]]+Games[[#This Row],[RatingChange]]</f>
        <v>1466.6524365385935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42963</v>
      </c>
      <c r="B332" s="2">
        <v>2017</v>
      </c>
      <c r="C332" s="2">
        <f>COUNTIFS(Games[Team],Games[[#This Row],[Team]],Games[Season],Games[[#This Row],[Season]],Games[Date],"&lt;=" &amp; Games[[#This Row],[Date]])</f>
        <v>28</v>
      </c>
      <c r="D332" s="2" t="s">
        <v>81</v>
      </c>
      <c r="E332" s="2" t="s">
        <v>82</v>
      </c>
      <c r="F332" s="1" t="s">
        <v>63</v>
      </c>
      <c r="G332" s="1" t="s">
        <v>65</v>
      </c>
      <c r="H332" s="1" t="s">
        <v>83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">
        <f>MAX(-16, MIN(16, Games[[#This Row],[RestDiff]]*8))</f>
        <v>-8</v>
      </c>
      <c r="N332" s="1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1637.4668266720105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1555.2998133345816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0.47435878259663611</v>
      </c>
      <c r="R332" s="1">
        <v>95</v>
      </c>
      <c r="S332" s="1">
        <v>62</v>
      </c>
      <c r="T332" s="1">
        <v>0</v>
      </c>
      <c r="U332" s="1">
        <f>Games[[#This Row],[PointsFor]]-Games[[#This Row],[PointsAgainst]]</f>
        <v>33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0.69171239578304611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26.105944789330163</v>
      </c>
      <c r="AB332" s="4">
        <f>Games[[#This Row],[PreGmRate]]+Games[[#This Row],[RatingChange]]</f>
        <v>1663.5727714613406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42963</v>
      </c>
      <c r="B333" s="2">
        <v>2017</v>
      </c>
      <c r="C333" s="2">
        <f>COUNTIFS(Games[Team],Games[[#This Row],[Team]],Games[Season],Games[[#This Row],[Season]],Games[Date],"&lt;=" &amp; Games[[#This Row],[Date]])</f>
        <v>27</v>
      </c>
      <c r="D333" s="2" t="s">
        <v>81</v>
      </c>
      <c r="E333" s="2" t="s">
        <v>82</v>
      </c>
      <c r="F333" s="1" t="s">
        <v>65</v>
      </c>
      <c r="G333" s="1" t="s">
        <v>63</v>
      </c>
      <c r="H333" s="1" t="s">
        <v>84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">
        <f>MAX(-16, MIN(16, Games[[#This Row],[RestDiff]]*8))</f>
        <v>8</v>
      </c>
      <c r="N333" s="1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1555.2998133345816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1637.4668266720105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0.52564121740336389</v>
      </c>
      <c r="R333" s="1">
        <v>62</v>
      </c>
      <c r="S333" s="1">
        <v>95</v>
      </c>
      <c r="T333" s="1">
        <v>0</v>
      </c>
      <c r="U333" s="1">
        <f>Games[[#This Row],[PointsFor]]-Games[[#This Row],[PointsAgainst]]</f>
        <v>-33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0.69171239578304611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-26.160483671202027</v>
      </c>
      <c r="AB333" s="4">
        <f>Games[[#This Row],[PreGmRate]]+Games[[#This Row],[RatingChange]]</f>
        <v>1529.1393296633796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42965</v>
      </c>
      <c r="B334" s="2">
        <v>2017</v>
      </c>
      <c r="C334" s="2">
        <f>COUNTIFS(Games[Team],Games[[#This Row],[Team]],Games[Season],Games[[#This Row],[Season]],Games[Date],"&lt;=" &amp; Games[[#This Row],[Date]])</f>
        <v>29</v>
      </c>
      <c r="D334" s="2" t="s">
        <v>81</v>
      </c>
      <c r="E334" s="2" t="s">
        <v>82</v>
      </c>
      <c r="F334" s="1" t="s">
        <v>63</v>
      </c>
      <c r="G334" s="1" t="s">
        <v>77</v>
      </c>
      <c r="H334" s="1" t="s">
        <v>83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34" s="2">
        <f>Games[[#This Row],[DaysOff]]-Games[[#This Row],[OppDaysOff]]</f>
        <v>-6</v>
      </c>
      <c r="L334" s="2">
        <f>Games[[#This Row],[OppDaysOff]]-Games[[#This Row],[DaysOff]]</f>
        <v>6</v>
      </c>
      <c r="M334" s="1">
        <f>MAX(-16, MIN(16, Games[[#This Row],[RestDiff]]*8))</f>
        <v>-16</v>
      </c>
      <c r="N334" s="1">
        <f>MAX(-16, MIN(16, Games[[#This Row],[OppRestDiff]]*8))</f>
        <v>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1663.5727714613406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1461.4198146973631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0.62150386890801723</v>
      </c>
      <c r="R334" s="1">
        <v>115</v>
      </c>
      <c r="S334" s="1">
        <v>106</v>
      </c>
      <c r="T334" s="1">
        <v>1</v>
      </c>
      <c r="U334" s="1">
        <f>Games[[#This Row],[PointsFor]]-Games[[#This Row],[PointsAgainst]]</f>
        <v>9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0.31269716132177006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8.4801118019716544</v>
      </c>
      <c r="AB334" s="4">
        <f>Games[[#This Row],[PreGmRate]]+Games[[#This Row],[RatingChange]]</f>
        <v>1672.0528832633122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42965</v>
      </c>
      <c r="B335" s="2">
        <v>2017</v>
      </c>
      <c r="C335" s="2">
        <f>COUNTIFS(Games[Team],Games[[#This Row],[Team]],Games[Season],Games[[#This Row],[Season]],Games[Date],"&lt;=" &amp; Games[[#This Row],[Date]])</f>
        <v>28</v>
      </c>
      <c r="D335" s="2" t="s">
        <v>81</v>
      </c>
      <c r="E335" s="2" t="s">
        <v>82</v>
      </c>
      <c r="F335" s="1" t="s">
        <v>77</v>
      </c>
      <c r="G335" s="1" t="s">
        <v>63</v>
      </c>
      <c r="H335" s="1" t="s">
        <v>84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7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6</v>
      </c>
      <c r="L335" s="2">
        <f>Games[[#This Row],[OppDaysOff]]-Games[[#This Row],[DaysOff]]</f>
        <v>-6</v>
      </c>
      <c r="M335" s="1">
        <f>MAX(-16, MIN(16, Games[[#This Row],[RestDiff]]*8))</f>
        <v>16</v>
      </c>
      <c r="N335" s="1">
        <f>MAX(-16, MIN(16, Games[[#This Row],[OppRestDiff]]*8))</f>
        <v>-16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1461.4198146973631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1663.5727714613406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0.37849613109198271</v>
      </c>
      <c r="R335" s="1">
        <v>106</v>
      </c>
      <c r="S335" s="1">
        <v>115</v>
      </c>
      <c r="T335" s="1">
        <v>1</v>
      </c>
      <c r="U335" s="1">
        <f>Games[[#This Row],[PointsFor]]-Games[[#This Row],[PointsAgainst]]</f>
        <v>-9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0.31269716132177006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-8.4978650018362121</v>
      </c>
      <c r="AB335" s="4">
        <f>Games[[#This Row],[PreGmRate]]+Games[[#This Row],[RatingChange]]</f>
        <v>1452.9219496955268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42965</v>
      </c>
      <c r="B336" s="2">
        <v>2017</v>
      </c>
      <c r="C336" s="2">
        <f>COUNTIFS(Games[Team],Games[[#This Row],[Team]],Games[Season],Games[[#This Row],[Season]],Games[Date],"&lt;=" &amp; Games[[#This Row],[Date]])</f>
        <v>28</v>
      </c>
      <c r="D336" s="2" t="s">
        <v>81</v>
      </c>
      <c r="E336" s="2" t="s">
        <v>82</v>
      </c>
      <c r="F336" s="1" t="s">
        <v>60</v>
      </c>
      <c r="G336" s="1" t="s">
        <v>76</v>
      </c>
      <c r="H336" s="1" t="s">
        <v>83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6" s="2">
        <f>Games[[#This Row],[DaysOff]]-Games[[#This Row],[OppDaysOff]]</f>
        <v>2</v>
      </c>
      <c r="L336" s="2">
        <f>Games[[#This Row],[OppDaysOff]]-Games[[#This Row],[DaysOff]]</f>
        <v>-2</v>
      </c>
      <c r="M336" s="1">
        <f>MAX(-16, MIN(16, Games[[#This Row],[RestDiff]]*8))</f>
        <v>16</v>
      </c>
      <c r="N336" s="1">
        <f>MAX(-16, MIN(16, Games[[#This Row],[OppRestDiff]]*8))</f>
        <v>-16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1535.3955898640252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1600.1903240449881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0.3379765341651369</v>
      </c>
      <c r="R336" s="1">
        <v>82</v>
      </c>
      <c r="S336" s="1">
        <v>70</v>
      </c>
      <c r="T336" s="1">
        <v>0</v>
      </c>
      <c r="U336" s="1">
        <f>Games[[#This Row],[PointsFor]]-Games[[#This Row],[PointsAgainst]]</f>
        <v>12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0.43276218417077544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20.570608171174751</v>
      </c>
      <c r="AB336" s="4">
        <f>Games[[#This Row],[PreGmRate]]+Games[[#This Row],[RatingChange]]</f>
        <v>1555.9661980352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42965</v>
      </c>
      <c r="B337" s="2">
        <v>2017</v>
      </c>
      <c r="C337" s="2">
        <f>COUNTIFS(Games[Team],Games[[#This Row],[Team]],Games[Season],Games[[#This Row],[Season]],Games[Date],"&lt;=" &amp; Games[[#This Row],[Date]])</f>
        <v>28</v>
      </c>
      <c r="D337" s="2" t="s">
        <v>81</v>
      </c>
      <c r="E337" s="2" t="s">
        <v>82</v>
      </c>
      <c r="F337" s="1" t="s">
        <v>76</v>
      </c>
      <c r="G337" s="1" t="s">
        <v>60</v>
      </c>
      <c r="H337" s="1" t="s">
        <v>84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7" s="2">
        <f>Games[[#This Row],[DaysOff]]-Games[[#This Row],[OppDaysOff]]</f>
        <v>-2</v>
      </c>
      <c r="L337" s="2">
        <f>Games[[#This Row],[OppDaysOff]]-Games[[#This Row],[DaysOff]]</f>
        <v>2</v>
      </c>
      <c r="M337" s="1">
        <f>MAX(-16, MIN(16, Games[[#This Row],[RestDiff]]*8))</f>
        <v>-16</v>
      </c>
      <c r="N337" s="1">
        <f>MAX(-16, MIN(16, Games[[#This Row],[OppRestDiff]]*8))</f>
        <v>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1600.1903240449881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1535.3955898640252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0.66202346583486305</v>
      </c>
      <c r="R337" s="1">
        <v>70</v>
      </c>
      <c r="S337" s="1">
        <v>82</v>
      </c>
      <c r="T337" s="1">
        <v>0</v>
      </c>
      <c r="U337" s="1">
        <f>Games[[#This Row],[PointsFor]]-Games[[#This Row],[PointsAgainst]]</f>
        <v>-12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0.43276218417077544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-20.570608171174747</v>
      </c>
      <c r="AB337" s="4">
        <f>Games[[#This Row],[PreGmRate]]+Games[[#This Row],[RatingChange]]</f>
        <v>1579.6197158738132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42965</v>
      </c>
      <c r="B338" s="2">
        <v>2017</v>
      </c>
      <c r="C338" s="2">
        <f>COUNTIFS(Games[Team],Games[[#This Row],[Team]],Games[Season],Games[[#This Row],[Season]],Games[Date],"&lt;=" &amp; Games[[#This Row],[Date]])</f>
        <v>29</v>
      </c>
      <c r="D338" s="2" t="s">
        <v>81</v>
      </c>
      <c r="E338" s="2" t="s">
        <v>82</v>
      </c>
      <c r="F338" s="1" t="s">
        <v>69</v>
      </c>
      <c r="G338" s="1" t="s">
        <v>67</v>
      </c>
      <c r="H338" s="1" t="s">
        <v>83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4</v>
      </c>
      <c r="L338" s="2">
        <f>Games[[#This Row],[OppDaysOff]]-Games[[#This Row],[DaysOff]]</f>
        <v>-4</v>
      </c>
      <c r="M338" s="1">
        <f>MAX(-16, MIN(16, Games[[#This Row],[RestDiff]]*8))</f>
        <v>16</v>
      </c>
      <c r="N338" s="1">
        <f>MAX(-16, MIN(16, Games[[#This Row],[OppRestDiff]]*8))</f>
        <v>-16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1373.1035653446015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1691.7886979705627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0.10585145729879676</v>
      </c>
      <c r="R338" s="1">
        <v>52</v>
      </c>
      <c r="S338" s="1">
        <v>111</v>
      </c>
      <c r="T338" s="1">
        <v>0</v>
      </c>
      <c r="U338" s="1">
        <f>Games[[#This Row],[PointsFor]]-Games[[#This Row],[PointsAgainst]]</f>
        <v>-59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0.79843624406308356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-6.0555456055883825</v>
      </c>
      <c r="AB338" s="4">
        <f>Games[[#This Row],[PreGmRate]]+Games[[#This Row],[RatingChange]]</f>
        <v>1367.0480197390132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42965</v>
      </c>
      <c r="B339" s="2">
        <v>2017</v>
      </c>
      <c r="C339" s="2">
        <f>COUNTIFS(Games[Team],Games[[#This Row],[Team]],Games[Season],Games[[#This Row],[Season]],Games[Date],"&lt;=" &amp; Games[[#This Row],[Date]])</f>
        <v>27</v>
      </c>
      <c r="D339" s="2" t="s">
        <v>81</v>
      </c>
      <c r="E339" s="2" t="s">
        <v>82</v>
      </c>
      <c r="F339" s="1" t="s">
        <v>67</v>
      </c>
      <c r="G339" s="1" t="s">
        <v>69</v>
      </c>
      <c r="H339" s="1" t="s">
        <v>84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9" s="2">
        <f>Games[[#This Row],[DaysOff]]-Games[[#This Row],[OppDaysOff]]</f>
        <v>-4</v>
      </c>
      <c r="L339" s="2">
        <f>Games[[#This Row],[OppDaysOff]]-Games[[#This Row],[DaysOff]]</f>
        <v>4</v>
      </c>
      <c r="M339" s="1">
        <f>MAX(-16, MIN(16, Games[[#This Row],[RestDiff]]*8))</f>
        <v>-16</v>
      </c>
      <c r="N339" s="1">
        <f>MAX(-16, MIN(16, Games[[#This Row],[OppRestDiff]]*8))</f>
        <v>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1691.7886979705627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1373.1035653446015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0.89414854270120314</v>
      </c>
      <c r="R339" s="1">
        <v>111</v>
      </c>
      <c r="S339" s="1">
        <v>52</v>
      </c>
      <c r="T339" s="1">
        <v>0</v>
      </c>
      <c r="U339" s="1">
        <f>Games[[#This Row],[PointsFor]]-Games[[#This Row],[PointsAgainst]]</f>
        <v>59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0.79843624406308356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71.95</v>
      </c>
      <c r="Z339" s="4">
        <f>Games[[#This Row],[K]]*Games[[#This Row],[POMult]]</f>
        <v>71.95</v>
      </c>
      <c r="AA339" s="4">
        <f>(Games[[#This Row],[Keff]]*Games[[#This Row],[MOVMult]])*(Games[[#This Row],[Result]]-Games[[#This Row],[ExpectedWin%]])</f>
        <v>6.0809002975866644</v>
      </c>
      <c r="AB339" s="4">
        <f>Games[[#This Row],[PreGmRate]]+Games[[#This Row],[RatingChange]]</f>
        <v>1697.8695982681493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42965</v>
      </c>
      <c r="B340" s="2">
        <v>2017</v>
      </c>
      <c r="C340" s="2">
        <f>COUNTIFS(Games[Team],Games[[#This Row],[Team]],Games[Season],Games[[#This Row],[Season]],Games[Date],"&lt;=" &amp; Games[[#This Row],[Date]])</f>
        <v>30</v>
      </c>
      <c r="D340" s="2" t="s">
        <v>81</v>
      </c>
      <c r="E340" s="2" t="s">
        <v>82</v>
      </c>
      <c r="F340" s="1" t="s">
        <v>74</v>
      </c>
      <c r="G340" s="1" t="s">
        <v>71</v>
      </c>
      <c r="H340" s="1" t="s">
        <v>83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4</v>
      </c>
      <c r="L340" s="2">
        <f>Games[[#This Row],[OppDaysOff]]-Games[[#This Row],[DaysOff]]</f>
        <v>-4</v>
      </c>
      <c r="M340" s="1">
        <f>MAX(-16, MIN(16, Games[[#This Row],[RestDiff]]*8))</f>
        <v>16</v>
      </c>
      <c r="N340" s="1">
        <f>MAX(-16, MIN(16, Games[[#This Row],[OppRestDiff]]*8))</f>
        <v>-16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1346.2202226914601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1466.6524365385935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0.27039891133004107</v>
      </c>
      <c r="R340" s="1">
        <v>78</v>
      </c>
      <c r="S340" s="1">
        <v>79</v>
      </c>
      <c r="T340" s="1">
        <v>0</v>
      </c>
      <c r="U340" s="1">
        <f>Games[[#This Row],[PointsFor]]-Games[[#This Row],[PointsAgainst]]</f>
        <v>-1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0.2219088583916316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71.5</v>
      </c>
      <c r="Z340" s="4">
        <f>Games[[#This Row],[K]]*Games[[#This Row],[POMult]]</f>
        <v>71.5</v>
      </c>
      <c r="AA340" s="4">
        <f>(Games[[#This Row],[Keff]]*Games[[#This Row],[MOVMult]])*(Games[[#This Row],[Result]]-Games[[#This Row],[ExpectedWin%]])</f>
        <v>-4.2902798312366439</v>
      </c>
      <c r="AB340" s="4">
        <f>Games[[#This Row],[PreGmRate]]+Games[[#This Row],[RatingChange]]</f>
        <v>1341.9299428602235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42965</v>
      </c>
      <c r="B341" s="2">
        <v>2017</v>
      </c>
      <c r="C341" s="2">
        <f>COUNTIFS(Games[Team],Games[[#This Row],[Team]],Games[Season],Games[[#This Row],[Season]],Games[Date],"&lt;=" &amp; Games[[#This Row],[Date]])</f>
        <v>29</v>
      </c>
      <c r="D341" s="2" t="s">
        <v>81</v>
      </c>
      <c r="E341" s="2" t="s">
        <v>82</v>
      </c>
      <c r="F341" s="1" t="s">
        <v>71</v>
      </c>
      <c r="G341" s="1" t="s">
        <v>74</v>
      </c>
      <c r="H341" s="1" t="s">
        <v>84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1" s="2">
        <f>Games[[#This Row],[DaysOff]]-Games[[#This Row],[OppDaysOff]]</f>
        <v>-4</v>
      </c>
      <c r="L341" s="2">
        <f>Games[[#This Row],[OppDaysOff]]-Games[[#This Row],[DaysOff]]</f>
        <v>4</v>
      </c>
      <c r="M341" s="1">
        <f>MAX(-16, MIN(16, Games[[#This Row],[RestDiff]]*8))</f>
        <v>-16</v>
      </c>
      <c r="N341" s="1">
        <f>MAX(-16, MIN(16, Games[[#This Row],[OppRestDiff]]*8))</f>
        <v>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1466.6524365385935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1346.2202226914601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0.72960108866995887</v>
      </c>
      <c r="R341" s="1">
        <v>79</v>
      </c>
      <c r="S341" s="1">
        <v>78</v>
      </c>
      <c r="T341" s="1">
        <v>0</v>
      </c>
      <c r="U341" s="1">
        <f>Games[[#This Row],[PointsFor]]-Games[[#This Row],[PointsAgainst]]</f>
        <v>1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0.2219088583916316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4.2992804182951838</v>
      </c>
      <c r="AB341" s="4">
        <f>Games[[#This Row],[PreGmRate]]+Games[[#This Row],[RatingChange]]</f>
        <v>1470.9517169568887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42965</v>
      </c>
      <c r="B342" s="2">
        <v>2017</v>
      </c>
      <c r="C342" s="2">
        <f>COUNTIFS(Games[Team],Games[[#This Row],[Team]],Games[Season],Games[[#This Row],[Season]],Games[Date],"&lt;=" &amp; Games[[#This Row],[Date]])</f>
        <v>28</v>
      </c>
      <c r="D342" s="2" t="s">
        <v>81</v>
      </c>
      <c r="E342" s="2" t="s">
        <v>82</v>
      </c>
      <c r="F342" s="1" t="s">
        <v>40</v>
      </c>
      <c r="G342" s="1" t="s">
        <v>65</v>
      </c>
      <c r="H342" s="1" t="s">
        <v>83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4</v>
      </c>
      <c r="L342" s="2">
        <f>Games[[#This Row],[OppDaysOff]]-Games[[#This Row],[DaysOff]]</f>
        <v>-4</v>
      </c>
      <c r="M342" s="1">
        <f>MAX(-16, MIN(16, Games[[#This Row],[RestDiff]]*8))</f>
        <v>16</v>
      </c>
      <c r="N342" s="1">
        <f>MAX(-16, MIN(16, Games[[#This Row],[OppRestDiff]]*8))</f>
        <v>-16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1501.0886576346199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1529.1393296633796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0.3867939928548863</v>
      </c>
      <c r="R342" s="1">
        <v>89</v>
      </c>
      <c r="S342" s="1">
        <v>79</v>
      </c>
      <c r="T342" s="1">
        <v>0</v>
      </c>
      <c r="U342" s="1">
        <f>Games[[#This Row],[PointsFor]]-Games[[#This Row],[PointsAgainst]]</f>
        <v>10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0.41346472972480863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18.204104221509638</v>
      </c>
      <c r="AB342" s="4">
        <f>Games[[#This Row],[PreGmRate]]+Games[[#This Row],[RatingChange]]</f>
        <v>1519.2927618561296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42965</v>
      </c>
      <c r="B343" s="2">
        <v>2017</v>
      </c>
      <c r="C343" s="2">
        <f>COUNTIFS(Games[Team],Games[[#This Row],[Team]],Games[Season],Games[[#This Row],[Season]],Games[Date],"&lt;=" &amp; Games[[#This Row],[Date]])</f>
        <v>28</v>
      </c>
      <c r="D343" s="2" t="s">
        <v>81</v>
      </c>
      <c r="E343" s="2" t="s">
        <v>82</v>
      </c>
      <c r="F343" s="1" t="s">
        <v>65</v>
      </c>
      <c r="G343" s="1" t="s">
        <v>40</v>
      </c>
      <c r="H343" s="1" t="s">
        <v>84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3" s="2">
        <f>Games[[#This Row],[DaysOff]]-Games[[#This Row],[OppDaysOff]]</f>
        <v>-4</v>
      </c>
      <c r="L343" s="2">
        <f>Games[[#This Row],[OppDaysOff]]-Games[[#This Row],[DaysOff]]</f>
        <v>4</v>
      </c>
      <c r="M343" s="1">
        <f>MAX(-16, MIN(16, Games[[#This Row],[RestDiff]]*8))</f>
        <v>-16</v>
      </c>
      <c r="N343" s="1">
        <f>MAX(-16, MIN(16, Games[[#This Row],[OppRestDiff]]*8))</f>
        <v>16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1529.1393296633796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1501.0886576346199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0.61320600714511375</v>
      </c>
      <c r="R343" s="1">
        <v>79</v>
      </c>
      <c r="S343" s="1">
        <v>89</v>
      </c>
      <c r="T343" s="1">
        <v>0</v>
      </c>
      <c r="U343" s="1">
        <f>Games[[#This Row],[PointsFor]]-Games[[#This Row],[PointsAgainst]]</f>
        <v>-10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0.41346472972480863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-18.204104221509638</v>
      </c>
      <c r="AB343" s="4">
        <f>Games[[#This Row],[PreGmRate]]+Games[[#This Row],[RatingChange]]</f>
        <v>1510.93522544187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42966</v>
      </c>
      <c r="B344" s="2">
        <v>2017</v>
      </c>
      <c r="C344" s="2">
        <f>COUNTIFS(Games[Team],Games[[#This Row],[Team]],Games[Season],Games[[#This Row],[Season]],Games[Date],"&lt;=" &amp; Games[[#This Row],[Date]])</f>
        <v>30</v>
      </c>
      <c r="D344" s="2" t="s">
        <v>81</v>
      </c>
      <c r="E344" s="2" t="s">
        <v>82</v>
      </c>
      <c r="F344" s="1" t="s">
        <v>79</v>
      </c>
      <c r="G344" s="1" t="s">
        <v>87</v>
      </c>
      <c r="H344" s="1" t="s">
        <v>83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44" s="2">
        <f>Games[[#This Row],[DaysOff]]-Games[[#This Row],[OppDaysOff]]</f>
        <v>-3</v>
      </c>
      <c r="L344" s="2">
        <f>Games[[#This Row],[OppDaysOff]]-Games[[#This Row],[DaysOff]]</f>
        <v>3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1397.8884526198678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1434.2065225211588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0.29383857787876111</v>
      </c>
      <c r="R344" s="1">
        <v>86</v>
      </c>
      <c r="S344" s="1">
        <v>90</v>
      </c>
      <c r="T344" s="1">
        <v>0</v>
      </c>
      <c r="U344" s="1">
        <f>Games[[#This Row],[PointsFor]]-Games[[#This Row],[PointsAgainst]]</f>
        <v>-4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0.30228408933187673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71.5</v>
      </c>
      <c r="Z344" s="4">
        <f>Games[[#This Row],[K]]*Games[[#This Row],[POMult]]</f>
        <v>71.5</v>
      </c>
      <c r="AA344" s="4">
        <f>(Games[[#This Row],[Keff]]*Games[[#This Row],[MOVMult]])*(Games[[#This Row],[Result]]-Games[[#This Row],[ExpectedWin%]])</f>
        <v>-6.3508249751128352</v>
      </c>
      <c r="AB344" s="4">
        <f>Games[[#This Row],[PreGmRate]]+Games[[#This Row],[RatingChange]]</f>
        <v>1391.537627644755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42966</v>
      </c>
      <c r="B345" s="2">
        <v>2017</v>
      </c>
      <c r="C345" s="2">
        <f>COUNTIFS(Games[Team],Games[[#This Row],[Team]],Games[Season],Games[[#This Row],[Season]],Games[Date],"&lt;=" &amp; Games[[#This Row],[Date]])</f>
        <v>30</v>
      </c>
      <c r="D345" s="2" t="s">
        <v>81</v>
      </c>
      <c r="E345" s="2" t="s">
        <v>82</v>
      </c>
      <c r="F345" s="1" t="s">
        <v>87</v>
      </c>
      <c r="G345" s="1" t="s">
        <v>79</v>
      </c>
      <c r="H345" s="1" t="s">
        <v>84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5" s="2">
        <f>Games[[#This Row],[DaysOff]]-Games[[#This Row],[OppDaysOff]]</f>
        <v>3</v>
      </c>
      <c r="L345" s="2">
        <f>Games[[#This Row],[OppDaysOff]]-Games[[#This Row],[DaysOff]]</f>
        <v>-3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1434.2065225211588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1397.8884526198678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0.70616142212123889</v>
      </c>
      <c r="R345" s="1">
        <v>90</v>
      </c>
      <c r="S345" s="1">
        <v>86</v>
      </c>
      <c r="T345" s="1">
        <v>0</v>
      </c>
      <c r="U345" s="1">
        <f>Games[[#This Row],[PointsFor]]-Games[[#This Row],[PointsAgainst]]</f>
        <v>4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0.30228408933187673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71.5</v>
      </c>
      <c r="Z345" s="4">
        <f>Games[[#This Row],[K]]*Games[[#This Row],[POMult]]</f>
        <v>71.5</v>
      </c>
      <c r="AA345" s="4">
        <f>(Games[[#This Row],[Keff]]*Games[[#This Row],[MOVMult]])*(Games[[#This Row],[Result]]-Games[[#This Row],[ExpectedWin%]])</f>
        <v>6.3508249751128352</v>
      </c>
      <c r="AB345" s="4">
        <f>Games[[#This Row],[PreGmRate]]+Games[[#This Row],[RatingChange]]</f>
        <v>1440.5573474962716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42967</v>
      </c>
      <c r="B346" s="2">
        <v>2017</v>
      </c>
      <c r="C346" s="2">
        <f>COUNTIFS(Games[Team],Games[[#This Row],[Team]],Games[Season],Games[[#This Row],[Season]],Games[Date],"&lt;=" &amp; Games[[#This Row],[Date]])</f>
        <v>30</v>
      </c>
      <c r="D346" s="2" t="s">
        <v>81</v>
      </c>
      <c r="E346" s="2" t="s">
        <v>82</v>
      </c>
      <c r="F346" s="1" t="s">
        <v>71</v>
      </c>
      <c r="G346" s="1" t="s">
        <v>77</v>
      </c>
      <c r="H346" s="1" t="s">
        <v>83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1470.9517169568887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1452.9219496955268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0.40618594453109796</v>
      </c>
      <c r="R346" s="1">
        <v>103</v>
      </c>
      <c r="S346" s="1">
        <v>66</v>
      </c>
      <c r="T346" s="1">
        <v>0</v>
      </c>
      <c r="U346" s="1">
        <f>Games[[#This Row],[PointsFor]]-Games[[#This Row],[PointsAgainst]]</f>
        <v>37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0.77319969162905366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32.828284387009028</v>
      </c>
      <c r="AB346" s="4">
        <f>Games[[#This Row],[PreGmRate]]+Games[[#This Row],[RatingChange]]</f>
        <v>1503.7800013438978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42967</v>
      </c>
      <c r="B347" s="2">
        <v>2017</v>
      </c>
      <c r="C347" s="2">
        <f>COUNTIFS(Games[Team],Games[[#This Row],[Team]],Games[Season],Games[[#This Row],[Season]],Games[Date],"&lt;=" &amp; Games[[#This Row],[Date]])</f>
        <v>29</v>
      </c>
      <c r="D347" s="2" t="s">
        <v>81</v>
      </c>
      <c r="E347" s="2" t="s">
        <v>82</v>
      </c>
      <c r="F347" s="1" t="s">
        <v>77</v>
      </c>
      <c r="G347" s="1" t="s">
        <v>71</v>
      </c>
      <c r="H347" s="1" t="s">
        <v>84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1452.9219496955268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1470.9517169568887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0.59381405546890198</v>
      </c>
      <c r="R347" s="1">
        <v>66</v>
      </c>
      <c r="S347" s="1">
        <v>103</v>
      </c>
      <c r="T347" s="1">
        <v>0</v>
      </c>
      <c r="U347" s="1">
        <f>Games[[#This Row],[PointsFor]]-Games[[#This Row],[PointsAgainst]]</f>
        <v>-37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0.77319969162905366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-32.897154913695061</v>
      </c>
      <c r="AB347" s="4">
        <f>Games[[#This Row],[PreGmRate]]+Games[[#This Row],[RatingChange]]</f>
        <v>1420.0247947818318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42967</v>
      </c>
      <c r="B348" s="2">
        <v>2017</v>
      </c>
      <c r="C348" s="2">
        <f>COUNTIFS(Games[Team],Games[[#This Row],[Team]],Games[Season],Games[[#This Row],[Season]],Games[Date],"&lt;=" &amp; Games[[#This Row],[Date]])</f>
        <v>29</v>
      </c>
      <c r="D348" s="2" t="s">
        <v>81</v>
      </c>
      <c r="E348" s="2" t="s">
        <v>82</v>
      </c>
      <c r="F348" s="1" t="s">
        <v>40</v>
      </c>
      <c r="G348" s="1" t="s">
        <v>76</v>
      </c>
      <c r="H348" s="1" t="s">
        <v>83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1519.2927618561296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1579.6197158738132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0.30347324967746669</v>
      </c>
      <c r="R348" s="1">
        <v>66</v>
      </c>
      <c r="S348" s="1">
        <v>94</v>
      </c>
      <c r="T348" s="1">
        <v>0</v>
      </c>
      <c r="U348" s="1">
        <f>Games[[#This Row],[PointsFor]]-Games[[#This Row],[PointsAgainst]]</f>
        <v>-28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0.64658427679223385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-14.059236919047583</v>
      </c>
      <c r="AB348" s="4">
        <f>Games[[#This Row],[PreGmRate]]+Games[[#This Row],[RatingChange]]</f>
        <v>1505.2335249370819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42967</v>
      </c>
      <c r="B349" s="2">
        <v>2017</v>
      </c>
      <c r="C349" s="2">
        <f>COUNTIFS(Games[Team],Games[[#This Row],[Team]],Games[Season],Games[[#This Row],[Season]],Games[Date],"&lt;=" &amp; Games[[#This Row],[Date]])</f>
        <v>29</v>
      </c>
      <c r="D349" s="2" t="s">
        <v>81</v>
      </c>
      <c r="E349" s="2" t="s">
        <v>82</v>
      </c>
      <c r="F349" s="1" t="s">
        <v>76</v>
      </c>
      <c r="G349" s="1" t="s">
        <v>40</v>
      </c>
      <c r="H349" s="1" t="s">
        <v>84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1579.6197158738132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1519.2927618561296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0.69652675032253331</v>
      </c>
      <c r="R349" s="1">
        <v>94</v>
      </c>
      <c r="S349" s="1">
        <v>66</v>
      </c>
      <c r="T349" s="1">
        <v>0</v>
      </c>
      <c r="U349" s="1">
        <f>Games[[#This Row],[PointsFor]]-Games[[#This Row],[PointsAgainst]]</f>
        <v>28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0.64658427679223385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14.059236919047583</v>
      </c>
      <c r="AB349" s="4">
        <f>Games[[#This Row],[PreGmRate]]+Games[[#This Row],[RatingChange]]</f>
        <v>1593.6789527928609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42967</v>
      </c>
      <c r="B350" s="2">
        <v>2017</v>
      </c>
      <c r="C350" s="2">
        <f>COUNTIFS(Games[Team],Games[[#This Row],[Team]],Games[Season],Games[[#This Row],[Season]],Games[Date],"&lt;=" &amp; Games[[#This Row],[Date]])</f>
        <v>29</v>
      </c>
      <c r="D350" s="2" t="s">
        <v>81</v>
      </c>
      <c r="E350" s="2" t="s">
        <v>82</v>
      </c>
      <c r="F350" s="1" t="s">
        <v>65</v>
      </c>
      <c r="G350" s="1" t="s">
        <v>69</v>
      </c>
      <c r="H350" s="1" t="s">
        <v>83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1510.93522544187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1367.0480197390132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0.58534109225772013</v>
      </c>
      <c r="R350" s="1">
        <v>87</v>
      </c>
      <c r="S350" s="1">
        <v>82</v>
      </c>
      <c r="T350" s="1">
        <v>0</v>
      </c>
      <c r="U350" s="1">
        <f>Games[[#This Row],[PointsFor]]-Games[[#This Row],[PointsAgainst]]</f>
        <v>5</v>
      </c>
      <c r="V350" s="1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0.29623555374596044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8.8012503539497615</v>
      </c>
      <c r="AB350" s="4">
        <f>Games[[#This Row],[PreGmRate]]+Games[[#This Row],[RatingChange]]</f>
        <v>1519.7364757958198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42967</v>
      </c>
      <c r="B351" s="2">
        <v>2017</v>
      </c>
      <c r="C351" s="2">
        <f>COUNTIFS(Games[Team],Games[[#This Row],[Team]],Games[Season],Games[[#This Row],[Season]],Games[Date],"&lt;=" &amp; Games[[#This Row],[Date]])</f>
        <v>30</v>
      </c>
      <c r="D351" s="2" t="s">
        <v>81</v>
      </c>
      <c r="E351" s="2" t="s">
        <v>82</v>
      </c>
      <c r="F351" s="1" t="s">
        <v>69</v>
      </c>
      <c r="G351" s="1" t="s">
        <v>65</v>
      </c>
      <c r="H351" s="1" t="s">
        <v>84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1367.0480197390132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1510.93522544187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0.41465890774227993</v>
      </c>
      <c r="R351" s="1">
        <v>82</v>
      </c>
      <c r="S351" s="1">
        <v>87</v>
      </c>
      <c r="T351" s="1">
        <v>0</v>
      </c>
      <c r="U351" s="1">
        <f>Games[[#This Row],[PointsFor]]-Games[[#This Row],[PointsAgainst]]</f>
        <v>-5</v>
      </c>
      <c r="V351" s="1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0.29623555374596044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-8.7828248472771531</v>
      </c>
      <c r="AB351" s="4">
        <f>Games[[#This Row],[PreGmRate]]+Games[[#This Row],[RatingChange]]</f>
        <v>1358.265194891736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42967</v>
      </c>
      <c r="B352" s="2">
        <v>2017</v>
      </c>
      <c r="C352" s="2">
        <f>COUNTIFS(Games[Team],Games[[#This Row],[Team]],Games[Season],Games[[#This Row],[Season]],Games[Date],"&lt;=" &amp; Games[[#This Row],[Date]])</f>
        <v>28</v>
      </c>
      <c r="D352" s="2" t="s">
        <v>81</v>
      </c>
      <c r="E352" s="2" t="s">
        <v>82</v>
      </c>
      <c r="F352" s="1" t="s">
        <v>67</v>
      </c>
      <c r="G352" s="1" t="s">
        <v>60</v>
      </c>
      <c r="H352" s="1" t="s">
        <v>83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1697.8695982681493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1555.9661980352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0.58256666382697642</v>
      </c>
      <c r="R352" s="1">
        <v>61</v>
      </c>
      <c r="S352" s="1">
        <v>70</v>
      </c>
      <c r="T352" s="1">
        <v>0</v>
      </c>
      <c r="U352" s="1">
        <f>Games[[#This Row],[PointsFor]]-Games[[#This Row],[PointsAgainst]]</f>
        <v>-9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0.36304091076311551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71.8</v>
      </c>
      <c r="Z352" s="4">
        <f>Games[[#This Row],[K]]*Games[[#This Row],[POMult]]</f>
        <v>71.8</v>
      </c>
      <c r="AA352" s="4">
        <f>(Games[[#This Row],[Keff]]*Games[[#This Row],[MOVMult]])*(Games[[#This Row],[Result]]-Games[[#This Row],[ExpectedWin%]])</f>
        <v>-15.185379213107023</v>
      </c>
      <c r="AB352" s="4">
        <f>Games[[#This Row],[PreGmRate]]+Games[[#This Row],[RatingChange]]</f>
        <v>1682.6842190550421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42967</v>
      </c>
      <c r="B353" s="2">
        <v>2017</v>
      </c>
      <c r="C353" s="2">
        <f>COUNTIFS(Games[Team],Games[[#This Row],[Team]],Games[Season],Games[[#This Row],[Season]],Games[Date],"&lt;=" &amp; Games[[#This Row],[Date]])</f>
        <v>29</v>
      </c>
      <c r="D353" s="2" t="s">
        <v>81</v>
      </c>
      <c r="E353" s="2" t="s">
        <v>82</v>
      </c>
      <c r="F353" s="1" t="s">
        <v>60</v>
      </c>
      <c r="G353" s="1" t="s">
        <v>67</v>
      </c>
      <c r="H353" s="1" t="s">
        <v>84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1555.9661980352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1697.8695982681493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0.41743333617302358</v>
      </c>
      <c r="R353" s="1">
        <v>70</v>
      </c>
      <c r="S353" s="1">
        <v>61</v>
      </c>
      <c r="T353" s="1">
        <v>0</v>
      </c>
      <c r="U353" s="1">
        <f>Games[[#This Row],[PointsFor]]-Games[[#This Row],[PointsAgainst]]</f>
        <v>9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0.36304091076311551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15.15365488327463</v>
      </c>
      <c r="AB353" s="4">
        <f>Games[[#This Row],[PreGmRate]]+Games[[#This Row],[RatingChange]]</f>
        <v>1571.1198529184746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42969</v>
      </c>
      <c r="B354" s="2">
        <v>2017</v>
      </c>
      <c r="C354" s="2">
        <f>COUNTIFS(Games[Team],Games[[#This Row],[Team]],Games[Season],Games[[#This Row],[Season]],Games[Date],"&lt;=" &amp; Games[[#This Row],[Date]])</f>
        <v>31</v>
      </c>
      <c r="D354" s="2" t="s">
        <v>81</v>
      </c>
      <c r="E354" s="2" t="s">
        <v>82</v>
      </c>
      <c r="F354" s="1" t="s">
        <v>74</v>
      </c>
      <c r="G354" s="1" t="s">
        <v>63</v>
      </c>
      <c r="H354" s="1" t="s">
        <v>83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1341.9299428602235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1672.0528832633122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8.4409962526520041E-2</v>
      </c>
      <c r="R354" s="1">
        <v>55</v>
      </c>
      <c r="S354" s="1">
        <v>75</v>
      </c>
      <c r="T354" s="1">
        <v>0</v>
      </c>
      <c r="U354" s="1">
        <f>Games[[#This Row],[PointsFor]]-Games[[#This Row],[PointsAgainst]]</f>
        <v>-20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0.4508558185193095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71.349999999999994</v>
      </c>
      <c r="Z354" s="4">
        <f>Games[[#This Row],[K]]*Games[[#This Row],[POMult]]</f>
        <v>71.349999999999994</v>
      </c>
      <c r="AA354" s="4">
        <f>(Games[[#This Row],[Keff]]*Games[[#This Row],[MOVMult]])*(Games[[#This Row],[Result]]-Games[[#This Row],[ExpectedWin%]])</f>
        <v>-2.7153471679326961</v>
      </c>
      <c r="AB354" s="4">
        <f>Games[[#This Row],[PreGmRate]]+Games[[#This Row],[RatingChange]]</f>
        <v>1339.2145956922907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42969</v>
      </c>
      <c r="B355" s="2">
        <v>2017</v>
      </c>
      <c r="C355" s="2">
        <f>COUNTIFS(Games[Team],Games[[#This Row],[Team]],Games[Season],Games[[#This Row],[Season]],Games[Date],"&lt;=" &amp; Games[[#This Row],[Date]])</f>
        <v>30</v>
      </c>
      <c r="D355" s="2" t="s">
        <v>81</v>
      </c>
      <c r="E355" s="2" t="s">
        <v>82</v>
      </c>
      <c r="F355" s="1" t="s">
        <v>63</v>
      </c>
      <c r="G355" s="1" t="s">
        <v>74</v>
      </c>
      <c r="H355" s="1" t="s">
        <v>84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1672.0528832633122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1341.9299428602235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0.91559003747348</v>
      </c>
      <c r="R355" s="1">
        <v>75</v>
      </c>
      <c r="S355" s="1">
        <v>55</v>
      </c>
      <c r="T355" s="1">
        <v>0</v>
      </c>
      <c r="U355" s="1">
        <f>Games[[#This Row],[PointsFor]]-Games[[#This Row],[PointsAgainst]]</f>
        <v>20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0.4508558185193095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2.7210556763446063</v>
      </c>
      <c r="AB355" s="4">
        <f>Games[[#This Row],[PreGmRate]]+Games[[#This Row],[RatingChange]]</f>
        <v>1674.7739389396568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42969</v>
      </c>
      <c r="B356" s="2">
        <v>2017</v>
      </c>
      <c r="C356" s="2">
        <f>COUNTIFS(Games[Team],Games[[#This Row],[Team]],Games[Season],Games[[#This Row],[Season]],Games[Date],"&lt;=" &amp; Games[[#This Row],[Date]])</f>
        <v>30</v>
      </c>
      <c r="D356" s="2" t="s">
        <v>81</v>
      </c>
      <c r="E356" s="2" t="s">
        <v>82</v>
      </c>
      <c r="F356" s="1" t="s">
        <v>40</v>
      </c>
      <c r="G356" s="1" t="s">
        <v>67</v>
      </c>
      <c r="H356" s="1" t="s">
        <v>83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1505.2335249370819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1682.6842190550421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0.18167634020224535</v>
      </c>
      <c r="R356" s="1">
        <v>69</v>
      </c>
      <c r="S356" s="1">
        <v>105</v>
      </c>
      <c r="T356" s="1">
        <v>0</v>
      </c>
      <c r="U356" s="1">
        <f>Games[[#This Row],[PointsFor]]-Games[[#This Row],[PointsAgainst]]</f>
        <v>-36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0.67389813087217132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-8.7538412451482746</v>
      </c>
      <c r="AB356" s="4">
        <f>Games[[#This Row],[PreGmRate]]+Games[[#This Row],[RatingChange]]</f>
        <v>1496.4796836919336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42969</v>
      </c>
      <c r="B357" s="2">
        <v>2017</v>
      </c>
      <c r="C357" s="2">
        <f>COUNTIFS(Games[Team],Games[[#This Row],[Team]],Games[Season],Games[[#This Row],[Season]],Games[Date],"&lt;=" &amp; Games[[#This Row],[Date]])</f>
        <v>29</v>
      </c>
      <c r="D357" s="2" t="s">
        <v>81</v>
      </c>
      <c r="E357" s="2" t="s">
        <v>82</v>
      </c>
      <c r="F357" s="1" t="s">
        <v>67</v>
      </c>
      <c r="G357" s="1" t="s">
        <v>40</v>
      </c>
      <c r="H357" s="1" t="s">
        <v>84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1682.6842190550421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1505.2335249370819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0.81832365979775468</v>
      </c>
      <c r="R357" s="1">
        <v>105</v>
      </c>
      <c r="S357" s="1">
        <v>69</v>
      </c>
      <c r="T357" s="1">
        <v>0</v>
      </c>
      <c r="U357" s="1">
        <f>Games[[#This Row],[PointsFor]]-Games[[#This Row],[PointsAgainst]]</f>
        <v>36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0.67389813087217132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71.650000000000006</v>
      </c>
      <c r="Z357" s="4">
        <f>Games[[#This Row],[K]]*Games[[#This Row],[POMult]]</f>
        <v>71.650000000000006</v>
      </c>
      <c r="AA357" s="4">
        <f>(Games[[#This Row],[Keff]]*Games[[#This Row],[MOVMult]])*(Games[[#This Row],[Result]]-Games[[#This Row],[ExpectedWin%]])</f>
        <v>8.7722059470611722</v>
      </c>
      <c r="AB357" s="4">
        <f>Games[[#This Row],[PreGmRate]]+Games[[#This Row],[RatingChange]]</f>
        <v>1691.4564250021033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42970</v>
      </c>
      <c r="B358" s="2">
        <v>2017</v>
      </c>
      <c r="C358" s="2">
        <f>COUNTIFS(Games[Team],Games[[#This Row],[Team]],Games[Season],Games[[#This Row],[Season]],Games[Date],"&lt;=" &amp; Games[[#This Row],[Date]])</f>
        <v>31</v>
      </c>
      <c r="D358" s="2" t="s">
        <v>81</v>
      </c>
      <c r="E358" s="2" t="s">
        <v>82</v>
      </c>
      <c r="F358" s="1" t="s">
        <v>71</v>
      </c>
      <c r="G358" s="1" t="s">
        <v>79</v>
      </c>
      <c r="H358" s="1" t="s">
        <v>83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1503.7800013438978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1391.537627644755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0.51761090400998078</v>
      </c>
      <c r="R358" s="1">
        <v>83</v>
      </c>
      <c r="S358" s="1">
        <v>89</v>
      </c>
      <c r="T358" s="1">
        <v>0</v>
      </c>
      <c r="U358" s="1">
        <f>Games[[#This Row],[PointsFor]]-Games[[#This Row],[PointsAgainst]]</f>
        <v>-6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0.32123403553940988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71.349999999999994</v>
      </c>
      <c r="Z358" s="4">
        <f>Games[[#This Row],[K]]*Games[[#This Row],[POMult]]</f>
        <v>71.349999999999994</v>
      </c>
      <c r="AA358" s="4">
        <f>(Games[[#This Row],[Keff]]*Games[[#This Row],[MOVMult]])*(Games[[#This Row],[Result]]-Games[[#This Row],[ExpectedWin%]])</f>
        <v>-11.863666990774318</v>
      </c>
      <c r="AB358" s="4">
        <f>Games[[#This Row],[PreGmRate]]+Games[[#This Row],[RatingChange]]</f>
        <v>1491.9163343531234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42970</v>
      </c>
      <c r="B359" s="2">
        <v>2017</v>
      </c>
      <c r="C359" s="2">
        <f>COUNTIFS(Games[Team],Games[[#This Row],[Team]],Games[Season],Games[[#This Row],[Season]],Games[Date],"&lt;=" &amp; Games[[#This Row],[Date]])</f>
        <v>31</v>
      </c>
      <c r="D359" s="2" t="s">
        <v>81</v>
      </c>
      <c r="E359" s="2" t="s">
        <v>82</v>
      </c>
      <c r="F359" s="1" t="s">
        <v>79</v>
      </c>
      <c r="G359" s="1" t="s">
        <v>71</v>
      </c>
      <c r="H359" s="1" t="s">
        <v>84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1391.537627644755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1503.7800013438978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0.48238909599001922</v>
      </c>
      <c r="R359" s="1">
        <v>89</v>
      </c>
      <c r="S359" s="1">
        <v>83</v>
      </c>
      <c r="T359" s="1">
        <v>0</v>
      </c>
      <c r="U359" s="1">
        <f>Games[[#This Row],[PointsFor]]-Games[[#This Row],[PointsAgainst]]</f>
        <v>6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0.32123403553940988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71.349999999999994</v>
      </c>
      <c r="Z359" s="4">
        <f>Games[[#This Row],[K]]*Games[[#This Row],[POMult]]</f>
        <v>71.349999999999994</v>
      </c>
      <c r="AA359" s="4">
        <f>(Games[[#This Row],[Keff]]*Games[[#This Row],[MOVMult]])*(Games[[#This Row],[Result]]-Games[[#This Row],[ExpectedWin%]])</f>
        <v>11.863666990774318</v>
      </c>
      <c r="AB359" s="4">
        <f>Games[[#This Row],[PreGmRate]]+Games[[#This Row],[RatingChange]]</f>
        <v>1403.4012946355294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42970</v>
      </c>
      <c r="B360" s="2">
        <v>2017</v>
      </c>
      <c r="C360" s="2">
        <f>COUNTIFS(Games[Team],Games[[#This Row],[Team]],Games[Season],Games[[#This Row],[Season]],Games[Date],"&lt;=" &amp; Games[[#This Row],[Date]])</f>
        <v>31</v>
      </c>
      <c r="D360" s="2" t="s">
        <v>81</v>
      </c>
      <c r="E360" s="2" t="s">
        <v>82</v>
      </c>
      <c r="F360" s="1" t="s">
        <v>87</v>
      </c>
      <c r="G360" s="1" t="s">
        <v>76</v>
      </c>
      <c r="H360" s="1" t="s">
        <v>83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1</v>
      </c>
      <c r="L360" s="2">
        <f>Games[[#This Row],[OppDaysOff]]-Games[[#This Row],[DaysOff]]</f>
        <v>-1</v>
      </c>
      <c r="M360" s="1">
        <f>MAX(-16, MIN(16, Games[[#This Row],[RestDiff]]*8))</f>
        <v>8</v>
      </c>
      <c r="N360" s="1">
        <f>MAX(-16, MIN(16, Games[[#This Row],[OppRestDiff]]*8))</f>
        <v>-8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1440.5573474962716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1593.6789527928609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0.21876493613446737</v>
      </c>
      <c r="R360" s="1">
        <v>87</v>
      </c>
      <c r="S360" s="1">
        <v>93</v>
      </c>
      <c r="T360" s="1">
        <v>0</v>
      </c>
      <c r="U360" s="1">
        <f>Games[[#This Row],[PointsFor]]-Games[[#This Row],[PointsAgainst]]</f>
        <v>-6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0.3115292163388329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71.349999999999994</v>
      </c>
      <c r="Z360" s="4">
        <f>Games[[#This Row],[K]]*Games[[#This Row],[POMult]]</f>
        <v>71.349999999999994</v>
      </c>
      <c r="AA360" s="4">
        <f>(Games[[#This Row],[Keff]]*Games[[#This Row],[MOVMult]])*(Games[[#This Row],[Result]]-Games[[#This Row],[ExpectedWin%]])</f>
        <v>-4.8626215914541016</v>
      </c>
      <c r="AB360" s="4">
        <f>Games[[#This Row],[PreGmRate]]+Games[[#This Row],[RatingChange]]</f>
        <v>1435.6947259048175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42970</v>
      </c>
      <c r="B361" s="2">
        <v>2017</v>
      </c>
      <c r="C361" s="2">
        <f>COUNTIFS(Games[Team],Games[[#This Row],[Team]],Games[Season],Games[[#This Row],[Season]],Games[Date],"&lt;=" &amp; Games[[#This Row],[Date]])</f>
        <v>30</v>
      </c>
      <c r="D361" s="2" t="s">
        <v>81</v>
      </c>
      <c r="E361" s="2" t="s">
        <v>82</v>
      </c>
      <c r="F361" s="1" t="s">
        <v>76</v>
      </c>
      <c r="G361" s="1" t="s">
        <v>87</v>
      </c>
      <c r="H361" s="1" t="s">
        <v>84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1" s="2">
        <f>Games[[#This Row],[DaysOff]]-Games[[#This Row],[OppDaysOff]]</f>
        <v>-1</v>
      </c>
      <c r="L361" s="2">
        <f>Games[[#This Row],[OppDaysOff]]-Games[[#This Row],[DaysOff]]</f>
        <v>1</v>
      </c>
      <c r="M361" s="1">
        <f>MAX(-16, MIN(16, Games[[#This Row],[RestDiff]]*8))</f>
        <v>-8</v>
      </c>
      <c r="N361" s="1">
        <f>MAX(-16, MIN(16, Games[[#This Row],[OppRestDiff]]*8))</f>
        <v>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1593.6789527928609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1440.5573474962716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0.78123506386553265</v>
      </c>
      <c r="R361" s="1">
        <v>93</v>
      </c>
      <c r="S361" s="1">
        <v>87</v>
      </c>
      <c r="T361" s="1">
        <v>0</v>
      </c>
      <c r="U361" s="1">
        <f>Games[[#This Row],[PointsFor]]-Games[[#This Row],[PointsAgainst]]</f>
        <v>6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0.3115292163388329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4.8728443418215592</v>
      </c>
      <c r="AB361" s="4">
        <f>Games[[#This Row],[PreGmRate]]+Games[[#This Row],[RatingChange]]</f>
        <v>1598.5517971346824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42970</v>
      </c>
      <c r="B362" s="2">
        <v>2017</v>
      </c>
      <c r="C362" s="2">
        <f>COUNTIFS(Games[Team],Games[[#This Row],[Team]],Games[Season],Games[[#This Row],[Season]],Games[Date],"&lt;=" &amp; Games[[#This Row],[Date]])</f>
        <v>30</v>
      </c>
      <c r="D362" s="2" t="s">
        <v>81</v>
      </c>
      <c r="E362" s="2" t="s">
        <v>82</v>
      </c>
      <c r="F362" s="1" t="s">
        <v>60</v>
      </c>
      <c r="G362" s="1" t="s">
        <v>69</v>
      </c>
      <c r="H362" s="1" t="s">
        <v>83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1571.1198529184746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1358.265194891736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0.67737776690272045</v>
      </c>
      <c r="R362" s="1">
        <v>71</v>
      </c>
      <c r="S362" s="1">
        <v>50</v>
      </c>
      <c r="T362" s="1">
        <v>0</v>
      </c>
      <c r="U362" s="1">
        <f>Games[[#This Row],[PointsFor]]-Games[[#This Row],[PointsAgainst]]</f>
        <v>21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0.4999038955014139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11.531527943699709</v>
      </c>
      <c r="AB362" s="4">
        <f>Games[[#This Row],[PreGmRate]]+Games[[#This Row],[RatingChange]]</f>
        <v>1582.6513808621744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42970</v>
      </c>
      <c r="B363" s="2">
        <v>2017</v>
      </c>
      <c r="C363" s="2">
        <f>COUNTIFS(Games[Team],Games[[#This Row],[Team]],Games[Season],Games[[#This Row],[Season]],Games[Date],"&lt;=" &amp; Games[[#This Row],[Date]])</f>
        <v>31</v>
      </c>
      <c r="D363" s="2" t="s">
        <v>81</v>
      </c>
      <c r="E363" s="2" t="s">
        <v>82</v>
      </c>
      <c r="F363" s="1" t="s">
        <v>69</v>
      </c>
      <c r="G363" s="1" t="s">
        <v>60</v>
      </c>
      <c r="H363" s="1" t="s">
        <v>84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1358.265194891736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1571.1198529184746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0.32262223309727955</v>
      </c>
      <c r="R363" s="1">
        <v>50</v>
      </c>
      <c r="S363" s="1">
        <v>71</v>
      </c>
      <c r="T363" s="1">
        <v>0</v>
      </c>
      <c r="U363" s="1">
        <f>Games[[#This Row],[PointsFor]]-Games[[#This Row],[PointsAgainst]]</f>
        <v>-21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0.4999038955014139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-11.507335927034605</v>
      </c>
      <c r="AB363" s="4">
        <f>Games[[#This Row],[PreGmRate]]+Games[[#This Row],[RatingChange]]</f>
        <v>1346.7578589647014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42971</v>
      </c>
      <c r="B364" s="2">
        <v>2017</v>
      </c>
      <c r="C364" s="2">
        <f>COUNTIFS(Games[Team],Games[[#This Row],[Team]],Games[Season],Games[[#This Row],[Season]],Games[Date],"&lt;=" &amp; Games[[#This Row],[Date]])</f>
        <v>31</v>
      </c>
      <c r="D364" s="2" t="s">
        <v>81</v>
      </c>
      <c r="E364" s="2" t="s">
        <v>82</v>
      </c>
      <c r="F364" s="1" t="s">
        <v>63</v>
      </c>
      <c r="G364" s="1" t="s">
        <v>40</v>
      </c>
      <c r="H364" s="1" t="s">
        <v>83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1674.7739389396568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1496.4796836919336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0.63246384594715765</v>
      </c>
      <c r="R364" s="1">
        <v>82</v>
      </c>
      <c r="S364" s="1">
        <v>67</v>
      </c>
      <c r="T364" s="1">
        <v>0</v>
      </c>
      <c r="U364" s="1">
        <f>Games[[#This Row],[PointsFor]]-Games[[#This Row],[PointsAgainst]]</f>
        <v>15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0.43780029653106467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11.480745646376299</v>
      </c>
      <c r="AB364" s="4">
        <f>Games[[#This Row],[PreGmRate]]+Games[[#This Row],[RatingChange]]</f>
        <v>1686.2546845860331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42971</v>
      </c>
      <c r="B365" s="2">
        <v>2017</v>
      </c>
      <c r="C365" s="2">
        <f>COUNTIFS(Games[Team],Games[[#This Row],[Team]],Games[Season],Games[[#This Row],[Season]],Games[Date],"&lt;=" &amp; Games[[#This Row],[Date]])</f>
        <v>31</v>
      </c>
      <c r="D365" s="2" t="s">
        <v>81</v>
      </c>
      <c r="E365" s="2" t="s">
        <v>82</v>
      </c>
      <c r="F365" s="1" t="s">
        <v>40</v>
      </c>
      <c r="G365" s="1" t="s">
        <v>63</v>
      </c>
      <c r="H365" s="1" t="s">
        <v>84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1496.4796836919336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1674.7739389396568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0.36753615405284235</v>
      </c>
      <c r="R365" s="1">
        <v>67</v>
      </c>
      <c r="S365" s="1">
        <v>82</v>
      </c>
      <c r="T365" s="1">
        <v>0</v>
      </c>
      <c r="U365" s="1">
        <f>Games[[#This Row],[PointsFor]]-Games[[#This Row],[PointsAgainst]]</f>
        <v>-15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0.43780029653106467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-11.480745646376299</v>
      </c>
      <c r="AB365" s="4">
        <f>Games[[#This Row],[PreGmRate]]+Games[[#This Row],[RatingChange]]</f>
        <v>1484.9989380455572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42972</v>
      </c>
      <c r="B366" s="2">
        <v>2017</v>
      </c>
      <c r="C366" s="2">
        <f>COUNTIFS(Games[Team],Games[[#This Row],[Team]],Games[Season],Games[[#This Row],[Season]],Games[Date],"&lt;=" &amp; Games[[#This Row],[Date]])</f>
        <v>30</v>
      </c>
      <c r="D366" s="2" t="s">
        <v>81</v>
      </c>
      <c r="E366" s="2" t="s">
        <v>82</v>
      </c>
      <c r="F366" s="1" t="s">
        <v>77</v>
      </c>
      <c r="G366" s="1" t="s">
        <v>76</v>
      </c>
      <c r="H366" s="1" t="s">
        <v>83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3</v>
      </c>
      <c r="L366" s="2">
        <f>Games[[#This Row],[OppDaysOff]]-Games[[#This Row],[DaysOff]]</f>
        <v>-3</v>
      </c>
      <c r="M366" s="1">
        <f>MAX(-16, MIN(16, Games[[#This Row],[RestDiff]]*8))</f>
        <v>16</v>
      </c>
      <c r="N366" s="1">
        <f>MAX(-16, MIN(16, Games[[#This Row],[OppRestDiff]]*8))</f>
        <v>-16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1420.0247947818318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1598.5517971346824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0.20965270316365095</v>
      </c>
      <c r="R366" s="1">
        <v>96</v>
      </c>
      <c r="S366" s="1">
        <v>83</v>
      </c>
      <c r="T366" s="1">
        <v>0</v>
      </c>
      <c r="U366" s="1">
        <f>Games[[#This Row],[PointsFor]]-Games[[#This Row],[PointsAgainst]]</f>
        <v>13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0.41091143358826332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71.5</v>
      </c>
      <c r="Z366" s="4">
        <f>Games[[#This Row],[K]]*Games[[#This Row],[POMult]]</f>
        <v>71.5</v>
      </c>
      <c r="AA366" s="4">
        <f>(Games[[#This Row],[Keff]]*Games[[#This Row],[MOVMult]])*(Games[[#This Row],[Result]]-Games[[#This Row],[ExpectedWin%]])</f>
        <v>23.220535965457753</v>
      </c>
      <c r="AB366" s="4">
        <f>Games[[#This Row],[PreGmRate]]+Games[[#This Row],[RatingChange]]</f>
        <v>1443.2453307472895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42972</v>
      </c>
      <c r="B367" s="2">
        <v>2017</v>
      </c>
      <c r="C367" s="2">
        <f>COUNTIFS(Games[Team],Games[[#This Row],[Team]],Games[Season],Games[[#This Row],[Season]],Games[Date],"&lt;=" &amp; Games[[#This Row],[Date]])</f>
        <v>31</v>
      </c>
      <c r="D367" s="2" t="s">
        <v>81</v>
      </c>
      <c r="E367" s="2" t="s">
        <v>82</v>
      </c>
      <c r="F367" s="1" t="s">
        <v>76</v>
      </c>
      <c r="G367" s="1" t="s">
        <v>77</v>
      </c>
      <c r="H367" s="1" t="s">
        <v>84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7" s="2">
        <f>Games[[#This Row],[DaysOff]]-Games[[#This Row],[OppDaysOff]]</f>
        <v>-3</v>
      </c>
      <c r="L367" s="2">
        <f>Games[[#This Row],[OppDaysOff]]-Games[[#This Row],[DaysOff]]</f>
        <v>3</v>
      </c>
      <c r="M367" s="1">
        <f>MAX(-16, MIN(16, Games[[#This Row],[RestDiff]]*8))</f>
        <v>-16</v>
      </c>
      <c r="N367" s="1">
        <f>MAX(-16, MIN(16, Games[[#This Row],[OppRestDiff]]*8))</f>
        <v>16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1598.5517971346824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1420.0247947818318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0.79034729683634908</v>
      </c>
      <c r="R367" s="1">
        <v>83</v>
      </c>
      <c r="S367" s="1">
        <v>96</v>
      </c>
      <c r="T367" s="1">
        <v>0</v>
      </c>
      <c r="U367" s="1">
        <f>Games[[#This Row],[PointsFor]]-Games[[#This Row],[PointsAgainst]]</f>
        <v>-13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0.41091143358826332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-23.171821554341406</v>
      </c>
      <c r="AB367" s="4">
        <f>Games[[#This Row],[PreGmRate]]+Games[[#This Row],[RatingChange]]</f>
        <v>1575.3799755803409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42972</v>
      </c>
      <c r="B368" s="2">
        <v>2017</v>
      </c>
      <c r="C368" s="2">
        <f>COUNTIFS(Games[Team],Games[[#This Row],[Team]],Games[Season],Games[[#This Row],[Season]],Games[Date],"&lt;=" &amp; Games[[#This Row],[Date]])</f>
        <v>30</v>
      </c>
      <c r="D368" s="2" t="s">
        <v>81</v>
      </c>
      <c r="E368" s="2" t="s">
        <v>82</v>
      </c>
      <c r="F368" s="1" t="s">
        <v>65</v>
      </c>
      <c r="G368" s="1" t="s">
        <v>60</v>
      </c>
      <c r="H368" s="1" t="s">
        <v>83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3</v>
      </c>
      <c r="L368" s="2">
        <f>Games[[#This Row],[OppDaysOff]]-Games[[#This Row],[DaysOff]]</f>
        <v>-3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1519.7364757958198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1582.6513808621744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0.34040198158776774</v>
      </c>
      <c r="R368" s="1">
        <v>66</v>
      </c>
      <c r="S368" s="1">
        <v>74</v>
      </c>
      <c r="T368" s="1">
        <v>0</v>
      </c>
      <c r="U368" s="1">
        <f>Games[[#This Row],[PointsFor]]-Games[[#This Row],[PointsAgainst]]</f>
        <v>-8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0.36897073598092001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71.5</v>
      </c>
      <c r="Z368" s="4">
        <f>Games[[#This Row],[K]]*Games[[#This Row],[POMult]]</f>
        <v>71.5</v>
      </c>
      <c r="AA368" s="4">
        <f>(Games[[#This Row],[Keff]]*Games[[#This Row],[MOVMult]])*(Games[[#This Row],[Result]]-Games[[#This Row],[ExpectedWin%]])</f>
        <v>-8.9802834318198599</v>
      </c>
      <c r="AB368" s="4">
        <f>Games[[#This Row],[PreGmRate]]+Games[[#This Row],[RatingChange]]</f>
        <v>1510.7561923640001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42972</v>
      </c>
      <c r="B369" s="2">
        <v>2017</v>
      </c>
      <c r="C369" s="2">
        <f>COUNTIFS(Games[Team],Games[[#This Row],[Team]],Games[Season],Games[[#This Row],[Season]],Games[Date],"&lt;=" &amp; Games[[#This Row],[Date]])</f>
        <v>31</v>
      </c>
      <c r="D369" s="2" t="s">
        <v>81</v>
      </c>
      <c r="E369" s="2" t="s">
        <v>82</v>
      </c>
      <c r="F369" s="1" t="s">
        <v>60</v>
      </c>
      <c r="G369" s="1" t="s">
        <v>65</v>
      </c>
      <c r="H369" s="1" t="s">
        <v>84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9" s="2">
        <f>Games[[#This Row],[DaysOff]]-Games[[#This Row],[OppDaysOff]]</f>
        <v>-3</v>
      </c>
      <c r="L369" s="2">
        <f>Games[[#This Row],[OppDaysOff]]-Games[[#This Row],[DaysOff]]</f>
        <v>3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1582.6513808621744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1519.7364757958198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0.6595980184122322</v>
      </c>
      <c r="R369" s="1">
        <v>74</v>
      </c>
      <c r="S369" s="1">
        <v>66</v>
      </c>
      <c r="T369" s="1">
        <v>0</v>
      </c>
      <c r="U369" s="1">
        <f>Games[[#This Row],[PointsFor]]-Games[[#This Row],[PointsAgainst]]</f>
        <v>8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0.36897073598092001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8.961443676368491</v>
      </c>
      <c r="AB369" s="4">
        <f>Games[[#This Row],[PreGmRate]]+Games[[#This Row],[RatingChange]]</f>
        <v>1591.6128245385428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42972</v>
      </c>
      <c r="B370" s="2">
        <v>2017</v>
      </c>
      <c r="C370" s="2">
        <f>COUNTIFS(Games[Team],Games[[#This Row],[Team]],Games[Season],Games[[#This Row],[Season]],Games[Date],"&lt;=" &amp; Games[[#This Row],[Date]])</f>
        <v>30</v>
      </c>
      <c r="D370" s="2" t="s">
        <v>81</v>
      </c>
      <c r="E370" s="2" t="s">
        <v>82</v>
      </c>
      <c r="F370" s="1" t="s">
        <v>67</v>
      </c>
      <c r="G370" s="1" t="s">
        <v>74</v>
      </c>
      <c r="H370" s="1" t="s">
        <v>83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1691.4564250021033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1339.2145956922907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0.82406344753791805</v>
      </c>
      <c r="R370" s="1">
        <v>89</v>
      </c>
      <c r="S370" s="1">
        <v>70</v>
      </c>
      <c r="T370" s="1">
        <v>0</v>
      </c>
      <c r="U370" s="1">
        <f>Games[[#This Row],[PointsFor]]-Games[[#This Row],[PointsAgainst]]</f>
        <v>19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0.4336779711490179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71.5</v>
      </c>
      <c r="Z370" s="4">
        <f>Games[[#This Row],[K]]*Games[[#This Row],[POMult]]</f>
        <v>71.5</v>
      </c>
      <c r="AA370" s="4">
        <f>(Games[[#This Row],[Keff]]*Games[[#This Row],[MOVMult]])*(Games[[#This Row],[Result]]-Games[[#This Row],[ExpectedWin%]])</f>
        <v>5.4554362092736541</v>
      </c>
      <c r="AB370" s="4">
        <f>Games[[#This Row],[PreGmRate]]+Games[[#This Row],[RatingChange]]</f>
        <v>1696.9118612113768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42972</v>
      </c>
      <c r="B371" s="2">
        <v>2017</v>
      </c>
      <c r="C371" s="2">
        <f>COUNTIFS(Games[Team],Games[[#This Row],[Team]],Games[Season],Games[[#This Row],[Season]],Games[Date],"&lt;=" &amp; Games[[#This Row],[Date]])</f>
        <v>32</v>
      </c>
      <c r="D371" s="2" t="s">
        <v>81</v>
      </c>
      <c r="E371" s="2" t="s">
        <v>82</v>
      </c>
      <c r="F371" s="1" t="s">
        <v>74</v>
      </c>
      <c r="G371" s="1" t="s">
        <v>67</v>
      </c>
      <c r="H371" s="1" t="s">
        <v>84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1339.2145956922907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1691.4564250021033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0.17593655246208198</v>
      </c>
      <c r="R371" s="1">
        <v>70</v>
      </c>
      <c r="S371" s="1">
        <v>89</v>
      </c>
      <c r="T371" s="1">
        <v>0</v>
      </c>
      <c r="U371" s="1">
        <f>Games[[#This Row],[PointsFor]]-Games[[#This Row],[PointsAgainst]]</f>
        <v>-19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0.4336779711490179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71.2</v>
      </c>
      <c r="Z371" s="4">
        <f>Games[[#This Row],[K]]*Games[[#This Row],[POMult]]</f>
        <v>71.2</v>
      </c>
      <c r="AA371" s="4">
        <f>(Games[[#This Row],[Keff]]*Games[[#This Row],[MOVMult]])*(Games[[#This Row],[Result]]-Games[[#This Row],[ExpectedWin%]])</f>
        <v>-5.4325462671368427</v>
      </c>
      <c r="AB371" s="4">
        <f>Games[[#This Row],[PreGmRate]]+Games[[#This Row],[RatingChange]]</f>
        <v>1333.7820494251539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42973</v>
      </c>
      <c r="B372" s="2">
        <v>2017</v>
      </c>
      <c r="C372" s="2">
        <f>COUNTIFS(Games[Team],Games[[#This Row],[Team]],Games[Season],Games[[#This Row],[Season]],Games[Date],"&lt;=" &amp; Games[[#This Row],[Date]])</f>
        <v>32</v>
      </c>
      <c r="D372" s="2" t="s">
        <v>81</v>
      </c>
      <c r="E372" s="2" t="s">
        <v>82</v>
      </c>
      <c r="F372" s="1" t="s">
        <v>69</v>
      </c>
      <c r="G372" s="1" t="s">
        <v>79</v>
      </c>
      <c r="H372" s="1" t="s">
        <v>83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1346.7578589647014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1403.4012946355294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0.30797388647469565</v>
      </c>
      <c r="R372" s="1">
        <v>74</v>
      </c>
      <c r="S372" s="1">
        <v>79</v>
      </c>
      <c r="T372" s="1">
        <v>1</v>
      </c>
      <c r="U372" s="1">
        <f>Games[[#This Row],[PointsFor]]-Games[[#This Row],[PointsAgainst]]</f>
        <v>-5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0.2851218120650747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71.2</v>
      </c>
      <c r="Z372" s="4">
        <f>Games[[#This Row],[K]]*Games[[#This Row],[POMult]]</f>
        <v>71.2</v>
      </c>
      <c r="AA372" s="4">
        <f>(Games[[#This Row],[Keff]]*Games[[#This Row],[MOVMult]])*(Games[[#This Row],[Result]]-Games[[#This Row],[ExpectedWin%]])</f>
        <v>-6.2520771677236846</v>
      </c>
      <c r="AB372" s="4">
        <f>Games[[#This Row],[PreGmRate]]+Games[[#This Row],[RatingChange]]</f>
        <v>1340.5057817969778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42973</v>
      </c>
      <c r="B373" s="2">
        <v>2017</v>
      </c>
      <c r="C373" s="2">
        <f>COUNTIFS(Games[Team],Games[[#This Row],[Team]],Games[Season],Games[[#This Row],[Season]],Games[Date],"&lt;=" &amp; Games[[#This Row],[Date]])</f>
        <v>32</v>
      </c>
      <c r="D373" s="2" t="s">
        <v>81</v>
      </c>
      <c r="E373" s="2" t="s">
        <v>82</v>
      </c>
      <c r="F373" s="1" t="s">
        <v>79</v>
      </c>
      <c r="G373" s="1" t="s">
        <v>69</v>
      </c>
      <c r="H373" s="1" t="s">
        <v>84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1403.4012946355294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1346.7578589647014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0.69202611352530441</v>
      </c>
      <c r="R373" s="1">
        <v>79</v>
      </c>
      <c r="S373" s="1">
        <v>74</v>
      </c>
      <c r="T373" s="1">
        <v>1</v>
      </c>
      <c r="U373" s="1">
        <f>Games[[#This Row],[PointsFor]]-Games[[#This Row],[PointsAgainst]]</f>
        <v>5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0.2851218120650747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6.2520771677236828</v>
      </c>
      <c r="AB373" s="4">
        <f>Games[[#This Row],[PreGmRate]]+Games[[#This Row],[RatingChange]]</f>
        <v>1409.6533718032531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42973</v>
      </c>
      <c r="B374" s="2">
        <v>2017</v>
      </c>
      <c r="C374" s="2">
        <f>COUNTIFS(Games[Team],Games[[#This Row],[Team]],Games[Season],Games[[#This Row],[Season]],Games[Date],"&lt;=" &amp; Games[[#This Row],[Date]])</f>
        <v>32</v>
      </c>
      <c r="D374" s="2" t="s">
        <v>81</v>
      </c>
      <c r="E374" s="2" t="s">
        <v>82</v>
      </c>
      <c r="F374" s="1" t="s">
        <v>87</v>
      </c>
      <c r="G374" s="1" t="s">
        <v>65</v>
      </c>
      <c r="H374" s="1" t="s">
        <v>83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4" s="2">
        <f>Games[[#This Row],[DaysOff]]-Games[[#This Row],[OppDaysOff]]</f>
        <v>2</v>
      </c>
      <c r="L374" s="2">
        <f>Games[[#This Row],[OppDaysOff]]-Games[[#This Row],[DaysOff]]</f>
        <v>-2</v>
      </c>
      <c r="M374" s="1">
        <f>MAX(-16, MIN(16, Games[[#This Row],[RestDiff]]*8))</f>
        <v>16</v>
      </c>
      <c r="N374" s="1">
        <f>MAX(-16, MIN(16, Games[[#This Row],[OppRestDiff]]*8))</f>
        <v>-16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1435.6947259048175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1510.7561923640001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0.32488218742582753</v>
      </c>
      <c r="R374" s="1">
        <v>83</v>
      </c>
      <c r="S374" s="1">
        <v>78</v>
      </c>
      <c r="T374" s="1">
        <v>0</v>
      </c>
      <c r="U374" s="1">
        <f>Games[[#This Row],[PointsFor]]-Games[[#This Row],[PointsAgainst]]</f>
        <v>5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0.31222586598827434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71.2</v>
      </c>
      <c r="Z374" s="4">
        <f>Games[[#This Row],[K]]*Games[[#This Row],[POMult]]</f>
        <v>71.2</v>
      </c>
      <c r="AA374" s="4">
        <f>(Games[[#This Row],[Keff]]*Games[[#This Row],[MOVMult]])*(Games[[#This Row],[Result]]-Games[[#This Row],[ExpectedWin%]])</f>
        <v>15.00819414966573</v>
      </c>
      <c r="AB374" s="4">
        <f>Games[[#This Row],[PreGmRate]]+Games[[#This Row],[RatingChange]]</f>
        <v>1450.7029200544832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42973</v>
      </c>
      <c r="B375" s="2">
        <v>2017</v>
      </c>
      <c r="C375" s="2">
        <f>COUNTIFS(Games[Team],Games[[#This Row],[Team]],Games[Season],Games[[#This Row],[Season]],Games[Date],"&lt;=" &amp; Games[[#This Row],[Date]])</f>
        <v>31</v>
      </c>
      <c r="D375" s="2" t="s">
        <v>81</v>
      </c>
      <c r="E375" s="2" t="s">
        <v>82</v>
      </c>
      <c r="F375" s="1" t="s">
        <v>65</v>
      </c>
      <c r="G375" s="1" t="s">
        <v>87</v>
      </c>
      <c r="H375" s="1" t="s">
        <v>84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-2</v>
      </c>
      <c r="L375" s="2">
        <f>Games[[#This Row],[OppDaysOff]]-Games[[#This Row],[DaysOff]]</f>
        <v>2</v>
      </c>
      <c r="M375" s="1">
        <f>MAX(-16, MIN(16, Games[[#This Row],[RestDiff]]*8))</f>
        <v>-16</v>
      </c>
      <c r="N375" s="1">
        <f>MAX(-16, MIN(16, Games[[#This Row],[OppRestDiff]]*8))</f>
        <v>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1510.7561923640001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1435.6947259048175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0.67511781257417247</v>
      </c>
      <c r="R375" s="1">
        <v>78</v>
      </c>
      <c r="S375" s="1">
        <v>83</v>
      </c>
      <c r="T375" s="1">
        <v>0</v>
      </c>
      <c r="U375" s="1">
        <f>Games[[#This Row],[PointsFor]]-Games[[#This Row],[PointsAgainst]]</f>
        <v>-5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0.31222586598827434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-15.039812536216992</v>
      </c>
      <c r="AB375" s="4">
        <f>Games[[#This Row],[PreGmRate]]+Games[[#This Row],[RatingChange]]</f>
        <v>1495.7163798277832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42974</v>
      </c>
      <c r="B376" s="2">
        <v>2017</v>
      </c>
      <c r="C376" s="2">
        <f>COUNTIFS(Games[Team],Games[[#This Row],[Team]],Games[Season],Games[[#This Row],[Season]],Games[Date],"&lt;=" &amp; Games[[#This Row],[Date]])</f>
        <v>31</v>
      </c>
      <c r="D376" s="2" t="s">
        <v>81</v>
      </c>
      <c r="E376" s="2" t="s">
        <v>82</v>
      </c>
      <c r="F376" s="1" t="s">
        <v>67</v>
      </c>
      <c r="G376" s="1" t="s">
        <v>63</v>
      </c>
      <c r="H376" s="1" t="s">
        <v>83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1696.9118612113768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1686.2546845860331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0.37418636745765821</v>
      </c>
      <c r="R376" s="1">
        <v>67</v>
      </c>
      <c r="S376" s="1">
        <v>78</v>
      </c>
      <c r="T376" s="1">
        <v>0</v>
      </c>
      <c r="U376" s="1">
        <f>Games[[#This Row],[PointsFor]]-Games[[#This Row],[PointsAgainst]]</f>
        <v>-11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0.43596418085951216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-11.639457724212797</v>
      </c>
      <c r="AB376" s="4">
        <f>Games[[#This Row],[PreGmRate]]+Games[[#This Row],[RatingChange]]</f>
        <v>1685.272403487164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42974</v>
      </c>
      <c r="B377" s="2">
        <v>2017</v>
      </c>
      <c r="C377" s="2">
        <f>COUNTIFS(Games[Team],Games[[#This Row],[Team]],Games[Season],Games[[#This Row],[Season]],Games[Date],"&lt;=" &amp; Games[[#This Row],[Date]])</f>
        <v>32</v>
      </c>
      <c r="D377" s="2" t="s">
        <v>81</v>
      </c>
      <c r="E377" s="2" t="s">
        <v>82</v>
      </c>
      <c r="F377" s="1" t="s">
        <v>63</v>
      </c>
      <c r="G377" s="1" t="s">
        <v>67</v>
      </c>
      <c r="H377" s="1" t="s">
        <v>84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1686.2546845860331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1696.9118612113768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0.62581363254234179</v>
      </c>
      <c r="R377" s="1">
        <v>78</v>
      </c>
      <c r="S377" s="1">
        <v>67</v>
      </c>
      <c r="T377" s="1">
        <v>0</v>
      </c>
      <c r="U377" s="1">
        <f>Games[[#This Row],[PointsFor]]-Games[[#This Row],[PointsAgainst]]</f>
        <v>11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0.43596418085951216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11.614987946236175</v>
      </c>
      <c r="AB377" s="4">
        <f>Games[[#This Row],[PreGmRate]]+Games[[#This Row],[RatingChange]]</f>
        <v>1697.8696725322693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42974</v>
      </c>
      <c r="B378" s="2">
        <v>2017</v>
      </c>
      <c r="C378" s="2">
        <f>COUNTIFS(Games[Team],Games[[#This Row],[Team]],Games[Season],Games[[#This Row],[Season]],Games[Date],"&lt;=" &amp; Games[[#This Row],[Date]])</f>
        <v>31</v>
      </c>
      <c r="D378" s="2" t="s">
        <v>81</v>
      </c>
      <c r="E378" s="2" t="s">
        <v>82</v>
      </c>
      <c r="F378" s="1" t="s">
        <v>77</v>
      </c>
      <c r="G378" s="1" t="s">
        <v>60</v>
      </c>
      <c r="H378" s="1" t="s">
        <v>83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1443.2453307472895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1591.6128245385428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0.20790257447513791</v>
      </c>
      <c r="R378" s="1">
        <v>62</v>
      </c>
      <c r="S378" s="1">
        <v>92</v>
      </c>
      <c r="T378" s="1">
        <v>0</v>
      </c>
      <c r="U378" s="1">
        <f>Games[[#This Row],[PointsFor]]-Games[[#This Row],[PointsAgainst]]</f>
        <v>-30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0.62608392401699753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-9.2872341953589785</v>
      </c>
      <c r="AB378" s="4">
        <f>Games[[#This Row],[PreGmRate]]+Games[[#This Row],[RatingChange]]</f>
        <v>1433.9580965519306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42974</v>
      </c>
      <c r="B379" s="2">
        <v>2017</v>
      </c>
      <c r="C379" s="2">
        <f>COUNTIFS(Games[Team],Games[[#This Row],[Team]],Games[Season],Games[[#This Row],[Season]],Games[Date],"&lt;=" &amp; Games[[#This Row],[Date]])</f>
        <v>32</v>
      </c>
      <c r="D379" s="2" t="s">
        <v>81</v>
      </c>
      <c r="E379" s="2" t="s">
        <v>82</v>
      </c>
      <c r="F379" s="1" t="s">
        <v>60</v>
      </c>
      <c r="G379" s="1" t="s">
        <v>77</v>
      </c>
      <c r="H379" s="1" t="s">
        <v>84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1591.6128245385428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1443.2453307472895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0.79209742552486218</v>
      </c>
      <c r="R379" s="1">
        <v>92</v>
      </c>
      <c r="S379" s="1">
        <v>62</v>
      </c>
      <c r="T379" s="1">
        <v>0</v>
      </c>
      <c r="U379" s="1">
        <f>Games[[#This Row],[PointsFor]]-Games[[#This Row],[PointsAgainst]]</f>
        <v>30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0.62608392401699753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9.2677095264128813</v>
      </c>
      <c r="AB379" s="4">
        <f>Games[[#This Row],[PreGmRate]]+Games[[#This Row],[RatingChange]]</f>
        <v>1600.8805340649556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42974</v>
      </c>
      <c r="B380" s="2">
        <v>2017</v>
      </c>
      <c r="C380" s="2">
        <f>COUNTIFS(Games[Team],Games[[#This Row],[Team]],Games[Season],Games[[#This Row],[Season]],Games[Date],"&lt;=" &amp; Games[[#This Row],[Date]])</f>
        <v>32</v>
      </c>
      <c r="D380" s="2" t="s">
        <v>81</v>
      </c>
      <c r="E380" s="2" t="s">
        <v>82</v>
      </c>
      <c r="F380" s="1" t="s">
        <v>40</v>
      </c>
      <c r="G380" s="1" t="s">
        <v>71</v>
      </c>
      <c r="H380" s="1" t="s">
        <v>83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0" s="2">
        <f>Games[[#This Row],[DaysOff]]-Games[[#This Row],[OppDaysOff]]</f>
        <v>-1</v>
      </c>
      <c r="L380" s="2">
        <f>Games[[#This Row],[OppDaysOff]]-Games[[#This Row],[DaysOff]]</f>
        <v>1</v>
      </c>
      <c r="M380" s="1">
        <f>MAX(-16, MIN(16, Games[[#This Row],[RestDiff]]*8))</f>
        <v>-8</v>
      </c>
      <c r="N380" s="1">
        <f>MAX(-16, MIN(16, Games[[#This Row],[OppRestDiff]]*8))</f>
        <v>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1484.9989380455572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1491.9163343531234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0.35081333831976014</v>
      </c>
      <c r="R380" s="1">
        <v>75</v>
      </c>
      <c r="S380" s="1">
        <v>71</v>
      </c>
      <c r="T380" s="1">
        <v>0</v>
      </c>
      <c r="U380" s="1">
        <f>Games[[#This Row],[PointsFor]]-Games[[#This Row],[PointsAgainst]]</f>
        <v>4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0.30964777127913573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14.312567248860114</v>
      </c>
      <c r="AB380" s="4">
        <f>Games[[#This Row],[PreGmRate]]+Games[[#This Row],[RatingChange]]</f>
        <v>1499.3115052944174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42974</v>
      </c>
      <c r="B381" s="2">
        <v>2017</v>
      </c>
      <c r="C381" s="2">
        <f>COUNTIFS(Games[Team],Games[[#This Row],[Team]],Games[Season],Games[[#This Row],[Season]],Games[Date],"&lt;=" &amp; Games[[#This Row],[Date]])</f>
        <v>32</v>
      </c>
      <c r="D381" s="2" t="s">
        <v>81</v>
      </c>
      <c r="E381" s="2" t="s">
        <v>82</v>
      </c>
      <c r="F381" s="1" t="s">
        <v>71</v>
      </c>
      <c r="G381" s="1" t="s">
        <v>40</v>
      </c>
      <c r="H381" s="1" t="s">
        <v>84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1</v>
      </c>
      <c r="L381" s="2">
        <f>Games[[#This Row],[OppDaysOff]]-Games[[#This Row],[DaysOff]]</f>
        <v>-1</v>
      </c>
      <c r="M381" s="1">
        <f>MAX(-16, MIN(16, Games[[#This Row],[RestDiff]]*8))</f>
        <v>8</v>
      </c>
      <c r="N381" s="1">
        <f>MAX(-16, MIN(16, Games[[#This Row],[OppRestDiff]]*8))</f>
        <v>-8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1491.9163343531234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1484.9989380455572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0.64918666168023997</v>
      </c>
      <c r="R381" s="1">
        <v>71</v>
      </c>
      <c r="S381" s="1">
        <v>75</v>
      </c>
      <c r="T381" s="1">
        <v>0</v>
      </c>
      <c r="U381" s="1">
        <f>Games[[#This Row],[PointsFor]]-Games[[#This Row],[PointsAgainst]]</f>
        <v>-4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0.30964777127913573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-14.312567248860118</v>
      </c>
      <c r="AB381" s="4">
        <f>Games[[#This Row],[PreGmRate]]+Games[[#This Row],[RatingChange]]</f>
        <v>1477.6037671042632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42976</v>
      </c>
      <c r="B382" s="2">
        <v>2017</v>
      </c>
      <c r="C382" s="2">
        <f>COUNTIFS(Games[Team],Games[[#This Row],[Team]],Games[Season],Games[[#This Row],[Season]],Games[Date],"&lt;=" &amp; Games[[#This Row],[Date]])</f>
        <v>32</v>
      </c>
      <c r="D382" s="2" t="s">
        <v>81</v>
      </c>
      <c r="E382" s="2" t="s">
        <v>82</v>
      </c>
      <c r="F382" s="1" t="s">
        <v>76</v>
      </c>
      <c r="G382" s="1" t="s">
        <v>65</v>
      </c>
      <c r="H382" s="1" t="s">
        <v>83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1575.3799755803409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1495.7163798277832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0.5167789608565424</v>
      </c>
      <c r="R382" s="1">
        <v>86</v>
      </c>
      <c r="S382" s="1">
        <v>76</v>
      </c>
      <c r="T382" s="1">
        <v>0</v>
      </c>
      <c r="U382" s="1">
        <f>Games[[#This Row],[PointsFor]]-Games[[#This Row],[PointsAgainst]]</f>
        <v>10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0.39678837538559075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13.651638164459508</v>
      </c>
      <c r="AB382" s="4">
        <f>Games[[#This Row],[PreGmRate]]+Games[[#This Row],[RatingChange]]</f>
        <v>1589.0316137448003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42976</v>
      </c>
      <c r="B383" s="2">
        <v>2017</v>
      </c>
      <c r="C383" s="2">
        <f>COUNTIFS(Games[Team],Games[[#This Row],[Team]],Games[Season],Games[[#This Row],[Season]],Games[Date],"&lt;=" &amp; Games[[#This Row],[Date]])</f>
        <v>32</v>
      </c>
      <c r="D383" s="2" t="s">
        <v>81</v>
      </c>
      <c r="E383" s="2" t="s">
        <v>82</v>
      </c>
      <c r="F383" s="1" t="s">
        <v>65</v>
      </c>
      <c r="G383" s="1" t="s">
        <v>76</v>
      </c>
      <c r="H383" s="1" t="s">
        <v>84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1495.7163798277832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1575.3799755803409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0.48322103914345754</v>
      </c>
      <c r="R383" s="1">
        <v>76</v>
      </c>
      <c r="S383" s="1">
        <v>86</v>
      </c>
      <c r="T383" s="1">
        <v>0</v>
      </c>
      <c r="U383" s="1">
        <f>Games[[#This Row],[PointsFor]]-Games[[#This Row],[PointsAgainst]]</f>
        <v>-10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0.39678837538559075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-13.651638164459508</v>
      </c>
      <c r="AB383" s="4">
        <f>Games[[#This Row],[PreGmRate]]+Games[[#This Row],[RatingChange]]</f>
        <v>1482.0647416633237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42977</v>
      </c>
      <c r="B384" s="2">
        <v>2017</v>
      </c>
      <c r="C384" s="2">
        <f>COUNTIFS(Games[Team],Games[[#This Row],[Team]],Games[Season],Games[[#This Row],[Season]],Games[Date],"&lt;=" &amp; Games[[#This Row],[Date]])</f>
        <v>33</v>
      </c>
      <c r="D384" s="2" t="s">
        <v>81</v>
      </c>
      <c r="E384" s="2" t="s">
        <v>82</v>
      </c>
      <c r="F384" s="1" t="s">
        <v>87</v>
      </c>
      <c r="G384" s="1" t="s">
        <v>77</v>
      </c>
      <c r="H384" s="1" t="s">
        <v>83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4" s="2">
        <f>Games[[#This Row],[DaysOff]]-Games[[#This Row],[OppDaysOff]]</f>
        <v>1</v>
      </c>
      <c r="L384" s="2">
        <f>Games[[#This Row],[OppDaysOff]]-Games[[#This Row],[DaysOff]]</f>
        <v>-1</v>
      </c>
      <c r="M384" s="1">
        <f>MAX(-16, MIN(16, Games[[#This Row],[RestDiff]]*8))</f>
        <v>8</v>
      </c>
      <c r="N384" s="1">
        <f>MAX(-16, MIN(16, Games[[#This Row],[OppRestDiff]]*8))</f>
        <v>-8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1450.7029200544832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1433.9580965519306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0.42676835911034755</v>
      </c>
      <c r="R384" s="1">
        <v>99</v>
      </c>
      <c r="S384" s="1">
        <v>96</v>
      </c>
      <c r="T384" s="1">
        <v>0</v>
      </c>
      <c r="U384" s="1">
        <f>Games[[#This Row],[PointsFor]]-Games[[#This Row],[PointsAgainst]]</f>
        <v>3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0.28619001995509136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71.05</v>
      </c>
      <c r="Z384" s="4">
        <f>Games[[#This Row],[K]]*Games[[#This Row],[POMult]]</f>
        <v>71.05</v>
      </c>
      <c r="AA384" s="4">
        <f>(Games[[#This Row],[Keff]]*Games[[#This Row],[MOVMult]])*(Games[[#This Row],[Result]]-Games[[#This Row],[ExpectedWin%]])</f>
        <v>11.655978065639312</v>
      </c>
      <c r="AB384" s="4">
        <f>Games[[#This Row],[PreGmRate]]+Games[[#This Row],[RatingChange]]</f>
        <v>1462.3588981201226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42977</v>
      </c>
      <c r="B385" s="2">
        <v>2017</v>
      </c>
      <c r="C385" s="2">
        <f>COUNTIFS(Games[Team],Games[[#This Row],[Team]],Games[Season],Games[[#This Row],[Season]],Games[Date],"&lt;=" &amp; Games[[#This Row],[Date]])</f>
        <v>32</v>
      </c>
      <c r="D385" s="2" t="s">
        <v>81</v>
      </c>
      <c r="E385" s="2" t="s">
        <v>82</v>
      </c>
      <c r="F385" s="1" t="s">
        <v>77</v>
      </c>
      <c r="G385" s="1" t="s">
        <v>87</v>
      </c>
      <c r="H385" s="1" t="s">
        <v>84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5" s="2">
        <f>Games[[#This Row],[DaysOff]]-Games[[#This Row],[OppDaysOff]]</f>
        <v>-1</v>
      </c>
      <c r="L385" s="2">
        <f>Games[[#This Row],[OppDaysOff]]-Games[[#This Row],[DaysOff]]</f>
        <v>1</v>
      </c>
      <c r="M385" s="1">
        <f>MAX(-16, MIN(16, Games[[#This Row],[RestDiff]]*8))</f>
        <v>-8</v>
      </c>
      <c r="N385" s="1">
        <f>MAX(-16, MIN(16, Games[[#This Row],[OppRestDiff]]*8))</f>
        <v>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1433.9580965519306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1450.7029200544832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0.57323164088965251</v>
      </c>
      <c r="R385" s="1">
        <v>96</v>
      </c>
      <c r="S385" s="1">
        <v>99</v>
      </c>
      <c r="T385" s="1">
        <v>0</v>
      </c>
      <c r="U385" s="1">
        <f>Games[[#This Row],[PointsFor]]-Games[[#This Row],[PointsAgainst]]</f>
        <v>-3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0.28619001995509136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-11.680586041851079</v>
      </c>
      <c r="AB385" s="4">
        <f>Games[[#This Row],[PreGmRate]]+Games[[#This Row],[RatingChange]]</f>
        <v>1422.2775105100795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42977</v>
      </c>
      <c r="B386" s="2">
        <v>2017</v>
      </c>
      <c r="C386" s="2">
        <f>COUNTIFS(Games[Team],Games[[#This Row],[Team]],Games[Season],Games[[#This Row],[Season]],Games[Date],"&lt;=" &amp; Games[[#This Row],[Date]])</f>
        <v>32</v>
      </c>
      <c r="D386" s="2" t="s">
        <v>81</v>
      </c>
      <c r="E386" s="2" t="s">
        <v>82</v>
      </c>
      <c r="F386" s="1" t="s">
        <v>67</v>
      </c>
      <c r="G386" s="1" t="s">
        <v>69</v>
      </c>
      <c r="H386" s="1" t="s">
        <v>83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6" s="2">
        <f>Games[[#This Row],[DaysOff]]-Games[[#This Row],[OppDaysOff]]</f>
        <v>-1</v>
      </c>
      <c r="L386" s="2">
        <f>Games[[#This Row],[OppDaysOff]]-Games[[#This Row],[DaysOff]]</f>
        <v>1</v>
      </c>
      <c r="M386" s="1">
        <f>MAX(-16, MIN(16, Games[[#This Row],[RestDiff]]*8))</f>
        <v>-8</v>
      </c>
      <c r="N386" s="1">
        <f>MAX(-16, MIN(16, Games[[#This Row],[OppRestDiff]]*8))</f>
        <v>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1685.272403487164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1340.5057817969778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0.80360658112991956</v>
      </c>
      <c r="R386" s="1">
        <v>80</v>
      </c>
      <c r="S386" s="1">
        <v>69</v>
      </c>
      <c r="T386" s="1">
        <v>0</v>
      </c>
      <c r="U386" s="1">
        <f>Games[[#This Row],[PointsFor]]-Games[[#This Row],[PointsAgainst]]</f>
        <v>11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0.34167178193665831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4.7776687642812723</v>
      </c>
      <c r="AB386" s="4">
        <f>Games[[#This Row],[PreGmRate]]+Games[[#This Row],[RatingChange]]</f>
        <v>1690.0500722514453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42977</v>
      </c>
      <c r="B387" s="2">
        <v>2017</v>
      </c>
      <c r="C387" s="2">
        <f>COUNTIFS(Games[Team],Games[[#This Row],[Team]],Games[Season],Games[[#This Row],[Season]],Games[Date],"&lt;=" &amp; Games[[#This Row],[Date]])</f>
        <v>33</v>
      </c>
      <c r="D387" s="2" t="s">
        <v>81</v>
      </c>
      <c r="E387" s="2" t="s">
        <v>82</v>
      </c>
      <c r="F387" s="1" t="s">
        <v>69</v>
      </c>
      <c r="G387" s="1" t="s">
        <v>67</v>
      </c>
      <c r="H387" s="1" t="s">
        <v>84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7" s="2">
        <f>Games[[#This Row],[DaysOff]]-Games[[#This Row],[OppDaysOff]]</f>
        <v>1</v>
      </c>
      <c r="L387" s="2">
        <f>Games[[#This Row],[OppDaysOff]]-Games[[#This Row],[DaysOff]]</f>
        <v>-1</v>
      </c>
      <c r="M387" s="1">
        <f>MAX(-16, MIN(16, Games[[#This Row],[RestDiff]]*8))</f>
        <v>8</v>
      </c>
      <c r="N387" s="1">
        <f>MAX(-16, MIN(16, Games[[#This Row],[OppRestDiff]]*8))</f>
        <v>-8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1340.5057817969778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1685.272403487164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0.19639341887008033</v>
      </c>
      <c r="R387" s="1">
        <v>69</v>
      </c>
      <c r="S387" s="1">
        <v>80</v>
      </c>
      <c r="T387" s="1">
        <v>0</v>
      </c>
      <c r="U387" s="1">
        <f>Games[[#This Row],[PointsFor]]-Games[[#This Row],[PointsAgainst]]</f>
        <v>-11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0.34167178193665831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-4.7676034508733736</v>
      </c>
      <c r="AB387" s="4">
        <f>Games[[#This Row],[PreGmRate]]+Games[[#This Row],[RatingChange]]</f>
        <v>1335.7381783461044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42979</v>
      </c>
      <c r="B388" s="2">
        <v>2017</v>
      </c>
      <c r="C388" s="2">
        <f>COUNTIFS(Games[Team],Games[[#This Row],[Team]],Games[Season],Games[[#This Row],[Season]],Games[Date],"&lt;=" &amp; Games[[#This Row],[Date]])</f>
        <v>33</v>
      </c>
      <c r="D388" s="2" t="s">
        <v>81</v>
      </c>
      <c r="E388" s="2" t="s">
        <v>82</v>
      </c>
      <c r="F388" s="1" t="s">
        <v>79</v>
      </c>
      <c r="G388" s="1" t="s">
        <v>63</v>
      </c>
      <c r="H388" s="1" t="s">
        <v>83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8" s="2">
        <f>Games[[#This Row],[DaysOff]]-Games[[#This Row],[OppDaysOff]]</f>
        <v>1</v>
      </c>
      <c r="L388" s="2">
        <f>Games[[#This Row],[OppDaysOff]]-Games[[#This Row],[DaysOff]]</f>
        <v>-1</v>
      </c>
      <c r="M388" s="1">
        <f>MAX(-16, MIN(16, Games[[#This Row],[RestDiff]]*8))</f>
        <v>8</v>
      </c>
      <c r="N388" s="1">
        <f>MAX(-16, MIN(16, Games[[#This Row],[OppRestDiff]]*8))</f>
        <v>-8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1409.6533718032531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1697.8696725322693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0.11399723679813881</v>
      </c>
      <c r="R388" s="1">
        <v>56</v>
      </c>
      <c r="S388" s="1">
        <v>81</v>
      </c>
      <c r="T388" s="1">
        <v>0</v>
      </c>
      <c r="U388" s="1">
        <f>Games[[#This Row],[PointsFor]]-Games[[#This Row],[PointsAgainst]]</f>
        <v>-25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0.51713829078179407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-4.1885634864158039</v>
      </c>
      <c r="AB388" s="4">
        <f>Games[[#This Row],[PreGmRate]]+Games[[#This Row],[RatingChange]]</f>
        <v>1405.4648083168372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42979</v>
      </c>
      <c r="B389" s="2">
        <v>2017</v>
      </c>
      <c r="C389" s="2">
        <f>COUNTIFS(Games[Team],Games[[#This Row],[Team]],Games[Season],Games[[#This Row],[Season]],Games[Date],"&lt;=" &amp; Games[[#This Row],[Date]])</f>
        <v>33</v>
      </c>
      <c r="D389" s="2" t="s">
        <v>81</v>
      </c>
      <c r="E389" s="2" t="s">
        <v>82</v>
      </c>
      <c r="F389" s="1" t="s">
        <v>63</v>
      </c>
      <c r="G389" s="1" t="s">
        <v>79</v>
      </c>
      <c r="H389" s="1" t="s">
        <v>84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9" s="2">
        <f>Games[[#This Row],[DaysOff]]-Games[[#This Row],[OppDaysOff]]</f>
        <v>-1</v>
      </c>
      <c r="L389" s="2">
        <f>Games[[#This Row],[OppDaysOff]]-Games[[#This Row],[DaysOff]]</f>
        <v>1</v>
      </c>
      <c r="M389" s="1">
        <f>MAX(-16, MIN(16, Games[[#This Row],[RestDiff]]*8))</f>
        <v>-8</v>
      </c>
      <c r="N389" s="1">
        <f>MAX(-16, MIN(16, Games[[#This Row],[OppRestDiff]]*8))</f>
        <v>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1697.8696725322693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1409.6533718032531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0.88600276320186111</v>
      </c>
      <c r="R389" s="1">
        <v>81</v>
      </c>
      <c r="S389" s="1">
        <v>56</v>
      </c>
      <c r="T389" s="1">
        <v>0</v>
      </c>
      <c r="U389" s="1">
        <f>Games[[#This Row],[PointsFor]]-Games[[#This Row],[PointsAgainst]]</f>
        <v>25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0.51713829078179407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4.1885634864158074</v>
      </c>
      <c r="AB389" s="4">
        <f>Games[[#This Row],[PreGmRate]]+Games[[#This Row],[RatingChange]]</f>
        <v>1702.0582360186852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42979</v>
      </c>
      <c r="B390" s="2">
        <v>2017</v>
      </c>
      <c r="C390" s="2">
        <f>COUNTIFS(Games[Team],Games[[#This Row],[Team]],Games[Season],Games[[#This Row],[Season]],Games[Date],"&lt;=" &amp; Games[[#This Row],[Date]])</f>
        <v>33</v>
      </c>
      <c r="D390" s="2" t="s">
        <v>81</v>
      </c>
      <c r="E390" s="2" t="s">
        <v>82</v>
      </c>
      <c r="F390" s="1" t="s">
        <v>77</v>
      </c>
      <c r="G390" s="1" t="s">
        <v>67</v>
      </c>
      <c r="H390" s="1" t="s">
        <v>83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1422.2775105100795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1690.0500722514453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0.11660650831510946</v>
      </c>
      <c r="R390" s="1">
        <v>87</v>
      </c>
      <c r="S390" s="1">
        <v>110</v>
      </c>
      <c r="T390" s="1">
        <v>0</v>
      </c>
      <c r="U390" s="1">
        <f>Games[[#This Row],[PointsFor]]-Games[[#This Row],[PointsAgainst]]</f>
        <v>-23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0.50307884363111255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-4.1679540961430668</v>
      </c>
      <c r="AB390" s="4">
        <f>Games[[#This Row],[PreGmRate]]+Games[[#This Row],[RatingChange]]</f>
        <v>1418.1095564139364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42979</v>
      </c>
      <c r="B391" s="2">
        <v>2017</v>
      </c>
      <c r="C391" s="2">
        <f>COUNTIFS(Games[Team],Games[[#This Row],[Team]],Games[Season],Games[[#This Row],[Season]],Games[Date],"&lt;=" &amp; Games[[#This Row],[Date]])</f>
        <v>33</v>
      </c>
      <c r="D391" s="2" t="s">
        <v>81</v>
      </c>
      <c r="E391" s="2" t="s">
        <v>82</v>
      </c>
      <c r="F391" s="1" t="s">
        <v>67</v>
      </c>
      <c r="G391" s="1" t="s">
        <v>77</v>
      </c>
      <c r="H391" s="1" t="s">
        <v>84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1690.0500722514453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1422.2775105100795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0.88339349168489045</v>
      </c>
      <c r="R391" s="1">
        <v>110</v>
      </c>
      <c r="S391" s="1">
        <v>87</v>
      </c>
      <c r="T391" s="1">
        <v>0</v>
      </c>
      <c r="U391" s="1">
        <f>Games[[#This Row],[PointsFor]]-Games[[#This Row],[PointsAgainst]]</f>
        <v>23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0.50307884363111255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4.1679540961430694</v>
      </c>
      <c r="AB391" s="4">
        <f>Games[[#This Row],[PreGmRate]]+Games[[#This Row],[RatingChange]]</f>
        <v>1694.2180263475884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42979</v>
      </c>
      <c r="B392" s="2">
        <v>2017</v>
      </c>
      <c r="C392" s="2">
        <f>COUNTIFS(Games[Team],Games[[#This Row],[Team]],Games[Season],Games[[#This Row],[Season]],Games[Date],"&lt;=" &amp; Games[[#This Row],[Date]])</f>
        <v>33</v>
      </c>
      <c r="D392" s="2" t="s">
        <v>81</v>
      </c>
      <c r="E392" s="2" t="s">
        <v>82</v>
      </c>
      <c r="F392" s="1" t="s">
        <v>74</v>
      </c>
      <c r="G392" s="1" t="s">
        <v>60</v>
      </c>
      <c r="H392" s="1" t="s">
        <v>83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6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2" s="2">
        <f>Games[[#This Row],[DaysOff]]-Games[[#This Row],[OppDaysOff]]</f>
        <v>2</v>
      </c>
      <c r="L392" s="2">
        <f>Games[[#This Row],[OppDaysOff]]-Games[[#This Row],[DaysOff]]</f>
        <v>-2</v>
      </c>
      <c r="M392" s="1">
        <f>MAX(-16, MIN(16, Games[[#This Row],[RestDiff]]*8))</f>
        <v>16</v>
      </c>
      <c r="N392" s="1">
        <f>MAX(-16, MIN(16, Games[[#This Row],[OppRestDiff]]*8))</f>
        <v>-16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1333.7820494251539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1600.8805340649556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0.13742088117373316</v>
      </c>
      <c r="R392" s="1">
        <v>69</v>
      </c>
      <c r="S392" s="1">
        <v>81</v>
      </c>
      <c r="T392" s="1">
        <v>0</v>
      </c>
      <c r="U392" s="1">
        <f>Games[[#This Row],[PointsFor]]-Games[[#This Row],[PointsAgainst]]</f>
        <v>-12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0.3730869722943202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-3.6427292716102775</v>
      </c>
      <c r="AB392" s="4">
        <f>Games[[#This Row],[PreGmRate]]+Games[[#This Row],[RatingChange]]</f>
        <v>1330.1393201535436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42979</v>
      </c>
      <c r="B393" s="2">
        <v>2017</v>
      </c>
      <c r="C393" s="2">
        <f>COUNTIFS(Games[Team],Games[[#This Row],[Team]],Games[Season],Games[[#This Row],[Season]],Games[Date],"&lt;=" &amp; Games[[#This Row],[Date]])</f>
        <v>33</v>
      </c>
      <c r="D393" s="2" t="s">
        <v>81</v>
      </c>
      <c r="E393" s="2" t="s">
        <v>82</v>
      </c>
      <c r="F393" s="1" t="s">
        <v>60</v>
      </c>
      <c r="G393" s="1" t="s">
        <v>74</v>
      </c>
      <c r="H393" s="1" t="s">
        <v>84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93" s="2">
        <f>Games[[#This Row],[DaysOff]]-Games[[#This Row],[OppDaysOff]]</f>
        <v>-2</v>
      </c>
      <c r="L393" s="2">
        <f>Games[[#This Row],[OppDaysOff]]-Games[[#This Row],[DaysOff]]</f>
        <v>2</v>
      </c>
      <c r="M393" s="1">
        <f>MAX(-16, MIN(16, Games[[#This Row],[RestDiff]]*8))</f>
        <v>-16</v>
      </c>
      <c r="N393" s="1">
        <f>MAX(-16, MIN(16, Games[[#This Row],[OppRestDiff]]*8))</f>
        <v>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1600.8805340649556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1333.7820494251539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0.86257911882626681</v>
      </c>
      <c r="R393" s="1">
        <v>81</v>
      </c>
      <c r="S393" s="1">
        <v>69</v>
      </c>
      <c r="T393" s="1">
        <v>0</v>
      </c>
      <c r="U393" s="1">
        <f>Games[[#This Row],[PointsFor]]-Games[[#This Row],[PointsAgainst]]</f>
        <v>12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0.3730869722943202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3.6427292716102784</v>
      </c>
      <c r="AB393" s="4">
        <f>Games[[#This Row],[PreGmRate]]+Games[[#This Row],[RatingChange]]</f>
        <v>1604.5232633365658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42979</v>
      </c>
      <c r="B394" s="2">
        <v>2017</v>
      </c>
      <c r="C394" s="2">
        <f>COUNTIFS(Games[Team],Games[[#This Row],[Team]],Games[Season],Games[[#This Row],[Season]],Games[Date],"&lt;=" &amp; Games[[#This Row],[Date]])</f>
        <v>33</v>
      </c>
      <c r="D394" s="2" t="s">
        <v>81</v>
      </c>
      <c r="E394" s="2" t="s">
        <v>82</v>
      </c>
      <c r="F394" s="1" t="s">
        <v>76</v>
      </c>
      <c r="G394" s="1" t="s">
        <v>40</v>
      </c>
      <c r="H394" s="1" t="s">
        <v>83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4" s="2">
        <f>Games[[#This Row],[DaysOff]]-Games[[#This Row],[OppDaysOff]]</f>
        <v>-2</v>
      </c>
      <c r="L394" s="2">
        <f>Games[[#This Row],[OppDaysOff]]-Games[[#This Row],[DaysOff]]</f>
        <v>2</v>
      </c>
      <c r="M394" s="1">
        <f>MAX(-16, MIN(16, Games[[#This Row],[RestDiff]]*8))</f>
        <v>-16</v>
      </c>
      <c r="N394" s="1">
        <f>MAX(-16, MIN(16, Games[[#This Row],[OppRestDiff]]*8))</f>
        <v>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1589.0316137448003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1499.3115052944174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0.46225215801931052</v>
      </c>
      <c r="R394" s="1">
        <v>66</v>
      </c>
      <c r="S394" s="1">
        <v>86</v>
      </c>
      <c r="T394" s="1">
        <v>0</v>
      </c>
      <c r="U394" s="1">
        <f>Games[[#This Row],[PointsFor]]-Games[[#This Row],[PointsAgainst]]</f>
        <v>-20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0.5348949948213878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-17.56756478084742</v>
      </c>
      <c r="AB394" s="4">
        <f>Games[[#This Row],[PreGmRate]]+Games[[#This Row],[RatingChange]]</f>
        <v>1571.4640489639528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42979</v>
      </c>
      <c r="B395" s="2">
        <v>2017</v>
      </c>
      <c r="C395" s="2">
        <f>COUNTIFS(Games[Team],Games[[#This Row],[Team]],Games[Season],Games[[#This Row],[Season]],Games[Date],"&lt;=" &amp; Games[[#This Row],[Date]])</f>
        <v>33</v>
      </c>
      <c r="D395" s="2" t="s">
        <v>81</v>
      </c>
      <c r="E395" s="2" t="s">
        <v>82</v>
      </c>
      <c r="F395" s="1" t="s">
        <v>40</v>
      </c>
      <c r="G395" s="1" t="s">
        <v>76</v>
      </c>
      <c r="H395" s="1" t="s">
        <v>84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2</v>
      </c>
      <c r="L395" s="2">
        <f>Games[[#This Row],[OppDaysOff]]-Games[[#This Row],[DaysOff]]</f>
        <v>-2</v>
      </c>
      <c r="M395" s="1">
        <f>MAX(-16, MIN(16, Games[[#This Row],[RestDiff]]*8))</f>
        <v>16</v>
      </c>
      <c r="N395" s="1">
        <f>MAX(-16, MIN(16, Games[[#This Row],[OppRestDiff]]*8))</f>
        <v>-16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1499.3115052944174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1589.0316137448003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0.53774784198068959</v>
      </c>
      <c r="R395" s="1">
        <v>86</v>
      </c>
      <c r="S395" s="1">
        <v>66</v>
      </c>
      <c r="T395" s="1">
        <v>0</v>
      </c>
      <c r="U395" s="1">
        <f>Games[[#This Row],[PointsFor]]-Games[[#This Row],[PointsAgainst]]</f>
        <v>20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0.5348949948213878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17.567564780847416</v>
      </c>
      <c r="AB395" s="4">
        <f>Games[[#This Row],[PreGmRate]]+Games[[#This Row],[RatingChange]]</f>
        <v>1516.8790700752647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42979</v>
      </c>
      <c r="B396" s="2">
        <v>2017</v>
      </c>
      <c r="C396" s="2">
        <f>COUNTIFS(Games[Team],Games[[#This Row],[Team]],Games[Season],Games[[#This Row],[Season]],Games[Date],"&lt;=" &amp; Games[[#This Row],[Date]])</f>
        <v>33</v>
      </c>
      <c r="D396" s="2" t="s">
        <v>81</v>
      </c>
      <c r="E396" s="2" t="s">
        <v>82</v>
      </c>
      <c r="F396" s="1" t="s">
        <v>71</v>
      </c>
      <c r="G396" s="1" t="s">
        <v>65</v>
      </c>
      <c r="H396" s="1" t="s">
        <v>83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2</v>
      </c>
      <c r="L396" s="2">
        <f>Games[[#This Row],[OppDaysOff]]-Games[[#This Row],[DaysOff]]</f>
        <v>-2</v>
      </c>
      <c r="M396" s="1">
        <f>MAX(-16, MIN(16, Games[[#This Row],[RestDiff]]*8))</f>
        <v>16</v>
      </c>
      <c r="N396" s="1">
        <f>MAX(-16, MIN(16, Games[[#This Row],[OppRestDiff]]*8))</f>
        <v>-16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1477.6037671042632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1482.0647416633237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0.41945392173460067</v>
      </c>
      <c r="R396" s="1">
        <v>106</v>
      </c>
      <c r="S396" s="1">
        <v>110</v>
      </c>
      <c r="T396" s="1">
        <v>1</v>
      </c>
      <c r="U396" s="1">
        <f>Games[[#This Row],[PointsFor]]-Games[[#This Row],[PointsAgainst]]</f>
        <v>-4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0.27925135043858323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-8.3223049141759962</v>
      </c>
      <c r="AB396" s="4">
        <f>Games[[#This Row],[PreGmRate]]+Games[[#This Row],[RatingChange]]</f>
        <v>1469.2814621900873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42979</v>
      </c>
      <c r="B397" s="2">
        <v>2017</v>
      </c>
      <c r="C397" s="2">
        <f>COUNTIFS(Games[Team],Games[[#This Row],[Team]],Games[Season],Games[[#This Row],[Season]],Games[Date],"&lt;=" &amp; Games[[#This Row],[Date]])</f>
        <v>33</v>
      </c>
      <c r="D397" s="2" t="s">
        <v>81</v>
      </c>
      <c r="E397" s="2" t="s">
        <v>82</v>
      </c>
      <c r="F397" s="1" t="s">
        <v>65</v>
      </c>
      <c r="G397" s="1" t="s">
        <v>71</v>
      </c>
      <c r="H397" s="1" t="s">
        <v>84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7" s="2">
        <f>Games[[#This Row],[DaysOff]]-Games[[#This Row],[OppDaysOff]]</f>
        <v>-2</v>
      </c>
      <c r="L397" s="2">
        <f>Games[[#This Row],[OppDaysOff]]-Games[[#This Row],[DaysOff]]</f>
        <v>2</v>
      </c>
      <c r="M397" s="1">
        <f>MAX(-16, MIN(16, Games[[#This Row],[RestDiff]]*8))</f>
        <v>-16</v>
      </c>
      <c r="N397" s="1">
        <f>MAX(-16, MIN(16, Games[[#This Row],[OppRestDiff]]*8))</f>
        <v>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1482.0647416633237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1477.6037671042632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0.58054607826539928</v>
      </c>
      <c r="R397" s="1">
        <v>110</v>
      </c>
      <c r="S397" s="1">
        <v>106</v>
      </c>
      <c r="T397" s="1">
        <v>1</v>
      </c>
      <c r="U397" s="1">
        <f>Games[[#This Row],[PointsFor]]-Games[[#This Row],[PointsAgainst]]</f>
        <v>4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0.27925135043858323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8.3223049141759979</v>
      </c>
      <c r="AB397" s="4">
        <f>Games[[#This Row],[PreGmRate]]+Games[[#This Row],[RatingChange]]</f>
        <v>1490.3870465774996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42980</v>
      </c>
      <c r="B398" s="2">
        <v>2017</v>
      </c>
      <c r="C398" s="2">
        <f>COUNTIFS(Games[Team],Games[[#This Row],[Team]],Games[Season],Games[[#This Row],[Season]],Games[Date],"&lt;=" &amp; Games[[#This Row],[Date]])</f>
        <v>34</v>
      </c>
      <c r="D398" s="2" t="s">
        <v>81</v>
      </c>
      <c r="E398" s="2" t="s">
        <v>82</v>
      </c>
      <c r="F398" s="1" t="s">
        <v>74</v>
      </c>
      <c r="G398" s="1" t="s">
        <v>69</v>
      </c>
      <c r="H398" s="1" t="s">
        <v>83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-2</v>
      </c>
      <c r="L398" s="2">
        <f>Games[[#This Row],[OppDaysOff]]-Games[[#This Row],[DaysOff]]</f>
        <v>2</v>
      </c>
      <c r="M398" s="1">
        <f>MAX(-16, MIN(16, Games[[#This Row],[RestDiff]]*8))</f>
        <v>-16</v>
      </c>
      <c r="N398" s="1">
        <f>MAX(-16, MIN(16, Games[[#This Row],[OppRestDiff]]*8))</f>
        <v>16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1330.1393201535436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1335.7381783461044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0.33181681830239901</v>
      </c>
      <c r="R398" s="1">
        <v>75</v>
      </c>
      <c r="S398" s="1">
        <v>71</v>
      </c>
      <c r="T398" s="1">
        <v>0</v>
      </c>
      <c r="U398" s="1">
        <f>Games[[#This Row],[PointsFor]]-Games[[#This Row],[PointsAgainst]]</f>
        <v>4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0.30998642653406033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14.685355118610003</v>
      </c>
      <c r="AB398" s="4">
        <f>Games[[#This Row],[PreGmRate]]+Games[[#This Row],[RatingChange]]</f>
        <v>1344.8246752721536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42980</v>
      </c>
      <c r="B399" s="2">
        <v>2017</v>
      </c>
      <c r="C399" s="2">
        <f>COUNTIFS(Games[Team],Games[[#This Row],[Team]],Games[Season],Games[[#This Row],[Season]],Games[Date],"&lt;=" &amp; Games[[#This Row],[Date]])</f>
        <v>34</v>
      </c>
      <c r="D399" s="2" t="s">
        <v>81</v>
      </c>
      <c r="E399" s="2" t="s">
        <v>82</v>
      </c>
      <c r="F399" s="1" t="s">
        <v>69</v>
      </c>
      <c r="G399" s="1" t="s">
        <v>74</v>
      </c>
      <c r="H399" s="1" t="s">
        <v>84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2</v>
      </c>
      <c r="L399" s="2">
        <f>Games[[#This Row],[OppDaysOff]]-Games[[#This Row],[DaysOff]]</f>
        <v>-2</v>
      </c>
      <c r="M399" s="1">
        <f>MAX(-16, MIN(16, Games[[#This Row],[RestDiff]]*8))</f>
        <v>16</v>
      </c>
      <c r="N399" s="1">
        <f>MAX(-16, MIN(16, Games[[#This Row],[OppRestDiff]]*8))</f>
        <v>-16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1335.7381783461044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1330.1393201535436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0.66818318169760094</v>
      </c>
      <c r="R399" s="1">
        <v>71</v>
      </c>
      <c r="S399" s="1">
        <v>75</v>
      </c>
      <c r="T399" s="1">
        <v>0</v>
      </c>
      <c r="U399" s="1">
        <f>Games[[#This Row],[PointsFor]]-Games[[#This Row],[PointsAgainst]]</f>
        <v>-4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0.30998642653406033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-14.685355118610003</v>
      </c>
      <c r="AB399" s="4">
        <f>Games[[#This Row],[PreGmRate]]+Games[[#This Row],[RatingChange]]</f>
        <v>1321.0528232274944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42981</v>
      </c>
      <c r="B400" s="2">
        <v>2017</v>
      </c>
      <c r="C400" s="2">
        <f>COUNTIFS(Games[Team],Games[[#This Row],[Team]],Games[Season],Games[[#This Row],[Season]],Games[Date],"&lt;=" &amp; Games[[#This Row],[Date]])</f>
        <v>34</v>
      </c>
      <c r="D400" s="2" t="s">
        <v>81</v>
      </c>
      <c r="E400" s="2" t="s">
        <v>82</v>
      </c>
      <c r="F400" s="1" t="s">
        <v>71</v>
      </c>
      <c r="G400" s="1" t="s">
        <v>77</v>
      </c>
      <c r="H400" s="1" t="s">
        <v>83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1469.2814621900873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1418.1095564139364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0.45289666722314836</v>
      </c>
      <c r="R400" s="1">
        <v>85</v>
      </c>
      <c r="S400" s="1">
        <v>80</v>
      </c>
      <c r="T400" s="1">
        <v>0</v>
      </c>
      <c r="U400" s="1">
        <f>Games[[#This Row],[PointsFor]]-Games[[#This Row],[PointsAgainst]]</f>
        <v>5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0.31818742789507876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12.342371419460607</v>
      </c>
      <c r="AB400" s="4">
        <f>Games[[#This Row],[PreGmRate]]+Games[[#This Row],[RatingChange]]</f>
        <v>1481.6238336095478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42981</v>
      </c>
      <c r="B401" s="2">
        <v>2017</v>
      </c>
      <c r="C401" s="2">
        <f>COUNTIFS(Games[Team],Games[[#This Row],[Team]],Games[Season],Games[[#This Row],[Season]],Games[Date],"&lt;=" &amp; Games[[#This Row],[Date]])</f>
        <v>34</v>
      </c>
      <c r="D401" s="2" t="s">
        <v>81</v>
      </c>
      <c r="E401" s="2" t="s">
        <v>82</v>
      </c>
      <c r="F401" s="1" t="s">
        <v>77</v>
      </c>
      <c r="G401" s="1" t="s">
        <v>71</v>
      </c>
      <c r="H401" s="1" t="s">
        <v>84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1418.1095564139364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1469.2814621900873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0.54710333277685164</v>
      </c>
      <c r="R401" s="1">
        <v>80</v>
      </c>
      <c r="S401" s="1">
        <v>85</v>
      </c>
      <c r="T401" s="1">
        <v>0</v>
      </c>
      <c r="U401" s="1">
        <f>Games[[#This Row],[PointsFor]]-Games[[#This Row],[PointsAgainst]]</f>
        <v>-5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0.31818742789507876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-12.342371419460607</v>
      </c>
      <c r="AB401" s="4">
        <f>Games[[#This Row],[PreGmRate]]+Games[[#This Row],[RatingChange]]</f>
        <v>1405.7671849944759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42981</v>
      </c>
      <c r="B402" s="2">
        <v>2017</v>
      </c>
      <c r="C402" s="2">
        <f>COUNTIFS(Games[Team],Games[[#This Row],[Team]],Games[Season],Games[[#This Row],[Season]],Games[Date],"&lt;=" &amp; Games[[#This Row],[Date]])</f>
        <v>34</v>
      </c>
      <c r="D402" s="2" t="s">
        <v>81</v>
      </c>
      <c r="E402" s="2" t="s">
        <v>82</v>
      </c>
      <c r="F402" s="1" t="s">
        <v>60</v>
      </c>
      <c r="G402" s="1" t="s">
        <v>87</v>
      </c>
      <c r="H402" s="1" t="s">
        <v>83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2" s="2">
        <f>Games[[#This Row],[DaysOff]]-Games[[#This Row],[OppDaysOff]]</f>
        <v>-2</v>
      </c>
      <c r="L402" s="2">
        <f>Games[[#This Row],[OppDaysOff]]-Games[[#This Row],[DaysOff]]</f>
        <v>2</v>
      </c>
      <c r="M402" s="1">
        <f>MAX(-16, MIN(16, Games[[#This Row],[RestDiff]]*8))</f>
        <v>-16</v>
      </c>
      <c r="N402" s="1">
        <f>MAX(-16, MIN(16, Games[[#This Row],[OppRestDiff]]*8))</f>
        <v>16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1604.5232633365658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1462.3588981201226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0.53758252967006714</v>
      </c>
      <c r="R402" s="1">
        <v>82</v>
      </c>
      <c r="S402" s="1">
        <v>81</v>
      </c>
      <c r="T402" s="1">
        <v>0</v>
      </c>
      <c r="U402" s="1">
        <f>Games[[#This Row],[PointsFor]]-Games[[#This Row],[PointsAgainst]]</f>
        <v>1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0.21831573893045444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7.1575685316166426</v>
      </c>
      <c r="AB402" s="4">
        <f>Games[[#This Row],[PreGmRate]]+Games[[#This Row],[RatingChange]]</f>
        <v>1611.6808318681824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42981</v>
      </c>
      <c r="B403" s="2">
        <v>2017</v>
      </c>
      <c r="C403" s="2">
        <f>COUNTIFS(Games[Team],Games[[#This Row],[Team]],Games[Season],Games[[#This Row],[Season]],Games[Date],"&lt;=" &amp; Games[[#This Row],[Date]])</f>
        <v>34</v>
      </c>
      <c r="D403" s="2" t="s">
        <v>81</v>
      </c>
      <c r="E403" s="2" t="s">
        <v>82</v>
      </c>
      <c r="F403" s="1" t="s">
        <v>87</v>
      </c>
      <c r="G403" s="1" t="s">
        <v>60</v>
      </c>
      <c r="H403" s="1" t="s">
        <v>84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2</v>
      </c>
      <c r="L403" s="2">
        <f>Games[[#This Row],[OppDaysOff]]-Games[[#This Row],[DaysOff]]</f>
        <v>-2</v>
      </c>
      <c r="M403" s="1">
        <f>MAX(-16, MIN(16, Games[[#This Row],[RestDiff]]*8))</f>
        <v>16</v>
      </c>
      <c r="N403" s="1">
        <f>MAX(-16, MIN(16, Games[[#This Row],[OppRestDiff]]*8))</f>
        <v>-16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1462.3588981201226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1604.5232633365658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0.46241747032993286</v>
      </c>
      <c r="R403" s="1">
        <v>81</v>
      </c>
      <c r="S403" s="1">
        <v>82</v>
      </c>
      <c r="T403" s="1">
        <v>0</v>
      </c>
      <c r="U403" s="1">
        <f>Games[[#This Row],[PointsFor]]-Games[[#This Row],[PointsAgainst]]</f>
        <v>-1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0.21831573893045444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-7.1575685316166426</v>
      </c>
      <c r="AB403" s="4">
        <f>Games[[#This Row],[PreGmRate]]+Games[[#This Row],[RatingChange]]</f>
        <v>1455.201329588506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42981</v>
      </c>
      <c r="B404" s="2">
        <v>2017</v>
      </c>
      <c r="C404" s="2">
        <f>COUNTIFS(Games[Team],Games[[#This Row],[Team]],Games[Season],Games[[#This Row],[Season]],Games[Date],"&lt;=" &amp; Games[[#This Row],[Date]])</f>
        <v>34</v>
      </c>
      <c r="D404" s="2" t="s">
        <v>81</v>
      </c>
      <c r="E404" s="2" t="s">
        <v>82</v>
      </c>
      <c r="F404" s="1" t="s">
        <v>76</v>
      </c>
      <c r="G404" s="1" t="s">
        <v>63</v>
      </c>
      <c r="H404" s="1" t="s">
        <v>83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1571.4640489639528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1702.0582360186852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0.22525454779019291</v>
      </c>
      <c r="R404" s="1">
        <v>70</v>
      </c>
      <c r="S404" s="1">
        <v>81</v>
      </c>
      <c r="T404" s="1">
        <v>0</v>
      </c>
      <c r="U404" s="1">
        <f>Games[[#This Row],[PointsFor]]-Games[[#This Row],[PointsAgainst]]</f>
        <v>-11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0.39666727049022282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-6.3349934605948706</v>
      </c>
      <c r="AB404" s="4">
        <f>Games[[#This Row],[PreGmRate]]+Games[[#This Row],[RatingChange]]</f>
        <v>1565.1290555033579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42981</v>
      </c>
      <c r="B405" s="2">
        <v>2017</v>
      </c>
      <c r="C405" s="2">
        <f>COUNTIFS(Games[Team],Games[[#This Row],[Team]],Games[Season],Games[[#This Row],[Season]],Games[Date],"&lt;=" &amp; Games[[#This Row],[Date]])</f>
        <v>34</v>
      </c>
      <c r="D405" s="2" t="s">
        <v>81</v>
      </c>
      <c r="E405" s="2" t="s">
        <v>82</v>
      </c>
      <c r="F405" s="1" t="s">
        <v>63</v>
      </c>
      <c r="G405" s="1" t="s">
        <v>76</v>
      </c>
      <c r="H405" s="1" t="s">
        <v>84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1702.0582360186852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1571.4640489639528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0.77474545220980706</v>
      </c>
      <c r="R405" s="1">
        <v>81</v>
      </c>
      <c r="S405" s="1">
        <v>70</v>
      </c>
      <c r="T405" s="1">
        <v>0</v>
      </c>
      <c r="U405" s="1">
        <f>Games[[#This Row],[PointsFor]]-Games[[#This Row],[PointsAgainst]]</f>
        <v>11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0.39666727049022282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6.3349934605948715</v>
      </c>
      <c r="AB405" s="4">
        <f>Games[[#This Row],[PreGmRate]]+Games[[#This Row],[RatingChange]]</f>
        <v>1708.3932294792801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42981</v>
      </c>
      <c r="B406" s="2">
        <v>2017</v>
      </c>
      <c r="C406" s="2">
        <f>COUNTIFS(Games[Team],Games[[#This Row],[Team]],Games[Season],Games[[#This Row],[Season]],Games[Date],"&lt;=" &amp; Games[[#This Row],[Date]])</f>
        <v>34</v>
      </c>
      <c r="D406" s="2" t="s">
        <v>81</v>
      </c>
      <c r="E406" s="2" t="s">
        <v>82</v>
      </c>
      <c r="F406" s="1" t="s">
        <v>65</v>
      </c>
      <c r="G406" s="1" t="s">
        <v>67</v>
      </c>
      <c r="H406" s="1" t="s">
        <v>83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1490.3870465774996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1694.2180263475884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0.16018014689362103</v>
      </c>
      <c r="R406" s="1">
        <v>72</v>
      </c>
      <c r="S406" s="1">
        <v>86</v>
      </c>
      <c r="T406" s="1">
        <v>0</v>
      </c>
      <c r="U406" s="1">
        <f>Games[[#This Row],[PointsFor]]-Games[[#This Row],[PointsAgainst]]</f>
        <v>-14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0.41680924033800038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-4.7336076828867286</v>
      </c>
      <c r="AB406" s="4">
        <f>Games[[#This Row],[PreGmRate]]+Games[[#This Row],[RatingChange]]</f>
        <v>1485.6534388946129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42981</v>
      </c>
      <c r="B407" s="2">
        <v>2017</v>
      </c>
      <c r="C407" s="2">
        <f>COUNTIFS(Games[Team],Games[[#This Row],[Team]],Games[Season],Games[[#This Row],[Season]],Games[Date],"&lt;=" &amp; Games[[#This Row],[Date]])</f>
        <v>34</v>
      </c>
      <c r="D407" s="2" t="s">
        <v>81</v>
      </c>
      <c r="E407" s="2" t="s">
        <v>82</v>
      </c>
      <c r="F407" s="1" t="s">
        <v>67</v>
      </c>
      <c r="G407" s="1" t="s">
        <v>65</v>
      </c>
      <c r="H407" s="1" t="s">
        <v>84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1694.2180263475884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1490.3870465774996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0.83981985310637897</v>
      </c>
      <c r="R407" s="1">
        <v>86</v>
      </c>
      <c r="S407" s="1">
        <v>72</v>
      </c>
      <c r="T407" s="1">
        <v>0</v>
      </c>
      <c r="U407" s="1">
        <f>Games[[#This Row],[PointsFor]]-Games[[#This Row],[PointsAgainst]]</f>
        <v>14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0.41680924033800038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4.7336076828867286</v>
      </c>
      <c r="AB407" s="4">
        <f>Games[[#This Row],[PreGmRate]]+Games[[#This Row],[RatingChange]]</f>
        <v>1698.9516340304751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42981</v>
      </c>
      <c r="B408" s="2">
        <v>2017</v>
      </c>
      <c r="C408" s="2">
        <f>COUNTIFS(Games[Team],Games[[#This Row],[Team]],Games[Season],Games[[#This Row],[Season]],Games[Date],"&lt;=" &amp; Games[[#This Row],[Date]])</f>
        <v>34</v>
      </c>
      <c r="D408" s="2" t="s">
        <v>81</v>
      </c>
      <c r="E408" s="2" t="s">
        <v>82</v>
      </c>
      <c r="F408" s="1" t="s">
        <v>79</v>
      </c>
      <c r="G408" s="1" t="s">
        <v>40</v>
      </c>
      <c r="H408" s="1" t="s">
        <v>83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1405.4648083168372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1516.8790700752647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0.24510445626787206</v>
      </c>
      <c r="R408" s="1">
        <v>70</v>
      </c>
      <c r="S408" s="1">
        <v>84</v>
      </c>
      <c r="T408" s="1">
        <v>0</v>
      </c>
      <c r="U408" s="1">
        <f>Games[[#This Row],[PointsFor]]-Games[[#This Row],[PointsAgainst]]</f>
        <v>-14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0.44618221816220183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-7.7537126235139038</v>
      </c>
      <c r="AB408" s="4">
        <f>Games[[#This Row],[PreGmRate]]+Games[[#This Row],[RatingChange]]</f>
        <v>1397.7110956933234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42981</v>
      </c>
      <c r="B409" s="2">
        <v>2017</v>
      </c>
      <c r="C409" s="2">
        <f>COUNTIFS(Games[Team],Games[[#This Row],[Team]],Games[Season],Games[[#This Row],[Season]],Games[Date],"&lt;=" &amp; Games[[#This Row],[Date]])</f>
        <v>34</v>
      </c>
      <c r="D409" s="2" t="s">
        <v>81</v>
      </c>
      <c r="E409" s="2" t="s">
        <v>82</v>
      </c>
      <c r="F409" s="1" t="s">
        <v>40</v>
      </c>
      <c r="G409" s="1" t="s">
        <v>79</v>
      </c>
      <c r="H409" s="1" t="s">
        <v>84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1516.8790700752647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1405.4648083168372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0.75489554373212797</v>
      </c>
      <c r="R409" s="1">
        <v>84</v>
      </c>
      <c r="S409" s="1">
        <v>70</v>
      </c>
      <c r="T409" s="1">
        <v>0</v>
      </c>
      <c r="U409" s="1">
        <f>Games[[#This Row],[PointsFor]]-Games[[#This Row],[PointsAgainst]]</f>
        <v>14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0.44618221816220183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7.7537126235139029</v>
      </c>
      <c r="AB409" s="4">
        <f>Games[[#This Row],[PreGmRate]]+Games[[#This Row],[RatingChange]]</f>
        <v>1524.6327826987786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42984</v>
      </c>
      <c r="B410" s="2">
        <v>2017</v>
      </c>
      <c r="C410" s="2">
        <f>COUNTIFS(Games[Team],Games[[#This Row],[Team]],Games[Season],Games[[#This Row],[Season]],Games[Date],"&lt;=" &amp; Games[[#This Row],[Date]])</f>
        <v>35</v>
      </c>
      <c r="D410" s="2" t="s">
        <v>85</v>
      </c>
      <c r="E410" s="2">
        <v>0.5</v>
      </c>
      <c r="F410" s="1" t="s">
        <v>71</v>
      </c>
      <c r="G410" s="1" t="s">
        <v>40</v>
      </c>
      <c r="H410" s="1" t="s">
        <v>83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1481.6238336095478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1524.6327826987786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0.32494849866175485</v>
      </c>
      <c r="R410" s="1">
        <v>69</v>
      </c>
      <c r="S410" s="1">
        <v>79</v>
      </c>
      <c r="T410" s="1">
        <v>0</v>
      </c>
      <c r="U410" s="1">
        <f>Games[[#This Row],[PointsFor]]-Games[[#This Row],[PointsAgainst]]</f>
        <v>-10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0.40848912597996989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0" s="9">
        <f>MAX(kmin, kmax - 0.15 * MIN(Games[[#This Row],[GamesPlayed]], 82))</f>
        <v>70.75</v>
      </c>
      <c r="Z410" s="4">
        <f>Games[[#This Row],[K]]*Games[[#This Row],[POMult]]</f>
        <v>74.287500000000009</v>
      </c>
      <c r="AA410" s="4">
        <f>(Games[[#This Row],[Keff]]*Games[[#This Row],[MOVMult]])*(Games[[#This Row],[Result]]-Games[[#This Row],[ExpectedWin%]])</f>
        <v>-9.8607688416658998</v>
      </c>
      <c r="AB410" s="4">
        <f>Games[[#This Row],[PreGmRate]]+Games[[#This Row],[RatingChange]]</f>
        <v>1471.7630647678818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42984</v>
      </c>
      <c r="B411" s="2">
        <v>2017</v>
      </c>
      <c r="C411" s="2">
        <f>COUNTIFS(Games[Team],Games[[#This Row],[Team]],Games[Season],Games[[#This Row],[Season]],Games[Date],"&lt;=" &amp; Games[[#This Row],[Date]])</f>
        <v>35</v>
      </c>
      <c r="D411" s="2" t="s">
        <v>85</v>
      </c>
      <c r="E411" s="2">
        <v>0.5</v>
      </c>
      <c r="F411" s="1" t="s">
        <v>40</v>
      </c>
      <c r="G411" s="1" t="s">
        <v>71</v>
      </c>
      <c r="H411" s="1" t="s">
        <v>84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1524.6327826987786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1481.6238336095478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0.67505150133824521</v>
      </c>
      <c r="R411" s="1">
        <v>79</v>
      </c>
      <c r="S411" s="1">
        <v>69</v>
      </c>
      <c r="T411" s="1">
        <v>0</v>
      </c>
      <c r="U411" s="1">
        <f>Games[[#This Row],[PointsFor]]-Games[[#This Row],[PointsAgainst]]</f>
        <v>10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0.40848912597996989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1" s="9">
        <f>MAX(kmin, kmax - 0.15 * MIN(Games[[#This Row],[GamesPlayed]], 82))</f>
        <v>70.75</v>
      </c>
      <c r="Z411" s="4">
        <f>Games[[#This Row],[K]]*Games[[#This Row],[POMult]]</f>
        <v>74.287500000000009</v>
      </c>
      <c r="AA411" s="4">
        <f>(Games[[#This Row],[Keff]]*Games[[#This Row],[MOVMult]])*(Games[[#This Row],[Result]]-Games[[#This Row],[ExpectedWin%]])</f>
        <v>9.8607688416658981</v>
      </c>
      <c r="AB411" s="4">
        <f>Games[[#This Row],[PreGmRate]]+Games[[#This Row],[RatingChange]]</f>
        <v>1534.4935515404445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42984</v>
      </c>
      <c r="B412" s="2">
        <v>2017</v>
      </c>
      <c r="C412" s="2">
        <f>COUNTIFS(Games[Team],Games[[#This Row],[Team]],Games[Season],Games[[#This Row],[Season]],Games[Date],"&lt;=" &amp; Games[[#This Row],[Date]])</f>
        <v>35</v>
      </c>
      <c r="D412" s="2" t="s">
        <v>85</v>
      </c>
      <c r="E412" s="2">
        <v>0.5</v>
      </c>
      <c r="F412" s="1" t="s">
        <v>87</v>
      </c>
      <c r="G412" s="1" t="s">
        <v>65</v>
      </c>
      <c r="H412" s="1" t="s">
        <v>83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1455.201329588506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1485.6534388946129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0.34100039445927494</v>
      </c>
      <c r="R412" s="1">
        <v>76</v>
      </c>
      <c r="S412" s="1">
        <v>86</v>
      </c>
      <c r="T412" s="1">
        <v>0</v>
      </c>
      <c r="U412" s="1">
        <f>Games[[#This Row],[PointsFor]]-Games[[#This Row],[PointsAgainst]]</f>
        <v>-10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0.41265778274384129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2" s="9">
        <f>MAX(kmin, kmax - 0.15 * MIN(Games[[#This Row],[GamesPlayed]], 82))</f>
        <v>70.75</v>
      </c>
      <c r="Z412" s="4">
        <f>Games[[#This Row],[K]]*Games[[#This Row],[POMult]]</f>
        <v>74.287500000000009</v>
      </c>
      <c r="AA412" s="4">
        <f>(Games[[#This Row],[Keff]]*Games[[#This Row],[MOVMult]])*(Games[[#This Row],[Result]]-Games[[#This Row],[ExpectedWin%]])</f>
        <v>-10.453474519407184</v>
      </c>
      <c r="AB412" s="4">
        <f>Games[[#This Row],[PreGmRate]]+Games[[#This Row],[RatingChange]]</f>
        <v>1444.7478550690989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42984</v>
      </c>
      <c r="B413" s="2">
        <v>2017</v>
      </c>
      <c r="C413" s="2">
        <f>COUNTIFS(Games[Team],Games[[#This Row],[Team]],Games[Season],Games[[#This Row],[Season]],Games[Date],"&lt;=" &amp; Games[[#This Row],[Date]])</f>
        <v>35</v>
      </c>
      <c r="D413" s="2" t="s">
        <v>85</v>
      </c>
      <c r="E413" s="2">
        <v>0.5</v>
      </c>
      <c r="F413" s="1" t="s">
        <v>65</v>
      </c>
      <c r="G413" s="1" t="s">
        <v>87</v>
      </c>
      <c r="H413" s="1" t="s">
        <v>84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1485.6534388946129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1455.201329588506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0.65899960554072512</v>
      </c>
      <c r="R413" s="1">
        <v>86</v>
      </c>
      <c r="S413" s="1">
        <v>76</v>
      </c>
      <c r="T413" s="1">
        <v>0</v>
      </c>
      <c r="U413" s="1">
        <f>Games[[#This Row],[PointsFor]]-Games[[#This Row],[PointsAgainst]]</f>
        <v>10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0.41265778274384129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3" s="9">
        <f>MAX(kmin, kmax - 0.15 * MIN(Games[[#This Row],[GamesPlayed]], 82))</f>
        <v>70.75</v>
      </c>
      <c r="Z413" s="4">
        <f>Games[[#This Row],[K]]*Games[[#This Row],[POMult]]</f>
        <v>74.287500000000009</v>
      </c>
      <c r="AA413" s="4">
        <f>(Games[[#This Row],[Keff]]*Games[[#This Row],[MOVMult]])*(Games[[#This Row],[Result]]-Games[[#This Row],[ExpectedWin%]])</f>
        <v>10.453474519407182</v>
      </c>
      <c r="AB413" s="4">
        <f>Games[[#This Row],[PreGmRate]]+Games[[#This Row],[RatingChange]]</f>
        <v>1496.10691341402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42988</v>
      </c>
      <c r="B414" s="2">
        <v>2017</v>
      </c>
      <c r="C414" s="2">
        <f>COUNTIFS(Games[Team],Games[[#This Row],[Team]],Games[Season],Games[[#This Row],[Season]],Games[Date],"&lt;=" &amp; Games[[#This Row],[Date]])</f>
        <v>36</v>
      </c>
      <c r="D414" s="2" t="s">
        <v>85</v>
      </c>
      <c r="E414" s="2">
        <v>1</v>
      </c>
      <c r="F414" s="1" t="s">
        <v>40</v>
      </c>
      <c r="G414" s="1" t="s">
        <v>76</v>
      </c>
      <c r="H414" s="1" t="s">
        <v>83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4" s="2">
        <f>Games[[#This Row],[DaysOff]]-Games[[#This Row],[OppDaysOff]]</f>
        <v>-3</v>
      </c>
      <c r="L414" s="2">
        <f>Games[[#This Row],[OppDaysOff]]-Games[[#This Row],[DaysOff]]</f>
        <v>3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1534.4935515404445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1565.1290555033579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0.30067159849909225</v>
      </c>
      <c r="R414" s="1">
        <v>88</v>
      </c>
      <c r="S414" s="1">
        <v>83</v>
      </c>
      <c r="T414" s="1">
        <v>0</v>
      </c>
      <c r="U414" s="1">
        <f>Games[[#This Row],[PointsFor]]-Games[[#This Row],[PointsAgainst]]</f>
        <v>5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0.32349722502845546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70.599999999999994</v>
      </c>
      <c r="Z414" s="4">
        <f>Games[[#This Row],[K]]*Games[[#This Row],[POMult]]</f>
        <v>77.66</v>
      </c>
      <c r="AA414" s="4">
        <f>(Games[[#This Row],[Keff]]*Games[[#This Row],[MOVMult]])*(Games[[#This Row],[Result]]-Games[[#This Row],[ExpectedWin%]])</f>
        <v>17.569083715920573</v>
      </c>
      <c r="AB414" s="4">
        <f>Games[[#This Row],[PreGmRate]]+Games[[#This Row],[RatingChange]]</f>
        <v>1552.0626352563652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42988</v>
      </c>
      <c r="B415" s="2">
        <v>2017</v>
      </c>
      <c r="C415" s="2">
        <f>COUNTIFS(Games[Team],Games[[#This Row],[Team]],Games[Season],Games[[#This Row],[Season]],Games[Date],"&lt;=" &amp; Games[[#This Row],[Date]])</f>
        <v>35</v>
      </c>
      <c r="D415" s="2" t="s">
        <v>85</v>
      </c>
      <c r="E415" s="2">
        <v>1</v>
      </c>
      <c r="F415" s="1" t="s">
        <v>76</v>
      </c>
      <c r="G415" s="1" t="s">
        <v>40</v>
      </c>
      <c r="H415" s="1" t="s">
        <v>84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5" s="2">
        <f>Games[[#This Row],[DaysOff]]-Games[[#This Row],[OppDaysOff]]</f>
        <v>3</v>
      </c>
      <c r="L415" s="2">
        <f>Games[[#This Row],[OppDaysOff]]-Games[[#This Row],[DaysOff]]</f>
        <v>-3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1565.1290555033579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1534.4935515404445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0.69932840150090769</v>
      </c>
      <c r="R415" s="1">
        <v>83</v>
      </c>
      <c r="S415" s="1">
        <v>88</v>
      </c>
      <c r="T415" s="1">
        <v>0</v>
      </c>
      <c r="U415" s="1">
        <f>Games[[#This Row],[PointsFor]]-Games[[#This Row],[PointsAgainst]]</f>
        <v>-5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0.32349722502845546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-17.606411797469981</v>
      </c>
      <c r="AB415" s="4">
        <f>Games[[#This Row],[PreGmRate]]+Games[[#This Row],[RatingChange]]</f>
        <v>1547.522643705888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42988</v>
      </c>
      <c r="B416" s="2">
        <v>2017</v>
      </c>
      <c r="C416" s="2">
        <f>COUNTIFS(Games[Team],Games[[#This Row],[Team]],Games[Season],Games[[#This Row],[Season]],Games[Date],"&lt;=" &amp; Games[[#This Row],[Date]])</f>
        <v>36</v>
      </c>
      <c r="D416" s="2" t="s">
        <v>85</v>
      </c>
      <c r="E416" s="2">
        <v>1</v>
      </c>
      <c r="F416" s="1" t="s">
        <v>65</v>
      </c>
      <c r="G416" s="1" t="s">
        <v>60</v>
      </c>
      <c r="H416" s="1" t="s">
        <v>83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6" s="2">
        <f>Games[[#This Row],[DaysOff]]-Games[[#This Row],[OppDaysOff]]</f>
        <v>-3</v>
      </c>
      <c r="L416" s="2">
        <f>Games[[#This Row],[OppDaysOff]]-Games[[#This Row],[DaysOff]]</f>
        <v>3</v>
      </c>
      <c r="M416" s="1">
        <f>MAX(-16, MIN(16, Games[[#This Row],[RestDiff]]*8))</f>
        <v>-16</v>
      </c>
      <c r="N416" s="1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1496.10691341402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1611.6808318681824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0.20865586319242713</v>
      </c>
      <c r="R416" s="1">
        <v>82</v>
      </c>
      <c r="S416" s="1">
        <v>68</v>
      </c>
      <c r="T416" s="1">
        <v>0</v>
      </c>
      <c r="U416" s="1">
        <f>Games[[#This Row],[PointsFor]]-Games[[#This Row],[PointsAgainst]]</f>
        <v>14</v>
      </c>
      <c r="V416" s="1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0.44477145376100641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70.599999999999994</v>
      </c>
      <c r="Z416" s="4">
        <f>Games[[#This Row],[K]]*Games[[#This Row],[POMult]]</f>
        <v>77.66</v>
      </c>
      <c r="AA416" s="4">
        <f>(Games[[#This Row],[Keff]]*Games[[#This Row],[MOVMult]])*(Games[[#This Row],[Result]]-Games[[#This Row],[ExpectedWin%]])</f>
        <v>27.333779132013856</v>
      </c>
      <c r="AB416" s="4">
        <f>Games[[#This Row],[PreGmRate]]+Games[[#This Row],[RatingChange]]</f>
        <v>1523.4406925460339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1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42988</v>
      </c>
      <c r="B417" s="2">
        <v>2017</v>
      </c>
      <c r="C417" s="2">
        <f>COUNTIFS(Games[Team],Games[[#This Row],[Team]],Games[Season],Games[[#This Row],[Season]],Games[Date],"&lt;=" &amp; Games[[#This Row],[Date]])</f>
        <v>35</v>
      </c>
      <c r="D417" s="2" t="s">
        <v>85</v>
      </c>
      <c r="E417" s="2">
        <v>1</v>
      </c>
      <c r="F417" s="1" t="s">
        <v>60</v>
      </c>
      <c r="G417" s="1" t="s">
        <v>65</v>
      </c>
      <c r="H417" s="1" t="s">
        <v>84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3</v>
      </c>
      <c r="L417" s="2">
        <f>Games[[#This Row],[OppDaysOff]]-Games[[#This Row],[DaysOff]]</f>
        <v>-3</v>
      </c>
      <c r="M417" s="1">
        <f>MAX(-16, MIN(16, Games[[#This Row],[RestDiff]]*8))</f>
        <v>16</v>
      </c>
      <c r="N417" s="1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1611.6808318681824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1496.10691341402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0.79134413680757276</v>
      </c>
      <c r="R417" s="1">
        <v>68</v>
      </c>
      <c r="S417" s="1">
        <v>82</v>
      </c>
      <c r="T417" s="1">
        <v>0</v>
      </c>
      <c r="U417" s="1">
        <f>Games[[#This Row],[PointsFor]]-Games[[#This Row],[PointsAgainst]]</f>
        <v>-14</v>
      </c>
      <c r="V417" s="1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0.44477145376100641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-27.391853733569121</v>
      </c>
      <c r="AB417" s="4">
        <f>Games[[#This Row],[PreGmRate]]+Games[[#This Row],[RatingChange]]</f>
        <v>1584.2889781346132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1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42990</v>
      </c>
      <c r="B418" s="2">
        <v>2017</v>
      </c>
      <c r="C418" s="2">
        <f>COUNTIFS(Games[Team],Games[[#This Row],[Team]],Games[Season],Games[[#This Row],[Season]],Games[Date],"&lt;=" &amp; Games[[#This Row],[Date]])</f>
        <v>37</v>
      </c>
      <c r="D418" s="2" t="s">
        <v>85</v>
      </c>
      <c r="E418" s="2">
        <v>2</v>
      </c>
      <c r="F418" s="1" t="s">
        <v>40</v>
      </c>
      <c r="G418" s="1" t="s">
        <v>63</v>
      </c>
      <c r="H418" s="1" t="s">
        <v>83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18" s="2">
        <f>Games[[#This Row],[DaysOff]]-Games[[#This Row],[OppDaysOff]]</f>
        <v>-7</v>
      </c>
      <c r="L418" s="2">
        <f>Games[[#This Row],[OppDaysOff]]-Games[[#This Row],[DaysOff]]</f>
        <v>7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1552.0626352563652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1708.3932294792801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0.17255010227956769</v>
      </c>
      <c r="R418" s="1">
        <v>66</v>
      </c>
      <c r="S418" s="1">
        <v>79</v>
      </c>
      <c r="T418" s="1">
        <v>0</v>
      </c>
      <c r="U418" s="1">
        <f>Games[[#This Row],[PointsFor]]-Games[[#This Row],[PointsAgainst]]</f>
        <v>-13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0.41763601675702067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8" s="9">
        <f>MAX(kmin, kmax - 0.15 * MIN(Games[[#This Row],[GamesPlayed]], 82))</f>
        <v>70.45</v>
      </c>
      <c r="Z418" s="4">
        <f>Games[[#This Row],[K]]*Games[[#This Row],[POMult]]</f>
        <v>84.54</v>
      </c>
      <c r="AA418" s="4">
        <f>(Games[[#This Row],[Keff]]*Games[[#This Row],[MOVMult]])*(Games[[#This Row],[Result]]-Games[[#This Row],[ExpectedWin%]])</f>
        <v>-6.0922176363924434</v>
      </c>
      <c r="AB418" s="4">
        <f>Games[[#This Row],[PreGmRate]]+Games[[#This Row],[RatingChange]]</f>
        <v>1545.9704176199727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1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42990</v>
      </c>
      <c r="B419" s="2">
        <v>2017</v>
      </c>
      <c r="C419" s="2">
        <f>COUNTIFS(Games[Team],Games[[#This Row],[Team]],Games[Season],Games[[#This Row],[Season]],Games[Date],"&lt;=" &amp; Games[[#This Row],[Date]])</f>
        <v>35</v>
      </c>
      <c r="D419" s="2" t="s">
        <v>85</v>
      </c>
      <c r="E419" s="2">
        <v>2</v>
      </c>
      <c r="F419" s="1" t="s">
        <v>63</v>
      </c>
      <c r="G419" s="1" t="s">
        <v>40</v>
      </c>
      <c r="H419" s="1" t="s">
        <v>84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8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7</v>
      </c>
      <c r="L419" s="2">
        <f>Games[[#This Row],[OppDaysOff]]-Games[[#This Row],[DaysOff]]</f>
        <v>-7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1708.3932294792801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1552.0626352563652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0.82744989772043231</v>
      </c>
      <c r="R419" s="1">
        <v>79</v>
      </c>
      <c r="S419" s="1">
        <v>66</v>
      </c>
      <c r="T419" s="1">
        <v>0</v>
      </c>
      <c r="U419" s="1">
        <f>Games[[#This Row],[PointsFor]]-Games[[#This Row],[PointsAgainst]]</f>
        <v>13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0.41763601675702067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9" s="9">
        <f>MAX(kmin, kmax - 0.15 * MIN(Games[[#This Row],[GamesPlayed]], 82))</f>
        <v>70.75</v>
      </c>
      <c r="Z419" s="4">
        <f>Games[[#This Row],[K]]*Games[[#This Row],[POMult]]</f>
        <v>84.899999999999991</v>
      </c>
      <c r="AA419" s="4">
        <f>(Games[[#This Row],[Keff]]*Games[[#This Row],[MOVMult]])*(Games[[#This Row],[Result]]-Games[[#This Row],[ExpectedWin%]])</f>
        <v>6.1181603658589827</v>
      </c>
      <c r="AB419" s="4">
        <f>Games[[#This Row],[PreGmRate]]+Games[[#This Row],[RatingChange]]</f>
        <v>1714.5113898451391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1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42990</v>
      </c>
      <c r="B420" s="2">
        <v>2017</v>
      </c>
      <c r="C420" s="2">
        <f>COUNTIFS(Games[Team],Games[[#This Row],[Team]],Games[Season],Games[[#This Row],[Season]],Games[Date],"&lt;=" &amp; Games[[#This Row],[Date]])</f>
        <v>37</v>
      </c>
      <c r="D420" s="2" t="s">
        <v>85</v>
      </c>
      <c r="E420" s="2">
        <v>2</v>
      </c>
      <c r="F420" s="1" t="s">
        <v>65</v>
      </c>
      <c r="G420" s="1" t="s">
        <v>67</v>
      </c>
      <c r="H420" s="1" t="s">
        <v>83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20" s="2">
        <f>Games[[#This Row],[DaysOff]]-Games[[#This Row],[OppDaysOff]]</f>
        <v>-7</v>
      </c>
      <c r="L420" s="2">
        <f>Games[[#This Row],[OppDaysOff]]-Games[[#This Row],[DaysOff]]</f>
        <v>7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1523.4406925460339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1698.9516340304751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0.15735095381474398</v>
      </c>
      <c r="R420" s="1">
        <v>81</v>
      </c>
      <c r="S420" s="1">
        <v>101</v>
      </c>
      <c r="T420" s="1">
        <v>0</v>
      </c>
      <c r="U420" s="1">
        <f>Games[[#This Row],[PointsFor]]-Games[[#This Row],[PointsAgainst]]</f>
        <v>-20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0.50153351014867997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0" s="9">
        <f>MAX(kmin, kmax - 0.15 * MIN(Games[[#This Row],[GamesPlayed]], 82))</f>
        <v>70.45</v>
      </c>
      <c r="Z420" s="4">
        <f>Games[[#This Row],[K]]*Games[[#This Row],[POMult]]</f>
        <v>84.54</v>
      </c>
      <c r="AA420" s="4">
        <f>(Games[[#This Row],[Keff]]*Games[[#This Row],[MOVMult]])*(Games[[#This Row],[Result]]-Games[[#This Row],[ExpectedWin%]])</f>
        <v>-6.6716242592675705</v>
      </c>
      <c r="AB420" s="4">
        <f>Games[[#This Row],[PreGmRate]]+Games[[#This Row],[RatingChange]]</f>
        <v>1516.7690682867662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1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42990</v>
      </c>
      <c r="B421" s="2">
        <v>2017</v>
      </c>
      <c r="C421" s="2">
        <f>COUNTIFS(Games[Team],Games[[#This Row],[Team]],Games[Season],Games[[#This Row],[Season]],Games[Date],"&lt;=" &amp; Games[[#This Row],[Date]])</f>
        <v>35</v>
      </c>
      <c r="D421" s="2" t="s">
        <v>85</v>
      </c>
      <c r="E421" s="2">
        <v>2</v>
      </c>
      <c r="F421" s="1" t="s">
        <v>67</v>
      </c>
      <c r="G421" s="1" t="s">
        <v>65</v>
      </c>
      <c r="H421" s="1" t="s">
        <v>84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8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7</v>
      </c>
      <c r="L421" s="2">
        <f>Games[[#This Row],[OppDaysOff]]-Games[[#This Row],[DaysOff]]</f>
        <v>-7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1698.9516340304751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1523.4406925460339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0.84264904618525605</v>
      </c>
      <c r="R421" s="1">
        <v>101</v>
      </c>
      <c r="S421" s="1">
        <v>81</v>
      </c>
      <c r="T421" s="1">
        <v>0</v>
      </c>
      <c r="U421" s="1">
        <f>Games[[#This Row],[PointsFor]]-Games[[#This Row],[PointsAgainst]]</f>
        <v>20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0.50153351014867997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1" s="9">
        <f>MAX(kmin, kmax - 0.15 * MIN(Games[[#This Row],[GamesPlayed]], 82))</f>
        <v>70.75</v>
      </c>
      <c r="Z421" s="4">
        <f>Games[[#This Row],[K]]*Games[[#This Row],[POMult]]</f>
        <v>84.899999999999991</v>
      </c>
      <c r="AA421" s="4">
        <f>(Games[[#This Row],[Keff]]*Games[[#This Row],[MOVMult]])*(Games[[#This Row],[Result]]-Games[[#This Row],[ExpectedWin%]])</f>
        <v>6.7000342986966697</v>
      </c>
      <c r="AB421" s="4">
        <f>Games[[#This Row],[PreGmRate]]+Games[[#This Row],[RatingChange]]</f>
        <v>1705.6516683291718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1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42992</v>
      </c>
      <c r="B422" s="2">
        <v>2017</v>
      </c>
      <c r="C422" s="2">
        <f>COUNTIFS(Games[Team],Games[[#This Row],[Team]],Games[Season],Games[[#This Row],[Season]],Games[Date],"&lt;=" &amp; Games[[#This Row],[Date]])</f>
        <v>38</v>
      </c>
      <c r="D422" s="2" t="s">
        <v>85</v>
      </c>
      <c r="E422" s="2">
        <v>2</v>
      </c>
      <c r="F422" s="1" t="s">
        <v>40</v>
      </c>
      <c r="G422" s="1" t="s">
        <v>63</v>
      </c>
      <c r="H422" s="1" t="s">
        <v>83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1545.9704176199727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1714.5113898451391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0.18942622980851048</v>
      </c>
      <c r="R422" s="1">
        <v>72</v>
      </c>
      <c r="S422" s="1">
        <v>86</v>
      </c>
      <c r="T422" s="1">
        <v>0</v>
      </c>
      <c r="U422" s="1">
        <f>Games[[#This Row],[PointsFor]]-Games[[#This Row],[PointsAgainst]]</f>
        <v>-14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0.42755733011744279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2" s="9">
        <f>MAX(kmin, kmax - 0.15 * MIN(Games[[#This Row],[GamesPlayed]], 82))</f>
        <v>70.3</v>
      </c>
      <c r="Z422" s="4">
        <f>Games[[#This Row],[K]]*Games[[#This Row],[POMult]]</f>
        <v>84.36</v>
      </c>
      <c r="AA422" s="4">
        <f>(Games[[#This Row],[Keff]]*Games[[#This Row],[MOVMult]])*(Games[[#This Row],[Result]]-Games[[#This Row],[ExpectedWin%]])</f>
        <v>-6.832364744281362</v>
      </c>
      <c r="AB422" s="4">
        <f>Games[[#This Row],[PreGmRate]]+Games[[#This Row],[RatingChange]]</f>
        <v>1539.1380528756913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1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42992</v>
      </c>
      <c r="B423" s="2">
        <v>2017</v>
      </c>
      <c r="C423" s="2">
        <f>COUNTIFS(Games[Team],Games[[#This Row],[Team]],Games[Season],Games[[#This Row],[Season]],Games[Date],"&lt;=" &amp; Games[[#This Row],[Date]])</f>
        <v>36</v>
      </c>
      <c r="D423" s="2" t="s">
        <v>85</v>
      </c>
      <c r="E423" s="2">
        <v>2</v>
      </c>
      <c r="F423" s="1" t="s">
        <v>63</v>
      </c>
      <c r="G423" s="1" t="s">
        <v>40</v>
      </c>
      <c r="H423" s="1" t="s">
        <v>84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1714.5113898451391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1545.9704176199727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0.81057377019148957</v>
      </c>
      <c r="R423" s="1">
        <v>86</v>
      </c>
      <c r="S423" s="1">
        <v>72</v>
      </c>
      <c r="T423" s="1">
        <v>0</v>
      </c>
      <c r="U423" s="1">
        <f>Games[[#This Row],[PointsFor]]-Games[[#This Row],[PointsAgainst]]</f>
        <v>14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0.42755733011744279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3" s="9">
        <f>MAX(kmin, kmax - 0.15 * MIN(Games[[#This Row],[GamesPlayed]], 82))</f>
        <v>70.599999999999994</v>
      </c>
      <c r="Z423" s="4">
        <f>Games[[#This Row],[K]]*Games[[#This Row],[POMult]]</f>
        <v>84.719999999999985</v>
      </c>
      <c r="AA423" s="4">
        <f>(Games[[#This Row],[Keff]]*Games[[#This Row],[MOVMult]])*(Games[[#This Row],[Result]]-Games[[#This Row],[ExpectedWin%]])</f>
        <v>6.861521350586969</v>
      </c>
      <c r="AB423" s="4">
        <f>Games[[#This Row],[PreGmRate]]+Games[[#This Row],[RatingChange]]</f>
        <v>1721.3729111957261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1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42992</v>
      </c>
      <c r="B424" s="2">
        <v>2017</v>
      </c>
      <c r="C424" s="2">
        <f>COUNTIFS(Games[Team],Games[[#This Row],[Team]],Games[Season],Games[[#This Row],[Season]],Games[Date],"&lt;=" &amp; Games[[#This Row],[Date]])</f>
        <v>38</v>
      </c>
      <c r="D424" s="2" t="s">
        <v>85</v>
      </c>
      <c r="E424" s="2">
        <v>2</v>
      </c>
      <c r="F424" s="1" t="s">
        <v>65</v>
      </c>
      <c r="G424" s="1" t="s">
        <v>67</v>
      </c>
      <c r="H424" s="1" t="s">
        <v>83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1516.7690682867662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1705.6516683291718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0.17209688728962444</v>
      </c>
      <c r="R424" s="1">
        <v>83</v>
      </c>
      <c r="S424" s="1">
        <v>93</v>
      </c>
      <c r="T424" s="1">
        <v>0</v>
      </c>
      <c r="U424" s="1">
        <f>Games[[#This Row],[PointsFor]]-Games[[#This Row],[PointsAgainst]]</f>
        <v>-10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0.36558571558405145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4" s="9">
        <f>MAX(kmin, kmax - 0.15 * MIN(Games[[#This Row],[GamesPlayed]], 82))</f>
        <v>70.3</v>
      </c>
      <c r="Z424" s="4">
        <f>Games[[#This Row],[K]]*Games[[#This Row],[POMult]]</f>
        <v>84.36</v>
      </c>
      <c r="AA424" s="4">
        <f>(Games[[#This Row],[Keff]]*Games[[#This Row],[MOVMult]])*(Games[[#This Row],[Result]]-Games[[#This Row],[ExpectedWin%]])</f>
        <v>-5.3076075688517204</v>
      </c>
      <c r="AB424" s="4">
        <f>Games[[#This Row],[PreGmRate]]+Games[[#This Row],[RatingChange]]</f>
        <v>1511.4614607179146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1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42992</v>
      </c>
      <c r="B425" s="2">
        <v>2017</v>
      </c>
      <c r="C425" s="2">
        <f>COUNTIFS(Games[Team],Games[[#This Row],[Team]],Games[Season],Games[[#This Row],[Season]],Games[Date],"&lt;=" &amp; Games[[#This Row],[Date]])</f>
        <v>36</v>
      </c>
      <c r="D425" s="2" t="s">
        <v>85</v>
      </c>
      <c r="E425" s="2">
        <v>2</v>
      </c>
      <c r="F425" s="1" t="s">
        <v>67</v>
      </c>
      <c r="G425" s="1" t="s">
        <v>65</v>
      </c>
      <c r="H425" s="1" t="s">
        <v>84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1705.6516683291718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1516.7690682867662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0.82790311271037564</v>
      </c>
      <c r="R425" s="1">
        <v>93</v>
      </c>
      <c r="S425" s="1">
        <v>83</v>
      </c>
      <c r="T425" s="1">
        <v>0</v>
      </c>
      <c r="U425" s="1">
        <f>Games[[#This Row],[PointsFor]]-Games[[#This Row],[PointsAgainst]]</f>
        <v>10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0.36558571558405145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5" s="9">
        <f>MAX(kmin, kmax - 0.15 * MIN(Games[[#This Row],[GamesPlayed]], 82))</f>
        <v>70.599999999999994</v>
      </c>
      <c r="Z425" s="4">
        <f>Games[[#This Row],[K]]*Games[[#This Row],[POMult]]</f>
        <v>84.719999999999985</v>
      </c>
      <c r="AA425" s="4">
        <f>(Games[[#This Row],[Keff]]*Games[[#This Row],[MOVMult]])*(Games[[#This Row],[Result]]-Games[[#This Row],[ExpectedWin%]])</f>
        <v>5.3302573877799597</v>
      </c>
      <c r="AB425" s="4">
        <f>Games[[#This Row],[PreGmRate]]+Games[[#This Row],[RatingChange]]</f>
        <v>1710.9819257169518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1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42995</v>
      </c>
      <c r="B426" s="2">
        <v>2017</v>
      </c>
      <c r="C426" s="2">
        <f>COUNTIFS(Games[Team],Games[[#This Row],[Team]],Games[Season],Games[[#This Row],[Season]],Games[Date],"&lt;=" &amp; Games[[#This Row],[Date]])</f>
        <v>37</v>
      </c>
      <c r="D426" s="2" t="s">
        <v>85</v>
      </c>
      <c r="E426" s="2">
        <v>2</v>
      </c>
      <c r="F426" s="1" t="s">
        <v>63</v>
      </c>
      <c r="G426" s="1" t="s">
        <v>40</v>
      </c>
      <c r="H426" s="1" t="s">
        <v>83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1721.3729111957261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1539.1380528756913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0.63772078064183846</v>
      </c>
      <c r="R426" s="1">
        <v>89</v>
      </c>
      <c r="S426" s="1">
        <v>87</v>
      </c>
      <c r="T426" s="1">
        <v>0</v>
      </c>
      <c r="U426" s="1">
        <f>Games[[#This Row],[PointsFor]]-Games[[#This Row],[PointsAgainst]]</f>
        <v>2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0.23252892447108758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6" s="9">
        <f>MAX(kmin, kmax - 0.15 * MIN(Games[[#This Row],[GamesPlayed]], 82))</f>
        <v>70.45</v>
      </c>
      <c r="Z426" s="4">
        <f>Games[[#This Row],[K]]*Games[[#This Row],[POMult]]</f>
        <v>84.54</v>
      </c>
      <c r="AA426" s="4">
        <f>(Games[[#This Row],[Keff]]*Games[[#This Row],[MOVMult]])*(Games[[#This Row],[Result]]-Games[[#This Row],[ExpectedWin%]])</f>
        <v>7.1216831822958078</v>
      </c>
      <c r="AB426" s="4">
        <f>Games[[#This Row],[PreGmRate]]+Games[[#This Row],[RatingChange]]</f>
        <v>1728.4945943780219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1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42995</v>
      </c>
      <c r="B427" s="2">
        <v>2017</v>
      </c>
      <c r="C427" s="2">
        <f>COUNTIFS(Games[Team],Games[[#This Row],[Team]],Games[Season],Games[[#This Row],[Season]],Games[Date],"&lt;=" &amp; Games[[#This Row],[Date]])</f>
        <v>39</v>
      </c>
      <c r="D427" s="2" t="s">
        <v>85</v>
      </c>
      <c r="E427" s="2">
        <v>2</v>
      </c>
      <c r="F427" s="1" t="s">
        <v>40</v>
      </c>
      <c r="G427" s="1" t="s">
        <v>63</v>
      </c>
      <c r="H427" s="1" t="s">
        <v>84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1539.1380528756913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1721.3729111957261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0.3622792193581616</v>
      </c>
      <c r="R427" s="1">
        <v>87</v>
      </c>
      <c r="S427" s="1">
        <v>89</v>
      </c>
      <c r="T427" s="1">
        <v>0</v>
      </c>
      <c r="U427" s="1">
        <f>Games[[#This Row],[PointsFor]]-Games[[#This Row],[PointsAgainst]]</f>
        <v>-2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0.23252892447108758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7" s="9">
        <f>MAX(kmin, kmax - 0.15 * MIN(Games[[#This Row],[GamesPlayed]], 82))</f>
        <v>70.150000000000006</v>
      </c>
      <c r="Z427" s="4">
        <f>Games[[#This Row],[K]]*Games[[#This Row],[POMult]]</f>
        <v>84.18</v>
      </c>
      <c r="AA427" s="4">
        <f>(Games[[#This Row],[Keff]]*Games[[#This Row],[MOVMult]])*(Games[[#This Row],[Result]]-Games[[#This Row],[ExpectedWin%]])</f>
        <v>-7.0913566392910008</v>
      </c>
      <c r="AB427" s="4">
        <f>Games[[#This Row],[PreGmRate]]+Games[[#This Row],[RatingChange]]</f>
        <v>1532.0466962364003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1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42995</v>
      </c>
      <c r="B428" s="2">
        <v>2017</v>
      </c>
      <c r="C428" s="2">
        <f>COUNTIFS(Games[Team],Games[[#This Row],[Team]],Games[Season],Games[[#This Row],[Season]],Games[Date],"&lt;=" &amp; Games[[#This Row],[Date]])</f>
        <v>37</v>
      </c>
      <c r="D428" s="2" t="s">
        <v>85</v>
      </c>
      <c r="E428" s="2">
        <v>2</v>
      </c>
      <c r="F428" s="1" t="s">
        <v>67</v>
      </c>
      <c r="G428" s="1" t="s">
        <v>65</v>
      </c>
      <c r="H428" s="1" t="s">
        <v>83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1710.9819257169518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1511.4614607179146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0.66038026245328874</v>
      </c>
      <c r="R428" s="1">
        <v>81</v>
      </c>
      <c r="S428" s="1">
        <v>70</v>
      </c>
      <c r="T428" s="1">
        <v>0</v>
      </c>
      <c r="U428" s="1">
        <f>Games[[#This Row],[PointsFor]]-Games[[#This Row],[PointsAgainst]]</f>
        <v>11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0.37713143716660175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8" s="9">
        <f>MAX(kmin, kmax - 0.15 * MIN(Games[[#This Row],[GamesPlayed]], 82))</f>
        <v>70.45</v>
      </c>
      <c r="Z428" s="4">
        <f>Games[[#This Row],[K]]*Games[[#This Row],[POMult]]</f>
        <v>84.54</v>
      </c>
      <c r="AA428" s="4">
        <f>(Games[[#This Row],[Keff]]*Games[[#This Row],[MOVMult]])*(Games[[#This Row],[Result]]-Games[[#This Row],[ExpectedWin%]])</f>
        <v>10.827991386779379</v>
      </c>
      <c r="AB428" s="4">
        <f>Games[[#This Row],[PreGmRate]]+Games[[#This Row],[RatingChange]]</f>
        <v>1721.8099171037311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1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42995</v>
      </c>
      <c r="B429" s="2">
        <v>2017</v>
      </c>
      <c r="C429" s="2">
        <f>COUNTIFS(Games[Team],Games[[#This Row],[Team]],Games[Season],Games[[#This Row],[Season]],Games[Date],"&lt;=" &amp; Games[[#This Row],[Date]])</f>
        <v>39</v>
      </c>
      <c r="D429" s="2" t="s">
        <v>85</v>
      </c>
      <c r="E429" s="2">
        <v>2</v>
      </c>
      <c r="F429" s="1" t="s">
        <v>65</v>
      </c>
      <c r="G429" s="1" t="s">
        <v>67</v>
      </c>
      <c r="H429" s="1" t="s">
        <v>84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1511.4614607179146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1710.9819257169518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0.33961973754671126</v>
      </c>
      <c r="R429" s="1">
        <v>70</v>
      </c>
      <c r="S429" s="1">
        <v>81</v>
      </c>
      <c r="T429" s="1">
        <v>0</v>
      </c>
      <c r="U429" s="1">
        <f>Games[[#This Row],[PointsFor]]-Games[[#This Row],[PointsAgainst]]</f>
        <v>-11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0.37713143716660175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9" s="9">
        <f>MAX(kmin, kmax - 0.15 * MIN(Games[[#This Row],[GamesPlayed]], 82))</f>
        <v>70.150000000000006</v>
      </c>
      <c r="Z429" s="4">
        <f>Games[[#This Row],[K]]*Games[[#This Row],[POMult]]</f>
        <v>84.18</v>
      </c>
      <c r="AA429" s="4">
        <f>(Games[[#This Row],[Keff]]*Games[[#This Row],[MOVMult]])*(Games[[#This Row],[Result]]-Games[[#This Row],[ExpectedWin%]])</f>
        <v>-10.781882126083371</v>
      </c>
      <c r="AB429" s="4">
        <f>Games[[#This Row],[PreGmRate]]+Games[[#This Row],[RatingChange]]</f>
        <v>1500.6795785918312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1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43002</v>
      </c>
      <c r="B430" s="2">
        <v>2017</v>
      </c>
      <c r="C430" s="2">
        <f>COUNTIFS(Games[Team],Games[[#This Row],[Team]],Games[Season],Games[[#This Row],[Season]],Games[Date],"&lt;=" &amp; Games[[#This Row],[Date]])</f>
        <v>38</v>
      </c>
      <c r="D430" s="2" t="s">
        <v>85</v>
      </c>
      <c r="E430" s="2">
        <v>3</v>
      </c>
      <c r="F430" s="1" t="s">
        <v>63</v>
      </c>
      <c r="G430" s="1" t="s">
        <v>67</v>
      </c>
      <c r="H430" s="1" t="s">
        <v>83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1728.4945943780219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1721.8099171037311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0.39053527497899565</v>
      </c>
      <c r="R430" s="1">
        <v>85</v>
      </c>
      <c r="S430" s="1">
        <v>84</v>
      </c>
      <c r="T430" s="1">
        <v>0</v>
      </c>
      <c r="U430" s="1">
        <f>Games[[#This Row],[PointsFor]]-Games[[#This Row],[PointsAgainst]]</f>
        <v>1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0.24282698759399837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0" s="9">
        <f>MAX(kmin, kmax - 0.15 * MIN(Games[[#This Row],[GamesPlayed]], 82))</f>
        <v>70.3</v>
      </c>
      <c r="Z430" s="4">
        <f>Games[[#This Row],[K]]*Games[[#This Row],[POMult]]</f>
        <v>94.905000000000001</v>
      </c>
      <c r="AA430" s="4">
        <f>(Games[[#This Row],[Keff]]*Games[[#This Row],[MOVMult]])*(Games[[#This Row],[Result]]-Games[[#This Row],[ExpectedWin%]])</f>
        <v>14.045416430151173</v>
      </c>
      <c r="AB430" s="4">
        <f>Games[[#This Row],[PreGmRate]]+Games[[#This Row],[RatingChange]]</f>
        <v>1742.5400108081731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1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43002</v>
      </c>
      <c r="B431" s="2">
        <v>2017</v>
      </c>
      <c r="C431" s="2">
        <f>COUNTIFS(Games[Team],Games[[#This Row],[Team]],Games[Season],Games[[#This Row],[Season]],Games[Date],"&lt;=" &amp; Games[[#This Row],[Date]])</f>
        <v>38</v>
      </c>
      <c r="D431" s="2" t="s">
        <v>85</v>
      </c>
      <c r="E431" s="2">
        <v>3</v>
      </c>
      <c r="F431" s="1" t="s">
        <v>67</v>
      </c>
      <c r="G431" s="1" t="s">
        <v>63</v>
      </c>
      <c r="H431" s="1" t="s">
        <v>84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1721.8099171037311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1728.4945943780219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0.60946472502100435</v>
      </c>
      <c r="R431" s="1">
        <v>84</v>
      </c>
      <c r="S431" s="1">
        <v>85</v>
      </c>
      <c r="T431" s="1">
        <v>0</v>
      </c>
      <c r="U431" s="1">
        <f>Games[[#This Row],[PointsFor]]-Games[[#This Row],[PointsAgainst]]</f>
        <v>-1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0.24282698759399837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1" s="9">
        <f>MAX(kmin, kmax - 0.15 * MIN(Games[[#This Row],[GamesPlayed]], 82))</f>
        <v>70.3</v>
      </c>
      <c r="Z431" s="4">
        <f>Games[[#This Row],[K]]*Games[[#This Row],[POMult]]</f>
        <v>94.905000000000001</v>
      </c>
      <c r="AA431" s="4">
        <f>(Games[[#This Row],[Keff]]*Games[[#This Row],[MOVMult]])*(Games[[#This Row],[Result]]-Games[[#This Row],[ExpectedWin%]])</f>
        <v>-14.045416430151173</v>
      </c>
      <c r="AB431" s="4">
        <f>Games[[#This Row],[PreGmRate]]+Games[[#This Row],[RatingChange]]</f>
        <v>1707.76450067358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1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43004</v>
      </c>
      <c r="B432" s="2">
        <v>2017</v>
      </c>
      <c r="C432" s="2">
        <f>COUNTIFS(Games[Team],Games[[#This Row],[Team]],Games[Season],Games[[#This Row],[Season]],Games[Date],"&lt;=" &amp; Games[[#This Row],[Date]])</f>
        <v>39</v>
      </c>
      <c r="D432" s="2" t="s">
        <v>85</v>
      </c>
      <c r="E432" s="2">
        <v>3</v>
      </c>
      <c r="F432" s="1" t="s">
        <v>63</v>
      </c>
      <c r="G432" s="1" t="s">
        <v>67</v>
      </c>
      <c r="H432" s="1" t="s">
        <v>83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1742.5400108081731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1707.76450067358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0.42963047991493647</v>
      </c>
      <c r="R432" s="1">
        <v>68</v>
      </c>
      <c r="S432" s="1">
        <v>70</v>
      </c>
      <c r="T432" s="1">
        <v>0</v>
      </c>
      <c r="U432" s="1">
        <f>Games[[#This Row],[PointsFor]]-Games[[#This Row],[PointsAgainst]]</f>
        <v>-2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0.26029799128148362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2" s="9">
        <f>MAX(kmin, kmax - 0.15 * MIN(Games[[#This Row],[GamesPlayed]], 82))</f>
        <v>70.150000000000006</v>
      </c>
      <c r="Z432" s="4">
        <f>Games[[#This Row],[K]]*Games[[#This Row],[POMult]]</f>
        <v>94.702500000000015</v>
      </c>
      <c r="AA432" s="4">
        <f>(Games[[#This Row],[Keff]]*Games[[#This Row],[MOVMult]])*(Games[[#This Row],[Result]]-Games[[#This Row],[ExpectedWin%]])</f>
        <v>-10.590765331542729</v>
      </c>
      <c r="AB432" s="4">
        <f>Games[[#This Row],[PreGmRate]]+Games[[#This Row],[RatingChange]]</f>
        <v>1731.9492454766303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1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43004</v>
      </c>
      <c r="B433" s="2">
        <v>2017</v>
      </c>
      <c r="C433" s="2">
        <f>COUNTIFS(Games[Team],Games[[#This Row],[Team]],Games[Season],Games[[#This Row],[Season]],Games[Date],"&lt;=" &amp; Games[[#This Row],[Date]])</f>
        <v>39</v>
      </c>
      <c r="D433" s="2" t="s">
        <v>85</v>
      </c>
      <c r="E433" s="2">
        <v>3</v>
      </c>
      <c r="F433" s="1" t="s">
        <v>67</v>
      </c>
      <c r="G433" s="1" t="s">
        <v>63</v>
      </c>
      <c r="H433" s="1" t="s">
        <v>84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1707.76450067358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1742.5400108081731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0.57036952008506348</v>
      </c>
      <c r="R433" s="1">
        <v>70</v>
      </c>
      <c r="S433" s="1">
        <v>68</v>
      </c>
      <c r="T433" s="1">
        <v>0</v>
      </c>
      <c r="U433" s="1">
        <f>Games[[#This Row],[PointsFor]]-Games[[#This Row],[PointsAgainst]]</f>
        <v>2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0.26029799128148362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3" s="9">
        <f>MAX(kmin, kmax - 0.15 * MIN(Games[[#This Row],[GamesPlayed]], 82))</f>
        <v>70.150000000000006</v>
      </c>
      <c r="Z433" s="4">
        <f>Games[[#This Row],[K]]*Games[[#This Row],[POMult]]</f>
        <v>94.702500000000015</v>
      </c>
      <c r="AA433" s="4">
        <f>(Games[[#This Row],[Keff]]*Games[[#This Row],[MOVMult]])*(Games[[#This Row],[Result]]-Games[[#This Row],[ExpectedWin%]])</f>
        <v>10.59076533154273</v>
      </c>
      <c r="AB433" s="4">
        <f>Games[[#This Row],[PreGmRate]]+Games[[#This Row],[RatingChange]]</f>
        <v>1718.3552660051228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1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43007</v>
      </c>
      <c r="B434" s="2">
        <v>2017</v>
      </c>
      <c r="C434" s="2">
        <f>COUNTIFS(Games[Team],Games[[#This Row],[Team]],Games[Season],Games[[#This Row],[Season]],Games[Date],"&lt;=" &amp; Games[[#This Row],[Date]])</f>
        <v>40</v>
      </c>
      <c r="D434" s="2" t="s">
        <v>85</v>
      </c>
      <c r="E434" s="2">
        <v>3</v>
      </c>
      <c r="F434" s="1" t="s">
        <v>67</v>
      </c>
      <c r="G434" s="1" t="s">
        <v>63</v>
      </c>
      <c r="H434" s="1" t="s">
        <v>83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1718.3552660051228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1731.9492454766303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0.36313197744620701</v>
      </c>
      <c r="R434" s="1">
        <v>64</v>
      </c>
      <c r="S434" s="1">
        <v>75</v>
      </c>
      <c r="T434" s="1">
        <v>0</v>
      </c>
      <c r="U434" s="1">
        <f>Games[[#This Row],[PointsFor]]-Games[[#This Row],[PointsAgainst]]</f>
        <v>-11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0.43490918151967428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4" s="9">
        <f>MAX(kmin, kmax - 0.15 * MIN(Games[[#This Row],[GamesPlayed]], 82))</f>
        <v>70</v>
      </c>
      <c r="Z434" s="4">
        <f>Games[[#This Row],[K]]*Games[[#This Row],[POMult]]</f>
        <v>94.5</v>
      </c>
      <c r="AA434" s="4">
        <f>(Games[[#This Row],[Keff]]*Games[[#This Row],[MOVMult]])*(Games[[#This Row],[Result]]-Games[[#This Row],[ExpectedWin%]])</f>
        <v>-14.924331238453943</v>
      </c>
      <c r="AB434" s="4">
        <f>Games[[#This Row],[PreGmRate]]+Games[[#This Row],[RatingChange]]</f>
        <v>1703.4309347666688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1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43007</v>
      </c>
      <c r="B435" s="2">
        <v>2017</v>
      </c>
      <c r="C435" s="2">
        <f>COUNTIFS(Games[Team],Games[[#This Row],[Team]],Games[Season],Games[[#This Row],[Season]],Games[Date],"&lt;=" &amp; Games[[#This Row],[Date]])</f>
        <v>40</v>
      </c>
      <c r="D435" s="2" t="s">
        <v>85</v>
      </c>
      <c r="E435" s="2">
        <v>3</v>
      </c>
      <c r="F435" s="1" t="s">
        <v>63</v>
      </c>
      <c r="G435" s="1" t="s">
        <v>67</v>
      </c>
      <c r="H435" s="1" t="s">
        <v>84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1731.9492454766303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1718.3552660051228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0.63686802255379305</v>
      </c>
      <c r="R435" s="1">
        <v>75</v>
      </c>
      <c r="S435" s="1">
        <v>64</v>
      </c>
      <c r="T435" s="1">
        <v>0</v>
      </c>
      <c r="U435" s="1">
        <f>Games[[#This Row],[PointsFor]]-Games[[#This Row],[PointsAgainst]]</f>
        <v>11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0.43490918151967428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5" s="9">
        <f>MAX(kmin, kmax - 0.15 * MIN(Games[[#This Row],[GamesPlayed]], 82))</f>
        <v>70</v>
      </c>
      <c r="Z435" s="4">
        <f>Games[[#This Row],[K]]*Games[[#This Row],[POMult]]</f>
        <v>94.5</v>
      </c>
      <c r="AA435" s="4">
        <f>(Games[[#This Row],[Keff]]*Games[[#This Row],[MOVMult]])*(Games[[#This Row],[Result]]-Games[[#This Row],[ExpectedWin%]])</f>
        <v>14.92433123845394</v>
      </c>
      <c r="AB435" s="4">
        <f>Games[[#This Row],[PreGmRate]]+Games[[#This Row],[RatingChange]]</f>
        <v>1746.8735767150843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1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43009</v>
      </c>
      <c r="B436" s="2">
        <v>2017</v>
      </c>
      <c r="C436" s="2">
        <f>COUNTIFS(Games[Team],Games[[#This Row],[Team]],Games[Season],Games[[#This Row],[Season]],Games[Date],"&lt;=" &amp; Games[[#This Row],[Date]])</f>
        <v>41</v>
      </c>
      <c r="D436" s="2" t="s">
        <v>85</v>
      </c>
      <c r="E436" s="2">
        <v>3</v>
      </c>
      <c r="F436" s="1" t="s">
        <v>67</v>
      </c>
      <c r="G436" s="1" t="s">
        <v>63</v>
      </c>
      <c r="H436" s="1" t="s">
        <v>83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1703.4309347666688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1746.8735767150843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0.32440110542071693</v>
      </c>
      <c r="R436" s="1">
        <v>80</v>
      </c>
      <c r="S436" s="1">
        <v>69</v>
      </c>
      <c r="T436" s="1">
        <v>0</v>
      </c>
      <c r="U436" s="1">
        <f>Games[[#This Row],[PointsFor]]-Games[[#This Row],[PointsAgainst]]</f>
        <v>11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0.42446924892499688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6" s="9">
        <f>MAX(kmin, kmax - 0.15 * MIN(Games[[#This Row],[GamesPlayed]], 82))</f>
        <v>69.849999999999994</v>
      </c>
      <c r="Z436" s="4">
        <f>Games[[#This Row],[K]]*Games[[#This Row],[POMult]]</f>
        <v>94.297499999999999</v>
      </c>
      <c r="AA436" s="4">
        <f>(Games[[#This Row],[Keff]]*Games[[#This Row],[MOVMult]])*(Games[[#This Row],[Result]]-Games[[#This Row],[ExpectedWin%]])</f>
        <v>27.041784162741479</v>
      </c>
      <c r="AB436" s="4">
        <f>Games[[#This Row],[PreGmRate]]+Games[[#This Row],[RatingChange]]</f>
        <v>1730.4727189294103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1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43009</v>
      </c>
      <c r="B437" s="2">
        <v>2017</v>
      </c>
      <c r="C437" s="2">
        <f>COUNTIFS(Games[Team],Games[[#This Row],[Team]],Games[Season],Games[[#This Row],[Season]],Games[Date],"&lt;=" &amp; Games[[#This Row],[Date]])</f>
        <v>41</v>
      </c>
      <c r="D437" s="2" t="s">
        <v>85</v>
      </c>
      <c r="E437" s="2">
        <v>3</v>
      </c>
      <c r="F437" s="1" t="s">
        <v>63</v>
      </c>
      <c r="G437" s="1" t="s">
        <v>67</v>
      </c>
      <c r="H437" s="1" t="s">
        <v>84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1746.8735767150843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1703.4309347666688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0.67559889457928313</v>
      </c>
      <c r="R437" s="1">
        <v>69</v>
      </c>
      <c r="S437" s="1">
        <v>80</v>
      </c>
      <c r="T437" s="1">
        <v>0</v>
      </c>
      <c r="U437" s="1">
        <f>Games[[#This Row],[PointsFor]]-Games[[#This Row],[PointsAgainst]]</f>
        <v>-11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0.42446924892499688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7" s="9">
        <f>MAX(kmin, kmax - 0.15 * MIN(Games[[#This Row],[GamesPlayed]], 82))</f>
        <v>69.849999999999994</v>
      </c>
      <c r="Z437" s="4">
        <f>Games[[#This Row],[K]]*Games[[#This Row],[POMult]]</f>
        <v>94.297499999999999</v>
      </c>
      <c r="AA437" s="4">
        <f>(Games[[#This Row],[Keff]]*Games[[#This Row],[MOVMult]])*(Games[[#This Row],[Result]]-Games[[#This Row],[ExpectedWin%]])</f>
        <v>-27.041784162741482</v>
      </c>
      <c r="AB437" s="4">
        <f>Games[[#This Row],[PreGmRate]]+Games[[#This Row],[RatingChange]]</f>
        <v>1719.8317925523427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1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43012</v>
      </c>
      <c r="B438" s="2">
        <v>2017</v>
      </c>
      <c r="C438" s="2">
        <f>COUNTIFS(Games[Team],Games[[#This Row],[Team]],Games[Season],Games[[#This Row],[Season]],Games[Date],"&lt;=" &amp; Games[[#This Row],[Date]])</f>
        <v>42</v>
      </c>
      <c r="D438" s="2" t="s">
        <v>85</v>
      </c>
      <c r="E438" s="2">
        <v>3</v>
      </c>
      <c r="F438" s="1" t="s">
        <v>63</v>
      </c>
      <c r="G438" s="1" t="s">
        <v>67</v>
      </c>
      <c r="H438" s="1" t="s">
        <v>83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1719.8317925523427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1730.4727189294103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0.36707239306614758</v>
      </c>
      <c r="R438" s="1">
        <v>76</v>
      </c>
      <c r="S438" s="1">
        <v>85</v>
      </c>
      <c r="T438" s="1">
        <v>0</v>
      </c>
      <c r="U438" s="1">
        <f>Games[[#This Row],[PointsFor]]-Games[[#This Row],[PointsAgainst]]</f>
        <v>-9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0.40240324109525283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8" s="9">
        <f>MAX(kmin, kmax - 0.15 * MIN(Games[[#This Row],[GamesPlayed]], 82))</f>
        <v>69.7</v>
      </c>
      <c r="Z438" s="4">
        <f>Games[[#This Row],[K]]*Games[[#This Row],[POMult]]</f>
        <v>94.095000000000013</v>
      </c>
      <c r="AA438" s="4">
        <f>(Games[[#This Row],[Keff]]*Games[[#This Row],[MOVMult]])*(Games[[#This Row],[Result]]-Games[[#This Row],[ExpectedWin%]])</f>
        <v>-13.8988779009876</v>
      </c>
      <c r="AB438" s="4">
        <f>Games[[#This Row],[PreGmRate]]+Games[[#This Row],[RatingChange]]</f>
        <v>1705.9329146513551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1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43012</v>
      </c>
      <c r="B439" s="2">
        <v>2017</v>
      </c>
      <c r="C439" s="2">
        <f>COUNTIFS(Games[Team],Games[[#This Row],[Team]],Games[Season],Games[[#This Row],[Season]],Games[Date],"&lt;=" &amp; Games[[#This Row],[Date]])</f>
        <v>42</v>
      </c>
      <c r="D439" s="2" t="s">
        <v>85</v>
      </c>
      <c r="E439" s="2">
        <v>3</v>
      </c>
      <c r="F439" s="1" t="s">
        <v>67</v>
      </c>
      <c r="G439" s="1" t="s">
        <v>63</v>
      </c>
      <c r="H439" s="1" t="s">
        <v>84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1730.4727189294103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1719.8317925523427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0.63292760693385242</v>
      </c>
      <c r="R439" s="1">
        <v>85</v>
      </c>
      <c r="S439" s="1">
        <v>76</v>
      </c>
      <c r="T439" s="1">
        <v>0</v>
      </c>
      <c r="U439" s="1">
        <f>Games[[#This Row],[PointsFor]]-Games[[#This Row],[PointsAgainst]]</f>
        <v>9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0.40240324109525283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9" s="9">
        <f>MAX(kmin, kmax - 0.15 * MIN(Games[[#This Row],[GamesPlayed]], 82))</f>
        <v>69.7</v>
      </c>
      <c r="Z439" s="4">
        <f>Games[[#This Row],[K]]*Games[[#This Row],[POMult]]</f>
        <v>94.095000000000013</v>
      </c>
      <c r="AA439" s="4">
        <f>(Games[[#This Row],[Keff]]*Games[[#This Row],[MOVMult]])*(Games[[#This Row],[Result]]-Games[[#This Row],[ExpectedWin%]])</f>
        <v>13.8988779009876</v>
      </c>
      <c r="AB439" s="4">
        <f>Games[[#This Row],[PreGmRate]]+Games[[#This Row],[RatingChange]]</f>
        <v>1744.3715968303979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1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2026-07-28T21:47:34Z</dcterms:modified>
</cp:coreProperties>
</file>
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WNBA_Elo\Ratings\"/>
    </mc:Choice>
  </mc:AlternateContent>
  <xr:revisionPtr revIDLastSave="0" documentId="13_ncr:1_{DD7C61D7-D200-4886-9432-B7CE9A109CC3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6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2" l="1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X478" i="2" a="1"/>
  <c r="X479" i="2" a="1"/>
  <c r="X480" i="2" a="1"/>
  <c r="X481" i="2" a="1"/>
  <c r="X482" i="2" a="1"/>
  <c r="X483" i="2" a="1"/>
  <c r="X484" i="2" a="1"/>
  <c r="X485" i="2" a="1"/>
  <c r="X486" i="2" a="1"/>
  <c r="X487" i="2" a="1"/>
  <c r="X488" i="2" a="1"/>
  <c r="X489" i="2" a="1"/>
  <c r="X490" i="2" a="1"/>
  <c r="X491" i="2" a="1"/>
  <c r="X492" i="2" a="1"/>
  <c r="X493" i="2" a="1"/>
  <c r="X494" i="2" a="1"/>
  <c r="X495" i="2" a="1"/>
  <c r="X496" i="2" a="1"/>
  <c r="X497" i="2" a="1"/>
  <c r="X498" i="2" a="1"/>
  <c r="X499" i="2" a="1"/>
  <c r="X500" i="2" a="1"/>
  <c r="X501" i="2" a="1"/>
  <c r="X502" i="2" a="1"/>
  <c r="X503" i="2" a="1"/>
  <c r="X504" i="2" a="1"/>
  <c r="X505" i="2" a="1"/>
  <c r="X506" i="2" a="1"/>
  <c r="X507" i="2" a="1"/>
  <c r="X508" i="2" a="1"/>
  <c r="X509" i="2" a="1"/>
  <c r="X510" i="2" a="1"/>
  <c r="X511" i="2" a="1"/>
  <c r="X512" i="2" a="1"/>
  <c r="X513" i="2" a="1"/>
  <c r="X514" i="2" a="1"/>
  <c r="X515" i="2" a="1"/>
  <c r="X516" i="2" a="1"/>
  <c r="X517" i="2" a="1"/>
  <c r="X518" i="2" a="1"/>
  <c r="X519" i="2" a="1"/>
  <c r="X520" i="2" a="1"/>
  <c r="X521" i="2" a="1"/>
  <c r="X522" i="2" a="1"/>
  <c r="X523" i="2" a="1"/>
  <c r="X524" i="2" a="1"/>
  <c r="X525" i="2" a="1"/>
  <c r="X526" i="2" a="1"/>
  <c r="X527" i="2" a="1"/>
  <c r="X528" i="2" a="1"/>
  <c r="X529" i="2" a="1"/>
  <c r="X530" i="2" a="1"/>
  <c r="X531" i="2" a="1"/>
  <c r="X532" i="2" a="1"/>
  <c r="X533" i="2" a="1"/>
  <c r="X534" i="2" a="1"/>
  <c r="X535" i="2" a="1"/>
  <c r="X536" i="2" a="1"/>
  <c r="X537" i="2" a="1"/>
  <c r="X538" i="2" a="1"/>
  <c r="X539" i="2" a="1"/>
  <c r="X540" i="2" a="1"/>
  <c r="X541" i="2" a="1"/>
  <c r="X542" i="2" a="1"/>
  <c r="X543" i="2" a="1"/>
  <c r="X544" i="2" a="1"/>
  <c r="X545" i="2" a="1"/>
  <c r="X546" i="2" a="1"/>
  <c r="X547" i="2" a="1"/>
  <c r="X548" i="2" a="1"/>
  <c r="X549" i="2" a="1"/>
  <c r="X550" i="2" a="1"/>
  <c r="X551" i="2" a="1"/>
  <c r="X552" i="2" a="1"/>
  <c r="X553" i="2" a="1"/>
  <c r="X554" i="2" a="1"/>
  <c r="X555" i="2" a="1"/>
  <c r="X556" i="2" a="1"/>
  <c r="X557" i="2" a="1"/>
  <c r="X558" i="2" a="1"/>
  <c r="X559" i="2" a="1"/>
  <c r="X560" i="2" a="1"/>
  <c r="X561" i="2" a="1"/>
  <c r="X562" i="2" a="1"/>
  <c r="X563" i="2" a="1"/>
  <c r="X564" i="2" a="1"/>
  <c r="X565" i="2" a="1"/>
  <c r="X566" i="2" a="1"/>
  <c r="X567" i="2" a="1"/>
  <c r="X568" i="2" a="1"/>
  <c r="X569" i="2" a="1"/>
  <c r="X570" i="2" a="1"/>
  <c r="X571" i="2" a="1"/>
  <c r="X572" i="2" a="1"/>
  <c r="X573" i="2" a="1"/>
  <c r="X574" i="2" a="1"/>
  <c r="X575" i="2" a="1"/>
  <c r="X576" i="2" a="1"/>
  <c r="X577" i="2" a="1"/>
  <c r="X578" i="2" a="1"/>
  <c r="X579" i="2" a="1"/>
  <c r="X580" i="2" a="1"/>
  <c r="X581" i="2" a="1"/>
  <c r="X582" i="2" a="1"/>
  <c r="X583" i="2" a="1"/>
  <c r="X584" i="2" a="1"/>
  <c r="X585" i="2" a="1"/>
  <c r="X586" i="2" a="1"/>
  <c r="X587" i="2" a="1"/>
  <c r="X588" i="2" a="1"/>
  <c r="X589" i="2" a="1"/>
  <c r="X590" i="2" a="1"/>
  <c r="X591" i="2" a="1"/>
  <c r="X592" i="2" a="1"/>
  <c r="X593" i="2" a="1"/>
  <c r="X594" i="2" a="1"/>
  <c r="X595" i="2" a="1"/>
  <c r="X596" i="2" a="1"/>
  <c r="X597" i="2" a="1"/>
  <c r="X598" i="2" a="1"/>
  <c r="X599" i="2" a="1"/>
  <c r="X600" i="2" a="1"/>
  <c r="X601" i="2" a="1"/>
  <c r="X602" i="2" a="1"/>
  <c r="X603" i="2" a="1"/>
  <c r="X604" i="2" a="1"/>
  <c r="X605" i="2" a="1"/>
  <c r="X606" i="2" a="1"/>
  <c r="X607" i="2" a="1"/>
  <c r="X608" i="2" a="1"/>
  <c r="X609" i="2" a="1"/>
  <c r="X610" i="2" a="1"/>
  <c r="X611" i="2" a="1"/>
  <c r="X612" i="2" a="1"/>
  <c r="X613" i="2" a="1"/>
  <c r="X614" i="2" a="1"/>
  <c r="X615" i="2" a="1"/>
  <c r="X616" i="2" a="1"/>
  <c r="X617" i="2" a="1"/>
  <c r="X618" i="2" a="1"/>
  <c r="X619" i="2" a="1"/>
  <c r="X620" i="2" a="1"/>
  <c r="X621" i="2" a="1"/>
  <c r="X622" i="2" a="1"/>
  <c r="X623" i="2" a="1"/>
  <c r="C218" i="2"/>
  <c r="C219" i="2"/>
  <c r="I218" i="2" a="1"/>
  <c r="I219" i="2" a="1"/>
  <c r="J218" i="2" a="1"/>
  <c r="J219" i="2" a="1"/>
  <c r="K218" i="2"/>
  <c r="K219" i="2"/>
  <c r="L218" i="2"/>
  <c r="L219" i="2"/>
  <c r="M218" i="2"/>
  <c r="M219" i="2"/>
  <c r="N218" i="2"/>
  <c r="N219" i="2"/>
  <c r="U218" i="2"/>
  <c r="U219" i="2"/>
  <c r="V218" i="2"/>
  <c r="V219" i="2"/>
  <c r="Y218" i="2"/>
  <c r="Y219" i="2"/>
  <c r="Z218" i="2"/>
  <c r="Z219" i="2"/>
  <c r="AC218" i="2"/>
  <c r="AC219" i="2"/>
  <c r="AD218" i="2"/>
  <c r="AD219" i="2"/>
  <c r="AE218" i="2"/>
  <c r="AE219" i="2"/>
  <c r="AF218" i="2"/>
  <c r="AF219" i="2"/>
  <c r="AG218" i="2"/>
  <c r="AG219" i="2"/>
  <c r="AH218" i="2"/>
  <c r="AH219" i="2"/>
  <c r="AI218" i="2"/>
  <c r="AI219" i="2"/>
  <c r="AJ218" i="2"/>
  <c r="AJ219" i="2"/>
  <c r="AK218" i="2"/>
  <c r="AK219" i="2"/>
  <c r="AL218" i="2"/>
  <c r="AL219" i="2"/>
  <c r="H37" i="3"/>
  <c r="E29" i="3"/>
  <c r="D29" i="3"/>
  <c r="F29" i="3" s="1"/>
  <c r="C29" i="3"/>
  <c r="B29" i="3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I528" i="2" a="1"/>
  <c r="I529" i="2" a="1"/>
  <c r="I530" i="2" a="1"/>
  <c r="I531" i="2" a="1"/>
  <c r="I532" i="2" a="1"/>
  <c r="I533" i="2" a="1"/>
  <c r="I534" i="2" a="1"/>
  <c r="I535" i="2" a="1"/>
  <c r="I536" i="2" a="1"/>
  <c r="I537" i="2" a="1"/>
  <c r="I538" i="2" a="1"/>
  <c r="I539" i="2" a="1"/>
  <c r="I540" i="2" a="1"/>
  <c r="I541" i="2" a="1"/>
  <c r="I542" i="2" a="1"/>
  <c r="I543" i="2" a="1"/>
  <c r="I544" i="2" a="1"/>
  <c r="I545" i="2" a="1"/>
  <c r="I546" i="2" a="1"/>
  <c r="I547" i="2" a="1"/>
  <c r="I548" i="2" a="1"/>
  <c r="I549" i="2" a="1"/>
  <c r="I550" i="2" a="1"/>
  <c r="I551" i="2" a="1"/>
  <c r="I552" i="2" a="1"/>
  <c r="I553" i="2" a="1"/>
  <c r="I554" i="2" a="1"/>
  <c r="I555" i="2" a="1"/>
  <c r="I556" i="2" a="1"/>
  <c r="I557" i="2" a="1"/>
  <c r="I558" i="2" a="1"/>
  <c r="I559" i="2" a="1"/>
  <c r="I560" i="2" a="1"/>
  <c r="I561" i="2" a="1"/>
  <c r="I562" i="2" a="1"/>
  <c r="I563" i="2" a="1"/>
  <c r="I564" i="2" a="1"/>
  <c r="I565" i="2" a="1"/>
  <c r="I566" i="2" a="1"/>
  <c r="I567" i="2" a="1"/>
  <c r="I568" i="2" a="1"/>
  <c r="I569" i="2" a="1"/>
  <c r="I570" i="2" a="1"/>
  <c r="I571" i="2" a="1"/>
  <c r="I572" i="2" a="1"/>
  <c r="I573" i="2" a="1"/>
  <c r="I574" i="2" a="1"/>
  <c r="I575" i="2" a="1"/>
  <c r="I576" i="2" a="1"/>
  <c r="I577" i="2" a="1"/>
  <c r="I578" i="2" a="1"/>
  <c r="I579" i="2" a="1"/>
  <c r="I580" i="2" a="1"/>
  <c r="I581" i="2" a="1"/>
  <c r="I582" i="2" a="1"/>
  <c r="I583" i="2" a="1"/>
  <c r="I584" i="2" a="1"/>
  <c r="I585" i="2" a="1"/>
  <c r="I586" i="2" a="1"/>
  <c r="I587" i="2" a="1"/>
  <c r="I588" i="2" a="1"/>
  <c r="I589" i="2" a="1"/>
  <c r="I590" i="2" a="1"/>
  <c r="I591" i="2" a="1"/>
  <c r="I592" i="2" a="1"/>
  <c r="I593" i="2" a="1"/>
  <c r="I594" i="2" a="1"/>
  <c r="I595" i="2" a="1"/>
  <c r="I596" i="2" a="1"/>
  <c r="I597" i="2" a="1"/>
  <c r="I598" i="2" a="1"/>
  <c r="I599" i="2" a="1"/>
  <c r="I600" i="2" a="1"/>
  <c r="I601" i="2" a="1"/>
  <c r="I602" i="2" a="1"/>
  <c r="I603" i="2" a="1"/>
  <c r="I604" i="2" a="1"/>
  <c r="I605" i="2" a="1"/>
  <c r="I606" i="2" a="1"/>
  <c r="I607" i="2" a="1"/>
  <c r="I608" i="2" a="1"/>
  <c r="I609" i="2" a="1"/>
  <c r="I610" i="2" a="1"/>
  <c r="I611" i="2" a="1"/>
  <c r="I612" i="2" a="1"/>
  <c r="I613" i="2" a="1"/>
  <c r="I614" i="2" a="1"/>
  <c r="I615" i="2" a="1"/>
  <c r="I616" i="2" a="1"/>
  <c r="I617" i="2" a="1"/>
  <c r="I618" i="2" a="1"/>
  <c r="I619" i="2" a="1"/>
  <c r="I620" i="2" a="1"/>
  <c r="I621" i="2" a="1"/>
  <c r="I622" i="2" a="1"/>
  <c r="I623" i="2" a="1"/>
  <c r="J528" i="2" a="1"/>
  <c r="J529" i="2" a="1"/>
  <c r="J530" i="2" a="1"/>
  <c r="J531" i="2" a="1"/>
  <c r="J532" i="2" a="1"/>
  <c r="J533" i="2" a="1"/>
  <c r="J534" i="2" a="1"/>
  <c r="J535" i="2" a="1"/>
  <c r="J536" i="2" a="1"/>
  <c r="J537" i="2" a="1"/>
  <c r="J538" i="2" a="1"/>
  <c r="J539" i="2" a="1"/>
  <c r="J540" i="2" a="1"/>
  <c r="J541" i="2" a="1"/>
  <c r="J542" i="2" a="1"/>
  <c r="J543" i="2" a="1"/>
  <c r="J544" i="2" a="1"/>
  <c r="J545" i="2" a="1"/>
  <c r="J546" i="2" a="1"/>
  <c r="J547" i="2" a="1"/>
  <c r="J548" i="2" a="1"/>
  <c r="J549" i="2" a="1"/>
  <c r="J550" i="2" a="1"/>
  <c r="J551" i="2" a="1"/>
  <c r="J552" i="2" a="1"/>
  <c r="J553" i="2" a="1"/>
  <c r="J554" i="2" a="1"/>
  <c r="J555" i="2" a="1"/>
  <c r="J556" i="2" a="1"/>
  <c r="J557" i="2" a="1"/>
  <c r="J558" i="2" a="1"/>
  <c r="J559" i="2" a="1"/>
  <c r="J560" i="2" a="1"/>
  <c r="J561" i="2" a="1"/>
  <c r="J562" i="2" a="1"/>
  <c r="J563" i="2" a="1"/>
  <c r="J564" i="2" a="1"/>
  <c r="J565" i="2" a="1"/>
  <c r="J566" i="2" a="1"/>
  <c r="J567" i="2" a="1"/>
  <c r="J568" i="2" a="1"/>
  <c r="J569" i="2" a="1"/>
  <c r="J570" i="2" a="1"/>
  <c r="J571" i="2" a="1"/>
  <c r="J572" i="2" a="1"/>
  <c r="J573" i="2" a="1"/>
  <c r="J574" i="2" a="1"/>
  <c r="J575" i="2" a="1"/>
  <c r="J576" i="2" a="1"/>
  <c r="J577" i="2" a="1"/>
  <c r="J578" i="2" a="1"/>
  <c r="J579" i="2" a="1"/>
  <c r="J580" i="2" a="1"/>
  <c r="J581" i="2" a="1"/>
  <c r="J582" i="2" a="1"/>
  <c r="J583" i="2" a="1"/>
  <c r="J584" i="2" a="1"/>
  <c r="J585" i="2" a="1"/>
  <c r="J586" i="2" a="1"/>
  <c r="J587" i="2" a="1"/>
  <c r="J588" i="2" a="1"/>
  <c r="J589" i="2" a="1"/>
  <c r="J590" i="2" a="1"/>
  <c r="J591" i="2" a="1"/>
  <c r="J592" i="2" a="1"/>
  <c r="J593" i="2" a="1"/>
  <c r="J594" i="2" a="1"/>
  <c r="J595" i="2" a="1"/>
  <c r="J596" i="2" a="1"/>
  <c r="J597" i="2" a="1"/>
  <c r="J598" i="2" a="1"/>
  <c r="J599" i="2" a="1"/>
  <c r="J600" i="2" a="1"/>
  <c r="J601" i="2" a="1"/>
  <c r="J602" i="2" a="1"/>
  <c r="J603" i="2" a="1"/>
  <c r="J604" i="2" a="1"/>
  <c r="J605" i="2" a="1"/>
  <c r="J606" i="2" a="1"/>
  <c r="J607" i="2" a="1"/>
  <c r="J608" i="2" a="1"/>
  <c r="J609" i="2" a="1"/>
  <c r="J610" i="2" a="1"/>
  <c r="J611" i="2" a="1"/>
  <c r="J612" i="2" a="1"/>
  <c r="J613" i="2" a="1"/>
  <c r="J614" i="2" a="1"/>
  <c r="J615" i="2" a="1"/>
  <c r="J616" i="2" a="1"/>
  <c r="J617" i="2" a="1"/>
  <c r="J618" i="2" a="1"/>
  <c r="J619" i="2" a="1"/>
  <c r="J620" i="2" a="1"/>
  <c r="J621" i="2" a="1"/>
  <c r="J622" i="2" a="1"/>
  <c r="J623" i="2" a="1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AF576" i="2" s="1"/>
  <c r="V577" i="2"/>
  <c r="AF577" i="2" s="1"/>
  <c r="V578" i="2"/>
  <c r="AF578" i="2" s="1"/>
  <c r="V579" i="2"/>
  <c r="AF579" i="2" s="1"/>
  <c r="V580" i="2"/>
  <c r="AF580" i="2" s="1"/>
  <c r="V581" i="2"/>
  <c r="AF581" i="2" s="1"/>
  <c r="V582" i="2"/>
  <c r="AF582" i="2" s="1"/>
  <c r="V583" i="2"/>
  <c r="AF583" i="2" s="1"/>
  <c r="V584" i="2"/>
  <c r="AF584" i="2" s="1"/>
  <c r="V585" i="2"/>
  <c r="AF585" i="2" s="1"/>
  <c r="V586" i="2"/>
  <c r="AF586" i="2" s="1"/>
  <c r="V587" i="2"/>
  <c r="AF587" i="2" s="1"/>
  <c r="V588" i="2"/>
  <c r="AF588" i="2" s="1"/>
  <c r="V589" i="2"/>
  <c r="AF589" i="2" s="1"/>
  <c r="V590" i="2"/>
  <c r="AF590" i="2" s="1"/>
  <c r="V591" i="2"/>
  <c r="AF591" i="2" s="1"/>
  <c r="V592" i="2"/>
  <c r="AF592" i="2" s="1"/>
  <c r="V593" i="2"/>
  <c r="AF593" i="2" s="1"/>
  <c r="V594" i="2"/>
  <c r="AF594" i="2" s="1"/>
  <c r="V595" i="2"/>
  <c r="AF595" i="2" s="1"/>
  <c r="V596" i="2"/>
  <c r="AF596" i="2" s="1"/>
  <c r="V597" i="2"/>
  <c r="AF597" i="2" s="1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616" i="2"/>
  <c r="AG617" i="2"/>
  <c r="AG618" i="2"/>
  <c r="AG619" i="2"/>
  <c r="AG620" i="2"/>
  <c r="AG621" i="2"/>
  <c r="AG622" i="2"/>
  <c r="AG623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616" i="2"/>
  <c r="AH617" i="2"/>
  <c r="AH618" i="2"/>
  <c r="AH619" i="2"/>
  <c r="AH620" i="2"/>
  <c r="AH621" i="2"/>
  <c r="AH622" i="2"/>
  <c r="AH623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C524" i="2"/>
  <c r="C525" i="2"/>
  <c r="C526" i="2"/>
  <c r="C527" i="2"/>
  <c r="I524" i="2" a="1"/>
  <c r="I525" i="2" a="1"/>
  <c r="I526" i="2" a="1"/>
  <c r="I527" i="2" a="1"/>
  <c r="J524" i="2" a="1"/>
  <c r="J525" i="2" a="1"/>
  <c r="J526" i="2" a="1"/>
  <c r="J527" i="2" a="1"/>
  <c r="K524" i="2"/>
  <c r="K525" i="2"/>
  <c r="L524" i="2"/>
  <c r="L525" i="2"/>
  <c r="M524" i="2"/>
  <c r="M525" i="2"/>
  <c r="N524" i="2"/>
  <c r="N525" i="2"/>
  <c r="U524" i="2"/>
  <c r="U525" i="2"/>
  <c r="U526" i="2"/>
  <c r="U527" i="2"/>
  <c r="V524" i="2"/>
  <c r="V525" i="2"/>
  <c r="V526" i="2"/>
  <c r="V527" i="2"/>
  <c r="Y524" i="2"/>
  <c r="Y525" i="2"/>
  <c r="Y526" i="2"/>
  <c r="Y527" i="2"/>
  <c r="Z524" i="2"/>
  <c r="Z525" i="2"/>
  <c r="Z526" i="2"/>
  <c r="Z527" i="2"/>
  <c r="AC524" i="2"/>
  <c r="AC525" i="2"/>
  <c r="AC526" i="2"/>
  <c r="AC527" i="2"/>
  <c r="AD524" i="2"/>
  <c r="AD525" i="2"/>
  <c r="AD526" i="2"/>
  <c r="AD527" i="2"/>
  <c r="AE524" i="2"/>
  <c r="AE525" i="2"/>
  <c r="AE526" i="2"/>
  <c r="AE527" i="2"/>
  <c r="AF524" i="2"/>
  <c r="AF525" i="2"/>
  <c r="AF526" i="2"/>
  <c r="AF527" i="2"/>
  <c r="AG524" i="2"/>
  <c r="AG525" i="2"/>
  <c r="AG526" i="2"/>
  <c r="AG527" i="2"/>
  <c r="AH524" i="2"/>
  <c r="AH525" i="2"/>
  <c r="AH526" i="2"/>
  <c r="AH527" i="2"/>
  <c r="AI524" i="2"/>
  <c r="AI525" i="2"/>
  <c r="AI526" i="2"/>
  <c r="AI527" i="2"/>
  <c r="AJ524" i="2"/>
  <c r="AJ525" i="2"/>
  <c r="AJ526" i="2"/>
  <c r="AJ527" i="2"/>
  <c r="AK524" i="2"/>
  <c r="AK525" i="2"/>
  <c r="AK526" i="2"/>
  <c r="AK527" i="2"/>
  <c r="AL524" i="2"/>
  <c r="AL525" i="2"/>
  <c r="AL526" i="2"/>
  <c r="AL527" i="2"/>
  <c r="C482" i="2"/>
  <c r="Y482" i="2" s="1"/>
  <c r="C483" i="2"/>
  <c r="Y483" i="2" s="1"/>
  <c r="C484" i="2"/>
  <c r="Y484" i="2" s="1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I482" i="2" a="1"/>
  <c r="I483" i="2" a="1"/>
  <c r="I484" i="2" a="1"/>
  <c r="I485" i="2" a="1"/>
  <c r="I486" i="2" a="1"/>
  <c r="I487" i="2" a="1"/>
  <c r="I488" i="2" a="1"/>
  <c r="I489" i="2" a="1"/>
  <c r="I490" i="2" a="1"/>
  <c r="I491" i="2" a="1"/>
  <c r="I492" i="2" a="1"/>
  <c r="I493" i="2" a="1"/>
  <c r="I494" i="2" a="1"/>
  <c r="I495" i="2" a="1"/>
  <c r="I496" i="2" a="1"/>
  <c r="I497" i="2" a="1"/>
  <c r="I498" i="2" a="1"/>
  <c r="I499" i="2" a="1"/>
  <c r="I500" i="2" a="1"/>
  <c r="I501" i="2" a="1"/>
  <c r="I502" i="2" a="1"/>
  <c r="I503" i="2" a="1"/>
  <c r="I504" i="2" a="1"/>
  <c r="I505" i="2" a="1"/>
  <c r="I506" i="2" a="1"/>
  <c r="I507" i="2" a="1"/>
  <c r="I508" i="2" a="1"/>
  <c r="I509" i="2" a="1"/>
  <c r="I510" i="2" a="1"/>
  <c r="I511" i="2" a="1"/>
  <c r="I512" i="2" a="1"/>
  <c r="I513" i="2" a="1"/>
  <c r="I514" i="2" a="1"/>
  <c r="I515" i="2" a="1"/>
  <c r="I516" i="2" a="1"/>
  <c r="I517" i="2" a="1"/>
  <c r="I518" i="2" a="1"/>
  <c r="I519" i="2" a="1"/>
  <c r="I520" i="2" a="1"/>
  <c r="I521" i="2" a="1"/>
  <c r="I522" i="2" a="1"/>
  <c r="I523" i="2" a="1"/>
  <c r="J482" i="2" a="1"/>
  <c r="J483" i="2" a="1"/>
  <c r="J484" i="2" a="1"/>
  <c r="J485" i="2" a="1"/>
  <c r="J486" i="2" a="1"/>
  <c r="J487" i="2" a="1"/>
  <c r="J488" i="2" a="1"/>
  <c r="J489" i="2" a="1"/>
  <c r="J490" i="2" a="1"/>
  <c r="J491" i="2" a="1"/>
  <c r="J492" i="2" a="1"/>
  <c r="J493" i="2" a="1"/>
  <c r="J494" i="2" a="1"/>
  <c r="J495" i="2" a="1"/>
  <c r="J496" i="2" a="1"/>
  <c r="J497" i="2" a="1"/>
  <c r="J498" i="2" a="1"/>
  <c r="J499" i="2" a="1"/>
  <c r="J500" i="2" a="1"/>
  <c r="J501" i="2" a="1"/>
  <c r="J502" i="2" a="1"/>
  <c r="J503" i="2" a="1"/>
  <c r="J504" i="2" a="1"/>
  <c r="J505" i="2" a="1"/>
  <c r="J506" i="2" a="1"/>
  <c r="J507" i="2" a="1"/>
  <c r="J508" i="2" a="1"/>
  <c r="J509" i="2" a="1"/>
  <c r="J510" i="2" a="1"/>
  <c r="J511" i="2" a="1"/>
  <c r="J512" i="2" a="1"/>
  <c r="J513" i="2" a="1"/>
  <c r="J514" i="2" a="1"/>
  <c r="J515" i="2" a="1"/>
  <c r="J516" i="2" a="1"/>
  <c r="J517" i="2" a="1"/>
  <c r="J518" i="2" a="1"/>
  <c r="J519" i="2" a="1"/>
  <c r="J520" i="2" a="1"/>
  <c r="J521" i="2" a="1"/>
  <c r="J522" i="2" a="1"/>
  <c r="J523" i="2" a="1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Y485" i="2"/>
  <c r="Y486" i="2"/>
  <c r="Y487" i="2"/>
  <c r="Y488" i="2"/>
  <c r="Y489" i="2"/>
  <c r="Y490" i="2"/>
  <c r="Y491" i="2"/>
  <c r="Y492" i="2"/>
  <c r="Y493" i="2"/>
  <c r="Y494" i="2"/>
  <c r="Y495" i="2"/>
  <c r="Z495" i="2" s="1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Z485" i="2"/>
  <c r="Z486" i="2"/>
  <c r="Z487" i="2"/>
  <c r="Z488" i="2"/>
  <c r="Z489" i="2"/>
  <c r="Z490" i="2"/>
  <c r="Z491" i="2"/>
  <c r="Z492" i="2"/>
  <c r="Z493" i="2"/>
  <c r="Z494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C478" i="2"/>
  <c r="Y478" i="2" s="1"/>
  <c r="C479" i="2"/>
  <c r="Y479" i="2" s="1"/>
  <c r="C480" i="2"/>
  <c r="Y480" i="2" s="1"/>
  <c r="C481" i="2"/>
  <c r="Y481" i="2" s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I478" i="2" a="1"/>
  <c r="I479" i="2" a="1"/>
  <c r="I480" i="2" a="1"/>
  <c r="I48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J478" i="2" a="1"/>
  <c r="J479" i="2" a="1"/>
  <c r="J480" i="2" a="1"/>
  <c r="J481" i="2" a="1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70" i="2"/>
  <c r="K471" i="2"/>
  <c r="K472" i="2"/>
  <c r="K473" i="2"/>
  <c r="K474" i="2"/>
  <c r="K475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70" i="2"/>
  <c r="L471" i="2"/>
  <c r="L472" i="2"/>
  <c r="L473" i="2"/>
  <c r="L474" i="2"/>
  <c r="L475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70" i="2"/>
  <c r="M471" i="2"/>
  <c r="M472" i="2"/>
  <c r="M473" i="2"/>
  <c r="M474" i="2"/>
  <c r="M475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70" i="2"/>
  <c r="N471" i="2"/>
  <c r="N472" i="2"/>
  <c r="N473" i="2"/>
  <c r="N474" i="2"/>
  <c r="N475" i="2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U442" i="2"/>
  <c r="V442" i="2" s="1"/>
  <c r="U443" i="2"/>
  <c r="V443" i="2" s="1"/>
  <c r="U444" i="2"/>
  <c r="V444" i="2" s="1"/>
  <c r="U445" i="2"/>
  <c r="V445" i="2" s="1"/>
  <c r="U446" i="2"/>
  <c r="V446" i="2" s="1"/>
  <c r="U447" i="2"/>
  <c r="V447" i="2" s="1"/>
  <c r="U448" i="2"/>
  <c r="V448" i="2" s="1"/>
  <c r="U449" i="2"/>
  <c r="V449" i="2" s="1"/>
  <c r="U450" i="2"/>
  <c r="V450" i="2" s="1"/>
  <c r="U451" i="2"/>
  <c r="V451" i="2" s="1"/>
  <c r="U452" i="2"/>
  <c r="V452" i="2" s="1"/>
  <c r="U453" i="2"/>
  <c r="V453" i="2" s="1"/>
  <c r="U454" i="2"/>
  <c r="V454" i="2" s="1"/>
  <c r="U455" i="2"/>
  <c r="V455" i="2" s="1"/>
  <c r="U456" i="2"/>
  <c r="V456" i="2" s="1"/>
  <c r="U457" i="2"/>
  <c r="V457" i="2" s="1"/>
  <c r="U458" i="2"/>
  <c r="V458" i="2" s="1"/>
  <c r="U459" i="2"/>
  <c r="V459" i="2" s="1"/>
  <c r="U460" i="2"/>
  <c r="V460" i="2" s="1"/>
  <c r="U461" i="2"/>
  <c r="V461" i="2" s="1"/>
  <c r="U462" i="2"/>
  <c r="V462" i="2" s="1"/>
  <c r="U463" i="2"/>
  <c r="V463" i="2" s="1"/>
  <c r="U464" i="2"/>
  <c r="V464" i="2" s="1"/>
  <c r="U465" i="2"/>
  <c r="V465" i="2" s="1"/>
  <c r="U466" i="2"/>
  <c r="V466" i="2" s="1"/>
  <c r="U467" i="2"/>
  <c r="V467" i="2" s="1"/>
  <c r="U468" i="2"/>
  <c r="V468" i="2" s="1"/>
  <c r="U469" i="2"/>
  <c r="V469" i="2" s="1"/>
  <c r="U470" i="2"/>
  <c r="U471" i="2"/>
  <c r="U472" i="2"/>
  <c r="U473" i="2"/>
  <c r="U474" i="2"/>
  <c r="U475" i="2"/>
  <c r="U476" i="2"/>
  <c r="U477" i="2"/>
  <c r="V477" i="2" s="1"/>
  <c r="U478" i="2"/>
  <c r="V478" i="2" s="1"/>
  <c r="U479" i="2"/>
  <c r="V479" i="2" s="1"/>
  <c r="U480" i="2"/>
  <c r="V480" i="2" s="1"/>
  <c r="U481" i="2"/>
  <c r="V481" i="2" s="1"/>
  <c r="V470" i="2"/>
  <c r="V471" i="2"/>
  <c r="V472" i="2"/>
  <c r="V473" i="2"/>
  <c r="V474" i="2"/>
  <c r="V475" i="2"/>
  <c r="V476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J318" i="2" a="1"/>
  <c r="J319" i="2" a="1"/>
  <c r="J320" i="2" a="1"/>
  <c r="J321" i="2" a="1"/>
  <c r="J322" i="2" a="1"/>
  <c r="J323" i="2" a="1"/>
  <c r="J324" i="2" a="1"/>
  <c r="J325" i="2" a="1"/>
  <c r="J326" i="2" a="1"/>
  <c r="J327" i="2" a="1"/>
  <c r="J328" i="2" a="1"/>
  <c r="J329" i="2" a="1"/>
  <c r="J330" i="2" a="1"/>
  <c r="J331" i="2" a="1"/>
  <c r="J332" i="2" a="1"/>
  <c r="J333" i="2" a="1"/>
  <c r="J334" i="2" a="1"/>
  <c r="J335" i="2" a="1"/>
  <c r="J336" i="2" a="1"/>
  <c r="J337" i="2" a="1"/>
  <c r="J338" i="2" a="1"/>
  <c r="J339" i="2" a="1"/>
  <c r="J340" i="2" a="1"/>
  <c r="J341" i="2" a="1"/>
  <c r="J342" i="2" a="1"/>
  <c r="J343" i="2" a="1"/>
  <c r="J344" i="2" a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L370" i="2" s="1"/>
  <c r="N370" i="2" s="1"/>
  <c r="J371" i="2" a="1"/>
  <c r="L371" i="2" s="1"/>
  <c r="N371" i="2" s="1"/>
  <c r="J372" i="2" a="1"/>
  <c r="L372" i="2" s="1"/>
  <c r="N372" i="2" s="1"/>
  <c r="J373" i="2" a="1"/>
  <c r="L373" i="2" s="1"/>
  <c r="N373" i="2" s="1"/>
  <c r="J374" i="2" a="1"/>
  <c r="L374" i="2" s="1"/>
  <c r="N374" i="2" s="1"/>
  <c r="J375" i="2" a="1"/>
  <c r="L375" i="2" s="1"/>
  <c r="N375" i="2" s="1"/>
  <c r="J376" i="2" a="1"/>
  <c r="L376" i="2" s="1"/>
  <c r="N376" i="2" s="1"/>
  <c r="J377" i="2" a="1"/>
  <c r="L377" i="2" s="1"/>
  <c r="N377" i="2" s="1"/>
  <c r="J378" i="2" a="1"/>
  <c r="L378" i="2" s="1"/>
  <c r="N378" i="2" s="1"/>
  <c r="J379" i="2" a="1"/>
  <c r="L379" i="2" s="1"/>
  <c r="N379" i="2" s="1"/>
  <c r="J380" i="2" a="1"/>
  <c r="L380" i="2" s="1"/>
  <c r="N380" i="2" s="1"/>
  <c r="J381" i="2" a="1"/>
  <c r="L381" i="2" s="1"/>
  <c r="N381" i="2" s="1"/>
  <c r="J382" i="2" a="1"/>
  <c r="L382" i="2" s="1"/>
  <c r="N382" i="2" s="1"/>
  <c r="J383" i="2" a="1"/>
  <c r="L383" i="2" s="1"/>
  <c r="N383" i="2" s="1"/>
  <c r="J384" i="2" a="1"/>
  <c r="L384" i="2" s="1"/>
  <c r="N384" i="2" s="1"/>
  <c r="J385" i="2" a="1"/>
  <c r="L385" i="2" s="1"/>
  <c r="N385" i="2" s="1"/>
  <c r="J386" i="2" a="1"/>
  <c r="L386" i="2" s="1"/>
  <c r="N386" i="2" s="1"/>
  <c r="J387" i="2" a="1"/>
  <c r="L387" i="2" s="1"/>
  <c r="N387" i="2" s="1"/>
  <c r="J388" i="2" a="1"/>
  <c r="L388" i="2" s="1"/>
  <c r="N388" i="2" s="1"/>
  <c r="J389" i="2" a="1"/>
  <c r="L389" i="2" s="1"/>
  <c r="N389" i="2" s="1"/>
  <c r="J390" i="2" a="1"/>
  <c r="L390" i="2" s="1"/>
  <c r="N390" i="2" s="1"/>
  <c r="J391" i="2" a="1"/>
  <c r="L391" i="2" s="1"/>
  <c r="N391" i="2" s="1"/>
  <c r="J392" i="2" a="1"/>
  <c r="L392" i="2" s="1"/>
  <c r="N392" i="2" s="1"/>
  <c r="J393" i="2" a="1"/>
  <c r="L393" i="2" s="1"/>
  <c r="N393" i="2" s="1"/>
  <c r="J394" i="2" a="1"/>
  <c r="L394" i="2" s="1"/>
  <c r="N394" i="2" s="1"/>
  <c r="J395" i="2" a="1"/>
  <c r="L395" i="2" s="1"/>
  <c r="N395" i="2" s="1"/>
  <c r="J396" i="2" a="1"/>
  <c r="L396" i="2" s="1"/>
  <c r="N396" i="2" s="1"/>
  <c r="J397" i="2" a="1"/>
  <c r="L397" i="2" s="1"/>
  <c r="N397" i="2" s="1"/>
  <c r="J398" i="2" a="1"/>
  <c r="L398" i="2" s="1"/>
  <c r="N398" i="2" s="1"/>
  <c r="J399" i="2" a="1"/>
  <c r="L399" i="2" s="1"/>
  <c r="N399" i="2" s="1"/>
  <c r="J400" i="2" a="1"/>
  <c r="L400" i="2" s="1"/>
  <c r="N400" i="2" s="1"/>
  <c r="J401" i="2" a="1"/>
  <c r="L401" i="2" s="1"/>
  <c r="N401" i="2" s="1"/>
  <c r="J402" i="2" a="1"/>
  <c r="L402" i="2" s="1"/>
  <c r="N402" i="2" s="1"/>
  <c r="J403" i="2" a="1"/>
  <c r="L403" i="2" s="1"/>
  <c r="N403" i="2" s="1"/>
  <c r="J404" i="2" a="1"/>
  <c r="L404" i="2" s="1"/>
  <c r="N404" i="2" s="1"/>
  <c r="J405" i="2" a="1"/>
  <c r="J406" i="2" a="1"/>
  <c r="L406" i="2" s="1"/>
  <c r="N406" i="2" s="1"/>
  <c r="J407" i="2" a="1"/>
  <c r="L407" i="2" s="1"/>
  <c r="N407" i="2" s="1"/>
  <c r="J408" i="2" a="1"/>
  <c r="L408" i="2" s="1"/>
  <c r="N408" i="2" s="1"/>
  <c r="J409" i="2" a="1"/>
  <c r="L409" i="2" s="1"/>
  <c r="N409" i="2" s="1"/>
  <c r="J410" i="2" a="1"/>
  <c r="L410" i="2" s="1"/>
  <c r="N410" i="2" s="1"/>
  <c r="J411" i="2" a="1"/>
  <c r="L411" i="2" s="1"/>
  <c r="N411" i="2" s="1"/>
  <c r="J412" i="2" a="1"/>
  <c r="L412" i="2" s="1"/>
  <c r="N412" i="2" s="1"/>
  <c r="J413" i="2" a="1"/>
  <c r="L413" i="2" s="1"/>
  <c r="N413" i="2" s="1"/>
  <c r="J414" i="2" a="1"/>
  <c r="J415" i="2" a="1"/>
  <c r="L415" i="2" s="1"/>
  <c r="N415" i="2" s="1"/>
  <c r="J416" i="2" a="1"/>
  <c r="J417" i="2" a="1"/>
  <c r="L417" i="2" s="1"/>
  <c r="N417" i="2" s="1"/>
  <c r="J418" i="2" a="1"/>
  <c r="J419" i="2" a="1"/>
  <c r="J420" i="2" a="1"/>
  <c r="J421" i="2" a="1"/>
  <c r="K298" i="2"/>
  <c r="M298" i="2" s="1"/>
  <c r="K299" i="2"/>
  <c r="M299" i="2" s="1"/>
  <c r="K300" i="2"/>
  <c r="M300" i="2" s="1"/>
  <c r="K301" i="2"/>
  <c r="M301" i="2" s="1"/>
  <c r="K302" i="2"/>
  <c r="M302" i="2" s="1"/>
  <c r="K303" i="2"/>
  <c r="M303" i="2" s="1"/>
  <c r="K304" i="2"/>
  <c r="M304" i="2" s="1"/>
  <c r="K305" i="2"/>
  <c r="M305" i="2" s="1"/>
  <c r="K306" i="2"/>
  <c r="M306" i="2" s="1"/>
  <c r="K307" i="2"/>
  <c r="M307" i="2" s="1"/>
  <c r="K308" i="2"/>
  <c r="M308" i="2" s="1"/>
  <c r="K309" i="2"/>
  <c r="M309" i="2" s="1"/>
  <c r="K310" i="2"/>
  <c r="M310" i="2" s="1"/>
  <c r="K311" i="2"/>
  <c r="M311" i="2" s="1"/>
  <c r="K312" i="2"/>
  <c r="M312" i="2" s="1"/>
  <c r="K313" i="2"/>
  <c r="M313" i="2" s="1"/>
  <c r="K314" i="2"/>
  <c r="M314" i="2" s="1"/>
  <c r="K315" i="2"/>
  <c r="M315" i="2" s="1"/>
  <c r="K316" i="2"/>
  <c r="M316" i="2" s="1"/>
  <c r="K317" i="2"/>
  <c r="M317" i="2" s="1"/>
  <c r="K318" i="2"/>
  <c r="M318" i="2" s="1"/>
  <c r="K319" i="2"/>
  <c r="M319" i="2" s="1"/>
  <c r="K320" i="2"/>
  <c r="M320" i="2" s="1"/>
  <c r="K321" i="2"/>
  <c r="M321" i="2" s="1"/>
  <c r="K322" i="2"/>
  <c r="M322" i="2" s="1"/>
  <c r="K323" i="2"/>
  <c r="M323" i="2" s="1"/>
  <c r="K325" i="2"/>
  <c r="M325" i="2" s="1"/>
  <c r="K326" i="2"/>
  <c r="M326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7" i="2"/>
  <c r="M397" i="2" s="1"/>
  <c r="K398" i="2"/>
  <c r="M398" i="2" s="1"/>
  <c r="K399" i="2"/>
  <c r="M399" i="2" s="1"/>
  <c r="K400" i="2"/>
  <c r="M400" i="2" s="1"/>
  <c r="K401" i="2"/>
  <c r="M401" i="2" s="1"/>
  <c r="K402" i="2"/>
  <c r="M402" i="2" s="1"/>
  <c r="K403" i="2"/>
  <c r="M403" i="2" s="1"/>
  <c r="K404" i="2"/>
  <c r="M404" i="2" s="1"/>
  <c r="K406" i="2"/>
  <c r="M406" i="2" s="1"/>
  <c r="K407" i="2"/>
  <c r="M407" i="2" s="1"/>
  <c r="K408" i="2"/>
  <c r="M408" i="2" s="1"/>
  <c r="K409" i="2"/>
  <c r="M409" i="2" s="1"/>
  <c r="K410" i="2"/>
  <c r="M410" i="2" s="1"/>
  <c r="K411" i="2"/>
  <c r="M411" i="2" s="1"/>
  <c r="K412" i="2"/>
  <c r="M412" i="2" s="1"/>
  <c r="K413" i="2"/>
  <c r="M413" i="2" s="1"/>
  <c r="K415" i="2"/>
  <c r="M415" i="2" s="1"/>
  <c r="K417" i="2"/>
  <c r="M417" i="2" s="1"/>
  <c r="L298" i="2"/>
  <c r="N298" i="2" s="1"/>
  <c r="L299" i="2"/>
  <c r="N299" i="2" s="1"/>
  <c r="L300" i="2"/>
  <c r="N300" i="2" s="1"/>
  <c r="L301" i="2"/>
  <c r="N301" i="2" s="1"/>
  <c r="L302" i="2"/>
  <c r="N302" i="2" s="1"/>
  <c r="L303" i="2"/>
  <c r="N303" i="2" s="1"/>
  <c r="L304" i="2"/>
  <c r="N304" i="2" s="1"/>
  <c r="L305" i="2"/>
  <c r="N305" i="2" s="1"/>
  <c r="L306" i="2"/>
  <c r="N306" i="2" s="1"/>
  <c r="L307" i="2"/>
  <c r="N307" i="2" s="1"/>
  <c r="L308" i="2"/>
  <c r="N308" i="2" s="1"/>
  <c r="L309" i="2"/>
  <c r="N309" i="2" s="1"/>
  <c r="L310" i="2"/>
  <c r="N310" i="2" s="1"/>
  <c r="L311" i="2"/>
  <c r="N311" i="2" s="1"/>
  <c r="L312" i="2"/>
  <c r="N312" i="2" s="1"/>
  <c r="L313" i="2"/>
  <c r="N313" i="2" s="1"/>
  <c r="L314" i="2"/>
  <c r="N314" i="2" s="1"/>
  <c r="L315" i="2"/>
  <c r="N315" i="2" s="1"/>
  <c r="L316" i="2"/>
  <c r="N316" i="2" s="1"/>
  <c r="L317" i="2"/>
  <c r="N317" i="2" s="1"/>
  <c r="L318" i="2"/>
  <c r="N318" i="2" s="1"/>
  <c r="L319" i="2"/>
  <c r="N319" i="2" s="1"/>
  <c r="L320" i="2"/>
  <c r="N320" i="2" s="1"/>
  <c r="L321" i="2"/>
  <c r="N321" i="2" s="1"/>
  <c r="L322" i="2"/>
  <c r="N322" i="2" s="1"/>
  <c r="L323" i="2"/>
  <c r="N323" i="2" s="1"/>
  <c r="L325" i="2"/>
  <c r="N325" i="2" s="1"/>
  <c r="L326" i="2"/>
  <c r="N326" i="2" s="1"/>
  <c r="L328" i="2"/>
  <c r="N328" i="2" s="1"/>
  <c r="L329" i="2"/>
  <c r="N329" i="2" s="1"/>
  <c r="L330" i="2"/>
  <c r="N330" i="2" s="1"/>
  <c r="L331" i="2"/>
  <c r="N331" i="2" s="1"/>
  <c r="L332" i="2"/>
  <c r="N332" i="2" s="1"/>
  <c r="L333" i="2"/>
  <c r="N333" i="2" s="1"/>
  <c r="L334" i="2"/>
  <c r="N334" i="2" s="1"/>
  <c r="L335" i="2"/>
  <c r="N335" i="2" s="1"/>
  <c r="L336" i="2"/>
  <c r="N336" i="2" s="1"/>
  <c r="L337" i="2"/>
  <c r="N337" i="2" s="1"/>
  <c r="L338" i="2"/>
  <c r="N338" i="2" s="1"/>
  <c r="L339" i="2"/>
  <c r="N339" i="2" s="1"/>
  <c r="L340" i="2"/>
  <c r="N340" i="2" s="1"/>
  <c r="L341" i="2"/>
  <c r="N341" i="2" s="1"/>
  <c r="L342" i="2"/>
  <c r="N342" i="2" s="1"/>
  <c r="L343" i="2"/>
  <c r="N343" i="2" s="1"/>
  <c r="L345" i="2"/>
  <c r="N345" i="2" s="1"/>
  <c r="L346" i="2"/>
  <c r="N346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 s="1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E30" i="3"/>
  <c r="D30" i="3"/>
  <c r="C30" i="3"/>
  <c r="B30" i="3"/>
  <c r="E36" i="3"/>
  <c r="D36" i="3"/>
  <c r="C36" i="3"/>
  <c r="B36" i="3"/>
  <c r="E33" i="3"/>
  <c r="D33" i="3"/>
  <c r="C33" i="3"/>
  <c r="B33" i="3"/>
  <c r="E27" i="3"/>
  <c r="D27" i="3"/>
  <c r="C27" i="3"/>
  <c r="B27" i="3"/>
  <c r="E28" i="3"/>
  <c r="D28" i="3"/>
  <c r="C28" i="3"/>
  <c r="B28" i="3"/>
  <c r="E37" i="3"/>
  <c r="D37" i="3"/>
  <c r="C37" i="3"/>
  <c r="B37" i="3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J249" i="2" a="1"/>
  <c r="J250" i="2" a="1"/>
  <c r="L250" i="2" s="1"/>
  <c r="N250" i="2" s="1"/>
  <c r="J251" i="2" a="1"/>
  <c r="L251" i="2" s="1"/>
  <c r="N251" i="2" s="1"/>
  <c r="J252" i="2" a="1"/>
  <c r="J253" i="2" a="1"/>
  <c r="L253" i="2" s="1"/>
  <c r="N253" i="2" s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20" i="2"/>
  <c r="AF221" i="2"/>
  <c r="AF222" i="2"/>
  <c r="AF223" i="2"/>
  <c r="AF224" i="2"/>
  <c r="AF225" i="2"/>
  <c r="AF226" i="2"/>
  <c r="AF227" i="2"/>
  <c r="AF232" i="2"/>
  <c r="AF233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20" i="2"/>
  <c r="AE221" i="2"/>
  <c r="AE222" i="2"/>
  <c r="AE223" i="2"/>
  <c r="AE224" i="2"/>
  <c r="AE225" i="2"/>
  <c r="AE226" i="2"/>
  <c r="AE227" i="2"/>
  <c r="AE228" i="2"/>
  <c r="AE229" i="2"/>
  <c r="AE232" i="2"/>
  <c r="AE233" i="2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U232" i="2"/>
  <c r="V232" i="2" s="1"/>
  <c r="U233" i="2"/>
  <c r="V233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J232" i="2" a="1"/>
  <c r="J233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I232" i="2" a="1"/>
  <c r="I233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C232" i="2"/>
  <c r="Y232" i="2" s="1"/>
  <c r="C233" i="2"/>
  <c r="Y233" i="2" s="1"/>
  <c r="K623" i="2" l="1"/>
  <c r="M623" i="2" s="1"/>
  <c r="L623" i="2"/>
  <c r="N623" i="2" s="1"/>
  <c r="AG598" i="2"/>
  <c r="AH598" i="2"/>
  <c r="AG599" i="2"/>
  <c r="AH599" i="2"/>
  <c r="AG600" i="2"/>
  <c r="AH600" i="2"/>
  <c r="AG601" i="2"/>
  <c r="AH601" i="2"/>
  <c r="AG602" i="2"/>
  <c r="AH602" i="2"/>
  <c r="AG603" i="2"/>
  <c r="AH603" i="2"/>
  <c r="AG604" i="2"/>
  <c r="AH604" i="2"/>
  <c r="AG605" i="2"/>
  <c r="AH605" i="2"/>
  <c r="AG606" i="2"/>
  <c r="AH606" i="2"/>
  <c r="AH607" i="2"/>
  <c r="AG607" i="2"/>
  <c r="AH608" i="2"/>
  <c r="AG608" i="2"/>
  <c r="AH609" i="2"/>
  <c r="AG609" i="2"/>
  <c r="AG610" i="2"/>
  <c r="AH610" i="2"/>
  <c r="AH611" i="2"/>
  <c r="AG611" i="2"/>
  <c r="AG612" i="2"/>
  <c r="AH612" i="2"/>
  <c r="AG613" i="2"/>
  <c r="AH613" i="2"/>
  <c r="AG614" i="2"/>
  <c r="AH614" i="2"/>
  <c r="AG615" i="2"/>
  <c r="AH615" i="2"/>
  <c r="AI616" i="2"/>
  <c r="AJ616" i="2"/>
  <c r="AI617" i="2"/>
  <c r="AJ617" i="2"/>
  <c r="AI618" i="2"/>
  <c r="AJ618" i="2"/>
  <c r="AI619" i="2"/>
  <c r="AJ619" i="2"/>
  <c r="AI620" i="2"/>
  <c r="AJ620" i="2"/>
  <c r="AI621" i="2"/>
  <c r="AJ621" i="2"/>
  <c r="AI622" i="2"/>
  <c r="AJ622" i="2"/>
  <c r="AI623" i="2"/>
  <c r="AJ623" i="2"/>
  <c r="AC313" i="2"/>
  <c r="AD313" i="2"/>
  <c r="AC314" i="2"/>
  <c r="AD314" i="2"/>
  <c r="AC315" i="2"/>
  <c r="AD315" i="2"/>
  <c r="AC316" i="2"/>
  <c r="AD316" i="2"/>
  <c r="AC317" i="2"/>
  <c r="AD317" i="2"/>
  <c r="AC318" i="2"/>
  <c r="AD318" i="2"/>
  <c r="AC319" i="2"/>
  <c r="AD319" i="2"/>
  <c r="AC320" i="2"/>
  <c r="AD320" i="2"/>
  <c r="AC321" i="2"/>
  <c r="AD321" i="2"/>
  <c r="AC322" i="2"/>
  <c r="AD322" i="2"/>
  <c r="AC323" i="2"/>
  <c r="AD323" i="2"/>
  <c r="AC324" i="2"/>
  <c r="AD324" i="2"/>
  <c r="AC325" i="2"/>
  <c r="AD325" i="2"/>
  <c r="AC326" i="2"/>
  <c r="AD326" i="2"/>
  <c r="AC327" i="2"/>
  <c r="AD327" i="2"/>
  <c r="AC328" i="2"/>
  <c r="AD328" i="2"/>
  <c r="AC329" i="2"/>
  <c r="AD329" i="2"/>
  <c r="AC330" i="2"/>
  <c r="AD330" i="2"/>
  <c r="AC331" i="2"/>
  <c r="AD331" i="2"/>
  <c r="AC332" i="2"/>
  <c r="AD332" i="2"/>
  <c r="AC333" i="2"/>
  <c r="AD333" i="2"/>
  <c r="AC334" i="2"/>
  <c r="AD334" i="2"/>
  <c r="AC335" i="2"/>
  <c r="AD335" i="2"/>
  <c r="AC336" i="2"/>
  <c r="AD336" i="2"/>
  <c r="AC337" i="2"/>
  <c r="AD337" i="2"/>
  <c r="AC338" i="2"/>
  <c r="AD338" i="2"/>
  <c r="AC339" i="2"/>
  <c r="AD339" i="2"/>
  <c r="AC340" i="2"/>
  <c r="AD340" i="2"/>
  <c r="AC341" i="2"/>
  <c r="AD341" i="2"/>
  <c r="AC342" i="2"/>
  <c r="AD342" i="2"/>
  <c r="AC343" i="2"/>
  <c r="AD343" i="2"/>
  <c r="AC344" i="2"/>
  <c r="AD344" i="2"/>
  <c r="AC345" i="2"/>
  <c r="AD345" i="2"/>
  <c r="AC346" i="2"/>
  <c r="AD346" i="2"/>
  <c r="AC347" i="2"/>
  <c r="AD347" i="2"/>
  <c r="AC348" i="2"/>
  <c r="AD348" i="2"/>
  <c r="AC349" i="2"/>
  <c r="AD349" i="2"/>
  <c r="AC350" i="2"/>
  <c r="AD350" i="2"/>
  <c r="AC351" i="2"/>
  <c r="AD351" i="2"/>
  <c r="AC352" i="2"/>
  <c r="AD352" i="2"/>
  <c r="AC353" i="2"/>
  <c r="AD353" i="2"/>
  <c r="AC354" i="2"/>
  <c r="AD354" i="2"/>
  <c r="AC355" i="2"/>
  <c r="AD355" i="2"/>
  <c r="AC356" i="2"/>
  <c r="AD356" i="2"/>
  <c r="AC357" i="2"/>
  <c r="AD357" i="2"/>
  <c r="AC358" i="2"/>
  <c r="AD358" i="2"/>
  <c r="AC359" i="2"/>
  <c r="AD359" i="2"/>
  <c r="AC360" i="2"/>
  <c r="AD360" i="2"/>
  <c r="AC361" i="2"/>
  <c r="AD361" i="2"/>
  <c r="AC362" i="2"/>
  <c r="AD362" i="2"/>
  <c r="AC363" i="2"/>
  <c r="AD363" i="2"/>
  <c r="AC364" i="2"/>
  <c r="AD364" i="2"/>
  <c r="AC365" i="2"/>
  <c r="AD365" i="2"/>
  <c r="AC366" i="2"/>
  <c r="AD366" i="2"/>
  <c r="AC367" i="2"/>
  <c r="AD367" i="2"/>
  <c r="K521" i="2"/>
  <c r="M521" i="2" s="1"/>
  <c r="L521" i="2"/>
  <c r="N521" i="2" s="1"/>
  <c r="L327" i="2"/>
  <c r="N327" i="2" s="1"/>
  <c r="K327" i="2"/>
  <c r="M327" i="2" s="1"/>
  <c r="L324" i="2"/>
  <c r="N324" i="2" s="1"/>
  <c r="K324" i="2"/>
  <c r="M324" i="2" s="1"/>
  <c r="Z459" i="2"/>
  <c r="Z463" i="2"/>
  <c r="Z467" i="2"/>
  <c r="Z470" i="2"/>
  <c r="Z473" i="2"/>
  <c r="Z477" i="2"/>
  <c r="Z480" i="2"/>
  <c r="Z458" i="2"/>
  <c r="Z461" i="2"/>
  <c r="Z464" i="2"/>
  <c r="Z466" i="2"/>
  <c r="Z469" i="2"/>
  <c r="Z471" i="2"/>
  <c r="Z474" i="2"/>
  <c r="Z476" i="2"/>
  <c r="Z479" i="2"/>
  <c r="Z460" i="2"/>
  <c r="Z462" i="2"/>
  <c r="Z465" i="2"/>
  <c r="Z468" i="2"/>
  <c r="Z472" i="2"/>
  <c r="Z475" i="2"/>
  <c r="Z478" i="2"/>
  <c r="Z481" i="2"/>
  <c r="L405" i="2"/>
  <c r="N405" i="2" s="1"/>
  <c r="K405" i="2"/>
  <c r="M405" i="2" s="1"/>
  <c r="K526" i="2"/>
  <c r="M526" i="2" s="1"/>
  <c r="L526" i="2"/>
  <c r="N526" i="2" s="1"/>
  <c r="AC298" i="2"/>
  <c r="AD298" i="2"/>
  <c r="AC299" i="2"/>
  <c r="AD299" i="2"/>
  <c r="AC300" i="2"/>
  <c r="AD300" i="2"/>
  <c r="AC301" i="2"/>
  <c r="AD301" i="2"/>
  <c r="AC302" i="2"/>
  <c r="AD302" i="2"/>
  <c r="AC303" i="2"/>
  <c r="AD303" i="2"/>
  <c r="AC304" i="2"/>
  <c r="AD304" i="2"/>
  <c r="AC305" i="2"/>
  <c r="AD305" i="2"/>
  <c r="AC306" i="2"/>
  <c r="AD306" i="2"/>
  <c r="AC307" i="2"/>
  <c r="AD307" i="2"/>
  <c r="AC308" i="2"/>
  <c r="AD308" i="2"/>
  <c r="AC309" i="2"/>
  <c r="AD309" i="2"/>
  <c r="AC310" i="2"/>
  <c r="AD310" i="2"/>
  <c r="AC311" i="2"/>
  <c r="AD311" i="2"/>
  <c r="AC312" i="2"/>
  <c r="AD312" i="2"/>
  <c r="Z484" i="2"/>
  <c r="K527" i="2"/>
  <c r="M527" i="2" s="1"/>
  <c r="L527" i="2"/>
  <c r="N527" i="2" s="1"/>
  <c r="Z444" i="2"/>
  <c r="Z447" i="2"/>
  <c r="Z448" i="2"/>
  <c r="Z451" i="2"/>
  <c r="Z452" i="2"/>
  <c r="Z455" i="2"/>
  <c r="Z457" i="2"/>
  <c r="Z445" i="2"/>
  <c r="Z446" i="2"/>
  <c r="Z449" i="2"/>
  <c r="Z450" i="2"/>
  <c r="Z453" i="2"/>
  <c r="Z454" i="2"/>
  <c r="Z456" i="2"/>
  <c r="Z482" i="2"/>
  <c r="Z435" i="2"/>
  <c r="Z438" i="2"/>
  <c r="Z441" i="2"/>
  <c r="Z483" i="2"/>
  <c r="Z433" i="2"/>
  <c r="Z434" i="2"/>
  <c r="Z436" i="2"/>
  <c r="Z439" i="2"/>
  <c r="Z440" i="2"/>
  <c r="Z442" i="2"/>
  <c r="Z443" i="2"/>
  <c r="K522" i="2"/>
  <c r="M522" i="2" s="1"/>
  <c r="L522" i="2"/>
  <c r="N522" i="2" s="1"/>
  <c r="K476" i="2"/>
  <c r="M476" i="2" s="1"/>
  <c r="L476" i="2"/>
  <c r="N476" i="2" s="1"/>
  <c r="K477" i="2"/>
  <c r="M477" i="2" s="1"/>
  <c r="L477" i="2"/>
  <c r="N477" i="2" s="1"/>
  <c r="K478" i="2"/>
  <c r="M478" i="2" s="1"/>
  <c r="L478" i="2"/>
  <c r="N478" i="2" s="1"/>
  <c r="K479" i="2"/>
  <c r="M479" i="2" s="1"/>
  <c r="L479" i="2"/>
  <c r="N479" i="2" s="1"/>
  <c r="K480" i="2"/>
  <c r="M480" i="2" s="1"/>
  <c r="L480" i="2"/>
  <c r="N480" i="2" s="1"/>
  <c r="L416" i="2"/>
  <c r="N416" i="2" s="1"/>
  <c r="K416" i="2"/>
  <c r="M416" i="2" s="1"/>
  <c r="L418" i="2"/>
  <c r="N418" i="2" s="1"/>
  <c r="K418" i="2"/>
  <c r="M418" i="2" s="1"/>
  <c r="AC422" i="2"/>
  <c r="AD422" i="2"/>
  <c r="AC423" i="2"/>
  <c r="AD423" i="2"/>
  <c r="AC424" i="2"/>
  <c r="AD424" i="2"/>
  <c r="AC425" i="2"/>
  <c r="AD425" i="2"/>
  <c r="AC426" i="2"/>
  <c r="AD426" i="2"/>
  <c r="AC427" i="2"/>
  <c r="AD427" i="2"/>
  <c r="AC428" i="2"/>
  <c r="AD428" i="2"/>
  <c r="AC429" i="2"/>
  <c r="AD429" i="2"/>
  <c r="AC430" i="2"/>
  <c r="AD430" i="2"/>
  <c r="AC431" i="2"/>
  <c r="AD431" i="2"/>
  <c r="AC432" i="2"/>
  <c r="AD432" i="2"/>
  <c r="AC433" i="2"/>
  <c r="AD433" i="2"/>
  <c r="AC434" i="2"/>
  <c r="AD434" i="2"/>
  <c r="AC435" i="2"/>
  <c r="AD435" i="2"/>
  <c r="AC436" i="2"/>
  <c r="AD436" i="2"/>
  <c r="AC437" i="2"/>
  <c r="AD437" i="2"/>
  <c r="AC438" i="2"/>
  <c r="AD438" i="2"/>
  <c r="AC439" i="2"/>
  <c r="AD439" i="2"/>
  <c r="AC440" i="2"/>
  <c r="AD440" i="2"/>
  <c r="AC441" i="2"/>
  <c r="AD441" i="2"/>
  <c r="AC442" i="2"/>
  <c r="AD442" i="2"/>
  <c r="AC443" i="2"/>
  <c r="AD443" i="2"/>
  <c r="AC444" i="2"/>
  <c r="AD444" i="2"/>
  <c r="AC445" i="2"/>
  <c r="AD445" i="2"/>
  <c r="AC446" i="2"/>
  <c r="AD446" i="2"/>
  <c r="AC447" i="2"/>
  <c r="AD447" i="2"/>
  <c r="AC448" i="2"/>
  <c r="AD448" i="2"/>
  <c r="AC449" i="2"/>
  <c r="AD449" i="2"/>
  <c r="AC450" i="2"/>
  <c r="AD450" i="2"/>
  <c r="AC451" i="2"/>
  <c r="AD451" i="2"/>
  <c r="AC452" i="2"/>
  <c r="AD452" i="2"/>
  <c r="AC453" i="2"/>
  <c r="AD453" i="2"/>
  <c r="AC454" i="2"/>
  <c r="AD454" i="2"/>
  <c r="AC455" i="2"/>
  <c r="AD455" i="2"/>
  <c r="AC456" i="2"/>
  <c r="AD456" i="2"/>
  <c r="AC457" i="2"/>
  <c r="AD457" i="2"/>
  <c r="AC458" i="2"/>
  <c r="AD458" i="2"/>
  <c r="AC459" i="2"/>
  <c r="AD459" i="2"/>
  <c r="AC460" i="2"/>
  <c r="AD460" i="2"/>
  <c r="AC461" i="2"/>
  <c r="AD461" i="2"/>
  <c r="AC462" i="2"/>
  <c r="AD462" i="2"/>
  <c r="AC463" i="2"/>
  <c r="AD463" i="2"/>
  <c r="AC464" i="2"/>
  <c r="AD464" i="2"/>
  <c r="AC465" i="2"/>
  <c r="AD465" i="2"/>
  <c r="AC466" i="2"/>
  <c r="AD466" i="2"/>
  <c r="AC467" i="2"/>
  <c r="AD467" i="2"/>
  <c r="AC468" i="2"/>
  <c r="AD468" i="2"/>
  <c r="AC469" i="2"/>
  <c r="AD469" i="2"/>
  <c r="AC470" i="2"/>
  <c r="AD470" i="2"/>
  <c r="AC471" i="2"/>
  <c r="AD471" i="2"/>
  <c r="AC472" i="2"/>
  <c r="AD472" i="2"/>
  <c r="AC473" i="2"/>
  <c r="AD473" i="2"/>
  <c r="AC474" i="2"/>
  <c r="AD474" i="2"/>
  <c r="AC475" i="2"/>
  <c r="AD475" i="2"/>
  <c r="AC476" i="2"/>
  <c r="AD476" i="2"/>
  <c r="AC477" i="2"/>
  <c r="AD477" i="2"/>
  <c r="AC478" i="2"/>
  <c r="AD478" i="2"/>
  <c r="AC479" i="2"/>
  <c r="AD479" i="2"/>
  <c r="AC480" i="2"/>
  <c r="AD480" i="2"/>
  <c r="AC481" i="2"/>
  <c r="AD481" i="2"/>
  <c r="Z422" i="2"/>
  <c r="Z423" i="2"/>
  <c r="Z424" i="2"/>
  <c r="Z425" i="2"/>
  <c r="Z426" i="2"/>
  <c r="Z427" i="2"/>
  <c r="Z428" i="2"/>
  <c r="Z429" i="2"/>
  <c r="Z431" i="2"/>
  <c r="Z430" i="2"/>
  <c r="Z432" i="2"/>
  <c r="K369" i="2"/>
  <c r="M369" i="2" s="1"/>
  <c r="L369" i="2"/>
  <c r="N369" i="2" s="1"/>
  <c r="K419" i="2"/>
  <c r="M419" i="2" s="1"/>
  <c r="L419" i="2"/>
  <c r="N419" i="2" s="1"/>
  <c r="K523" i="2"/>
  <c r="M523" i="2" s="1"/>
  <c r="L523" i="2"/>
  <c r="N523" i="2" s="1"/>
  <c r="K469" i="2"/>
  <c r="M469" i="2" s="1"/>
  <c r="L469" i="2"/>
  <c r="N469" i="2" s="1"/>
  <c r="K414" i="2"/>
  <c r="M414" i="2" s="1"/>
  <c r="L414" i="2"/>
  <c r="N414" i="2" s="1"/>
  <c r="Z437" i="2"/>
  <c r="Z411" i="2"/>
  <c r="Z412" i="2"/>
  <c r="Z413" i="2"/>
  <c r="Z414" i="2"/>
  <c r="Z415" i="2"/>
  <c r="Z416" i="2"/>
  <c r="Z417" i="2"/>
  <c r="Z418" i="2"/>
  <c r="Z419" i="2"/>
  <c r="Z420" i="2"/>
  <c r="Z421" i="2"/>
  <c r="Z308" i="2"/>
  <c r="Z311" i="2"/>
  <c r="Z314" i="2"/>
  <c r="Z317" i="2"/>
  <c r="Z319" i="2"/>
  <c r="Z321" i="2"/>
  <c r="Z324" i="2"/>
  <c r="Z327" i="2"/>
  <c r="Z330" i="2"/>
  <c r="Z333" i="2"/>
  <c r="Z336" i="2"/>
  <c r="Z339" i="2"/>
  <c r="Z342" i="2"/>
  <c r="Z306" i="2"/>
  <c r="Z309" i="2"/>
  <c r="Z312" i="2"/>
  <c r="Z315" i="2"/>
  <c r="Z318" i="2"/>
  <c r="Z320" i="2"/>
  <c r="Z323" i="2"/>
  <c r="Z326" i="2"/>
  <c r="Z329" i="2"/>
  <c r="Z331" i="2"/>
  <c r="Z334" i="2"/>
  <c r="Z337" i="2"/>
  <c r="Z340" i="2"/>
  <c r="Z307" i="2"/>
  <c r="Z310" i="2"/>
  <c r="Z313" i="2"/>
  <c r="Z316" i="2"/>
  <c r="Z322" i="2"/>
  <c r="Z325" i="2"/>
  <c r="Z328" i="2"/>
  <c r="Z332" i="2"/>
  <c r="Z335" i="2"/>
  <c r="Z338" i="2"/>
  <c r="Z341" i="2"/>
  <c r="K481" i="2"/>
  <c r="M481" i="2" s="1"/>
  <c r="L481" i="2"/>
  <c r="N481" i="2" s="1"/>
  <c r="K420" i="2"/>
  <c r="M420" i="2" s="1"/>
  <c r="L420" i="2"/>
  <c r="N420" i="2" s="1"/>
  <c r="Z298" i="2"/>
  <c r="Z301" i="2"/>
  <c r="Z303" i="2"/>
  <c r="Z304" i="2"/>
  <c r="Z299" i="2"/>
  <c r="Z302" i="2"/>
  <c r="Z305" i="2"/>
  <c r="K421" i="2"/>
  <c r="M421" i="2" s="1"/>
  <c r="L421" i="2"/>
  <c r="N421" i="2" s="1"/>
  <c r="Z300" i="2"/>
  <c r="Z343" i="2"/>
  <c r="Z345" i="2"/>
  <c r="Z347" i="2"/>
  <c r="Z349" i="2"/>
  <c r="Z351" i="2"/>
  <c r="Z353" i="2"/>
  <c r="Z355" i="2"/>
  <c r="Z357" i="2"/>
  <c r="Z359" i="2"/>
  <c r="Z361" i="2"/>
  <c r="Z363" i="2"/>
  <c r="Z365" i="2"/>
  <c r="Z367" i="2"/>
  <c r="Z369" i="2"/>
  <c r="Z371" i="2"/>
  <c r="Z373" i="2"/>
  <c r="Z375" i="2"/>
  <c r="Z377" i="2"/>
  <c r="Z379" i="2"/>
  <c r="Z381" i="2"/>
  <c r="Z383" i="2"/>
  <c r="Z385" i="2"/>
  <c r="Z387" i="2"/>
  <c r="Z390" i="2"/>
  <c r="Z392" i="2"/>
  <c r="Z394" i="2"/>
  <c r="Z396" i="2"/>
  <c r="Z398" i="2"/>
  <c r="Z401" i="2"/>
  <c r="Z403" i="2"/>
  <c r="Z405" i="2"/>
  <c r="Z408" i="2"/>
  <c r="Z410" i="2"/>
  <c r="Z344" i="2"/>
  <c r="Z346" i="2"/>
  <c r="Z348" i="2"/>
  <c r="Z350" i="2"/>
  <c r="Z352" i="2"/>
  <c r="Z354" i="2"/>
  <c r="Z356" i="2"/>
  <c r="Z358" i="2"/>
  <c r="Z360" i="2"/>
  <c r="Z362" i="2"/>
  <c r="Z364" i="2"/>
  <c r="Z366" i="2"/>
  <c r="Z368" i="2"/>
  <c r="Z370" i="2"/>
  <c r="Z372" i="2"/>
  <c r="Z374" i="2"/>
  <c r="Z376" i="2"/>
  <c r="Z378" i="2"/>
  <c r="Z380" i="2"/>
  <c r="Z382" i="2"/>
  <c r="Z384" i="2"/>
  <c r="Z386" i="2"/>
  <c r="Z388" i="2"/>
  <c r="Z389" i="2"/>
  <c r="Z391" i="2"/>
  <c r="Z393" i="2"/>
  <c r="Z395" i="2"/>
  <c r="Z397" i="2"/>
  <c r="Z399" i="2"/>
  <c r="Z400" i="2"/>
  <c r="Z402" i="2"/>
  <c r="Z404" i="2"/>
  <c r="Z406" i="2"/>
  <c r="Z407" i="2"/>
  <c r="Z409" i="2"/>
  <c r="L344" i="2"/>
  <c r="N344" i="2" s="1"/>
  <c r="K344" i="2"/>
  <c r="M344" i="2" s="1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F26" i="3"/>
  <c r="F30" i="3"/>
  <c r="Z19" i="2"/>
  <c r="Z20" i="2"/>
  <c r="Z21" i="2"/>
  <c r="Z22" i="2"/>
  <c r="Z23" i="2"/>
  <c r="Z24" i="2"/>
  <c r="Z25" i="2"/>
  <c r="Z26" i="2"/>
  <c r="F25" i="3"/>
  <c r="F28" i="3"/>
  <c r="F36" i="3"/>
  <c r="F37" i="3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268" i="2"/>
  <c r="M268" i="2" s="1"/>
  <c r="K269" i="2"/>
  <c r="M269" i="2" s="1"/>
  <c r="K250" i="2"/>
  <c r="M250" i="2" s="1"/>
  <c r="K251" i="2"/>
  <c r="M251" i="2" s="1"/>
  <c r="K253" i="2"/>
  <c r="M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268" i="2"/>
  <c r="N268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K285" i="2"/>
  <c r="M285" i="2" s="1"/>
  <c r="L285" i="2"/>
  <c r="N285" i="2" s="1"/>
  <c r="K286" i="2"/>
  <c r="M286" i="2" s="1"/>
  <c r="L286" i="2"/>
  <c r="N28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2" i="2"/>
  <c r="M252" i="2" s="1"/>
  <c r="L252" i="2"/>
  <c r="N252" i="2" s="1"/>
  <c r="F27" i="3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C243" i="2"/>
  <c r="AD243" i="2"/>
  <c r="AC244" i="2"/>
  <c r="AD244" i="2"/>
  <c r="AD245" i="2"/>
  <c r="AC245" i="2"/>
  <c r="AC246" i="2"/>
  <c r="AD246" i="2"/>
  <c r="AC247" i="2"/>
  <c r="AD247" i="2"/>
  <c r="AC248" i="2"/>
  <c r="AD248" i="2"/>
  <c r="AC249" i="2"/>
  <c r="AD249" i="2"/>
  <c r="AD250" i="2"/>
  <c r="AC250" i="2"/>
  <c r="AD251" i="2"/>
  <c r="AC251" i="2"/>
  <c r="AD252" i="2"/>
  <c r="AC252" i="2"/>
  <c r="AD253" i="2"/>
  <c r="AC253" i="2"/>
  <c r="AD254" i="2"/>
  <c r="AC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C276" i="2"/>
  <c r="AD276" i="2"/>
  <c r="AC277" i="2"/>
  <c r="AD277" i="2"/>
  <c r="AD278" i="2"/>
  <c r="AC278" i="2"/>
  <c r="AD279" i="2"/>
  <c r="AC279" i="2"/>
  <c r="AD280" i="2"/>
  <c r="AC280" i="2"/>
  <c r="AD281" i="2"/>
  <c r="AC281" i="2"/>
  <c r="AC282" i="2"/>
  <c r="AD282" i="2"/>
  <c r="AC283" i="2"/>
  <c r="AD283" i="2"/>
  <c r="AC284" i="2"/>
  <c r="AD284" i="2"/>
  <c r="AC285" i="2"/>
  <c r="AD285" i="2"/>
  <c r="AC286" i="2"/>
  <c r="AD286" i="2"/>
  <c r="AC287" i="2"/>
  <c r="AD287" i="2"/>
  <c r="AC288" i="2"/>
  <c r="AD288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C226" i="2"/>
  <c r="AD226" i="2"/>
  <c r="AC227" i="2"/>
  <c r="AD227" i="2"/>
  <c r="AF228" i="2"/>
  <c r="AD228" i="2"/>
  <c r="AC228" i="2"/>
  <c r="AF229" i="2"/>
  <c r="AD229" i="2"/>
  <c r="AC229" i="2"/>
  <c r="AD230" i="2"/>
  <c r="AC230" i="2"/>
  <c r="AD231" i="2"/>
  <c r="AC231" i="2"/>
  <c r="AD232" i="2"/>
  <c r="AC232" i="2"/>
  <c r="AD233" i="2"/>
  <c r="AC233" i="2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34" i="2"/>
  <c r="M234" i="2" s="1"/>
  <c r="L234" i="2"/>
  <c r="N234" i="2" s="1"/>
  <c r="K235" i="2"/>
  <c r="M235" i="2" s="1"/>
  <c r="L235" i="2"/>
  <c r="N235" i="2" s="1"/>
  <c r="L236" i="2"/>
  <c r="N236" i="2" s="1"/>
  <c r="K236" i="2"/>
  <c r="M236" i="2" s="1"/>
  <c r="K237" i="2"/>
  <c r="M237" i="2" s="1"/>
  <c r="L237" i="2"/>
  <c r="N237" i="2" s="1"/>
  <c r="L238" i="2"/>
  <c r="N238" i="2" s="1"/>
  <c r="K238" i="2"/>
  <c r="M238" i="2" s="1"/>
  <c r="L239" i="2"/>
  <c r="N239" i="2" s="1"/>
  <c r="K239" i="2"/>
  <c r="M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K243" i="2"/>
  <c r="M243" i="2" s="1"/>
  <c r="L243" i="2"/>
  <c r="N243" i="2" s="1"/>
  <c r="K244" i="2"/>
  <c r="M244" i="2" s="1"/>
  <c r="L244" i="2"/>
  <c r="N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L248" i="2"/>
  <c r="N248" i="2" s="1"/>
  <c r="K248" i="2"/>
  <c r="M248" i="2" s="1"/>
  <c r="L249" i="2"/>
  <c r="N249" i="2" s="1"/>
  <c r="K249" i="2"/>
  <c r="M249" i="2" s="1"/>
  <c r="F33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4" i="2"/>
  <c r="Z236" i="2"/>
  <c r="Z238" i="2"/>
  <c r="Z240" i="2"/>
  <c r="Z242" i="2"/>
  <c r="Z244" i="2"/>
  <c r="Z246" i="2"/>
  <c r="Z248" i="2"/>
  <c r="Z250" i="2"/>
  <c r="Z251" i="2"/>
  <c r="Z253" i="2"/>
  <c r="Z255" i="2"/>
  <c r="Z257" i="2"/>
  <c r="Z259" i="2"/>
  <c r="Z260" i="2"/>
  <c r="Z262" i="2"/>
  <c r="Z264" i="2"/>
  <c r="Z266" i="2"/>
  <c r="Z268" i="2"/>
  <c r="Z269" i="2"/>
  <c r="Z271" i="2"/>
  <c r="Z273" i="2"/>
  <c r="Z275" i="2"/>
  <c r="Z277" i="2"/>
  <c r="Z278" i="2"/>
  <c r="Z280" i="2"/>
  <c r="Z282" i="2"/>
  <c r="Z284" i="2"/>
  <c r="Z286" i="2"/>
  <c r="Z287" i="2"/>
  <c r="Z289" i="2"/>
  <c r="Z291" i="2"/>
  <c r="Z293" i="2"/>
  <c r="Z295" i="2"/>
  <c r="Z296" i="2"/>
  <c r="Z235" i="2"/>
  <c r="Z237" i="2"/>
  <c r="Z239" i="2"/>
  <c r="Z241" i="2"/>
  <c r="Z243" i="2"/>
  <c r="Z245" i="2"/>
  <c r="Z247" i="2"/>
  <c r="Z249" i="2"/>
  <c r="Z252" i="2"/>
  <c r="Z254" i="2"/>
  <c r="Z256" i="2"/>
  <c r="Z258" i="2"/>
  <c r="Z261" i="2"/>
  <c r="Z263" i="2"/>
  <c r="Z265" i="2"/>
  <c r="Z267" i="2"/>
  <c r="Z270" i="2"/>
  <c r="Z272" i="2"/>
  <c r="Z274" i="2"/>
  <c r="Z276" i="2"/>
  <c r="Z279" i="2"/>
  <c r="Z281" i="2"/>
  <c r="Z283" i="2"/>
  <c r="Z285" i="2"/>
  <c r="Z288" i="2"/>
  <c r="Z290" i="2"/>
  <c r="Z292" i="2"/>
  <c r="Z294" i="2"/>
  <c r="Z297" i="2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30" i="2"/>
  <c r="AF230" i="2"/>
  <c r="AE231" i="2"/>
  <c r="AF231" i="2"/>
  <c r="AH232" i="2"/>
  <c r="AG232" i="2"/>
  <c r="AG233" i="2"/>
  <c r="AH233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20" i="2"/>
  <c r="Z221" i="2"/>
  <c r="Z222" i="2"/>
  <c r="Z223" i="2"/>
  <c r="Z224" i="2"/>
  <c r="Z225" i="2"/>
  <c r="Z226" i="2"/>
  <c r="Z227" i="2"/>
  <c r="Z229" i="2"/>
  <c r="Z230" i="2"/>
  <c r="Z231" i="2"/>
  <c r="Z232" i="2"/>
  <c r="Z233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8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20" i="2"/>
  <c r="M220" i="2" s="1"/>
  <c r="L220" i="2"/>
  <c r="N220" i="2" s="1"/>
  <c r="K221" i="2"/>
  <c r="M221" i="2" s="1"/>
  <c r="L221" i="2"/>
  <c r="N221" i="2" s="1"/>
  <c r="K222" i="2"/>
  <c r="M222" i="2" s="1"/>
  <c r="L222" i="2"/>
  <c r="N222" i="2" s="1"/>
  <c r="K223" i="2"/>
  <c r="M223" i="2" s="1"/>
  <c r="L223" i="2"/>
  <c r="N223" i="2" s="1"/>
  <c r="L224" i="2"/>
  <c r="N224" i="2" s="1"/>
  <c r="K224" i="2"/>
  <c r="M224" i="2" s="1"/>
  <c r="L225" i="2"/>
  <c r="N225" i="2" s="1"/>
  <c r="K225" i="2"/>
  <c r="M225" i="2" s="1"/>
  <c r="K226" i="2"/>
  <c r="M226" i="2" s="1"/>
  <c r="L226" i="2"/>
  <c r="N226" i="2" s="1"/>
  <c r="K227" i="2"/>
  <c r="M227" i="2" s="1"/>
  <c r="L227" i="2"/>
  <c r="N227" i="2" s="1"/>
  <c r="K228" i="2"/>
  <c r="M228" i="2" s="1"/>
  <c r="L228" i="2"/>
  <c r="N228" i="2" s="1"/>
  <c r="L229" i="2"/>
  <c r="N229" i="2" s="1"/>
  <c r="K229" i="2"/>
  <c r="M229" i="2" s="1"/>
  <c r="K230" i="2"/>
  <c r="M230" i="2" s="1"/>
  <c r="L230" i="2"/>
  <c r="N230" i="2" s="1"/>
  <c r="K231" i="2"/>
  <c r="M231" i="2" s="1"/>
  <c r="L231" i="2"/>
  <c r="N231" i="2" s="1"/>
  <c r="L232" i="2"/>
  <c r="N232" i="2" s="1"/>
  <c r="K232" i="2"/>
  <c r="M232" i="2" s="1"/>
  <c r="L233" i="2"/>
  <c r="N233" i="2" s="1"/>
  <c r="K233" i="2"/>
  <c r="M233" i="2" s="1"/>
  <c r="W2" i="2"/>
  <c r="AC368" i="2" l="1"/>
  <c r="AD368" i="2"/>
  <c r="AC369" i="2"/>
  <c r="AD369" i="2"/>
  <c r="AD370" i="2"/>
  <c r="AC370" i="2"/>
  <c r="AD371" i="2"/>
  <c r="AC371" i="2"/>
  <c r="AC372" i="2"/>
  <c r="AD372" i="2"/>
  <c r="AC373" i="2"/>
  <c r="AD373" i="2"/>
  <c r="AD374" i="2"/>
  <c r="AC374" i="2"/>
  <c r="AD375" i="2"/>
  <c r="AC375" i="2"/>
  <c r="AD376" i="2"/>
  <c r="AC376" i="2"/>
  <c r="AD377" i="2"/>
  <c r="AC377" i="2"/>
  <c r="AD378" i="2"/>
  <c r="AC378" i="2"/>
  <c r="AD379" i="2"/>
  <c r="AC379" i="2"/>
  <c r="AD380" i="2"/>
  <c r="AC380" i="2"/>
  <c r="AC381" i="2"/>
  <c r="AD381" i="2"/>
  <c r="AC382" i="2"/>
  <c r="AD382" i="2"/>
  <c r="AD383" i="2"/>
  <c r="AC383" i="2"/>
  <c r="AD384" i="2"/>
  <c r="AC384" i="2"/>
  <c r="AD385" i="2"/>
  <c r="AC385" i="2"/>
  <c r="AD386" i="2"/>
  <c r="AC386" i="2"/>
  <c r="AD387" i="2"/>
  <c r="AC387" i="2"/>
  <c r="AD388" i="2"/>
  <c r="AC388" i="2"/>
  <c r="AD389" i="2"/>
  <c r="AC389" i="2"/>
  <c r="AD390" i="2"/>
  <c r="AC390" i="2"/>
  <c r="AD391" i="2"/>
  <c r="AC391" i="2"/>
  <c r="AD392" i="2"/>
  <c r="AC392" i="2"/>
  <c r="AC393" i="2"/>
  <c r="AD393" i="2"/>
  <c r="AC394" i="2"/>
  <c r="AD394" i="2"/>
  <c r="AD395" i="2"/>
  <c r="AC395" i="2"/>
  <c r="AC396" i="2"/>
  <c r="AD396" i="2"/>
  <c r="AC397" i="2"/>
  <c r="AD397" i="2"/>
  <c r="AC398" i="2"/>
  <c r="AD398" i="2"/>
  <c r="AC399" i="2"/>
  <c r="AD399" i="2"/>
  <c r="AC400" i="2"/>
  <c r="AD400" i="2"/>
  <c r="AC401" i="2"/>
  <c r="AD401" i="2"/>
  <c r="AC402" i="2"/>
  <c r="AD402" i="2"/>
  <c r="AD403" i="2"/>
  <c r="AC403" i="2"/>
  <c r="AC404" i="2"/>
  <c r="AD404" i="2"/>
  <c r="AC405" i="2"/>
  <c r="AD405" i="2"/>
  <c r="AD406" i="2"/>
  <c r="AC406" i="2"/>
  <c r="AD407" i="2"/>
  <c r="AC407" i="2"/>
  <c r="AC408" i="2"/>
  <c r="AD408" i="2"/>
  <c r="AD409" i="2"/>
  <c r="AC409" i="2"/>
  <c r="AD410" i="2"/>
  <c r="AC410" i="2"/>
  <c r="AC411" i="2"/>
  <c r="AD411" i="2"/>
  <c r="AD412" i="2"/>
  <c r="AC412" i="2"/>
  <c r="AD413" i="2"/>
  <c r="AC413" i="2"/>
  <c r="AC414" i="2"/>
  <c r="AD414" i="2"/>
  <c r="AC415" i="2"/>
  <c r="AD415" i="2"/>
  <c r="AD416" i="2"/>
  <c r="AC416" i="2"/>
  <c r="AC417" i="2"/>
  <c r="AD417" i="2"/>
  <c r="AC418" i="2"/>
  <c r="AD418" i="2"/>
  <c r="AD419" i="2"/>
  <c r="AC419" i="2"/>
  <c r="AC420" i="2"/>
  <c r="AD420" i="2"/>
  <c r="AC421" i="2"/>
  <c r="AD421" i="2"/>
  <c r="Q2" i="2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5" i="3"/>
  <c r="B35" i="3"/>
  <c r="C32" i="3"/>
  <c r="B32" i="3"/>
  <c r="C31" i="3"/>
  <c r="B31" i="3"/>
  <c r="C34" i="3"/>
  <c r="B34" i="3"/>
  <c r="Q16" i="2" l="1"/>
  <c r="Q17" i="2"/>
  <c r="W16" i="2"/>
  <c r="W17" i="2"/>
  <c r="AA16" i="2" l="1"/>
  <c r="AB16" i="2" s="1"/>
  <c r="AA17" i="2"/>
  <c r="AB17" i="2" s="1"/>
  <c r="E35" i="3"/>
  <c r="D35" i="3"/>
  <c r="E32" i="3"/>
  <c r="D32" i="3"/>
  <c r="E31" i="3"/>
  <c r="D31" i="3"/>
  <c r="E34" i="3"/>
  <c r="D34" i="3"/>
  <c r="O19" i="2" l="1" a="1"/>
  <c r="O18" i="2" a="1"/>
  <c r="P19" i="2" a="1"/>
  <c r="P18" i="2" a="1"/>
  <c r="F31" i="3"/>
  <c r="F35" i="3"/>
  <c r="F32" i="3"/>
  <c r="F34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Q26" i="2" l="1"/>
  <c r="Q27" i="2"/>
  <c r="W26" i="2"/>
  <c r="W27" i="2"/>
  <c r="AA26" i="2" l="1"/>
  <c r="AB26" i="2" s="1"/>
  <c r="AA27" i="2"/>
  <c r="AB27" i="2" s="1"/>
  <c r="O29" i="2" l="1" a="1"/>
  <c r="P29" i="2" a="1"/>
  <c r="O28" i="2" a="1"/>
  <c r="P28" i="2" a="1"/>
  <c r="Q28" i="2" l="1"/>
  <c r="Q29" i="2"/>
  <c r="W28" i="2"/>
  <c r="W29" i="2"/>
  <c r="AA28" i="2" l="1"/>
  <c r="AB28" i="2" s="1"/>
  <c r="AA29" i="2"/>
  <c r="AB29" i="2" s="1"/>
  <c r="P31" i="2" l="1" a="1"/>
  <c r="O31" i="2" a="1"/>
  <c r="P30" i="2" a="1"/>
  <c r="O30" i="2" a="1"/>
  <c r="W30" i="2" l="1"/>
  <c r="Q31" i="2"/>
  <c r="W31" i="2"/>
  <c r="Q30" i="2"/>
  <c r="AA31" i="2" l="1"/>
  <c r="AB31" i="2" s="1"/>
  <c r="AA30" i="2"/>
  <c r="AB30" i="2" s="1"/>
  <c r="P32" i="2" l="1" a="1"/>
  <c r="P33" i="2" a="1"/>
  <c r="O33" i="2" a="1"/>
  <c r="O32" i="2" a="1"/>
  <c r="W33" i="2" l="1"/>
  <c r="Q33" i="2"/>
  <c r="Q32" i="2"/>
  <c r="W32" i="2"/>
  <c r="AA33" i="2" l="1"/>
  <c r="AB33" i="2" s="1"/>
  <c r="AA32" i="2"/>
  <c r="AB32" i="2" s="1"/>
  <c r="P35" i="2" a="1"/>
  <c r="O35" i="2" a="1"/>
  <c r="O34" i="2" a="1"/>
  <c r="P34" i="2" a="1"/>
  <c r="P36" i="2" a="1"/>
  <c r="O37" i="2" a="1"/>
  <c r="O36" i="2" a="1"/>
  <c r="P37" i="2" a="1"/>
  <c r="O38" i="2" l="1" a="1"/>
  <c r="P39" i="2" a="1"/>
  <c r="P38" i="2" a="1"/>
  <c r="O39" i="2" a="1"/>
  <c r="W34" i="2"/>
  <c r="Q35" i="2"/>
  <c r="Q34" i="2"/>
  <c r="W35" i="2"/>
  <c r="Q37" i="2"/>
  <c r="Q36" i="2"/>
  <c r="W37" i="2"/>
  <c r="W36" i="2"/>
  <c r="Q38" i="2" l="1"/>
  <c r="W39" i="2"/>
  <c r="W38" i="2"/>
  <c r="Q39" i="2"/>
  <c r="AA35" i="2"/>
  <c r="AB35" i="2" s="1"/>
  <c r="AA34" i="2"/>
  <c r="AB34" i="2" s="1"/>
  <c r="AA36" i="2"/>
  <c r="AB36" i="2" s="1"/>
  <c r="AA37" i="2"/>
  <c r="AB37" i="2" s="1"/>
  <c r="P40" i="2" a="1"/>
  <c r="O41" i="2" a="1"/>
  <c r="P41" i="2" a="1"/>
  <c r="O40" i="2" a="1"/>
  <c r="AA38" i="2" l="1"/>
  <c r="AB38" i="2" s="1"/>
  <c r="AA39" i="2"/>
  <c r="AB39" i="2" s="1"/>
  <c r="W41" i="2"/>
  <c r="W40" i="2"/>
  <c r="Q41" i="2"/>
  <c r="Q40" i="2"/>
  <c r="AA41" i="2" l="1"/>
  <c r="AB41" i="2" s="1"/>
  <c r="AA40" i="2"/>
  <c r="AB40" i="2" s="1"/>
  <c r="O43" i="2" l="1" a="1"/>
  <c r="P43" i="2" a="1"/>
  <c r="O42" i="2" a="1"/>
  <c r="P42" i="2" a="1"/>
  <c r="P45" i="2" a="1"/>
  <c r="O44" i="2" a="1"/>
  <c r="P44" i="2" a="1"/>
  <c r="O45" i="2" a="1"/>
  <c r="Q42" i="2" l="1"/>
  <c r="Q43" i="2"/>
  <c r="W42" i="2"/>
  <c r="W43" i="2"/>
  <c r="W44" i="2"/>
  <c r="W45" i="2"/>
  <c r="Q44" i="2"/>
  <c r="Q45" i="2"/>
  <c r="AA42" i="2" l="1"/>
  <c r="AB42" i="2" s="1"/>
  <c r="AA43" i="2"/>
  <c r="AB43" i="2" s="1"/>
  <c r="AA44" i="2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W50" i="2"/>
  <c r="AA51" i="2" l="1"/>
  <c r="AB51" i="2" s="1"/>
  <c r="AA50" i="2"/>
  <c r="AB50" i="2" s="1"/>
  <c r="O53" i="2" a="1"/>
  <c r="P53" i="2" a="1"/>
  <c r="O52" i="2" a="1"/>
  <c r="P52" i="2" a="1"/>
  <c r="Q53" i="2" l="1"/>
  <c r="W52" i="2"/>
  <c r="Q52" i="2"/>
  <c r="W53" i="2"/>
  <c r="AA52" i="2" l="1"/>
  <c r="AB52" i="2" s="1"/>
  <c r="AA53" i="2"/>
  <c r="AB53" i="2" s="1"/>
  <c r="P55" i="2" l="1" a="1"/>
  <c r="O54" i="2" a="1"/>
  <c r="O55" i="2" a="1"/>
  <c r="P54" i="2" a="1"/>
  <c r="Q55" i="2" l="1"/>
  <c r="W54" i="2"/>
  <c r="W55" i="2"/>
  <c r="Q54" i="2"/>
  <c r="AA55" i="2" l="1"/>
  <c r="AB55" i="2" s="1"/>
  <c r="P57" i="2" a="1"/>
  <c r="P56" i="2" a="1"/>
  <c r="O57" i="2" a="1"/>
  <c r="O56" i="2" a="1"/>
  <c r="AA54" i="2"/>
  <c r="AB54" i="2" s="1"/>
  <c r="Q57" i="2" l="1"/>
  <c r="Q56" i="2"/>
  <c r="W57" i="2"/>
  <c r="W56" i="2"/>
  <c r="AA57" i="2" l="1"/>
  <c r="AB57" i="2" s="1"/>
  <c r="AA56" i="2"/>
  <c r="AB56" i="2" s="1"/>
  <c r="O59" i="2" l="1" a="1"/>
  <c r="P58" i="2" a="1"/>
  <c r="O58" i="2" a="1"/>
  <c r="P59" i="2" a="1"/>
  <c r="W58" i="2" l="1"/>
  <c r="Q59" i="2"/>
  <c r="W59" i="2"/>
  <c r="Q58" i="2"/>
  <c r="AA58" i="2" l="1"/>
  <c r="AB58" i="2" s="1"/>
  <c r="AA59" i="2"/>
  <c r="AB59" i="2" s="1"/>
  <c r="O61" i="2" l="1" a="1"/>
  <c r="O60" i="2" a="1"/>
  <c r="P60" i="2" a="1"/>
  <c r="P61" i="2" a="1"/>
  <c r="P63" i="2" a="1"/>
  <c r="O62" i="2" a="1"/>
  <c r="O63" i="2" a="1"/>
  <c r="P62" i="2" a="1"/>
  <c r="W60" i="2" l="1"/>
  <c r="W61" i="2"/>
  <c r="Q60" i="2"/>
  <c r="Q61" i="2"/>
  <c r="W62" i="2"/>
  <c r="W63" i="2"/>
  <c r="Q63" i="2"/>
  <c r="Q62" i="2"/>
  <c r="AA60" i="2" l="1"/>
  <c r="AB60" i="2" s="1"/>
  <c r="AA61" i="2"/>
  <c r="AB61" i="2" s="1"/>
  <c r="AA62" i="2"/>
  <c r="AB62" i="2" s="1"/>
  <c r="AA63" i="2"/>
  <c r="AB63" i="2" s="1"/>
  <c r="P65" i="2" l="1" a="1"/>
  <c r="P64" i="2" a="1"/>
  <c r="O64" i="2" a="1"/>
  <c r="O65" i="2" a="1"/>
  <c r="W65" i="2" l="1"/>
  <c r="W64" i="2"/>
  <c r="Q65" i="2"/>
  <c r="Q64" i="2"/>
  <c r="AA64" i="2" l="1"/>
  <c r="AB64" i="2" s="1"/>
  <c r="AA65" i="2"/>
  <c r="AB65" i="2" s="1"/>
  <c r="P68" i="2" a="1"/>
  <c r="O68" i="2" a="1"/>
  <c r="P69" i="2" a="1"/>
  <c r="O69" i="2" a="1"/>
  <c r="O67" i="2" l="1" a="1"/>
  <c r="P67" i="2" a="1"/>
  <c r="O66" i="2" a="1"/>
  <c r="P66" i="2" a="1"/>
  <c r="W68" i="2"/>
  <c r="Q69" i="2"/>
  <c r="W69" i="2"/>
  <c r="Q68" i="2"/>
  <c r="W66" i="2" l="1"/>
  <c r="W67" i="2"/>
  <c r="Q67" i="2"/>
  <c r="Q66" i="2"/>
  <c r="AA69" i="2"/>
  <c r="AB69" i="2" s="1"/>
  <c r="AA68" i="2"/>
  <c r="AB68" i="2" s="1"/>
  <c r="AA67" i="2" l="1"/>
  <c r="AB67" i="2" s="1"/>
  <c r="AA66" i="2"/>
  <c r="AB66" i="2" s="1"/>
  <c r="O70" i="2" a="1"/>
  <c r="P70" i="2" a="1"/>
  <c r="O71" i="2" a="1"/>
  <c r="P71" i="2" a="1"/>
  <c r="W71" i="2" l="1"/>
  <c r="W70" i="2"/>
  <c r="Q70" i="2"/>
  <c r="Q71" i="2"/>
  <c r="AA71" i="2" l="1"/>
  <c r="AB71" i="2" s="1"/>
  <c r="AA70" i="2"/>
  <c r="AB70" i="2" s="1"/>
  <c r="P73" i="2" l="1" a="1"/>
  <c r="O73" i="2" a="1"/>
  <c r="P72" i="2" a="1"/>
  <c r="O72" i="2" a="1"/>
  <c r="P75" i="2" a="1"/>
  <c r="O74" i="2" a="1"/>
  <c r="P74" i="2" a="1"/>
  <c r="O75" i="2" a="1"/>
  <c r="Q72" i="2" l="1"/>
  <c r="Q73" i="2"/>
  <c r="W73" i="2"/>
  <c r="W72" i="2"/>
  <c r="W74" i="2"/>
  <c r="Q75" i="2"/>
  <c r="Q74" i="2"/>
  <c r="W75" i="2"/>
  <c r="AA72" i="2" l="1"/>
  <c r="AB72" i="2" s="1"/>
  <c r="AA73" i="2"/>
  <c r="AB73" i="2" s="1"/>
  <c r="AA74" i="2"/>
  <c r="AB74" i="2" s="1"/>
  <c r="AA75" i="2"/>
  <c r="AB75" i="2" s="1"/>
  <c r="P76" i="2" l="1" a="1"/>
  <c r="P77" i="2" a="1"/>
  <c r="O77" i="2" a="1"/>
  <c r="O76" i="2" a="1"/>
  <c r="Q76" i="2" l="1"/>
  <c r="W77" i="2"/>
  <c r="W76" i="2"/>
  <c r="Q77" i="2"/>
  <c r="AA76" i="2" l="1"/>
  <c r="AB76" i="2" s="1"/>
  <c r="AA77" i="2"/>
  <c r="AB77" i="2" s="1"/>
  <c r="O78" i="2" l="1" a="1"/>
  <c r="O79" i="2" a="1"/>
  <c r="P78" i="2" a="1"/>
  <c r="P79" i="2" a="1"/>
  <c r="W78" i="2" l="1"/>
  <c r="Q79" i="2"/>
  <c r="W79" i="2"/>
  <c r="Q78" i="2"/>
  <c r="AA79" i="2" l="1"/>
  <c r="AB79" i="2" s="1"/>
  <c r="AA78" i="2"/>
  <c r="AB78" i="2" s="1"/>
  <c r="P80" i="2" l="1" a="1"/>
  <c r="P81" i="2" a="1"/>
  <c r="O81" i="2" a="1"/>
  <c r="O80" i="2" a="1"/>
  <c r="Q81" i="2" l="1"/>
  <c r="W80" i="2"/>
  <c r="Q80" i="2"/>
  <c r="W81" i="2"/>
  <c r="O88" i="2" l="1" a="1"/>
  <c r="P89" i="2" a="1"/>
  <c r="O89" i="2" a="1"/>
  <c r="P88" i="2" a="1"/>
  <c r="AA81" i="2"/>
  <c r="AB81" i="2" s="1"/>
  <c r="AA80" i="2"/>
  <c r="AB80" i="2" s="1"/>
  <c r="O86" i="2" l="1" a="1"/>
  <c r="P86" i="2" a="1"/>
  <c r="P87" i="2" a="1"/>
  <c r="O87" i="2" a="1"/>
  <c r="P84" i="2" a="1"/>
  <c r="O84" i="2" a="1"/>
  <c r="P83" i="2" a="1"/>
  <c r="P85" i="2" a="1"/>
  <c r="O83" i="2" a="1"/>
  <c r="O82" i="2" a="1"/>
  <c r="P82" i="2" a="1"/>
  <c r="O85" i="2" a="1"/>
  <c r="Q88" i="2"/>
  <c r="Q89" i="2"/>
  <c r="W88" i="2"/>
  <c r="W89" i="2"/>
  <c r="W87" i="2" l="1"/>
  <c r="W84" i="2"/>
  <c r="Q85" i="2"/>
  <c r="W83" i="2"/>
  <c r="Q86" i="2"/>
  <c r="W82" i="2"/>
  <c r="W86" i="2"/>
  <c r="Q87" i="2"/>
  <c r="Q84" i="2"/>
  <c r="Q83" i="2"/>
  <c r="Q82" i="2"/>
  <c r="W85" i="2"/>
  <c r="AA88" i="2"/>
  <c r="AB88" i="2" s="1"/>
  <c r="AA89" i="2"/>
  <c r="AB89" i="2" s="1"/>
  <c r="O91" i="2" a="1"/>
  <c r="O90" i="2" a="1"/>
  <c r="P90" i="2" a="1"/>
  <c r="AA87" i="2" l="1"/>
  <c r="AB87" i="2" s="1"/>
  <c r="AA86" i="2"/>
  <c r="AB86" i="2" s="1"/>
  <c r="AA85" i="2"/>
  <c r="AB85" i="2" s="1"/>
  <c r="AA84" i="2"/>
  <c r="AB84" i="2" s="1"/>
  <c r="O92" i="2" s="1" a="1"/>
  <c r="AA83" i="2"/>
  <c r="AB83" i="2" s="1"/>
  <c r="AA82" i="2"/>
  <c r="AB82" i="2" s="1"/>
  <c r="P93" i="2" a="1"/>
  <c r="P91" i="2" a="1"/>
  <c r="O95" i="2" a="1"/>
  <c r="P94" i="2" a="1"/>
  <c r="Q90" i="2"/>
  <c r="P95" i="2" a="1"/>
  <c r="O94" i="2" a="1"/>
  <c r="W90" i="2"/>
  <c r="O93" i="2" l="1" a="1"/>
  <c r="P92" i="2" a="1"/>
  <c r="W91" i="2"/>
  <c r="Q91" i="2"/>
  <c r="AA90" i="2"/>
  <c r="AB90" i="2" s="1"/>
  <c r="Q95" i="2"/>
  <c r="W95" i="2"/>
  <c r="W94" i="2"/>
  <c r="Q94" i="2"/>
  <c r="AA91" i="2" l="1"/>
  <c r="AB91" i="2" s="1"/>
  <c r="Q92" i="2"/>
  <c r="W92" i="2"/>
  <c r="W93" i="2"/>
  <c r="Q93" i="2"/>
  <c r="AA94" i="2"/>
  <c r="AB94" i="2" s="1"/>
  <c r="AA95" i="2"/>
  <c r="AB95" i="2" s="1"/>
  <c r="AA92" i="2" l="1"/>
  <c r="AB92" i="2" s="1"/>
  <c r="AA93" i="2"/>
  <c r="AB93" i="2" s="1"/>
  <c r="O96" i="2" a="1"/>
  <c r="P97" i="2" a="1"/>
  <c r="O97" i="2" a="1"/>
  <c r="P96" i="2" a="1"/>
  <c r="O99" i="2" a="1"/>
  <c r="P98" i="2" a="1"/>
  <c r="P99" i="2" a="1"/>
  <c r="O98" i="2" a="1"/>
  <c r="Q97" i="2" l="1"/>
  <c r="W96" i="2"/>
  <c r="W97" i="2"/>
  <c r="Q96" i="2"/>
  <c r="Q99" i="2"/>
  <c r="W99" i="2"/>
  <c r="W98" i="2"/>
  <c r="Q98" i="2"/>
  <c r="AA97" i="2" l="1"/>
  <c r="AB97" i="2" s="1"/>
  <c r="AA96" i="2"/>
  <c r="AB96" i="2" s="1"/>
  <c r="AA99" i="2"/>
  <c r="AB99" i="2" s="1"/>
  <c r="AA98" i="2"/>
  <c r="AB98" i="2" s="1"/>
  <c r="O101" i="2" l="1" a="1"/>
  <c r="P100" i="2" a="1"/>
  <c r="P101" i="2" a="1"/>
  <c r="O100" i="2" a="1"/>
  <c r="W101" i="2" l="1"/>
  <c r="Q100" i="2"/>
  <c r="Q101" i="2"/>
  <c r="W100" i="2"/>
  <c r="P102" i="2" a="1"/>
  <c r="O102" i="2" a="1"/>
  <c r="P103" i="2" a="1"/>
  <c r="O103" i="2" a="1"/>
  <c r="AA101" i="2" l="1"/>
  <c r="AB101" i="2" s="1"/>
  <c r="AA100" i="2"/>
  <c r="AB100" i="2" s="1"/>
  <c r="Q103" i="2"/>
  <c r="W102" i="2"/>
  <c r="Q102" i="2"/>
  <c r="W103" i="2"/>
  <c r="AA102" i="2" l="1"/>
  <c r="AB102" i="2" s="1"/>
  <c r="AA103" i="2"/>
  <c r="AB103" i="2" s="1"/>
  <c r="P104" i="2" l="1" a="1"/>
  <c r="O106" i="2" a="1"/>
  <c r="O107" i="2" a="1"/>
  <c r="P106" i="2" a="1"/>
  <c r="P107" i="2" a="1"/>
  <c r="O105" i="2" a="1"/>
  <c r="P105" i="2" a="1"/>
  <c r="O104" i="2" a="1"/>
  <c r="Q104" i="2" l="1"/>
  <c r="W106" i="2"/>
  <c r="W107" i="2"/>
  <c r="W105" i="2"/>
  <c r="W104" i="2"/>
  <c r="Q106" i="2"/>
  <c r="Q107" i="2"/>
  <c r="Q105" i="2"/>
  <c r="AA104" i="2" l="1"/>
  <c r="AB104" i="2" s="1"/>
  <c r="AA106" i="2"/>
  <c r="AB106" i="2" s="1"/>
  <c r="AA107" i="2"/>
  <c r="AB107" i="2" s="1"/>
  <c r="AA105" i="2"/>
  <c r="AB105" i="2" s="1"/>
  <c r="O108" i="2" a="1"/>
  <c r="P109" i="2" a="1"/>
  <c r="P108" i="2" a="1"/>
  <c r="O109" i="2" a="1"/>
  <c r="Q109" i="2" l="1"/>
  <c r="W108" i="2"/>
  <c r="Q108" i="2"/>
  <c r="W109" i="2"/>
  <c r="AA108" i="2" l="1"/>
  <c r="AB108" i="2" s="1"/>
  <c r="AA109" i="2"/>
  <c r="AB109" i="2" s="1"/>
  <c r="O113" i="2" a="1"/>
  <c r="P112" i="2" a="1"/>
  <c r="P113" i="2" a="1"/>
  <c r="O112" i="2" a="1"/>
  <c r="P110" i="2" l="1" a="1"/>
  <c r="O110" i="2" a="1"/>
  <c r="O111" i="2" a="1"/>
  <c r="P111" i="2" a="1"/>
  <c r="Q113" i="2"/>
  <c r="W112" i="2"/>
  <c r="Q112" i="2"/>
  <c r="W113" i="2"/>
  <c r="W110" i="2" l="1"/>
  <c r="Q111" i="2"/>
  <c r="Q110" i="2"/>
  <c r="W111" i="2"/>
  <c r="AA112" i="2"/>
  <c r="AB112" i="2" s="1"/>
  <c r="AA113" i="2"/>
  <c r="AB113" i="2" s="1"/>
  <c r="AA110" i="2" l="1"/>
  <c r="AB110" i="2" s="1"/>
  <c r="AA111" i="2"/>
  <c r="AB111" i="2" s="1"/>
  <c r="O114" i="2" a="1"/>
  <c r="P114" i="2" a="1"/>
  <c r="P115" i="2" a="1"/>
  <c r="O115" i="2" a="1"/>
  <c r="W115" i="2" l="1"/>
  <c r="W114" i="2"/>
  <c r="Q114" i="2"/>
  <c r="Q115" i="2"/>
  <c r="AA115" i="2" l="1"/>
  <c r="AB115" i="2" s="1"/>
  <c r="AA114" i="2"/>
  <c r="AB114" i="2" s="1"/>
  <c r="O116" i="2" a="1"/>
  <c r="P116" i="2" a="1"/>
  <c r="P117" i="2" a="1"/>
  <c r="O117" i="2" a="1"/>
  <c r="O119" i="2" a="1"/>
  <c r="P119" i="2" a="1"/>
  <c r="O118" i="2" a="1"/>
  <c r="P118" i="2" a="1"/>
  <c r="Q117" i="2" l="1"/>
  <c r="W119" i="2"/>
  <c r="W118" i="2"/>
  <c r="W116" i="2"/>
  <c r="Q116" i="2"/>
  <c r="W117" i="2"/>
  <c r="Q119" i="2"/>
  <c r="Q118" i="2"/>
  <c r="P120" i="2" a="1"/>
  <c r="O121" i="2" a="1"/>
  <c r="P121" i="2" a="1"/>
  <c r="O120" i="2" a="1"/>
  <c r="AA117" i="2" l="1"/>
  <c r="AB117" i="2" s="1"/>
  <c r="AA119" i="2"/>
  <c r="AB119" i="2" s="1"/>
  <c r="AA116" i="2"/>
  <c r="AB116" i="2" s="1"/>
  <c r="AA118" i="2"/>
  <c r="AB118" i="2" s="1"/>
  <c r="W120" i="2"/>
  <c r="Q121" i="2"/>
  <c r="Q120" i="2"/>
  <c r="W121" i="2"/>
  <c r="O123" i="2" a="1"/>
  <c r="P122" i="2" a="1"/>
  <c r="P123" i="2" a="1"/>
  <c r="O122" i="2" a="1"/>
  <c r="AA120" i="2" l="1"/>
  <c r="AB120" i="2" s="1"/>
  <c r="AA121" i="2"/>
  <c r="AB121" i="2" s="1"/>
  <c r="Q122" i="2"/>
  <c r="Q123" i="2"/>
  <c r="W123" i="2"/>
  <c r="W122" i="2"/>
  <c r="AA123" i="2" l="1"/>
  <c r="AB123" i="2" s="1"/>
  <c r="AA122" i="2"/>
  <c r="AB122" i="2" s="1"/>
  <c r="P124" i="2" l="1" a="1"/>
  <c r="O124" i="2" a="1"/>
  <c r="P125" i="2" a="1"/>
  <c r="O125" i="2" a="1"/>
  <c r="W124" i="2" l="1"/>
  <c r="W125" i="2"/>
  <c r="Q124" i="2"/>
  <c r="Q125" i="2"/>
  <c r="AA125" i="2" l="1"/>
  <c r="AB125" i="2" s="1"/>
  <c r="AA124" i="2"/>
  <c r="AB124" i="2" s="1"/>
  <c r="O126" i="2" l="1" a="1"/>
  <c r="P129" i="2" a="1"/>
  <c r="P128" i="2" a="1"/>
  <c r="P127" i="2" a="1"/>
  <c r="O128" i="2" a="1"/>
  <c r="O127" i="2" a="1"/>
  <c r="O129" i="2" a="1"/>
  <c r="P126" i="2" a="1"/>
  <c r="Q129" i="2" l="1"/>
  <c r="W126" i="2"/>
  <c r="W129" i="2"/>
  <c r="Q128" i="2"/>
  <c r="W127" i="2"/>
  <c r="Q127" i="2"/>
  <c r="W128" i="2"/>
  <c r="Q126" i="2"/>
  <c r="P134" i="2" a="1"/>
  <c r="O135" i="2" a="1"/>
  <c r="P135" i="2" a="1"/>
  <c r="O134" i="2" a="1"/>
  <c r="AA129" i="2" l="1"/>
  <c r="AB129" i="2" s="1"/>
  <c r="AA128" i="2"/>
  <c r="AB128" i="2" s="1"/>
  <c r="AA126" i="2"/>
  <c r="AB126" i="2" s="1"/>
  <c r="AA127" i="2"/>
  <c r="AB127" i="2" s="1"/>
  <c r="O132" i="2" a="1"/>
  <c r="O133" i="2" a="1"/>
  <c r="P132" i="2" a="1"/>
  <c r="P133" i="2" a="1"/>
  <c r="O131" i="2" a="1"/>
  <c r="O130" i="2" a="1"/>
  <c r="P130" i="2" a="1"/>
  <c r="P131" i="2" a="1"/>
  <c r="W135" i="2"/>
  <c r="W134" i="2"/>
  <c r="Q134" i="2"/>
  <c r="Q135" i="2"/>
  <c r="W131" i="2" l="1"/>
  <c r="Q132" i="2"/>
  <c r="Q133" i="2"/>
  <c r="W130" i="2"/>
  <c r="Q131" i="2"/>
  <c r="Q130" i="2"/>
  <c r="W132" i="2"/>
  <c r="W133" i="2"/>
  <c r="AA134" i="2"/>
  <c r="AB134" i="2" s="1"/>
  <c r="AA135" i="2"/>
  <c r="AB135" i="2" s="1"/>
  <c r="O141" i="2" a="1"/>
  <c r="P141" i="2" a="1"/>
  <c r="P140" i="2" a="1"/>
  <c r="O140" i="2" a="1"/>
  <c r="AA131" i="2" l="1"/>
  <c r="AB131" i="2" s="1"/>
  <c r="AA132" i="2"/>
  <c r="AB132" i="2" s="1"/>
  <c r="AA130" i="2"/>
  <c r="AB130" i="2" s="1"/>
  <c r="AA133" i="2"/>
  <c r="AB133" i="2" s="1"/>
  <c r="P137" i="2" a="1"/>
  <c r="P139" i="2" a="1"/>
  <c r="O137" i="2" a="1"/>
  <c r="O138" i="2" a="1"/>
  <c r="P138" i="2" a="1"/>
  <c r="O136" i="2" a="1"/>
  <c r="O139" i="2" a="1"/>
  <c r="P136" i="2" a="1"/>
  <c r="Q140" i="2"/>
  <c r="W141" i="2"/>
  <c r="W140" i="2"/>
  <c r="Q141" i="2"/>
  <c r="W137" i="2" l="1"/>
  <c r="Q138" i="2"/>
  <c r="W136" i="2"/>
  <c r="Q139" i="2"/>
  <c r="Q137" i="2"/>
  <c r="W138" i="2"/>
  <c r="W139" i="2"/>
  <c r="Q136" i="2"/>
  <c r="AA140" i="2"/>
  <c r="AB140" i="2" s="1"/>
  <c r="AA141" i="2"/>
  <c r="AB141" i="2" s="1"/>
  <c r="O147" i="2" a="1"/>
  <c r="P146" i="2" a="1"/>
  <c r="O142" i="2" a="1"/>
  <c r="O144" i="2" a="1"/>
  <c r="O145" i="2" a="1"/>
  <c r="P143" i="2" a="1"/>
  <c r="P144" i="2" a="1"/>
  <c r="P145" i="2" a="1"/>
  <c r="AA137" i="2" l="1"/>
  <c r="AB137" i="2" s="1"/>
  <c r="AA138" i="2"/>
  <c r="AB138" i="2" s="1"/>
  <c r="AA136" i="2"/>
  <c r="AB136" i="2" s="1"/>
  <c r="AA139" i="2"/>
  <c r="AB139" i="2" s="1"/>
  <c r="Q144" i="2"/>
  <c r="Q145" i="2"/>
  <c r="W144" i="2"/>
  <c r="W145" i="2"/>
  <c r="O146" i="2" l="1" a="1"/>
  <c r="P147" i="2" a="1"/>
  <c r="O143" i="2" a="1"/>
  <c r="P142" i="2" a="1"/>
  <c r="AA144" i="2"/>
  <c r="AB144" i="2" s="1"/>
  <c r="AA145" i="2"/>
  <c r="AB145" i="2" s="1"/>
  <c r="O151" i="2" a="1"/>
  <c r="O150" i="2" a="1"/>
  <c r="P150" i="2" a="1"/>
  <c r="P148" i="2" a="1"/>
  <c r="O148" i="2" a="1"/>
  <c r="P149" i="2" a="1"/>
  <c r="O149" i="2" a="1"/>
  <c r="P151" i="2" a="1"/>
  <c r="Q146" i="2" l="1"/>
  <c r="W146" i="2"/>
  <c r="AA146" i="2" s="1"/>
  <c r="AB146" i="2" s="1"/>
  <c r="Q147" i="2"/>
  <c r="W147" i="2"/>
  <c r="Q143" i="2"/>
  <c r="W143" i="2"/>
  <c r="Q142" i="2"/>
  <c r="W142" i="2"/>
  <c r="Q148" i="2"/>
  <c r="Q151" i="2"/>
  <c r="Q149" i="2"/>
  <c r="W150" i="2"/>
  <c r="W148" i="2"/>
  <c r="W151" i="2"/>
  <c r="W149" i="2"/>
  <c r="Q150" i="2"/>
  <c r="AA147" i="2" l="1"/>
  <c r="AB147" i="2" s="1"/>
  <c r="AA142" i="2"/>
  <c r="AB142" i="2" s="1"/>
  <c r="AA143" i="2"/>
  <c r="AB143" i="2" s="1"/>
  <c r="AA148" i="2"/>
  <c r="AB148" i="2" s="1"/>
  <c r="AA151" i="2"/>
  <c r="AB151" i="2" s="1"/>
  <c r="AA149" i="2"/>
  <c r="AB149" i="2" s="1"/>
  <c r="AA150" i="2"/>
  <c r="AB150" i="2" s="1"/>
  <c r="O153" i="2" a="1"/>
  <c r="O152" i="2" a="1"/>
  <c r="P152" i="2" a="1"/>
  <c r="P153" i="2" a="1"/>
  <c r="Q153" i="2" l="1"/>
  <c r="W152" i="2"/>
  <c r="W153" i="2"/>
  <c r="Q152" i="2"/>
  <c r="AA153" i="2" l="1"/>
  <c r="AB153" i="2" s="1"/>
  <c r="AA152" i="2"/>
  <c r="AB152" i="2" s="1"/>
  <c r="O155" i="2" l="1" a="1"/>
  <c r="P154" i="2" a="1"/>
  <c r="P155" i="2" a="1"/>
  <c r="O154" i="2" a="1"/>
  <c r="W155" i="2" l="1"/>
  <c r="Q154" i="2"/>
  <c r="Q155" i="2"/>
  <c r="AA155" i="2" s="1"/>
  <c r="AB155" i="2" s="1"/>
  <c r="W154" i="2"/>
  <c r="AA154" i="2" l="1"/>
  <c r="AB154" i="2" s="1"/>
  <c r="O156" i="2" a="1"/>
  <c r="P156" i="2" a="1"/>
  <c r="P158" i="2" a="1"/>
  <c r="O157" i="2" a="1"/>
  <c r="P157" i="2" a="1"/>
  <c r="O159" i="2" a="1"/>
  <c r="O158" i="2" l="1" a="1"/>
  <c r="P159" i="2" a="1"/>
  <c r="W157" i="2"/>
  <c r="W156" i="2"/>
  <c r="Q157" i="2"/>
  <c r="Q156" i="2"/>
  <c r="P164" i="2" a="1"/>
  <c r="O164" i="2" a="1"/>
  <c r="P165" i="2" a="1"/>
  <c r="O165" i="2" a="1"/>
  <c r="W158" i="2" l="1"/>
  <c r="Q158" i="2"/>
  <c r="W159" i="2"/>
  <c r="Q159" i="2"/>
  <c r="AA157" i="2"/>
  <c r="AB157" i="2" s="1"/>
  <c r="AA156" i="2"/>
  <c r="AB156" i="2" s="1"/>
  <c r="P160" i="2" a="1"/>
  <c r="P161" i="2" a="1"/>
  <c r="O160" i="2" a="1"/>
  <c r="O161" i="2" a="1"/>
  <c r="P163" i="2" a="1"/>
  <c r="O163" i="2" a="1"/>
  <c r="P162" i="2" a="1"/>
  <c r="O162" i="2" a="1"/>
  <c r="Q165" i="2"/>
  <c r="W164" i="2"/>
  <c r="Q164" i="2"/>
  <c r="W165" i="2"/>
  <c r="AA158" i="2" l="1"/>
  <c r="AB158" i="2" s="1"/>
  <c r="AA159" i="2"/>
  <c r="AB159" i="2" s="1"/>
  <c r="AA164" i="2"/>
  <c r="AB164" i="2" s="1"/>
  <c r="Q163" i="2"/>
  <c r="W160" i="2"/>
  <c r="Q162" i="2"/>
  <c r="Q161" i="2"/>
  <c r="W163" i="2"/>
  <c r="W162" i="2"/>
  <c r="W161" i="2"/>
  <c r="Q160" i="2"/>
  <c r="AA165" i="2"/>
  <c r="AB165" i="2" s="1"/>
  <c r="P168" i="2" a="1"/>
  <c r="P169" i="2" a="1"/>
  <c r="O169" i="2" a="1"/>
  <c r="O168" i="2" a="1"/>
  <c r="AA162" i="2" l="1"/>
  <c r="AB162" i="2" s="1"/>
  <c r="AA163" i="2"/>
  <c r="AB163" i="2" s="1"/>
  <c r="AA160" i="2"/>
  <c r="AB160" i="2" s="1"/>
  <c r="AA161" i="2"/>
  <c r="AB161" i="2" s="1"/>
  <c r="W169" i="2"/>
  <c r="P166" i="2" a="1"/>
  <c r="P167" i="2" a="1"/>
  <c r="O166" i="2" a="1"/>
  <c r="O167" i="2" a="1"/>
  <c r="W168" i="2"/>
  <c r="Q169" i="2"/>
  <c r="Q168" i="2"/>
  <c r="W167" i="2" l="1"/>
  <c r="AA169" i="2"/>
  <c r="AB169" i="2" s="1"/>
  <c r="Q166" i="2"/>
  <c r="W166" i="2"/>
  <c r="AA166" i="2" s="1"/>
  <c r="AB166" i="2" s="1"/>
  <c r="Q167" i="2"/>
  <c r="P170" i="2" a="1"/>
  <c r="O172" i="2" a="1"/>
  <c r="P173" i="2" a="1"/>
  <c r="O171" i="2" a="1"/>
  <c r="P172" i="2" a="1"/>
  <c r="O173" i="2" a="1"/>
  <c r="AA168" i="2"/>
  <c r="AB168" i="2" s="1"/>
  <c r="O175" i="2" a="1"/>
  <c r="P174" i="2" a="1"/>
  <c r="P175" i="2" a="1"/>
  <c r="O174" i="2" a="1"/>
  <c r="P176" i="2" a="1"/>
  <c r="O177" i="2" a="1"/>
  <c r="P177" i="2" a="1"/>
  <c r="O176" i="2" a="1"/>
  <c r="Q172" i="2" l="1"/>
  <c r="AA167" i="2"/>
  <c r="AB167" i="2" s="1"/>
  <c r="Q173" i="2"/>
  <c r="W172" i="2"/>
  <c r="W173" i="2"/>
  <c r="W176" i="2"/>
  <c r="Q174" i="2"/>
  <c r="Q175" i="2"/>
  <c r="W177" i="2"/>
  <c r="W175" i="2"/>
  <c r="W174" i="2"/>
  <c r="Q176" i="2"/>
  <c r="Q177" i="2"/>
  <c r="AA172" i="2" l="1"/>
  <c r="AB172" i="2" s="1"/>
  <c r="O170" i="2" a="1"/>
  <c r="P171" i="2" a="1"/>
  <c r="AA173" i="2"/>
  <c r="AB173" i="2" s="1"/>
  <c r="AA176" i="2"/>
  <c r="AB176" i="2" s="1"/>
  <c r="AA177" i="2"/>
  <c r="AB177" i="2" s="1"/>
  <c r="AA175" i="2"/>
  <c r="AB175" i="2" s="1"/>
  <c r="AA174" i="2"/>
  <c r="AB174" i="2" s="1"/>
  <c r="O179" i="2" a="1"/>
  <c r="O178" i="2" a="1"/>
  <c r="P178" i="2" a="1"/>
  <c r="P179" i="2" a="1"/>
  <c r="Q170" i="2" l="1"/>
  <c r="W170" i="2"/>
  <c r="Q171" i="2"/>
  <c r="W171" i="2"/>
  <c r="Q178" i="2"/>
  <c r="Q179" i="2"/>
  <c r="W178" i="2"/>
  <c r="W179" i="2"/>
  <c r="AA170" i="2" l="1"/>
  <c r="AB170" i="2" s="1"/>
  <c r="AA171" i="2"/>
  <c r="AB171" i="2" s="1"/>
  <c r="AA178" i="2"/>
  <c r="AB178" i="2" s="1"/>
  <c r="AA179" i="2"/>
  <c r="AB179" i="2" s="1"/>
  <c r="P184" i="2" a="1"/>
  <c r="O185" i="2" a="1"/>
  <c r="P182" i="2" a="1"/>
  <c r="P185" i="2" a="1"/>
  <c r="O184" i="2" a="1"/>
  <c r="O182" i="2" a="1"/>
  <c r="P183" i="2" a="1"/>
  <c r="O183" i="2" a="1"/>
  <c r="P186" i="2" a="1"/>
  <c r="O186" i="2" a="1"/>
  <c r="P187" i="2" a="1"/>
  <c r="O187" i="2" a="1"/>
  <c r="P181" i="2" l="1" a="1"/>
  <c r="O181" i="2" a="1"/>
  <c r="P180" i="2" a="1"/>
  <c r="O180" i="2" a="1"/>
  <c r="Q185" i="2"/>
  <c r="W184" i="2"/>
  <c r="W183" i="2"/>
  <c r="W182" i="2"/>
  <c r="Q184" i="2"/>
  <c r="W185" i="2"/>
  <c r="Q182" i="2"/>
  <c r="Q183" i="2"/>
  <c r="Q186" i="2"/>
  <c r="W187" i="2"/>
  <c r="Q187" i="2"/>
  <c r="W186" i="2"/>
  <c r="Q180" i="2" l="1"/>
  <c r="Q181" i="2"/>
  <c r="W180" i="2"/>
  <c r="AA180" i="2" s="1"/>
  <c r="AB180" i="2" s="1"/>
  <c r="W181" i="2"/>
  <c r="AA183" i="2"/>
  <c r="AB183" i="2" s="1"/>
  <c r="AA187" i="2"/>
  <c r="AB187" i="2" s="1"/>
  <c r="AA184" i="2"/>
  <c r="AB184" i="2" s="1"/>
  <c r="AA185" i="2"/>
  <c r="AB185" i="2" s="1"/>
  <c r="P189" i="2" s="1" a="1"/>
  <c r="AA182" i="2"/>
  <c r="AB182" i="2" s="1"/>
  <c r="O190" i="2" a="1"/>
  <c r="P191" i="2" a="1"/>
  <c r="O188" i="2" a="1"/>
  <c r="P188" i="2" a="1"/>
  <c r="O189" i="2" a="1"/>
  <c r="O191" i="2" a="1"/>
  <c r="P190" i="2" a="1"/>
  <c r="AA186" i="2"/>
  <c r="AB186" i="2" s="1"/>
  <c r="AA181" i="2" l="1"/>
  <c r="AB181" i="2" s="1"/>
  <c r="Q189" i="2"/>
  <c r="Q190" i="2"/>
  <c r="Q191" i="2"/>
  <c r="Q188" i="2"/>
  <c r="W190" i="2"/>
  <c r="W188" i="2"/>
  <c r="W189" i="2"/>
  <c r="W191" i="2"/>
  <c r="AA189" i="2" l="1"/>
  <c r="AB189" i="2" s="1"/>
  <c r="AA190" i="2"/>
  <c r="AB190" i="2" s="1"/>
  <c r="AA188" i="2"/>
  <c r="AB188" i="2" s="1"/>
  <c r="AA191" i="2"/>
  <c r="AB191" i="2" s="1"/>
  <c r="O193" i="2" l="1" a="1"/>
  <c r="P192" i="2" a="1"/>
  <c r="O195" i="2" a="1"/>
  <c r="P194" i="2" a="1"/>
  <c r="O192" i="2" a="1"/>
  <c r="O194" i="2" a="1"/>
  <c r="P193" i="2" a="1"/>
  <c r="P195" i="2" a="1"/>
  <c r="Q193" i="2" l="1"/>
  <c r="Q192" i="2"/>
  <c r="Q194" i="2"/>
  <c r="Q195" i="2"/>
  <c r="W193" i="2"/>
  <c r="W195" i="2"/>
  <c r="W192" i="2"/>
  <c r="W194" i="2"/>
  <c r="AA193" i="2" l="1"/>
  <c r="AB193" i="2" s="1"/>
  <c r="AA194" i="2"/>
  <c r="AB194" i="2" s="1"/>
  <c r="AA195" i="2"/>
  <c r="AB195" i="2" s="1"/>
  <c r="AA192" i="2"/>
  <c r="AB192" i="2" s="1"/>
  <c r="P203" i="2" a="1"/>
  <c r="O202" i="2" a="1"/>
  <c r="P202" i="2" a="1"/>
  <c r="O203" i="2" a="1"/>
  <c r="O201" i="2" a="1"/>
  <c r="P199" i="2" a="1"/>
  <c r="O196" i="2" a="1"/>
  <c r="O200" i="2" a="1"/>
  <c r="P198" i="2" a="1"/>
  <c r="P200" i="2" a="1"/>
  <c r="P201" i="2" a="1"/>
  <c r="O197" i="2" a="1"/>
  <c r="P197" i="2" a="1"/>
  <c r="O198" i="2" a="1"/>
  <c r="P196" i="2" a="1"/>
  <c r="O199" i="2" a="1"/>
  <c r="O204" i="2" a="1"/>
  <c r="P205" i="2" a="1"/>
  <c r="O205" i="2" a="1"/>
  <c r="P204" i="2" a="1"/>
  <c r="W203" i="2" l="1"/>
  <c r="W199" i="2"/>
  <c r="W200" i="2"/>
  <c r="Q203" i="2"/>
  <c r="AA203" i="2" s="1"/>
  <c r="AB203" i="2" s="1"/>
  <c r="Q202" i="2"/>
  <c r="W201" i="2"/>
  <c r="Q198" i="2"/>
  <c r="W197" i="2"/>
  <c r="Q196" i="2"/>
  <c r="W202" i="2"/>
  <c r="Q199" i="2"/>
  <c r="W196" i="2"/>
  <c r="Q200" i="2"/>
  <c r="Q201" i="2"/>
  <c r="Q197" i="2"/>
  <c r="W198" i="2"/>
  <c r="W204" i="2"/>
  <c r="W205" i="2"/>
  <c r="Q205" i="2"/>
  <c r="Q204" i="2"/>
  <c r="AA199" i="2" l="1"/>
  <c r="AB199" i="2" s="1"/>
  <c r="AA200" i="2"/>
  <c r="AB200" i="2" s="1"/>
  <c r="AA202" i="2"/>
  <c r="AB202" i="2" s="1"/>
  <c r="AA201" i="2"/>
  <c r="AB201" i="2" s="1"/>
  <c r="AA197" i="2"/>
  <c r="AB197" i="2" s="1"/>
  <c r="AA196" i="2"/>
  <c r="AB196" i="2" s="1"/>
  <c r="AA198" i="2"/>
  <c r="AB198" i="2" s="1"/>
  <c r="AA204" i="2"/>
  <c r="AB204" i="2" s="1"/>
  <c r="AA205" i="2"/>
  <c r="AB205" i="2" s="1"/>
  <c r="O218" i="2" l="1" a="1"/>
  <c r="P219" i="2" a="1"/>
  <c r="P206" i="2" a="1"/>
  <c r="P207" i="2" a="1"/>
  <c r="O206" i="2" a="1"/>
  <c r="O207" i="2" a="1"/>
  <c r="W206" i="2" l="1"/>
  <c r="Q207" i="2"/>
  <c r="Q206" i="2"/>
  <c r="W207" i="2"/>
  <c r="AA206" i="2" l="1"/>
  <c r="AB206" i="2" s="1"/>
  <c r="AA207" i="2"/>
  <c r="AB207" i="2" s="1"/>
  <c r="O210" i="2" a="1"/>
  <c r="O211" i="2" a="1"/>
  <c r="P211" i="2" a="1"/>
  <c r="P210" i="2" a="1"/>
  <c r="P209" i="2" a="1"/>
  <c r="P208" i="2" a="1"/>
  <c r="O209" i="2" a="1"/>
  <c r="O208" i="2" a="1"/>
  <c r="P212" i="2" a="1"/>
  <c r="O212" i="2" a="1"/>
  <c r="O213" i="2" a="1"/>
  <c r="P213" i="2" a="1"/>
  <c r="W211" i="2" l="1"/>
  <c r="W209" i="2"/>
  <c r="Q208" i="2"/>
  <c r="W210" i="2"/>
  <c r="Q211" i="2"/>
  <c r="Q209" i="2"/>
  <c r="Q210" i="2"/>
  <c r="W208" i="2"/>
  <c r="W213" i="2"/>
  <c r="W212" i="2"/>
  <c r="Q213" i="2"/>
  <c r="Q212" i="2"/>
  <c r="AA211" i="2" l="1"/>
  <c r="AB211" i="2" s="1"/>
  <c r="AA209" i="2"/>
  <c r="AB209" i="2" s="1"/>
  <c r="AA208" i="2"/>
  <c r="AB208" i="2" s="1"/>
  <c r="AA210" i="2"/>
  <c r="AB210" i="2" s="1"/>
  <c r="AA213" i="2"/>
  <c r="AB213" i="2" s="1"/>
  <c r="AA212" i="2"/>
  <c r="AB212" i="2" s="1"/>
  <c r="O217" i="2" l="1" a="1"/>
  <c r="P216" i="2" a="1"/>
  <c r="O215" i="2" a="1"/>
  <c r="P214" i="2" a="1"/>
  <c r="P215" i="2" a="1"/>
  <c r="O214" i="2" a="1"/>
  <c r="O216" i="2" a="1"/>
  <c r="P217" i="2" a="1"/>
  <c r="Q214" i="2" l="1"/>
  <c r="W215" i="2"/>
  <c r="Q215" i="2"/>
  <c r="W214" i="2"/>
  <c r="Q216" i="2"/>
  <c r="W216" i="2"/>
  <c r="Q217" i="2"/>
  <c r="W217" i="2"/>
  <c r="AA214" i="2" l="1"/>
  <c r="AB214" i="2" s="1"/>
  <c r="AA217" i="2"/>
  <c r="AB217" i="2" s="1"/>
  <c r="AA215" i="2"/>
  <c r="AB215" i="2" s="1"/>
  <c r="O222" i="2" a="1"/>
  <c r="P223" i="2" a="1"/>
  <c r="P222" i="2" a="1"/>
  <c r="O223" i="2" a="1"/>
  <c r="AA216" i="2"/>
  <c r="AB216" i="2" s="1"/>
  <c r="O219" i="2" l="1" a="1"/>
  <c r="P218" i="2" a="1"/>
  <c r="P220" i="2" a="1"/>
  <c r="O221" i="2" a="1"/>
  <c r="P221" i="2" a="1"/>
  <c r="O220" i="2" a="1"/>
  <c r="W222" i="2"/>
  <c r="Q223" i="2"/>
  <c r="W223" i="2"/>
  <c r="Q222" i="2"/>
  <c r="Q219" i="2" l="1"/>
  <c r="W219" i="2"/>
  <c r="W218" i="2"/>
  <c r="Q218" i="2"/>
  <c r="W221" i="2"/>
  <c r="W220" i="2"/>
  <c r="Q221" i="2"/>
  <c r="Q220" i="2"/>
  <c r="AA223" i="2"/>
  <c r="AB223" i="2" s="1"/>
  <c r="AA222" i="2"/>
  <c r="AB222" i="2" s="1"/>
  <c r="O228" i="2" a="1"/>
  <c r="O226" i="2" a="1"/>
  <c r="P227" i="2" a="1"/>
  <c r="P229" i="2" a="1"/>
  <c r="P228" i="2" a="1"/>
  <c r="O229" i="2" a="1"/>
  <c r="AA219" i="2" l="1"/>
  <c r="AB219" i="2" s="1"/>
  <c r="AA218" i="2"/>
  <c r="AB218" i="2" s="1"/>
  <c r="P226" i="2" a="1"/>
  <c r="O227" i="2" a="1"/>
  <c r="AA221" i="2"/>
  <c r="AB221" i="2" s="1"/>
  <c r="AA220" i="2"/>
  <c r="AB220" i="2" s="1"/>
  <c r="O225" i="2" a="1"/>
  <c r="P224" i="2" a="1"/>
  <c r="O224" i="2" a="1"/>
  <c r="P225" i="2" a="1"/>
  <c r="W228" i="2"/>
  <c r="Q229" i="2"/>
  <c r="Q228" i="2"/>
  <c r="W229" i="2"/>
  <c r="W226" i="2" l="1"/>
  <c r="Q226" i="2"/>
  <c r="W227" i="2"/>
  <c r="Q227" i="2"/>
  <c r="W224" i="2"/>
  <c r="W225" i="2"/>
  <c r="Q224" i="2"/>
  <c r="Q225" i="2"/>
  <c r="AA228" i="2"/>
  <c r="AB228" i="2" s="1"/>
  <c r="AA229" i="2"/>
  <c r="AB229" i="2" s="1"/>
  <c r="AA226" i="2" l="1"/>
  <c r="AB226" i="2" s="1"/>
  <c r="AA227" i="2"/>
  <c r="AB227" i="2" s="1"/>
  <c r="AA224" i="2"/>
  <c r="AB224" i="2" s="1"/>
  <c r="AA225" i="2"/>
  <c r="AB225" i="2" s="1"/>
  <c r="O230" i="2" a="1"/>
  <c r="P231" i="2" a="1"/>
  <c r="O231" i="2" a="1"/>
  <c r="P230" i="2" a="1"/>
  <c r="Q231" i="2" l="1"/>
  <c r="W230" i="2"/>
  <c r="W231" i="2"/>
  <c r="Q230" i="2"/>
  <c r="AA231" i="2" l="1"/>
  <c r="AB231" i="2" s="1"/>
  <c r="AA230" i="2"/>
  <c r="AB230" i="2" s="1"/>
  <c r="P233" i="2" l="1" a="1"/>
  <c r="O232" i="2" a="1"/>
  <c r="P232" i="2" a="1"/>
  <c r="O233" i="2" a="1"/>
  <c r="W232" i="2" l="1"/>
  <c r="W233" i="2"/>
  <c r="Q233" i="2"/>
  <c r="Q232" i="2"/>
  <c r="AA233" i="2" l="1"/>
  <c r="AB233" i="2" s="1"/>
  <c r="AA232" i="2"/>
  <c r="AB232" i="2" s="1"/>
  <c r="P237" i="2" a="1"/>
  <c r="O236" i="2" a="1"/>
  <c r="O235" i="2" a="1"/>
  <c r="P234" i="2" a="1"/>
  <c r="P235" i="2" a="1"/>
  <c r="O234" i="2" a="1"/>
  <c r="P236" i="2" l="1" a="1"/>
  <c r="O237" i="2" a="1"/>
  <c r="W234" i="2"/>
  <c r="W235" i="2"/>
  <c r="Q234" i="2"/>
  <c r="Q235" i="2"/>
  <c r="P238" i="2" a="1"/>
  <c r="P239" i="2" a="1"/>
  <c r="O238" i="2" a="1"/>
  <c r="O239" i="2" a="1"/>
  <c r="W236" i="2" l="1"/>
  <c r="Q236" i="2"/>
  <c r="AA236" i="2" s="1"/>
  <c r="AB236" i="2" s="1"/>
  <c r="W237" i="2"/>
  <c r="Q237" i="2"/>
  <c r="AA235" i="2"/>
  <c r="AB235" i="2" s="1"/>
  <c r="AA234" i="2"/>
  <c r="AB234" i="2" s="1"/>
  <c r="Q239" i="2"/>
  <c r="W238" i="2"/>
  <c r="Q238" i="2"/>
  <c r="W239" i="2"/>
  <c r="AA237" i="2" l="1"/>
  <c r="AB237" i="2" s="1"/>
  <c r="AA239" i="2"/>
  <c r="AB239" i="2" s="1"/>
  <c r="AA238" i="2"/>
  <c r="AB238" i="2" s="1"/>
  <c r="P241" i="2" l="1" a="1"/>
  <c r="P240" i="2" a="1"/>
  <c r="O241" i="2" a="1"/>
  <c r="O240" i="2" a="1"/>
  <c r="Q240" i="2" l="1"/>
  <c r="W241" i="2"/>
  <c r="W240" i="2"/>
  <c r="Q241" i="2"/>
  <c r="AA240" i="2" l="1"/>
  <c r="AB240" i="2" s="1"/>
  <c r="AA241" i="2"/>
  <c r="AB241" i="2" s="1"/>
  <c r="O242" i="2" a="1"/>
  <c r="P242" i="2" a="1"/>
  <c r="O243" i="2" a="1"/>
  <c r="P243" i="2" a="1"/>
  <c r="W242" i="2" l="1"/>
  <c r="Q243" i="2"/>
  <c r="W243" i="2"/>
  <c r="Q242" i="2"/>
  <c r="AA242" i="2" l="1"/>
  <c r="AB242" i="2" s="1"/>
  <c r="AA243" i="2"/>
  <c r="AB243" i="2" s="1"/>
  <c r="P244" i="2" l="1" a="1"/>
  <c r="O244" i="2" a="1"/>
  <c r="O247" i="2" a="1"/>
  <c r="O245" i="2" a="1"/>
  <c r="P247" i="2" a="1"/>
  <c r="O246" i="2" a="1"/>
  <c r="P246" i="2" a="1"/>
  <c r="P245" i="2" a="1"/>
  <c r="W244" i="2" l="1"/>
  <c r="Q247" i="2"/>
  <c r="Q246" i="2"/>
  <c r="Q245" i="2"/>
  <c r="W247" i="2"/>
  <c r="W245" i="2"/>
  <c r="W246" i="2"/>
  <c r="Q244" i="2"/>
  <c r="AA244" i="2" l="1"/>
  <c r="AB244" i="2" s="1"/>
  <c r="AA247" i="2"/>
  <c r="AB247" i="2" s="1"/>
  <c r="AA246" i="2"/>
  <c r="AB246" i="2" s="1"/>
  <c r="AA245" i="2"/>
  <c r="AB245" i="2" s="1"/>
  <c r="P248" i="2" a="1"/>
  <c r="P249" i="2" a="1"/>
  <c r="O249" i="2" a="1"/>
  <c r="O248" i="2" a="1"/>
  <c r="O250" i="2" a="1"/>
  <c r="P252" i="2" a="1"/>
  <c r="P251" i="2" a="1"/>
  <c r="O251" i="2" a="1"/>
  <c r="O252" i="2" a="1"/>
  <c r="P250" i="2" a="1"/>
  <c r="P253" i="2" a="1"/>
  <c r="P255" i="2" a="1"/>
  <c r="O255" i="2" l="1" a="1"/>
  <c r="O253" i="2" a="1"/>
  <c r="O254" i="2" a="1"/>
  <c r="P254" i="2" a="1"/>
  <c r="Q251" i="2"/>
  <c r="W252" i="2"/>
  <c r="W249" i="2"/>
  <c r="W248" i="2"/>
  <c r="Q252" i="2"/>
  <c r="W251" i="2"/>
  <c r="Q248" i="2"/>
  <c r="Q249" i="2"/>
  <c r="W250" i="2"/>
  <c r="Q250" i="2"/>
  <c r="AA252" i="2" l="1"/>
  <c r="AB252" i="2" s="1"/>
  <c r="Q254" i="2"/>
  <c r="W254" i="2"/>
  <c r="Q255" i="2"/>
  <c r="W255" i="2"/>
  <c r="Q253" i="2"/>
  <c r="W253" i="2"/>
  <c r="AA251" i="2"/>
  <c r="AB251" i="2" s="1"/>
  <c r="AA248" i="2"/>
  <c r="AB248" i="2" s="1"/>
  <c r="AA249" i="2"/>
  <c r="AB249" i="2" s="1"/>
  <c r="AA250" i="2"/>
  <c r="AB250" i="2" s="1"/>
  <c r="AA254" i="2" l="1"/>
  <c r="AB254" i="2" s="1"/>
  <c r="AA253" i="2"/>
  <c r="AB253" i="2" s="1"/>
  <c r="AA255" i="2"/>
  <c r="AB255" i="2" s="1"/>
  <c r="P256" i="2" l="1" a="1"/>
  <c r="P257" i="2" a="1"/>
  <c r="O256" i="2" a="1"/>
  <c r="O257" i="2" a="1"/>
  <c r="O258" i="2" a="1"/>
  <c r="P258" i="2" a="1"/>
  <c r="O259" i="2" a="1"/>
  <c r="P259" i="2" a="1"/>
  <c r="Q256" i="2" l="1"/>
  <c r="W257" i="2"/>
  <c r="Q257" i="2"/>
  <c r="AA257" i="2" s="1"/>
  <c r="AB257" i="2" s="1"/>
  <c r="W256" i="2"/>
  <c r="W259" i="2"/>
  <c r="Q258" i="2"/>
  <c r="Q259" i="2"/>
  <c r="W258" i="2"/>
  <c r="AA256" i="2" l="1"/>
  <c r="AB256" i="2" s="1"/>
  <c r="AA259" i="2"/>
  <c r="AB259" i="2" s="1"/>
  <c r="AA258" i="2"/>
  <c r="AB258" i="2" s="1"/>
  <c r="P260" i="2" l="1" a="1"/>
  <c r="P263" i="2" a="1"/>
  <c r="O262" i="2" a="1"/>
  <c r="O263" i="2" a="1"/>
  <c r="O261" i="2" a="1"/>
  <c r="P261" i="2" a="1"/>
  <c r="P262" i="2" a="1"/>
  <c r="O260" i="2" a="1"/>
  <c r="W262" i="2" l="1"/>
  <c r="Q263" i="2"/>
  <c r="Q261" i="2"/>
  <c r="W260" i="2"/>
  <c r="Q262" i="2"/>
  <c r="W261" i="2"/>
  <c r="W263" i="2"/>
  <c r="Q260" i="2"/>
  <c r="O266" i="2" a="1"/>
  <c r="O267" i="2" a="1"/>
  <c r="P266" i="2" a="1"/>
  <c r="P267" i="2" a="1"/>
  <c r="AA262" i="2" l="1"/>
  <c r="AB262" i="2" s="1"/>
  <c r="AA263" i="2"/>
  <c r="AB263" i="2" s="1"/>
  <c r="AA261" i="2"/>
  <c r="AB261" i="2" s="1"/>
  <c r="AA260" i="2"/>
  <c r="AB260" i="2" s="1"/>
  <c r="P265" i="2" a="1"/>
  <c r="P264" i="2" a="1"/>
  <c r="O265" i="2" a="1"/>
  <c r="O264" i="2" a="1"/>
  <c r="W267" i="2"/>
  <c r="W266" i="2"/>
  <c r="Q266" i="2"/>
  <c r="Q267" i="2"/>
  <c r="W265" i="2" l="1"/>
  <c r="W264" i="2"/>
  <c r="Q264" i="2"/>
  <c r="Q265" i="2"/>
  <c r="AA267" i="2"/>
  <c r="AB267" i="2" s="1"/>
  <c r="AA266" i="2"/>
  <c r="AB266" i="2" s="1"/>
  <c r="AA265" i="2" l="1"/>
  <c r="AB265" i="2" s="1"/>
  <c r="AA264" i="2"/>
  <c r="AB264" i="2" s="1"/>
  <c r="P268" i="2" a="1"/>
  <c r="O268" i="2" a="1"/>
  <c r="P269" i="2" a="1"/>
  <c r="O269" i="2" a="1"/>
  <c r="W268" i="2" l="1"/>
  <c r="W269" i="2"/>
  <c r="Q269" i="2"/>
  <c r="O272" i="2" a="1"/>
  <c r="P271" i="2" a="1"/>
  <c r="P274" i="2" a="1"/>
  <c r="O275" i="2" a="1"/>
  <c r="O274" i="2" a="1"/>
  <c r="P275" i="2" a="1"/>
  <c r="P270" i="2" a="1"/>
  <c r="P272" i="2" a="1"/>
  <c r="O271" i="2" a="1"/>
  <c r="P273" i="2" a="1"/>
  <c r="O273" i="2" a="1"/>
  <c r="O270" i="2" a="1"/>
  <c r="Q268" i="2"/>
  <c r="Q275" i="2" l="1"/>
  <c r="AA268" i="2"/>
  <c r="AB268" i="2" s="1"/>
  <c r="W271" i="2"/>
  <c r="AA269" i="2"/>
  <c r="AB269" i="2" s="1"/>
  <c r="W274" i="2"/>
  <c r="Q270" i="2"/>
  <c r="Q272" i="2"/>
  <c r="W273" i="2"/>
  <c r="W272" i="2"/>
  <c r="W275" i="2"/>
  <c r="Q273" i="2"/>
  <c r="W270" i="2"/>
  <c r="Q271" i="2"/>
  <c r="Q274" i="2"/>
  <c r="AA275" i="2" l="1"/>
  <c r="AB275" i="2" s="1"/>
  <c r="AA271" i="2"/>
  <c r="AB271" i="2" s="1"/>
  <c r="AA274" i="2"/>
  <c r="AB274" i="2" s="1"/>
  <c r="AA272" i="2"/>
  <c r="AB272" i="2" s="1"/>
  <c r="AA273" i="2"/>
  <c r="AB273" i="2" s="1"/>
  <c r="AA270" i="2"/>
  <c r="AB270" i="2" s="1"/>
  <c r="P276" i="2" a="1"/>
  <c r="P277" i="2" a="1"/>
  <c r="O276" i="2" a="1"/>
  <c r="O277" i="2" a="1"/>
  <c r="O278" i="2" a="1"/>
  <c r="P278" i="2" a="1"/>
  <c r="P279" i="2" a="1"/>
  <c r="O279" i="2" a="1"/>
  <c r="W276" i="2" l="1"/>
  <c r="Q277" i="2"/>
  <c r="W278" i="2"/>
  <c r="W279" i="2"/>
  <c r="Q276" i="2"/>
  <c r="W277" i="2"/>
  <c r="Q278" i="2"/>
  <c r="Q279" i="2"/>
  <c r="AA276" i="2" l="1"/>
  <c r="AB276" i="2" s="1"/>
  <c r="AA277" i="2"/>
  <c r="AB277" i="2" s="1"/>
  <c r="AA278" i="2"/>
  <c r="AB278" i="2" s="1"/>
  <c r="AA279" i="2"/>
  <c r="AB279" i="2" s="1"/>
  <c r="P281" i="2" a="1"/>
  <c r="O281" i="2" a="1"/>
  <c r="O280" i="2" a="1"/>
  <c r="P280" i="2" a="1"/>
  <c r="P283" i="2" l="1" a="1"/>
  <c r="O283" i="2" a="1"/>
  <c r="O282" i="2" a="1"/>
  <c r="P282" i="2" a="1"/>
  <c r="W281" i="2"/>
  <c r="W280" i="2"/>
  <c r="Q281" i="2"/>
  <c r="Q280" i="2"/>
  <c r="W283" i="2" l="1"/>
  <c r="W282" i="2"/>
  <c r="Q283" i="2"/>
  <c r="Q282" i="2"/>
  <c r="O284" i="2" a="1"/>
  <c r="O285" i="2" a="1"/>
  <c r="P285" i="2" a="1"/>
  <c r="P284" i="2" a="1"/>
  <c r="AA281" i="2"/>
  <c r="AB281" i="2" s="1"/>
  <c r="AA280" i="2"/>
  <c r="AB280" i="2" s="1"/>
  <c r="P287" i="2" a="1"/>
  <c r="O286" i="2" a="1"/>
  <c r="O287" i="2" a="1"/>
  <c r="P286" i="2" a="1"/>
  <c r="AA283" i="2" l="1"/>
  <c r="AB283" i="2" s="1"/>
  <c r="AA282" i="2"/>
  <c r="AB282" i="2" s="1"/>
  <c r="W284" i="2"/>
  <c r="Q285" i="2"/>
  <c r="W285" i="2"/>
  <c r="Q284" i="2"/>
  <c r="W286" i="2"/>
  <c r="Q287" i="2"/>
  <c r="Q286" i="2"/>
  <c r="W287" i="2"/>
  <c r="AA285" i="2" l="1"/>
  <c r="AB285" i="2" s="1"/>
  <c r="AA284" i="2"/>
  <c r="AB284" i="2" s="1"/>
  <c r="AA286" i="2"/>
  <c r="AB286" i="2" s="1"/>
  <c r="AA287" i="2"/>
  <c r="AB287" i="2" s="1"/>
  <c r="O290" i="2" a="1"/>
  <c r="P290" i="2" a="1"/>
  <c r="O291" i="2" a="1"/>
  <c r="O289" i="2" a="1"/>
  <c r="P288" i="2" a="1"/>
  <c r="O288" i="2" a="1"/>
  <c r="P289" i="2" a="1"/>
  <c r="P291" i="2" a="1"/>
  <c r="W291" i="2" l="1"/>
  <c r="Q290" i="2"/>
  <c r="W288" i="2"/>
  <c r="Q289" i="2"/>
  <c r="W290" i="2"/>
  <c r="W289" i="2"/>
  <c r="Q288" i="2"/>
  <c r="Q291" i="2"/>
  <c r="AA289" i="2" l="1"/>
  <c r="AB289" i="2" s="1"/>
  <c r="AA291" i="2"/>
  <c r="AB291" i="2" s="1"/>
  <c r="AA290" i="2"/>
  <c r="AB290" i="2" s="1"/>
  <c r="AA288" i="2"/>
  <c r="AB288" i="2" s="1"/>
  <c r="O293" i="2" l="1" a="1"/>
  <c r="P292" i="2" a="1"/>
  <c r="O292" i="2" a="1"/>
  <c r="P293" i="2" a="1"/>
  <c r="W292" i="2" l="1"/>
  <c r="Q293" i="2"/>
  <c r="W293" i="2"/>
  <c r="Q292" i="2"/>
  <c r="P297" i="2" l="1" a="1"/>
  <c r="O297" i="2" a="1"/>
  <c r="P296" i="2" a="1"/>
  <c r="O296" i="2" a="1"/>
  <c r="AA292" i="2"/>
  <c r="AB292" i="2" s="1"/>
  <c r="AA293" i="2"/>
  <c r="AB293" i="2" s="1"/>
  <c r="P294" i="2" l="1" a="1"/>
  <c r="O295" i="2" a="1"/>
  <c r="O294" i="2" a="1"/>
  <c r="P295" i="2" a="1"/>
  <c r="P298" i="2" a="1"/>
  <c r="O299" i="2" a="1"/>
  <c r="P299" i="2" a="1"/>
  <c r="O298" i="2" a="1"/>
  <c r="Q297" i="2"/>
  <c r="Q296" i="2"/>
  <c r="W297" i="2"/>
  <c r="W296" i="2"/>
  <c r="P301" i="2" a="1"/>
  <c r="O300" i="2" a="1"/>
  <c r="O301" i="2" a="1"/>
  <c r="P300" i="2" a="1"/>
  <c r="W295" i="2" l="1"/>
  <c r="W294" i="2"/>
  <c r="W299" i="2"/>
  <c r="W298" i="2"/>
  <c r="Q294" i="2"/>
  <c r="Q295" i="2"/>
  <c r="AA295" i="2" s="1"/>
  <c r="AB295" i="2" s="1"/>
  <c r="Q298" i="2"/>
  <c r="Q299" i="2"/>
  <c r="AA297" i="2"/>
  <c r="AB297" i="2" s="1"/>
  <c r="AA296" i="2"/>
  <c r="AB296" i="2" s="1"/>
  <c r="Q301" i="2"/>
  <c r="W300" i="2"/>
  <c r="W301" i="2"/>
  <c r="Q300" i="2"/>
  <c r="AA299" i="2" l="1"/>
  <c r="AB299" i="2" s="1"/>
  <c r="AA298" i="2"/>
  <c r="AB298" i="2" s="1"/>
  <c r="AA294" i="2"/>
  <c r="AB294" i="2" s="1"/>
  <c r="AA300" i="2"/>
  <c r="AB300" i="2" s="1"/>
  <c r="AA301" i="2"/>
  <c r="AB301" i="2" s="1"/>
  <c r="P303" i="2" a="1"/>
  <c r="P302" i="2" a="1"/>
  <c r="O302" i="2" a="1"/>
  <c r="O303" i="2" a="1"/>
  <c r="W303" i="2" l="1"/>
  <c r="W302" i="2"/>
  <c r="Q303" i="2"/>
  <c r="Q302" i="2"/>
  <c r="AA303" i="2" l="1"/>
  <c r="AB303" i="2" s="1"/>
  <c r="O304" i="2" a="1"/>
  <c r="O305" i="2" a="1"/>
  <c r="P304" i="2" a="1"/>
  <c r="P305" i="2" a="1"/>
  <c r="AA302" i="2"/>
  <c r="AB302" i="2" s="1"/>
  <c r="W304" i="2" l="1"/>
  <c r="Q305" i="2"/>
  <c r="W305" i="2"/>
  <c r="Q304" i="2"/>
  <c r="AA305" i="2" l="1"/>
  <c r="AB305" i="2" s="1"/>
  <c r="AA304" i="2"/>
  <c r="AB304" i="2" s="1"/>
  <c r="P311" i="2" l="1" a="1"/>
  <c r="O310" i="2" a="1"/>
  <c r="P306" i="2" a="1"/>
  <c r="P307" i="2" a="1"/>
  <c r="O309" i="2" a="1"/>
  <c r="P309" i="2" a="1"/>
  <c r="O306" i="2" a="1"/>
  <c r="O308" i="2" a="1"/>
  <c r="O307" i="2" a="1"/>
  <c r="P308" i="2" a="1"/>
  <c r="O311" i="2" a="1"/>
  <c r="P310" i="2" a="1"/>
  <c r="Q306" i="2" l="1"/>
  <c r="W310" i="2"/>
  <c r="W309" i="2"/>
  <c r="W307" i="2"/>
  <c r="Q308" i="2"/>
  <c r="W311" i="2"/>
  <c r="Q311" i="2"/>
  <c r="Q307" i="2"/>
  <c r="Q309" i="2"/>
  <c r="W306" i="2"/>
  <c r="W308" i="2"/>
  <c r="Q310" i="2"/>
  <c r="P312" i="2" a="1"/>
  <c r="O312" i="2" a="1"/>
  <c r="P314" i="2" a="1"/>
  <c r="AA311" i="2" l="1"/>
  <c r="AB311" i="2" s="1"/>
  <c r="AA307" i="2"/>
  <c r="AB307" i="2" s="1"/>
  <c r="W312" i="2"/>
  <c r="AA306" i="2"/>
  <c r="AB306" i="2" s="1"/>
  <c r="AA310" i="2"/>
  <c r="AB310" i="2" s="1"/>
  <c r="AA309" i="2"/>
  <c r="AB309" i="2" s="1"/>
  <c r="AA308" i="2"/>
  <c r="AB308" i="2" s="1"/>
  <c r="Q312" i="2"/>
  <c r="O313" i="2" a="1"/>
  <c r="P313" i="2" a="1"/>
  <c r="O315" i="2" a="1"/>
  <c r="O316" i="2" a="1"/>
  <c r="P317" i="2" a="1"/>
  <c r="P316" i="2" a="1"/>
  <c r="O317" i="2" a="1"/>
  <c r="O314" i="2" l="1" a="1"/>
  <c r="P315" i="2" a="1"/>
  <c r="AA312" i="2"/>
  <c r="AB312" i="2" s="1"/>
  <c r="Q313" i="2"/>
  <c r="W313" i="2"/>
  <c r="Q317" i="2"/>
  <c r="Q316" i="2"/>
  <c r="W316" i="2"/>
  <c r="W317" i="2"/>
  <c r="W314" i="2" l="1"/>
  <c r="Q314" i="2"/>
  <c r="Q315" i="2"/>
  <c r="W315" i="2"/>
  <c r="AA313" i="2"/>
  <c r="AB313" i="2" s="1"/>
  <c r="AA316" i="2"/>
  <c r="AB316" i="2" s="1"/>
  <c r="AA317" i="2"/>
  <c r="AB317" i="2" s="1"/>
  <c r="AA314" i="2" l="1"/>
  <c r="AB314" i="2" s="1"/>
  <c r="AA315" i="2"/>
  <c r="AB315" i="2" s="1"/>
  <c r="O318" i="2" a="1"/>
  <c r="P321" i="2" a="1"/>
  <c r="P319" i="2" a="1"/>
  <c r="P320" i="2" a="1"/>
  <c r="O319" i="2" a="1"/>
  <c r="P318" i="2" a="1"/>
  <c r="O321" i="2" a="1"/>
  <c r="O320" i="2" a="1"/>
  <c r="Q318" i="2" l="1"/>
  <c r="Q321" i="2"/>
  <c r="Q319" i="2"/>
  <c r="Q320" i="2"/>
  <c r="W318" i="2"/>
  <c r="W319" i="2"/>
  <c r="W321" i="2"/>
  <c r="W320" i="2"/>
  <c r="AA318" i="2" l="1"/>
  <c r="AB318" i="2" s="1"/>
  <c r="AA321" i="2"/>
  <c r="AB321" i="2" s="1"/>
  <c r="AA319" i="2"/>
  <c r="AB319" i="2" s="1"/>
  <c r="AA320" i="2"/>
  <c r="AB320" i="2" s="1"/>
  <c r="O327" i="2" a="1"/>
  <c r="P329" i="2" a="1"/>
  <c r="P326" i="2" a="1"/>
  <c r="P327" i="2" a="1"/>
  <c r="O326" i="2" a="1"/>
  <c r="P328" i="2" a="1"/>
  <c r="O329" i="2" a="1"/>
  <c r="O328" i="2" a="1"/>
  <c r="O330" i="2" a="1"/>
  <c r="P331" i="2" a="1"/>
  <c r="P330" i="2" l="1" a="1"/>
  <c r="O331" i="2" a="1"/>
  <c r="O324" i="2" a="1"/>
  <c r="P324" i="2" a="1"/>
  <c r="O325" i="2" a="1"/>
  <c r="P325" i="2" a="1"/>
  <c r="P322" i="2" a="1"/>
  <c r="O322" i="2" a="1"/>
  <c r="P323" i="2" a="1"/>
  <c r="O323" i="2" a="1"/>
  <c r="Q328" i="2"/>
  <c r="W326" i="2"/>
  <c r="Q327" i="2"/>
  <c r="W329" i="2"/>
  <c r="W327" i="2"/>
  <c r="Q329" i="2"/>
  <c r="Q326" i="2"/>
  <c r="W328" i="2"/>
  <c r="W331" i="2" l="1"/>
  <c r="Q331" i="2"/>
  <c r="AA331" i="2" s="1"/>
  <c r="AB331" i="2" s="1"/>
  <c r="Q330" i="2"/>
  <c r="W330" i="2"/>
  <c r="W323" i="2"/>
  <c r="W325" i="2"/>
  <c r="Q322" i="2"/>
  <c r="W324" i="2"/>
  <c r="Q324" i="2"/>
  <c r="Q325" i="2"/>
  <c r="W322" i="2"/>
  <c r="Q323" i="2"/>
  <c r="AA328" i="2"/>
  <c r="AB328" i="2" s="1"/>
  <c r="P333" i="2" a="1"/>
  <c r="O332" i="2" a="1"/>
  <c r="AA329" i="2"/>
  <c r="AB329" i="2" s="1"/>
  <c r="AA326" i="2"/>
  <c r="AB326" i="2" s="1"/>
  <c r="AA327" i="2"/>
  <c r="AB327" i="2" s="1"/>
  <c r="AA330" i="2" l="1"/>
  <c r="AB330" i="2" s="1"/>
  <c r="AA325" i="2"/>
  <c r="AB325" i="2" s="1"/>
  <c r="AA323" i="2"/>
  <c r="AB323" i="2" s="1"/>
  <c r="AA322" i="2"/>
  <c r="AB322" i="2" s="1"/>
  <c r="AA324" i="2"/>
  <c r="AB324" i="2" s="1"/>
  <c r="P335" i="2" a="1"/>
  <c r="O334" i="2" a="1"/>
  <c r="P334" i="2" a="1"/>
  <c r="O335" i="2" a="1"/>
  <c r="P332" i="2" l="1" a="1"/>
  <c r="O333" i="2" a="1"/>
  <c r="W335" i="2"/>
  <c r="Q334" i="2"/>
  <c r="Q335" i="2"/>
  <c r="W334" i="2"/>
  <c r="W332" i="2" l="1"/>
  <c r="Q332" i="2"/>
  <c r="W333" i="2"/>
  <c r="Q333" i="2"/>
  <c r="AA335" i="2"/>
  <c r="AB335" i="2" s="1"/>
  <c r="AA334" i="2"/>
  <c r="AB334" i="2" s="1"/>
  <c r="AA332" i="2" l="1"/>
  <c r="AB332" i="2" s="1"/>
  <c r="AA333" i="2"/>
  <c r="AB333" i="2" s="1"/>
  <c r="O336" i="2" a="1"/>
  <c r="P336" i="2" a="1"/>
  <c r="O337" i="2" a="1"/>
  <c r="P337" i="2" a="1"/>
  <c r="Q336" i="2" l="1"/>
  <c r="Q337" i="2"/>
  <c r="W336" i="2"/>
  <c r="W337" i="2"/>
  <c r="AA336" i="2" l="1"/>
  <c r="AB336" i="2" s="1"/>
  <c r="AA337" i="2"/>
  <c r="AB337" i="2" s="1"/>
  <c r="P338" i="2" a="1"/>
  <c r="O338" i="2" a="1"/>
  <c r="O339" i="2" a="1"/>
  <c r="P339" i="2" a="1"/>
  <c r="P341" i="2" a="1"/>
  <c r="P340" i="2" a="1"/>
  <c r="O341" i="2" a="1"/>
  <c r="O340" i="2" a="1"/>
  <c r="W338" i="2" l="1"/>
  <c r="Q339" i="2"/>
  <c r="Q340" i="2"/>
  <c r="W341" i="2"/>
  <c r="W339" i="2"/>
  <c r="Q341" i="2"/>
  <c r="W340" i="2"/>
  <c r="Q338" i="2"/>
  <c r="AA338" i="2" l="1"/>
  <c r="AB338" i="2" s="1"/>
  <c r="AA339" i="2"/>
  <c r="AB339" i="2" s="1"/>
  <c r="AA340" i="2"/>
  <c r="AB340" i="2" s="1"/>
  <c r="AA341" i="2"/>
  <c r="AB341" i="2" s="1"/>
  <c r="P345" i="2" l="1" a="1"/>
  <c r="O342" i="2" a="1"/>
  <c r="O343" i="2" a="1"/>
  <c r="P343" i="2" a="1"/>
  <c r="P342" i="2" a="1"/>
  <c r="P344" i="2" a="1"/>
  <c r="O345" i="2" a="1"/>
  <c r="O344" i="2" a="1"/>
  <c r="O346" i="2" a="1"/>
  <c r="P347" i="2" a="1"/>
  <c r="O347" i="2" a="1"/>
  <c r="P346" i="2" a="1"/>
  <c r="W345" i="2" l="1"/>
  <c r="Q343" i="2"/>
  <c r="W344" i="2"/>
  <c r="Q342" i="2"/>
  <c r="Q345" i="2"/>
  <c r="W343" i="2"/>
  <c r="Q344" i="2"/>
  <c r="W342" i="2"/>
  <c r="Q347" i="2"/>
  <c r="W347" i="2"/>
  <c r="Q346" i="2"/>
  <c r="W346" i="2"/>
  <c r="AA345" i="2" l="1"/>
  <c r="AB345" i="2" s="1"/>
  <c r="AA344" i="2"/>
  <c r="AB344" i="2" s="1"/>
  <c r="AA343" i="2"/>
  <c r="AB343" i="2" s="1"/>
  <c r="AA342" i="2"/>
  <c r="AB342" i="2" s="1"/>
  <c r="AA347" i="2"/>
  <c r="AB347" i="2" s="1"/>
  <c r="AA346" i="2"/>
  <c r="AB346" i="2" s="1"/>
  <c r="P348" i="2" l="1" a="1"/>
  <c r="O349" i="2" a="1"/>
  <c r="O348" i="2" a="1"/>
  <c r="P349" i="2" a="1"/>
  <c r="Q348" i="2" l="1"/>
  <c r="W349" i="2"/>
  <c r="Q349" i="2"/>
  <c r="W348" i="2"/>
  <c r="P359" i="2" a="1"/>
  <c r="P358" i="2" a="1"/>
  <c r="O359" i="2" a="1"/>
  <c r="O358" i="2" a="1"/>
  <c r="AA349" i="2" l="1"/>
  <c r="AB349" i="2" s="1"/>
  <c r="AA348" i="2"/>
  <c r="AB348" i="2" s="1"/>
  <c r="P357" i="2" a="1"/>
  <c r="O356" i="2" a="1"/>
  <c r="O357" i="2" a="1"/>
  <c r="O354" i="2" a="1"/>
  <c r="P356" i="2" a="1"/>
  <c r="P355" i="2" a="1"/>
  <c r="O355" i="2" a="1"/>
  <c r="P350" i="2" a="1"/>
  <c r="O352" i="2" a="1"/>
  <c r="O350" i="2" a="1"/>
  <c r="P353" i="2" a="1"/>
  <c r="P351" i="2" a="1"/>
  <c r="O353" i="2" a="1"/>
  <c r="O351" i="2" a="1"/>
  <c r="P352" i="2" a="1"/>
  <c r="P354" i="2" a="1"/>
  <c r="W358" i="2"/>
  <c r="W359" i="2"/>
  <c r="Q359" i="2"/>
  <c r="Q358" i="2"/>
  <c r="W353" i="2" l="1"/>
  <c r="Q357" i="2"/>
  <c r="W356" i="2"/>
  <c r="W354" i="2"/>
  <c r="Q350" i="2"/>
  <c r="W355" i="2"/>
  <c r="W352" i="2"/>
  <c r="Q351" i="2"/>
  <c r="W357" i="2"/>
  <c r="Q356" i="2"/>
  <c r="Q355" i="2"/>
  <c r="W350" i="2"/>
  <c r="Q353" i="2"/>
  <c r="W351" i="2"/>
  <c r="Q352" i="2"/>
  <c r="Q354" i="2"/>
  <c r="AA358" i="2"/>
  <c r="AB358" i="2" s="1"/>
  <c r="AA359" i="2"/>
  <c r="AB359" i="2" s="1"/>
  <c r="AA355" i="2" l="1"/>
  <c r="AB355" i="2" s="1"/>
  <c r="AA353" i="2"/>
  <c r="AB353" i="2" s="1"/>
  <c r="AA352" i="2"/>
  <c r="AB352" i="2" s="1"/>
  <c r="AA351" i="2"/>
  <c r="AB351" i="2" s="1"/>
  <c r="AA357" i="2"/>
  <c r="AB357" i="2" s="1"/>
  <c r="AA350" i="2"/>
  <c r="AB350" i="2" s="1"/>
  <c r="AA356" i="2"/>
  <c r="AB356" i="2" s="1"/>
  <c r="AA354" i="2"/>
  <c r="AB354" i="2" s="1"/>
  <c r="O360" i="2" a="1"/>
  <c r="O361" i="2" a="1"/>
  <c r="P360" i="2" a="1"/>
  <c r="P361" i="2" a="1"/>
  <c r="W361" i="2" l="1"/>
  <c r="Q360" i="2"/>
  <c r="Q361" i="2"/>
  <c r="W360" i="2"/>
  <c r="AA361" i="2" l="1"/>
  <c r="AB361" i="2" s="1"/>
  <c r="AA360" i="2"/>
  <c r="AB360" i="2" s="1"/>
  <c r="O365" i="2" a="1"/>
  <c r="P364" i="2" a="1"/>
  <c r="P365" i="2" a="1"/>
  <c r="O364" i="2" a="1"/>
  <c r="O362" i="2" a="1"/>
  <c r="O363" i="2" a="1"/>
  <c r="P362" i="2" a="1"/>
  <c r="P363" i="2" a="1"/>
  <c r="O367" i="2" l="1" a="1"/>
  <c r="O366" i="2" a="1"/>
  <c r="P367" i="2" a="1"/>
  <c r="P366" i="2" a="1"/>
  <c r="W363" i="2"/>
  <c r="Q365" i="2"/>
  <c r="Q362" i="2"/>
  <c r="W364" i="2"/>
  <c r="W365" i="2"/>
  <c r="Q364" i="2"/>
  <c r="W362" i="2"/>
  <c r="Q363" i="2"/>
  <c r="P369" i="2" a="1"/>
  <c r="O369" i="2" a="1"/>
  <c r="P368" i="2" a="1"/>
  <c r="O368" i="2" a="1"/>
  <c r="W367" i="2" l="1"/>
  <c r="W366" i="2"/>
  <c r="Q367" i="2"/>
  <c r="Q366" i="2"/>
  <c r="AA365" i="2"/>
  <c r="AB365" i="2" s="1"/>
  <c r="AA363" i="2"/>
  <c r="AB363" i="2" s="1"/>
  <c r="AA364" i="2"/>
  <c r="AB364" i="2" s="1"/>
  <c r="AA362" i="2"/>
  <c r="AB362" i="2" s="1"/>
  <c r="W369" i="2"/>
  <c r="W368" i="2"/>
  <c r="Q368" i="2"/>
  <c r="Q369" i="2"/>
  <c r="AA367" i="2" l="1"/>
  <c r="AB367" i="2" s="1"/>
  <c r="AA366" i="2"/>
  <c r="AB366" i="2" s="1"/>
  <c r="AA369" i="2"/>
  <c r="AB369" i="2" s="1"/>
  <c r="P371" i="2" a="1"/>
  <c r="P370" i="2" a="1"/>
  <c r="O371" i="2" a="1"/>
  <c r="O370" i="2" a="1"/>
  <c r="AA368" i="2"/>
  <c r="AB368" i="2" s="1"/>
  <c r="Q370" i="2" l="1"/>
  <c r="W371" i="2"/>
  <c r="W370" i="2"/>
  <c r="Q371" i="2"/>
  <c r="AA371" i="2" l="1"/>
  <c r="AB371" i="2" s="1"/>
  <c r="AA370" i="2"/>
  <c r="AB370" i="2" s="1"/>
  <c r="P372" i="2" l="1" a="1"/>
  <c r="O372" i="2" a="1"/>
  <c r="P373" i="2" a="1"/>
  <c r="O373" i="2" a="1"/>
  <c r="O375" i="2" a="1"/>
  <c r="P374" i="2" a="1"/>
  <c r="O374" i="2" a="1"/>
  <c r="O376" i="2" a="1"/>
  <c r="O377" i="2" a="1"/>
  <c r="P376" i="2" a="1"/>
  <c r="P377" i="2" a="1"/>
  <c r="P375" i="2" a="1"/>
  <c r="W373" i="2" l="1"/>
  <c r="W372" i="2"/>
  <c r="Q372" i="2"/>
  <c r="Q373" i="2"/>
  <c r="Q377" i="2"/>
  <c r="Q374" i="2"/>
  <c r="W375" i="2"/>
  <c r="W376" i="2"/>
  <c r="W374" i="2"/>
  <c r="W377" i="2"/>
  <c r="Q376" i="2"/>
  <c r="Q375" i="2"/>
  <c r="AA372" i="2" l="1"/>
  <c r="AB372" i="2" s="1"/>
  <c r="AA373" i="2"/>
  <c r="AB373" i="2" s="1"/>
  <c r="AA377" i="2"/>
  <c r="AB377" i="2" s="1"/>
  <c r="P379" i="2" a="1"/>
  <c r="P378" i="2" a="1"/>
  <c r="O379" i="2" a="1"/>
  <c r="O378" i="2" a="1"/>
  <c r="AA374" i="2"/>
  <c r="AB374" i="2" s="1"/>
  <c r="AA376" i="2"/>
  <c r="AB376" i="2" s="1"/>
  <c r="AA375" i="2"/>
  <c r="AB375" i="2" s="1"/>
  <c r="Q378" i="2" l="1"/>
  <c r="W379" i="2"/>
  <c r="Q379" i="2"/>
  <c r="W378" i="2"/>
  <c r="AA379" i="2" l="1"/>
  <c r="AB379" i="2" s="1"/>
  <c r="AA378" i="2"/>
  <c r="AB378" i="2" s="1"/>
  <c r="O381" i="2" a="1"/>
  <c r="P381" i="2" a="1"/>
  <c r="P380" i="2" a="1"/>
  <c r="O380" i="2" a="1"/>
  <c r="Q380" i="2" l="1"/>
  <c r="W381" i="2"/>
  <c r="Q381" i="2"/>
  <c r="W380" i="2"/>
  <c r="AA380" i="2" l="1"/>
  <c r="AB380" i="2" s="1"/>
  <c r="AA381" i="2"/>
  <c r="AB381" i="2" s="1"/>
  <c r="O382" i="2" l="1" a="1"/>
  <c r="P383" i="2" a="1"/>
  <c r="O383" i="2" a="1"/>
  <c r="P382" i="2" a="1"/>
  <c r="W383" i="2" l="1"/>
  <c r="W382" i="2"/>
  <c r="Q383" i="2"/>
  <c r="Q382" i="2"/>
  <c r="AA383" i="2" l="1"/>
  <c r="AB383" i="2" s="1"/>
  <c r="AA382" i="2"/>
  <c r="AB382" i="2" s="1"/>
  <c r="P388" i="2" l="1" a="1"/>
  <c r="P389" i="2" a="1"/>
  <c r="O388" i="2" a="1"/>
  <c r="O389" i="2" a="1"/>
  <c r="O386" i="2" a="1"/>
  <c r="P387" i="2" a="1"/>
  <c r="P386" i="2" a="1"/>
  <c r="O384" i="2" a="1"/>
  <c r="P385" i="2" a="1"/>
  <c r="O387" i="2" a="1"/>
  <c r="O385" i="2" a="1"/>
  <c r="P384" i="2" a="1"/>
  <c r="Q386" i="2" l="1"/>
  <c r="Q384" i="2"/>
  <c r="W387" i="2"/>
  <c r="W385" i="2"/>
  <c r="W388" i="2"/>
  <c r="W389" i="2"/>
  <c r="Q388" i="2"/>
  <c r="Q389" i="2"/>
  <c r="W386" i="2"/>
  <c r="Q387" i="2"/>
  <c r="W384" i="2"/>
  <c r="Q385" i="2"/>
  <c r="AA389" i="2" l="1"/>
  <c r="AB389" i="2" s="1"/>
  <c r="AA386" i="2"/>
  <c r="AB386" i="2" s="1"/>
  <c r="AA384" i="2"/>
  <c r="AB384" i="2" s="1"/>
  <c r="AA385" i="2"/>
  <c r="AB385" i="2" s="1"/>
  <c r="AA388" i="2"/>
  <c r="AB388" i="2" s="1"/>
  <c r="AA387" i="2"/>
  <c r="AB387" i="2" s="1"/>
  <c r="P395" i="2" a="1"/>
  <c r="O395" i="2" a="1"/>
  <c r="P391" i="2" a="1"/>
  <c r="O391" i="2" a="1"/>
  <c r="O390" i="2" a="1"/>
  <c r="P390" i="2" a="1"/>
  <c r="P394" i="2" a="1"/>
  <c r="O394" i="2" a="1"/>
  <c r="O392" i="2" a="1"/>
  <c r="P392" i="2" a="1"/>
  <c r="O393" i="2" a="1"/>
  <c r="P393" i="2" a="1"/>
  <c r="W391" i="2" l="1"/>
  <c r="Q392" i="2"/>
  <c r="W395" i="2"/>
  <c r="W390" i="2"/>
  <c r="Q393" i="2"/>
  <c r="Q394" i="2"/>
  <c r="Q390" i="2"/>
  <c r="Q395" i="2"/>
  <c r="AA395" i="2" s="1"/>
  <c r="AB395" i="2" s="1"/>
  <c r="Q391" i="2"/>
  <c r="W394" i="2"/>
  <c r="W392" i="2"/>
  <c r="W393" i="2"/>
  <c r="AA391" i="2" l="1"/>
  <c r="AB391" i="2" s="1"/>
  <c r="AA392" i="2"/>
  <c r="AB392" i="2" s="1"/>
  <c r="AA390" i="2"/>
  <c r="AB390" i="2" s="1"/>
  <c r="AA393" i="2"/>
  <c r="AB393" i="2" s="1"/>
  <c r="AA394" i="2"/>
  <c r="AB394" i="2" s="1"/>
  <c r="O397" i="2" a="1"/>
  <c r="O396" i="2" a="1"/>
  <c r="P396" i="2" a="1"/>
  <c r="P397" i="2" a="1"/>
  <c r="P399" i="2" a="1"/>
  <c r="O399" i="2" a="1"/>
  <c r="P398" i="2" a="1"/>
  <c r="O398" i="2" a="1"/>
  <c r="Q396" i="2" l="1"/>
  <c r="Q399" i="2"/>
  <c r="W397" i="2"/>
  <c r="W398" i="2"/>
  <c r="W396" i="2"/>
  <c r="Q397" i="2"/>
  <c r="W399" i="2"/>
  <c r="Q398" i="2"/>
  <c r="O404" i="2" a="1"/>
  <c r="P404" i="2" a="1"/>
  <c r="O405" i="2" a="1"/>
  <c r="O402" i="2" a="1"/>
  <c r="P405" i="2" a="1"/>
  <c r="P403" i="2" a="1"/>
  <c r="AA396" i="2" l="1"/>
  <c r="AB396" i="2" s="1"/>
  <c r="AA399" i="2"/>
  <c r="AB399" i="2" s="1"/>
  <c r="AA397" i="2"/>
  <c r="AB397" i="2" s="1"/>
  <c r="AA398" i="2"/>
  <c r="AB398" i="2" s="1"/>
  <c r="O400" i="2" a="1"/>
  <c r="P401" i="2" a="1"/>
  <c r="P400" i="2" a="1"/>
  <c r="O401" i="2" a="1"/>
  <c r="W404" i="2"/>
  <c r="Q405" i="2"/>
  <c r="Q404" i="2"/>
  <c r="W405" i="2"/>
  <c r="O409" i="2" a="1"/>
  <c r="O408" i="2" a="1"/>
  <c r="P408" i="2" a="1"/>
  <c r="P402" i="2" l="1" a="1"/>
  <c r="O403" i="2" a="1"/>
  <c r="W401" i="2"/>
  <c r="Q400" i="2"/>
  <c r="W400" i="2"/>
  <c r="Q401" i="2"/>
  <c r="AA404" i="2"/>
  <c r="AB404" i="2" s="1"/>
  <c r="AA405" i="2"/>
  <c r="AB405" i="2" s="1"/>
  <c r="P406" i="2" a="1"/>
  <c r="O407" i="2" a="1"/>
  <c r="P407" i="2" a="1"/>
  <c r="O406" i="2" a="1"/>
  <c r="Q408" i="2"/>
  <c r="W408" i="2"/>
  <c r="AA400" i="2" l="1"/>
  <c r="AB400" i="2" s="1"/>
  <c r="P409" i="2" s="1" a="1"/>
  <c r="Q402" i="2"/>
  <c r="W402" i="2"/>
  <c r="W403" i="2"/>
  <c r="Q403" i="2"/>
  <c r="AA401" i="2"/>
  <c r="AB401" i="2" s="1"/>
  <c r="W406" i="2"/>
  <c r="W407" i="2"/>
  <c r="Q406" i="2"/>
  <c r="Q407" i="2"/>
  <c r="AA408" i="2"/>
  <c r="AB408" i="2" s="1"/>
  <c r="AA402" i="2" l="1"/>
  <c r="AB402" i="2" s="1"/>
  <c r="AA403" i="2"/>
  <c r="AB403" i="2" s="1"/>
  <c r="W409" i="2"/>
  <c r="Q409" i="2"/>
  <c r="AA409" i="2" s="1"/>
  <c r="AB409" i="2" s="1"/>
  <c r="AA406" i="2"/>
  <c r="AB406" i="2" s="1"/>
  <c r="O410" i="2" a="1"/>
  <c r="P410" i="2" a="1"/>
  <c r="O411" i="2" a="1"/>
  <c r="P411" i="2" a="1"/>
  <c r="AA407" i="2"/>
  <c r="AB407" i="2" s="1"/>
  <c r="Q410" i="2" l="1"/>
  <c r="W411" i="2"/>
  <c r="W410" i="2"/>
  <c r="Q411" i="2"/>
  <c r="AA410" i="2" l="1"/>
  <c r="AB410" i="2" s="1"/>
  <c r="AA411" i="2"/>
  <c r="AB411" i="2" s="1"/>
  <c r="P413" i="2" a="1"/>
  <c r="O412" i="2" a="1"/>
  <c r="O413" i="2" a="1"/>
  <c r="P412" i="2" a="1"/>
  <c r="P415" i="2" a="1"/>
  <c r="P414" i="2" a="1"/>
  <c r="O415" i="2" a="1"/>
  <c r="O414" i="2" a="1"/>
  <c r="W412" i="2" l="1"/>
  <c r="Q413" i="2"/>
  <c r="Q412" i="2"/>
  <c r="AA412" i="2" s="1"/>
  <c r="AB412" i="2" s="1"/>
  <c r="W413" i="2"/>
  <c r="Q414" i="2"/>
  <c r="W415" i="2"/>
  <c r="Q415" i="2"/>
  <c r="W414" i="2"/>
  <c r="AA413" i="2" l="1"/>
  <c r="AB413" i="2" s="1"/>
  <c r="AA415" i="2"/>
  <c r="AB415" i="2" s="1"/>
  <c r="AA414" i="2"/>
  <c r="AB414" i="2" s="1"/>
  <c r="O417" i="2" a="1"/>
  <c r="O416" i="2" a="1"/>
  <c r="P417" i="2" a="1"/>
  <c r="P416" i="2" a="1"/>
  <c r="P418" i="2" a="1"/>
  <c r="O418" i="2" a="1"/>
  <c r="P419" i="2" a="1"/>
  <c r="O419" i="2" a="1"/>
  <c r="P420" i="2" a="1"/>
  <c r="O421" i="2" a="1"/>
  <c r="P421" i="2" a="1"/>
  <c r="O420" i="2" a="1"/>
  <c r="AX5" i="3" a="1"/>
  <c r="Q417" i="2" l="1"/>
  <c r="Q419" i="2"/>
  <c r="W417" i="2"/>
  <c r="Q418" i="2"/>
  <c r="W416" i="2"/>
  <c r="Q416" i="2"/>
  <c r="W418" i="2"/>
  <c r="W419" i="2"/>
  <c r="Q421" i="2"/>
  <c r="W421" i="2"/>
  <c r="W420" i="2"/>
  <c r="Q420" i="2"/>
  <c r="AA417" i="2" l="1"/>
  <c r="AB417" i="2" s="1"/>
  <c r="AA419" i="2"/>
  <c r="AB419" i="2" s="1"/>
  <c r="AA416" i="2"/>
  <c r="AB416" i="2" s="1"/>
  <c r="AA418" i="2"/>
  <c r="AB418" i="2" s="1"/>
  <c r="AA421" i="2"/>
  <c r="AB421" i="2" s="1"/>
  <c r="AA420" i="2"/>
  <c r="AB420" i="2" s="1"/>
  <c r="O422" i="2" l="1" a="1"/>
  <c r="P422" i="2" a="1"/>
  <c r="O423" i="2" a="1"/>
  <c r="P423" i="2" a="1"/>
  <c r="W423" i="2" l="1"/>
  <c r="W422" i="2"/>
  <c r="Q422" i="2"/>
  <c r="Q423" i="2"/>
  <c r="AA423" i="2" l="1"/>
  <c r="AB423" i="2" s="1"/>
  <c r="AA422" i="2"/>
  <c r="AB422" i="2" s="1"/>
  <c r="O429" i="2" a="1"/>
  <c r="O431" i="2" a="1"/>
  <c r="P429" i="2" a="1"/>
  <c r="AX2" i="3" a="1"/>
  <c r="O425" i="2" l="1" a="1"/>
  <c r="P424" i="2" a="1"/>
  <c r="P425" i="2" a="1"/>
  <c r="O424" i="2" a="1"/>
  <c r="P430" i="2" a="1"/>
  <c r="P431" i="2" a="1"/>
  <c r="O430" i="2" a="1"/>
  <c r="O428" i="2" a="1"/>
  <c r="P428" i="2" a="1"/>
  <c r="P427" i="2" a="1"/>
  <c r="O427" i="2" a="1"/>
  <c r="P426" i="2" a="1"/>
  <c r="O426" i="2" a="1"/>
  <c r="W429" i="2"/>
  <c r="Q429" i="2"/>
  <c r="AX9" i="3" a="1"/>
  <c r="W424" i="2" l="1"/>
  <c r="W425" i="2"/>
  <c r="W426" i="2"/>
  <c r="Q424" i="2"/>
  <c r="Q425" i="2"/>
  <c r="W427" i="2"/>
  <c r="W428" i="2"/>
  <c r="Q428" i="2"/>
  <c r="Q426" i="2"/>
  <c r="Q427" i="2"/>
  <c r="W431" i="2"/>
  <c r="Q431" i="2"/>
  <c r="W430" i="2"/>
  <c r="Q430" i="2"/>
  <c r="AA429" i="2"/>
  <c r="AB429" i="2" s="1"/>
  <c r="AX4" i="3" a="1"/>
  <c r="AA424" i="2" l="1"/>
  <c r="AB424" i="2" s="1"/>
  <c r="AA426" i="2"/>
  <c r="AB426" i="2" s="1"/>
  <c r="AA427" i="2"/>
  <c r="AB427" i="2" s="1"/>
  <c r="AA425" i="2"/>
  <c r="AB425" i="2" s="1"/>
  <c r="AA428" i="2"/>
  <c r="AB428" i="2" s="1"/>
  <c r="AA431" i="2"/>
  <c r="AB431" i="2" s="1"/>
  <c r="AA430" i="2"/>
  <c r="AB430" i="2" s="1"/>
  <c r="O432" i="2" a="1"/>
  <c r="O433" i="2" a="1"/>
  <c r="P432" i="2" a="1"/>
  <c r="P433" i="2" a="1"/>
  <c r="Q433" i="2" l="1"/>
  <c r="Q432" i="2"/>
  <c r="W432" i="2"/>
  <c r="W433" i="2"/>
  <c r="AA433" i="2" l="1"/>
  <c r="AB433" i="2" s="1"/>
  <c r="AA432" i="2"/>
  <c r="AB432" i="2" s="1"/>
  <c r="O434" i="2" l="1" a="1"/>
  <c r="O435" i="2" a="1"/>
  <c r="P434" i="2" a="1"/>
  <c r="P435" i="2" a="1"/>
  <c r="Q434" i="2" l="1"/>
  <c r="Q435" i="2"/>
  <c r="W434" i="2"/>
  <c r="W435" i="2"/>
  <c r="O440" i="2" a="1"/>
  <c r="O441" i="2" a="1"/>
  <c r="P441" i="2" a="1"/>
  <c r="P440" i="2" a="1"/>
  <c r="AX8" i="3" a="1"/>
  <c r="AA434" i="2" l="1"/>
  <c r="AB434" i="2" s="1"/>
  <c r="AA435" i="2"/>
  <c r="AB435" i="2" s="1"/>
  <c r="P437" i="2" a="1"/>
  <c r="O436" i="2" a="1"/>
  <c r="P436" i="2" a="1"/>
  <c r="O437" i="2" a="1"/>
  <c r="O439" i="2" a="1"/>
  <c r="P439" i="2" a="1"/>
  <c r="O438" i="2" a="1"/>
  <c r="P438" i="2" a="1"/>
  <c r="O442" i="2" a="1"/>
  <c r="P444" i="2" a="1"/>
  <c r="P442" i="2" a="1"/>
  <c r="P445" i="2" a="1"/>
  <c r="P443" i="2" a="1"/>
  <c r="O444" i="2" a="1"/>
  <c r="O445" i="2" a="1"/>
  <c r="Q440" i="2"/>
  <c r="W440" i="2"/>
  <c r="Q441" i="2"/>
  <c r="W441" i="2"/>
  <c r="Q436" i="2" l="1"/>
  <c r="AA440" i="2"/>
  <c r="AB440" i="2" s="1"/>
  <c r="W437" i="2"/>
  <c r="W439" i="2"/>
  <c r="Q444" i="2"/>
  <c r="Q438" i="2"/>
  <c r="Q442" i="2"/>
  <c r="Q445" i="2"/>
  <c r="Q437" i="2"/>
  <c r="Q439" i="2"/>
  <c r="W438" i="2"/>
  <c r="W442" i="2"/>
  <c r="W444" i="2"/>
  <c r="W445" i="2"/>
  <c r="W436" i="2"/>
  <c r="AA441" i="2"/>
  <c r="AB441" i="2" s="1"/>
  <c r="P453" i="2" a="1"/>
  <c r="O451" i="2" a="1"/>
  <c r="P450" i="2" a="1"/>
  <c r="O452" i="2" a="1"/>
  <c r="P452" i="2" a="1"/>
  <c r="O453" i="2" a="1"/>
  <c r="AA437" i="2" l="1"/>
  <c r="AB437" i="2" s="1"/>
  <c r="AA439" i="2"/>
  <c r="AB439" i="2" s="1"/>
  <c r="O443" i="2" s="1" a="1"/>
  <c r="AA444" i="2"/>
  <c r="AB444" i="2" s="1"/>
  <c r="AA436" i="2"/>
  <c r="AB436" i="2" s="1"/>
  <c r="AA438" i="2"/>
  <c r="AB438" i="2" s="1"/>
  <c r="AA442" i="2"/>
  <c r="AB442" i="2" s="1"/>
  <c r="AA445" i="2"/>
  <c r="AB445" i="2" s="1"/>
  <c r="O455" i="2" a="1"/>
  <c r="P448" i="2" a="1"/>
  <c r="O448" i="2" a="1"/>
  <c r="O449" i="2" a="1"/>
  <c r="O447" i="2" a="1"/>
  <c r="P449" i="2" a="1"/>
  <c r="P446" i="2" a="1"/>
  <c r="P454" i="2" a="1"/>
  <c r="O454" i="2" a="1"/>
  <c r="P455" i="2" a="1"/>
  <c r="Q455" i="2" s="1"/>
  <c r="W452" i="2"/>
  <c r="Q452" i="2"/>
  <c r="Q453" i="2"/>
  <c r="W453" i="2"/>
  <c r="W454" i="2" l="1"/>
  <c r="Q443" i="2"/>
  <c r="W443" i="2"/>
  <c r="W448" i="2"/>
  <c r="O450" i="2" a="1"/>
  <c r="P451" i="2" a="1"/>
  <c r="W449" i="2"/>
  <c r="W455" i="2"/>
  <c r="AA455" i="2" s="1"/>
  <c r="AB455" i="2" s="1"/>
  <c r="Q448" i="2"/>
  <c r="Q449" i="2"/>
  <c r="Q454" i="2"/>
  <c r="AA452" i="2"/>
  <c r="AB452" i="2" s="1"/>
  <c r="AA453" i="2"/>
  <c r="AB453" i="2" s="1"/>
  <c r="AA443" i="2" l="1"/>
  <c r="AB443" i="2" s="1"/>
  <c r="AA454" i="2"/>
  <c r="AB454" i="2" s="1"/>
  <c r="AA448" i="2"/>
  <c r="AB448" i="2" s="1"/>
  <c r="W450" i="2"/>
  <c r="Q450" i="2"/>
  <c r="W451" i="2"/>
  <c r="Q451" i="2"/>
  <c r="O446" i="2" a="1"/>
  <c r="P447" i="2" a="1"/>
  <c r="AA449" i="2"/>
  <c r="AB449" i="2" s="1"/>
  <c r="P456" i="2" a="1"/>
  <c r="P457" i="2" a="1"/>
  <c r="O456" i="2" a="1"/>
  <c r="O457" i="2" a="1"/>
  <c r="AA451" i="2" l="1"/>
  <c r="AB451" i="2" s="1"/>
  <c r="AA450" i="2"/>
  <c r="AB450" i="2" s="1"/>
  <c r="W446" i="2"/>
  <c r="Q446" i="2"/>
  <c r="Q447" i="2"/>
  <c r="W447" i="2"/>
  <c r="W457" i="2"/>
  <c r="Q456" i="2"/>
  <c r="Q457" i="2"/>
  <c r="W456" i="2"/>
  <c r="P459" i="2" a="1"/>
  <c r="O459" i="2" a="1"/>
  <c r="O458" i="2" a="1"/>
  <c r="P458" i="2" a="1"/>
  <c r="AA446" i="2" l="1"/>
  <c r="AB446" i="2" s="1"/>
  <c r="AA457" i="2"/>
  <c r="AB457" i="2" s="1"/>
  <c r="AA447" i="2"/>
  <c r="AB447" i="2" s="1"/>
  <c r="AA456" i="2"/>
  <c r="AB456" i="2" s="1"/>
  <c r="Q459" i="2"/>
  <c r="W458" i="2"/>
  <c r="W459" i="2"/>
  <c r="Q458" i="2"/>
  <c r="AA459" i="2" l="1"/>
  <c r="AB459" i="2" s="1"/>
  <c r="AA458" i="2"/>
  <c r="AB458" i="2" s="1"/>
  <c r="O461" i="2" a="1"/>
  <c r="P460" i="2" a="1"/>
  <c r="P461" i="2" a="1"/>
  <c r="O460" i="2" a="1"/>
  <c r="W461" i="2" l="1"/>
  <c r="W460" i="2"/>
  <c r="Q460" i="2"/>
  <c r="Q461" i="2"/>
  <c r="AA460" i="2" l="1"/>
  <c r="AB460" i="2" s="1"/>
  <c r="AA461" i="2"/>
  <c r="AB461" i="2" s="1"/>
  <c r="P463" i="2" a="1"/>
  <c r="O462" i="2" a="1"/>
  <c r="P462" i="2" a="1"/>
  <c r="O463" i="2" a="1"/>
  <c r="O464" i="2" a="1"/>
  <c r="P465" i="2" a="1"/>
  <c r="P464" i="2" a="1"/>
  <c r="O465" i="2" a="1"/>
  <c r="W462" i="2" l="1"/>
  <c r="W463" i="2"/>
  <c r="Q464" i="2"/>
  <c r="W465" i="2"/>
  <c r="Q463" i="2"/>
  <c r="Q462" i="2"/>
  <c r="W464" i="2"/>
  <c r="Q465" i="2"/>
  <c r="AA462" i="2" l="1"/>
  <c r="AB462" i="2" s="1"/>
  <c r="AA463" i="2"/>
  <c r="AB463" i="2" s="1"/>
  <c r="AA464" i="2"/>
  <c r="AB464" i="2" s="1"/>
  <c r="AA465" i="2"/>
  <c r="AB465" i="2" s="1"/>
  <c r="P468" i="2" l="1" a="1"/>
  <c r="O468" i="2" a="1"/>
  <c r="P466" i="2" a="1"/>
  <c r="P467" i="2" a="1"/>
  <c r="O466" i="2" a="1"/>
  <c r="O467" i="2" a="1"/>
  <c r="P471" i="2" a="1"/>
  <c r="P469" i="2" a="1"/>
  <c r="O470" i="2" a="1"/>
  <c r="O469" i="2" a="1"/>
  <c r="P470" i="2" a="1"/>
  <c r="O471" i="2" a="1"/>
  <c r="W470" i="2" l="1"/>
  <c r="Q466" i="2"/>
  <c r="W469" i="2"/>
  <c r="W471" i="2"/>
  <c r="Q467" i="2"/>
  <c r="W466" i="2"/>
  <c r="Q471" i="2"/>
  <c r="W467" i="2"/>
  <c r="Q469" i="2"/>
  <c r="Q470" i="2"/>
  <c r="Q468" i="2"/>
  <c r="W468" i="2"/>
  <c r="AA470" i="2" l="1"/>
  <c r="AB470" i="2" s="1"/>
  <c r="AA466" i="2"/>
  <c r="AB466" i="2" s="1"/>
  <c r="AA471" i="2"/>
  <c r="AB471" i="2" s="1"/>
  <c r="AA467" i="2"/>
  <c r="AB467" i="2" s="1"/>
  <c r="AA469" i="2"/>
  <c r="AB469" i="2" s="1"/>
  <c r="AA468" i="2"/>
  <c r="AB468" i="2" s="1"/>
  <c r="O472" i="2" a="1"/>
  <c r="P472" i="2" a="1"/>
  <c r="P473" i="2" a="1"/>
  <c r="O473" i="2" a="1"/>
  <c r="P475" i="2" a="1"/>
  <c r="O475" i="2" a="1"/>
  <c r="P474" i="2" a="1"/>
  <c r="O474" i="2" a="1"/>
  <c r="W472" i="2" l="1"/>
  <c r="Q473" i="2"/>
  <c r="Q472" i="2"/>
  <c r="W473" i="2"/>
  <c r="Q475" i="2"/>
  <c r="W475" i="2"/>
  <c r="W474" i="2"/>
  <c r="Q474" i="2"/>
  <c r="AA472" i="2" l="1"/>
  <c r="AB472" i="2" s="1"/>
  <c r="AA473" i="2"/>
  <c r="AB473" i="2" s="1"/>
  <c r="AA475" i="2"/>
  <c r="AB475" i="2" s="1"/>
  <c r="P477" i="2" a="1"/>
  <c r="O477" i="2" a="1"/>
  <c r="P476" i="2" a="1"/>
  <c r="O476" i="2" a="1"/>
  <c r="AA474" i="2"/>
  <c r="AB474" i="2" s="1"/>
  <c r="Q477" i="2" l="1"/>
  <c r="W477" i="2"/>
  <c r="W476" i="2"/>
  <c r="Q476" i="2"/>
  <c r="AA476" i="2" l="1"/>
  <c r="AB476" i="2" s="1"/>
  <c r="AA477" i="2"/>
  <c r="AB477" i="2" s="1"/>
  <c r="P479" i="2" a="1"/>
  <c r="O479" i="2" a="1"/>
  <c r="P478" i="2" a="1"/>
  <c r="O478" i="2" a="1"/>
  <c r="P482" i="2" l="1" a="1"/>
  <c r="P483" i="2" a="1"/>
  <c r="O482" i="2" a="1"/>
  <c r="O483" i="2" a="1"/>
  <c r="Q479" i="2"/>
  <c r="Q478" i="2"/>
  <c r="W479" i="2"/>
  <c r="W478" i="2"/>
  <c r="Q482" i="2" l="1"/>
  <c r="W483" i="2"/>
  <c r="W482" i="2"/>
  <c r="Q483" i="2"/>
  <c r="AA479" i="2"/>
  <c r="AB479" i="2" s="1"/>
  <c r="AA478" i="2"/>
  <c r="AB478" i="2" s="1"/>
  <c r="P480" i="2" a="1"/>
  <c r="O481" i="2" a="1"/>
  <c r="P481" i="2" a="1"/>
  <c r="O480" i="2" a="1"/>
  <c r="AA482" i="2" l="1"/>
  <c r="AB482" i="2" s="1"/>
  <c r="AA483" i="2"/>
  <c r="AB483" i="2" s="1"/>
  <c r="P484" i="2" a="1"/>
  <c r="O485" i="2" a="1"/>
  <c r="P485" i="2" a="1"/>
  <c r="O484" i="2" a="1"/>
  <c r="O487" i="2" a="1"/>
  <c r="P486" i="2" a="1"/>
  <c r="W481" i="2"/>
  <c r="W480" i="2"/>
  <c r="Q481" i="2"/>
  <c r="Q480" i="2"/>
  <c r="W485" i="2" l="1"/>
  <c r="Q484" i="2"/>
  <c r="Q485" i="2"/>
  <c r="W484" i="2"/>
  <c r="AA481" i="2"/>
  <c r="AB481" i="2" s="1"/>
  <c r="AA480" i="2"/>
  <c r="AB480" i="2" s="1"/>
  <c r="AA485" i="2" l="1"/>
  <c r="AB485" i="2" s="1"/>
  <c r="AA484" i="2"/>
  <c r="AB484" i="2" s="1"/>
  <c r="O486" i="2" a="1"/>
  <c r="P487" i="2" a="1"/>
  <c r="Q486" i="2" l="1"/>
  <c r="W486" i="2"/>
  <c r="Q487" i="2"/>
  <c r="W487" i="2"/>
  <c r="AA487" i="2" l="1"/>
  <c r="AB487" i="2" s="1"/>
  <c r="AA486" i="2"/>
  <c r="AB486" i="2" s="1"/>
  <c r="P488" i="2" l="1" a="1"/>
  <c r="O489" i="2" a="1"/>
  <c r="P489" i="2" a="1"/>
  <c r="O488" i="2" a="1"/>
  <c r="O491" i="2" a="1"/>
  <c r="P490" i="2" a="1"/>
  <c r="O490" i="2" a="1"/>
  <c r="P491" i="2" a="1"/>
  <c r="W489" i="2" l="1"/>
  <c r="W490" i="2"/>
  <c r="Q488" i="2"/>
  <c r="Q491" i="2"/>
  <c r="Q489" i="2"/>
  <c r="W488" i="2"/>
  <c r="W491" i="2"/>
  <c r="Q490" i="2"/>
  <c r="AA489" i="2" l="1"/>
  <c r="AB489" i="2" s="1"/>
  <c r="AA488" i="2"/>
  <c r="AB488" i="2" s="1"/>
  <c r="AA490" i="2"/>
  <c r="AB490" i="2" s="1"/>
  <c r="AA491" i="2"/>
  <c r="AB491" i="2" s="1"/>
  <c r="O492" i="2" a="1"/>
  <c r="P495" i="2" a="1"/>
  <c r="O494" i="2" a="1"/>
  <c r="P492" i="2" a="1"/>
  <c r="P493" i="2" a="1"/>
  <c r="O495" i="2" a="1"/>
  <c r="O493" i="2" a="1"/>
  <c r="P494" i="2" a="1"/>
  <c r="Q492" i="2" l="1"/>
  <c r="Q495" i="2"/>
  <c r="W493" i="2"/>
  <c r="Q494" i="2"/>
  <c r="W492" i="2"/>
  <c r="AA492" i="2" s="1"/>
  <c r="AB492" i="2" s="1"/>
  <c r="W495" i="2"/>
  <c r="W494" i="2"/>
  <c r="Q493" i="2"/>
  <c r="AA494" i="2" l="1"/>
  <c r="AB494" i="2" s="1"/>
  <c r="AA495" i="2"/>
  <c r="AB495" i="2" s="1"/>
  <c r="AA493" i="2"/>
  <c r="AB493" i="2" s="1"/>
  <c r="P497" i="2" a="1"/>
  <c r="P499" i="2" a="1"/>
  <c r="O498" i="2" a="1"/>
  <c r="O497" i="2" a="1"/>
  <c r="P498" i="2" a="1"/>
  <c r="O499" i="2" a="1"/>
  <c r="P496" i="2" a="1"/>
  <c r="O496" i="2" a="1"/>
  <c r="P500" i="2" a="1"/>
  <c r="O501" i="2" a="1"/>
  <c r="P501" i="2" a="1"/>
  <c r="O500" i="2" a="1"/>
  <c r="W498" i="2" l="1"/>
  <c r="W496" i="2"/>
  <c r="W497" i="2"/>
  <c r="W499" i="2"/>
  <c r="Q497" i="2"/>
  <c r="Q498" i="2"/>
  <c r="Q496" i="2"/>
  <c r="Q499" i="2"/>
  <c r="W501" i="2"/>
  <c r="Q501" i="2"/>
  <c r="W500" i="2"/>
  <c r="Q500" i="2"/>
  <c r="AA498" i="2" l="1"/>
  <c r="AB498" i="2" s="1"/>
  <c r="AA496" i="2"/>
  <c r="AB496" i="2" s="1"/>
  <c r="AA499" i="2"/>
  <c r="AB499" i="2" s="1"/>
  <c r="AA497" i="2"/>
  <c r="AB497" i="2" s="1"/>
  <c r="AA501" i="2"/>
  <c r="AB501" i="2" s="1"/>
  <c r="P504" i="2" a="1"/>
  <c r="O505" i="2" a="1"/>
  <c r="AA500" i="2"/>
  <c r="AB500" i="2" s="1"/>
  <c r="O502" i="2" l="1" a="1"/>
  <c r="P502" i="2" a="1"/>
  <c r="P503" i="2" a="1"/>
  <c r="O503" i="2" a="1"/>
  <c r="P505" i="2" a="1"/>
  <c r="O504" i="2" a="1"/>
  <c r="Q502" i="2" l="1"/>
  <c r="Q503" i="2"/>
  <c r="W502" i="2"/>
  <c r="W503" i="2"/>
  <c r="W505" i="2"/>
  <c r="Q505" i="2"/>
  <c r="Q504" i="2"/>
  <c r="W504" i="2"/>
  <c r="AA502" i="2" l="1"/>
  <c r="AB502" i="2" s="1"/>
  <c r="AA503" i="2"/>
  <c r="AB503" i="2" s="1"/>
  <c r="AA505" i="2"/>
  <c r="AB505" i="2" s="1"/>
  <c r="AA504" i="2"/>
  <c r="AB504" i="2" s="1"/>
  <c r="O510" i="2" l="1" a="1"/>
  <c r="P511" i="2" a="1"/>
  <c r="P506" i="2" a="1"/>
  <c r="O507" i="2" a="1"/>
  <c r="P507" i="2" a="1"/>
  <c r="O506" i="2" a="1"/>
  <c r="P509" i="2" a="1"/>
  <c r="O508" i="2" a="1"/>
  <c r="P510" i="2" a="1"/>
  <c r="O511" i="2" a="1"/>
  <c r="P508" i="2" a="1"/>
  <c r="O509" i="2" a="1"/>
  <c r="W507" i="2" l="1"/>
  <c r="W506" i="2"/>
  <c r="Q510" i="2"/>
  <c r="W511" i="2"/>
  <c r="W510" i="2"/>
  <c r="Q511" i="2"/>
  <c r="Q506" i="2"/>
  <c r="Q507" i="2"/>
  <c r="Q508" i="2"/>
  <c r="W508" i="2"/>
  <c r="Q509" i="2"/>
  <c r="W509" i="2"/>
  <c r="AA510" i="2" l="1"/>
  <c r="AB510" i="2" s="1"/>
  <c r="AA511" i="2"/>
  <c r="AB511" i="2" s="1"/>
  <c r="AA506" i="2"/>
  <c r="AB506" i="2" s="1"/>
  <c r="AA507" i="2"/>
  <c r="AB507" i="2" s="1"/>
  <c r="AA509" i="2"/>
  <c r="AB509" i="2" s="1"/>
  <c r="AA508" i="2"/>
  <c r="AB508" i="2" s="1"/>
  <c r="P513" i="2" a="1"/>
  <c r="O512" i="2" a="1"/>
  <c r="P512" i="2" a="1"/>
  <c r="O513" i="2" a="1"/>
  <c r="W512" i="2" l="1"/>
  <c r="W513" i="2"/>
  <c r="Q512" i="2"/>
  <c r="Q513" i="2"/>
  <c r="AA512" i="2" l="1"/>
  <c r="AB512" i="2" s="1"/>
  <c r="AA513" i="2"/>
  <c r="AB513" i="2" s="1"/>
  <c r="P517" i="2" a="1"/>
  <c r="O516" i="2" a="1"/>
  <c r="O514" i="2" l="1" a="1"/>
  <c r="P514" i="2" a="1"/>
  <c r="P515" i="2" a="1"/>
  <c r="O515" i="2" a="1"/>
  <c r="P516" i="2" a="1"/>
  <c r="O517" i="2" a="1"/>
  <c r="Q514" i="2" l="1"/>
  <c r="Q515" i="2"/>
  <c r="W515" i="2"/>
  <c r="W514" i="2"/>
  <c r="Q516" i="2"/>
  <c r="W516" i="2"/>
  <c r="W517" i="2"/>
  <c r="Q517" i="2"/>
  <c r="AA514" i="2" l="1"/>
  <c r="AB514" i="2" s="1"/>
  <c r="AA515" i="2"/>
  <c r="AB515" i="2" s="1"/>
  <c r="AA516" i="2"/>
  <c r="AB516" i="2" s="1"/>
  <c r="AA517" i="2"/>
  <c r="AB517" i="2" s="1"/>
  <c r="P518" i="2" a="1"/>
  <c r="O519" i="2" a="1"/>
  <c r="O518" i="2" a="1"/>
  <c r="P519" i="2" a="1"/>
  <c r="Q518" i="2" l="1"/>
  <c r="W518" i="2"/>
  <c r="W519" i="2"/>
  <c r="Q519" i="2"/>
  <c r="P521" i="2" a="1"/>
  <c r="O520" i="2" a="1"/>
  <c r="AA518" i="2" l="1"/>
  <c r="AB518" i="2" s="1"/>
  <c r="AA519" i="2"/>
  <c r="AB519" i="2" s="1"/>
  <c r="O521" i="2" l="1" a="1"/>
  <c r="P520" i="2" a="1"/>
  <c r="Q521" i="2" l="1"/>
  <c r="W521" i="2"/>
  <c r="W520" i="2"/>
  <c r="Q520" i="2"/>
  <c r="AA521" i="2" l="1"/>
  <c r="AB521" i="2" s="1"/>
  <c r="AA520" i="2"/>
  <c r="AB520" i="2" s="1"/>
  <c r="O522" i="2" l="1" a="1"/>
  <c r="P523" i="2" a="1"/>
  <c r="O523" i="2" a="1"/>
  <c r="P522" i="2" a="1"/>
  <c r="W522" i="2" l="1"/>
  <c r="W523" i="2"/>
  <c r="Q523" i="2"/>
  <c r="Q522" i="2"/>
  <c r="AA523" i="2" l="1"/>
  <c r="AB523" i="2" s="1"/>
  <c r="AA522" i="2"/>
  <c r="AB522" i="2" s="1"/>
  <c r="P524" i="2" a="1"/>
  <c r="O525" i="2" a="1"/>
  <c r="O524" i="2" a="1"/>
  <c r="P525" i="2" a="1"/>
  <c r="Q524" i="2" l="1"/>
  <c r="Q525" i="2"/>
  <c r="W525" i="2"/>
  <c r="W524" i="2"/>
  <c r="AA525" i="2" l="1"/>
  <c r="AB525" i="2" s="1"/>
  <c r="AA524" i="2"/>
  <c r="AB524" i="2" s="1"/>
  <c r="O526" i="2" a="1"/>
  <c r="P527" i="2" a="1"/>
  <c r="P526" i="2" a="1"/>
  <c r="O527" i="2" a="1"/>
  <c r="W526" i="2" l="1"/>
  <c r="W527" i="2"/>
  <c r="Q526" i="2"/>
  <c r="AA526" i="2" s="1"/>
  <c r="AB526" i="2" s="1"/>
  <c r="Q527" i="2"/>
  <c r="AA527" i="2" l="1"/>
  <c r="AB527" i="2" s="1"/>
  <c r="O528" i="2" l="1" a="1"/>
  <c r="O531" i="2" a="1"/>
  <c r="P528" i="2" a="1"/>
  <c r="P530" i="2" a="1"/>
  <c r="O529" i="2" a="1"/>
  <c r="O530" i="2" a="1"/>
  <c r="P529" i="2" a="1"/>
  <c r="P531" i="2" a="1"/>
  <c r="Q529" i="2" l="1"/>
  <c r="Q531" i="2"/>
  <c r="W528" i="2"/>
  <c r="W531" i="2"/>
  <c r="W529" i="2"/>
  <c r="W530" i="2"/>
  <c r="Q528" i="2"/>
  <c r="Q530" i="2"/>
  <c r="AA528" i="2" l="1"/>
  <c r="AB528" i="2" s="1"/>
  <c r="AA531" i="2"/>
  <c r="AB531" i="2" s="1"/>
  <c r="AA529" i="2"/>
  <c r="AB529" i="2" s="1"/>
  <c r="P537" i="2" a="1"/>
  <c r="P534" i="2" a="1"/>
  <c r="P535" i="2" a="1"/>
  <c r="P532" i="2" a="1"/>
  <c r="O536" i="2" a="1"/>
  <c r="O534" i="2" a="1"/>
  <c r="O532" i="2" a="1"/>
  <c r="P536" i="2" a="1"/>
  <c r="P533" i="2" a="1"/>
  <c r="O537" i="2" a="1"/>
  <c r="O535" i="2" a="1"/>
  <c r="O533" i="2" a="1"/>
  <c r="AA530" i="2"/>
  <c r="AB530" i="2" s="1"/>
  <c r="Q535" i="2" l="1"/>
  <c r="Q536" i="2"/>
  <c r="W536" i="2"/>
  <c r="W534" i="2"/>
  <c r="W532" i="2"/>
  <c r="W537" i="2"/>
  <c r="W535" i="2"/>
  <c r="W533" i="2"/>
  <c r="Q537" i="2"/>
  <c r="Q534" i="2"/>
  <c r="Q532" i="2"/>
  <c r="Q533" i="2"/>
  <c r="AA536" i="2" l="1"/>
  <c r="AB536" i="2" s="1"/>
  <c r="AA534" i="2"/>
  <c r="AB534" i="2" s="1"/>
  <c r="AA532" i="2"/>
  <c r="AB532" i="2" s="1"/>
  <c r="AA537" i="2"/>
  <c r="AB537" i="2" s="1"/>
  <c r="AA535" i="2"/>
  <c r="AB535" i="2" s="1"/>
  <c r="P543" i="2" a="1"/>
  <c r="P540" i="2" a="1"/>
  <c r="P538" i="2" a="1"/>
  <c r="O542" i="2" a="1"/>
  <c r="O540" i="2" a="1"/>
  <c r="O538" i="2" a="1"/>
  <c r="P541" i="2" a="1"/>
  <c r="P539" i="2" a="1"/>
  <c r="O543" i="2" a="1"/>
  <c r="O541" i="2" a="1"/>
  <c r="O539" i="2" a="1"/>
  <c r="P542" i="2" a="1"/>
  <c r="AA533" i="2"/>
  <c r="AB533" i="2" s="1"/>
  <c r="Q539" i="2" l="1"/>
  <c r="Q540" i="2"/>
  <c r="Q542" i="2"/>
  <c r="W542" i="2"/>
  <c r="W540" i="2"/>
  <c r="W538" i="2"/>
  <c r="W543" i="2"/>
  <c r="W541" i="2"/>
  <c r="W539" i="2"/>
  <c r="Q538" i="2"/>
  <c r="Q541" i="2"/>
  <c r="Q543" i="2"/>
  <c r="AA542" i="2" l="1"/>
  <c r="AB542" i="2" s="1"/>
  <c r="AA540" i="2"/>
  <c r="AB540" i="2" s="1"/>
  <c r="AA539" i="2"/>
  <c r="AB539" i="2" s="1"/>
  <c r="AA538" i="2"/>
  <c r="AB538" i="2" s="1"/>
  <c r="AA543" i="2"/>
  <c r="AB543" i="2" s="1"/>
  <c r="P544" i="2" a="1"/>
  <c r="P546" i="2" a="1"/>
  <c r="O546" i="2" a="1"/>
  <c r="O544" i="2" a="1"/>
  <c r="P547" i="2" a="1"/>
  <c r="P545" i="2" a="1"/>
  <c r="O547" i="2" a="1"/>
  <c r="O545" i="2" a="1"/>
  <c r="AA541" i="2"/>
  <c r="AB541" i="2" s="1"/>
  <c r="Q547" i="2" l="1"/>
  <c r="W546" i="2"/>
  <c r="W544" i="2"/>
  <c r="W547" i="2"/>
  <c r="W545" i="2"/>
  <c r="Q544" i="2"/>
  <c r="Q546" i="2"/>
  <c r="Q545" i="2"/>
  <c r="AA546" i="2" l="1"/>
  <c r="AB546" i="2" s="1"/>
  <c r="AA547" i="2"/>
  <c r="AB547" i="2" s="1"/>
  <c r="P551" i="2" a="1"/>
  <c r="O553" i="2" a="1"/>
  <c r="O551" i="2" a="1"/>
  <c r="O549" i="2" a="1"/>
  <c r="P553" i="2" a="1"/>
  <c r="Q553" i="2" s="1"/>
  <c r="P550" i="2" a="1"/>
  <c r="P548" i="2" a="1"/>
  <c r="P552" i="2" a="1"/>
  <c r="P549" i="2" a="1"/>
  <c r="O552" i="2" a="1"/>
  <c r="O550" i="2" a="1"/>
  <c r="O548" i="2" a="1"/>
  <c r="AA544" i="2"/>
  <c r="AB544" i="2" s="1"/>
  <c r="AA545" i="2"/>
  <c r="AB545" i="2" s="1"/>
  <c r="Q550" i="2" l="1"/>
  <c r="W553" i="2"/>
  <c r="AA553" i="2" s="1"/>
  <c r="AB553" i="2" s="1"/>
  <c r="W551" i="2"/>
  <c r="W549" i="2"/>
  <c r="W552" i="2"/>
  <c r="W550" i="2"/>
  <c r="W548" i="2"/>
  <c r="Q551" i="2"/>
  <c r="Q548" i="2"/>
  <c r="Q552" i="2"/>
  <c r="Q549" i="2"/>
  <c r="AA550" i="2" l="1"/>
  <c r="AB550" i="2" s="1"/>
  <c r="O555" i="2" a="1"/>
  <c r="P555" i="2" a="1"/>
  <c r="P554" i="2" a="1"/>
  <c r="O554" i="2" a="1"/>
  <c r="AA551" i="2"/>
  <c r="AB551" i="2" s="1"/>
  <c r="AA549" i="2"/>
  <c r="AB549" i="2" s="1"/>
  <c r="AA552" i="2"/>
  <c r="AB552" i="2" s="1"/>
  <c r="AA548" i="2"/>
  <c r="AB548" i="2" s="1"/>
  <c r="Q555" i="2" l="1"/>
  <c r="W555" i="2"/>
  <c r="W554" i="2"/>
  <c r="Q554" i="2"/>
  <c r="AA555" i="2" l="1"/>
  <c r="AB555" i="2" s="1"/>
  <c r="P565" i="2" a="1"/>
  <c r="P559" i="2" a="1"/>
  <c r="P556" i="2" a="1"/>
  <c r="O565" i="2" a="1"/>
  <c r="O563" i="2" a="1"/>
  <c r="O561" i="2" a="1"/>
  <c r="O559" i="2" a="1"/>
  <c r="O557" i="2" a="1"/>
  <c r="P563" i="2" a="1"/>
  <c r="P561" i="2" a="1"/>
  <c r="P558" i="2" a="1"/>
  <c r="P564" i="2" a="1"/>
  <c r="P562" i="2" a="1"/>
  <c r="P560" i="2" a="1"/>
  <c r="P557" i="2" a="1"/>
  <c r="O564" i="2" a="1"/>
  <c r="O562" i="2" a="1"/>
  <c r="O560" i="2" a="1"/>
  <c r="O558" i="2" a="1"/>
  <c r="O556" i="2" a="1"/>
  <c r="AA554" i="2"/>
  <c r="AB554" i="2" s="1"/>
  <c r="Q556" i="2" l="1"/>
  <c r="Q558" i="2"/>
  <c r="Q563" i="2"/>
  <c r="Q564" i="2"/>
  <c r="Q562" i="2"/>
  <c r="W565" i="2"/>
  <c r="W563" i="2"/>
  <c r="W561" i="2"/>
  <c r="W559" i="2"/>
  <c r="W557" i="2"/>
  <c r="W564" i="2"/>
  <c r="W562" i="2"/>
  <c r="W560" i="2"/>
  <c r="W558" i="2"/>
  <c r="W556" i="2"/>
  <c r="Q565" i="2"/>
  <c r="Q559" i="2"/>
  <c r="Q561" i="2"/>
  <c r="Q560" i="2"/>
  <c r="Q557" i="2"/>
  <c r="AA556" i="2" l="1"/>
  <c r="AB556" i="2" s="1"/>
  <c r="AA558" i="2"/>
  <c r="AB558" i="2" s="1"/>
  <c r="AA565" i="2"/>
  <c r="AB565" i="2" s="1"/>
  <c r="AA563" i="2"/>
  <c r="AB563" i="2" s="1"/>
  <c r="AA564" i="2"/>
  <c r="AB564" i="2" s="1"/>
  <c r="AA562" i="2"/>
  <c r="AB562" i="2" s="1"/>
  <c r="P566" i="2" a="1"/>
  <c r="P567" i="2" a="1"/>
  <c r="O566" i="2" a="1"/>
  <c r="O567" i="2" a="1"/>
  <c r="AA561" i="2"/>
  <c r="AB561" i="2" s="1"/>
  <c r="AA559" i="2"/>
  <c r="AB559" i="2" s="1"/>
  <c r="AA557" i="2"/>
  <c r="AB557" i="2" s="1"/>
  <c r="AA560" i="2"/>
  <c r="AB560" i="2" s="1"/>
  <c r="G37" i="3" s="1" a="1"/>
  <c r="W566" i="2" l="1"/>
  <c r="W567" i="2"/>
  <c r="Q567" i="2"/>
  <c r="Q566" i="2"/>
  <c r="AA566" i="2" l="1"/>
  <c r="AB566" i="2" s="1"/>
  <c r="AA567" i="2"/>
  <c r="AB567" i="2" s="1"/>
  <c r="G27" i="3" s="1" a="1"/>
  <c r="P575" i="2" a="1"/>
  <c r="P572" i="2" a="1"/>
  <c r="P568" i="2" a="1"/>
  <c r="O575" i="2" a="1"/>
  <c r="O573" i="2" a="1"/>
  <c r="O571" i="2" a="1"/>
  <c r="O569" i="2" a="1"/>
  <c r="P574" i="2" a="1"/>
  <c r="P571" i="2" a="1"/>
  <c r="P569" i="2" a="1"/>
  <c r="P573" i="2" a="1"/>
  <c r="P570" i="2" a="1"/>
  <c r="O574" i="2" a="1"/>
  <c r="O572" i="2" a="1"/>
  <c r="O570" i="2" a="1"/>
  <c r="O568" i="2" a="1"/>
  <c r="Q572" i="2" l="1"/>
  <c r="Q575" i="2"/>
  <c r="Q569" i="2"/>
  <c r="W575" i="2"/>
  <c r="W573" i="2"/>
  <c r="W571" i="2"/>
  <c r="W569" i="2"/>
  <c r="W574" i="2"/>
  <c r="W572" i="2"/>
  <c r="W570" i="2"/>
  <c r="W568" i="2"/>
  <c r="Q568" i="2"/>
  <c r="Q574" i="2"/>
  <c r="Q571" i="2"/>
  <c r="Q573" i="2"/>
  <c r="Q570" i="2"/>
  <c r="AA572" i="2" l="1"/>
  <c r="AB572" i="2" s="1"/>
  <c r="AA575" i="2"/>
  <c r="AB575" i="2" s="1"/>
  <c r="AA569" i="2"/>
  <c r="AB569" i="2" s="1"/>
  <c r="G26" i="3" s="1" a="1"/>
  <c r="P582" i="2" a="1"/>
  <c r="P579" i="2" a="1"/>
  <c r="P576" i="2" a="1"/>
  <c r="O582" i="2" a="1"/>
  <c r="O578" i="2" a="1"/>
  <c r="O576" i="2" a="1"/>
  <c r="P578" i="2" a="1"/>
  <c r="O583" i="2" a="1"/>
  <c r="O581" i="2" a="1"/>
  <c r="O579" i="2" a="1"/>
  <c r="O577" i="2" a="1"/>
  <c r="P583" i="2" a="1"/>
  <c r="P580" i="2" a="1"/>
  <c r="P577" i="2" a="1"/>
  <c r="AA573" i="2"/>
  <c r="AB573" i="2" s="1"/>
  <c r="AA571" i="2"/>
  <c r="AB571" i="2" s="1"/>
  <c r="G28" i="3" s="1" a="1"/>
  <c r="AA574" i="2"/>
  <c r="AB574" i="2" s="1"/>
  <c r="AA570" i="2"/>
  <c r="AB570" i="2" s="1"/>
  <c r="AA568" i="2"/>
  <c r="AB568" i="2" s="1"/>
  <c r="P581" i="2" l="1" a="1"/>
  <c r="O580" i="2" a="1"/>
  <c r="Q583" i="2"/>
  <c r="G31" i="3" a="1"/>
  <c r="AX7" i="3" a="1"/>
  <c r="W582" i="2"/>
  <c r="W578" i="2"/>
  <c r="W576" i="2"/>
  <c r="W583" i="2"/>
  <c r="W579" i="2"/>
  <c r="W577" i="2"/>
  <c r="Q579" i="2"/>
  <c r="Q578" i="2"/>
  <c r="Q577" i="2"/>
  <c r="Q582" i="2"/>
  <c r="Q576" i="2"/>
  <c r="W581" i="2" l="1"/>
  <c r="AA581" i="2" s="1"/>
  <c r="AB581" i="2" s="1"/>
  <c r="Q581" i="2"/>
  <c r="Q580" i="2"/>
  <c r="W580" i="2"/>
  <c r="AA583" i="2"/>
  <c r="AB583" i="2" s="1"/>
  <c r="AA577" i="2"/>
  <c r="AB577" i="2" s="1"/>
  <c r="P585" i="2" a="1"/>
  <c r="O584" i="2" a="1"/>
  <c r="P584" i="2" a="1"/>
  <c r="O587" i="2" a="1"/>
  <c r="O585" i="2" a="1"/>
  <c r="AA578" i="2"/>
  <c r="AB578" i="2" s="1"/>
  <c r="P586" i="2" s="1" a="1"/>
  <c r="AA576" i="2"/>
  <c r="AB576" i="2" s="1"/>
  <c r="AA579" i="2"/>
  <c r="AB579" i="2" s="1"/>
  <c r="AA582" i="2"/>
  <c r="AB582" i="2" s="1"/>
  <c r="AA580" i="2" l="1"/>
  <c r="AB580" i="2" s="1"/>
  <c r="O586" i="2" a="1"/>
  <c r="P587" i="2" a="1"/>
  <c r="Q584" i="2"/>
  <c r="W584" i="2"/>
  <c r="W585" i="2"/>
  <c r="Q585" i="2"/>
  <c r="Q586" i="2" l="1"/>
  <c r="W586" i="2"/>
  <c r="AA586" i="2" s="1"/>
  <c r="AB586" i="2" s="1"/>
  <c r="W587" i="2"/>
  <c r="Q587" i="2"/>
  <c r="AA584" i="2"/>
  <c r="AB584" i="2" s="1"/>
  <c r="P590" i="2" a="1"/>
  <c r="O591" i="2" a="1"/>
  <c r="O589" i="2" a="1"/>
  <c r="P589" i="2" a="1"/>
  <c r="P591" i="2" a="1"/>
  <c r="P588" i="2" a="1"/>
  <c r="O590" i="2" a="1"/>
  <c r="O588" i="2" a="1"/>
  <c r="AA585" i="2"/>
  <c r="AB585" i="2" s="1"/>
  <c r="AA587" i="2" l="1"/>
  <c r="AB587" i="2" s="1"/>
  <c r="Q589" i="2"/>
  <c r="Q590" i="2"/>
  <c r="Q591" i="2"/>
  <c r="W591" i="2"/>
  <c r="W589" i="2"/>
  <c r="W590" i="2"/>
  <c r="W588" i="2"/>
  <c r="Q588" i="2"/>
  <c r="AA589" i="2" l="1"/>
  <c r="AB589" i="2" s="1"/>
  <c r="G29" i="3" s="1" a="1"/>
  <c r="AA590" i="2"/>
  <c r="AB590" i="2" s="1"/>
  <c r="AA591" i="2"/>
  <c r="AB591" i="2" s="1"/>
  <c r="P594" i="2" a="1"/>
  <c r="O594" i="2" a="1"/>
  <c r="O592" i="2" a="1"/>
  <c r="P593" i="2" a="1"/>
  <c r="O595" i="2" a="1"/>
  <c r="O593" i="2" a="1"/>
  <c r="P595" i="2" a="1"/>
  <c r="P592" i="2" a="1"/>
  <c r="AA588" i="2"/>
  <c r="AB588" i="2" s="1"/>
  <c r="Q592" i="2" l="1"/>
  <c r="W594" i="2"/>
  <c r="W592" i="2"/>
  <c r="W595" i="2"/>
  <c r="W593" i="2"/>
  <c r="Q594" i="2"/>
  <c r="Q595" i="2"/>
  <c r="Q593" i="2"/>
  <c r="AA592" i="2" l="1"/>
  <c r="AB592" i="2" s="1"/>
  <c r="AA594" i="2"/>
  <c r="AB594" i="2" s="1"/>
  <c r="G36" i="3" s="1" a="1"/>
  <c r="AA595" i="2"/>
  <c r="AB595" i="2" s="1"/>
  <c r="AA593" i="2"/>
  <c r="AB593" i="2" s="1"/>
  <c r="G25" i="3" s="1" a="1"/>
  <c r="O597" i="2" l="1" a="1"/>
  <c r="P596" i="2" a="1"/>
  <c r="O596" i="2" a="1"/>
  <c r="P597" i="2" a="1"/>
  <c r="Q596" i="2" l="1"/>
  <c r="Q597" i="2"/>
  <c r="W597" i="2"/>
  <c r="W596" i="2"/>
  <c r="AA596" i="2" l="1"/>
  <c r="AB596" i="2" s="1"/>
  <c r="AA597" i="2"/>
  <c r="AB597" i="2" s="1"/>
  <c r="P600" i="2" a="1"/>
  <c r="O600" i="2" a="1"/>
  <c r="O598" i="2" a="1"/>
  <c r="P601" i="2" a="1"/>
  <c r="P598" i="2" a="1"/>
  <c r="O601" i="2" a="1"/>
  <c r="O599" i="2" a="1"/>
  <c r="P599" i="2" a="1"/>
  <c r="AX3" i="3" l="1" a="1"/>
  <c r="G34" i="3" a="1"/>
  <c r="W600" i="2"/>
  <c r="W598" i="2"/>
  <c r="W601" i="2"/>
  <c r="W599" i="2"/>
  <c r="Q600" i="2"/>
  <c r="Q601" i="2"/>
  <c r="Q598" i="2"/>
  <c r="Q599" i="2"/>
  <c r="AA601" i="2" l="1"/>
  <c r="AB601" i="2" s="1"/>
  <c r="AA598" i="2"/>
  <c r="AB598" i="2" s="1"/>
  <c r="AA600" i="2"/>
  <c r="AB600" i="2" s="1"/>
  <c r="P604" i="2" a="1"/>
  <c r="O605" i="2" a="1"/>
  <c r="O603" i="2" a="1"/>
  <c r="P605" i="2" a="1"/>
  <c r="P603" i="2" a="1"/>
  <c r="O604" i="2" a="1"/>
  <c r="O602" i="2" a="1"/>
  <c r="AA599" i="2"/>
  <c r="AB599" i="2" s="1"/>
  <c r="P602" i="2" s="1" a="1"/>
  <c r="Q605" i="2" l="1"/>
  <c r="Q602" i="2"/>
  <c r="W605" i="2"/>
  <c r="W603" i="2"/>
  <c r="W604" i="2"/>
  <c r="W602" i="2"/>
  <c r="Q603" i="2"/>
  <c r="Q604" i="2"/>
  <c r="AA605" i="2" l="1"/>
  <c r="AB605" i="2" s="1"/>
  <c r="AA602" i="2"/>
  <c r="AB602" i="2" s="1"/>
  <c r="P608" i="2" a="1"/>
  <c r="P609" i="2" a="1"/>
  <c r="P606" i="2" a="1"/>
  <c r="O608" i="2" a="1"/>
  <c r="O606" i="2" a="1"/>
  <c r="P607" i="2" a="1"/>
  <c r="O609" i="2" a="1"/>
  <c r="O607" i="2" a="1"/>
  <c r="AA603" i="2"/>
  <c r="AB603" i="2" s="1"/>
  <c r="AA604" i="2"/>
  <c r="AB604" i="2" s="1"/>
  <c r="Q608" i="2" l="1"/>
  <c r="W608" i="2"/>
  <c r="W606" i="2"/>
  <c r="W609" i="2"/>
  <c r="W607" i="2"/>
  <c r="Q609" i="2"/>
  <c r="Q607" i="2"/>
  <c r="Q606" i="2"/>
  <c r="AA608" i="2" l="1"/>
  <c r="AB608" i="2" s="1"/>
  <c r="AA607" i="2"/>
  <c r="AB607" i="2" s="1"/>
  <c r="AA606" i="2"/>
  <c r="AB606" i="2" s="1"/>
  <c r="AA609" i="2"/>
  <c r="AB609" i="2" s="1"/>
  <c r="P612" i="2" a="1"/>
  <c r="O610" i="2" a="1"/>
  <c r="P610" i="2" a="1"/>
  <c r="O613" i="2" a="1"/>
  <c r="O611" i="2" a="1"/>
  <c r="P611" i="2" a="1"/>
  <c r="O612" i="2" l="1" a="1"/>
  <c r="P613" i="2" a="1"/>
  <c r="Q610" i="2"/>
  <c r="Q611" i="2"/>
  <c r="W610" i="2"/>
  <c r="W611" i="2"/>
  <c r="AA610" i="2" l="1"/>
  <c r="AB610" i="2" s="1"/>
  <c r="Q612" i="2"/>
  <c r="W612" i="2"/>
  <c r="AA612" i="2" s="1"/>
  <c r="AB612" i="2" s="1"/>
  <c r="G33" i="3" s="1" a="1"/>
  <c r="Q613" i="2"/>
  <c r="W613" i="2"/>
  <c r="AA611" i="2"/>
  <c r="AB611" i="2" s="1"/>
  <c r="AA613" i="2" l="1"/>
  <c r="AB613" i="2" s="1"/>
  <c r="O614" i="2" a="1"/>
  <c r="P615" i="2" a="1"/>
  <c r="P614" i="2" a="1"/>
  <c r="O615" i="2" a="1"/>
  <c r="Q615" i="2" l="1"/>
  <c r="W614" i="2"/>
  <c r="W615" i="2"/>
  <c r="Q614" i="2"/>
  <c r="AA614" i="2" l="1"/>
  <c r="AB614" i="2" s="1"/>
  <c r="G30" i="3" s="1" a="1"/>
  <c r="AA615" i="2"/>
  <c r="AB615" i="2" s="1"/>
  <c r="O616" i="2" a="1"/>
  <c r="P616" i="2" a="1"/>
  <c r="O617" i="2" a="1"/>
  <c r="P617" i="2" a="1"/>
  <c r="Q616" i="2" l="1"/>
  <c r="Q617" i="2"/>
  <c r="W616" i="2"/>
  <c r="W617" i="2"/>
  <c r="AA616" i="2" l="1"/>
  <c r="AB616" i="2" s="1"/>
  <c r="AA617" i="2"/>
  <c r="AB617" i="2" s="1"/>
  <c r="P618" i="2" a="1"/>
  <c r="O618" i="2" a="1"/>
  <c r="P619" i="2" a="1"/>
  <c r="O619" i="2" a="1"/>
  <c r="W618" i="2" l="1"/>
  <c r="W619" i="2"/>
  <c r="Q618" i="2"/>
  <c r="Q619" i="2"/>
  <c r="AA618" i="2" l="1"/>
  <c r="AB618" i="2" s="1"/>
  <c r="AA619" i="2"/>
  <c r="AB619" i="2" s="1"/>
  <c r="P620" i="2" a="1"/>
  <c r="P621" i="2" a="1"/>
  <c r="O620" i="2" a="1"/>
  <c r="O621" i="2" a="1"/>
  <c r="Q620" i="2" l="1"/>
  <c r="W620" i="2"/>
  <c r="AA620" i="2" s="1"/>
  <c r="AB620" i="2" s="1"/>
  <c r="W621" i="2"/>
  <c r="Q621" i="2"/>
  <c r="AA621" i="2" l="1"/>
  <c r="AB621" i="2" s="1"/>
  <c r="O622" i="2" l="1" a="1"/>
  <c r="P623" i="2" a="1"/>
  <c r="O623" i="2" a="1"/>
  <c r="P622" i="2" a="1"/>
  <c r="W622" i="2" l="1"/>
  <c r="W623" i="2"/>
  <c r="Q623" i="2"/>
  <c r="Q622" i="2"/>
  <c r="AA622" i="2" l="1"/>
  <c r="AB622" i="2" s="1"/>
  <c r="G32" i="3" s="1" a="1"/>
  <c r="AA623" i="2"/>
  <c r="AB623" i="2" s="1"/>
  <c r="AX6" i="3" l="1" a="1"/>
  <c r="G35" i="3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<sst xmlns="http://schemas.openxmlformats.org/spreadsheetml/2006/main" count="3176" uniqueCount="90">
  <si>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</si>
  <si>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</si>
  <si>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</si>
  <si>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</si>
  <si>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</si>
  <si>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</si>
  <si>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</si>
  <si>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</si>
  <si>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</si>
  <si>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</si>
  <si>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</si>
  <si>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</si>
  <si>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</si>
  <si>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</si>
  <si>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</si>
  <si>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</si>
  <si>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</si>
  <si>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</si>
  <si>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</si>
  <si>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</si>
  <si>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</si>
  <si>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</si>
  <si>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</si>
  <si>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</si>
  <si>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</si>
  <si>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</si>
  <si>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</si>
  <si>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</si>
  <si>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</si>
  <si>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</si>
  <si>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</si>
  <si>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</si>
  <si>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</si>
  <si>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</si>
  <si>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</si>
  <si>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</si>
  <si>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</si>
  <si>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</si>
  <si>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</si>
  <si>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</si>
  <si>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</si>
  <si>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</si>
  <si>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</si>
  <si>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</si>
  <si>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</si>
  <si>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</si>
  <si>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</si>
  <si>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</si>
  <si>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</si>
  <si>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</si>
  <si>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</si>
  <si>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</si>
  <si>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</si>
  <si>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</si>
  <si>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</si>
  <si>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</si>
  <si>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</si>
  <si>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</si>
  <si>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</si>
  <si>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</si>
  <si>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</si>
  <si>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</si>
  <si>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</si>
  <si>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</si>
  <si>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</si>
  <si>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</si>
  <si>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</si>
  <si>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</si>
  <si>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</si>
  <si>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</si>
  <si>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</si>
  <si>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</si>
  <si>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</si>
  <si>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Connecticut Sun</t>
  </si>
  <si>
    <t>CON</t>
  </si>
  <si>
    <t>CHI</t>
  </si>
  <si>
    <t>Chicago Sky</t>
  </si>
  <si>
    <t>ATL</t>
  </si>
  <si>
    <t>Atlanta Dream</t>
  </si>
  <si>
    <t>R</t>
  </si>
  <si>
    <t>RS</t>
  </si>
  <si>
    <t>A</t>
  </si>
  <si>
    <t>H</t>
  </si>
  <si>
    <t>P</t>
  </si>
  <si>
    <t>Dallas Wings</t>
  </si>
  <si>
    <t>DAL</t>
  </si>
  <si>
    <t>LVA</t>
  </si>
  <si>
    <t>Las Vegas Aces</t>
  </si>
  <si>
    <t>GSV</t>
  </si>
  <si>
    <t>Golden State Valkyries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</si>
</sst>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5">
    <dxf>
      <numFmt numFmtId="166" formatCode="0.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59.08068796296" createdVersion="8" refreshedVersion="8" minRefreshableVersion="3" recordCount="622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25-05-16T00:00:00" maxDate="2025-10-11T00:00:00"/>
    </cacheField>
    <cacheField name="Season" numFmtId="1">
      <sharedItems containsSemiMixedTypes="0" containsString="0" containsNumber="1" containsInteger="1" minValue="2025" maxValue="2025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0">
      <sharedItems containsMixedTypes="1" containsNumber="1" minValue="0.1" maxValue="3"/>
    </cacheField>
    <cacheField name="Team" numFmtId="0">
      <sharedItems containsBlank="1" count="60">
        <s v="MIN"/>
        <s v="DAL"/>
        <s v="LAS"/>
        <s v="GSV"/>
        <s v="ATL"/>
        <s v="WAS"/>
        <s v="CHI"/>
        <s v="IND"/>
        <s v="LVA"/>
        <s v="NYL"/>
        <s v="SEA"/>
        <s v="PHX"/>
        <s v="CON"/>
        <s v="SAS" u="1"/>
        <s v="TUL" u="1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8"/>
    </cacheField>
    <cacheField name="OppDaysOff" numFmtId="1">
      <sharedItems containsSemiMixedTypes="0" containsString="0" containsNumber="1" containsInteger="1" minValue="0" maxValue="8"/>
    </cacheField>
    <cacheField name="RestDiff" numFmtId="1">
      <sharedItems containsSemiMixedTypes="0" containsString="0" containsNumber="1" containsInteger="1" minValue="-7" maxValue="7"/>
    </cacheField>
    <cacheField name="OppRestDiff" numFmtId="1">
      <sharedItems containsSemiMixedTypes="0" containsString="0" containsNumber="1" containsInteger="1" minValue="-7" maxValue="7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78.4819892893245" maxValue="1717.3021388536483"/>
    </cacheField>
    <cacheField name="OppPreGmRate" numFmtId="165">
      <sharedItems containsSemiMixedTypes="0" containsString="0" containsNumber="1" minValue="1278.4819892893245" maxValue="1717.3021388536483"/>
    </cacheField>
    <cacheField name="ExpectedWin%" numFmtId="165">
      <sharedItems containsSemiMixedTypes="0" containsString="0" containsNumber="1" minValue="6.4941342750246253E-2" maxValue="0.93505865724975368"/>
    </cacheField>
    <cacheField name="PointsFor" numFmtId="0">
      <sharedItems containsSemiMixedTypes="0" containsString="0" containsNumber="1" containsInteger="1" minValue="49" maxValue="111"/>
    </cacheField>
    <cacheField name="PointsAgainst" numFmtId="0">
      <sharedItems containsSemiMixedTypes="0" containsString="0" containsNumber="1" containsInteger="1" minValue="49" maxValue="111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53" maxValue="53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738496921139815" maxValue="0.8763261517765546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7.599999999999994" maxValue="75.849999999999994"/>
    </cacheField>
    <cacheField name="Keff" numFmtId="165">
      <sharedItems containsSemiMixedTypes="0" containsString="0" containsNumber="1" minValue="69.25" maxValue="92.070000000000007"/>
    </cacheField>
    <cacheField name="RatingChange" numFmtId="165">
      <sharedItems containsSemiMixedTypes="0" containsString="0" containsNumber="1" minValue="-32.905733193659934" maxValue="32.905733193659941"/>
    </cacheField>
    <cacheField name="PostGmRate" numFmtId="165">
      <sharedItems containsSemiMixedTypes="0" containsString="0" containsNumber="1" minValue="1278.4819892893245" maxValue="1721.9588276822781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2">
  <r>
    <d v="2025-05-16T00:00:00"/>
    <n v="2025"/>
    <x v="0"/>
    <s v="R"/>
    <s v="RS"/>
    <x v="0"/>
    <s v="DAL"/>
    <s v="A"/>
    <n v="0"/>
    <n v="0"/>
    <n v="0"/>
    <n v="0"/>
    <n v="0"/>
    <n v="0"/>
    <n v="1582.5927287579386"/>
    <n v="1416.5404820021449"/>
    <n v="0.61593525339669009"/>
    <n v="99"/>
    <n v="84"/>
    <n v="0"/>
    <n v="15"/>
    <n v="1"/>
    <n v="0.44172368596264083"/>
    <n v="1"/>
    <n v="75.849999999999994"/>
    <n v="75.849999999999994"/>
    <n v="12.867990085034361"/>
    <n v="1595.4607188429729"/>
    <n v="1"/>
    <n v="0"/>
    <n v="0"/>
    <n v="0"/>
    <n v="0"/>
    <n v="0"/>
    <n v="0"/>
    <n v="0"/>
    <n v="0"/>
    <n v="0"/>
  </r>
  <r>
    <d v="2025-05-16T00:00:00"/>
    <n v="2025"/>
    <x v="0"/>
    <s v="R"/>
    <s v="RS"/>
    <x v="1"/>
    <s v="MIN"/>
    <s v="H"/>
    <n v="0"/>
    <n v="0"/>
    <n v="0"/>
    <n v="0"/>
    <n v="0"/>
    <n v="0"/>
    <n v="1416.5404820021449"/>
    <n v="1582.5927287579386"/>
    <n v="0.38406474660330991"/>
    <n v="84"/>
    <n v="99"/>
    <n v="0"/>
    <n v="-15"/>
    <n v="0"/>
    <n v="0.44172368596264083"/>
    <n v="1"/>
    <n v="75.849999999999994"/>
    <n v="75.849999999999994"/>
    <n v="-12.867990085034361"/>
    <n v="1403.6724919171106"/>
    <n v="0"/>
    <n v="1"/>
    <n v="0"/>
    <n v="0"/>
    <n v="0"/>
    <n v="0"/>
    <n v="0"/>
    <n v="0"/>
    <n v="0"/>
    <n v="0"/>
  </r>
  <r>
    <d v="2025-05-16T00:00:00"/>
    <n v="2025"/>
    <x v="0"/>
    <s v="R"/>
    <s v="RS"/>
    <x v="2"/>
    <s v="GSV"/>
    <s v="A"/>
    <n v="0"/>
    <n v="0"/>
    <n v="0"/>
    <n v="0"/>
    <n v="0"/>
    <n v="0"/>
    <n v="1403.4637737021569"/>
    <n v="1500"/>
    <n v="0.26129472154234568"/>
    <n v="84"/>
    <n v="67"/>
    <n v="0"/>
    <n v="17"/>
    <n v="1"/>
    <n v="0.49279801824189085"/>
    <n v="1"/>
    <n v="75.849999999999994"/>
    <n v="75.849999999999994"/>
    <n v="27.611864919352158"/>
    <n v="1431.0756386215091"/>
    <n v="1"/>
    <n v="0"/>
    <n v="0"/>
    <n v="0"/>
    <n v="0"/>
    <n v="0"/>
    <n v="0"/>
    <n v="0"/>
    <n v="0"/>
    <n v="0"/>
  </r>
  <r>
    <d v="2025-05-16T00:00:00"/>
    <n v="2025"/>
    <x v="0"/>
    <s v="R"/>
    <s v="RS"/>
    <x v="3"/>
    <s v="LAS"/>
    <s v="H"/>
    <n v="0"/>
    <n v="0"/>
    <n v="0"/>
    <n v="0"/>
    <n v="0"/>
    <n v="0"/>
    <n v="1500"/>
    <n v="1403.4637737021569"/>
    <n v="0.73870527845765432"/>
    <n v="67"/>
    <n v="84"/>
    <n v="0"/>
    <n v="-17"/>
    <n v="0"/>
    <n v="0.49279801824189085"/>
    <n v="1"/>
    <n v="75.849999999999994"/>
    <n v="75.849999999999994"/>
    <n v="-27.611864919352158"/>
    <n v="1472.3881350806478"/>
    <n v="0"/>
    <n v="1"/>
    <n v="0"/>
    <n v="0"/>
    <n v="0"/>
    <n v="0"/>
    <n v="0"/>
    <n v="0"/>
    <n v="0"/>
    <n v="0"/>
  </r>
  <r>
    <d v="2025-05-16T00:00:00"/>
    <n v="2025"/>
    <x v="0"/>
    <s v="R"/>
    <s v="RS"/>
    <x v="4"/>
    <s v="WAS"/>
    <s v="A"/>
    <n v="0"/>
    <n v="0"/>
    <n v="0"/>
    <n v="0"/>
    <n v="0"/>
    <n v="0"/>
    <n v="1462.6746008160044"/>
    <n v="1477.5611927584523"/>
    <n v="0.36141290607832538"/>
    <n v="90"/>
    <n v="94"/>
    <n v="0"/>
    <n v="-4"/>
    <n v="0"/>
    <n v="0.30761659924744583"/>
    <n v="1"/>
    <n v="75.849999999999994"/>
    <n v="75.849999999999994"/>
    <n v="-8.4327457996244828"/>
    <n v="1454.24185501638"/>
    <n v="0"/>
    <n v="1"/>
    <n v="0"/>
    <n v="0"/>
    <n v="0"/>
    <n v="0"/>
    <n v="0"/>
    <n v="0"/>
    <n v="0"/>
    <n v="0"/>
  </r>
  <r>
    <d v="2025-05-16T00:00:00"/>
    <n v="2025"/>
    <x v="0"/>
    <s v="R"/>
    <s v="RS"/>
    <x v="5"/>
    <s v="ATL"/>
    <s v="H"/>
    <n v="0"/>
    <n v="0"/>
    <n v="0"/>
    <n v="0"/>
    <n v="0"/>
    <n v="0"/>
    <n v="1477.5611927584523"/>
    <n v="1462.6746008160044"/>
    <n v="0.63858709392167456"/>
    <n v="94"/>
    <n v="90"/>
    <n v="0"/>
    <n v="4"/>
    <n v="1"/>
    <n v="0.30761659924744583"/>
    <n v="1"/>
    <n v="75.849999999999994"/>
    <n v="75.849999999999994"/>
    <n v="8.4327457996244846"/>
    <n v="1485.9939385580767"/>
    <n v="1"/>
    <n v="0"/>
    <n v="0"/>
    <n v="0"/>
    <n v="0"/>
    <n v="0"/>
    <n v="0"/>
    <n v="0"/>
    <n v="0"/>
    <n v="0"/>
  </r>
  <r>
    <d v="2025-05-17T00:00:00"/>
    <n v="2025"/>
    <x v="0"/>
    <s v="R"/>
    <s v="RS"/>
    <x v="6"/>
    <s v="IND"/>
    <s v="A"/>
    <n v="1"/>
    <n v="1"/>
    <n v="0"/>
    <n v="0"/>
    <n v="0"/>
    <n v="0"/>
    <n v="1425.1555625247925"/>
    <n v="1489.0088418949033"/>
    <n v="0.29919966471276871"/>
    <n v="58"/>
    <n v="93"/>
    <n v="0"/>
    <n v="-35"/>
    <n v="0"/>
    <n v="0.72366794372720467"/>
    <n v="1"/>
    <n v="75.849999999999994"/>
    <n v="75.849999999999994"/>
    <n v="-16.423133484699452"/>
    <n v="1408.7324290400929"/>
    <n v="0"/>
    <n v="1"/>
    <n v="0"/>
    <n v="0"/>
    <n v="0"/>
    <n v="0"/>
    <n v="0"/>
    <n v="0"/>
    <n v="0"/>
    <n v="0"/>
  </r>
  <r>
    <d v="2025-05-17T00:00:00"/>
    <n v="2025"/>
    <x v="0"/>
    <s v="R"/>
    <s v="RS"/>
    <x v="7"/>
    <s v="CHI"/>
    <s v="H"/>
    <n v="1"/>
    <n v="1"/>
    <n v="0"/>
    <n v="0"/>
    <n v="0"/>
    <n v="0"/>
    <n v="1489.0088418949033"/>
    <n v="1425.1555625247925"/>
    <n v="0.70080033528723129"/>
    <n v="93"/>
    <n v="58"/>
    <n v="0"/>
    <n v="35"/>
    <n v="1"/>
    <n v="0.72366794372720467"/>
    <n v="1"/>
    <n v="75.849999999999994"/>
    <n v="75.849999999999994"/>
    <n v="16.423133484699452"/>
    <n v="1505.4319753796028"/>
    <n v="1"/>
    <n v="0"/>
    <n v="0"/>
    <n v="0"/>
    <n v="0"/>
    <n v="0"/>
    <n v="0"/>
    <n v="0"/>
    <n v="0"/>
    <n v="0"/>
  </r>
  <r>
    <d v="2025-05-17T00:00:00"/>
    <n v="2025"/>
    <x v="0"/>
    <s v="R"/>
    <s v="RS"/>
    <x v="8"/>
    <s v="NYL"/>
    <s v="A"/>
    <n v="1"/>
    <n v="1"/>
    <n v="0"/>
    <n v="0"/>
    <n v="0"/>
    <n v="0"/>
    <n v="1580.6423313736987"/>
    <n v="1620.422454939056"/>
    <n v="0.32903879246898182"/>
    <n v="78"/>
    <n v="92"/>
    <n v="0"/>
    <n v="-14"/>
    <n v="0"/>
    <n v="0.47196249812281754"/>
    <n v="1"/>
    <n v="75.849999999999994"/>
    <n v="75.849999999999994"/>
    <n v="-11.779047660375227"/>
    <n v="1568.8632837133234"/>
    <n v="0"/>
    <n v="1"/>
    <n v="0"/>
    <n v="0"/>
    <n v="0"/>
    <n v="0"/>
    <n v="0"/>
    <n v="0"/>
    <n v="0"/>
    <n v="0"/>
  </r>
  <r>
    <d v="2025-05-17T00:00:00"/>
    <n v="2025"/>
    <x v="0"/>
    <s v="R"/>
    <s v="RS"/>
    <x v="9"/>
    <s v="LVA"/>
    <s v="H"/>
    <n v="1"/>
    <n v="1"/>
    <n v="0"/>
    <n v="0"/>
    <n v="0"/>
    <n v="0"/>
    <n v="1620.422454939056"/>
    <n v="1580.6423313736987"/>
    <n v="0.67096120753101818"/>
    <n v="92"/>
    <n v="78"/>
    <n v="0"/>
    <n v="14"/>
    <n v="1"/>
    <n v="0.47196249812281754"/>
    <n v="1"/>
    <n v="75.849999999999994"/>
    <n v="75.849999999999994"/>
    <n v="11.779047660375227"/>
    <n v="1632.2015025994313"/>
    <n v="1"/>
    <n v="0"/>
    <n v="0"/>
    <n v="0"/>
    <n v="0"/>
    <n v="0"/>
    <n v="0"/>
    <n v="0"/>
    <n v="0"/>
    <n v="0"/>
  </r>
  <r>
    <d v="2025-05-17T00:00:00"/>
    <n v="2025"/>
    <x v="0"/>
    <s v="R"/>
    <s v="RS"/>
    <x v="10"/>
    <s v="PHX"/>
    <s v="A"/>
    <n v="1"/>
    <n v="1"/>
    <n v="0"/>
    <n v="0"/>
    <n v="0"/>
    <n v="0"/>
    <n v="1525.6174355165053"/>
    <n v="1456.268975787305"/>
    <n v="0.47892722874229088"/>
    <n v="59"/>
    <n v="81"/>
    <n v="0"/>
    <n v="-22"/>
    <n v="0"/>
    <n v="0.56916396758250054"/>
    <n v="1"/>
    <n v="75.849999999999994"/>
    <n v="75.849999999999994"/>
    <n v="-20.675809030509171"/>
    <n v="1504.9416264859963"/>
    <n v="0"/>
    <n v="1"/>
    <n v="0"/>
    <n v="0"/>
    <n v="0"/>
    <n v="0"/>
    <n v="0"/>
    <n v="0"/>
    <n v="0"/>
    <n v="0"/>
  </r>
  <r>
    <d v="2025-05-17T00:00:00"/>
    <n v="2025"/>
    <x v="0"/>
    <s v="R"/>
    <s v="RS"/>
    <x v="11"/>
    <s v="SEA"/>
    <s v="H"/>
    <n v="1"/>
    <n v="1"/>
    <n v="0"/>
    <n v="0"/>
    <n v="0"/>
    <n v="0"/>
    <n v="1456.268975787305"/>
    <n v="1525.6174355165053"/>
    <n v="0.52107277125770912"/>
    <n v="81"/>
    <n v="59"/>
    <n v="0"/>
    <n v="22"/>
    <n v="1"/>
    <n v="0.56916396758250054"/>
    <n v="1"/>
    <n v="75.849999999999994"/>
    <n v="75.849999999999994"/>
    <n v="20.675809030509171"/>
    <n v="1476.944784817814"/>
    <n v="1"/>
    <n v="0"/>
    <n v="0"/>
    <n v="0"/>
    <n v="0"/>
    <n v="0"/>
    <n v="0"/>
    <n v="0"/>
    <n v="0"/>
    <n v="0"/>
  </r>
  <r>
    <d v="2025-05-18T00:00:00"/>
    <n v="2025"/>
    <x v="1"/>
    <s v="R"/>
    <s v="RS"/>
    <x v="5"/>
    <s v="CON"/>
    <s v="A"/>
    <n v="1"/>
    <n v="2"/>
    <n v="-1"/>
    <n v="1"/>
    <n v="-8"/>
    <n v="8"/>
    <n v="1485.9939385580767"/>
    <n v="1559.5986700143221"/>
    <n v="0.26906940218282216"/>
    <n v="90"/>
    <n v="85"/>
    <n v="0"/>
    <n v="5"/>
    <n v="1"/>
    <n v="0.31258298647987887"/>
    <n v="1"/>
    <n v="75.7"/>
    <n v="75.7"/>
    <n v="17.295668716563902"/>
    <n v="1503.2896072746405"/>
    <n v="1"/>
    <n v="0"/>
    <n v="0"/>
    <n v="0"/>
    <n v="0"/>
    <n v="0"/>
    <n v="0"/>
    <n v="0"/>
    <n v="0"/>
    <n v="0"/>
  </r>
  <r>
    <d v="2025-05-18T00:00:00"/>
    <n v="2025"/>
    <x v="0"/>
    <s v="R"/>
    <s v="RS"/>
    <x v="12"/>
    <s v="WAS"/>
    <s v="H"/>
    <n v="2"/>
    <n v="1"/>
    <n v="1"/>
    <n v="-1"/>
    <n v="8"/>
    <n v="-8"/>
    <n v="1559.5986700143221"/>
    <n v="1485.9939385580767"/>
    <n v="0.73093059781717795"/>
    <n v="85"/>
    <n v="90"/>
    <n v="0"/>
    <n v="-5"/>
    <n v="0"/>
    <n v="0.31258298647987887"/>
    <n v="1"/>
    <n v="75.849999999999994"/>
    <n v="75.849999999999994"/>
    <n v="-17.329940186940185"/>
    <n v="1542.268729827382"/>
    <n v="0"/>
    <n v="1"/>
    <n v="0"/>
    <n v="0"/>
    <n v="0"/>
    <n v="0"/>
    <n v="0"/>
    <n v="0"/>
    <n v="0"/>
    <n v="0"/>
  </r>
  <r>
    <d v="2025-05-18T00:00:00"/>
    <n v="2025"/>
    <x v="1"/>
    <s v="R"/>
    <s v="RS"/>
    <x v="0"/>
    <s v="LAS"/>
    <s v="A"/>
    <n v="1"/>
    <n v="1"/>
    <n v="0"/>
    <n v="0"/>
    <n v="0"/>
    <n v="0"/>
    <n v="1595.4607188429729"/>
    <n v="1431.0756386215091"/>
    <n v="0.61366248946460811"/>
    <n v="89"/>
    <n v="75"/>
    <n v="0"/>
    <n v="14"/>
    <n v="1"/>
    <n v="0.42885966192619507"/>
    <n v="1"/>
    <n v="75.7"/>
    <n v="75.7"/>
    <n v="12.542322263731531"/>
    <n v="1608.0030411067044"/>
    <n v="1"/>
    <n v="0"/>
    <n v="0"/>
    <n v="0"/>
    <n v="0"/>
    <n v="0"/>
    <n v="0"/>
    <n v="0"/>
    <n v="0"/>
    <n v="0"/>
  </r>
  <r>
    <d v="2025-05-18T00:00:00"/>
    <n v="2025"/>
    <x v="1"/>
    <s v="R"/>
    <s v="RS"/>
    <x v="2"/>
    <s v="MIN"/>
    <s v="H"/>
    <n v="1"/>
    <n v="1"/>
    <n v="0"/>
    <n v="0"/>
    <n v="0"/>
    <n v="0"/>
    <n v="1431.0756386215091"/>
    <n v="1595.4607188429729"/>
    <n v="0.38633751053539189"/>
    <n v="75"/>
    <n v="89"/>
    <n v="0"/>
    <n v="-14"/>
    <n v="0"/>
    <n v="0.42885966192619507"/>
    <n v="1"/>
    <n v="75.7"/>
    <n v="75.7"/>
    <n v="-12.542322263731531"/>
    <n v="1418.5333163577777"/>
    <n v="0"/>
    <n v="1"/>
    <n v="0"/>
    <n v="0"/>
    <n v="0"/>
    <n v="0"/>
    <n v="0"/>
    <n v="0"/>
    <n v="0"/>
    <n v="0"/>
  </r>
  <r>
    <d v="2025-05-19T00:00:00"/>
    <n v="2025"/>
    <x v="1"/>
    <s v="R"/>
    <s v="RS"/>
    <x v="10"/>
    <s v="DAL"/>
    <s v="A"/>
    <n v="1"/>
    <n v="2"/>
    <n v="-1"/>
    <n v="1"/>
    <n v="-8"/>
    <n v="8"/>
    <n v="1504.9416264859963"/>
    <n v="1403.6724919171106"/>
    <n v="0.50182642333851157"/>
    <n v="79"/>
    <n v="71"/>
    <n v="0"/>
    <n v="8"/>
    <n v="1"/>
    <n v="0.35809551585036764"/>
    <n v="1"/>
    <n v="75.7"/>
    <n v="75.7"/>
    <n v="13.50440490056371"/>
    <n v="1518.44603138656"/>
    <n v="1"/>
    <n v="0"/>
    <n v="0"/>
    <n v="0"/>
    <n v="0"/>
    <n v="0"/>
    <n v="0"/>
    <n v="0"/>
    <n v="0"/>
    <n v="0"/>
  </r>
  <r>
    <d v="2025-05-19T00:00:00"/>
    <n v="2025"/>
    <x v="1"/>
    <s v="R"/>
    <s v="RS"/>
    <x v="1"/>
    <s v="SEA"/>
    <s v="H"/>
    <n v="2"/>
    <n v="1"/>
    <n v="1"/>
    <n v="-1"/>
    <n v="8"/>
    <n v="-8"/>
    <n v="1403.6724919171106"/>
    <n v="1504.9416264859963"/>
    <n v="0.49817357666148837"/>
    <n v="71"/>
    <n v="79"/>
    <n v="0"/>
    <n v="-8"/>
    <n v="0"/>
    <n v="0.35809551585036764"/>
    <n v="1"/>
    <n v="75.7"/>
    <n v="75.7"/>
    <n v="-13.504404900563708"/>
    <n v="1390.1680870165469"/>
    <n v="0"/>
    <n v="1"/>
    <n v="0"/>
    <n v="0"/>
    <n v="0"/>
    <n v="0"/>
    <n v="0"/>
    <n v="0"/>
    <n v="0"/>
    <n v="0"/>
  </r>
  <r>
    <d v="2025-05-20T00:00:00"/>
    <n v="2025"/>
    <x v="1"/>
    <s v="R"/>
    <s v="RS"/>
    <x v="8"/>
    <s v="CON"/>
    <s v="A"/>
    <n v="2"/>
    <n v="1"/>
    <n v="1"/>
    <n v="-1"/>
    <n v="8"/>
    <n v="-8"/>
    <n v="1568.8632837133234"/>
    <n v="1542.268729827382"/>
    <n v="0.44069327655745005"/>
    <n v="87"/>
    <n v="62"/>
    <n v="0"/>
    <n v="25"/>
    <n v="1"/>
    <n v="0.62743930472739784"/>
    <n v="1"/>
    <n v="75.7"/>
    <n v="75.7"/>
    <n v="26.565478341641747"/>
    <n v="1595.4287620549651"/>
    <n v="1"/>
    <n v="0"/>
    <n v="0"/>
    <n v="0"/>
    <n v="0"/>
    <n v="0"/>
    <n v="0"/>
    <n v="0"/>
    <n v="0"/>
    <n v="0"/>
  </r>
  <r>
    <d v="2025-05-20T00:00:00"/>
    <n v="2025"/>
    <x v="1"/>
    <s v="R"/>
    <s v="RS"/>
    <x v="12"/>
    <s v="LVA"/>
    <s v="H"/>
    <n v="1"/>
    <n v="2"/>
    <n v="-1"/>
    <n v="1"/>
    <n v="-8"/>
    <n v="8"/>
    <n v="1542.268729827382"/>
    <n v="1568.8632837133234"/>
    <n v="0.55930672344254995"/>
    <n v="62"/>
    <n v="87"/>
    <n v="0"/>
    <n v="-25"/>
    <n v="0"/>
    <n v="0.62743930472739784"/>
    <n v="1"/>
    <n v="75.7"/>
    <n v="75.7"/>
    <n v="-26.565478341641747"/>
    <n v="1515.7032514857403"/>
    <n v="0"/>
    <n v="1"/>
    <n v="0"/>
    <n v="0"/>
    <n v="0"/>
    <n v="0"/>
    <n v="0"/>
    <n v="0"/>
    <n v="0"/>
    <n v="0"/>
  </r>
  <r>
    <d v="2025-05-20T00:00:00"/>
    <n v="2025"/>
    <x v="1"/>
    <s v="R"/>
    <s v="RS"/>
    <x v="4"/>
    <s v="IND"/>
    <s v="A"/>
    <n v="3"/>
    <n v="2"/>
    <n v="1"/>
    <n v="-1"/>
    <n v="8"/>
    <n v="-8"/>
    <n v="1454.24185501638"/>
    <n v="1505.4319753796028"/>
    <n v="0.33489820459924563"/>
    <n v="91"/>
    <n v="90"/>
    <n v="0"/>
    <n v="1"/>
    <n v="1"/>
    <n v="0.23418951315990982"/>
    <n v="1"/>
    <n v="75.7"/>
    <n v="75.7"/>
    <n v="11.791021830968024"/>
    <n v="1466.032876847348"/>
    <n v="1"/>
    <n v="0"/>
    <n v="0"/>
    <n v="0"/>
    <n v="0"/>
    <n v="0"/>
    <n v="0"/>
    <n v="0"/>
    <n v="0"/>
    <n v="0"/>
  </r>
  <r>
    <d v="2025-05-20T00:00:00"/>
    <n v="2025"/>
    <x v="1"/>
    <s v="R"/>
    <s v="RS"/>
    <x v="7"/>
    <s v="ATL"/>
    <s v="H"/>
    <n v="2"/>
    <n v="3"/>
    <n v="-1"/>
    <n v="1"/>
    <n v="-8"/>
    <n v="8"/>
    <n v="1505.4319753796028"/>
    <n v="1454.24185501638"/>
    <n v="0.66510179540075443"/>
    <n v="90"/>
    <n v="91"/>
    <n v="0"/>
    <n v="-1"/>
    <n v="0"/>
    <n v="0.23418951315990982"/>
    <n v="1"/>
    <n v="75.7"/>
    <n v="75.7"/>
    <n v="-11.791021830968026"/>
    <n v="1493.6409535486348"/>
    <n v="0"/>
    <n v="1"/>
    <n v="0"/>
    <n v="0"/>
    <n v="0"/>
    <n v="0"/>
    <n v="0"/>
    <n v="0"/>
    <n v="0"/>
    <n v="0"/>
  </r>
  <r>
    <d v="2025-05-21T00:00:00"/>
    <n v="2025"/>
    <x v="2"/>
    <s v="R"/>
    <s v="RS"/>
    <x v="5"/>
    <s v="GSV"/>
    <s v="A"/>
    <n v="2"/>
    <n v="4"/>
    <n v="-2"/>
    <n v="2"/>
    <n v="-16"/>
    <n v="16"/>
    <n v="1503.2896072746405"/>
    <n v="1472.3881350806478"/>
    <n v="0.37992501642966919"/>
    <n v="74"/>
    <n v="76"/>
    <n v="0"/>
    <n v="-2"/>
    <n v="0"/>
    <n v="0.26111723174618884"/>
    <n v="1"/>
    <n v="75.55"/>
    <n v="75.55"/>
    <n v="-7.494935374801722"/>
    <n v="1495.7946718998387"/>
    <n v="0"/>
    <n v="1"/>
    <n v="0"/>
    <n v="0"/>
    <n v="0"/>
    <n v="0"/>
    <n v="0"/>
    <n v="0"/>
    <n v="0"/>
    <n v="0"/>
  </r>
  <r>
    <d v="2025-05-21T00:00:00"/>
    <n v="2025"/>
    <x v="1"/>
    <s v="R"/>
    <s v="RS"/>
    <x v="3"/>
    <s v="WAS"/>
    <s v="H"/>
    <n v="4"/>
    <n v="2"/>
    <n v="2"/>
    <n v="-2"/>
    <n v="16"/>
    <n v="-16"/>
    <n v="1472.3881350806478"/>
    <n v="1503.2896072746405"/>
    <n v="0.62007498357033086"/>
    <n v="76"/>
    <n v="74"/>
    <n v="0"/>
    <n v="2"/>
    <n v="1"/>
    <n v="0.26111723174618884"/>
    <n v="1"/>
    <n v="75.7"/>
    <n v="75.7"/>
    <n v="7.5098161200859073"/>
    <n v="1479.8979512007336"/>
    <n v="1"/>
    <n v="0"/>
    <n v="0"/>
    <n v="0"/>
    <n v="0"/>
    <n v="0"/>
    <n v="0"/>
    <n v="0"/>
    <n v="0"/>
    <n v="0"/>
  </r>
  <r>
    <d v="2025-05-21T00:00:00"/>
    <n v="2025"/>
    <x v="2"/>
    <s v="R"/>
    <s v="RS"/>
    <x v="1"/>
    <s v="MIN"/>
    <s v="A"/>
    <n v="1"/>
    <n v="2"/>
    <n v="-1"/>
    <n v="1"/>
    <n v="-8"/>
    <n v="8"/>
    <n v="1390.1680870165469"/>
    <n v="1608.0030411067044"/>
    <n v="0.13828532749691969"/>
    <n v="81"/>
    <n v="85"/>
    <n v="0"/>
    <n v="-4"/>
    <n v="0"/>
    <n v="0.26358447491123926"/>
    <n v="1"/>
    <n v="75.55"/>
    <n v="75.55"/>
    <n v="-2.7537873337052372"/>
    <n v="1387.4142996828416"/>
    <n v="0"/>
    <n v="1"/>
    <n v="0"/>
    <n v="0"/>
    <n v="0"/>
    <n v="0"/>
    <n v="0"/>
    <n v="0"/>
    <n v="0"/>
    <n v="0"/>
  </r>
  <r>
    <d v="2025-05-21T00:00:00"/>
    <n v="2025"/>
    <x v="2"/>
    <s v="R"/>
    <s v="RS"/>
    <x v="0"/>
    <s v="DAL"/>
    <s v="H"/>
    <n v="2"/>
    <n v="1"/>
    <n v="1"/>
    <n v="-1"/>
    <n v="8"/>
    <n v="-8"/>
    <n v="1608.0030411067044"/>
    <n v="1390.1680870165469"/>
    <n v="0.86171467250308031"/>
    <n v="85"/>
    <n v="81"/>
    <n v="0"/>
    <n v="4"/>
    <n v="1"/>
    <n v="0.26358447491123926"/>
    <n v="1"/>
    <n v="75.55"/>
    <n v="75.55"/>
    <n v="2.7537873337052372"/>
    <n v="1610.7568284404097"/>
    <n v="1"/>
    <n v="0"/>
    <n v="0"/>
    <n v="0"/>
    <n v="0"/>
    <n v="0"/>
    <n v="0"/>
    <n v="0"/>
    <n v="0"/>
    <n v="0"/>
  </r>
  <r>
    <d v="2025-05-21T00:00:00"/>
    <n v="2025"/>
    <x v="2"/>
    <s v="R"/>
    <s v="RS"/>
    <x v="2"/>
    <s v="PHX"/>
    <s v="A"/>
    <n v="2"/>
    <n v="3"/>
    <n v="-1"/>
    <n v="1"/>
    <n v="-8"/>
    <n v="8"/>
    <n v="1418.5333163577777"/>
    <n v="1476.944784817814"/>
    <n v="0.28661329889318349"/>
    <n v="86"/>
    <n v="89"/>
    <n v="0"/>
    <n v="-3"/>
    <n v="0"/>
    <n v="0.27671412256324979"/>
    <n v="1"/>
    <n v="75.55"/>
    <n v="75.55"/>
    <n v="-5.9918665349989313"/>
    <n v="1412.5414498227788"/>
    <n v="0"/>
    <n v="1"/>
    <n v="0"/>
    <n v="0"/>
    <n v="0"/>
    <n v="0"/>
    <n v="0"/>
    <n v="0"/>
    <n v="0"/>
    <n v="0"/>
  </r>
  <r>
    <d v="2025-05-21T00:00:00"/>
    <n v="2025"/>
    <x v="1"/>
    <s v="R"/>
    <s v="RS"/>
    <x v="11"/>
    <s v="LAS"/>
    <s v="H"/>
    <n v="3"/>
    <n v="2"/>
    <n v="1"/>
    <n v="-1"/>
    <n v="8"/>
    <n v="-8"/>
    <n v="1476.944784817814"/>
    <n v="1418.5333163577777"/>
    <n v="0.71338670110681646"/>
    <n v="89"/>
    <n v="86"/>
    <n v="0"/>
    <n v="3"/>
    <n v="1"/>
    <n v="0.27671412256324979"/>
    <n v="1"/>
    <n v="75.7"/>
    <n v="75.7"/>
    <n v="6.0037630271266602"/>
    <n v="1482.9485478449408"/>
    <n v="1"/>
    <n v="0"/>
    <n v="0"/>
    <n v="0"/>
    <n v="0"/>
    <n v="0"/>
    <n v="0"/>
    <n v="0"/>
    <n v="0"/>
    <n v="0"/>
  </r>
  <r>
    <d v="2025-05-22T00:00:00"/>
    <n v="2025"/>
    <x v="2"/>
    <s v="R"/>
    <s v="RS"/>
    <x v="7"/>
    <s v="ATL"/>
    <s v="A"/>
    <n v="1"/>
    <n v="1"/>
    <n v="0"/>
    <n v="0"/>
    <n v="0"/>
    <n v="0"/>
    <n v="1493.6409535486348"/>
    <n v="1466.032876847348"/>
    <n v="0.4195507187933511"/>
    <n v="81"/>
    <n v="76"/>
    <n v="0"/>
    <n v="5"/>
    <n v="1"/>
    <n v="0.32429500759171731"/>
    <n v="1"/>
    <n v="75.55"/>
    <n v="75.55"/>
    <n v="14.221290546394313"/>
    <n v="1507.8622440950292"/>
    <n v="1"/>
    <n v="0"/>
    <n v="0"/>
    <n v="0"/>
    <n v="0"/>
    <n v="0"/>
    <n v="0"/>
    <n v="0"/>
    <n v="0"/>
    <n v="0"/>
  </r>
  <r>
    <d v="2025-05-22T00:00:00"/>
    <n v="2025"/>
    <x v="2"/>
    <s v="R"/>
    <s v="RS"/>
    <x v="4"/>
    <s v="IND"/>
    <s v="H"/>
    <n v="1"/>
    <n v="1"/>
    <n v="0"/>
    <n v="0"/>
    <n v="0"/>
    <n v="0"/>
    <n v="1466.032876847348"/>
    <n v="1493.6409535486348"/>
    <n v="0.58044928120664896"/>
    <n v="76"/>
    <n v="81"/>
    <n v="0"/>
    <n v="-5"/>
    <n v="0"/>
    <n v="0.32429500759171731"/>
    <n v="1"/>
    <n v="75.55"/>
    <n v="75.55"/>
    <n v="-14.221290546394314"/>
    <n v="1451.8115863009536"/>
    <n v="0"/>
    <n v="1"/>
    <n v="0"/>
    <n v="0"/>
    <n v="0"/>
    <n v="0"/>
    <n v="0"/>
    <n v="0"/>
    <n v="0"/>
    <n v="0"/>
  </r>
  <r>
    <d v="2025-05-22T00:00:00"/>
    <n v="2025"/>
    <x v="1"/>
    <s v="R"/>
    <s v="RS"/>
    <x v="9"/>
    <s v="CHI"/>
    <s v="A"/>
    <n v="4"/>
    <n v="4"/>
    <n v="0"/>
    <n v="0"/>
    <n v="0"/>
    <n v="0"/>
    <n v="1632.2015025994313"/>
    <n v="1408.7324290400929"/>
    <n v="0.69058347812293164"/>
    <n v="99"/>
    <n v="74"/>
    <n v="0"/>
    <n v="25"/>
    <n v="1"/>
    <n v="0.54066059345301687"/>
    <n v="1"/>
    <n v="75.7"/>
    <n v="75.7"/>
    <n v="12.663801549906369"/>
    <n v="1644.8653041493376"/>
    <n v="1"/>
    <n v="0"/>
    <n v="0"/>
    <n v="0"/>
    <n v="0"/>
    <n v="0"/>
    <n v="0"/>
    <n v="0"/>
    <n v="0"/>
    <n v="0"/>
  </r>
  <r>
    <d v="2025-05-22T00:00:00"/>
    <n v="2025"/>
    <x v="1"/>
    <s v="R"/>
    <s v="RS"/>
    <x v="6"/>
    <s v="NYL"/>
    <s v="H"/>
    <n v="4"/>
    <n v="4"/>
    <n v="0"/>
    <n v="0"/>
    <n v="0"/>
    <n v="0"/>
    <n v="1408.7324290400929"/>
    <n v="1632.2015025994313"/>
    <n v="0.30941652187706836"/>
    <n v="74"/>
    <n v="99"/>
    <n v="0"/>
    <n v="-25"/>
    <n v="0"/>
    <n v="0.54066059345301687"/>
    <n v="1"/>
    <n v="75.7"/>
    <n v="75.7"/>
    <n v="-12.663801549906369"/>
    <n v="1396.0686274901866"/>
    <n v="0"/>
    <n v="1"/>
    <n v="0"/>
    <n v="0"/>
    <n v="0"/>
    <n v="0"/>
    <n v="0"/>
    <n v="0"/>
    <n v="0"/>
    <n v="0"/>
  </r>
  <r>
    <d v="2025-05-23T00:00:00"/>
    <n v="2025"/>
    <x v="2"/>
    <s v="R"/>
    <s v="RS"/>
    <x v="3"/>
    <s v="LAS"/>
    <s v="A"/>
    <n v="1"/>
    <n v="1"/>
    <n v="0"/>
    <n v="0"/>
    <n v="0"/>
    <n v="0"/>
    <n v="1479.8979512007336"/>
    <n v="1412.5414498227788"/>
    <n v="0.47606638475435381"/>
    <n v="82"/>
    <n v="73"/>
    <n v="0"/>
    <n v="9"/>
    <n v="1"/>
    <n v="0.38439526056560414"/>
    <n v="1"/>
    <n v="75.55"/>
    <n v="75.55"/>
    <n v="15.215588570560472"/>
    <n v="1495.113539771294"/>
    <n v="1"/>
    <n v="0"/>
    <n v="0"/>
    <n v="0"/>
    <n v="0"/>
    <n v="0"/>
    <n v="0"/>
    <n v="0"/>
    <n v="0"/>
    <n v="0"/>
  </r>
  <r>
    <d v="2025-05-23T00:00:00"/>
    <n v="2025"/>
    <x v="3"/>
    <s v="R"/>
    <s v="RS"/>
    <x v="2"/>
    <s v="GSV"/>
    <s v="H"/>
    <n v="1"/>
    <n v="1"/>
    <n v="0"/>
    <n v="0"/>
    <n v="0"/>
    <n v="0"/>
    <n v="1412.5414498227788"/>
    <n v="1479.8979512007336"/>
    <n v="0.52393361524564619"/>
    <n v="73"/>
    <n v="82"/>
    <n v="0"/>
    <n v="-9"/>
    <n v="0"/>
    <n v="0.38439526056560414"/>
    <n v="1"/>
    <n v="75.400000000000006"/>
    <n v="75.400000000000006"/>
    <n v="-15.185378930777759"/>
    <n v="1397.3560708920011"/>
    <n v="0"/>
    <n v="1"/>
    <n v="0"/>
    <n v="0"/>
    <n v="0"/>
    <n v="0"/>
    <n v="0"/>
    <n v="0"/>
    <n v="0"/>
    <n v="0"/>
  </r>
  <r>
    <d v="2025-05-23T00:00:00"/>
    <n v="2025"/>
    <x v="3"/>
    <s v="R"/>
    <s v="RS"/>
    <x v="5"/>
    <s v="LVA"/>
    <s v="A"/>
    <n v="1"/>
    <n v="2"/>
    <n v="-1"/>
    <n v="1"/>
    <n v="-8"/>
    <n v="8"/>
    <n v="1495.7946718998387"/>
    <n v="1595.4287620549651"/>
    <n v="0.24063775831457565"/>
    <n v="72"/>
    <n v="75"/>
    <n v="0"/>
    <n v="-3"/>
    <n v="0"/>
    <n v="0.26793712780870926"/>
    <n v="1"/>
    <n v="75.400000000000006"/>
    <n v="75.400000000000006"/>
    <n v="-4.8614745513070856"/>
    <n v="1490.9331973485316"/>
    <n v="0"/>
    <n v="1"/>
    <n v="0"/>
    <n v="0"/>
    <n v="0"/>
    <n v="0"/>
    <n v="0"/>
    <n v="0"/>
    <n v="0"/>
    <n v="0"/>
  </r>
  <r>
    <d v="2025-05-23T00:00:00"/>
    <n v="2025"/>
    <x v="2"/>
    <s v="R"/>
    <s v="RS"/>
    <x v="8"/>
    <s v="WAS"/>
    <s v="H"/>
    <n v="2"/>
    <n v="1"/>
    <n v="1"/>
    <n v="-1"/>
    <n v="8"/>
    <n v="-8"/>
    <n v="1595.4287620549651"/>
    <n v="1495.7946718998387"/>
    <n v="0.75936224168542432"/>
    <n v="75"/>
    <n v="72"/>
    <n v="0"/>
    <n v="3"/>
    <n v="1"/>
    <n v="0.26793712780870926"/>
    <n v="1"/>
    <n v="75.55"/>
    <n v="75.55"/>
    <n v="4.8711459197778542"/>
    <n v="1600.2999079747428"/>
    <n v="1"/>
    <n v="0"/>
    <n v="0"/>
    <n v="0"/>
    <n v="0"/>
    <n v="0"/>
    <n v="0"/>
    <n v="0"/>
    <n v="0"/>
    <n v="0"/>
  </r>
  <r>
    <d v="2025-05-23T00:00:00"/>
    <n v="2025"/>
    <x v="2"/>
    <s v="R"/>
    <s v="RS"/>
    <x v="12"/>
    <s v="MIN"/>
    <s v="A"/>
    <n v="2"/>
    <n v="1"/>
    <n v="1"/>
    <n v="-1"/>
    <n v="8"/>
    <n v="-8"/>
    <n v="1515.7032514857403"/>
    <n v="1610.7568284404097"/>
    <n v="0.28118082987301263"/>
    <n v="70"/>
    <n v="76"/>
    <n v="0"/>
    <n v="-6"/>
    <n v="0"/>
    <n v="0.3254976634251982"/>
    <n v="1"/>
    <n v="75.55"/>
    <n v="75.55"/>
    <n v="-6.9146157709897764"/>
    <n v="1508.7886357147506"/>
    <n v="0"/>
    <n v="1"/>
    <n v="0"/>
    <n v="0"/>
    <n v="0"/>
    <n v="0"/>
    <n v="0"/>
    <n v="0"/>
    <n v="0"/>
    <n v="0"/>
  </r>
  <r>
    <d v="2025-05-23T00:00:00"/>
    <n v="2025"/>
    <x v="3"/>
    <s v="R"/>
    <s v="RS"/>
    <x v="0"/>
    <s v="CON"/>
    <s v="H"/>
    <n v="1"/>
    <n v="2"/>
    <n v="-1"/>
    <n v="1"/>
    <n v="-8"/>
    <n v="8"/>
    <n v="1610.7568284404097"/>
    <n v="1515.7032514857403"/>
    <n v="0.71881917012698737"/>
    <n v="76"/>
    <n v="70"/>
    <n v="0"/>
    <n v="6"/>
    <n v="1"/>
    <n v="0.3254976634251982"/>
    <n v="1"/>
    <n v="75.400000000000006"/>
    <n v="75.400000000000006"/>
    <n v="6.9008872155212329"/>
    <n v="1617.6577156559308"/>
    <n v="1"/>
    <n v="0"/>
    <n v="0"/>
    <n v="0"/>
    <n v="0"/>
    <n v="0"/>
    <n v="0"/>
    <n v="0"/>
    <n v="0"/>
    <n v="0"/>
  </r>
  <r>
    <d v="2025-05-23T00:00:00"/>
    <n v="2025"/>
    <x v="2"/>
    <s v="R"/>
    <s v="RS"/>
    <x v="11"/>
    <s v="SEA"/>
    <s v="A"/>
    <n v="1"/>
    <n v="3"/>
    <n v="-2"/>
    <n v="2"/>
    <n v="-16"/>
    <n v="16"/>
    <n v="1482.9485478449408"/>
    <n v="1518.44603138656"/>
    <n v="0.2948196820529102"/>
    <n v="70"/>
    <n v="77"/>
    <n v="0"/>
    <n v="-7"/>
    <n v="0"/>
    <n v="0.35947350188967264"/>
    <n v="1"/>
    <n v="75.55"/>
    <n v="75.55"/>
    <n v="-8.0067786899604201"/>
    <n v="1474.9417691549804"/>
    <n v="0"/>
    <n v="1"/>
    <n v="0"/>
    <n v="0"/>
    <n v="0"/>
    <n v="0"/>
    <n v="0"/>
    <n v="0"/>
    <n v="0"/>
    <n v="0"/>
  </r>
  <r>
    <d v="2025-05-23T00:00:00"/>
    <n v="2025"/>
    <x v="2"/>
    <s v="R"/>
    <s v="RS"/>
    <x v="10"/>
    <s v="PHX"/>
    <s v="H"/>
    <n v="3"/>
    <n v="1"/>
    <n v="2"/>
    <n v="-2"/>
    <n v="16"/>
    <n v="-16"/>
    <n v="1518.44603138656"/>
    <n v="1482.9485478449408"/>
    <n v="0.7051803179470898"/>
    <n v="77"/>
    <n v="70"/>
    <n v="0"/>
    <n v="7"/>
    <n v="1"/>
    <n v="0.35947350188967264"/>
    <n v="1"/>
    <n v="75.55"/>
    <n v="75.55"/>
    <n v="8.0067786899604201"/>
    <n v="1526.4528100765203"/>
    <n v="1"/>
    <n v="0"/>
    <n v="0"/>
    <n v="0"/>
    <n v="0"/>
    <n v="0"/>
    <n v="0"/>
    <n v="0"/>
    <n v="0"/>
    <n v="0"/>
  </r>
  <r>
    <d v="2025-05-24T00:00:00"/>
    <n v="2025"/>
    <x v="3"/>
    <s v="R"/>
    <s v="RS"/>
    <x v="1"/>
    <s v="ATL"/>
    <s v="A"/>
    <n v="2"/>
    <n v="1"/>
    <n v="1"/>
    <n v="-1"/>
    <n v="8"/>
    <n v="-8"/>
    <n v="1387.4142996828416"/>
    <n v="1451.8115863009536"/>
    <n v="0.31818181942871154"/>
    <n v="75"/>
    <n v="83"/>
    <n v="0"/>
    <n v="-8"/>
    <n v="0"/>
    <n v="0.36853815405596235"/>
    <n v="1"/>
    <n v="75.400000000000006"/>
    <n v="75.400000000000006"/>
    <n v="-8.8415653851364375"/>
    <n v="1378.5727342977052"/>
    <n v="0"/>
    <n v="1"/>
    <n v="0"/>
    <n v="0"/>
    <n v="0"/>
    <n v="0"/>
    <n v="0"/>
    <n v="0"/>
    <n v="0"/>
    <n v="0"/>
  </r>
  <r>
    <d v="2025-05-24T00:00:00"/>
    <n v="2025"/>
    <x v="3"/>
    <s v="R"/>
    <s v="RS"/>
    <x v="4"/>
    <s v="DAL"/>
    <s v="H"/>
    <n v="1"/>
    <n v="2"/>
    <n v="-1"/>
    <n v="1"/>
    <n v="-8"/>
    <n v="8"/>
    <n v="1451.8115863009536"/>
    <n v="1387.4142996828416"/>
    <n v="0.68181818057128851"/>
    <n v="83"/>
    <n v="75"/>
    <n v="0"/>
    <n v="8"/>
    <n v="1"/>
    <n v="0.36853815405596235"/>
    <n v="1"/>
    <n v="75.400000000000006"/>
    <n v="75.400000000000006"/>
    <n v="8.8415653851364358"/>
    <n v="1460.65315168609"/>
    <n v="1"/>
    <n v="0"/>
    <n v="0"/>
    <n v="0"/>
    <n v="0"/>
    <n v="0"/>
    <n v="0"/>
    <n v="0"/>
    <n v="0"/>
    <n v="0"/>
  </r>
  <r>
    <d v="2025-05-24T00:00:00"/>
    <n v="2025"/>
    <x v="2"/>
    <s v="R"/>
    <s v="RS"/>
    <x v="9"/>
    <s v="IND"/>
    <s v="A"/>
    <n v="1"/>
    <n v="1"/>
    <n v="0"/>
    <n v="0"/>
    <n v="0"/>
    <n v="0"/>
    <n v="1644.8653041493376"/>
    <n v="1507.8622440950292"/>
    <n v="0.57569125523454434"/>
    <n v="90"/>
    <n v="88"/>
    <n v="0"/>
    <n v="2"/>
    <n v="1"/>
    <n v="0.24039554925068632"/>
    <n v="1"/>
    <n v="75.55"/>
    <n v="75.55"/>
    <n v="7.7062460947944427"/>
    <n v="1652.5715502441321"/>
    <n v="1"/>
    <n v="0"/>
    <n v="0"/>
    <n v="0"/>
    <n v="0"/>
    <n v="0"/>
    <n v="0"/>
    <n v="0"/>
    <n v="0"/>
    <n v="0"/>
  </r>
  <r>
    <d v="2025-05-24T00:00:00"/>
    <n v="2025"/>
    <x v="3"/>
    <s v="R"/>
    <s v="RS"/>
    <x v="7"/>
    <s v="NYL"/>
    <s v="H"/>
    <n v="1"/>
    <n v="1"/>
    <n v="0"/>
    <n v="0"/>
    <n v="0"/>
    <n v="0"/>
    <n v="1507.8622440950292"/>
    <n v="1644.8653041493376"/>
    <n v="0.42430874476545571"/>
    <n v="88"/>
    <n v="90"/>
    <n v="0"/>
    <n v="-2"/>
    <n v="0"/>
    <n v="0.24039554925068632"/>
    <n v="1"/>
    <n v="75.400000000000006"/>
    <n v="75.400000000000006"/>
    <n v="-7.6909458047319799"/>
    <n v="1500.1712982902973"/>
    <n v="0"/>
    <n v="1"/>
    <n v="0"/>
    <n v="0"/>
    <n v="0"/>
    <n v="0"/>
    <n v="0"/>
    <n v="0"/>
    <n v="0"/>
    <n v="0"/>
  </r>
  <r>
    <d v="2025-05-25T00:00:00"/>
    <n v="2025"/>
    <x v="3"/>
    <s v="R"/>
    <s v="RS"/>
    <x v="12"/>
    <s v="ATL"/>
    <s v="A"/>
    <n v="1"/>
    <n v="0"/>
    <n v="1"/>
    <n v="-1"/>
    <n v="8"/>
    <n v="-8"/>
    <n v="1508.7886357147506"/>
    <n v="1460.65315168609"/>
    <n v="0.47144377297729495"/>
    <n v="55"/>
    <n v="79"/>
    <n v="0"/>
    <n v="-24"/>
    <n v="0"/>
    <n v="0.60419491873083186"/>
    <n v="1"/>
    <n v="75.400000000000006"/>
    <n v="75.400000000000006"/>
    <n v="-21.477232480353081"/>
    <n v="1487.3114032343976"/>
    <n v="0"/>
    <n v="1"/>
    <n v="0"/>
    <n v="0"/>
    <n v="0"/>
    <n v="0"/>
    <n v="0"/>
    <n v="0"/>
    <n v="0"/>
    <n v="0"/>
  </r>
  <r>
    <d v="2025-05-25T00:00:00"/>
    <n v="2025"/>
    <x v="4"/>
    <s v="R"/>
    <s v="RS"/>
    <x v="4"/>
    <s v="CON"/>
    <s v="H"/>
    <n v="0"/>
    <n v="1"/>
    <n v="-1"/>
    <n v="1"/>
    <n v="-8"/>
    <n v="8"/>
    <n v="1460.65315168609"/>
    <n v="1508.7886357147506"/>
    <n v="0.52855622702270511"/>
    <n v="79"/>
    <n v="55"/>
    <n v="0"/>
    <n v="24"/>
    <n v="1"/>
    <n v="0.60419491873083186"/>
    <n v="1"/>
    <n v="75.25"/>
    <n v="75.25"/>
    <n v="21.434505890538052"/>
    <n v="1482.0876575766281"/>
    <n v="1"/>
    <n v="0"/>
    <n v="0"/>
    <n v="0"/>
    <n v="0"/>
    <n v="0"/>
    <n v="0"/>
    <n v="0"/>
    <n v="0"/>
    <n v="0"/>
  </r>
  <r>
    <d v="2025-05-25T00:00:00"/>
    <n v="2025"/>
    <x v="2"/>
    <s v="R"/>
    <s v="RS"/>
    <x v="6"/>
    <s v="LAS"/>
    <s v="A"/>
    <n v="2"/>
    <n v="1"/>
    <n v="1"/>
    <n v="-1"/>
    <n v="8"/>
    <n v="-8"/>
    <n v="1396.0686274901866"/>
    <n v="1397.3560708920011"/>
    <n v="0.40158853030590175"/>
    <n v="78"/>
    <n v="91"/>
    <n v="0"/>
    <n v="-13"/>
    <n v="0"/>
    <n v="0.47153785706180096"/>
    <n v="1"/>
    <n v="75.55"/>
    <n v="75.55"/>
    <n v="-14.306464932328799"/>
    <n v="1381.7621625578579"/>
    <n v="0"/>
    <n v="1"/>
    <n v="0"/>
    <n v="0"/>
    <n v="0"/>
    <n v="0"/>
    <n v="0"/>
    <n v="0"/>
    <n v="0"/>
    <n v="0"/>
  </r>
  <r>
    <d v="2025-05-25T00:00:00"/>
    <n v="2025"/>
    <x v="4"/>
    <s v="R"/>
    <s v="RS"/>
    <x v="2"/>
    <s v="CHI"/>
    <s v="H"/>
    <n v="1"/>
    <n v="2"/>
    <n v="-1"/>
    <n v="1"/>
    <n v="-8"/>
    <n v="8"/>
    <n v="1397.3560708920011"/>
    <n v="1396.0686274901866"/>
    <n v="0.59841146969409831"/>
    <n v="91"/>
    <n v="78"/>
    <n v="0"/>
    <n v="13"/>
    <n v="1"/>
    <n v="0.47153785706180096"/>
    <n v="1"/>
    <n v="75.25"/>
    <n v="75.25"/>
    <n v="14.249655673828487"/>
    <n v="1411.6057265658296"/>
    <n v="1"/>
    <n v="0"/>
    <n v="0"/>
    <n v="0"/>
    <n v="0"/>
    <n v="0"/>
    <n v="0"/>
    <n v="0"/>
    <n v="0"/>
    <n v="0"/>
  </r>
  <r>
    <d v="2025-05-25T00:00:00"/>
    <n v="2025"/>
    <x v="4"/>
    <s v="R"/>
    <s v="RS"/>
    <x v="5"/>
    <s v="PHX"/>
    <s v="A"/>
    <n v="1"/>
    <n v="1"/>
    <n v="0"/>
    <n v="0"/>
    <n v="0"/>
    <n v="0"/>
    <n v="1490.9331973485316"/>
    <n v="1474.9417691549804"/>
    <n v="0.40335895165772889"/>
    <n v="62"/>
    <n v="68"/>
    <n v="0"/>
    <n v="-6"/>
    <n v="0"/>
    <n v="0.34666108949091484"/>
    <n v="1"/>
    <n v="75.25"/>
    <n v="75.25"/>
    <n v="-10.522121236228012"/>
    <n v="1480.4110761123036"/>
    <n v="0"/>
    <n v="1"/>
    <n v="0"/>
    <n v="0"/>
    <n v="0"/>
    <n v="0"/>
    <n v="0"/>
    <n v="0"/>
    <n v="0"/>
    <n v="0"/>
  </r>
  <r>
    <d v="2025-05-25T00:00:00"/>
    <n v="2025"/>
    <x v="3"/>
    <s v="R"/>
    <s v="RS"/>
    <x v="11"/>
    <s v="WAS"/>
    <s v="H"/>
    <n v="1"/>
    <n v="1"/>
    <n v="0"/>
    <n v="0"/>
    <n v="0"/>
    <n v="0"/>
    <n v="1474.9417691549804"/>
    <n v="1490.9331973485316"/>
    <n v="0.59664104834227105"/>
    <n v="68"/>
    <n v="62"/>
    <n v="0"/>
    <n v="6"/>
    <n v="1"/>
    <n v="0.34666108949091484"/>
    <n v="1"/>
    <n v="75.400000000000006"/>
    <n v="75.400000000000006"/>
    <n v="10.543095564273651"/>
    <n v="1485.4848647192541"/>
    <n v="1"/>
    <n v="0"/>
    <n v="0"/>
    <n v="0"/>
    <n v="0"/>
    <n v="0"/>
    <n v="0"/>
    <n v="0"/>
    <n v="0"/>
    <n v="0"/>
  </r>
  <r>
    <d v="2025-05-25T00:00:00"/>
    <n v="2025"/>
    <x v="3"/>
    <s v="R"/>
    <s v="RS"/>
    <x v="8"/>
    <s v="SEA"/>
    <s v="A"/>
    <n v="1"/>
    <n v="1"/>
    <n v="0"/>
    <n v="0"/>
    <n v="0"/>
    <n v="0"/>
    <n v="1600.2999079747428"/>
    <n v="1526.4528100765203"/>
    <n v="0.48539295700808616"/>
    <n v="82"/>
    <n v="102"/>
    <n v="0"/>
    <n v="-20"/>
    <n v="0"/>
    <n v="0.54156015417301362"/>
    <n v="1"/>
    <n v="75.400000000000006"/>
    <n v="75.400000000000006"/>
    <n v="-19.820359141237279"/>
    <n v="1580.4795488335055"/>
    <n v="0"/>
    <n v="1"/>
    <n v="0"/>
    <n v="0"/>
    <n v="0"/>
    <n v="0"/>
    <n v="0"/>
    <n v="0"/>
    <n v="0"/>
    <n v="0"/>
  </r>
  <r>
    <d v="2025-05-25T00:00:00"/>
    <n v="2025"/>
    <x v="3"/>
    <s v="R"/>
    <s v="RS"/>
    <x v="10"/>
    <s v="LVA"/>
    <s v="H"/>
    <n v="1"/>
    <n v="1"/>
    <n v="0"/>
    <n v="0"/>
    <n v="0"/>
    <n v="0"/>
    <n v="1526.4528100765203"/>
    <n v="1600.2999079747428"/>
    <n v="0.51460704299191384"/>
    <n v="102"/>
    <n v="82"/>
    <n v="0"/>
    <n v="20"/>
    <n v="1"/>
    <n v="0.54156015417301362"/>
    <n v="1"/>
    <n v="75.400000000000006"/>
    <n v="75.400000000000006"/>
    <n v="19.820359141237279"/>
    <n v="1546.2731692177576"/>
    <n v="1"/>
    <n v="0"/>
    <n v="0"/>
    <n v="0"/>
    <n v="0"/>
    <n v="0"/>
    <n v="0"/>
    <n v="0"/>
    <n v="0"/>
    <n v="0"/>
  </r>
  <r>
    <d v="2025-05-27T00:00:00"/>
    <n v="2025"/>
    <x v="4"/>
    <s v="R"/>
    <s v="RS"/>
    <x v="1"/>
    <s v="CON"/>
    <s v="A"/>
    <n v="2"/>
    <n v="1"/>
    <n v="1"/>
    <n v="-1"/>
    <n v="8"/>
    <n v="-8"/>
    <n v="1378.5727342977052"/>
    <n v="1487.3114032343976"/>
    <n v="0.26553619417739421"/>
    <n v="109"/>
    <n v="87"/>
    <n v="0"/>
    <n v="22"/>
    <n v="1"/>
    <n v="0.55203336061827291"/>
    <n v="1"/>
    <n v="75.25"/>
    <n v="75.25"/>
    <n v="30.510001354300666"/>
    <n v="1409.0827356520058"/>
    <n v="1"/>
    <n v="0"/>
    <n v="0"/>
    <n v="0"/>
    <n v="0"/>
    <n v="0"/>
    <n v="0"/>
    <n v="0"/>
    <n v="0"/>
    <n v="0"/>
  </r>
  <r>
    <d v="2025-05-27T00:00:00"/>
    <n v="2025"/>
    <x v="4"/>
    <s v="R"/>
    <s v="RS"/>
    <x v="12"/>
    <s v="DAL"/>
    <s v="H"/>
    <n v="1"/>
    <n v="2"/>
    <n v="-1"/>
    <n v="1"/>
    <n v="-8"/>
    <n v="8"/>
    <n v="1487.3114032343976"/>
    <n v="1378.5727342977052"/>
    <n v="0.73446380582260584"/>
    <n v="87"/>
    <n v="109"/>
    <n v="0"/>
    <n v="-22"/>
    <n v="0"/>
    <n v="0.55203336061827291"/>
    <n v="1"/>
    <n v="75.25"/>
    <n v="75.25"/>
    <n v="-30.510001354300666"/>
    <n v="1456.801401880097"/>
    <n v="0"/>
    <n v="1"/>
    <n v="0"/>
    <n v="0"/>
    <n v="0"/>
    <n v="0"/>
    <n v="0"/>
    <n v="0"/>
    <n v="0"/>
    <n v="0"/>
  </r>
  <r>
    <d v="2025-05-27T00:00:00"/>
    <n v="2025"/>
    <x v="5"/>
    <s v="R"/>
    <s v="RS"/>
    <x v="4"/>
    <s v="LAS"/>
    <s v="A"/>
    <n v="1"/>
    <n v="1"/>
    <n v="0"/>
    <n v="0"/>
    <n v="0"/>
    <n v="0"/>
    <n v="1482.0876575766281"/>
    <n v="1411.6057265658296"/>
    <n v="0.48055574576878113"/>
    <n v="88"/>
    <n v="82"/>
    <n v="0"/>
    <n v="6"/>
    <n v="1"/>
    <n v="0.33179292284292011"/>
    <n v="1"/>
    <n v="75.099999999999994"/>
    <n v="75.099999999999994"/>
    <n v="12.943329345136807"/>
    <n v="1495.0309869217649"/>
    <n v="1"/>
    <n v="0"/>
    <n v="0"/>
    <n v="0"/>
    <n v="0"/>
    <n v="0"/>
    <n v="0"/>
    <n v="0"/>
    <n v="0"/>
    <n v="0"/>
  </r>
  <r>
    <d v="2025-05-27T00:00:00"/>
    <n v="2025"/>
    <x v="5"/>
    <s v="R"/>
    <s v="RS"/>
    <x v="2"/>
    <s v="ATL"/>
    <s v="H"/>
    <n v="1"/>
    <n v="1"/>
    <n v="0"/>
    <n v="0"/>
    <n v="0"/>
    <n v="0"/>
    <n v="1411.6057265658296"/>
    <n v="1482.0876575766281"/>
    <n v="0.51944425423121887"/>
    <n v="82"/>
    <n v="88"/>
    <n v="0"/>
    <n v="-6"/>
    <n v="0"/>
    <n v="0.33179292284292011"/>
    <n v="1"/>
    <n v="75.099999999999994"/>
    <n v="75.099999999999994"/>
    <n v="-12.943329345136807"/>
    <n v="1398.6623972206928"/>
    <n v="0"/>
    <n v="1"/>
    <n v="0"/>
    <n v="0"/>
    <n v="0"/>
    <n v="0"/>
    <n v="0"/>
    <n v="0"/>
    <n v="0"/>
    <n v="0"/>
  </r>
  <r>
    <d v="2025-05-27T00:00:00"/>
    <n v="2025"/>
    <x v="4"/>
    <s v="R"/>
    <s v="RS"/>
    <x v="10"/>
    <s v="MIN"/>
    <s v="A"/>
    <n v="1"/>
    <n v="3"/>
    <n v="-2"/>
    <n v="2"/>
    <n v="-16"/>
    <n v="16"/>
    <n v="1546.2731692177576"/>
    <n v="1617.6577156559308"/>
    <n v="0.25375738062846104"/>
    <n v="77"/>
    <n v="82"/>
    <n v="0"/>
    <n v="-5"/>
    <n v="0"/>
    <n v="0.31312884183531092"/>
    <n v="1"/>
    <n v="75.25"/>
    <n v="75.25"/>
    <n v="-5.9792712914272501"/>
    <n v="1540.2938979263304"/>
    <n v="0"/>
    <n v="1"/>
    <n v="0"/>
    <n v="0"/>
    <n v="0"/>
    <n v="0"/>
    <n v="0"/>
    <n v="0"/>
    <n v="0"/>
    <n v="0"/>
  </r>
  <r>
    <d v="2025-05-27T00:00:00"/>
    <n v="2025"/>
    <x v="4"/>
    <s v="R"/>
    <s v="RS"/>
    <x v="0"/>
    <s v="SEA"/>
    <s v="H"/>
    <n v="3"/>
    <n v="1"/>
    <n v="2"/>
    <n v="-2"/>
    <n v="16"/>
    <n v="-16"/>
    <n v="1617.6577156559308"/>
    <n v="1546.2731692177576"/>
    <n v="0.74624261937153902"/>
    <n v="82"/>
    <n v="77"/>
    <n v="0"/>
    <n v="5"/>
    <n v="1"/>
    <n v="0.31312884183531092"/>
    <n v="1"/>
    <n v="75.25"/>
    <n v="75.25"/>
    <n v="5.9792712914272492"/>
    <n v="1623.6369869473581"/>
    <n v="1"/>
    <n v="0"/>
    <n v="0"/>
    <n v="0"/>
    <n v="0"/>
    <n v="0"/>
    <n v="0"/>
    <n v="0"/>
    <n v="0"/>
    <n v="0"/>
  </r>
  <r>
    <d v="2025-05-27T00:00:00"/>
    <n v="2025"/>
    <x v="3"/>
    <s v="R"/>
    <s v="RS"/>
    <x v="3"/>
    <s v="NYL"/>
    <s v="A"/>
    <n v="3"/>
    <n v="2"/>
    <n v="1"/>
    <n v="-1"/>
    <n v="8"/>
    <n v="-8"/>
    <n v="1495.113539771294"/>
    <n v="1652.5715502441321"/>
    <n v="0.21452865885284361"/>
    <n v="67"/>
    <n v="95"/>
    <n v="0"/>
    <n v="-28"/>
    <n v="0"/>
    <n v="0.60031882076516618"/>
    <n v="1"/>
    <n v="75.400000000000006"/>
    <n v="75.400000000000006"/>
    <n v="-9.7104335993165272"/>
    <n v="1485.4031061719775"/>
    <n v="0"/>
    <n v="1"/>
    <n v="0"/>
    <n v="0"/>
    <n v="0"/>
    <n v="0"/>
    <n v="0"/>
    <n v="0"/>
    <n v="0"/>
    <n v="0"/>
  </r>
  <r>
    <d v="2025-05-27T00:00:00"/>
    <n v="2025"/>
    <x v="3"/>
    <s v="R"/>
    <s v="RS"/>
    <x v="9"/>
    <s v="GSV"/>
    <s v="H"/>
    <n v="2"/>
    <n v="3"/>
    <n v="-1"/>
    <n v="1"/>
    <n v="-8"/>
    <n v="8"/>
    <n v="1652.5715502441321"/>
    <n v="1495.113539771294"/>
    <n v="0.78547134114715644"/>
    <n v="95"/>
    <n v="67"/>
    <n v="0"/>
    <n v="28"/>
    <n v="1"/>
    <n v="0.60031882076516618"/>
    <n v="1"/>
    <n v="75.400000000000006"/>
    <n v="75.400000000000006"/>
    <n v="9.7104335993165254"/>
    <n v="1662.2819838434486"/>
    <n v="1"/>
    <n v="0"/>
    <n v="0"/>
    <n v="0"/>
    <n v="0"/>
    <n v="0"/>
    <n v="0"/>
    <n v="0"/>
    <n v="0"/>
    <n v="0"/>
  </r>
  <r>
    <d v="2025-05-27T00:00:00"/>
    <n v="2025"/>
    <x v="3"/>
    <s v="R"/>
    <s v="RS"/>
    <x v="6"/>
    <s v="PHX"/>
    <s v="A"/>
    <n v="1"/>
    <n v="1"/>
    <n v="0"/>
    <n v="0"/>
    <n v="0"/>
    <n v="0"/>
    <n v="1381.7621625578579"/>
    <n v="1485.4848647192541"/>
    <n v="0.25338894390365391"/>
    <n v="89"/>
    <n v="94"/>
    <n v="0"/>
    <n v="-5"/>
    <n v="0"/>
    <n v="0.30536184565436297"/>
    <n v="1"/>
    <n v="75.400000000000006"/>
    <n v="75.400000000000006"/>
    <n v="-5.8340987946437526"/>
    <n v="1375.9280637632141"/>
    <n v="0"/>
    <n v="1"/>
    <n v="0"/>
    <n v="0"/>
    <n v="0"/>
    <n v="0"/>
    <n v="0"/>
    <n v="0"/>
    <n v="0"/>
    <n v="0"/>
  </r>
  <r>
    <d v="2025-05-27T00:00:00"/>
    <n v="2025"/>
    <x v="4"/>
    <s v="R"/>
    <s v="RS"/>
    <x v="11"/>
    <s v="CHI"/>
    <s v="H"/>
    <n v="1"/>
    <n v="1"/>
    <n v="0"/>
    <n v="0"/>
    <n v="0"/>
    <n v="0"/>
    <n v="1485.4848647192541"/>
    <n v="1381.7621625578579"/>
    <n v="0.74661105609634615"/>
    <n v="94"/>
    <n v="89"/>
    <n v="0"/>
    <n v="5"/>
    <n v="1"/>
    <n v="0.30536184565436297"/>
    <n v="1"/>
    <n v="75.25"/>
    <n v="75.25"/>
    <n v="5.8224924973069259"/>
    <n v="1491.3073572165611"/>
    <n v="1"/>
    <n v="0"/>
    <n v="0"/>
    <n v="0"/>
    <n v="0"/>
    <n v="0"/>
    <n v="0"/>
    <n v="0"/>
    <n v="0"/>
    <n v="0"/>
  </r>
  <r>
    <d v="2025-05-28T00:00:00"/>
    <n v="2025"/>
    <x v="4"/>
    <s v="R"/>
    <s v="RS"/>
    <x v="7"/>
    <s v="WAS"/>
    <s v="A"/>
    <n v="3"/>
    <n v="2"/>
    <n v="1"/>
    <n v="-1"/>
    <n v="8"/>
    <n v="-8"/>
    <n v="1500.1712982902973"/>
    <n v="1480.4110761123036"/>
    <n v="0.43102007556598304"/>
    <n v="77"/>
    <n v="83"/>
    <n v="0"/>
    <n v="-6"/>
    <n v="0"/>
    <n v="0.34558998206753883"/>
    <n v="1"/>
    <n v="75.25"/>
    <n v="75.25"/>
    <n v="-11.208955568966198"/>
    <n v="1488.962342721331"/>
    <n v="0"/>
    <n v="1"/>
    <n v="0"/>
    <n v="0"/>
    <n v="0"/>
    <n v="0"/>
    <n v="0"/>
    <n v="0"/>
    <n v="0"/>
    <n v="0"/>
  </r>
  <r>
    <d v="2025-05-28T00:00:00"/>
    <n v="2025"/>
    <x v="5"/>
    <s v="R"/>
    <s v="RS"/>
    <x v="5"/>
    <s v="IND"/>
    <s v="H"/>
    <n v="2"/>
    <n v="3"/>
    <n v="-1"/>
    <n v="1"/>
    <n v="-8"/>
    <n v="8"/>
    <n v="1480.4110761123036"/>
    <n v="1500.1712982902973"/>
    <n v="0.56897992443401701"/>
    <n v="83"/>
    <n v="77"/>
    <n v="0"/>
    <n v="6"/>
    <n v="1"/>
    <n v="0.34558998206753883"/>
    <n v="1"/>
    <n v="75.099999999999994"/>
    <n v="75.099999999999994"/>
    <n v="11.186612135938356"/>
    <n v="1491.5976882482419"/>
    <n v="1"/>
    <n v="0"/>
    <n v="0"/>
    <n v="0"/>
    <n v="0"/>
    <n v="0"/>
    <n v="0"/>
    <n v="0"/>
    <n v="0"/>
    <n v="0"/>
  </r>
  <r>
    <d v="2025-05-29T00:00:00"/>
    <n v="2025"/>
    <x v="5"/>
    <s v="R"/>
    <s v="RS"/>
    <x v="1"/>
    <s v="CHI"/>
    <s v="A"/>
    <n v="1"/>
    <n v="1"/>
    <n v="0"/>
    <n v="0"/>
    <n v="0"/>
    <n v="0"/>
    <n v="1409.0827356520058"/>
    <n v="1375.9280637632141"/>
    <n v="0.42734562531610126"/>
    <n v="92"/>
    <n v="97"/>
    <n v="0"/>
    <n v="-5"/>
    <n v="0"/>
    <n v="0.32283636402538757"/>
    <n v="1"/>
    <n v="75.099999999999994"/>
    <n v="75.099999999999994"/>
    <n v="-10.36099936022635"/>
    <n v="1398.7217362917795"/>
    <n v="0"/>
    <n v="1"/>
    <n v="0"/>
    <n v="0"/>
    <n v="0"/>
    <n v="0"/>
    <n v="0"/>
    <n v="0"/>
    <n v="0"/>
    <n v="0"/>
  </r>
  <r>
    <d v="2025-05-29T00:00:00"/>
    <n v="2025"/>
    <x v="4"/>
    <s v="R"/>
    <s v="RS"/>
    <x v="6"/>
    <s v="DAL"/>
    <s v="H"/>
    <n v="1"/>
    <n v="1"/>
    <n v="0"/>
    <n v="0"/>
    <n v="0"/>
    <n v="0"/>
    <n v="1375.9280637632141"/>
    <n v="1409.0827356520058"/>
    <n v="0.57265437468389868"/>
    <n v="97"/>
    <n v="92"/>
    <n v="0"/>
    <n v="5"/>
    <n v="1"/>
    <n v="0.32283636402538757"/>
    <n v="1"/>
    <n v="75.25"/>
    <n v="75.25"/>
    <n v="10.381693766405235"/>
    <n v="1386.3097575296194"/>
    <n v="1"/>
    <n v="0"/>
    <n v="0"/>
    <n v="0"/>
    <n v="0"/>
    <n v="0"/>
    <n v="0"/>
    <n v="0"/>
    <n v="0"/>
    <n v="0"/>
  </r>
  <r>
    <d v="2025-05-29T00:00:00"/>
    <n v="2025"/>
    <x v="4"/>
    <s v="R"/>
    <s v="RS"/>
    <x v="3"/>
    <s v="NYL"/>
    <s v="A"/>
    <n v="1"/>
    <n v="1"/>
    <n v="0"/>
    <n v="0"/>
    <n v="0"/>
    <n v="0"/>
    <n v="1485.4031061719775"/>
    <n v="1662.2819838434486"/>
    <n v="0.18216622134582114"/>
    <n v="77"/>
    <n v="82"/>
    <n v="0"/>
    <n v="-5"/>
    <n v="0"/>
    <n v="0.28913739400720712"/>
    <n v="1"/>
    <n v="75.25"/>
    <n v="75.25"/>
    <n v="-3.9634977553343269"/>
    <n v="1481.4396084166431"/>
    <n v="0"/>
    <n v="1"/>
    <n v="0"/>
    <n v="0"/>
    <n v="0"/>
    <n v="0"/>
    <n v="0"/>
    <n v="0"/>
    <n v="0"/>
    <n v="0"/>
  </r>
  <r>
    <d v="2025-05-29T00:00:00"/>
    <n v="2025"/>
    <x v="4"/>
    <s v="R"/>
    <s v="RS"/>
    <x v="9"/>
    <s v="GSV"/>
    <s v="H"/>
    <n v="1"/>
    <n v="1"/>
    <n v="0"/>
    <n v="0"/>
    <n v="0"/>
    <n v="0"/>
    <n v="1662.2819838434486"/>
    <n v="1485.4031061719775"/>
    <n v="0.81783377865417883"/>
    <n v="82"/>
    <n v="77"/>
    <n v="0"/>
    <n v="5"/>
    <n v="1"/>
    <n v="0.28913739400720712"/>
    <n v="1"/>
    <n v="75.25"/>
    <n v="75.25"/>
    <n v="3.9634977553343278"/>
    <n v="1666.245481598783"/>
    <n v="1"/>
    <n v="0"/>
    <n v="0"/>
    <n v="0"/>
    <n v="0"/>
    <n v="0"/>
    <n v="0"/>
    <n v="0"/>
    <n v="0"/>
    <n v="0"/>
  </r>
  <r>
    <d v="2025-05-30T00:00:00"/>
    <n v="2025"/>
    <x v="5"/>
    <s v="R"/>
    <s v="RS"/>
    <x v="12"/>
    <s v="IND"/>
    <s v="A"/>
    <n v="2"/>
    <n v="1"/>
    <n v="1"/>
    <n v="-1"/>
    <n v="8"/>
    <n v="-8"/>
    <n v="1456.801401880097"/>
    <n v="1488.962342721331"/>
    <n v="0.35972159070077092"/>
    <n v="85"/>
    <n v="83"/>
    <n v="0"/>
    <n v="2"/>
    <n v="1"/>
    <n v="0.26085032751660486"/>
    <n v="1"/>
    <n v="75.099999999999994"/>
    <n v="75.099999999999994"/>
    <n v="12.542964140840352"/>
    <n v="1469.3443660209373"/>
    <n v="1"/>
    <n v="0"/>
    <n v="0"/>
    <n v="0"/>
    <n v="0"/>
    <n v="0"/>
    <n v="0"/>
    <n v="0"/>
    <n v="0"/>
    <n v="0"/>
  </r>
  <r>
    <d v="2025-05-30T00:00:00"/>
    <n v="2025"/>
    <x v="5"/>
    <s v="R"/>
    <s v="RS"/>
    <x v="7"/>
    <s v="CON"/>
    <s v="H"/>
    <n v="1"/>
    <n v="2"/>
    <n v="-1"/>
    <n v="1"/>
    <n v="-8"/>
    <n v="8"/>
    <n v="1488.962342721331"/>
    <n v="1456.801401880097"/>
    <n v="0.64027840929922908"/>
    <n v="83"/>
    <n v="85"/>
    <n v="0"/>
    <n v="-2"/>
    <n v="0"/>
    <n v="0.26085032751660486"/>
    <n v="1"/>
    <n v="75.099999999999994"/>
    <n v="75.099999999999994"/>
    <n v="-12.542964140840352"/>
    <n v="1476.4193785804907"/>
    <n v="0"/>
    <n v="1"/>
    <n v="0"/>
    <n v="0"/>
    <n v="0"/>
    <n v="0"/>
    <n v="0"/>
    <n v="0"/>
    <n v="0"/>
    <n v="0"/>
  </r>
  <r>
    <d v="2025-05-30T00:00:00"/>
    <n v="2025"/>
    <x v="6"/>
    <s v="R"/>
    <s v="RS"/>
    <x v="2"/>
    <s v="LVA"/>
    <s v="A"/>
    <n v="2"/>
    <n v="4"/>
    <n v="-2"/>
    <n v="2"/>
    <n v="-16"/>
    <n v="16"/>
    <n v="1398.6623972206928"/>
    <n v="1580.4795488335055"/>
    <n v="0.15259733422510702"/>
    <n v="81"/>
    <n v="96"/>
    <n v="0"/>
    <n v="-15"/>
    <n v="0"/>
    <n v="0.43668413939588635"/>
    <n v="1"/>
    <n v="74.95"/>
    <n v="74.95"/>
    <n v="-4.9944308259862877"/>
    <n v="1393.6679663947066"/>
    <n v="0"/>
    <n v="1"/>
    <n v="0"/>
    <n v="0"/>
    <n v="0"/>
    <n v="0"/>
    <n v="0"/>
    <n v="0"/>
    <n v="0"/>
    <n v="0"/>
  </r>
  <r>
    <d v="2025-05-30T00:00:00"/>
    <n v="2025"/>
    <x v="4"/>
    <s v="R"/>
    <s v="RS"/>
    <x v="8"/>
    <s v="LAS"/>
    <s v="H"/>
    <n v="4"/>
    <n v="2"/>
    <n v="2"/>
    <n v="-2"/>
    <n v="16"/>
    <n v="-16"/>
    <n v="1580.4795488335055"/>
    <n v="1398.6623972206928"/>
    <n v="0.84740266577489298"/>
    <n v="96"/>
    <n v="81"/>
    <n v="0"/>
    <n v="15"/>
    <n v="1"/>
    <n v="0.43668413939588635"/>
    <n v="1"/>
    <n v="75.25"/>
    <n v="75.25"/>
    <n v="5.0144218766573463"/>
    <n v="1585.4939707101628"/>
    <n v="1"/>
    <n v="0"/>
    <n v="0"/>
    <n v="0"/>
    <n v="0"/>
    <n v="0"/>
    <n v="0"/>
    <n v="0"/>
    <n v="0"/>
    <n v="0"/>
  </r>
  <r>
    <d v="2025-05-30T00:00:00"/>
    <n v="2025"/>
    <x v="5"/>
    <s v="R"/>
    <s v="RS"/>
    <x v="0"/>
    <s v="PHX"/>
    <s v="A"/>
    <n v="2"/>
    <n v="2"/>
    <n v="0"/>
    <n v="0"/>
    <n v="0"/>
    <n v="0"/>
    <n v="1623.6369869473581"/>
    <n v="1491.3073572165611"/>
    <n v="0.56910676610146294"/>
    <n v="74"/>
    <n v="71"/>
    <n v="0"/>
    <n v="3"/>
    <n v="1"/>
    <n v="0.26136191641163836"/>
    <n v="1"/>
    <n v="75.099999999999994"/>
    <n v="75.099999999999994"/>
    <n v="8.4576930116778009"/>
    <n v="1632.0946799590358"/>
    <n v="1"/>
    <n v="0"/>
    <n v="0"/>
    <n v="0"/>
    <n v="0"/>
    <n v="0"/>
    <n v="0"/>
    <n v="0"/>
    <n v="0"/>
    <n v="0"/>
  </r>
  <r>
    <d v="2025-05-30T00:00:00"/>
    <n v="2025"/>
    <x v="5"/>
    <s v="R"/>
    <s v="RS"/>
    <x v="11"/>
    <s v="MIN"/>
    <s v="H"/>
    <n v="2"/>
    <n v="2"/>
    <n v="0"/>
    <n v="0"/>
    <n v="0"/>
    <n v="0"/>
    <n v="1491.3073572165611"/>
    <n v="1623.6369869473581"/>
    <n v="0.43089323389853701"/>
    <n v="71"/>
    <n v="74"/>
    <n v="0"/>
    <n v="-3"/>
    <n v="0"/>
    <n v="0.26136191641163836"/>
    <n v="1"/>
    <n v="75.099999999999994"/>
    <n v="75.099999999999994"/>
    <n v="-8.4576930116777991"/>
    <n v="1482.8496642048833"/>
    <n v="0"/>
    <n v="1"/>
    <n v="0"/>
    <n v="0"/>
    <n v="0"/>
    <n v="0"/>
    <n v="0"/>
    <n v="0"/>
    <n v="0"/>
    <n v="0"/>
  </r>
  <r>
    <d v="2025-05-30T00:00:00"/>
    <n v="2025"/>
    <x v="6"/>
    <s v="R"/>
    <s v="RS"/>
    <x v="4"/>
    <s v="SEA"/>
    <s v="A"/>
    <n v="2"/>
    <n v="2"/>
    <n v="0"/>
    <n v="0"/>
    <n v="0"/>
    <n v="0"/>
    <n v="1495.0309869217649"/>
    <n v="1540.2938979263304"/>
    <n v="0.32210886474760736"/>
    <n v="94"/>
    <n v="87"/>
    <n v="0"/>
    <n v="7"/>
    <n v="1"/>
    <n v="0.35665448883103829"/>
    <n v="1"/>
    <n v="74.95"/>
    <n v="74.95"/>
    <n v="18.12088007867375"/>
    <n v="1513.1518670004386"/>
    <n v="1"/>
    <n v="0"/>
    <n v="0"/>
    <n v="0"/>
    <n v="0"/>
    <n v="0"/>
    <n v="0"/>
    <n v="0"/>
    <n v="0"/>
    <n v="0"/>
  </r>
  <r>
    <d v="2025-05-30T00:00:00"/>
    <n v="2025"/>
    <x v="5"/>
    <s v="R"/>
    <s v="RS"/>
    <x v="10"/>
    <s v="ATL"/>
    <s v="H"/>
    <n v="2"/>
    <n v="2"/>
    <n v="0"/>
    <n v="0"/>
    <n v="0"/>
    <n v="0"/>
    <n v="1540.2938979263304"/>
    <n v="1495.0309869217649"/>
    <n v="0.67789113525239264"/>
    <n v="87"/>
    <n v="94"/>
    <n v="0"/>
    <n v="-7"/>
    <n v="0"/>
    <n v="0.35665448883103829"/>
    <n v="1"/>
    <n v="75.099999999999994"/>
    <n v="75.099999999999994"/>
    <n v="-18.157146016122727"/>
    <n v="1522.1367519102077"/>
    <n v="0"/>
    <n v="1"/>
    <n v="0"/>
    <n v="0"/>
    <n v="0"/>
    <n v="0"/>
    <n v="0"/>
    <n v="0"/>
    <n v="0"/>
    <n v="0"/>
  </r>
  <r>
    <d v="2025-05-30T00:00:00"/>
    <n v="2025"/>
    <x v="5"/>
    <s v="R"/>
    <s v="RS"/>
    <x v="9"/>
    <s v="WAS"/>
    <s v="A"/>
    <n v="0"/>
    <n v="1"/>
    <n v="-1"/>
    <n v="1"/>
    <n v="-8"/>
    <n v="8"/>
    <n v="1666.245481598783"/>
    <n v="1491.5976882482419"/>
    <n v="0.60580375799632546"/>
    <n v="85"/>
    <n v="63"/>
    <n v="0"/>
    <n v="22"/>
    <n v="1"/>
    <n v="0.52556546417121064"/>
    <n v="1"/>
    <n v="75.099999999999994"/>
    <n v="75.099999999999994"/>
    <n v="15.558912410830926"/>
    <n v="1681.804394009614"/>
    <n v="1"/>
    <n v="0"/>
    <n v="0"/>
    <n v="0"/>
    <n v="0"/>
    <n v="0"/>
    <n v="0"/>
    <n v="0"/>
    <n v="0"/>
    <n v="0"/>
  </r>
  <r>
    <d v="2025-05-30T00:00:00"/>
    <n v="2025"/>
    <x v="6"/>
    <s v="R"/>
    <s v="RS"/>
    <x v="5"/>
    <s v="NYL"/>
    <s v="H"/>
    <n v="1"/>
    <n v="0"/>
    <n v="1"/>
    <n v="-1"/>
    <n v="8"/>
    <n v="-8"/>
    <n v="1491.5976882482419"/>
    <n v="1666.245481598783"/>
    <n v="0.39419624200367459"/>
    <n v="63"/>
    <n v="85"/>
    <n v="0"/>
    <n v="-22"/>
    <n v="0"/>
    <n v="0.52556546417121064"/>
    <n v="1"/>
    <n v="74.95"/>
    <n v="74.95"/>
    <n v="-15.52783602119545"/>
    <n v="1476.0698522270463"/>
    <n v="0"/>
    <n v="1"/>
    <n v="0"/>
    <n v="0"/>
    <n v="0"/>
    <n v="0"/>
    <n v="0"/>
    <n v="0"/>
    <n v="0"/>
    <n v="0"/>
  </r>
  <r>
    <d v="2025-05-31T00:00:00"/>
    <n v="2025"/>
    <x v="5"/>
    <s v="R"/>
    <s v="RS"/>
    <x v="6"/>
    <s v="DAL"/>
    <s v="A"/>
    <n v="1"/>
    <n v="1"/>
    <n v="0"/>
    <n v="0"/>
    <n v="0"/>
    <n v="0"/>
    <n v="1386.3097575296194"/>
    <n v="1398.7217362917795"/>
    <n v="0.36470701288167684"/>
    <n v="94"/>
    <n v="83"/>
    <n v="0"/>
    <n v="11"/>
    <n v="1"/>
    <n v="0.43533318175232028"/>
    <n v="1"/>
    <n v="75.099999999999994"/>
    <n v="75.099999999999994"/>
    <n v="20.769965218779372"/>
    <n v="1407.0797227483988"/>
    <n v="1"/>
    <n v="0"/>
    <n v="0"/>
    <n v="0"/>
    <n v="0"/>
    <n v="0"/>
    <n v="0"/>
    <n v="0"/>
    <n v="0"/>
    <n v="0"/>
  </r>
  <r>
    <d v="2025-05-31T00:00:00"/>
    <n v="2025"/>
    <x v="6"/>
    <s v="R"/>
    <s v="RS"/>
    <x v="1"/>
    <s v="CHI"/>
    <s v="H"/>
    <n v="1"/>
    <n v="1"/>
    <n v="0"/>
    <n v="0"/>
    <n v="0"/>
    <n v="0"/>
    <n v="1398.7217362917795"/>
    <n v="1386.3097575296194"/>
    <n v="0.63529298711832316"/>
    <n v="83"/>
    <n v="94"/>
    <n v="0"/>
    <n v="-11"/>
    <n v="0"/>
    <n v="0.43533318175232028"/>
    <n v="1"/>
    <n v="74.95"/>
    <n v="74.95"/>
    <n v="-20.728480601165302"/>
    <n v="1377.9932556906142"/>
    <n v="0"/>
    <n v="1"/>
    <n v="0"/>
    <n v="0"/>
    <n v="0"/>
    <n v="0"/>
    <n v="0"/>
    <n v="0"/>
    <n v="0"/>
    <n v="0"/>
  </r>
  <r>
    <d v="2025-06-01T00:00:00"/>
    <n v="2025"/>
    <x v="6"/>
    <s v="R"/>
    <s v="RS"/>
    <x v="0"/>
    <s v="GSV"/>
    <s v="A"/>
    <n v="1"/>
    <n v="2"/>
    <n v="-1"/>
    <n v="1"/>
    <n v="-8"/>
    <n v="8"/>
    <n v="1632.0946799590358"/>
    <n v="1481.4396084166431"/>
    <n v="0.57238633338227241"/>
    <n v="86"/>
    <n v="75"/>
    <n v="0"/>
    <n v="11"/>
    <n v="1"/>
    <n v="0.39077568761240283"/>
    <n v="1"/>
    <n v="74.95"/>
    <n v="74.95"/>
    <n v="12.524221794144998"/>
    <n v="1644.6189017531808"/>
    <n v="1"/>
    <n v="0"/>
    <n v="0"/>
    <n v="0"/>
    <n v="0"/>
    <n v="0"/>
    <n v="0"/>
    <n v="0"/>
    <n v="0"/>
    <n v="0"/>
  </r>
  <r>
    <d v="2025-06-01T00:00:00"/>
    <n v="2025"/>
    <x v="5"/>
    <s v="R"/>
    <s v="RS"/>
    <x v="3"/>
    <s v="MIN"/>
    <s v="H"/>
    <n v="2"/>
    <n v="1"/>
    <n v="1"/>
    <n v="-1"/>
    <n v="8"/>
    <n v="-8"/>
    <n v="1481.4396084166431"/>
    <n v="1632.0946799590358"/>
    <n v="0.42761366661772765"/>
    <n v="75"/>
    <n v="86"/>
    <n v="0"/>
    <n v="-11"/>
    <n v="0"/>
    <n v="0.39077568761240283"/>
    <n v="1"/>
    <n v="75.099999999999994"/>
    <n v="75.099999999999994"/>
    <n v="-12.549286947835748"/>
    <n v="1468.8903214688073"/>
    <n v="0"/>
    <n v="1"/>
    <n v="0"/>
    <n v="0"/>
    <n v="0"/>
    <n v="0"/>
    <n v="0"/>
    <n v="0"/>
    <n v="0"/>
    <n v="0"/>
  </r>
  <r>
    <d v="2025-06-01T00:00:00"/>
    <n v="2025"/>
    <x v="6"/>
    <s v="R"/>
    <s v="RS"/>
    <x v="11"/>
    <s v="LAS"/>
    <s v="A"/>
    <n v="1"/>
    <n v="1"/>
    <n v="0"/>
    <n v="0"/>
    <n v="0"/>
    <n v="0"/>
    <n v="1482.8496642048833"/>
    <n v="1393.6679663947066"/>
    <n v="0.50745650973872392"/>
    <n v="85"/>
    <n v="80"/>
    <n v="0"/>
    <n v="5"/>
    <n v="1"/>
    <n v="0.30880609865136005"/>
    <n v="1"/>
    <n v="74.95"/>
    <n v="74.95"/>
    <n v="11.399927501595975"/>
    <n v="1494.2495917064794"/>
    <n v="1"/>
    <n v="0"/>
    <n v="0"/>
    <n v="0"/>
    <n v="0"/>
    <n v="0"/>
    <n v="0"/>
    <n v="0"/>
    <n v="0"/>
    <n v="0"/>
  </r>
  <r>
    <d v="2025-06-01T00:00:00"/>
    <n v="2025"/>
    <x v="7"/>
    <s v="R"/>
    <s v="RS"/>
    <x v="2"/>
    <s v="PHX"/>
    <s v="H"/>
    <n v="1"/>
    <n v="1"/>
    <n v="0"/>
    <n v="0"/>
    <n v="0"/>
    <n v="0"/>
    <n v="1393.6679663947066"/>
    <n v="1482.8496642048833"/>
    <n v="0.49254349026127608"/>
    <n v="80"/>
    <n v="85"/>
    <n v="0"/>
    <n v="-5"/>
    <n v="0"/>
    <n v="0.30880609865136005"/>
    <n v="1"/>
    <n v="74.8"/>
    <n v="74.8"/>
    <n v="-11.377112436549419"/>
    <n v="1382.2908539581572"/>
    <n v="0"/>
    <n v="1"/>
    <n v="0"/>
    <n v="0"/>
    <n v="0"/>
    <n v="0"/>
    <n v="0"/>
    <n v="0"/>
    <n v="0"/>
    <n v="0"/>
  </r>
  <r>
    <d v="2025-06-01T00:00:00"/>
    <n v="2025"/>
    <x v="6"/>
    <s v="R"/>
    <s v="RS"/>
    <x v="12"/>
    <s v="NYL"/>
    <s v="A"/>
    <n v="1"/>
    <n v="1"/>
    <n v="0"/>
    <n v="0"/>
    <n v="0"/>
    <n v="0"/>
    <n v="1469.3443660209373"/>
    <n v="1681.804394009614"/>
    <n v="0.15361028872745067"/>
    <n v="52"/>
    <n v="100"/>
    <n v="0"/>
    <n v="-48"/>
    <n v="0"/>
    <n v="0.76663625820403858"/>
    <n v="1"/>
    <n v="74.95"/>
    <n v="74.95"/>
    <n v="-8.8263531120255259"/>
    <n v="1460.5180129089117"/>
    <n v="0"/>
    <n v="1"/>
    <n v="0"/>
    <n v="0"/>
    <n v="0"/>
    <n v="0"/>
    <n v="0"/>
    <n v="0"/>
    <n v="0"/>
    <n v="0"/>
  </r>
  <r>
    <d v="2025-06-01T00:00:00"/>
    <n v="2025"/>
    <x v="6"/>
    <s v="R"/>
    <s v="RS"/>
    <x v="9"/>
    <s v="CON"/>
    <s v="H"/>
    <n v="1"/>
    <n v="1"/>
    <n v="0"/>
    <n v="0"/>
    <n v="0"/>
    <n v="0"/>
    <n v="1681.804394009614"/>
    <n v="1469.3443660209373"/>
    <n v="0.84638971127254936"/>
    <n v="100"/>
    <n v="52"/>
    <n v="0"/>
    <n v="48"/>
    <n v="1"/>
    <n v="0.76663625820403858"/>
    <n v="1"/>
    <n v="74.95"/>
    <n v="74.95"/>
    <n v="8.8263531120255241"/>
    <n v="1690.6307471216396"/>
    <n v="1"/>
    <n v="0"/>
    <n v="0"/>
    <n v="0"/>
    <n v="0"/>
    <n v="0"/>
    <n v="0"/>
    <n v="0"/>
    <n v="0"/>
    <n v="0"/>
  </r>
  <r>
    <d v="2025-06-01T00:00:00"/>
    <n v="2025"/>
    <x v="5"/>
    <s v="R"/>
    <s v="RS"/>
    <x v="8"/>
    <s v="SEA"/>
    <s v="A"/>
    <n v="1"/>
    <n v="1"/>
    <n v="0"/>
    <n v="0"/>
    <n v="0"/>
    <n v="0"/>
    <n v="1585.4939707101628"/>
    <n v="1522.1367519102077"/>
    <n v="0.47032755724630293"/>
    <n v="75"/>
    <n v="70"/>
    <n v="0"/>
    <n v="5"/>
    <n v="1"/>
    <n v="0.31511845155850182"/>
    <n v="1"/>
    <n v="75.099999999999994"/>
    <n v="75.099999999999994"/>
    <n v="12.53490795553094"/>
    <n v="1598.0288786656938"/>
    <n v="1"/>
    <n v="0"/>
    <n v="0"/>
    <n v="0"/>
    <n v="0"/>
    <n v="0"/>
    <n v="0"/>
    <n v="0"/>
    <n v="0"/>
    <n v="0"/>
  </r>
  <r>
    <d v="2025-06-01T00:00:00"/>
    <n v="2025"/>
    <x v="6"/>
    <s v="R"/>
    <s v="RS"/>
    <x v="10"/>
    <s v="LVA"/>
    <s v="H"/>
    <n v="1"/>
    <n v="1"/>
    <n v="0"/>
    <n v="0"/>
    <n v="0"/>
    <n v="0"/>
    <n v="1522.1367519102077"/>
    <n v="1585.4939707101628"/>
    <n v="0.52967244275369707"/>
    <n v="70"/>
    <n v="75"/>
    <n v="0"/>
    <n v="-5"/>
    <n v="0"/>
    <n v="0.31511845155850182"/>
    <n v="1"/>
    <n v="74.95"/>
    <n v="74.95"/>
    <n v="-12.509871521531879"/>
    <n v="1509.6268803886758"/>
    <n v="0"/>
    <n v="1"/>
    <n v="0"/>
    <n v="0"/>
    <n v="0"/>
    <n v="0"/>
    <n v="0"/>
    <n v="0"/>
    <n v="0"/>
    <n v="0"/>
  </r>
  <r>
    <d v="2025-06-03T00:00:00"/>
    <n v="2025"/>
    <x v="7"/>
    <s v="R"/>
    <s v="RS"/>
    <x v="5"/>
    <s v="IND"/>
    <s v="A"/>
    <n v="3"/>
    <n v="3"/>
    <n v="0"/>
    <n v="0"/>
    <n v="0"/>
    <n v="0"/>
    <n v="1476.0698522270463"/>
    <n v="1476.4193785804907"/>
    <n v="0.38094127608455369"/>
    <n v="76"/>
    <n v="85"/>
    <n v="0"/>
    <n v="-9"/>
    <n v="0"/>
    <n v="0.40585331345667131"/>
    <n v="1"/>
    <n v="74.8"/>
    <n v="74.8"/>
    <n v="-11.564549679023388"/>
    <n v="1464.5053025480229"/>
    <n v="0"/>
    <n v="1"/>
    <n v="0"/>
    <n v="0"/>
    <n v="0"/>
    <n v="0"/>
    <n v="0"/>
    <n v="0"/>
    <n v="0"/>
    <n v="0"/>
  </r>
  <r>
    <d v="2025-06-03T00:00:00"/>
    <n v="2025"/>
    <x v="6"/>
    <s v="R"/>
    <s v="RS"/>
    <x v="7"/>
    <s v="WAS"/>
    <s v="H"/>
    <n v="3"/>
    <n v="3"/>
    <n v="0"/>
    <n v="0"/>
    <n v="0"/>
    <n v="0"/>
    <n v="1476.4193785804907"/>
    <n v="1476.0698522270463"/>
    <n v="0.61905872391544625"/>
    <n v="85"/>
    <n v="76"/>
    <n v="0"/>
    <n v="9"/>
    <n v="1"/>
    <n v="0.40585331345667131"/>
    <n v="1"/>
    <n v="74.95"/>
    <n v="74.95"/>
    <n v="11.587740620893092"/>
    <n v="1488.0071192013838"/>
    <n v="1"/>
    <n v="0"/>
    <n v="0"/>
    <n v="0"/>
    <n v="0"/>
    <n v="0"/>
    <n v="0"/>
    <n v="0"/>
    <n v="0"/>
    <n v="0"/>
  </r>
  <r>
    <d v="2025-06-03T00:00:00"/>
    <n v="2025"/>
    <x v="7"/>
    <s v="R"/>
    <s v="RS"/>
    <x v="11"/>
    <s v="MIN"/>
    <s v="A"/>
    <n v="1"/>
    <n v="1"/>
    <n v="0"/>
    <n v="0"/>
    <n v="0"/>
    <n v="0"/>
    <n v="1494.2495917064794"/>
    <n v="1644.6189017531808"/>
    <n v="0.20601130144460275"/>
    <n v="65"/>
    <n v="88"/>
    <n v="0"/>
    <n v="-23"/>
    <n v="0"/>
    <n v="0.54681731699662584"/>
    <n v="1"/>
    <n v="74.8"/>
    <n v="74.8"/>
    <n v="-8.4262609250936755"/>
    <n v="1485.8233307813857"/>
    <n v="0"/>
    <n v="1"/>
    <n v="0"/>
    <n v="0"/>
    <n v="0"/>
    <n v="0"/>
    <n v="0"/>
    <n v="0"/>
    <n v="0"/>
    <n v="0"/>
  </r>
  <r>
    <d v="2025-06-03T00:00:00"/>
    <n v="2025"/>
    <x v="7"/>
    <s v="R"/>
    <s v="RS"/>
    <x v="0"/>
    <s v="PHX"/>
    <s v="H"/>
    <n v="1"/>
    <n v="1"/>
    <n v="0"/>
    <n v="0"/>
    <n v="0"/>
    <n v="0"/>
    <n v="1644.6189017531808"/>
    <n v="1494.2495917064794"/>
    <n v="0.79398869855539733"/>
    <n v="88"/>
    <n v="65"/>
    <n v="0"/>
    <n v="23"/>
    <n v="1"/>
    <n v="0.54681731699662584"/>
    <n v="1"/>
    <n v="74.8"/>
    <n v="74.8"/>
    <n v="8.426260925093672"/>
    <n v="1653.0451626782744"/>
    <n v="1"/>
    <n v="0"/>
    <n v="0"/>
    <n v="0"/>
    <n v="0"/>
    <n v="0"/>
    <n v="0"/>
    <n v="0"/>
    <n v="0"/>
    <n v="0"/>
  </r>
  <r>
    <d v="2025-06-03T00:00:00"/>
    <n v="2025"/>
    <x v="7"/>
    <s v="R"/>
    <s v="RS"/>
    <x v="1"/>
    <s v="SEA"/>
    <s v="A"/>
    <n v="2"/>
    <n v="1"/>
    <n v="1"/>
    <n v="-1"/>
    <n v="8"/>
    <n v="-8"/>
    <n v="1377.9932556906142"/>
    <n v="1509.6268803886758"/>
    <n v="0.24063824792245406"/>
    <n v="77"/>
    <n v="83"/>
    <n v="0"/>
    <n v="-6"/>
    <n v="0"/>
    <n v="0.31655622499377073"/>
    <n v="1"/>
    <n v="74.8"/>
    <n v="74.8"/>
    <n v="-5.6979300442882472"/>
    <n v="1372.2953256463259"/>
    <n v="0"/>
    <n v="1"/>
    <n v="0"/>
    <n v="0"/>
    <n v="0"/>
    <n v="0"/>
    <n v="0"/>
    <n v="0"/>
    <n v="0"/>
    <n v="0"/>
  </r>
  <r>
    <d v="2025-06-03T00:00:00"/>
    <n v="2025"/>
    <x v="7"/>
    <s v="R"/>
    <s v="RS"/>
    <x v="10"/>
    <s v="DAL"/>
    <s v="H"/>
    <n v="1"/>
    <n v="2"/>
    <n v="-1"/>
    <n v="1"/>
    <n v="-8"/>
    <n v="8"/>
    <n v="1509.6268803886758"/>
    <n v="1377.9932556906142"/>
    <n v="0.75936175207754586"/>
    <n v="83"/>
    <n v="77"/>
    <n v="0"/>
    <n v="6"/>
    <n v="1"/>
    <n v="0.31655622499377073"/>
    <n v="1"/>
    <n v="74.8"/>
    <n v="74.8"/>
    <n v="5.697930044288249"/>
    <n v="1515.3248104329641"/>
    <n v="1"/>
    <n v="0"/>
    <n v="0"/>
    <n v="0"/>
    <n v="0"/>
    <n v="0"/>
    <n v="0"/>
    <n v="0"/>
    <n v="0"/>
    <n v="0"/>
  </r>
  <r>
    <d v="2025-06-05T00:00:00"/>
    <n v="2025"/>
    <x v="6"/>
    <s v="R"/>
    <s v="RS"/>
    <x v="3"/>
    <s v="PHX"/>
    <s v="A"/>
    <n v="3"/>
    <n v="1"/>
    <n v="2"/>
    <n v="-2"/>
    <n v="16"/>
    <n v="-16"/>
    <n v="1468.8903214688073"/>
    <n v="1485.8233307813857"/>
    <n v="0.40207894045716408"/>
    <n v="77"/>
    <n v="86"/>
    <n v="0"/>
    <n v="-9"/>
    <n v="0"/>
    <n v="0.40032263801594287"/>
    <n v="1"/>
    <n v="74.95"/>
    <n v="74.95"/>
    <n v="-12.064049594978313"/>
    <n v="1456.826271873829"/>
    <n v="0"/>
    <n v="1"/>
    <n v="0"/>
    <n v="0"/>
    <n v="0"/>
    <n v="0"/>
    <n v="0"/>
    <n v="0"/>
    <n v="0"/>
    <n v="0"/>
  </r>
  <r>
    <d v="2025-06-05T00:00:00"/>
    <n v="2025"/>
    <x v="8"/>
    <s v="R"/>
    <s v="RS"/>
    <x v="11"/>
    <s v="GSV"/>
    <s v="H"/>
    <n v="1"/>
    <n v="3"/>
    <n v="-2"/>
    <n v="2"/>
    <n v="-16"/>
    <n v="16"/>
    <n v="1485.8233307813857"/>
    <n v="1468.8903214688073"/>
    <n v="0.59792105954283592"/>
    <n v="86"/>
    <n v="77"/>
    <n v="0"/>
    <n v="9"/>
    <n v="1"/>
    <n v="0.40032263801594287"/>
    <n v="1"/>
    <n v="74.650000000000006"/>
    <n v="74.650000000000006"/>
    <n v="12.015761204337972"/>
    <n v="1497.8390919857236"/>
    <n v="1"/>
    <n v="0"/>
    <n v="0"/>
    <n v="0"/>
    <n v="0"/>
    <n v="0"/>
    <n v="0"/>
    <n v="0"/>
    <n v="0"/>
    <n v="0"/>
  </r>
  <r>
    <d v="2025-06-05T00:00:00"/>
    <n v="2025"/>
    <x v="7"/>
    <s v="R"/>
    <s v="RS"/>
    <x v="9"/>
    <s v="WAS"/>
    <s v="A"/>
    <n v="3"/>
    <n v="1"/>
    <n v="2"/>
    <n v="-2"/>
    <n v="16"/>
    <n v="-16"/>
    <n v="1690.6307471216396"/>
    <n v="1464.5053025480229"/>
    <n v="0.73151970433726576"/>
    <n v="86"/>
    <n v="78"/>
    <n v="0"/>
    <n v="8"/>
    <n v="1"/>
    <n v="0.32674449767139874"/>
    <n v="1"/>
    <n v="74.8"/>
    <n v="74.8"/>
    <n v="6.5617895587059554"/>
    <n v="1697.1925366803455"/>
    <n v="1"/>
    <n v="0"/>
    <n v="0"/>
    <n v="0"/>
    <n v="0"/>
    <n v="0"/>
    <n v="0"/>
    <n v="0"/>
    <n v="0"/>
    <n v="0"/>
  </r>
  <r>
    <d v="2025-06-05T00:00:00"/>
    <n v="2025"/>
    <x v="8"/>
    <s v="R"/>
    <s v="RS"/>
    <x v="5"/>
    <s v="NYL"/>
    <s v="H"/>
    <n v="1"/>
    <n v="3"/>
    <n v="-2"/>
    <n v="2"/>
    <n v="-16"/>
    <n v="16"/>
    <n v="1464.5053025480229"/>
    <n v="1690.6307471216396"/>
    <n v="0.26848029566273418"/>
    <n v="78"/>
    <n v="86"/>
    <n v="0"/>
    <n v="-8"/>
    <n v="0"/>
    <n v="0.32674449767139874"/>
    <n v="1"/>
    <n v="74.650000000000006"/>
    <n v="74.650000000000006"/>
    <n v="-6.5486308898048069"/>
    <n v="1457.9566716582181"/>
    <n v="0"/>
    <n v="1"/>
    <n v="0"/>
    <n v="0"/>
    <n v="0"/>
    <n v="0"/>
    <n v="0"/>
    <n v="0"/>
    <n v="0"/>
    <n v="0"/>
  </r>
  <r>
    <d v="2025-06-06T00:00:00"/>
    <n v="2025"/>
    <x v="7"/>
    <s v="R"/>
    <s v="RS"/>
    <x v="4"/>
    <s v="CON"/>
    <s v="A"/>
    <n v="6"/>
    <n v="4"/>
    <n v="2"/>
    <n v="-2"/>
    <n v="16"/>
    <n v="-16"/>
    <n v="1513.1518670004386"/>
    <n v="1460.5180129089117"/>
    <n v="0.50091218835189744"/>
    <n v="76"/>
    <n v="84"/>
    <n v="0"/>
    <n v="-8"/>
    <n v="0"/>
    <n v="0.37199908056257808"/>
    <n v="1"/>
    <n v="74.8"/>
    <n v="74.8"/>
    <n v="-13.938147738510208"/>
    <n v="1499.2137192619284"/>
    <n v="0"/>
    <n v="1"/>
    <n v="0"/>
    <n v="0"/>
    <n v="0"/>
    <n v="0"/>
    <n v="0"/>
    <n v="0"/>
    <n v="0"/>
    <n v="0"/>
  </r>
  <r>
    <d v="2025-06-06T00:00:00"/>
    <n v="2025"/>
    <x v="7"/>
    <s v="R"/>
    <s v="RS"/>
    <x v="12"/>
    <s v="ATL"/>
    <s v="H"/>
    <n v="4"/>
    <n v="6"/>
    <n v="-2"/>
    <n v="2"/>
    <n v="-16"/>
    <n v="16"/>
    <n v="1460.5180129089117"/>
    <n v="1513.1518670004386"/>
    <n v="0.49908781164810256"/>
    <n v="84"/>
    <n v="76"/>
    <n v="0"/>
    <n v="8"/>
    <n v="1"/>
    <n v="0.37199908056257808"/>
    <n v="1"/>
    <n v="74.8"/>
    <n v="74.8"/>
    <n v="13.938147738510208"/>
    <n v="1474.4561606474219"/>
    <n v="1"/>
    <n v="0"/>
    <n v="0"/>
    <n v="0"/>
    <n v="0"/>
    <n v="0"/>
    <n v="0"/>
    <n v="0"/>
    <n v="0"/>
    <n v="0"/>
  </r>
  <r>
    <d v="2025-06-06T00:00:00"/>
    <n v="2025"/>
    <x v="8"/>
    <s v="R"/>
    <s v="RS"/>
    <x v="2"/>
    <s v="DAL"/>
    <s v="A"/>
    <n v="4"/>
    <n v="2"/>
    <n v="2"/>
    <n v="-2"/>
    <n v="16"/>
    <n v="-16"/>
    <n v="1382.2908539581572"/>
    <n v="1372.2953256463259"/>
    <n v="0.43984351263369509"/>
    <n v="93"/>
    <n v="79"/>
    <n v="0"/>
    <n v="14"/>
    <n v="1"/>
    <n v="0.48358007162000533"/>
    <n v="1"/>
    <n v="74.650000000000006"/>
    <n v="74.650000000000006"/>
    <n v="20.221230390927978"/>
    <n v="1402.5120843490852"/>
    <n v="1"/>
    <n v="0"/>
    <n v="0"/>
    <n v="0"/>
    <n v="0"/>
    <n v="0"/>
    <n v="0"/>
    <n v="0"/>
    <n v="0"/>
    <n v="0"/>
  </r>
  <r>
    <d v="2025-06-06T00:00:00"/>
    <n v="2025"/>
    <x v="8"/>
    <s v="R"/>
    <s v="RS"/>
    <x v="1"/>
    <s v="LAS"/>
    <s v="H"/>
    <n v="2"/>
    <n v="4"/>
    <n v="-2"/>
    <n v="2"/>
    <n v="-16"/>
    <n v="16"/>
    <n v="1372.2953256463259"/>
    <n v="1382.2908539581572"/>
    <n v="0.56015648736630497"/>
    <n v="79"/>
    <n v="93"/>
    <n v="0"/>
    <n v="-14"/>
    <n v="0"/>
    <n v="0.48358007162000533"/>
    <n v="1"/>
    <n v="74.650000000000006"/>
    <n v="74.650000000000006"/>
    <n v="-20.221230390927978"/>
    <n v="1352.0740952553979"/>
    <n v="0"/>
    <n v="1"/>
    <n v="0"/>
    <n v="0"/>
    <n v="0"/>
    <n v="0"/>
    <n v="0"/>
    <n v="0"/>
    <n v="0"/>
    <n v="0"/>
  </r>
  <r>
    <d v="2025-06-07T00:00:00"/>
    <n v="2025"/>
    <x v="7"/>
    <s v="R"/>
    <s v="RS"/>
    <x v="7"/>
    <s v="CHI"/>
    <s v="A"/>
    <n v="3"/>
    <n v="6"/>
    <n v="-3"/>
    <n v="3"/>
    <n v="-16"/>
    <n v="16"/>
    <n v="1488.0071192013838"/>
    <n v="1407.0797227483988"/>
    <n v="0.44969721721219497"/>
    <n v="79"/>
    <n v="52"/>
    <n v="0"/>
    <n v="27"/>
    <n v="1"/>
    <n v="0.62454749755160133"/>
    <n v="1"/>
    <n v="74.8"/>
    <n v="74.8"/>
    <n v="25.708028896258295"/>
    <n v="1513.7151480976422"/>
    <n v="1"/>
    <n v="0"/>
    <n v="0"/>
    <n v="0"/>
    <n v="0"/>
    <n v="0"/>
    <n v="0"/>
    <n v="0"/>
    <n v="0"/>
    <n v="0"/>
  </r>
  <r>
    <d v="2025-06-07T00:00:00"/>
    <n v="2025"/>
    <x v="6"/>
    <s v="R"/>
    <s v="RS"/>
    <x v="6"/>
    <s v="IND"/>
    <s v="H"/>
    <n v="6"/>
    <n v="3"/>
    <n v="3"/>
    <n v="-3"/>
    <n v="16"/>
    <n v="-16"/>
    <n v="1407.0797227483988"/>
    <n v="1488.0071192013838"/>
    <n v="0.55030278278780509"/>
    <n v="52"/>
    <n v="79"/>
    <n v="0"/>
    <n v="-27"/>
    <n v="0"/>
    <n v="0.62454749755160133"/>
    <n v="1"/>
    <n v="74.95"/>
    <n v="74.95"/>
    <n v="-25.759582430141165"/>
    <n v="1381.3201403182577"/>
    <n v="0"/>
    <n v="1"/>
    <n v="0"/>
    <n v="0"/>
    <n v="0"/>
    <n v="0"/>
    <n v="0"/>
    <n v="0"/>
    <n v="0"/>
    <n v="0"/>
  </r>
  <r>
    <d v="2025-06-07T00:00:00"/>
    <n v="2025"/>
    <x v="6"/>
    <s v="R"/>
    <s v="RS"/>
    <x v="8"/>
    <s v="GSV"/>
    <s v="A"/>
    <n v="5"/>
    <n v="1"/>
    <n v="4"/>
    <n v="-4"/>
    <n v="16"/>
    <n v="-16"/>
    <n v="1598.0288786656938"/>
    <n v="1456.826271873829"/>
    <n v="0.6256246019313203"/>
    <n v="68"/>
    <n v="95"/>
    <n v="0"/>
    <n v="-27"/>
    <n v="0"/>
    <n v="0.59647960416181045"/>
    <n v="1"/>
    <n v="74.95"/>
    <n v="74.95"/>
    <n v="-27.96926500279562"/>
    <n v="1570.0596136628983"/>
    <n v="0"/>
    <n v="1"/>
    <n v="0"/>
    <n v="0"/>
    <n v="0"/>
    <n v="0"/>
    <n v="0"/>
    <n v="0"/>
    <n v="0"/>
    <n v="0"/>
  </r>
  <r>
    <d v="2025-06-07T00:00:00"/>
    <n v="2025"/>
    <x v="7"/>
    <s v="R"/>
    <s v="RS"/>
    <x v="3"/>
    <s v="LVA"/>
    <s v="H"/>
    <n v="1"/>
    <n v="5"/>
    <n v="-4"/>
    <n v="4"/>
    <n v="-16"/>
    <n v="16"/>
    <n v="1456.826271873829"/>
    <n v="1598.0288786656938"/>
    <n v="0.3743753980686797"/>
    <n v="95"/>
    <n v="68"/>
    <n v="0"/>
    <n v="27"/>
    <n v="1"/>
    <n v="0.59647960416181045"/>
    <n v="1"/>
    <n v="74.8"/>
    <n v="74.8"/>
    <n v="27.913289155558534"/>
    <n v="1484.7395610293875"/>
    <n v="1"/>
    <n v="0"/>
    <n v="0"/>
    <n v="0"/>
    <n v="0"/>
    <n v="0"/>
    <n v="0"/>
    <n v="0"/>
    <n v="0"/>
    <n v="0"/>
  </r>
  <r>
    <d v="2025-06-07T00:00:00"/>
    <n v="2025"/>
    <x v="8"/>
    <s v="R"/>
    <s v="RS"/>
    <x v="10"/>
    <s v="PHX"/>
    <s v="A"/>
    <n v="3"/>
    <n v="1"/>
    <n v="2"/>
    <n v="-2"/>
    <n v="16"/>
    <n v="-16"/>
    <n v="1515.3248104329641"/>
    <n v="1497.8390919857236"/>
    <n v="0.4504927025654189"/>
    <n v="89"/>
    <n v="77"/>
    <n v="0"/>
    <n v="12"/>
    <n v="1"/>
    <n v="0.44957844137172803"/>
    <n v="1"/>
    <n v="74.650000000000006"/>
    <n v="74.650000000000006"/>
    <n v="18.442031250721158"/>
    <n v="1533.7668416836852"/>
    <n v="1"/>
    <n v="0"/>
    <n v="0"/>
    <n v="0"/>
    <n v="0"/>
    <n v="0"/>
    <n v="0"/>
    <n v="0"/>
    <n v="0"/>
    <n v="0"/>
  </r>
  <r>
    <d v="2025-06-07T00:00:00"/>
    <n v="2025"/>
    <x v="9"/>
    <s v="R"/>
    <s v="RS"/>
    <x v="11"/>
    <s v="SEA"/>
    <s v="H"/>
    <n v="1"/>
    <n v="3"/>
    <n v="-2"/>
    <n v="2"/>
    <n v="-16"/>
    <n v="16"/>
    <n v="1497.8390919857236"/>
    <n v="1515.3248104329641"/>
    <n v="0.54950729743458115"/>
    <n v="77"/>
    <n v="89"/>
    <n v="0"/>
    <n v="-12"/>
    <n v="0"/>
    <n v="0.44957844137172803"/>
    <n v="1"/>
    <n v="74.5"/>
    <n v="74.5"/>
    <n v="-18.404974255575702"/>
    <n v="1479.4341177301478"/>
    <n v="0"/>
    <n v="1"/>
    <n v="0"/>
    <n v="0"/>
    <n v="0"/>
    <n v="0"/>
    <n v="0"/>
    <n v="0"/>
    <n v="0"/>
    <n v="0"/>
  </r>
  <r>
    <d v="2025-06-08T00:00:00"/>
    <n v="2025"/>
    <x v="8"/>
    <s v="R"/>
    <s v="RS"/>
    <x v="0"/>
    <s v="DAL"/>
    <s v="A"/>
    <n v="4"/>
    <n v="1"/>
    <n v="3"/>
    <n v="-3"/>
    <n v="16"/>
    <n v="-16"/>
    <n v="1653.0451626782744"/>
    <n v="1352.0740952553979"/>
    <n v="0.80739828353231491"/>
    <n v="81"/>
    <n v="65"/>
    <n v="0"/>
    <n v="16"/>
    <n v="1"/>
    <n v="0.41396083656889032"/>
    <n v="1"/>
    <n v="74.650000000000006"/>
    <n v="74.650000000000006"/>
    <n v="5.9518122268317875"/>
    <n v="1658.9969749051063"/>
    <n v="1"/>
    <n v="0"/>
    <n v="0"/>
    <n v="0"/>
    <n v="0"/>
    <n v="0"/>
    <n v="0"/>
    <n v="0"/>
    <n v="0"/>
    <n v="0"/>
  </r>
  <r>
    <d v="2025-06-08T00:00:00"/>
    <n v="2025"/>
    <x v="9"/>
    <s v="R"/>
    <s v="RS"/>
    <x v="1"/>
    <s v="MIN"/>
    <s v="H"/>
    <n v="1"/>
    <n v="4"/>
    <n v="-3"/>
    <n v="3"/>
    <n v="-16"/>
    <n v="16"/>
    <n v="1352.0740952553979"/>
    <n v="1653.0451626782744"/>
    <n v="0.19260171646768506"/>
    <n v="65"/>
    <n v="81"/>
    <n v="0"/>
    <n v="-16"/>
    <n v="0"/>
    <n v="0.41396083656889032"/>
    <n v="1"/>
    <n v="74.5"/>
    <n v="74.5"/>
    <n v="-5.9398527916807513"/>
    <n v="1346.1342424637171"/>
    <n v="0"/>
    <n v="1"/>
    <n v="0"/>
    <n v="0"/>
    <n v="0"/>
    <n v="0"/>
    <n v="0"/>
    <n v="0"/>
    <n v="0"/>
    <n v="0"/>
  </r>
  <r>
    <d v="2025-06-08T00:00:00"/>
    <n v="2025"/>
    <x v="8"/>
    <s v="R"/>
    <s v="RS"/>
    <x v="12"/>
    <s v="WAS"/>
    <s v="A"/>
    <n v="1"/>
    <n v="2"/>
    <n v="-1"/>
    <n v="1"/>
    <n v="-8"/>
    <n v="8"/>
    <n v="1474.4561606474219"/>
    <n v="1457.9566716582181"/>
    <n v="0.38209449838397719"/>
    <n v="67"/>
    <n v="104"/>
    <n v="0"/>
    <n v="-37"/>
    <n v="0"/>
    <n v="0.774172327210777"/>
    <n v="1"/>
    <n v="74.650000000000006"/>
    <n v="74.650000000000006"/>
    <n v="-22.081991581666934"/>
    <n v="1452.374169065755"/>
    <n v="0"/>
    <n v="1"/>
    <n v="0"/>
    <n v="0"/>
    <n v="0"/>
    <n v="0"/>
    <n v="0"/>
    <n v="0"/>
    <n v="0"/>
    <n v="0"/>
  </r>
  <r>
    <d v="2025-06-08T00:00:00"/>
    <n v="2025"/>
    <x v="9"/>
    <s v="R"/>
    <s v="RS"/>
    <x v="5"/>
    <s v="CON"/>
    <s v="H"/>
    <n v="2"/>
    <n v="1"/>
    <n v="1"/>
    <n v="-1"/>
    <n v="8"/>
    <n v="-8"/>
    <n v="1457.9566716582181"/>
    <n v="1474.4561606474219"/>
    <n v="0.61790550161602276"/>
    <n v="104"/>
    <n v="67"/>
    <n v="0"/>
    <n v="37"/>
    <n v="1"/>
    <n v="0.774172327210777"/>
    <n v="1"/>
    <n v="74.5"/>
    <n v="74.5"/>
    <n v="22.037620533612682"/>
    <n v="1479.9942921918307"/>
    <n v="1"/>
    <n v="0"/>
    <n v="0"/>
    <n v="0"/>
    <n v="0"/>
    <n v="0"/>
    <n v="0"/>
    <n v="0"/>
    <n v="0"/>
    <n v="0"/>
  </r>
  <r>
    <d v="2025-06-09T00:00:00"/>
    <n v="2025"/>
    <x v="8"/>
    <s v="R"/>
    <s v="RS"/>
    <x v="3"/>
    <s v="LAS"/>
    <s v="A"/>
    <n v="1"/>
    <n v="2"/>
    <n v="-1"/>
    <n v="1"/>
    <n v="-8"/>
    <n v="8"/>
    <n v="1484.7395610293875"/>
    <n v="1402.5120843490852"/>
    <n v="0.4744455682788522"/>
    <n v="89"/>
    <n v="81"/>
    <n v="1"/>
    <n v="8"/>
    <n v="1"/>
    <n v="0.32707205658158744"/>
    <n v="1"/>
    <n v="74.650000000000006"/>
    <n v="74.650000000000006"/>
    <n v="12.831899703055237"/>
    <n v="1497.5714607324428"/>
    <n v="1"/>
    <n v="0"/>
    <n v="0"/>
    <n v="0"/>
    <n v="0"/>
    <n v="0"/>
    <n v="0"/>
    <n v="0"/>
    <n v="0"/>
    <n v="0"/>
  </r>
  <r>
    <d v="2025-06-09T00:00:00"/>
    <n v="2025"/>
    <x v="9"/>
    <s v="R"/>
    <s v="RS"/>
    <x v="2"/>
    <s v="GSV"/>
    <s v="H"/>
    <n v="2"/>
    <n v="1"/>
    <n v="1"/>
    <n v="-1"/>
    <n v="8"/>
    <n v="-8"/>
    <n v="1402.5120843490852"/>
    <n v="1484.7395610293875"/>
    <n v="0.5255544317211478"/>
    <n v="81"/>
    <n v="89"/>
    <n v="1"/>
    <n v="-8"/>
    <n v="0"/>
    <n v="0.32707205658158744"/>
    <n v="1"/>
    <n v="74.5"/>
    <n v="74.5"/>
    <n v="-12.806115577730944"/>
    <n v="1389.7059687713543"/>
    <n v="0"/>
    <n v="1"/>
    <n v="0"/>
    <n v="0"/>
    <n v="0"/>
    <n v="0"/>
    <n v="0"/>
    <n v="0"/>
    <n v="0"/>
    <n v="0"/>
  </r>
  <r>
    <d v="2025-06-10T00:00:00"/>
    <n v="2025"/>
    <x v="8"/>
    <s v="R"/>
    <s v="RS"/>
    <x v="7"/>
    <s v="ATL"/>
    <s v="A"/>
    <n v="2"/>
    <n v="3"/>
    <n v="-1"/>
    <n v="1"/>
    <n v="-8"/>
    <n v="8"/>
    <n v="1513.7151480976422"/>
    <n v="1499.2137192619284"/>
    <n v="0.37938266024129946"/>
    <n v="58"/>
    <n v="77"/>
    <n v="0"/>
    <n v="-19"/>
    <n v="0"/>
    <n v="0.55427937035286934"/>
    <n v="1"/>
    <n v="74.650000000000006"/>
    <n v="74.650000000000006"/>
    <n v="-15.697699259386331"/>
    <n v="1498.0174488382559"/>
    <n v="0"/>
    <n v="1"/>
    <n v="0"/>
    <n v="0"/>
    <n v="0"/>
    <n v="0"/>
    <n v="0"/>
    <n v="0"/>
    <n v="0"/>
    <n v="0"/>
  </r>
  <r>
    <d v="2025-06-10T00:00:00"/>
    <n v="2025"/>
    <x v="8"/>
    <s v="R"/>
    <s v="RS"/>
    <x v="4"/>
    <s v="IND"/>
    <s v="H"/>
    <n v="3"/>
    <n v="2"/>
    <n v="1"/>
    <n v="-1"/>
    <n v="8"/>
    <n v="-8"/>
    <n v="1499.2137192619284"/>
    <n v="1513.7151480976422"/>
    <n v="0.62061733975870048"/>
    <n v="77"/>
    <n v="58"/>
    <n v="0"/>
    <n v="19"/>
    <n v="1"/>
    <n v="0.55427937035286934"/>
    <n v="1"/>
    <n v="74.650000000000006"/>
    <n v="74.650000000000006"/>
    <n v="15.697699259386335"/>
    <n v="1514.9114185213148"/>
    <n v="1"/>
    <n v="0"/>
    <n v="0"/>
    <n v="0"/>
    <n v="0"/>
    <n v="0"/>
    <n v="0"/>
    <n v="0"/>
    <n v="0"/>
    <n v="0"/>
  </r>
  <r>
    <d v="2025-06-10T00:00:00"/>
    <n v="2025"/>
    <x v="7"/>
    <s v="R"/>
    <s v="RS"/>
    <x v="6"/>
    <s v="NYL"/>
    <s v="A"/>
    <n v="2"/>
    <n v="4"/>
    <n v="-2"/>
    <n v="2"/>
    <n v="-16"/>
    <n v="16"/>
    <n v="1381.3201403182577"/>
    <n v="1697.1925366803455"/>
    <n v="7.6841409822511725E-2"/>
    <n v="66"/>
    <n v="85"/>
    <n v="0"/>
    <n v="-19"/>
    <n v="0"/>
    <n v="0.44408295110014173"/>
    <n v="1"/>
    <n v="74.8"/>
    <n v="74.8"/>
    <n v="-2.5524722110425961"/>
    <n v="1378.7676681072151"/>
    <n v="0"/>
    <n v="1"/>
    <n v="0"/>
    <n v="0"/>
    <n v="0"/>
    <n v="0"/>
    <n v="0"/>
    <n v="0"/>
    <n v="0"/>
    <n v="0"/>
  </r>
  <r>
    <d v="2025-06-10T00:00:00"/>
    <n v="2025"/>
    <x v="8"/>
    <s v="R"/>
    <s v="RS"/>
    <x v="9"/>
    <s v="CHI"/>
    <s v="H"/>
    <n v="4"/>
    <n v="2"/>
    <n v="2"/>
    <n v="-2"/>
    <n v="16"/>
    <n v="-16"/>
    <n v="1697.1925366803455"/>
    <n v="1381.3201403182577"/>
    <n v="0.92315859017748825"/>
    <n v="85"/>
    <n v="66"/>
    <n v="0"/>
    <n v="19"/>
    <n v="1"/>
    <n v="0.44408295110014173"/>
    <n v="1"/>
    <n v="74.650000000000006"/>
    <n v="74.650000000000006"/>
    <n v="2.5473536170364963"/>
    <n v="1699.7398902973821"/>
    <n v="1"/>
    <n v="0"/>
    <n v="0"/>
    <n v="0"/>
    <n v="0"/>
    <n v="0"/>
    <n v="0"/>
    <n v="0"/>
    <n v="0"/>
    <n v="0"/>
  </r>
  <r>
    <d v="2025-06-11T00:00:00"/>
    <n v="2025"/>
    <x v="10"/>
    <s v="R"/>
    <s v="RS"/>
    <x v="2"/>
    <s v="LVA"/>
    <s v="A"/>
    <n v="1"/>
    <n v="3"/>
    <n v="-2"/>
    <n v="2"/>
    <n v="-16"/>
    <n v="16"/>
    <n v="1389.7059687713543"/>
    <n v="1570.0596136628983"/>
    <n v="0.15368992503759221"/>
    <n v="97"/>
    <n v="89"/>
    <n v="0"/>
    <n v="8"/>
    <n v="1"/>
    <n v="0.33757917308228574"/>
    <n v="1"/>
    <n v="74.349999999999994"/>
    <n v="74.349999999999994"/>
    <n v="21.241546319846201"/>
    <n v="1410.9475150912006"/>
    <n v="1"/>
    <n v="0"/>
    <n v="0"/>
    <n v="0"/>
    <n v="0"/>
    <n v="0"/>
    <n v="0"/>
    <n v="0"/>
    <n v="0"/>
    <n v="0"/>
  </r>
  <r>
    <d v="2025-06-11T00:00:00"/>
    <n v="2025"/>
    <x v="7"/>
    <s v="R"/>
    <s v="RS"/>
    <x v="8"/>
    <s v="LAS"/>
    <s v="H"/>
    <n v="3"/>
    <n v="1"/>
    <n v="2"/>
    <n v="-2"/>
    <n v="16"/>
    <n v="-16"/>
    <n v="1570.0596136628983"/>
    <n v="1389.7059687713543"/>
    <n v="0.84631007496240773"/>
    <n v="89"/>
    <n v="97"/>
    <n v="0"/>
    <n v="-8"/>
    <n v="0"/>
    <n v="0.33757917308228574"/>
    <n v="1"/>
    <n v="74.8"/>
    <n v="74.8"/>
    <n v="-21.370109814720863"/>
    <n v="1548.6895038481775"/>
    <n v="0"/>
    <n v="1"/>
    <n v="0"/>
    <n v="0"/>
    <n v="0"/>
    <n v="0"/>
    <n v="0"/>
    <n v="0"/>
    <n v="0"/>
    <n v="0"/>
  </r>
  <r>
    <d v="2025-06-11T00:00:00"/>
    <n v="2025"/>
    <x v="10"/>
    <s v="R"/>
    <s v="RS"/>
    <x v="1"/>
    <s v="PHX"/>
    <s v="A"/>
    <n v="2"/>
    <n v="3"/>
    <n v="-1"/>
    <n v="1"/>
    <n v="-8"/>
    <n v="8"/>
    <n v="1346.1342424637171"/>
    <n v="1479.4341177301478"/>
    <n v="0.20702009130988122"/>
    <n v="80"/>
    <n v="93"/>
    <n v="0"/>
    <n v="-13"/>
    <n v="0"/>
    <n v="0.42485004107852931"/>
    <n v="1"/>
    <n v="74.349999999999994"/>
    <n v="74.349999999999994"/>
    <n v="-6.5392679509881892"/>
    <n v="1339.5949745127289"/>
    <n v="0"/>
    <n v="1"/>
    <n v="0"/>
    <n v="0"/>
    <n v="0"/>
    <n v="0"/>
    <n v="0"/>
    <n v="0"/>
    <n v="0"/>
    <n v="0"/>
  </r>
  <r>
    <d v="2025-06-11T00:00:00"/>
    <n v="2025"/>
    <x v="10"/>
    <s v="R"/>
    <s v="RS"/>
    <x v="11"/>
    <s v="DAL"/>
    <s v="H"/>
    <n v="3"/>
    <n v="2"/>
    <n v="1"/>
    <n v="-1"/>
    <n v="8"/>
    <n v="-8"/>
    <n v="1479.4341177301478"/>
    <n v="1346.1342424637171"/>
    <n v="0.79297990869011881"/>
    <n v="93"/>
    <n v="80"/>
    <n v="0"/>
    <n v="13"/>
    <n v="1"/>
    <n v="0.42485004107852931"/>
    <n v="1"/>
    <n v="74.349999999999994"/>
    <n v="74.349999999999994"/>
    <n v="6.5392679509881884"/>
    <n v="1485.9733856811361"/>
    <n v="1"/>
    <n v="0"/>
    <n v="0"/>
    <n v="0"/>
    <n v="0"/>
    <n v="0"/>
    <n v="0"/>
    <n v="0"/>
    <n v="0"/>
    <n v="0"/>
  </r>
  <r>
    <d v="2025-06-11T00:00:00"/>
    <n v="2025"/>
    <x v="9"/>
    <s v="R"/>
    <s v="RS"/>
    <x v="0"/>
    <s v="SEA"/>
    <s v="A"/>
    <n v="2"/>
    <n v="3"/>
    <n v="-1"/>
    <n v="1"/>
    <n v="-8"/>
    <n v="8"/>
    <n v="1658.9969749051063"/>
    <n v="1533.7668416836852"/>
    <n v="0.5362453906786927"/>
    <n v="84"/>
    <n v="94"/>
    <n v="0"/>
    <n v="-10"/>
    <n v="0"/>
    <n v="0.38314525641253611"/>
    <n v="1"/>
    <n v="74.5"/>
    <n v="74.5"/>
    <n v="-15.30676088951631"/>
    <n v="1643.6902140155901"/>
    <n v="0"/>
    <n v="1"/>
    <n v="0"/>
    <n v="0"/>
    <n v="0"/>
    <n v="0"/>
    <n v="0"/>
    <n v="0"/>
    <n v="0"/>
    <n v="0"/>
  </r>
  <r>
    <d v="2025-06-11T00:00:00"/>
    <n v="2025"/>
    <x v="9"/>
    <s v="R"/>
    <s v="RS"/>
    <x v="10"/>
    <s v="MIN"/>
    <s v="H"/>
    <n v="3"/>
    <n v="2"/>
    <n v="1"/>
    <n v="-1"/>
    <n v="8"/>
    <n v="-8"/>
    <n v="1533.7668416836852"/>
    <n v="1658.9969749051063"/>
    <n v="0.46375460932130724"/>
    <n v="94"/>
    <n v="84"/>
    <n v="0"/>
    <n v="10"/>
    <n v="1"/>
    <n v="0.38314525641253611"/>
    <n v="1"/>
    <n v="74.5"/>
    <n v="74.5"/>
    <n v="15.306760889516314"/>
    <n v="1549.0736025732015"/>
    <n v="1"/>
    <n v="0"/>
    <n v="0"/>
    <n v="0"/>
    <n v="0"/>
    <n v="0"/>
    <n v="0"/>
    <n v="0"/>
    <n v="0"/>
    <n v="0"/>
  </r>
  <r>
    <d v="2025-06-13T00:00:00"/>
    <n v="2025"/>
    <x v="8"/>
    <s v="R"/>
    <s v="RS"/>
    <x v="6"/>
    <s v="ATL"/>
    <s v="A"/>
    <n v="2"/>
    <n v="2"/>
    <n v="0"/>
    <n v="0"/>
    <n v="0"/>
    <n v="0"/>
    <n v="1378.7676681072151"/>
    <n v="1514.9114185213148"/>
    <n v="0.21972849102774147"/>
    <n v="70"/>
    <n v="88"/>
    <n v="0"/>
    <n v="-18"/>
    <n v="0"/>
    <n v="0.49111535966711267"/>
    <n v="1"/>
    <n v="74.650000000000006"/>
    <n v="74.650000000000006"/>
    <n v="-8.0556335546000195"/>
    <n v="1370.712034552615"/>
    <n v="0"/>
    <n v="1"/>
    <n v="0"/>
    <n v="0"/>
    <n v="0"/>
    <n v="0"/>
    <n v="0"/>
    <n v="0"/>
    <n v="0"/>
    <n v="0"/>
  </r>
  <r>
    <d v="2025-06-13T00:00:00"/>
    <n v="2025"/>
    <x v="9"/>
    <s v="R"/>
    <s v="RS"/>
    <x v="4"/>
    <s v="CHI"/>
    <s v="H"/>
    <n v="2"/>
    <n v="2"/>
    <n v="0"/>
    <n v="0"/>
    <n v="0"/>
    <n v="0"/>
    <n v="1514.9114185213148"/>
    <n v="1378.7676681072151"/>
    <n v="0.7802715089722585"/>
    <n v="88"/>
    <n v="70"/>
    <n v="0"/>
    <n v="18"/>
    <n v="1"/>
    <n v="0.49111535966711267"/>
    <n v="1"/>
    <n v="74.5"/>
    <n v="74.5"/>
    <n v="8.0394467490649895"/>
    <n v="1522.9508652703798"/>
    <n v="1"/>
    <n v="0"/>
    <n v="0"/>
    <n v="0"/>
    <n v="0"/>
    <n v="0"/>
    <n v="0"/>
    <n v="0"/>
    <n v="0"/>
    <n v="0"/>
  </r>
  <r>
    <d v="2025-06-13T00:00:00"/>
    <n v="2025"/>
    <x v="11"/>
    <s v="R"/>
    <s v="RS"/>
    <x v="1"/>
    <s v="LVA"/>
    <s v="A"/>
    <n v="1"/>
    <n v="1"/>
    <n v="0"/>
    <n v="0"/>
    <n v="0"/>
    <n v="0"/>
    <n v="1339.5949745127289"/>
    <n v="1548.6895038481775"/>
    <n v="0.15614603842632332"/>
    <n v="84"/>
    <n v="88"/>
    <n v="0"/>
    <n v="-4"/>
    <n v="0"/>
    <n v="0.26521945412768522"/>
    <n v="1"/>
    <n v="74.2"/>
    <n v="74.2"/>
    <n v="-3.0728421570117486"/>
    <n v="1336.5221323557171"/>
    <n v="0"/>
    <n v="1"/>
    <n v="0"/>
    <n v="0"/>
    <n v="0"/>
    <n v="0"/>
    <n v="0"/>
    <n v="0"/>
    <n v="0"/>
    <n v="0"/>
  </r>
  <r>
    <d v="2025-06-13T00:00:00"/>
    <n v="2025"/>
    <x v="8"/>
    <s v="R"/>
    <s v="RS"/>
    <x v="8"/>
    <s v="DAL"/>
    <s v="H"/>
    <n v="1"/>
    <n v="1"/>
    <n v="0"/>
    <n v="0"/>
    <n v="0"/>
    <n v="0"/>
    <n v="1548.6895038481775"/>
    <n v="1339.5949745127289"/>
    <n v="0.84385396157367665"/>
    <n v="88"/>
    <n v="84"/>
    <n v="0"/>
    <n v="4"/>
    <n v="1"/>
    <n v="0.26521945412768522"/>
    <n v="1"/>
    <n v="74.650000000000006"/>
    <n v="74.650000000000006"/>
    <n v="3.0914779921957827"/>
    <n v="1551.7809818403732"/>
    <n v="1"/>
    <n v="0"/>
    <n v="0"/>
    <n v="0"/>
    <n v="0"/>
    <n v="0"/>
    <n v="0"/>
    <n v="0"/>
    <n v="0"/>
    <n v="0"/>
  </r>
  <r>
    <d v="2025-06-14T00:00:00"/>
    <n v="2025"/>
    <x v="10"/>
    <s v="R"/>
    <s v="RS"/>
    <x v="10"/>
    <s v="GSV"/>
    <s v="A"/>
    <n v="2"/>
    <n v="4"/>
    <n v="-2"/>
    <n v="2"/>
    <n v="-16"/>
    <n v="16"/>
    <n v="1549.0736025732015"/>
    <n v="1497.5714607324428"/>
    <n v="0.40823188141287597"/>
    <n v="70"/>
    <n v="76"/>
    <n v="0"/>
    <n v="-6"/>
    <n v="0"/>
    <n v="0.33682476379079695"/>
    <n v="1"/>
    <n v="74.349999999999994"/>
    <n v="74.349999999999994"/>
    <n v="-10.223318832588646"/>
    <n v="1538.8502837406129"/>
    <n v="0"/>
    <n v="1"/>
    <n v="0"/>
    <n v="0"/>
    <n v="0"/>
    <n v="0"/>
    <n v="0"/>
    <n v="0"/>
    <n v="0"/>
    <n v="0"/>
  </r>
  <r>
    <d v="2025-06-14T00:00:00"/>
    <n v="2025"/>
    <x v="9"/>
    <s v="R"/>
    <s v="RS"/>
    <x v="3"/>
    <s v="SEA"/>
    <s v="H"/>
    <n v="4"/>
    <n v="2"/>
    <n v="2"/>
    <n v="-2"/>
    <n v="16"/>
    <n v="-16"/>
    <n v="1497.5714607324428"/>
    <n v="1549.0736025732015"/>
    <n v="0.59176811858712397"/>
    <n v="76"/>
    <n v="70"/>
    <n v="0"/>
    <n v="6"/>
    <n v="1"/>
    <n v="0.33682476379079695"/>
    <n v="1"/>
    <n v="74.5"/>
    <n v="74.5"/>
    <n v="10.243944223642963"/>
    <n v="1507.8154049560858"/>
    <n v="1"/>
    <n v="0"/>
    <n v="0"/>
    <n v="0"/>
    <n v="0"/>
    <n v="0"/>
    <n v="0"/>
    <n v="0"/>
    <n v="0"/>
    <n v="0"/>
  </r>
  <r>
    <d v="2025-06-14T00:00:00"/>
    <n v="2025"/>
    <x v="9"/>
    <s v="R"/>
    <s v="RS"/>
    <x v="9"/>
    <s v="IND"/>
    <s v="A"/>
    <n v="3"/>
    <n v="3"/>
    <n v="0"/>
    <n v="0"/>
    <n v="0"/>
    <n v="0"/>
    <n v="1699.7398902973821"/>
    <n v="1498.0174488382559"/>
    <n v="0.66321731634182612"/>
    <n v="88"/>
    <n v="102"/>
    <n v="0"/>
    <n v="-14"/>
    <n v="0"/>
    <n v="0.4174362248433644"/>
    <n v="1"/>
    <n v="74.5"/>
    <n v="74.5"/>
    <n v="-20.625394492443707"/>
    <n v="1679.1144958049383"/>
    <n v="0"/>
    <n v="1"/>
    <n v="0"/>
    <n v="0"/>
    <n v="0"/>
    <n v="0"/>
    <n v="0"/>
    <n v="0"/>
    <n v="0"/>
    <n v="0"/>
  </r>
  <r>
    <d v="2025-06-14T00:00:00"/>
    <n v="2025"/>
    <x v="9"/>
    <s v="R"/>
    <s v="RS"/>
    <x v="7"/>
    <s v="NYL"/>
    <s v="H"/>
    <n v="3"/>
    <n v="3"/>
    <n v="0"/>
    <n v="0"/>
    <n v="0"/>
    <n v="0"/>
    <n v="1498.0174488382559"/>
    <n v="1699.7398902973821"/>
    <n v="0.33678268365817393"/>
    <n v="102"/>
    <n v="88"/>
    <n v="0"/>
    <n v="14"/>
    <n v="1"/>
    <n v="0.4174362248433644"/>
    <n v="1"/>
    <n v="74.5"/>
    <n v="74.5"/>
    <n v="20.625394492443704"/>
    <n v="1518.6428433306996"/>
    <n v="1"/>
    <n v="0"/>
    <n v="0"/>
    <n v="0"/>
    <n v="0"/>
    <n v="0"/>
    <n v="0"/>
    <n v="0"/>
    <n v="0"/>
    <n v="0"/>
  </r>
  <r>
    <d v="2025-06-14T00:00:00"/>
    <n v="2025"/>
    <x v="11"/>
    <s v="R"/>
    <s v="RS"/>
    <x v="2"/>
    <s v="MIN"/>
    <s v="A"/>
    <n v="2"/>
    <n v="2"/>
    <n v="0"/>
    <n v="0"/>
    <n v="0"/>
    <n v="0"/>
    <n v="1410.9475150912006"/>
    <n v="1643.6902140155901"/>
    <n v="0.13903627019333345"/>
    <n v="78"/>
    <n v="101"/>
    <n v="0"/>
    <n v="-23"/>
    <n v="0"/>
    <n v="0.51537887691116413"/>
    <n v="1"/>
    <n v="74.2"/>
    <n v="74.2"/>
    <n v="-5.3169016732360754"/>
    <n v="1405.6306134179645"/>
    <n v="0"/>
    <n v="1"/>
    <n v="0"/>
    <n v="0"/>
    <n v="0"/>
    <n v="0"/>
    <n v="0"/>
    <n v="0"/>
    <n v="0"/>
    <n v="0"/>
  </r>
  <r>
    <d v="2025-06-14T00:00:00"/>
    <n v="2025"/>
    <x v="10"/>
    <s v="R"/>
    <s v="RS"/>
    <x v="0"/>
    <s v="LAS"/>
    <s v="H"/>
    <n v="2"/>
    <n v="2"/>
    <n v="0"/>
    <n v="0"/>
    <n v="0"/>
    <n v="0"/>
    <n v="1643.6902140155901"/>
    <n v="1410.9475150912006"/>
    <n v="0.86096372980666658"/>
    <n v="101"/>
    <n v="78"/>
    <n v="0"/>
    <n v="23"/>
    <n v="1"/>
    <n v="0.51537887691116413"/>
    <n v="1"/>
    <n v="74.349999999999994"/>
    <n v="74.349999999999994"/>
    <n v="5.3276501267533982"/>
    <n v="1649.0178641423436"/>
    <n v="1"/>
    <n v="0"/>
    <n v="0"/>
    <n v="0"/>
    <n v="0"/>
    <n v="0"/>
    <n v="0"/>
    <n v="0"/>
    <n v="0"/>
    <n v="0"/>
  </r>
  <r>
    <d v="2025-06-15T00:00:00"/>
    <n v="2025"/>
    <x v="9"/>
    <s v="R"/>
    <s v="RS"/>
    <x v="6"/>
    <s v="CON"/>
    <s v="A"/>
    <n v="1"/>
    <n v="6"/>
    <n v="-5"/>
    <n v="5"/>
    <n v="-16"/>
    <n v="16"/>
    <n v="1370.712034552615"/>
    <n v="1452.374169065755"/>
    <n v="0.2427181324539443"/>
    <n v="78"/>
    <n v="66"/>
    <n v="0"/>
    <n v="12"/>
    <n v="1"/>
    <n v="0.42706678847133966"/>
    <n v="1"/>
    <n v="74.5"/>
    <n v="74.5"/>
    <n v="24.094040167965197"/>
    <n v="1394.8060747205802"/>
    <n v="1"/>
    <n v="0"/>
    <n v="0"/>
    <n v="0"/>
    <n v="0"/>
    <n v="0"/>
    <n v="0"/>
    <n v="0"/>
    <n v="0"/>
    <n v="0"/>
  </r>
  <r>
    <d v="2025-06-15T00:00:00"/>
    <n v="2025"/>
    <x v="9"/>
    <s v="R"/>
    <s v="RS"/>
    <x v="12"/>
    <s v="CHI"/>
    <s v="H"/>
    <n v="6"/>
    <n v="1"/>
    <n v="5"/>
    <n v="-5"/>
    <n v="16"/>
    <n v="-16"/>
    <n v="1452.374169065755"/>
    <n v="1370.712034552615"/>
    <n v="0.75728186754605564"/>
    <n v="66"/>
    <n v="78"/>
    <n v="0"/>
    <n v="-12"/>
    <n v="0"/>
    <n v="0.42706678847133966"/>
    <n v="1"/>
    <n v="74.5"/>
    <n v="74.5"/>
    <n v="-24.094040167965193"/>
    <n v="1428.2801288977898"/>
    <n v="0"/>
    <n v="1"/>
    <n v="0"/>
    <n v="0"/>
    <n v="0"/>
    <n v="0"/>
    <n v="0"/>
    <n v="0"/>
    <n v="0"/>
    <n v="0"/>
  </r>
  <r>
    <d v="2025-06-15T00:00:00"/>
    <n v="2025"/>
    <x v="11"/>
    <s v="R"/>
    <s v="RS"/>
    <x v="11"/>
    <s v="LVA"/>
    <s v="A"/>
    <n v="3"/>
    <n v="1"/>
    <n v="2"/>
    <n v="-2"/>
    <n v="16"/>
    <n v="-16"/>
    <n v="1485.9733856811361"/>
    <n v="1551.7809818403732"/>
    <n v="0.33667320356021257"/>
    <n v="76"/>
    <n v="70"/>
    <n v="0"/>
    <n v="6"/>
    <n v="1"/>
    <n v="0.33301815741052099"/>
    <n v="1"/>
    <n v="74.2"/>
    <n v="74.2"/>
    <n v="16.390770169346009"/>
    <n v="1502.3641558504821"/>
    <n v="1"/>
    <n v="0"/>
    <n v="0"/>
    <n v="0"/>
    <n v="0"/>
    <n v="0"/>
    <n v="0"/>
    <n v="0"/>
    <n v="0"/>
    <n v="0"/>
  </r>
  <r>
    <d v="2025-06-15T00:00:00"/>
    <n v="2025"/>
    <x v="9"/>
    <s v="R"/>
    <s v="RS"/>
    <x v="8"/>
    <s v="PHX"/>
    <s v="H"/>
    <n v="1"/>
    <n v="3"/>
    <n v="-2"/>
    <n v="2"/>
    <n v="-16"/>
    <n v="16"/>
    <n v="1551.7809818403732"/>
    <n v="1485.9733856811361"/>
    <n v="0.66332679643978743"/>
    <n v="70"/>
    <n v="76"/>
    <n v="0"/>
    <n v="-6"/>
    <n v="0"/>
    <n v="0.33301815741052099"/>
    <n v="1"/>
    <n v="74.5"/>
    <n v="74.5"/>
    <n v="-16.457040129599431"/>
    <n v="1535.3239417107739"/>
    <n v="0"/>
    <n v="1"/>
    <n v="0"/>
    <n v="0"/>
    <n v="0"/>
    <n v="0"/>
    <n v="0"/>
    <n v="0"/>
    <n v="0"/>
    <n v="0"/>
  </r>
  <r>
    <d v="2025-06-15T00:00:00"/>
    <n v="2025"/>
    <x v="10"/>
    <s v="R"/>
    <s v="RS"/>
    <x v="4"/>
    <s v="WAS"/>
    <s v="A"/>
    <n v="1"/>
    <n v="6"/>
    <n v="-5"/>
    <n v="5"/>
    <n v="-16"/>
    <n v="16"/>
    <n v="1522.9508652703798"/>
    <n v="1479.9942921918307"/>
    <n v="0.39640386644496423"/>
    <n v="89"/>
    <n v="56"/>
    <n v="0"/>
    <n v="33"/>
    <n v="1"/>
    <n v="0.71353322859299795"/>
    <n v="1"/>
    <n v="74.349999999999994"/>
    <n v="74.349999999999994"/>
    <n v="32.021496511970973"/>
    <n v="1554.9723617823508"/>
    <n v="1"/>
    <n v="0"/>
    <n v="0"/>
    <n v="0"/>
    <n v="0"/>
    <n v="0"/>
    <n v="0"/>
    <n v="0"/>
    <n v="0"/>
    <n v="0"/>
  </r>
  <r>
    <d v="2025-06-15T00:00:00"/>
    <n v="2025"/>
    <x v="10"/>
    <s v="R"/>
    <s v="RS"/>
    <x v="5"/>
    <s v="ATL"/>
    <s v="H"/>
    <n v="6"/>
    <n v="1"/>
    <n v="5"/>
    <n v="-5"/>
    <n v="16"/>
    <n v="-16"/>
    <n v="1479.9942921918307"/>
    <n v="1522.9508652703798"/>
    <n v="0.60359613355503583"/>
    <n v="56"/>
    <n v="89"/>
    <n v="0"/>
    <n v="-33"/>
    <n v="0"/>
    <n v="0.71353322859299795"/>
    <n v="1"/>
    <n v="74.349999999999994"/>
    <n v="74.349999999999994"/>
    <n v="-32.021496511970973"/>
    <n v="1447.9727956798597"/>
    <n v="0"/>
    <n v="1"/>
    <n v="0"/>
    <n v="0"/>
    <n v="0"/>
    <n v="0"/>
    <n v="0"/>
    <n v="0"/>
    <n v="0"/>
    <n v="0"/>
  </r>
  <r>
    <d v="2025-06-17T00:00:00"/>
    <n v="2025"/>
    <x v="11"/>
    <s v="R"/>
    <s v="RS"/>
    <x v="5"/>
    <s v="CHI"/>
    <s v="A"/>
    <n v="1"/>
    <n v="1"/>
    <n v="0"/>
    <n v="0"/>
    <n v="0"/>
    <n v="0"/>
    <n v="1447.9727956798597"/>
    <n v="1394.8060747205802"/>
    <n v="0.45574346778292191"/>
    <n v="79"/>
    <n v="72"/>
    <n v="0"/>
    <n v="7"/>
    <n v="1"/>
    <n v="0.35440504408273027"/>
    <n v="1"/>
    <n v="74.2"/>
    <n v="74.2"/>
    <n v="14.312234713718894"/>
    <n v="1462.2850303935786"/>
    <n v="1"/>
    <n v="0"/>
    <n v="0"/>
    <n v="0"/>
    <n v="0"/>
    <n v="0"/>
    <n v="0"/>
    <n v="0"/>
    <n v="0"/>
    <n v="0"/>
  </r>
  <r>
    <d v="2025-06-17T00:00:00"/>
    <n v="2025"/>
    <x v="10"/>
    <s v="R"/>
    <s v="RS"/>
    <x v="6"/>
    <s v="WAS"/>
    <s v="H"/>
    <n v="1"/>
    <n v="1"/>
    <n v="0"/>
    <n v="0"/>
    <n v="0"/>
    <n v="0"/>
    <n v="1394.8060747205802"/>
    <n v="1447.9727956798597"/>
    <n v="0.54425653221707804"/>
    <n v="72"/>
    <n v="79"/>
    <n v="0"/>
    <n v="-7"/>
    <n v="0"/>
    <n v="0.35440504408273027"/>
    <n v="1"/>
    <n v="74.349999999999994"/>
    <n v="74.349999999999994"/>
    <n v="-14.341167802762799"/>
    <n v="1380.4649069178174"/>
    <n v="0"/>
    <n v="1"/>
    <n v="0"/>
    <n v="0"/>
    <n v="0"/>
    <n v="0"/>
    <n v="0"/>
    <n v="0"/>
    <n v="0"/>
    <n v="0"/>
  </r>
  <r>
    <d v="2025-06-17T00:00:00"/>
    <n v="2025"/>
    <x v="10"/>
    <s v="R"/>
    <s v="RS"/>
    <x v="3"/>
    <s v="DAL"/>
    <s v="A"/>
    <n v="2"/>
    <n v="3"/>
    <n v="-1"/>
    <n v="1"/>
    <n v="-8"/>
    <n v="8"/>
    <n v="1507.8154049560858"/>
    <n v="1336.5221323557171"/>
    <n v="0.60118308419589195"/>
    <n v="71"/>
    <n v="80"/>
    <n v="0"/>
    <n v="-9"/>
    <n v="0"/>
    <n v="0.35526013458294303"/>
    <n v="1"/>
    <n v="74.349999999999994"/>
    <n v="74.349999999999994"/>
    <n v="-15.879404105821326"/>
    <n v="1491.9360008502645"/>
    <n v="0"/>
    <n v="1"/>
    <n v="0"/>
    <n v="0"/>
    <n v="0"/>
    <n v="0"/>
    <n v="0"/>
    <n v="0"/>
    <n v="0"/>
    <n v="0"/>
  </r>
  <r>
    <d v="2025-06-17T00:00:00"/>
    <n v="2025"/>
    <x v="12"/>
    <s v="R"/>
    <s v="RS"/>
    <x v="1"/>
    <s v="GSV"/>
    <s v="H"/>
    <n v="3"/>
    <n v="2"/>
    <n v="1"/>
    <n v="-1"/>
    <n v="8"/>
    <n v="-8"/>
    <n v="1336.5221323557171"/>
    <n v="1507.8154049560858"/>
    <n v="0.398816915804108"/>
    <n v="80"/>
    <n v="71"/>
    <n v="0"/>
    <n v="9"/>
    <n v="1"/>
    <n v="0.35526013458294303"/>
    <n v="1"/>
    <n v="74.05"/>
    <n v="74.05"/>
    <n v="15.815331190801203"/>
    <n v="1352.3374635465184"/>
    <n v="1"/>
    <n v="0"/>
    <n v="0"/>
    <n v="0"/>
    <n v="0"/>
    <n v="0"/>
    <n v="0"/>
    <n v="0"/>
    <n v="0"/>
    <n v="0"/>
  </r>
  <r>
    <d v="2025-06-17T00:00:00"/>
    <n v="2025"/>
    <x v="10"/>
    <s v="R"/>
    <s v="RS"/>
    <x v="12"/>
    <s v="IND"/>
    <s v="A"/>
    <n v="1"/>
    <n v="2"/>
    <n v="-1"/>
    <n v="1"/>
    <n v="-8"/>
    <n v="8"/>
    <n v="1428.2801288977898"/>
    <n v="1518.6428433306996"/>
    <n v="0.25052469473326117"/>
    <n v="71"/>
    <n v="88"/>
    <n v="0"/>
    <n v="-17"/>
    <n v="0"/>
    <n v="0.4951557230783708"/>
    <n v="1"/>
    <n v="74.349999999999994"/>
    <n v="74.349999999999994"/>
    <n v="-9.2230235490824395"/>
    <n v="1419.0571053487074"/>
    <n v="0"/>
    <n v="1"/>
    <n v="0"/>
    <n v="0"/>
    <n v="0"/>
    <n v="0"/>
    <n v="0"/>
    <n v="0"/>
    <n v="0"/>
    <n v="0"/>
  </r>
  <r>
    <d v="2025-06-17T00:00:00"/>
    <n v="2025"/>
    <x v="10"/>
    <s v="R"/>
    <s v="RS"/>
    <x v="7"/>
    <s v="CON"/>
    <s v="H"/>
    <n v="2"/>
    <n v="1"/>
    <n v="1"/>
    <n v="-1"/>
    <n v="8"/>
    <n v="-8"/>
    <n v="1518.6428433306996"/>
    <n v="1428.2801288977898"/>
    <n v="0.74947530526673889"/>
    <n v="88"/>
    <n v="71"/>
    <n v="0"/>
    <n v="17"/>
    <n v="1"/>
    <n v="0.4951557230783708"/>
    <n v="1"/>
    <n v="74.349999999999994"/>
    <n v="74.349999999999994"/>
    <n v="9.2230235490824377"/>
    <n v="1527.8658668797821"/>
    <n v="1"/>
    <n v="0"/>
    <n v="0"/>
    <n v="0"/>
    <n v="0"/>
    <n v="0"/>
    <n v="0"/>
    <n v="0"/>
    <n v="0"/>
    <n v="0"/>
  </r>
  <r>
    <d v="2025-06-17T00:00:00"/>
    <n v="2025"/>
    <x v="11"/>
    <s v="R"/>
    <s v="RS"/>
    <x v="10"/>
    <s v="LAS"/>
    <s v="A"/>
    <n v="2"/>
    <n v="2"/>
    <n v="0"/>
    <n v="0"/>
    <n v="0"/>
    <n v="0"/>
    <n v="1538.8502837406129"/>
    <n v="1405.6306134179645"/>
    <n v="0.57036272157450008"/>
    <n v="98"/>
    <n v="67"/>
    <n v="0"/>
    <n v="31"/>
    <n v="1"/>
    <n v="0.64399098496301843"/>
    <n v="1"/>
    <n v="74.2"/>
    <n v="74.2"/>
    <n v="20.529844030967066"/>
    <n v="1559.38012777158"/>
    <n v="1"/>
    <n v="0"/>
    <n v="0"/>
    <n v="0"/>
    <n v="0"/>
    <n v="0"/>
    <n v="0"/>
    <n v="0"/>
    <n v="0"/>
    <n v="0"/>
  </r>
  <r>
    <d v="2025-06-17T00:00:00"/>
    <n v="2025"/>
    <x v="12"/>
    <s v="R"/>
    <s v="RS"/>
    <x v="2"/>
    <s v="SEA"/>
    <s v="H"/>
    <n v="2"/>
    <n v="2"/>
    <n v="0"/>
    <n v="0"/>
    <n v="0"/>
    <n v="0"/>
    <n v="1405.6306134179645"/>
    <n v="1538.8502837406129"/>
    <n v="0.42963727842549998"/>
    <n v="67"/>
    <n v="98"/>
    <n v="0"/>
    <n v="-31"/>
    <n v="0"/>
    <n v="0.64399098496301843"/>
    <n v="1"/>
    <n v="74.05"/>
    <n v="74.05"/>
    <n v="-20.488341650850558"/>
    <n v="1385.1422717671139"/>
    <n v="0"/>
    <n v="1"/>
    <n v="0"/>
    <n v="0"/>
    <n v="0"/>
    <n v="0"/>
    <n v="0"/>
    <n v="0"/>
    <n v="0"/>
    <n v="0"/>
  </r>
  <r>
    <d v="2025-06-17T00:00:00"/>
    <n v="2025"/>
    <x v="10"/>
    <s v="R"/>
    <s v="RS"/>
    <x v="8"/>
    <s v="MIN"/>
    <s v="A"/>
    <n v="1"/>
    <n v="2"/>
    <n v="-1"/>
    <n v="1"/>
    <n v="-8"/>
    <n v="8"/>
    <n v="1535.3239417107739"/>
    <n v="1649.0178641423436"/>
    <n v="0.22616023098975122"/>
    <n v="62"/>
    <n v="76"/>
    <n v="0"/>
    <n v="-14"/>
    <n v="0"/>
    <n v="0.44540795557452306"/>
    <n v="1"/>
    <n v="74.349999999999994"/>
    <n v="74.349999999999994"/>
    <n v="-7.4895406408292091"/>
    <n v="1527.8344010699445"/>
    <n v="0"/>
    <n v="1"/>
    <n v="0"/>
    <n v="0"/>
    <n v="0"/>
    <n v="0"/>
    <n v="0"/>
    <n v="0"/>
    <n v="0"/>
    <n v="0"/>
  </r>
  <r>
    <d v="2025-06-17T00:00:00"/>
    <n v="2025"/>
    <x v="11"/>
    <s v="R"/>
    <s v="RS"/>
    <x v="0"/>
    <s v="LVA"/>
    <s v="H"/>
    <n v="2"/>
    <n v="1"/>
    <n v="1"/>
    <n v="-1"/>
    <n v="8"/>
    <n v="-8"/>
    <n v="1649.0178641423436"/>
    <n v="1535.3239417107739"/>
    <n v="0.77383976901024876"/>
    <n v="76"/>
    <n v="62"/>
    <n v="0"/>
    <n v="14"/>
    <n v="1"/>
    <n v="0.44540795557452306"/>
    <n v="1"/>
    <n v="74.2"/>
    <n v="74.2"/>
    <n v="7.474430605911599"/>
    <n v="1656.4922947482551"/>
    <n v="1"/>
    <n v="0"/>
    <n v="0"/>
    <n v="0"/>
    <n v="0"/>
    <n v="0"/>
    <n v="0"/>
    <n v="0"/>
    <n v="0"/>
    <n v="0"/>
  </r>
  <r>
    <d v="2025-06-17T00:00:00"/>
    <n v="2025"/>
    <x v="11"/>
    <s v="R"/>
    <s v="RS"/>
    <x v="4"/>
    <s v="NYL"/>
    <s v="A"/>
    <n v="1"/>
    <n v="2"/>
    <n v="-1"/>
    <n v="1"/>
    <n v="-8"/>
    <n v="8"/>
    <n v="1554.9723617823508"/>
    <n v="1679.1144958049383"/>
    <n v="0.21580781782663083"/>
    <n v="81"/>
    <n v="86"/>
    <n v="0"/>
    <n v="-5"/>
    <n v="0"/>
    <n v="0.30065289844987764"/>
    <n v="1"/>
    <n v="74.2"/>
    <n v="74.2"/>
    <n v="-4.8143368485788045"/>
    <n v="1550.1580249337721"/>
    <n v="0"/>
    <n v="1"/>
    <n v="0"/>
    <n v="0"/>
    <n v="0"/>
    <n v="0"/>
    <n v="0"/>
    <n v="0"/>
    <n v="0"/>
    <n v="0"/>
  </r>
  <r>
    <d v="2025-06-17T00:00:00"/>
    <n v="2025"/>
    <x v="10"/>
    <s v="R"/>
    <s v="RS"/>
    <x v="9"/>
    <s v="ATL"/>
    <s v="H"/>
    <n v="2"/>
    <n v="1"/>
    <n v="1"/>
    <n v="-1"/>
    <n v="8"/>
    <n v="-8"/>
    <n v="1679.1144958049383"/>
    <n v="1554.9723617823508"/>
    <n v="0.78419218217336917"/>
    <n v="86"/>
    <n v="81"/>
    <n v="0"/>
    <n v="5"/>
    <n v="1"/>
    <n v="0.30065289844987764"/>
    <n v="1"/>
    <n v="74.349999999999994"/>
    <n v="74.349999999999994"/>
    <n v="4.8240693354694617"/>
    <n v="1683.9385651404077"/>
    <n v="1"/>
    <n v="0"/>
    <n v="0"/>
    <n v="0"/>
    <n v="0"/>
    <n v="0"/>
    <n v="0"/>
    <n v="0"/>
    <n v="0"/>
    <n v="0"/>
  </r>
  <r>
    <d v="2025-06-18T00:00:00"/>
    <n v="2025"/>
    <x v="12"/>
    <s v="R"/>
    <s v="RS"/>
    <x v="11"/>
    <s v="CON"/>
    <s v="A"/>
    <n v="2"/>
    <n v="0"/>
    <n v="2"/>
    <n v="-2"/>
    <n v="16"/>
    <n v="-16"/>
    <n v="1502.3641558504821"/>
    <n v="1419.0571053487074"/>
    <n v="0.54493292040028973"/>
    <n v="83"/>
    <n v="75"/>
    <n v="0"/>
    <n v="8"/>
    <n v="1"/>
    <n v="0.36310767701417079"/>
    <n v="1"/>
    <n v="74.05"/>
    <n v="74.05"/>
    <n v="12.235899829279395"/>
    <n v="1514.6000556797615"/>
    <n v="1"/>
    <n v="0"/>
    <n v="0"/>
    <n v="0"/>
    <n v="0"/>
    <n v="0"/>
    <n v="0"/>
    <n v="0"/>
    <n v="0"/>
    <n v="0"/>
  </r>
  <r>
    <d v="2025-06-18T00:00:00"/>
    <n v="2025"/>
    <x v="11"/>
    <s v="R"/>
    <s v="RS"/>
    <x v="12"/>
    <s v="PHX"/>
    <s v="H"/>
    <n v="0"/>
    <n v="2"/>
    <n v="-2"/>
    <n v="2"/>
    <n v="-16"/>
    <n v="16"/>
    <n v="1419.0571053487074"/>
    <n v="1502.3641558504821"/>
    <n v="0.45506707959971027"/>
    <n v="75"/>
    <n v="83"/>
    <n v="0"/>
    <n v="-8"/>
    <n v="0"/>
    <n v="0.36310767701417079"/>
    <n v="1"/>
    <n v="74.2"/>
    <n v="74.2"/>
    <n v="-12.260685581803257"/>
    <n v="1406.7964197669041"/>
    <n v="0"/>
    <n v="1"/>
    <n v="0"/>
    <n v="0"/>
    <n v="0"/>
    <n v="0"/>
    <n v="0"/>
    <n v="0"/>
    <n v="0"/>
    <n v="0"/>
  </r>
  <r>
    <d v="2025-06-19T00:00:00"/>
    <n v="2025"/>
    <x v="11"/>
    <s v="R"/>
    <s v="RS"/>
    <x v="7"/>
    <s v="GSV"/>
    <s v="A"/>
    <n v="1"/>
    <n v="1"/>
    <n v="0"/>
    <n v="0"/>
    <n v="0"/>
    <n v="0"/>
    <n v="1527.8658668797821"/>
    <n v="1491.9360008502645"/>
    <n v="0.43125958216553612"/>
    <n v="77"/>
    <n v="88"/>
    <n v="0"/>
    <n v="-11"/>
    <n v="0"/>
    <n v="0.42704944577862658"/>
    <n v="1"/>
    <n v="74.2"/>
    <n v="74.2"/>
    <n v="-13.665352083848161"/>
    <n v="1514.2005147959339"/>
    <n v="0"/>
    <n v="1"/>
    <n v="0"/>
    <n v="0"/>
    <n v="0"/>
    <n v="0"/>
    <n v="0"/>
    <n v="0"/>
    <n v="0"/>
    <n v="0"/>
  </r>
  <r>
    <d v="2025-06-19T00:00:00"/>
    <n v="2025"/>
    <x v="11"/>
    <s v="R"/>
    <s v="RS"/>
    <x v="3"/>
    <s v="IND"/>
    <s v="H"/>
    <n v="1"/>
    <n v="1"/>
    <n v="0"/>
    <n v="0"/>
    <n v="0"/>
    <n v="0"/>
    <n v="1491.9360008502645"/>
    <n v="1527.8658668797821"/>
    <n v="0.56874041783446383"/>
    <n v="88"/>
    <n v="77"/>
    <n v="0"/>
    <n v="11"/>
    <n v="1"/>
    <n v="0.42704944577862658"/>
    <n v="1"/>
    <n v="74.2"/>
    <n v="74.2"/>
    <n v="13.665352083848163"/>
    <n v="1505.6013529341126"/>
    <n v="1"/>
    <n v="0"/>
    <n v="0"/>
    <n v="0"/>
    <n v="0"/>
    <n v="0"/>
    <n v="0"/>
    <n v="0"/>
    <n v="0"/>
    <n v="0"/>
  </r>
  <r>
    <d v="2025-06-19T00:00:00"/>
    <n v="2025"/>
    <x v="13"/>
    <s v="R"/>
    <s v="RS"/>
    <x v="11"/>
    <s v="NYL"/>
    <s v="A"/>
    <n v="0"/>
    <n v="1"/>
    <n v="-1"/>
    <n v="1"/>
    <n v="-8"/>
    <n v="8"/>
    <n v="1514.6000556797615"/>
    <n v="1683.9385651404077"/>
    <n v="0.17502314744614411"/>
    <n v="89"/>
    <n v="81"/>
    <n v="0"/>
    <n v="8"/>
    <n v="1"/>
    <n v="0.34029470345294371"/>
    <n v="1"/>
    <n v="73.900000000000006"/>
    <n v="73.900000000000006"/>
    <n v="20.746335225916901"/>
    <n v="1535.3463909056784"/>
    <n v="1"/>
    <n v="0"/>
    <n v="0"/>
    <n v="0"/>
    <n v="0"/>
    <n v="0"/>
    <n v="0"/>
    <n v="0"/>
    <n v="0"/>
    <n v="0"/>
  </r>
  <r>
    <d v="2025-06-19T00:00:00"/>
    <n v="2025"/>
    <x v="11"/>
    <s v="R"/>
    <s v="RS"/>
    <x v="9"/>
    <s v="PHX"/>
    <s v="H"/>
    <n v="1"/>
    <n v="0"/>
    <n v="1"/>
    <n v="-1"/>
    <n v="8"/>
    <n v="-8"/>
    <n v="1683.9385651404077"/>
    <n v="1514.6000556797615"/>
    <n v="0.82497685255385589"/>
    <n v="81"/>
    <n v="89"/>
    <n v="0"/>
    <n v="-8"/>
    <n v="0"/>
    <n v="0.34029470345294371"/>
    <n v="1"/>
    <n v="74.2"/>
    <n v="74.2"/>
    <n v="-20.83055580193551"/>
    <n v="1663.1080093384721"/>
    <n v="0"/>
    <n v="1"/>
    <n v="0"/>
    <n v="0"/>
    <n v="0"/>
    <n v="0"/>
    <n v="0"/>
    <n v="0"/>
    <n v="0"/>
    <n v="0"/>
  </r>
  <r>
    <d v="2025-06-20T00:00:00"/>
    <n v="2025"/>
    <x v="12"/>
    <s v="R"/>
    <s v="RS"/>
    <x v="5"/>
    <s v="ATL"/>
    <s v="A"/>
    <n v="2"/>
    <n v="2"/>
    <n v="0"/>
    <n v="0"/>
    <n v="0"/>
    <n v="0"/>
    <n v="1462.2850303935786"/>
    <n v="1550.1580249337721"/>
    <n v="0.27103446027653333"/>
    <n v="91"/>
    <n v="92"/>
    <n v="0"/>
    <n v="-1"/>
    <n v="0"/>
    <n v="0.22751902276122096"/>
    <n v="1"/>
    <n v="74.05"/>
    <n v="74.05"/>
    <n v="-4.5663299444949912"/>
    <n v="1457.7187004490836"/>
    <n v="0"/>
    <n v="1"/>
    <n v="0"/>
    <n v="0"/>
    <n v="0"/>
    <n v="0"/>
    <n v="0"/>
    <n v="0"/>
    <n v="0"/>
    <n v="0"/>
  </r>
  <r>
    <d v="2025-06-20T00:00:00"/>
    <n v="2025"/>
    <x v="12"/>
    <s v="R"/>
    <s v="RS"/>
    <x v="4"/>
    <s v="WAS"/>
    <s v="H"/>
    <n v="2"/>
    <n v="2"/>
    <n v="0"/>
    <n v="0"/>
    <n v="0"/>
    <n v="0"/>
    <n v="1550.1580249337721"/>
    <n v="1462.2850303935786"/>
    <n v="0.72896553972346667"/>
    <n v="92"/>
    <n v="91"/>
    <n v="0"/>
    <n v="1"/>
    <n v="1"/>
    <n v="0.22751902276122096"/>
    <n v="1"/>
    <n v="74.05"/>
    <n v="74.05"/>
    <n v="4.5663299444949912"/>
    <n v="1554.7243548782671"/>
    <n v="1"/>
    <n v="0"/>
    <n v="0"/>
    <n v="0"/>
    <n v="0"/>
    <n v="0"/>
    <n v="0"/>
    <n v="0"/>
    <n v="0"/>
    <n v="0"/>
  </r>
  <r>
    <d v="2025-06-20T00:00:00"/>
    <n v="2025"/>
    <x v="13"/>
    <s v="R"/>
    <s v="RS"/>
    <x v="1"/>
    <s v="CON"/>
    <s v="A"/>
    <n v="2"/>
    <n v="1"/>
    <n v="1"/>
    <n v="-1"/>
    <n v="8"/>
    <n v="-8"/>
    <n v="1352.3374635465184"/>
    <n v="1406.7964197669041"/>
    <n v="0.33071999867608531"/>
    <n v="86"/>
    <n v="83"/>
    <n v="0"/>
    <n v="3"/>
    <n v="1"/>
    <n v="0.2775859852502609"/>
    <n v="1"/>
    <n v="73.900000000000006"/>
    <n v="73.900000000000006"/>
    <n v="13.729345119751233"/>
    <n v="1366.0668086662697"/>
    <n v="1"/>
    <n v="0"/>
    <n v="0"/>
    <n v="0"/>
    <n v="0"/>
    <n v="0"/>
    <n v="0"/>
    <n v="0"/>
    <n v="0"/>
    <n v="0"/>
  </r>
  <r>
    <d v="2025-06-20T00:00:00"/>
    <n v="2025"/>
    <x v="12"/>
    <s v="R"/>
    <s v="RS"/>
    <x v="12"/>
    <s v="DAL"/>
    <s v="H"/>
    <n v="1"/>
    <n v="2"/>
    <n v="-1"/>
    <n v="1"/>
    <n v="-8"/>
    <n v="8"/>
    <n v="1406.7964197669041"/>
    <n v="1352.3374635465184"/>
    <n v="0.66928000132391474"/>
    <n v="83"/>
    <n v="86"/>
    <n v="0"/>
    <n v="-3"/>
    <n v="0"/>
    <n v="0.2775859852502609"/>
    <n v="1"/>
    <n v="74.05"/>
    <n v="74.05"/>
    <n v="-13.757212532037604"/>
    <n v="1393.0392072348666"/>
    <n v="0"/>
    <n v="1"/>
    <n v="0"/>
    <n v="0"/>
    <n v="0"/>
    <n v="0"/>
    <n v="0"/>
    <n v="0"/>
    <n v="0"/>
    <n v="0"/>
  </r>
  <r>
    <d v="2025-06-20T00:00:00"/>
    <n v="2025"/>
    <x v="12"/>
    <s v="R"/>
    <s v="RS"/>
    <x v="10"/>
    <s v="LVA"/>
    <s v="A"/>
    <n v="2"/>
    <n v="2"/>
    <n v="0"/>
    <n v="0"/>
    <n v="0"/>
    <n v="0"/>
    <n v="1559.38012777158"/>
    <n v="1527.8344010699445"/>
    <n v="0.42508059747178895"/>
    <n v="90"/>
    <n v="83"/>
    <n v="0"/>
    <n v="7"/>
    <n v="1"/>
    <n v="0.36062697255591414"/>
    <n v="1"/>
    <n v="74.05"/>
    <n v="74.05"/>
    <n v="15.352893398387744"/>
    <n v="1574.7330211699677"/>
    <n v="1"/>
    <n v="0"/>
    <n v="0"/>
    <n v="0"/>
    <n v="0"/>
    <n v="0"/>
    <n v="0"/>
    <n v="0"/>
    <n v="0"/>
    <n v="0"/>
  </r>
  <r>
    <d v="2025-06-20T00:00:00"/>
    <n v="2025"/>
    <x v="11"/>
    <s v="R"/>
    <s v="RS"/>
    <x v="8"/>
    <s v="SEA"/>
    <s v="H"/>
    <n v="2"/>
    <n v="2"/>
    <n v="0"/>
    <n v="0"/>
    <n v="0"/>
    <n v="0"/>
    <n v="1527.8344010699445"/>
    <n v="1559.38012777158"/>
    <n v="0.57491940252821105"/>
    <n v="83"/>
    <n v="90"/>
    <n v="0"/>
    <n v="-7"/>
    <n v="0"/>
    <n v="0.36062697255591414"/>
    <n v="1"/>
    <n v="74.2"/>
    <n v="74.2"/>
    <n v="-15.383993114927355"/>
    <n v="1512.4504079550172"/>
    <n v="0"/>
    <n v="1"/>
    <n v="0"/>
    <n v="0"/>
    <n v="0"/>
    <n v="0"/>
    <n v="0"/>
    <n v="0"/>
    <n v="0"/>
    <n v="0"/>
  </r>
  <r>
    <d v="2025-06-21T00:00:00"/>
    <n v="2025"/>
    <x v="14"/>
    <s v="R"/>
    <s v="RS"/>
    <x v="11"/>
    <s v="CHI"/>
    <s v="A"/>
    <n v="1"/>
    <n v="3"/>
    <n v="-2"/>
    <n v="2"/>
    <n v="-16"/>
    <n v="16"/>
    <n v="1535.3463909056784"/>
    <n v="1380.4649069178174"/>
    <n v="0.55572252760828522"/>
    <n v="107"/>
    <n v="86"/>
    <n v="0"/>
    <n v="21"/>
    <n v="1"/>
    <n v="0.52129396974710784"/>
    <n v="1"/>
    <n v="73.75"/>
    <n v="73.75"/>
    <n v="17.080438584856246"/>
    <n v="1552.4268294905346"/>
    <n v="1"/>
    <n v="0"/>
    <n v="0"/>
    <n v="0"/>
    <n v="0"/>
    <n v="0"/>
    <n v="0"/>
    <n v="0"/>
    <n v="0"/>
    <n v="0"/>
  </r>
  <r>
    <d v="2025-06-21T00:00:00"/>
    <n v="2025"/>
    <x v="11"/>
    <s v="R"/>
    <s v="RS"/>
    <x v="6"/>
    <s v="PHX"/>
    <s v="H"/>
    <n v="3"/>
    <n v="1"/>
    <n v="2"/>
    <n v="-2"/>
    <n v="16"/>
    <n v="-16"/>
    <n v="1380.4649069178174"/>
    <n v="1535.3463909056784"/>
    <n v="0.44427747239171478"/>
    <n v="86"/>
    <n v="107"/>
    <n v="0"/>
    <n v="-21"/>
    <n v="0"/>
    <n v="0.52129396974710784"/>
    <n v="1"/>
    <n v="74.2"/>
    <n v="74.2"/>
    <n v="-17.184658210119778"/>
    <n v="1363.2802487076976"/>
    <n v="0"/>
    <n v="1"/>
    <n v="0"/>
    <n v="0"/>
    <n v="0"/>
    <n v="0"/>
    <n v="0"/>
    <n v="0"/>
    <n v="0"/>
    <n v="0"/>
  </r>
  <r>
    <d v="2025-06-21T00:00:00"/>
    <n v="2025"/>
    <x v="13"/>
    <s v="R"/>
    <s v="RS"/>
    <x v="2"/>
    <s v="MIN"/>
    <s v="A"/>
    <n v="3"/>
    <n v="3"/>
    <n v="0"/>
    <n v="0"/>
    <n v="0"/>
    <n v="0"/>
    <n v="1385.1422717671139"/>
    <n v="1656.4922947482551"/>
    <n v="0.11450187267693925"/>
    <n v="66"/>
    <n v="82"/>
    <n v="0"/>
    <n v="-16"/>
    <n v="0"/>
    <n v="0.42229464711405262"/>
    <n v="1"/>
    <n v="73.900000000000006"/>
    <n v="73.900000000000006"/>
    <n v="-3.5733257129928617"/>
    <n v="1381.5689460541212"/>
    <n v="0"/>
    <n v="1"/>
    <n v="0"/>
    <n v="0"/>
    <n v="0"/>
    <n v="0"/>
    <n v="0"/>
    <n v="0"/>
    <n v="0"/>
    <n v="0"/>
  </r>
  <r>
    <d v="2025-06-21T00:00:00"/>
    <n v="2025"/>
    <x v="12"/>
    <s v="R"/>
    <s v="RS"/>
    <x v="0"/>
    <s v="LAS"/>
    <s v="H"/>
    <n v="3"/>
    <n v="3"/>
    <n v="0"/>
    <n v="0"/>
    <n v="0"/>
    <n v="0"/>
    <n v="1656.4922947482551"/>
    <n v="1385.1422717671139"/>
    <n v="0.88549812732306077"/>
    <n v="82"/>
    <n v="66"/>
    <n v="0"/>
    <n v="16"/>
    <n v="1"/>
    <n v="0.42229464711405262"/>
    <n v="1"/>
    <n v="74.05"/>
    <n v="74.05"/>
    <n v="3.5805787421802617"/>
    <n v="1660.0728734904353"/>
    <n v="1"/>
    <n v="0"/>
    <n v="0"/>
    <n v="0"/>
    <n v="0"/>
    <n v="0"/>
    <n v="0"/>
    <n v="0"/>
    <n v="0"/>
    <n v="0"/>
  </r>
  <r>
    <d v="2025-06-22T00:00:00"/>
    <n v="2025"/>
    <x v="12"/>
    <s v="R"/>
    <s v="RS"/>
    <x v="6"/>
    <s v="ATL"/>
    <s v="A"/>
    <n v="0"/>
    <n v="1"/>
    <n v="-1"/>
    <n v="1"/>
    <n v="-8"/>
    <n v="8"/>
    <n v="1363.2802487076976"/>
    <n v="1554.7243548782671"/>
    <n v="0.15740197318030077"/>
    <n v="80"/>
    <n v="93"/>
    <n v="0"/>
    <n v="-13"/>
    <n v="0"/>
    <n v="0.40709684583442607"/>
    <n v="1"/>
    <n v="74.05"/>
    <n v="74.05"/>
    <n v="-4.7449645562668277"/>
    <n v="1358.5352841514309"/>
    <n v="0"/>
    <n v="1"/>
    <n v="0"/>
    <n v="0"/>
    <n v="0"/>
    <n v="0"/>
    <n v="0"/>
    <n v="0"/>
    <n v="0"/>
    <n v="0"/>
  </r>
  <r>
    <d v="2025-06-22T00:00:00"/>
    <n v="2025"/>
    <x v="13"/>
    <s v="R"/>
    <s v="RS"/>
    <x v="4"/>
    <s v="CHI"/>
    <s v="H"/>
    <n v="1"/>
    <n v="0"/>
    <n v="1"/>
    <n v="-1"/>
    <n v="8"/>
    <n v="-8"/>
    <n v="1554.7243548782671"/>
    <n v="1363.2802487076976"/>
    <n v="0.8425980268196992"/>
    <n v="93"/>
    <n v="80"/>
    <n v="0"/>
    <n v="13"/>
    <n v="1"/>
    <n v="0.40709684583442607"/>
    <n v="1"/>
    <n v="73.900000000000006"/>
    <n v="73.900000000000006"/>
    <n v="4.7353528792453572"/>
    <n v="1559.4597077575124"/>
    <n v="1"/>
    <n v="0"/>
    <n v="0"/>
    <n v="0"/>
    <n v="0"/>
    <n v="0"/>
    <n v="0"/>
    <n v="0"/>
    <n v="0"/>
    <n v="0"/>
  </r>
  <r>
    <d v="2025-06-22T00:00:00"/>
    <n v="2025"/>
    <x v="13"/>
    <s v="R"/>
    <s v="RS"/>
    <x v="12"/>
    <s v="GSV"/>
    <s v="A"/>
    <n v="1"/>
    <n v="2"/>
    <n v="-1"/>
    <n v="1"/>
    <n v="-8"/>
    <n v="8"/>
    <n v="1393.0392072348666"/>
    <n v="1505.6013529341126"/>
    <n v="0.22730247189700775"/>
    <n v="63"/>
    <n v="87"/>
    <n v="0"/>
    <n v="-24"/>
    <n v="0"/>
    <n v="0.57453821886354983"/>
    <n v="1"/>
    <n v="73.900000000000006"/>
    <n v="73.900000000000006"/>
    <n v="-9.650893447942483"/>
    <n v="1383.3883137869241"/>
    <n v="0"/>
    <n v="1"/>
    <n v="0"/>
    <n v="0"/>
    <n v="0"/>
    <n v="0"/>
    <n v="0"/>
    <n v="0"/>
    <n v="0"/>
    <n v="0"/>
  </r>
  <r>
    <d v="2025-06-22T00:00:00"/>
    <n v="2025"/>
    <x v="12"/>
    <s v="R"/>
    <s v="RS"/>
    <x v="3"/>
    <s v="CON"/>
    <s v="H"/>
    <n v="2"/>
    <n v="1"/>
    <n v="1"/>
    <n v="-1"/>
    <n v="8"/>
    <n v="-8"/>
    <n v="1505.6013529341126"/>
    <n v="1393.0392072348666"/>
    <n v="0.7726975281029923"/>
    <n v="87"/>
    <n v="63"/>
    <n v="0"/>
    <n v="24"/>
    <n v="1"/>
    <n v="0.57453821886354983"/>
    <n v="1"/>
    <n v="74.05"/>
    <n v="74.05"/>
    <n v="9.6704825415445264"/>
    <n v="1515.2718354756571"/>
    <n v="1"/>
    <n v="0"/>
    <n v="0"/>
    <n v="0"/>
    <n v="0"/>
    <n v="0"/>
    <n v="0"/>
    <n v="0"/>
    <n v="0"/>
    <n v="0"/>
  </r>
  <r>
    <d v="2025-06-22T00:00:00"/>
    <n v="2025"/>
    <x v="12"/>
    <s v="R"/>
    <s v="RS"/>
    <x v="7"/>
    <s v="LVA"/>
    <s v="A"/>
    <n v="2"/>
    <n v="1"/>
    <n v="1"/>
    <n v="-1"/>
    <n v="8"/>
    <n v="-8"/>
    <n v="1514.2005147959339"/>
    <n v="1512.4504079550172"/>
    <n v="0.40579770800808806"/>
    <n v="81"/>
    <n v="89"/>
    <n v="0"/>
    <n v="-8"/>
    <n v="0"/>
    <n v="0.38775003168382588"/>
    <n v="1"/>
    <n v="74.05"/>
    <n v="74.05"/>
    <n v="-11.651624889871513"/>
    <n v="1502.5488899060624"/>
    <n v="0"/>
    <n v="1"/>
    <n v="0"/>
    <n v="0"/>
    <n v="0"/>
    <n v="0"/>
    <n v="0"/>
    <n v="0"/>
    <n v="0"/>
    <n v="0"/>
  </r>
  <r>
    <d v="2025-06-22T00:00:00"/>
    <n v="2025"/>
    <x v="12"/>
    <s v="R"/>
    <s v="RS"/>
    <x v="8"/>
    <s v="IND"/>
    <s v="H"/>
    <n v="1"/>
    <n v="2"/>
    <n v="-1"/>
    <n v="1"/>
    <n v="-8"/>
    <n v="8"/>
    <n v="1512.4504079550172"/>
    <n v="1514.2005147959339"/>
    <n v="0.59420229199191199"/>
    <n v="89"/>
    <n v="81"/>
    <n v="0"/>
    <n v="8"/>
    <n v="1"/>
    <n v="0.38775003168382588"/>
    <n v="1"/>
    <n v="74.05"/>
    <n v="74.05"/>
    <n v="11.651624889871512"/>
    <n v="1524.1020328448888"/>
    <n v="1"/>
    <n v="0"/>
    <n v="0"/>
    <n v="0"/>
    <n v="0"/>
    <n v="0"/>
    <n v="0"/>
    <n v="0"/>
    <n v="0"/>
    <n v="0"/>
  </r>
  <r>
    <d v="2025-06-22T00:00:00"/>
    <n v="2025"/>
    <x v="12"/>
    <s v="R"/>
    <s v="RS"/>
    <x v="9"/>
    <s v="SEA"/>
    <s v="A"/>
    <n v="2"/>
    <n v="1"/>
    <n v="1"/>
    <n v="-1"/>
    <n v="8"/>
    <n v="-8"/>
    <n v="1663.1080093384721"/>
    <n v="1574.7330211699677"/>
    <n v="0.52928839736687816"/>
    <n v="79"/>
    <n v="89"/>
    <n v="0"/>
    <n v="-10"/>
    <n v="0"/>
    <n v="0.39410547694700532"/>
    <n v="1"/>
    <n v="74.05"/>
    <n v="74.05"/>
    <n v="-15.446493538036769"/>
    <n v="1647.6615158004354"/>
    <n v="0"/>
    <n v="1"/>
    <n v="0"/>
    <n v="0"/>
    <n v="0"/>
    <n v="0"/>
    <n v="0"/>
    <n v="0"/>
    <n v="0"/>
    <n v="0"/>
  </r>
  <r>
    <d v="2025-06-22T00:00:00"/>
    <n v="2025"/>
    <x v="13"/>
    <s v="R"/>
    <s v="RS"/>
    <x v="10"/>
    <s v="NYL"/>
    <s v="H"/>
    <n v="1"/>
    <n v="2"/>
    <n v="-1"/>
    <n v="1"/>
    <n v="-8"/>
    <n v="8"/>
    <n v="1574.7330211699677"/>
    <n v="1663.1080093384721"/>
    <n v="0.47071160263312184"/>
    <n v="89"/>
    <n v="79"/>
    <n v="0"/>
    <n v="10"/>
    <n v="1"/>
    <n v="0.39410547694700532"/>
    <n v="1"/>
    <n v="73.900000000000006"/>
    <n v="73.900000000000006"/>
    <n v="15.415204219593752"/>
    <n v="1590.1482253895615"/>
    <n v="1"/>
    <n v="0"/>
    <n v="0"/>
    <n v="0"/>
    <n v="0"/>
    <n v="0"/>
    <n v="0"/>
    <n v="0"/>
    <n v="0"/>
    <n v="0"/>
  </r>
  <r>
    <d v="2025-06-22T00:00:00"/>
    <n v="2025"/>
    <x v="14"/>
    <s v="R"/>
    <s v="RS"/>
    <x v="1"/>
    <s v="WAS"/>
    <s v="A"/>
    <n v="1"/>
    <n v="1"/>
    <n v="0"/>
    <n v="0"/>
    <n v="0"/>
    <n v="0"/>
    <n v="1366.0668086662697"/>
    <n v="1457.7187004490836"/>
    <n v="0.26675806810121766"/>
    <n v="88"/>
    <n v="91"/>
    <n v="1"/>
    <n v="-3"/>
    <n v="0"/>
    <n v="0.24263364206747226"/>
    <n v="1"/>
    <n v="73.75"/>
    <n v="73.75"/>
    <n v="-4.7734305190532416"/>
    <n v="1361.2933781472166"/>
    <n v="0"/>
    <n v="1"/>
    <n v="0"/>
    <n v="0"/>
    <n v="0"/>
    <n v="0"/>
    <n v="0"/>
    <n v="0"/>
    <n v="0"/>
    <n v="0"/>
  </r>
  <r>
    <d v="2025-06-22T00:00:00"/>
    <n v="2025"/>
    <x v="13"/>
    <s v="R"/>
    <s v="RS"/>
    <x v="5"/>
    <s v="DAL"/>
    <s v="H"/>
    <n v="1"/>
    <n v="1"/>
    <n v="0"/>
    <n v="0"/>
    <n v="0"/>
    <n v="0"/>
    <n v="1457.7187004490836"/>
    <n v="1366.0668086662697"/>
    <n v="0.73324193189878228"/>
    <n v="91"/>
    <n v="88"/>
    <n v="1"/>
    <n v="3"/>
    <n v="1"/>
    <n v="0.24263364206747226"/>
    <n v="1"/>
    <n v="73.900000000000006"/>
    <n v="73.900000000000006"/>
    <n v="4.7831391912953851"/>
    <n v="1462.5018396403789"/>
    <n v="1"/>
    <n v="0"/>
    <n v="0"/>
    <n v="0"/>
    <n v="0"/>
    <n v="0"/>
    <n v="0"/>
    <n v="0"/>
    <n v="0"/>
    <n v="0"/>
  </r>
  <r>
    <d v="2025-06-24T00:00:00"/>
    <n v="2025"/>
    <x v="14"/>
    <s v="R"/>
    <s v="RS"/>
    <x v="2"/>
    <s v="CHI"/>
    <s v="A"/>
    <n v="2"/>
    <n v="1"/>
    <n v="1"/>
    <n v="-1"/>
    <n v="8"/>
    <n v="-8"/>
    <n v="1381.5689460541212"/>
    <n v="1358.5352841514309"/>
    <n v="0.43564715006537336"/>
    <n v="86"/>
    <n v="97"/>
    <n v="0"/>
    <n v="-11"/>
    <n v="0"/>
    <n v="0.4315524427087698"/>
    <n v="1"/>
    <n v="73.75"/>
    <n v="73.75"/>
    <n v="-13.865338643024657"/>
    <n v="1367.7036074110965"/>
    <n v="0"/>
    <n v="1"/>
    <n v="0"/>
    <n v="0"/>
    <n v="0"/>
    <n v="0"/>
    <n v="0"/>
    <n v="0"/>
    <n v="0"/>
    <n v="0"/>
  </r>
  <r>
    <d v="2025-06-24T00:00:00"/>
    <n v="2025"/>
    <x v="13"/>
    <s v="R"/>
    <s v="RS"/>
    <x v="6"/>
    <s v="LAS"/>
    <s v="H"/>
    <n v="1"/>
    <n v="2"/>
    <n v="-1"/>
    <n v="1"/>
    <n v="-8"/>
    <n v="8"/>
    <n v="1358.5352841514309"/>
    <n v="1381.5689460541212"/>
    <n v="0.56435284993462664"/>
    <n v="97"/>
    <n v="86"/>
    <n v="0"/>
    <n v="11"/>
    <n v="1"/>
    <n v="0.4315524427087698"/>
    <n v="1"/>
    <n v="73.900000000000006"/>
    <n v="73.900000000000006"/>
    <n v="13.893539331790134"/>
    <n v="1372.4288234832211"/>
    <n v="1"/>
    <n v="0"/>
    <n v="0"/>
    <n v="0"/>
    <n v="0"/>
    <n v="0"/>
    <n v="0"/>
    <n v="0"/>
    <n v="0"/>
    <n v="0"/>
  </r>
  <r>
    <d v="2025-06-24T00:00:00"/>
    <n v="2025"/>
    <x v="14"/>
    <s v="R"/>
    <s v="RS"/>
    <x v="4"/>
    <s v="DAL"/>
    <s v="A"/>
    <n v="1"/>
    <n v="1"/>
    <n v="0"/>
    <n v="0"/>
    <n v="0"/>
    <n v="0"/>
    <n v="1559.4597077575124"/>
    <n v="1361.2933781472166"/>
    <n v="0.6586298279256898"/>
    <n v="55"/>
    <n v="68"/>
    <n v="0"/>
    <n v="-13"/>
    <n v="0"/>
    <n v="0.40513957086552477"/>
    <n v="1"/>
    <n v="73.75"/>
    <n v="73.75"/>
    <n v="-19.679229181072319"/>
    <n v="1539.7804785764401"/>
    <n v="0"/>
    <n v="1"/>
    <n v="0"/>
    <n v="0"/>
    <n v="0"/>
    <n v="0"/>
    <n v="0"/>
    <n v="0"/>
    <n v="0"/>
    <n v="0"/>
  </r>
  <r>
    <d v="2025-06-24T00:00:00"/>
    <n v="2025"/>
    <x v="15"/>
    <s v="R"/>
    <s v="RS"/>
    <x v="1"/>
    <s v="ATL"/>
    <s v="H"/>
    <n v="1"/>
    <n v="1"/>
    <n v="0"/>
    <n v="0"/>
    <n v="0"/>
    <n v="0"/>
    <n v="1361.2933781472166"/>
    <n v="1559.4597077575124"/>
    <n v="0.34137017207431014"/>
    <n v="68"/>
    <n v="55"/>
    <n v="0"/>
    <n v="13"/>
    <n v="1"/>
    <n v="0.40513957086552477"/>
    <n v="1"/>
    <n v="73.599999999999994"/>
    <n v="73.599999999999994"/>
    <n v="19.639203630195563"/>
    <n v="1380.9325817774122"/>
    <n v="1"/>
    <n v="0"/>
    <n v="0"/>
    <n v="0"/>
    <n v="0"/>
    <n v="0"/>
    <n v="0"/>
    <n v="0"/>
    <n v="0"/>
    <n v="0"/>
  </r>
  <r>
    <d v="2025-06-24T00:00:00"/>
    <n v="2025"/>
    <x v="13"/>
    <s v="R"/>
    <s v="RS"/>
    <x v="7"/>
    <s v="SEA"/>
    <s v="A"/>
    <n v="1"/>
    <n v="1"/>
    <n v="0"/>
    <n v="0"/>
    <n v="0"/>
    <n v="0"/>
    <n v="1502.5488899060624"/>
    <n v="1590.1482253895615"/>
    <n v="0.27134581368054989"/>
    <n v="94"/>
    <n v="86"/>
    <n v="0"/>
    <n v="8"/>
    <n v="1"/>
    <n v="0.36189723710025806"/>
    <n v="1"/>
    <n v="73.900000000000006"/>
    <n v="73.900000000000006"/>
    <n v="19.487277531777327"/>
    <n v="1522.0361674378398"/>
    <n v="1"/>
    <n v="0"/>
    <n v="0"/>
    <n v="0"/>
    <n v="0"/>
    <n v="0"/>
    <n v="0"/>
    <n v="0"/>
    <n v="0"/>
    <n v="0"/>
  </r>
  <r>
    <d v="2025-06-24T00:00:00"/>
    <n v="2025"/>
    <x v="14"/>
    <s v="R"/>
    <s v="RS"/>
    <x v="10"/>
    <s v="IND"/>
    <s v="H"/>
    <n v="1"/>
    <n v="1"/>
    <n v="0"/>
    <n v="0"/>
    <n v="0"/>
    <n v="0"/>
    <n v="1590.1482253895615"/>
    <n v="1502.5488899060624"/>
    <n v="0.72865418631945011"/>
    <n v="86"/>
    <n v="94"/>
    <n v="0"/>
    <n v="-8"/>
    <n v="0"/>
    <n v="0.36189723710025806"/>
    <n v="1"/>
    <n v="73.75"/>
    <n v="73.75"/>
    <n v="-19.447722841252741"/>
    <n v="1570.7005025483088"/>
    <n v="0"/>
    <n v="1"/>
    <n v="0"/>
    <n v="0"/>
    <n v="0"/>
    <n v="0"/>
    <n v="0"/>
    <n v="0"/>
    <n v="0"/>
    <n v="0"/>
  </r>
  <r>
    <d v="2025-06-24T00:00:00"/>
    <n v="2025"/>
    <x v="13"/>
    <s v="R"/>
    <s v="RS"/>
    <x v="0"/>
    <s v="WAS"/>
    <s v="A"/>
    <n v="2"/>
    <n v="1"/>
    <n v="1"/>
    <n v="-1"/>
    <n v="8"/>
    <n v="-8"/>
    <n v="1660.0728734904353"/>
    <n v="1462.5018396403789"/>
    <n v="0.67827830829029301"/>
    <n v="64"/>
    <n v="68"/>
    <n v="0"/>
    <n v="-4"/>
    <n v="0"/>
    <n v="0.26740628764687968"/>
    <n v="1"/>
    <n v="73.900000000000006"/>
    <n v="73.900000000000006"/>
    <n v="-13.403677857996033"/>
    <n v="1646.6691956324394"/>
    <n v="0"/>
    <n v="1"/>
    <n v="0"/>
    <n v="0"/>
    <n v="0"/>
    <n v="0"/>
    <n v="0"/>
    <n v="0"/>
    <n v="0"/>
    <n v="0"/>
  </r>
  <r>
    <d v="2025-06-24T00:00:00"/>
    <n v="2025"/>
    <x v="14"/>
    <s v="R"/>
    <s v="RS"/>
    <x v="5"/>
    <s v="MIN"/>
    <s v="H"/>
    <n v="1"/>
    <n v="2"/>
    <n v="-1"/>
    <n v="1"/>
    <n v="-8"/>
    <n v="8"/>
    <n v="1462.5018396403789"/>
    <n v="1660.0728734904353"/>
    <n v="0.32172169170970699"/>
    <n v="68"/>
    <n v="64"/>
    <n v="0"/>
    <n v="4"/>
    <n v="1"/>
    <n v="0.26740628764687968"/>
    <n v="1"/>
    <n v="73.75"/>
    <n v="73.75"/>
    <n v="13.376471475334336"/>
    <n v="1475.8783111157131"/>
    <n v="1"/>
    <n v="0"/>
    <n v="0"/>
    <n v="0"/>
    <n v="0"/>
    <n v="0"/>
    <n v="0"/>
    <n v="0"/>
    <n v="0"/>
    <n v="0"/>
  </r>
  <r>
    <d v="2025-06-25T00:00:00"/>
    <n v="2025"/>
    <x v="13"/>
    <s v="R"/>
    <s v="RS"/>
    <x v="9"/>
    <s v="GSV"/>
    <s v="A"/>
    <n v="2"/>
    <n v="2"/>
    <n v="0"/>
    <n v="0"/>
    <n v="0"/>
    <n v="0"/>
    <n v="1647.6615158004354"/>
    <n v="1515.2718354756571"/>
    <n v="0.56919153295239544"/>
    <n v="81"/>
    <n v="78"/>
    <n v="0"/>
    <n v="3"/>
    <n v="1"/>
    <n v="0.26135013687104575"/>
    <n v="1"/>
    <n v="73.900000000000006"/>
    <n v="73.900000000000006"/>
    <n v="8.3205378500963594"/>
    <n v="1655.9820536505317"/>
    <n v="1"/>
    <n v="0"/>
    <n v="0"/>
    <n v="0"/>
    <n v="0"/>
    <n v="0"/>
    <n v="0"/>
    <n v="0"/>
    <n v="0"/>
    <n v="0"/>
  </r>
  <r>
    <d v="2025-06-25T00:00:00"/>
    <n v="2025"/>
    <x v="13"/>
    <s v="R"/>
    <s v="RS"/>
    <x v="3"/>
    <s v="NYL"/>
    <s v="H"/>
    <n v="2"/>
    <n v="2"/>
    <n v="0"/>
    <n v="0"/>
    <n v="0"/>
    <n v="0"/>
    <n v="1515.2718354756571"/>
    <n v="1647.6615158004354"/>
    <n v="0.43080846704760456"/>
    <n v="78"/>
    <n v="81"/>
    <n v="0"/>
    <n v="-3"/>
    <n v="0"/>
    <n v="0.26135013687104575"/>
    <n v="1"/>
    <n v="73.900000000000006"/>
    <n v="73.900000000000006"/>
    <n v="-8.3205378500963594"/>
    <n v="1506.9512976255608"/>
    <n v="0"/>
    <n v="1"/>
    <n v="0"/>
    <n v="0"/>
    <n v="0"/>
    <n v="0"/>
    <n v="0"/>
    <n v="0"/>
    <n v="0"/>
    <n v="0"/>
  </r>
  <r>
    <d v="2025-06-25T00:00:00"/>
    <n v="2025"/>
    <x v="14"/>
    <s v="R"/>
    <s v="RS"/>
    <x v="12"/>
    <s v="LVA"/>
    <s v="A"/>
    <n v="2"/>
    <n v="2"/>
    <n v="0"/>
    <n v="0"/>
    <n v="0"/>
    <n v="0"/>
    <n v="1383.3883137869241"/>
    <n v="1524.1020328448888"/>
    <n v="0.21525150390598127"/>
    <n v="59"/>
    <n v="85"/>
    <n v="0"/>
    <n v="-26"/>
    <n v="0"/>
    <n v="0.58543807336565989"/>
    <n v="1"/>
    <n v="73.75"/>
    <n v="73.75"/>
    <n v="-9.2937113980136647"/>
    <n v="1374.0946023889105"/>
    <n v="0"/>
    <n v="1"/>
    <n v="0"/>
    <n v="0"/>
    <n v="0"/>
    <n v="0"/>
    <n v="0"/>
    <n v="0"/>
    <n v="0"/>
    <n v="0"/>
  </r>
  <r>
    <d v="2025-06-25T00:00:00"/>
    <n v="2025"/>
    <x v="13"/>
    <s v="R"/>
    <s v="RS"/>
    <x v="8"/>
    <s v="CON"/>
    <s v="H"/>
    <n v="2"/>
    <n v="2"/>
    <n v="0"/>
    <n v="0"/>
    <n v="0"/>
    <n v="0"/>
    <n v="1524.1020328448888"/>
    <n v="1383.3883137869241"/>
    <n v="0.78474849609401864"/>
    <n v="85"/>
    <n v="59"/>
    <n v="0"/>
    <n v="26"/>
    <n v="1"/>
    <n v="0.58543807336565989"/>
    <n v="1"/>
    <n v="73.900000000000006"/>
    <n v="73.900000000000006"/>
    <n v="9.3126138618740342"/>
    <n v="1533.4146467067628"/>
    <n v="1"/>
    <n v="0"/>
    <n v="0"/>
    <n v="0"/>
    <n v="0"/>
    <n v="0"/>
    <n v="0"/>
    <n v="0"/>
    <n v="0"/>
    <n v="0"/>
  </r>
  <r>
    <d v="2025-06-26T00:00:00"/>
    <n v="2025"/>
    <x v="15"/>
    <s v="R"/>
    <s v="RS"/>
    <x v="2"/>
    <s v="IND"/>
    <s v="A"/>
    <n v="1"/>
    <n v="1"/>
    <n v="0"/>
    <n v="0"/>
    <n v="0"/>
    <n v="0"/>
    <n v="1367.7036074110965"/>
    <n v="1522.0361674378398"/>
    <n v="0.20230457388388076"/>
    <n v="85"/>
    <n v="75"/>
    <n v="0"/>
    <n v="10"/>
    <n v="1"/>
    <n v="0.3749120815560355"/>
    <n v="1"/>
    <n v="73.599999999999994"/>
    <n v="73.599999999999994"/>
    <n v="22.011232035255127"/>
    <n v="1389.7148394463516"/>
    <n v="1"/>
    <n v="0"/>
    <n v="0"/>
    <n v="0"/>
    <n v="0"/>
    <n v="0"/>
    <n v="0"/>
    <n v="0"/>
    <n v="0"/>
    <n v="0"/>
  </r>
  <r>
    <d v="2025-06-26T00:00:00"/>
    <n v="2025"/>
    <x v="14"/>
    <s v="R"/>
    <s v="RS"/>
    <x v="7"/>
    <s v="LAS"/>
    <s v="H"/>
    <n v="1"/>
    <n v="1"/>
    <n v="0"/>
    <n v="0"/>
    <n v="0"/>
    <n v="0"/>
    <n v="1522.0361674378398"/>
    <n v="1367.7036074110965"/>
    <n v="0.79769542611611921"/>
    <n v="75"/>
    <n v="85"/>
    <n v="0"/>
    <n v="-10"/>
    <n v="0"/>
    <n v="0.3749120815560355"/>
    <n v="1"/>
    <n v="73.75"/>
    <n v="73.75"/>
    <n v="-22.056091883153069"/>
    <n v="1499.9800755546867"/>
    <n v="0"/>
    <n v="1"/>
    <n v="0"/>
    <n v="0"/>
    <n v="0"/>
    <n v="0"/>
    <n v="0"/>
    <n v="0"/>
    <n v="0"/>
    <n v="0"/>
  </r>
  <r>
    <d v="2025-06-26T00:00:00"/>
    <n v="2025"/>
    <x v="15"/>
    <s v="R"/>
    <s v="RS"/>
    <x v="5"/>
    <s v="LVA"/>
    <s v="A"/>
    <n v="1"/>
    <n v="0"/>
    <n v="1"/>
    <n v="-1"/>
    <n v="8"/>
    <n v="-8"/>
    <n v="1475.8783111157131"/>
    <n v="1533.4146467067628"/>
    <n v="0.32681074980116898"/>
    <n v="94"/>
    <n v="83"/>
    <n v="0"/>
    <n v="11"/>
    <n v="1"/>
    <n v="0.41971205870650807"/>
    <n v="1"/>
    <n v="73.599999999999994"/>
    <n v="73.599999999999994"/>
    <n v="20.795359552963081"/>
    <n v="1496.6736706686763"/>
    <n v="1"/>
    <n v="0"/>
    <n v="0"/>
    <n v="0"/>
    <n v="0"/>
    <n v="0"/>
    <n v="0"/>
    <n v="0"/>
    <n v="0"/>
    <n v="0"/>
  </r>
  <r>
    <d v="2025-06-26T00:00:00"/>
    <n v="2025"/>
    <x v="14"/>
    <s v="R"/>
    <s v="RS"/>
    <x v="8"/>
    <s v="WAS"/>
    <s v="H"/>
    <n v="0"/>
    <n v="1"/>
    <n v="-1"/>
    <n v="1"/>
    <n v="-8"/>
    <n v="8"/>
    <n v="1533.4146467067628"/>
    <n v="1475.8783111157131"/>
    <n v="0.67318925019883102"/>
    <n v="83"/>
    <n v="94"/>
    <n v="0"/>
    <n v="-11"/>
    <n v="0"/>
    <n v="0.41971205870650807"/>
    <n v="1"/>
    <n v="73.75"/>
    <n v="73.75"/>
    <n v="-20.837741399878091"/>
    <n v="1512.5769053068848"/>
    <n v="0"/>
    <n v="1"/>
    <n v="0"/>
    <n v="0"/>
    <n v="0"/>
    <n v="0"/>
    <n v="0"/>
    <n v="0"/>
    <n v="0"/>
    <n v="0"/>
  </r>
  <r>
    <d v="2025-06-27T00:00:00"/>
    <n v="2025"/>
    <x v="14"/>
    <s v="R"/>
    <s v="RS"/>
    <x v="0"/>
    <s v="ATL"/>
    <s v="A"/>
    <n v="2"/>
    <n v="2"/>
    <n v="0"/>
    <n v="0"/>
    <n v="0"/>
    <n v="0"/>
    <n v="1646.6691956324394"/>
    <n v="1539.7804785764401"/>
    <n v="0.53289194126765915"/>
    <n v="96"/>
    <n v="92"/>
    <n v="1"/>
    <n v="4"/>
    <n v="1"/>
    <n v="0.25736495334803433"/>
    <n v="1"/>
    <n v="73.75"/>
    <n v="73.75"/>
    <n v="8.8660217261303096"/>
    <n v="1655.5352173585698"/>
    <n v="1"/>
    <n v="0"/>
    <n v="0"/>
    <n v="0"/>
    <n v="0"/>
    <n v="0"/>
    <n v="0"/>
    <n v="0"/>
    <n v="0"/>
    <n v="0"/>
  </r>
  <r>
    <d v="2025-06-27T00:00:00"/>
    <n v="2025"/>
    <x v="15"/>
    <s v="R"/>
    <s v="RS"/>
    <x v="4"/>
    <s v="MIN"/>
    <s v="H"/>
    <n v="2"/>
    <n v="2"/>
    <n v="0"/>
    <n v="0"/>
    <n v="0"/>
    <n v="0"/>
    <n v="1539.7804785764401"/>
    <n v="1646.6691956324394"/>
    <n v="0.46710805873234085"/>
    <n v="92"/>
    <n v="96"/>
    <n v="1"/>
    <n v="-4"/>
    <n v="0"/>
    <n v="0.25736495334803433"/>
    <n v="1"/>
    <n v="73.599999999999994"/>
    <n v="73.599999999999994"/>
    <n v="-8.8479891395686874"/>
    <n v="1530.9324894368715"/>
    <n v="0"/>
    <n v="1"/>
    <n v="0"/>
    <n v="0"/>
    <n v="0"/>
    <n v="0"/>
    <n v="0"/>
    <n v="0"/>
    <n v="0"/>
    <n v="0"/>
  </r>
  <r>
    <d v="2025-06-27T00:00:00"/>
    <n v="2025"/>
    <x v="15"/>
    <s v="R"/>
    <s v="RS"/>
    <x v="7"/>
    <s v="DAL"/>
    <s v="A"/>
    <n v="0"/>
    <n v="2"/>
    <n v="-2"/>
    <n v="2"/>
    <n v="-16"/>
    <n v="16"/>
    <n v="1499.9800755546867"/>
    <n v="1380.9325817774122"/>
    <n v="0.50438558361798258"/>
    <n v="94"/>
    <n v="86"/>
    <n v="0"/>
    <n v="8"/>
    <n v="1"/>
    <n v="0.35326904012319715"/>
    <n v="1"/>
    <n v="73.599999999999994"/>
    <n v="73.599999999999994"/>
    <n v="12.886272865181947"/>
    <n v="1512.8663484198687"/>
    <n v="1"/>
    <n v="0"/>
    <n v="0"/>
    <n v="0"/>
    <n v="0"/>
    <n v="0"/>
    <n v="0"/>
    <n v="0"/>
    <n v="0"/>
    <n v="0"/>
  </r>
  <r>
    <d v="2025-06-27T00:00:00"/>
    <n v="2025"/>
    <x v="16"/>
    <s v="R"/>
    <s v="RS"/>
    <x v="1"/>
    <s v="IND"/>
    <s v="H"/>
    <n v="2"/>
    <n v="0"/>
    <n v="2"/>
    <n v="-2"/>
    <n v="16"/>
    <n v="-16"/>
    <n v="1380.9325817774122"/>
    <n v="1499.9800755546867"/>
    <n v="0.49561441638201748"/>
    <n v="86"/>
    <n v="94"/>
    <n v="0"/>
    <n v="-8"/>
    <n v="0"/>
    <n v="0.35326904012319715"/>
    <n v="1"/>
    <n v="73.45"/>
    <n v="73.45"/>
    <n v="-12.860010080809975"/>
    <n v="1368.0725716966022"/>
    <n v="0"/>
    <n v="1"/>
    <n v="0"/>
    <n v="0"/>
    <n v="0"/>
    <n v="0"/>
    <n v="0"/>
    <n v="0"/>
    <n v="0"/>
    <n v="0"/>
  </r>
  <r>
    <d v="2025-06-27T00:00:00"/>
    <n v="2025"/>
    <x v="14"/>
    <s v="R"/>
    <s v="RS"/>
    <x v="6"/>
    <s v="GSV"/>
    <s v="A"/>
    <n v="2"/>
    <n v="1"/>
    <n v="1"/>
    <n v="-1"/>
    <n v="8"/>
    <n v="-8"/>
    <n v="1372.4288234832211"/>
    <n v="1506.9512976255608"/>
    <n v="0.23761262430515129"/>
    <n v="78"/>
    <n v="83"/>
    <n v="0"/>
    <n v="-5"/>
    <n v="0"/>
    <n v="0.29831432461214236"/>
    <n v="1"/>
    <n v="73.75"/>
    <n v="73.75"/>
    <n v="-5.2276396534946068"/>
    <n v="1367.2011838297265"/>
    <n v="0"/>
    <n v="1"/>
    <n v="0"/>
    <n v="0"/>
    <n v="0"/>
    <n v="0"/>
    <n v="0"/>
    <n v="0"/>
    <n v="0"/>
    <n v="0"/>
  </r>
  <r>
    <d v="2025-06-27T00:00:00"/>
    <n v="2025"/>
    <x v="14"/>
    <s v="R"/>
    <s v="RS"/>
    <x v="3"/>
    <s v="CHI"/>
    <s v="H"/>
    <n v="1"/>
    <n v="2"/>
    <n v="-1"/>
    <n v="1"/>
    <n v="-8"/>
    <n v="8"/>
    <n v="1506.9512976255608"/>
    <n v="1372.4288234832211"/>
    <n v="0.76238737569484882"/>
    <n v="83"/>
    <n v="78"/>
    <n v="0"/>
    <n v="5"/>
    <n v="1"/>
    <n v="0.29831432461214236"/>
    <n v="1"/>
    <n v="73.75"/>
    <n v="73.75"/>
    <n v="5.227639653494605"/>
    <n v="1512.1789372790554"/>
    <n v="1"/>
    <n v="0"/>
    <n v="0"/>
    <n v="0"/>
    <n v="0"/>
    <n v="0"/>
    <n v="0"/>
    <n v="0"/>
    <n v="0"/>
    <n v="0"/>
  </r>
  <r>
    <d v="2025-06-27T00:00:00"/>
    <n v="2025"/>
    <x v="14"/>
    <s v="R"/>
    <s v="RS"/>
    <x v="9"/>
    <s v="PHX"/>
    <s v="A"/>
    <n v="1"/>
    <n v="5"/>
    <n v="-4"/>
    <n v="4"/>
    <n v="-16"/>
    <n v="16"/>
    <n v="1655.9820536505317"/>
    <n v="1552.4268294905346"/>
    <n v="0.48209818325193227"/>
    <n v="91"/>
    <n v="106"/>
    <n v="0"/>
    <n v="-15"/>
    <n v="0"/>
    <n v="0.46290147319485814"/>
    <n v="1"/>
    <n v="73.75"/>
    <n v="73.75"/>
    <n v="-16.458341994826455"/>
    <n v="1639.5237116557053"/>
    <n v="0"/>
    <n v="1"/>
    <n v="0"/>
    <n v="0"/>
    <n v="0"/>
    <n v="0"/>
    <n v="0"/>
    <n v="0"/>
    <n v="0"/>
    <n v="0"/>
  </r>
  <r>
    <d v="2025-06-27T00:00:00"/>
    <n v="2025"/>
    <x v="15"/>
    <s v="R"/>
    <s v="RS"/>
    <x v="11"/>
    <s v="NYL"/>
    <s v="H"/>
    <n v="5"/>
    <n v="1"/>
    <n v="4"/>
    <n v="-4"/>
    <n v="16"/>
    <n v="-16"/>
    <n v="1552.4268294905346"/>
    <n v="1655.9820536505317"/>
    <n v="0.51790181674806768"/>
    <n v="106"/>
    <n v="91"/>
    <n v="0"/>
    <n v="15"/>
    <n v="1"/>
    <n v="0.46290147319485814"/>
    <n v="1"/>
    <n v="73.599999999999994"/>
    <n v="73.599999999999994"/>
    <n v="16.424867400938673"/>
    <n v="1568.8516968914732"/>
    <n v="1"/>
    <n v="0"/>
    <n v="0"/>
    <n v="0"/>
    <n v="0"/>
    <n v="0"/>
    <n v="0"/>
    <n v="0"/>
    <n v="0"/>
    <n v="0"/>
  </r>
  <r>
    <d v="2025-06-27T00:00:00"/>
    <n v="2025"/>
    <x v="15"/>
    <s v="R"/>
    <s v="RS"/>
    <x v="12"/>
    <s v="SEA"/>
    <s v="A"/>
    <n v="1"/>
    <n v="2"/>
    <n v="-1"/>
    <n v="1"/>
    <n v="-8"/>
    <n v="8"/>
    <n v="1374.0946023889105"/>
    <n v="1570.7005025483088"/>
    <n v="0.15350114657981997"/>
    <n v="81"/>
    <n v="97"/>
    <n v="0"/>
    <n v="-16"/>
    <n v="0"/>
    <n v="0.44489518386336385"/>
    <n v="1"/>
    <n v="73.599999999999994"/>
    <n v="73.599999999999994"/>
    <n v="-5.0262853731517501"/>
    <n v="1369.0683170157588"/>
    <n v="0"/>
    <n v="1"/>
    <n v="0"/>
    <n v="0"/>
    <n v="0"/>
    <n v="0"/>
    <n v="0"/>
    <n v="0"/>
    <n v="0"/>
    <n v="0"/>
  </r>
  <r>
    <d v="2025-06-27T00:00:00"/>
    <n v="2025"/>
    <x v="15"/>
    <s v="R"/>
    <s v="RS"/>
    <x v="10"/>
    <s v="CON"/>
    <s v="H"/>
    <n v="2"/>
    <n v="1"/>
    <n v="1"/>
    <n v="-1"/>
    <n v="8"/>
    <n v="-8"/>
    <n v="1570.7005025483088"/>
    <n v="1374.0946023889105"/>
    <n v="0.84649885342018005"/>
    <n v="97"/>
    <n v="81"/>
    <n v="0"/>
    <n v="16"/>
    <n v="1"/>
    <n v="0.44489518386336385"/>
    <n v="1"/>
    <n v="73.599999999999994"/>
    <n v="73.599999999999994"/>
    <n v="5.0262853731517492"/>
    <n v="1575.7267879214605"/>
    <n v="1"/>
    <n v="0"/>
    <n v="0"/>
    <n v="0"/>
    <n v="0"/>
    <n v="0"/>
    <n v="0"/>
    <n v="0"/>
    <n v="0"/>
    <n v="0"/>
  </r>
  <r>
    <d v="2025-06-28T00:00:00"/>
    <n v="2025"/>
    <x v="16"/>
    <s v="R"/>
    <s v="RS"/>
    <x v="5"/>
    <s v="DAL"/>
    <s v="A"/>
    <n v="1"/>
    <n v="0"/>
    <n v="1"/>
    <n v="-1"/>
    <n v="8"/>
    <n v="-8"/>
    <n v="1496.6736706686763"/>
    <n v="1368.0725716966022"/>
    <n v="0.58633818625644862"/>
    <n v="71"/>
    <n v="79"/>
    <n v="0"/>
    <n v="-8"/>
    <n v="0"/>
    <n v="0.35072877958939652"/>
    <n v="1"/>
    <n v="73.45"/>
    <n v="73.45"/>
    <n v="-15.104674938365642"/>
    <n v="1481.5689957303107"/>
    <n v="0"/>
    <n v="1"/>
    <n v="0"/>
    <n v="0"/>
    <n v="0"/>
    <n v="0"/>
    <n v="0"/>
    <n v="0"/>
    <n v="0"/>
    <n v="0"/>
  </r>
  <r>
    <d v="2025-06-28T00:00:00"/>
    <n v="2025"/>
    <x v="17"/>
    <s v="R"/>
    <s v="RS"/>
    <x v="1"/>
    <s v="WAS"/>
    <s v="H"/>
    <n v="0"/>
    <n v="1"/>
    <n v="-1"/>
    <n v="1"/>
    <n v="-8"/>
    <n v="8"/>
    <n v="1368.0725716966022"/>
    <n v="1496.6736706686763"/>
    <n v="0.41366181374355132"/>
    <n v="79"/>
    <n v="71"/>
    <n v="0"/>
    <n v="8"/>
    <n v="1"/>
    <n v="0.35072877958939652"/>
    <n v="1"/>
    <n v="73.3"/>
    <n v="73.3"/>
    <n v="15.073828086891785"/>
    <n v="1383.146399783494"/>
    <n v="1"/>
    <n v="0"/>
    <n v="0"/>
    <n v="0"/>
    <n v="0"/>
    <n v="0"/>
    <n v="0"/>
    <n v="0"/>
    <n v="0"/>
    <n v="0"/>
  </r>
  <r>
    <d v="2025-06-29T00:00:00"/>
    <n v="2025"/>
    <x v="15"/>
    <s v="R"/>
    <s v="RS"/>
    <x v="9"/>
    <s v="ATL"/>
    <s v="A"/>
    <n v="1"/>
    <n v="1"/>
    <n v="0"/>
    <n v="0"/>
    <n v="0"/>
    <n v="0"/>
    <n v="1639.5237116557053"/>
    <n v="1530.9324894368715"/>
    <n v="0.53533063464227904"/>
    <n v="81"/>
    <n v="90"/>
    <n v="0"/>
    <n v="-9"/>
    <n v="0"/>
    <n v="0.37228266880061905"/>
    <n v="1"/>
    <n v="73.599999999999994"/>
    <n v="73.599999999999994"/>
    <n v="-14.668061757354256"/>
    <n v="1624.855649898351"/>
    <n v="0"/>
    <n v="1"/>
    <n v="0"/>
    <n v="0"/>
    <n v="0"/>
    <n v="0"/>
    <n v="0"/>
    <n v="0"/>
    <n v="0"/>
    <n v="0"/>
  </r>
  <r>
    <d v="2025-06-29T00:00:00"/>
    <n v="2025"/>
    <x v="16"/>
    <s v="R"/>
    <s v="RS"/>
    <x v="4"/>
    <s v="NYL"/>
    <s v="H"/>
    <n v="1"/>
    <n v="1"/>
    <n v="0"/>
    <n v="0"/>
    <n v="0"/>
    <n v="0"/>
    <n v="1530.9324894368715"/>
    <n v="1639.5237116557053"/>
    <n v="0.46466936535772102"/>
    <n v="90"/>
    <n v="81"/>
    <n v="0"/>
    <n v="9"/>
    <n v="1"/>
    <n v="0.37228266880061905"/>
    <n v="1"/>
    <n v="73.45"/>
    <n v="73.45"/>
    <n v="14.638167609750955"/>
    <n v="1545.5706570466225"/>
    <n v="1"/>
    <n v="0"/>
    <n v="0"/>
    <n v="0"/>
    <n v="0"/>
    <n v="0"/>
    <n v="0"/>
    <n v="0"/>
    <n v="0"/>
    <n v="0"/>
  </r>
  <r>
    <d v="2025-06-29T00:00:00"/>
    <n v="2025"/>
    <x v="16"/>
    <s v="R"/>
    <s v="RS"/>
    <x v="10"/>
    <s v="GSV"/>
    <s v="A"/>
    <n v="1"/>
    <n v="1"/>
    <n v="0"/>
    <n v="0"/>
    <n v="0"/>
    <n v="0"/>
    <n v="1575.7267879214605"/>
    <n v="1512.1789372790554"/>
    <n v="0.47060094121549961"/>
    <n v="57"/>
    <n v="84"/>
    <n v="0"/>
    <n v="-27"/>
    <n v="0"/>
    <n v="0.63313787411633737"/>
    <n v="1"/>
    <n v="73.45"/>
    <n v="73.45"/>
    <n v="-21.884815277683256"/>
    <n v="1553.8419726437774"/>
    <n v="0"/>
    <n v="1"/>
    <n v="0"/>
    <n v="0"/>
    <n v="0"/>
    <n v="0"/>
    <n v="0"/>
    <n v="0"/>
    <n v="0"/>
    <n v="0"/>
  </r>
  <r>
    <d v="2025-06-29T00:00:00"/>
    <n v="2025"/>
    <x v="15"/>
    <s v="R"/>
    <s v="RS"/>
    <x v="3"/>
    <s v="SEA"/>
    <s v="H"/>
    <n v="1"/>
    <n v="1"/>
    <n v="0"/>
    <n v="0"/>
    <n v="0"/>
    <n v="0"/>
    <n v="1512.1789372790554"/>
    <n v="1575.7267879214605"/>
    <n v="0.52939905878450033"/>
    <n v="84"/>
    <n v="57"/>
    <n v="0"/>
    <n v="27"/>
    <n v="1"/>
    <n v="0.63313787411633737"/>
    <n v="1"/>
    <n v="73.599999999999994"/>
    <n v="73.599999999999994"/>
    <n v="21.929508569605005"/>
    <n v="1534.1084458486605"/>
    <n v="1"/>
    <n v="0"/>
    <n v="0"/>
    <n v="0"/>
    <n v="0"/>
    <n v="0"/>
    <n v="0"/>
    <n v="0"/>
    <n v="0"/>
    <n v="0"/>
  </r>
  <r>
    <d v="2025-06-29T00:00:00"/>
    <n v="2025"/>
    <x v="15"/>
    <s v="R"/>
    <s v="RS"/>
    <x v="6"/>
    <s v="LAS"/>
    <s v="A"/>
    <n v="1"/>
    <n v="2"/>
    <n v="-1"/>
    <n v="1"/>
    <n v="-8"/>
    <n v="8"/>
    <n v="1367.2011838297265"/>
    <n v="1389.7148394463516"/>
    <n v="0.33065030660290812"/>
    <n v="92"/>
    <n v="85"/>
    <n v="0"/>
    <n v="7"/>
    <n v="1"/>
    <n v="0.3632913259856958"/>
    <n v="1"/>
    <n v="73.599999999999994"/>
    <n v="73.599999999999994"/>
    <n v="17.897233811948844"/>
    <n v="1385.0984176416753"/>
    <n v="1"/>
    <n v="0"/>
    <n v="0"/>
    <n v="0"/>
    <n v="0"/>
    <n v="0"/>
    <n v="0"/>
    <n v="0"/>
    <n v="0"/>
    <n v="0"/>
  </r>
  <r>
    <d v="2025-06-29T00:00:00"/>
    <n v="2025"/>
    <x v="16"/>
    <s v="R"/>
    <s v="RS"/>
    <x v="2"/>
    <s v="CHI"/>
    <s v="H"/>
    <n v="2"/>
    <n v="1"/>
    <n v="1"/>
    <n v="-1"/>
    <n v="8"/>
    <n v="-8"/>
    <n v="1389.7148394463516"/>
    <n v="1367.2011838297265"/>
    <n v="0.66934969339709183"/>
    <n v="85"/>
    <n v="92"/>
    <n v="0"/>
    <n v="-7"/>
    <n v="0"/>
    <n v="0.3632913259856958"/>
    <n v="1"/>
    <n v="73.45"/>
    <n v="73.45"/>
    <n v="-17.860758471299491"/>
    <n v="1371.8540809750521"/>
    <n v="0"/>
    <n v="1"/>
    <n v="0"/>
    <n v="0"/>
    <n v="0"/>
    <n v="0"/>
    <n v="0"/>
    <n v="0"/>
    <n v="0"/>
    <n v="0"/>
  </r>
  <r>
    <d v="2025-06-29T00:00:00"/>
    <n v="2025"/>
    <x v="16"/>
    <s v="R"/>
    <s v="RS"/>
    <x v="12"/>
    <s v="MIN"/>
    <s v="A"/>
    <n v="1"/>
    <n v="1"/>
    <n v="0"/>
    <n v="0"/>
    <n v="0"/>
    <n v="0"/>
    <n v="1369.0683170157588"/>
    <n v="1655.5352173585698"/>
    <n v="0.1059704160082946"/>
    <n v="63"/>
    <n v="102"/>
    <n v="0"/>
    <n v="-39"/>
    <n v="0"/>
    <n v="0.65150291443034902"/>
    <n v="1"/>
    <n v="73.45"/>
    <n v="73.45"/>
    <n v="-5.0709905614071928"/>
    <n v="1363.9973264543517"/>
    <n v="0"/>
    <n v="1"/>
    <n v="0"/>
    <n v="0"/>
    <n v="0"/>
    <n v="0"/>
    <n v="0"/>
    <n v="0"/>
    <n v="0"/>
    <n v="0"/>
  </r>
  <r>
    <d v="2025-06-29T00:00:00"/>
    <n v="2025"/>
    <x v="15"/>
    <s v="R"/>
    <s v="RS"/>
    <x v="0"/>
    <s v="CON"/>
    <s v="H"/>
    <n v="1"/>
    <n v="1"/>
    <n v="0"/>
    <n v="0"/>
    <n v="0"/>
    <n v="0"/>
    <n v="1655.5352173585698"/>
    <n v="1369.0683170157588"/>
    <n v="0.8940295839917054"/>
    <n v="102"/>
    <n v="63"/>
    <n v="0"/>
    <n v="39"/>
    <n v="1"/>
    <n v="0.65150291443034902"/>
    <n v="1"/>
    <n v="73.599999999999994"/>
    <n v="73.599999999999994"/>
    <n v="5.0813465666381123"/>
    <n v="1660.6165639252079"/>
    <n v="1"/>
    <n v="0"/>
    <n v="0"/>
    <n v="0"/>
    <n v="0"/>
    <n v="0"/>
    <n v="0"/>
    <n v="0"/>
    <n v="0"/>
    <n v="0"/>
  </r>
  <r>
    <d v="2025-06-29T00:00:00"/>
    <n v="2025"/>
    <x v="15"/>
    <s v="R"/>
    <s v="RS"/>
    <x v="8"/>
    <s v="PHX"/>
    <s v="A"/>
    <n v="2"/>
    <n v="1"/>
    <n v="1"/>
    <n v="-1"/>
    <n v="8"/>
    <n v="-8"/>
    <n v="1512.5769053068848"/>
    <n v="1568.8516968914732"/>
    <n v="0.3284104413672162"/>
    <n v="84"/>
    <n v="81"/>
    <n v="0"/>
    <n v="3"/>
    <n v="1"/>
    <n v="0.2771847589803389"/>
    <n v="1"/>
    <n v="73.599999999999994"/>
    <n v="73.599999999999994"/>
    <n v="13.700963099829851"/>
    <n v="1526.2778684067146"/>
    <n v="1"/>
    <n v="0"/>
    <n v="0"/>
    <n v="0"/>
    <n v="0"/>
    <n v="0"/>
    <n v="0"/>
    <n v="0"/>
    <n v="0"/>
    <n v="0"/>
  </r>
  <r>
    <d v="2025-06-29T00:00:00"/>
    <n v="2025"/>
    <x v="16"/>
    <s v="R"/>
    <s v="RS"/>
    <x v="11"/>
    <s v="LVA"/>
    <s v="H"/>
    <n v="1"/>
    <n v="2"/>
    <n v="-1"/>
    <n v="1"/>
    <n v="-8"/>
    <n v="8"/>
    <n v="1568.8516968914732"/>
    <n v="1512.5769053068848"/>
    <n v="0.6715895586327838"/>
    <n v="81"/>
    <n v="84"/>
    <n v="0"/>
    <n v="-3"/>
    <n v="0"/>
    <n v="0.2771847589803389"/>
    <n v="1"/>
    <n v="73.45"/>
    <n v="73.45"/>
    <n v="-13.673039941338349"/>
    <n v="1555.1786569501348"/>
    <n v="0"/>
    <n v="1"/>
    <n v="0"/>
    <n v="0"/>
    <n v="0"/>
    <n v="0"/>
    <n v="0"/>
    <n v="0"/>
    <n v="0"/>
    <n v="0"/>
  </r>
  <r>
    <d v="2025-07-01T00:00:00"/>
    <n v="2025"/>
    <x v="16"/>
    <s v="P"/>
    <n v="0.1"/>
    <x v="7"/>
    <s v="MIN"/>
    <s v="A"/>
    <n v="3"/>
    <n v="1"/>
    <n v="2"/>
    <n v="-2"/>
    <n v="16"/>
    <n v="-16"/>
    <n v="1512.8663484198687"/>
    <n v="1660.6165639252079"/>
    <n v="0.24051562892118861"/>
    <n v="74"/>
    <n v="59"/>
    <n v="0"/>
    <n v="15"/>
    <n v="1"/>
    <n v="0.44772215705286655"/>
    <n v="1"/>
    <n v="73.45"/>
    <n v="73.45"/>
    <n v="24.975789694706503"/>
    <n v="1537.8421381145752"/>
    <n v="0"/>
    <n v="0"/>
    <n v="0"/>
    <n v="0"/>
    <n v="0"/>
    <n v="0"/>
    <n v="0"/>
    <n v="0"/>
    <n v="0"/>
    <n v="0"/>
  </r>
  <r>
    <d v="2025-07-01T00:00:00"/>
    <n v="2025"/>
    <x v="16"/>
    <s v="P"/>
    <n v="0.1"/>
    <x v="0"/>
    <s v="IND"/>
    <s v="H"/>
    <n v="1"/>
    <n v="3"/>
    <n v="-2"/>
    <n v="2"/>
    <n v="-16"/>
    <n v="16"/>
    <n v="1660.6165639252079"/>
    <n v="1512.8663484198687"/>
    <n v="0.7594843710788115"/>
    <n v="59"/>
    <n v="74"/>
    <n v="0"/>
    <n v="-15"/>
    <n v="0"/>
    <n v="0.44772215705286655"/>
    <n v="1"/>
    <n v="73.45"/>
    <n v="73.45"/>
    <n v="-24.975789694706506"/>
    <n v="1635.6407742305014"/>
    <n v="0"/>
    <n v="0"/>
    <n v="0"/>
    <n v="0"/>
    <n v="0"/>
    <n v="0"/>
    <n v="0"/>
    <n v="0"/>
    <n v="0"/>
    <n v="0"/>
  </r>
  <r>
    <d v="2025-07-03T00:00:00"/>
    <n v="2025"/>
    <x v="17"/>
    <s v="R"/>
    <s v="RS"/>
    <x v="10"/>
    <s v="ATL"/>
    <s v="A"/>
    <n v="3"/>
    <n v="3"/>
    <n v="0"/>
    <n v="0"/>
    <n v="0"/>
    <n v="0"/>
    <n v="1553.8419726437774"/>
    <n v="1545.5706570466225"/>
    <n v="0.3927113500636723"/>
    <n v="80"/>
    <n v="79"/>
    <n v="0"/>
    <n v="1"/>
    <n v="1"/>
    <n v="0.24250811996934415"/>
    <n v="1"/>
    <n v="73.3"/>
    <n v="73.3"/>
    <n v="10.795069029191373"/>
    <n v="1564.6370416729687"/>
    <n v="1"/>
    <n v="0"/>
    <n v="0"/>
    <n v="0"/>
    <n v="0"/>
    <n v="0"/>
    <n v="0"/>
    <n v="0"/>
    <n v="0"/>
    <n v="0"/>
  </r>
  <r>
    <d v="2025-07-03T00:00:00"/>
    <n v="2025"/>
    <x v="17"/>
    <s v="R"/>
    <s v="RS"/>
    <x v="4"/>
    <s v="SEA"/>
    <s v="H"/>
    <n v="3"/>
    <n v="3"/>
    <n v="0"/>
    <n v="0"/>
    <n v="0"/>
    <n v="0"/>
    <n v="1545.5706570466225"/>
    <n v="1553.8419726437774"/>
    <n v="0.6072886499363277"/>
    <n v="79"/>
    <n v="80"/>
    <n v="0"/>
    <n v="-1"/>
    <n v="0"/>
    <n v="0.24250811996934415"/>
    <n v="1"/>
    <n v="73.3"/>
    <n v="73.3"/>
    <n v="-10.795069029191373"/>
    <n v="1534.7755880174311"/>
    <n v="0"/>
    <n v="1"/>
    <n v="0"/>
    <n v="0"/>
    <n v="0"/>
    <n v="0"/>
    <n v="0"/>
    <n v="0"/>
    <n v="0"/>
    <n v="0"/>
  </r>
  <r>
    <d v="2025-07-03T00:00:00"/>
    <n v="2025"/>
    <x v="17"/>
    <s v="R"/>
    <s v="RS"/>
    <x v="11"/>
    <s v="DAL"/>
    <s v="A"/>
    <n v="3"/>
    <n v="4"/>
    <n v="-1"/>
    <n v="1"/>
    <n v="-8"/>
    <n v="8"/>
    <n v="1555.1786569501348"/>
    <n v="1383.146399783494"/>
    <n v="0.60220257624254037"/>
    <n v="89"/>
    <n v="98"/>
    <n v="0"/>
    <n v="-9"/>
    <n v="0"/>
    <n v="0.35506878940494357"/>
    <n v="1"/>
    <n v="73.3"/>
    <n v="73.3"/>
    <n v="-15.673250801694218"/>
    <n v="1539.5054061484407"/>
    <n v="0"/>
    <n v="1"/>
    <n v="0"/>
    <n v="0"/>
    <n v="0"/>
    <n v="0"/>
    <n v="0"/>
    <n v="0"/>
    <n v="0"/>
    <n v="0"/>
  </r>
  <r>
    <d v="2025-07-03T00:00:00"/>
    <n v="2025"/>
    <x v="18"/>
    <s v="R"/>
    <s v="RS"/>
    <x v="1"/>
    <s v="PHX"/>
    <s v="H"/>
    <n v="4"/>
    <n v="3"/>
    <n v="1"/>
    <n v="-1"/>
    <n v="8"/>
    <n v="-8"/>
    <n v="1383.146399783494"/>
    <n v="1555.1786569501348"/>
    <n v="0.39779742375745969"/>
    <n v="98"/>
    <n v="89"/>
    <n v="0"/>
    <n v="9"/>
    <n v="1"/>
    <n v="0.35506878940494357"/>
    <n v="1"/>
    <n v="73.150000000000006"/>
    <n v="73.150000000000006"/>
    <n v="15.64117730073577"/>
    <n v="1398.7875770842297"/>
    <n v="1"/>
    <n v="0"/>
    <n v="0"/>
    <n v="0"/>
    <n v="0"/>
    <n v="0"/>
    <n v="0"/>
    <n v="0"/>
    <n v="0"/>
    <n v="0"/>
  </r>
  <r>
    <d v="2025-07-03T00:00:00"/>
    <n v="2025"/>
    <x v="16"/>
    <s v="R"/>
    <s v="RS"/>
    <x v="8"/>
    <s v="IND"/>
    <s v="A"/>
    <n v="3"/>
    <n v="1"/>
    <n v="2"/>
    <n v="-2"/>
    <n v="16"/>
    <n v="-16"/>
    <n v="1526.2778684067146"/>
    <n v="1537.8421381145752"/>
    <n v="0.40953080272261966"/>
    <n v="54"/>
    <n v="81"/>
    <n v="0"/>
    <n v="-27"/>
    <n v="0"/>
    <n v="0.66030339454703502"/>
    <n v="1"/>
    <n v="73.45"/>
    <n v="73.45"/>
    <n v="-19.861950842924397"/>
    <n v="1506.4159175637901"/>
    <n v="0"/>
    <n v="1"/>
    <n v="0"/>
    <n v="0"/>
    <n v="0"/>
    <n v="0"/>
    <n v="0"/>
    <n v="0"/>
    <n v="0"/>
    <n v="0"/>
  </r>
  <r>
    <d v="2025-07-03T00:00:00"/>
    <n v="2025"/>
    <x v="17"/>
    <s v="R"/>
    <s v="RS"/>
    <x v="7"/>
    <s v="LVA"/>
    <s v="H"/>
    <n v="1"/>
    <n v="3"/>
    <n v="-2"/>
    <n v="2"/>
    <n v="-16"/>
    <n v="16"/>
    <n v="1537.8421381145752"/>
    <n v="1526.2778684067146"/>
    <n v="0.59046919727738034"/>
    <n v="81"/>
    <n v="54"/>
    <n v="0"/>
    <n v="27"/>
    <n v="1"/>
    <n v="0.66030339454703502"/>
    <n v="1"/>
    <n v="73.3"/>
    <n v="73.3"/>
    <n v="19.821388656043002"/>
    <n v="1557.6635267706181"/>
    <n v="1"/>
    <n v="0"/>
    <n v="0"/>
    <n v="0"/>
    <n v="0"/>
    <n v="0"/>
    <n v="0"/>
    <n v="0"/>
    <n v="0"/>
    <n v="0"/>
  </r>
  <r>
    <d v="2025-07-03T00:00:00"/>
    <n v="2025"/>
    <x v="17"/>
    <s v="R"/>
    <s v="RS"/>
    <x v="5"/>
    <s v="MIN"/>
    <s v="A"/>
    <n v="4"/>
    <n v="1"/>
    <n v="3"/>
    <n v="-3"/>
    <n v="16"/>
    <n v="-16"/>
    <n v="1481.5689957303107"/>
    <n v="1635.6407742305014"/>
    <n v="0.2339312743270241"/>
    <n v="75"/>
    <n v="92"/>
    <n v="0"/>
    <n v="-17"/>
    <n v="0"/>
    <n v="0.47185865110200786"/>
    <n v="1"/>
    <n v="73.3"/>
    <n v="73.3"/>
    <n v="-8.0910369241465609"/>
    <n v="1473.4779588061642"/>
    <n v="0"/>
    <n v="1"/>
    <n v="0"/>
    <n v="0"/>
    <n v="0"/>
    <n v="0"/>
    <n v="0"/>
    <n v="0"/>
    <n v="0"/>
    <n v="0"/>
  </r>
  <r>
    <d v="2025-07-03T00:00:00"/>
    <n v="2025"/>
    <x v="17"/>
    <s v="R"/>
    <s v="RS"/>
    <x v="0"/>
    <s v="WAS"/>
    <s v="H"/>
    <n v="1"/>
    <n v="4"/>
    <n v="-3"/>
    <n v="3"/>
    <n v="-16"/>
    <n v="16"/>
    <n v="1635.6407742305014"/>
    <n v="1481.5689957303107"/>
    <n v="0.7660687256729759"/>
    <n v="92"/>
    <n v="75"/>
    <n v="0"/>
    <n v="17"/>
    <n v="1"/>
    <n v="0.47185865110200786"/>
    <n v="1"/>
    <n v="73.3"/>
    <n v="73.3"/>
    <n v="8.0910369241465609"/>
    <n v="1643.7318111546479"/>
    <n v="1"/>
    <n v="0"/>
    <n v="0"/>
    <n v="0"/>
    <n v="0"/>
    <n v="0"/>
    <n v="0"/>
    <n v="0"/>
    <n v="0"/>
    <n v="0"/>
  </r>
  <r>
    <d v="2025-07-03T00:00:00"/>
    <n v="2025"/>
    <x v="17"/>
    <s v="R"/>
    <s v="RS"/>
    <x v="2"/>
    <s v="NYL"/>
    <s v="A"/>
    <n v="3"/>
    <n v="3"/>
    <n v="0"/>
    <n v="0"/>
    <n v="0"/>
    <n v="0"/>
    <n v="1371.8540809750521"/>
    <n v="1624.855649898351"/>
    <n v="0.1256547809320763"/>
    <n v="79"/>
    <n v="89"/>
    <n v="0"/>
    <n v="-10"/>
    <n v="0"/>
    <n v="0.34945291874323098"/>
    <n v="1"/>
    <n v="73.3"/>
    <n v="73.3"/>
    <n v="-3.218634515390367"/>
    <n v="1368.6354464596616"/>
    <n v="0"/>
    <n v="1"/>
    <n v="0"/>
    <n v="0"/>
    <n v="0"/>
    <n v="0"/>
    <n v="0"/>
    <n v="0"/>
    <n v="0"/>
    <n v="0"/>
  </r>
  <r>
    <d v="2025-07-03T00:00:00"/>
    <n v="2025"/>
    <x v="16"/>
    <s v="R"/>
    <s v="RS"/>
    <x v="9"/>
    <s v="LAS"/>
    <s v="H"/>
    <n v="3"/>
    <n v="3"/>
    <n v="0"/>
    <n v="0"/>
    <n v="0"/>
    <n v="0"/>
    <n v="1624.855649898351"/>
    <n v="1371.8540809750521"/>
    <n v="0.87434521906792373"/>
    <n v="89"/>
    <n v="79"/>
    <n v="0"/>
    <n v="10"/>
    <n v="1"/>
    <n v="0.34945291874323098"/>
    <n v="1"/>
    <n v="73.45"/>
    <n v="73.45"/>
    <n v="3.2252210798829797"/>
    <n v="1628.0808709782339"/>
    <n v="1"/>
    <n v="0"/>
    <n v="0"/>
    <n v="0"/>
    <n v="0"/>
    <n v="0"/>
    <n v="0"/>
    <n v="0"/>
    <n v="0"/>
    <n v="0"/>
  </r>
  <r>
    <d v="2025-07-05T00:00:00"/>
    <n v="2025"/>
    <x v="18"/>
    <s v="R"/>
    <s v="RS"/>
    <x v="2"/>
    <s v="IND"/>
    <s v="A"/>
    <n v="1"/>
    <n v="1"/>
    <n v="0"/>
    <n v="0"/>
    <n v="0"/>
    <n v="0"/>
    <n v="1368.6354464596616"/>
    <n v="1557.6635267706181"/>
    <n v="0.17197760030660925"/>
    <n v="89"/>
    <n v="87"/>
    <n v="0"/>
    <n v="2"/>
    <n v="1"/>
    <n v="0.23139171160575175"/>
    <n v="1"/>
    <n v="73.150000000000006"/>
    <n v="73.150000000000006"/>
    <n v="14.015358610892701"/>
    <n v="1382.6508050705543"/>
    <n v="1"/>
    <n v="0"/>
    <n v="0"/>
    <n v="0"/>
    <n v="0"/>
    <n v="0"/>
    <n v="0"/>
    <n v="0"/>
    <n v="0"/>
    <n v="0"/>
  </r>
  <r>
    <d v="2025-07-05T00:00:00"/>
    <n v="2025"/>
    <x v="18"/>
    <s v="R"/>
    <s v="RS"/>
    <x v="7"/>
    <s v="LAS"/>
    <s v="H"/>
    <n v="1"/>
    <n v="1"/>
    <n v="0"/>
    <n v="0"/>
    <n v="0"/>
    <n v="0"/>
    <n v="1557.6635267706181"/>
    <n v="1368.6354464596616"/>
    <n v="0.82802239969339086"/>
    <n v="87"/>
    <n v="89"/>
    <n v="0"/>
    <n v="-2"/>
    <n v="0"/>
    <n v="0.23139171160575175"/>
    <n v="1"/>
    <n v="73.150000000000006"/>
    <n v="73.150000000000006"/>
    <n v="-14.015358610892703"/>
    <n v="1543.6481681597254"/>
    <n v="0"/>
    <n v="1"/>
    <n v="0"/>
    <n v="0"/>
    <n v="0"/>
    <n v="0"/>
    <n v="0"/>
    <n v="0"/>
    <n v="0"/>
    <n v="0"/>
  </r>
  <r>
    <d v="2025-07-05T00:00:00"/>
    <n v="2025"/>
    <x v="16"/>
    <s v="R"/>
    <s v="RS"/>
    <x v="3"/>
    <s v="MIN"/>
    <s v="A"/>
    <n v="5"/>
    <n v="1"/>
    <n v="4"/>
    <n v="-4"/>
    <n v="16"/>
    <n v="-16"/>
    <n v="1534.1084458486605"/>
    <n v="1643.7318111546479"/>
    <n v="0.28284785447736954"/>
    <n v="71"/>
    <n v="82"/>
    <n v="0"/>
    <n v="-11"/>
    <n v="0"/>
    <n v="0.40301904982112086"/>
    <n v="1"/>
    <n v="73.45"/>
    <n v="73.45"/>
    <n v="-8.3727912526450208"/>
    <n v="1525.7356545960154"/>
    <n v="0"/>
    <n v="1"/>
    <n v="0"/>
    <n v="0"/>
    <n v="0"/>
    <n v="0"/>
    <n v="0"/>
    <n v="0"/>
    <n v="0"/>
    <n v="0"/>
  </r>
  <r>
    <d v="2025-07-05T00:00:00"/>
    <n v="2025"/>
    <x v="18"/>
    <s v="R"/>
    <s v="RS"/>
    <x v="0"/>
    <s v="GSV"/>
    <s v="H"/>
    <n v="1"/>
    <n v="5"/>
    <n v="-4"/>
    <n v="4"/>
    <n v="-16"/>
    <n v="16"/>
    <n v="1643.7318111546479"/>
    <n v="1534.1084458486605"/>
    <n v="0.71715214552263051"/>
    <n v="82"/>
    <n v="71"/>
    <n v="0"/>
    <n v="11"/>
    <n v="1"/>
    <n v="0.40301904982112086"/>
    <n v="1"/>
    <n v="73.150000000000006"/>
    <n v="73.150000000000006"/>
    <n v="8.3385933305783979"/>
    <n v="1652.0704044852262"/>
    <n v="1"/>
    <n v="0"/>
    <n v="0"/>
    <n v="0"/>
    <n v="0"/>
    <n v="0"/>
    <n v="0"/>
    <n v="0"/>
    <n v="0"/>
    <n v="0"/>
  </r>
  <r>
    <d v="2025-07-06T00:00:00"/>
    <n v="2025"/>
    <x v="17"/>
    <s v="R"/>
    <s v="RS"/>
    <x v="8"/>
    <s v="CON"/>
    <s v="A"/>
    <n v="2"/>
    <n v="6"/>
    <n v="-4"/>
    <n v="4"/>
    <n v="-16"/>
    <n v="16"/>
    <n v="1506.4159175637901"/>
    <n v="1363.9973264543517"/>
    <n v="0.53794630303391633"/>
    <n v="86"/>
    <n v="68"/>
    <n v="0"/>
    <n v="18"/>
    <n v="1"/>
    <n v="0.48881974884545515"/>
    <n v="1"/>
    <n v="73.3"/>
    <n v="73.3"/>
    <n v="16.555609255228699"/>
    <n v="1522.9715268190189"/>
    <n v="1"/>
    <n v="0"/>
    <n v="0"/>
    <n v="0"/>
    <n v="0"/>
    <n v="0"/>
    <n v="0"/>
    <n v="0"/>
    <n v="0"/>
    <n v="0"/>
  </r>
  <r>
    <d v="2025-07-06T00:00:00"/>
    <n v="2025"/>
    <x v="17"/>
    <s v="R"/>
    <s v="RS"/>
    <x v="12"/>
    <s v="LVA"/>
    <s v="H"/>
    <n v="6"/>
    <n v="2"/>
    <n v="4"/>
    <n v="-4"/>
    <n v="16"/>
    <n v="-16"/>
    <n v="1363.9973264543517"/>
    <n v="1506.4159175637901"/>
    <n v="0.46205369696608367"/>
    <n v="68"/>
    <n v="86"/>
    <n v="0"/>
    <n v="-18"/>
    <n v="0"/>
    <n v="0.48881974884545515"/>
    <n v="1"/>
    <n v="73.3"/>
    <n v="73.3"/>
    <n v="-16.555609255228699"/>
    <n v="1347.4417171991229"/>
    <n v="0"/>
    <n v="1"/>
    <n v="0"/>
    <n v="0"/>
    <n v="0"/>
    <n v="0"/>
    <n v="0"/>
    <n v="0"/>
    <n v="0"/>
    <n v="0"/>
  </r>
  <r>
    <d v="2025-07-06T00:00:00"/>
    <n v="2025"/>
    <x v="16"/>
    <s v="R"/>
    <s v="RS"/>
    <x v="6"/>
    <s v="MIN"/>
    <s v="A"/>
    <n v="6"/>
    <n v="0"/>
    <n v="6"/>
    <n v="-6"/>
    <n v="16"/>
    <n v="-16"/>
    <n v="1385.0984176416753"/>
    <n v="1652.0704044852262"/>
    <n v="0.13750721977055494"/>
    <n v="75"/>
    <n v="80"/>
    <n v="0"/>
    <n v="-5"/>
    <n v="0"/>
    <n v="0.27138021320372663"/>
    <n v="1"/>
    <n v="73.45"/>
    <n v="73.45"/>
    <n v="-2.7409144515203705"/>
    <n v="1382.3575031901548"/>
    <n v="0"/>
    <n v="1"/>
    <n v="0"/>
    <n v="0"/>
    <n v="0"/>
    <n v="0"/>
    <n v="0"/>
    <n v="0"/>
    <n v="0"/>
    <n v="0"/>
  </r>
  <r>
    <d v="2025-07-06T00:00:00"/>
    <n v="2025"/>
    <x v="19"/>
    <s v="R"/>
    <s v="RS"/>
    <x v="0"/>
    <s v="CHI"/>
    <s v="H"/>
    <n v="0"/>
    <n v="6"/>
    <n v="-6"/>
    <n v="6"/>
    <n v="-16"/>
    <n v="16"/>
    <n v="1652.0704044852262"/>
    <n v="1385.0984176416753"/>
    <n v="0.86249278022944509"/>
    <n v="80"/>
    <n v="75"/>
    <n v="0"/>
    <n v="5"/>
    <n v="1"/>
    <n v="0.27138021320372663"/>
    <n v="1"/>
    <n v="73"/>
    <n v="73"/>
    <n v="2.7241219191420964"/>
    <n v="1654.7945264043683"/>
    <n v="1"/>
    <n v="0"/>
    <n v="0"/>
    <n v="0"/>
    <n v="0"/>
    <n v="0"/>
    <n v="0"/>
    <n v="0"/>
    <n v="0"/>
    <n v="0"/>
  </r>
  <r>
    <d v="2025-07-06T00:00:00"/>
    <n v="2025"/>
    <x v="18"/>
    <s v="R"/>
    <s v="RS"/>
    <x v="10"/>
    <s v="NYL"/>
    <s v="A"/>
    <n v="2"/>
    <n v="2"/>
    <n v="0"/>
    <n v="0"/>
    <n v="0"/>
    <n v="0"/>
    <n v="1564.6370416729687"/>
    <n v="1628.0808709782339"/>
    <n v="0.29969410908355049"/>
    <n v="79"/>
    <n v="70"/>
    <n v="0"/>
    <n v="9"/>
    <n v="1"/>
    <n v="0.38558566774161318"/>
    <n v="1"/>
    <n v="73.150000000000006"/>
    <n v="73.150000000000006"/>
    <n v="19.752541950971388"/>
    <n v="1584.3895836239401"/>
    <n v="1"/>
    <n v="0"/>
    <n v="0"/>
    <n v="0"/>
    <n v="0"/>
    <n v="0"/>
    <n v="0"/>
    <n v="0"/>
    <n v="0"/>
    <n v="0"/>
  </r>
  <r>
    <d v="2025-07-06T00:00:00"/>
    <n v="2025"/>
    <x v="17"/>
    <s v="R"/>
    <s v="RS"/>
    <x v="9"/>
    <s v="SEA"/>
    <s v="H"/>
    <n v="2"/>
    <n v="2"/>
    <n v="0"/>
    <n v="0"/>
    <n v="0"/>
    <n v="0"/>
    <n v="1628.0808709782339"/>
    <n v="1564.6370416729687"/>
    <n v="0.70030589091644946"/>
    <n v="70"/>
    <n v="79"/>
    <n v="0"/>
    <n v="-9"/>
    <n v="0"/>
    <n v="0.38558566774161318"/>
    <n v="1"/>
    <n v="73.3"/>
    <n v="73.3"/>
    <n v="-19.793046138157248"/>
    <n v="1608.2878248400766"/>
    <n v="0"/>
    <n v="1"/>
    <n v="0"/>
    <n v="0"/>
    <n v="0"/>
    <n v="0"/>
    <n v="0"/>
    <n v="0"/>
    <n v="0"/>
    <n v="0"/>
  </r>
  <r>
    <d v="2025-07-07T00:00:00"/>
    <n v="2025"/>
    <x v="17"/>
    <s v="R"/>
    <s v="RS"/>
    <x v="3"/>
    <s v="ATL"/>
    <s v="A"/>
    <n v="1"/>
    <n v="3"/>
    <n v="-2"/>
    <n v="2"/>
    <n v="-16"/>
    <n v="16"/>
    <n v="1525.7356545960154"/>
    <n v="1534.7755880174311"/>
    <n v="0.32743973085007688"/>
    <n v="81"/>
    <n v="90"/>
    <n v="0"/>
    <n v="-9"/>
    <n v="0"/>
    <n v="0.40293609756799303"/>
    <n v="1"/>
    <n v="73.3"/>
    <n v="73.3"/>
    <n v="-9.6710031618346424"/>
    <n v="1516.0646514341806"/>
    <n v="0"/>
    <n v="1"/>
    <n v="0"/>
    <n v="0"/>
    <n v="0"/>
    <n v="0"/>
    <n v="0"/>
    <n v="0"/>
    <n v="0"/>
    <n v="0"/>
  </r>
  <r>
    <d v="2025-07-07T00:00:00"/>
    <n v="2025"/>
    <x v="18"/>
    <s v="R"/>
    <s v="RS"/>
    <x v="4"/>
    <s v="GSV"/>
    <s v="H"/>
    <n v="3"/>
    <n v="1"/>
    <n v="2"/>
    <n v="-2"/>
    <n v="16"/>
    <n v="-16"/>
    <n v="1534.7755880174311"/>
    <n v="1525.7356545960154"/>
    <n v="0.67256026914992317"/>
    <n v="90"/>
    <n v="81"/>
    <n v="0"/>
    <n v="9"/>
    <n v="1"/>
    <n v="0.40293609756799303"/>
    <n v="1"/>
    <n v="73.150000000000006"/>
    <n v="73.150000000000006"/>
    <n v="9.6512125687340244"/>
    <n v="1544.4268005861652"/>
    <n v="1"/>
    <n v="0"/>
    <n v="0"/>
    <n v="0"/>
    <n v="0"/>
    <n v="0"/>
    <n v="0"/>
    <n v="0"/>
    <n v="0"/>
    <n v="0"/>
  </r>
  <r>
    <d v="2025-07-07T00:00:00"/>
    <n v="2025"/>
    <x v="19"/>
    <s v="R"/>
    <s v="RS"/>
    <x v="1"/>
    <s v="PHX"/>
    <s v="A"/>
    <n v="3"/>
    <n v="3"/>
    <n v="0"/>
    <n v="0"/>
    <n v="0"/>
    <n v="0"/>
    <n v="1398.7875770842297"/>
    <n v="1539.5054061484407"/>
    <n v="0.21524750747846985"/>
    <n v="72"/>
    <n v="102"/>
    <n v="0"/>
    <n v="-30"/>
    <n v="0"/>
    <n v="0.62965613884542559"/>
    <n v="1"/>
    <n v="73"/>
    <n v="73"/>
    <n v="-9.8938297552146501"/>
    <n v="1388.893747329015"/>
    <n v="0"/>
    <n v="1"/>
    <n v="0"/>
    <n v="0"/>
    <n v="0"/>
    <n v="0"/>
    <n v="0"/>
    <n v="0"/>
    <n v="0"/>
    <n v="0"/>
  </r>
  <r>
    <d v="2025-07-07T00:00:00"/>
    <n v="2025"/>
    <x v="18"/>
    <s v="R"/>
    <s v="RS"/>
    <x v="11"/>
    <s v="DAL"/>
    <s v="H"/>
    <n v="3"/>
    <n v="3"/>
    <n v="0"/>
    <n v="0"/>
    <n v="0"/>
    <n v="0"/>
    <n v="1539.5054061484407"/>
    <n v="1398.7875770842297"/>
    <n v="0.78475249252153012"/>
    <n v="102"/>
    <n v="72"/>
    <n v="0"/>
    <n v="30"/>
    <n v="1"/>
    <n v="0.62965613884542559"/>
    <n v="1"/>
    <n v="73.150000000000006"/>
    <n v="73.150000000000006"/>
    <n v="9.914159542382901"/>
    <n v="1549.4195656908237"/>
    <n v="1"/>
    <n v="0"/>
    <n v="0"/>
    <n v="0"/>
    <n v="0"/>
    <n v="0"/>
    <n v="0"/>
    <n v="0"/>
    <n v="0"/>
    <n v="0"/>
  </r>
  <r>
    <d v="2025-07-08T00:00:00"/>
    <n v="2025"/>
    <x v="18"/>
    <s v="R"/>
    <s v="RS"/>
    <x v="8"/>
    <s v="NYL"/>
    <s v="A"/>
    <n v="1"/>
    <n v="1"/>
    <n v="0"/>
    <n v="0"/>
    <n v="0"/>
    <n v="0"/>
    <n v="1522.9715268190189"/>
    <n v="1608.2878248400766"/>
    <n v="0.27395205175857712"/>
    <n v="78"/>
    <n v="87"/>
    <n v="0"/>
    <n v="-9"/>
    <n v="0"/>
    <n v="0.37902408405367471"/>
    <n v="1"/>
    <n v="73.150000000000006"/>
    <n v="73.150000000000006"/>
    <n v="-7.5954882247704933"/>
    <n v="1515.3760385942485"/>
    <n v="0"/>
    <n v="1"/>
    <n v="0"/>
    <n v="0"/>
    <n v="0"/>
    <n v="0"/>
    <n v="0"/>
    <n v="0"/>
    <n v="0"/>
    <n v="0"/>
  </r>
  <r>
    <d v="2025-07-08T00:00:00"/>
    <n v="2025"/>
    <x v="18"/>
    <s v="R"/>
    <s v="RS"/>
    <x v="9"/>
    <s v="LVA"/>
    <s v="H"/>
    <n v="1"/>
    <n v="1"/>
    <n v="0"/>
    <n v="0"/>
    <n v="0"/>
    <n v="0"/>
    <n v="1608.2878248400766"/>
    <n v="1522.9715268190189"/>
    <n v="0.72604794824142282"/>
    <n v="87"/>
    <n v="78"/>
    <n v="0"/>
    <n v="9"/>
    <n v="1"/>
    <n v="0.37902408405367471"/>
    <n v="1"/>
    <n v="73.150000000000006"/>
    <n v="73.150000000000006"/>
    <n v="7.5954882247704942"/>
    <n v="1615.883313064847"/>
    <n v="1"/>
    <n v="0"/>
    <n v="0"/>
    <n v="0"/>
    <n v="0"/>
    <n v="0"/>
    <n v="0"/>
    <n v="0"/>
    <n v="0"/>
    <n v="0"/>
  </r>
  <r>
    <d v="2025-07-08T00:00:00"/>
    <n v="2025"/>
    <x v="17"/>
    <s v="R"/>
    <s v="RS"/>
    <x v="6"/>
    <s v="WAS"/>
    <s v="A"/>
    <n v="1"/>
    <n v="4"/>
    <n v="-3"/>
    <n v="3"/>
    <n v="-16"/>
    <n v="16"/>
    <n v="1382.3575031901548"/>
    <n v="1473.4779588061642"/>
    <n v="0.23285119612770216"/>
    <n v="79"/>
    <n v="81"/>
    <n v="0"/>
    <n v="-2"/>
    <n v="0"/>
    <n v="0.24893849646139746"/>
    <n v="1"/>
    <n v="73.3"/>
    <n v="73.3"/>
    <n v="-4.2488804344175559"/>
    <n v="1378.1086227557373"/>
    <n v="0"/>
    <n v="1"/>
    <n v="0"/>
    <n v="0"/>
    <n v="0"/>
    <n v="0"/>
    <n v="0"/>
    <n v="0"/>
    <n v="0"/>
    <n v="0"/>
  </r>
  <r>
    <d v="2025-07-08T00:00:00"/>
    <n v="2025"/>
    <x v="18"/>
    <s v="R"/>
    <s v="RS"/>
    <x v="5"/>
    <s v="CHI"/>
    <s v="H"/>
    <n v="4"/>
    <n v="1"/>
    <n v="3"/>
    <n v="-3"/>
    <n v="16"/>
    <n v="-16"/>
    <n v="1473.4779588061642"/>
    <n v="1382.3575031901548"/>
    <n v="0.76714880387229789"/>
    <n v="81"/>
    <n v="79"/>
    <n v="0"/>
    <n v="2"/>
    <n v="1"/>
    <n v="0.24893849646139746"/>
    <n v="1"/>
    <n v="73.150000000000006"/>
    <n v="73.150000000000006"/>
    <n v="4.240185590418065"/>
    <n v="1477.7181443965824"/>
    <n v="1"/>
    <n v="0"/>
    <n v="0"/>
    <n v="0"/>
    <n v="0"/>
    <n v="0"/>
    <n v="0"/>
    <n v="0"/>
    <n v="0"/>
    <n v="0"/>
  </r>
  <r>
    <d v="2025-07-09T00:00:00"/>
    <n v="2025"/>
    <x v="20"/>
    <s v="R"/>
    <s v="RS"/>
    <x v="1"/>
    <s v="CHI"/>
    <s v="A"/>
    <n v="1"/>
    <n v="0"/>
    <n v="1"/>
    <n v="-1"/>
    <n v="8"/>
    <n v="-8"/>
    <n v="1388.893747329015"/>
    <n v="1378.1086227557373"/>
    <n v="0.41839749731590947"/>
    <n v="76"/>
    <n v="87"/>
    <n v="0"/>
    <n v="-11"/>
    <n v="0"/>
    <n v="0.43591811098205696"/>
    <n v="1"/>
    <n v="72.849999999999994"/>
    <n v="72.849999999999994"/>
    <n v="-13.286896349878283"/>
    <n v="1375.6068509791367"/>
    <n v="0"/>
    <n v="1"/>
    <n v="0"/>
    <n v="0"/>
    <n v="0"/>
    <n v="0"/>
    <n v="0"/>
    <n v="0"/>
    <n v="0"/>
    <n v="0"/>
  </r>
  <r>
    <d v="2025-07-09T00:00:00"/>
    <n v="2025"/>
    <x v="18"/>
    <s v="R"/>
    <s v="RS"/>
    <x v="6"/>
    <s v="DAL"/>
    <s v="H"/>
    <n v="0"/>
    <n v="1"/>
    <n v="-1"/>
    <n v="1"/>
    <n v="-8"/>
    <n v="8"/>
    <n v="1378.1086227557373"/>
    <n v="1388.893747329015"/>
    <n v="0.58160250268409053"/>
    <n v="87"/>
    <n v="76"/>
    <n v="0"/>
    <n v="11"/>
    <n v="1"/>
    <n v="0.43591811098205696"/>
    <n v="1"/>
    <n v="73.150000000000006"/>
    <n v="73.150000000000006"/>
    <n v="13.341612463879157"/>
    <n v="1391.4502352196164"/>
    <n v="1"/>
    <n v="0"/>
    <n v="0"/>
    <n v="0"/>
    <n v="0"/>
    <n v="0"/>
    <n v="0"/>
    <n v="0"/>
    <n v="0"/>
    <n v="0"/>
  </r>
  <r>
    <d v="2025-07-09T00:00:00"/>
    <n v="2025"/>
    <x v="19"/>
    <s v="R"/>
    <s v="RS"/>
    <x v="10"/>
    <s v="CON"/>
    <s v="A"/>
    <n v="2"/>
    <n v="2"/>
    <n v="0"/>
    <n v="0"/>
    <n v="0"/>
    <n v="0"/>
    <n v="1584.3895836239401"/>
    <n v="1347.4417171991229"/>
    <n v="0.70691312083057689"/>
    <n v="83"/>
    <n v="93"/>
    <n v="0"/>
    <n v="-10"/>
    <n v="0"/>
    <n v="0.35335703616169228"/>
    <n v="1"/>
    <n v="73"/>
    <n v="73"/>
    <n v="-18.234868939636858"/>
    <n v="1566.1547146843031"/>
    <n v="0"/>
    <n v="1"/>
    <n v="0"/>
    <n v="0"/>
    <n v="0"/>
    <n v="0"/>
    <n v="0"/>
    <n v="0"/>
    <n v="0"/>
    <n v="0"/>
  </r>
  <r>
    <d v="2025-07-09T00:00:00"/>
    <n v="2025"/>
    <x v="18"/>
    <s v="R"/>
    <s v="RS"/>
    <x v="12"/>
    <s v="SEA"/>
    <s v="H"/>
    <n v="2"/>
    <n v="2"/>
    <n v="0"/>
    <n v="0"/>
    <n v="0"/>
    <n v="0"/>
    <n v="1347.4417171991229"/>
    <n v="1584.3895836239401"/>
    <n v="0.29308687916942305"/>
    <n v="93"/>
    <n v="83"/>
    <n v="0"/>
    <n v="10"/>
    <n v="1"/>
    <n v="0.35335703616169228"/>
    <n v="1"/>
    <n v="73.150000000000006"/>
    <n v="73.150000000000006"/>
    <n v="18.272337848416939"/>
    <n v="1365.7140550475399"/>
    <n v="1"/>
    <n v="0"/>
    <n v="0"/>
    <n v="0"/>
    <n v="0"/>
    <n v="0"/>
    <n v="0"/>
    <n v="0"/>
    <n v="0"/>
    <n v="0"/>
  </r>
  <r>
    <d v="2025-07-09T00:00:00"/>
    <n v="2025"/>
    <x v="18"/>
    <s v="R"/>
    <s v="RS"/>
    <x v="3"/>
    <s v="IND"/>
    <s v="A"/>
    <n v="1"/>
    <n v="3"/>
    <n v="-2"/>
    <n v="2"/>
    <n v="-16"/>
    <n v="16"/>
    <n v="1516.0646514341806"/>
    <n v="1543.6481681597254"/>
    <n v="0.30437861323373266"/>
    <n v="80"/>
    <n v="61"/>
    <n v="0"/>
    <n v="19"/>
    <n v="1"/>
    <n v="0.54837253685463372"/>
    <n v="1"/>
    <n v="73.150000000000006"/>
    <n v="73.150000000000006"/>
    <n v="27.903774461931718"/>
    <n v="1543.9684258961124"/>
    <n v="1"/>
    <n v="0"/>
    <n v="0"/>
    <n v="0"/>
    <n v="0"/>
    <n v="0"/>
    <n v="0"/>
    <n v="0"/>
    <n v="0"/>
    <n v="0"/>
  </r>
  <r>
    <d v="2025-07-09T00:00:00"/>
    <n v="2025"/>
    <x v="19"/>
    <s v="R"/>
    <s v="RS"/>
    <x v="7"/>
    <s v="GSV"/>
    <s v="H"/>
    <n v="3"/>
    <n v="1"/>
    <n v="2"/>
    <n v="-2"/>
    <n v="16"/>
    <n v="-16"/>
    <n v="1543.6481681597254"/>
    <n v="1516.0646514341806"/>
    <n v="0.69562138676626739"/>
    <n v="61"/>
    <n v="80"/>
    <n v="0"/>
    <n v="-19"/>
    <n v="0"/>
    <n v="0.54837253685463372"/>
    <n v="1"/>
    <n v="73"/>
    <n v="73"/>
    <n v="-27.846555512249015"/>
    <n v="1515.8016126474763"/>
    <n v="0"/>
    <n v="1"/>
    <n v="0"/>
    <n v="0"/>
    <n v="0"/>
    <n v="0"/>
    <n v="0"/>
    <n v="0"/>
    <n v="0"/>
    <n v="0"/>
  </r>
  <r>
    <d v="2025-07-09T00:00:00"/>
    <n v="2025"/>
    <x v="20"/>
    <s v="R"/>
    <s v="RS"/>
    <x v="0"/>
    <s v="PHX"/>
    <s v="A"/>
    <n v="2"/>
    <n v="1"/>
    <n v="1"/>
    <n v="-1"/>
    <n v="8"/>
    <n v="-8"/>
    <n v="1654.7945264043683"/>
    <n v="1549.4195656908237"/>
    <n v="0.55358037191042486"/>
    <n v="71"/>
    <n v="79"/>
    <n v="0"/>
    <n v="-8"/>
    <n v="0"/>
    <n v="0.35696918971763725"/>
    <n v="1"/>
    <n v="72.849999999999994"/>
    <n v="72.849999999999994"/>
    <n v="-14.395971316204374"/>
    <n v="1640.3985550881639"/>
    <n v="0"/>
    <n v="1"/>
    <n v="0"/>
    <n v="0"/>
    <n v="0"/>
    <n v="0"/>
    <n v="0"/>
    <n v="0"/>
    <n v="0"/>
    <n v="0"/>
  </r>
  <r>
    <d v="2025-07-09T00:00:00"/>
    <n v="2025"/>
    <x v="19"/>
    <s v="R"/>
    <s v="RS"/>
    <x v="11"/>
    <s v="MIN"/>
    <s v="H"/>
    <n v="1"/>
    <n v="2"/>
    <n v="-1"/>
    <n v="1"/>
    <n v="-8"/>
    <n v="8"/>
    <n v="1549.4195656908237"/>
    <n v="1654.7945264043683"/>
    <n v="0.44641962808957508"/>
    <n v="79"/>
    <n v="71"/>
    <n v="0"/>
    <n v="8"/>
    <n v="1"/>
    <n v="0.35696918971763725"/>
    <n v="1"/>
    <n v="73"/>
    <n v="73"/>
    <n v="14.425612986725042"/>
    <n v="1563.8451786775488"/>
    <n v="1"/>
    <n v="0"/>
    <n v="0"/>
    <n v="0"/>
    <n v="0"/>
    <n v="0"/>
    <n v="0"/>
    <n v="0"/>
    <n v="0"/>
    <n v="0"/>
  </r>
  <r>
    <d v="2025-07-10T00:00:00"/>
    <n v="2025"/>
    <x v="21"/>
    <s v="R"/>
    <s v="RS"/>
    <x v="0"/>
    <s v="LAS"/>
    <s v="A"/>
    <n v="0"/>
    <n v="4"/>
    <n v="-4"/>
    <n v="4"/>
    <n v="-16"/>
    <n v="16"/>
    <n v="1640.3985550881639"/>
    <n v="1382.6508050705543"/>
    <n v="0.69337928709899921"/>
    <n v="91"/>
    <n v="82"/>
    <n v="0"/>
    <n v="9"/>
    <n v="1"/>
    <n v="0.33419076281942911"/>
    <n v="1"/>
    <n v="72.7"/>
    <n v="72.7"/>
    <n v="7.4495551826832651"/>
    <n v="1647.8481102708472"/>
    <n v="1"/>
    <n v="0"/>
    <n v="0"/>
    <n v="0"/>
    <n v="0"/>
    <n v="0"/>
    <n v="0"/>
    <n v="0"/>
    <n v="0"/>
    <n v="0"/>
  </r>
  <r>
    <d v="2025-07-10T00:00:00"/>
    <n v="2025"/>
    <x v="19"/>
    <s v="R"/>
    <s v="RS"/>
    <x v="2"/>
    <s v="MIN"/>
    <s v="H"/>
    <n v="4"/>
    <n v="0"/>
    <n v="4"/>
    <n v="-4"/>
    <n v="16"/>
    <n v="-16"/>
    <n v="1382.6508050705543"/>
    <n v="1640.3985550881639"/>
    <n v="0.30662071290100085"/>
    <n v="82"/>
    <n v="91"/>
    <n v="0"/>
    <n v="-9"/>
    <n v="0"/>
    <n v="0.33419076281942911"/>
    <n v="1"/>
    <n v="73"/>
    <n v="73"/>
    <n v="-7.4802961256654532"/>
    <n v="1375.1705089448888"/>
    <n v="0"/>
    <n v="1"/>
    <n v="0"/>
    <n v="0"/>
    <n v="0"/>
    <n v="0"/>
    <n v="0"/>
    <n v="0"/>
    <n v="0"/>
    <n v="0"/>
  </r>
  <r>
    <d v="2025-07-10T00:00:00"/>
    <n v="2025"/>
    <x v="19"/>
    <s v="R"/>
    <s v="RS"/>
    <x v="8"/>
    <s v="WAS"/>
    <s v="A"/>
    <n v="1"/>
    <n v="1"/>
    <n v="0"/>
    <n v="0"/>
    <n v="0"/>
    <n v="0"/>
    <n v="1515.3760385942485"/>
    <n v="1477.7181443965824"/>
    <n v="0.43370106034347378"/>
    <n v="68"/>
    <n v="70"/>
    <n v="0"/>
    <n v="-2"/>
    <n v="0"/>
    <n v="0.25969178274418342"/>
    <n v="1"/>
    <n v="73"/>
    <n v="73"/>
    <n v="-8.2218879123206747"/>
    <n v="1507.1541506819278"/>
    <n v="0"/>
    <n v="1"/>
    <n v="0"/>
    <n v="0"/>
    <n v="0"/>
    <n v="0"/>
    <n v="0"/>
    <n v="0"/>
    <n v="0"/>
    <n v="0"/>
  </r>
  <r>
    <d v="2025-07-10T00:00:00"/>
    <n v="2025"/>
    <x v="19"/>
    <s v="R"/>
    <s v="RS"/>
    <x v="5"/>
    <s v="LVA"/>
    <s v="H"/>
    <n v="1"/>
    <n v="1"/>
    <n v="0"/>
    <n v="0"/>
    <n v="0"/>
    <n v="0"/>
    <n v="1477.7181443965824"/>
    <n v="1515.3760385942485"/>
    <n v="0.56629893965652622"/>
    <n v="70"/>
    <n v="68"/>
    <n v="0"/>
    <n v="2"/>
    <n v="1"/>
    <n v="0.25969178274418342"/>
    <n v="1"/>
    <n v="73"/>
    <n v="73"/>
    <n v="8.2218879123206747"/>
    <n v="1485.940032308903"/>
    <n v="1"/>
    <n v="0"/>
    <n v="0"/>
    <n v="0"/>
    <n v="0"/>
    <n v="0"/>
    <n v="0"/>
    <n v="0"/>
    <n v="0"/>
    <n v="0"/>
  </r>
  <r>
    <d v="2025-07-11T00:00:00"/>
    <n v="2025"/>
    <x v="19"/>
    <s v="R"/>
    <s v="RS"/>
    <x v="4"/>
    <s v="IND"/>
    <s v="A"/>
    <n v="3"/>
    <n v="1"/>
    <n v="2"/>
    <n v="-2"/>
    <n v="16"/>
    <n v="-16"/>
    <n v="1544.4268005861652"/>
    <n v="1515.8016126474763"/>
    <n v="0.46641160364419137"/>
    <n v="82"/>
    <n v="99"/>
    <n v="0"/>
    <n v="-17"/>
    <n v="0"/>
    <n v="0.52003693980127064"/>
    <n v="1"/>
    <n v="73"/>
    <n v="73"/>
    <n v="-17.706242202425777"/>
    <n v="1526.7205583837394"/>
    <n v="0"/>
    <n v="1"/>
    <n v="0"/>
    <n v="0"/>
    <n v="0"/>
    <n v="0"/>
    <n v="0"/>
    <n v="0"/>
    <n v="0"/>
    <n v="0"/>
  </r>
  <r>
    <d v="2025-07-11T00:00:00"/>
    <n v="2025"/>
    <x v="20"/>
    <s v="R"/>
    <s v="RS"/>
    <x v="7"/>
    <s v="ATL"/>
    <s v="H"/>
    <n v="1"/>
    <n v="3"/>
    <n v="-2"/>
    <n v="2"/>
    <n v="-16"/>
    <n v="16"/>
    <n v="1515.8016126474763"/>
    <n v="1544.4268005861652"/>
    <n v="0.53358839635580868"/>
    <n v="99"/>
    <n v="82"/>
    <n v="0"/>
    <n v="17"/>
    <n v="1"/>
    <n v="0.52003693980127064"/>
    <n v="1"/>
    <n v="72.849999999999994"/>
    <n v="72.849999999999994"/>
    <n v="17.669859512968735"/>
    <n v="1533.471472160445"/>
    <n v="1"/>
    <n v="0"/>
    <n v="0"/>
    <n v="0"/>
    <n v="0"/>
    <n v="0"/>
    <n v="0"/>
    <n v="0"/>
    <n v="0"/>
    <n v="0"/>
  </r>
  <r>
    <d v="2025-07-11T00:00:00"/>
    <n v="2025"/>
    <x v="19"/>
    <s v="R"/>
    <s v="RS"/>
    <x v="12"/>
    <s v="SEA"/>
    <s v="A"/>
    <n v="1"/>
    <n v="1"/>
    <n v="0"/>
    <n v="0"/>
    <n v="0"/>
    <n v="0"/>
    <n v="1365.7140550475399"/>
    <n v="1566.1547146843031"/>
    <n v="0.16282296450901235"/>
    <n v="65"/>
    <n v="79"/>
    <n v="0"/>
    <n v="-14"/>
    <n v="0"/>
    <n v="0.41781829184585978"/>
    <n v="1"/>
    <n v="73"/>
    <n v="73"/>
    <n v="-4.9662201420237251"/>
    <n v="1360.7478349055161"/>
    <n v="0"/>
    <n v="1"/>
    <n v="0"/>
    <n v="0"/>
    <n v="0"/>
    <n v="0"/>
    <n v="0"/>
    <n v="0"/>
    <n v="0"/>
    <n v="0"/>
  </r>
  <r>
    <d v="2025-07-11T00:00:00"/>
    <n v="2025"/>
    <x v="20"/>
    <s v="R"/>
    <s v="RS"/>
    <x v="10"/>
    <s v="CON"/>
    <s v="H"/>
    <n v="1"/>
    <n v="1"/>
    <n v="0"/>
    <n v="0"/>
    <n v="0"/>
    <n v="0"/>
    <n v="1566.1547146843031"/>
    <n v="1365.7140550475399"/>
    <n v="0.83717703549098765"/>
    <n v="79"/>
    <n v="65"/>
    <n v="0"/>
    <n v="14"/>
    <n v="1"/>
    <n v="0.41781829184585978"/>
    <n v="1"/>
    <n v="72.849999999999994"/>
    <n v="72.849999999999994"/>
    <n v="4.9560155800880592"/>
    <n v="1571.1107302643911"/>
    <n v="1"/>
    <n v="0"/>
    <n v="0"/>
    <n v="0"/>
    <n v="0"/>
    <n v="0"/>
    <n v="0"/>
    <n v="0"/>
    <n v="0"/>
    <n v="0"/>
  </r>
  <r>
    <d v="2025-07-12T00:00:00"/>
    <n v="2025"/>
    <x v="22"/>
    <s v="R"/>
    <s v="RS"/>
    <x v="0"/>
    <s v="CHI"/>
    <s v="A"/>
    <n v="1"/>
    <n v="2"/>
    <n v="-1"/>
    <n v="1"/>
    <n v="-8"/>
    <n v="8"/>
    <n v="1647.8481102708472"/>
    <n v="1391.4502352196164"/>
    <n v="0.71101084865283459"/>
    <n v="81"/>
    <n v="87"/>
    <n v="0"/>
    <n v="-6"/>
    <n v="0"/>
    <n v="0.28943801726870949"/>
    <n v="1"/>
    <n v="72.55"/>
    <n v="72.55"/>
    <n v="-14.930323524584402"/>
    <n v="1632.9177867462629"/>
    <n v="0"/>
    <n v="1"/>
    <n v="0"/>
    <n v="0"/>
    <n v="0"/>
    <n v="0"/>
    <n v="0"/>
    <n v="0"/>
    <n v="0"/>
    <n v="0"/>
  </r>
  <r>
    <d v="2025-07-12T00:00:00"/>
    <n v="2025"/>
    <x v="19"/>
    <s v="R"/>
    <s v="RS"/>
    <x v="6"/>
    <s v="MIN"/>
    <s v="H"/>
    <n v="2"/>
    <n v="1"/>
    <n v="1"/>
    <n v="-1"/>
    <n v="8"/>
    <n v="-8"/>
    <n v="1391.4502352196164"/>
    <n v="1647.8481102708472"/>
    <n v="0.28898915134716546"/>
    <n v="87"/>
    <n v="81"/>
    <n v="0"/>
    <n v="6"/>
    <n v="1"/>
    <n v="0.28943801726870949"/>
    <n v="1"/>
    <n v="73"/>
    <n v="73"/>
    <n v="15.022930631215182"/>
    <n v="1406.4731658508315"/>
    <n v="1"/>
    <n v="0"/>
    <n v="0"/>
    <n v="0"/>
    <n v="0"/>
    <n v="0"/>
    <n v="0"/>
    <n v="0"/>
    <n v="0"/>
    <n v="0"/>
  </r>
  <r>
    <d v="2025-07-12T00:00:00"/>
    <n v="2025"/>
    <x v="19"/>
    <s v="R"/>
    <s v="RS"/>
    <x v="3"/>
    <s v="LVA"/>
    <s v="A"/>
    <n v="2"/>
    <n v="1"/>
    <n v="1"/>
    <n v="-1"/>
    <n v="8"/>
    <n v="-8"/>
    <n v="1543.9684258961124"/>
    <n v="1507.1541506819278"/>
    <n v="0.45524027670760786"/>
    <n v="102"/>
    <n v="104"/>
    <n v="0"/>
    <n v="-2"/>
    <n v="0"/>
    <n v="0.25986891598250988"/>
    <n v="1"/>
    <n v="73"/>
    <n v="73"/>
    <n v="-8.636104197029626"/>
    <n v="1535.3323216990827"/>
    <n v="0"/>
    <n v="1"/>
    <n v="0"/>
    <n v="0"/>
    <n v="0"/>
    <n v="0"/>
    <n v="0"/>
    <n v="0"/>
    <n v="0"/>
    <n v="0"/>
  </r>
  <r>
    <d v="2025-07-12T00:00:00"/>
    <n v="2025"/>
    <x v="20"/>
    <s v="R"/>
    <s v="RS"/>
    <x v="8"/>
    <s v="GSV"/>
    <s v="H"/>
    <n v="1"/>
    <n v="2"/>
    <n v="-1"/>
    <n v="1"/>
    <n v="-8"/>
    <n v="8"/>
    <n v="1507.1541506819278"/>
    <n v="1543.9684258961124"/>
    <n v="0.54475972329239208"/>
    <n v="104"/>
    <n v="102"/>
    <n v="0"/>
    <n v="2"/>
    <n v="1"/>
    <n v="0.25986891598250988"/>
    <n v="1"/>
    <n v="72.849999999999994"/>
    <n v="72.849999999999994"/>
    <n v="8.6183587774466872"/>
    <n v="1515.7725094593745"/>
    <n v="1"/>
    <n v="0"/>
    <n v="0"/>
    <n v="0"/>
    <n v="0"/>
    <n v="0"/>
    <n v="0"/>
    <n v="0"/>
    <n v="0"/>
    <n v="0"/>
  </r>
  <r>
    <d v="2025-07-13T00:00:00"/>
    <n v="2025"/>
    <x v="21"/>
    <s v="R"/>
    <s v="RS"/>
    <x v="1"/>
    <s v="IND"/>
    <s v="A"/>
    <n v="3"/>
    <n v="1"/>
    <n v="2"/>
    <n v="-2"/>
    <n v="16"/>
    <n v="-16"/>
    <n v="1375.6068509791367"/>
    <n v="1533.471472160445"/>
    <n v="0.2300413262721305"/>
    <n v="83"/>
    <n v="102"/>
    <n v="0"/>
    <n v="-19"/>
    <n v="0"/>
    <n v="0.49575861744013616"/>
    <n v="1"/>
    <n v="72.7"/>
    <n v="72.7"/>
    <n v="-8.2910693093139383"/>
    <n v="1367.3157816698226"/>
    <n v="0"/>
    <n v="1"/>
    <n v="0"/>
    <n v="0"/>
    <n v="0"/>
    <n v="0"/>
    <n v="0"/>
    <n v="0"/>
    <n v="0"/>
    <n v="0"/>
  </r>
  <r>
    <d v="2025-07-13T00:00:00"/>
    <n v="2025"/>
    <x v="21"/>
    <s v="R"/>
    <s v="RS"/>
    <x v="7"/>
    <s v="DAL"/>
    <s v="H"/>
    <n v="1"/>
    <n v="3"/>
    <n v="-2"/>
    <n v="2"/>
    <n v="-16"/>
    <n v="16"/>
    <n v="1533.471472160445"/>
    <n v="1375.6068509791367"/>
    <n v="0.76995867372786952"/>
    <n v="102"/>
    <n v="83"/>
    <n v="0"/>
    <n v="19"/>
    <n v="1"/>
    <n v="0.49575861744013616"/>
    <n v="1"/>
    <n v="72.7"/>
    <n v="72.7"/>
    <n v="8.2910693093139383"/>
    <n v="1541.7625414697591"/>
    <n v="1"/>
    <n v="0"/>
    <n v="0"/>
    <n v="0"/>
    <n v="0"/>
    <n v="0"/>
    <n v="0"/>
    <n v="0"/>
    <n v="0"/>
    <n v="0"/>
  </r>
  <r>
    <d v="2025-07-13T00:00:00"/>
    <n v="2025"/>
    <x v="20"/>
    <s v="R"/>
    <s v="RS"/>
    <x v="12"/>
    <s v="LAS"/>
    <s v="A"/>
    <n v="1"/>
    <n v="2"/>
    <n v="-1"/>
    <n v="1"/>
    <n v="-8"/>
    <n v="8"/>
    <n v="1360.7478349055161"/>
    <n v="1375.1705089448888"/>
    <n v="0.34103847257142217"/>
    <n v="88"/>
    <n v="92"/>
    <n v="0"/>
    <n v="-4"/>
    <n v="0"/>
    <n v="0.30773411092663683"/>
    <n v="1"/>
    <n v="72.849999999999994"/>
    <n v="72.849999999999994"/>
    <n v="-7.64554711817149"/>
    <n v="1353.1022877873447"/>
    <n v="0"/>
    <n v="1"/>
    <n v="0"/>
    <n v="0"/>
    <n v="0"/>
    <n v="0"/>
    <n v="0"/>
    <n v="0"/>
    <n v="0"/>
    <n v="0"/>
  </r>
  <r>
    <d v="2025-07-13T00:00:00"/>
    <n v="2025"/>
    <x v="20"/>
    <s v="R"/>
    <s v="RS"/>
    <x v="2"/>
    <s v="CON"/>
    <s v="H"/>
    <n v="2"/>
    <n v="1"/>
    <n v="1"/>
    <n v="-1"/>
    <n v="8"/>
    <n v="-8"/>
    <n v="1375.1705089448888"/>
    <n v="1360.7478349055161"/>
    <n v="0.65896152742857783"/>
    <n v="92"/>
    <n v="88"/>
    <n v="0"/>
    <n v="4"/>
    <n v="1"/>
    <n v="0.30773411092663683"/>
    <n v="1"/>
    <n v="72.849999999999994"/>
    <n v="72.849999999999994"/>
    <n v="7.64554711817149"/>
    <n v="1382.8160560630602"/>
    <n v="1"/>
    <n v="0"/>
    <n v="0"/>
    <n v="0"/>
    <n v="0"/>
    <n v="0"/>
    <n v="0"/>
    <n v="0"/>
    <n v="0"/>
    <n v="0"/>
  </r>
  <r>
    <d v="2025-07-13T00:00:00"/>
    <n v="2025"/>
    <x v="20"/>
    <s v="R"/>
    <s v="RS"/>
    <x v="4"/>
    <s v="NYL"/>
    <s v="A"/>
    <n v="1"/>
    <n v="4"/>
    <n v="-3"/>
    <n v="3"/>
    <n v="-16"/>
    <n v="16"/>
    <n v="1526.7205583837394"/>
    <n v="1615.883313064847"/>
    <n v="0.23487032940609873"/>
    <n v="72"/>
    <n v="79"/>
    <n v="0"/>
    <n v="-7"/>
    <n v="0"/>
    <n v="0.34450933784109006"/>
    <n v="1"/>
    <n v="72.849999999999994"/>
    <n v="72.849999999999994"/>
    <n v="-5.8946593280922732"/>
    <n v="1520.8258990556471"/>
    <n v="0"/>
    <n v="1"/>
    <n v="0"/>
    <n v="0"/>
    <n v="0"/>
    <n v="0"/>
    <n v="0"/>
    <n v="0"/>
    <n v="0"/>
    <n v="0"/>
  </r>
  <r>
    <d v="2025-07-13T00:00:00"/>
    <n v="2025"/>
    <x v="19"/>
    <s v="R"/>
    <s v="RS"/>
    <x v="9"/>
    <s v="ATL"/>
    <s v="H"/>
    <n v="4"/>
    <n v="1"/>
    <n v="3"/>
    <n v="-3"/>
    <n v="16"/>
    <n v="-16"/>
    <n v="1615.883313064847"/>
    <n v="1526.7205583837394"/>
    <n v="0.76512967059390136"/>
    <n v="79"/>
    <n v="72"/>
    <n v="0"/>
    <n v="7"/>
    <n v="1"/>
    <n v="0.34450933784109006"/>
    <n v="1"/>
    <n v="73"/>
    <n v="73"/>
    <n v="5.9067965813416032"/>
    <n v="1621.7901096461885"/>
    <n v="1"/>
    <n v="0"/>
    <n v="0"/>
    <n v="0"/>
    <n v="0"/>
    <n v="0"/>
    <n v="0"/>
    <n v="0"/>
    <n v="0"/>
    <n v="0"/>
  </r>
  <r>
    <d v="2025-07-13T00:00:00"/>
    <n v="2025"/>
    <x v="20"/>
    <s v="R"/>
    <s v="RS"/>
    <x v="5"/>
    <s v="SEA"/>
    <s v="A"/>
    <n v="2"/>
    <n v="1"/>
    <n v="1"/>
    <n v="-1"/>
    <n v="8"/>
    <n v="-8"/>
    <n v="1485.940032308903"/>
    <n v="1571.1107302643911"/>
    <n v="0.29282118657548456"/>
    <n v="74"/>
    <n v="69"/>
    <n v="0"/>
    <n v="5"/>
    <n v="1"/>
    <n v="0.30976987818569585"/>
    <n v="1"/>
    <n v="72.849999999999994"/>
    <n v="72.849999999999994"/>
    <n v="15.958717322737742"/>
    <n v="1501.8987496316408"/>
    <n v="1"/>
    <n v="0"/>
    <n v="0"/>
    <n v="0"/>
    <n v="0"/>
    <n v="0"/>
    <n v="0"/>
    <n v="0"/>
    <n v="0"/>
    <n v="0"/>
  </r>
  <r>
    <d v="2025-07-13T00:00:00"/>
    <n v="2025"/>
    <x v="21"/>
    <s v="R"/>
    <s v="RS"/>
    <x v="10"/>
    <s v="WAS"/>
    <s v="H"/>
    <n v="1"/>
    <n v="2"/>
    <n v="-1"/>
    <n v="1"/>
    <n v="-8"/>
    <n v="8"/>
    <n v="1571.1107302643911"/>
    <n v="1485.940032308903"/>
    <n v="0.7071788134245155"/>
    <n v="69"/>
    <n v="74"/>
    <n v="0"/>
    <n v="-5"/>
    <n v="0"/>
    <n v="0.30976987818569585"/>
    <n v="1"/>
    <n v="72.7"/>
    <n v="72.7"/>
    <n v="-15.925857918504244"/>
    <n v="1555.1848723458868"/>
    <n v="0"/>
    <n v="1"/>
    <n v="0"/>
    <n v="0"/>
    <n v="0"/>
    <n v="0"/>
    <n v="0"/>
    <n v="0"/>
    <n v="0"/>
    <n v="0"/>
  </r>
  <r>
    <d v="2025-07-14T00:00:00"/>
    <n v="2025"/>
    <x v="23"/>
    <s v="R"/>
    <s v="RS"/>
    <x v="0"/>
    <s v="CHI"/>
    <s v="A"/>
    <n v="1"/>
    <n v="1"/>
    <n v="0"/>
    <n v="0"/>
    <n v="0"/>
    <n v="0"/>
    <n v="1632.9177867462629"/>
    <n v="1406.4731658508315"/>
    <n v="0.6942314900112041"/>
    <n v="91"/>
    <n v="78"/>
    <n v="0"/>
    <n v="13"/>
    <n v="1"/>
    <n v="0.39710795531715637"/>
    <n v="1"/>
    <n v="72.400000000000006"/>
    <n v="72.400000000000006"/>
    <n v="8.7910330048665557"/>
    <n v="1641.7088197511293"/>
    <n v="1"/>
    <n v="0"/>
    <n v="0"/>
    <n v="0"/>
    <n v="0"/>
    <n v="0"/>
    <n v="0"/>
    <n v="0"/>
    <n v="0"/>
    <n v="0"/>
  </r>
  <r>
    <d v="2025-07-14T00:00:00"/>
    <n v="2025"/>
    <x v="20"/>
    <s v="R"/>
    <s v="RS"/>
    <x v="6"/>
    <s v="MIN"/>
    <s v="H"/>
    <n v="1"/>
    <n v="1"/>
    <n v="0"/>
    <n v="0"/>
    <n v="0"/>
    <n v="0"/>
    <n v="1406.4731658508315"/>
    <n v="1632.9177867462629"/>
    <n v="0.3057685099887959"/>
    <n v="78"/>
    <n v="91"/>
    <n v="0"/>
    <n v="-13"/>
    <n v="0"/>
    <n v="0.39710795531715637"/>
    <n v="1"/>
    <n v="72.849999999999994"/>
    <n v="72.849999999999994"/>
    <n v="-8.8456734033774662"/>
    <n v="1397.627492447454"/>
    <n v="0"/>
    <n v="1"/>
    <n v="0"/>
    <n v="0"/>
    <n v="0"/>
    <n v="0"/>
    <n v="0"/>
    <n v="0"/>
    <n v="0"/>
    <n v="0"/>
  </r>
  <r>
    <d v="2025-07-14T00:00:00"/>
    <n v="2025"/>
    <x v="20"/>
    <s v="R"/>
    <s v="RS"/>
    <x v="11"/>
    <s v="GSV"/>
    <s v="A"/>
    <n v="4"/>
    <n v="1"/>
    <n v="3"/>
    <n v="-3"/>
    <n v="16"/>
    <n v="-16"/>
    <n v="1563.8451786775488"/>
    <n v="1535.3323216990827"/>
    <n v="0.46625067941252107"/>
    <n v="78"/>
    <n v="77"/>
    <n v="0"/>
    <n v="1"/>
    <n v="1"/>
    <n v="0.23851244494015761"/>
    <n v="1"/>
    <n v="72.849999999999994"/>
    <n v="72.849999999999994"/>
    <n v="9.2742315686923629"/>
    <n v="1573.1194102462412"/>
    <n v="1"/>
    <n v="0"/>
    <n v="0"/>
    <n v="0"/>
    <n v="0"/>
    <n v="0"/>
    <n v="0"/>
    <n v="0"/>
    <n v="0"/>
    <n v="0"/>
  </r>
  <r>
    <d v="2025-07-14T00:00:00"/>
    <n v="2025"/>
    <x v="20"/>
    <s v="R"/>
    <s v="RS"/>
    <x v="3"/>
    <s v="PHX"/>
    <s v="H"/>
    <n v="1"/>
    <n v="4"/>
    <n v="-3"/>
    <n v="3"/>
    <n v="-16"/>
    <n v="16"/>
    <n v="1535.3323216990827"/>
    <n v="1563.8451786775488"/>
    <n v="0.53374932058747881"/>
    <n v="77"/>
    <n v="78"/>
    <n v="0"/>
    <n v="-1"/>
    <n v="0"/>
    <n v="0.23851244494015761"/>
    <n v="1"/>
    <n v="72.849999999999994"/>
    <n v="72.849999999999994"/>
    <n v="-9.2742315686923611"/>
    <n v="1526.0580901303904"/>
    <n v="0"/>
    <n v="1"/>
    <n v="0"/>
    <n v="0"/>
    <n v="0"/>
    <n v="0"/>
    <n v="0"/>
    <n v="0"/>
    <n v="0"/>
    <n v="0"/>
  </r>
  <r>
    <d v="2025-07-15T00:00:00"/>
    <n v="2025"/>
    <x v="22"/>
    <s v="R"/>
    <s v="RS"/>
    <x v="7"/>
    <s v="CON"/>
    <s v="A"/>
    <n v="1"/>
    <n v="1"/>
    <n v="0"/>
    <n v="0"/>
    <n v="0"/>
    <n v="0"/>
    <n v="1541.7625414697591"/>
    <n v="1353.1022877873447"/>
    <n v="0.64622185132112486"/>
    <n v="85"/>
    <n v="77"/>
    <n v="0"/>
    <n v="8"/>
    <n v="1"/>
    <n v="0.33555986121726761"/>
    <n v="1"/>
    <n v="72.55"/>
    <n v="72.55"/>
    <n v="8.6126823065715463"/>
    <n v="1550.3752237763306"/>
    <n v="1"/>
    <n v="0"/>
    <n v="0"/>
    <n v="0"/>
    <n v="0"/>
    <n v="0"/>
    <n v="0"/>
    <n v="0"/>
    <n v="0"/>
    <n v="0"/>
  </r>
  <r>
    <d v="2025-07-15T00:00:00"/>
    <n v="2025"/>
    <x v="21"/>
    <s v="R"/>
    <s v="RS"/>
    <x v="12"/>
    <s v="IND"/>
    <s v="H"/>
    <n v="1"/>
    <n v="1"/>
    <n v="0"/>
    <n v="0"/>
    <n v="0"/>
    <n v="0"/>
    <n v="1353.1022877873447"/>
    <n v="1541.7625414697591"/>
    <n v="0.35377814867887514"/>
    <n v="77"/>
    <n v="85"/>
    <n v="0"/>
    <n v="-8"/>
    <n v="0"/>
    <n v="0.33555986121726761"/>
    <n v="1"/>
    <n v="72.7"/>
    <n v="72.7"/>
    <n v="-8.6304893685424044"/>
    <n v="1344.4717984188023"/>
    <n v="0"/>
    <n v="1"/>
    <n v="0"/>
    <n v="0"/>
    <n v="0"/>
    <n v="0"/>
    <n v="0"/>
    <n v="0"/>
    <n v="0"/>
    <n v="0"/>
  </r>
  <r>
    <d v="2025-07-15T00:00:00"/>
    <n v="2025"/>
    <x v="21"/>
    <s v="R"/>
    <s v="RS"/>
    <x v="5"/>
    <s v="LAS"/>
    <s v="A"/>
    <n v="1"/>
    <n v="1"/>
    <n v="0"/>
    <n v="0"/>
    <n v="0"/>
    <n v="0"/>
    <n v="1501.8987496316408"/>
    <n v="1382.8160560630602"/>
    <n v="0.55031715648302737"/>
    <n v="80"/>
    <n v="99"/>
    <n v="0"/>
    <n v="-19"/>
    <n v="0"/>
    <n v="0.510334257700365"/>
    <n v="1"/>
    <n v="72.7"/>
    <n v="72.7"/>
    <n v="-20.41748221214246"/>
    <n v="1481.4812674194984"/>
    <n v="0"/>
    <n v="1"/>
    <n v="0"/>
    <n v="0"/>
    <n v="0"/>
    <n v="0"/>
    <n v="0"/>
    <n v="0"/>
    <n v="0"/>
    <n v="0"/>
  </r>
  <r>
    <d v="2025-07-15T00:00:00"/>
    <n v="2025"/>
    <x v="21"/>
    <s v="R"/>
    <s v="RS"/>
    <x v="2"/>
    <s v="WAS"/>
    <s v="H"/>
    <n v="1"/>
    <n v="1"/>
    <n v="0"/>
    <n v="0"/>
    <n v="0"/>
    <n v="0"/>
    <n v="1382.8160560630602"/>
    <n v="1501.8987496316408"/>
    <n v="0.44968284351697263"/>
    <n v="99"/>
    <n v="80"/>
    <n v="0"/>
    <n v="19"/>
    <n v="1"/>
    <n v="0.510334257700365"/>
    <n v="1"/>
    <n v="72.7"/>
    <n v="72.7"/>
    <n v="20.41748221214246"/>
    <n v="1403.2335382752026"/>
    <n v="1"/>
    <n v="0"/>
    <n v="0"/>
    <n v="0"/>
    <n v="0"/>
    <n v="0"/>
    <n v="0"/>
    <n v="0"/>
    <n v="0"/>
    <n v="0"/>
  </r>
  <r>
    <d v="2025-07-16T00:00:00"/>
    <n v="2025"/>
    <x v="21"/>
    <s v="R"/>
    <s v="RS"/>
    <x v="4"/>
    <s v="CHI"/>
    <s v="A"/>
    <n v="2"/>
    <n v="1"/>
    <n v="1"/>
    <n v="-1"/>
    <n v="8"/>
    <n v="-8"/>
    <n v="1520.8258990556471"/>
    <n v="1397.627492447454"/>
    <n v="0.57877521996242476"/>
    <n v="86"/>
    <n v="49"/>
    <n v="0"/>
    <n v="37"/>
    <n v="1"/>
    <n v="0.71174529514103302"/>
    <n v="1"/>
    <n v="72.7"/>
    <n v="72.7"/>
    <n v="21.795805716748365"/>
    <n v="1542.6217047723956"/>
    <n v="1"/>
    <n v="0"/>
    <n v="0"/>
    <n v="0"/>
    <n v="0"/>
    <n v="0"/>
    <n v="0"/>
    <n v="0"/>
    <n v="0"/>
    <n v="0"/>
  </r>
  <r>
    <d v="2025-07-16T00:00:00"/>
    <n v="2025"/>
    <x v="21"/>
    <s v="R"/>
    <s v="RS"/>
    <x v="6"/>
    <s v="ATL"/>
    <s v="H"/>
    <n v="1"/>
    <n v="2"/>
    <n v="-1"/>
    <n v="1"/>
    <n v="-8"/>
    <n v="8"/>
    <n v="1397.627492447454"/>
    <n v="1520.8258990556471"/>
    <n v="0.4212247800375753"/>
    <n v="49"/>
    <n v="86"/>
    <n v="0"/>
    <n v="-37"/>
    <n v="0"/>
    <n v="0.71174529514103302"/>
    <n v="1"/>
    <n v="72.7"/>
    <n v="72.7"/>
    <n v="-21.795805716748369"/>
    <n v="1375.8316867307055"/>
    <n v="0"/>
    <n v="1"/>
    <n v="0"/>
    <n v="0"/>
    <n v="0"/>
    <n v="0"/>
    <n v="0"/>
    <n v="0"/>
    <n v="0"/>
    <n v="0"/>
  </r>
  <r>
    <d v="2025-07-16T00:00:00"/>
    <n v="2025"/>
    <x v="21"/>
    <s v="R"/>
    <s v="RS"/>
    <x v="8"/>
    <s v="DAL"/>
    <s v="A"/>
    <n v="3"/>
    <n v="2"/>
    <n v="1"/>
    <n v="-1"/>
    <n v="8"/>
    <n v="-8"/>
    <n v="1515.7725094593745"/>
    <n v="1367.3157816698226"/>
    <n v="0.61376026568403164"/>
    <n v="90"/>
    <n v="86"/>
    <n v="0"/>
    <n v="4"/>
    <n v="1"/>
    <n v="0.27714592109846337"/>
    <n v="1"/>
    <n v="72.7"/>
    <n v="72.7"/>
    <n v="7.7821545559436656"/>
    <n v="1523.5546640153182"/>
    <n v="1"/>
    <n v="0"/>
    <n v="0"/>
    <n v="0"/>
    <n v="0"/>
    <n v="0"/>
    <n v="0"/>
    <n v="0"/>
    <n v="0"/>
    <n v="0"/>
  </r>
  <r>
    <d v="2025-07-16T00:00:00"/>
    <n v="2025"/>
    <x v="22"/>
    <s v="R"/>
    <s v="RS"/>
    <x v="1"/>
    <s v="LVA"/>
    <s v="H"/>
    <n v="2"/>
    <n v="3"/>
    <n v="-1"/>
    <n v="1"/>
    <n v="-8"/>
    <n v="8"/>
    <n v="1367.3157816698226"/>
    <n v="1515.7725094593745"/>
    <n v="0.38623973431596836"/>
    <n v="86"/>
    <n v="90"/>
    <n v="0"/>
    <n v="-4"/>
    <n v="0"/>
    <n v="0.27714592109846337"/>
    <n v="1"/>
    <n v="72.55"/>
    <n v="72.55"/>
    <n v="-7.7660978409038908"/>
    <n v="1359.5496838289187"/>
    <n v="0"/>
    <n v="1"/>
    <n v="0"/>
    <n v="0"/>
    <n v="0"/>
    <n v="0"/>
    <n v="0"/>
    <n v="0"/>
    <n v="0"/>
    <n v="0"/>
  </r>
  <r>
    <d v="2025-07-16T00:00:00"/>
    <n v="2025"/>
    <x v="21"/>
    <s v="R"/>
    <s v="RS"/>
    <x v="11"/>
    <s v="MIN"/>
    <s v="A"/>
    <n v="1"/>
    <n v="1"/>
    <n v="0"/>
    <n v="0"/>
    <n v="0"/>
    <n v="0"/>
    <n v="1573.1194102462412"/>
    <n v="1641.7088197511293"/>
    <n v="0.29351458029602578"/>
    <n v="66"/>
    <n v="79"/>
    <n v="0"/>
    <n v="-13"/>
    <n v="0"/>
    <n v="0.44652154789627257"/>
    <n v="1"/>
    <n v="72.7"/>
    <n v="72.7"/>
    <n v="-9.5281045094279833"/>
    <n v="1563.5913057368132"/>
    <n v="0"/>
    <n v="1"/>
    <n v="0"/>
    <n v="0"/>
    <n v="0"/>
    <n v="0"/>
    <n v="0"/>
    <n v="0"/>
    <n v="0"/>
    <n v="0"/>
  </r>
  <r>
    <d v="2025-07-16T00:00:00"/>
    <n v="2025"/>
    <x v="24"/>
    <s v="R"/>
    <s v="RS"/>
    <x v="0"/>
    <s v="PHX"/>
    <s v="H"/>
    <n v="1"/>
    <n v="1"/>
    <n v="0"/>
    <n v="0"/>
    <n v="0"/>
    <n v="0"/>
    <n v="1641.7088197511293"/>
    <n v="1573.1194102462412"/>
    <n v="0.70648541970397427"/>
    <n v="79"/>
    <n v="66"/>
    <n v="0"/>
    <n v="13"/>
    <n v="1"/>
    <n v="0.44652154789627257"/>
    <n v="1"/>
    <n v="72.25"/>
    <n v="72.25"/>
    <n v="9.4691272463022234"/>
    <n v="1651.1779469974315"/>
    <n v="1"/>
    <n v="0"/>
    <n v="0"/>
    <n v="0"/>
    <n v="0"/>
    <n v="0"/>
    <n v="0"/>
    <n v="0"/>
    <n v="0"/>
    <n v="0"/>
  </r>
  <r>
    <d v="2025-07-16T00:00:00"/>
    <n v="2025"/>
    <x v="23"/>
    <s v="R"/>
    <s v="RS"/>
    <x v="7"/>
    <s v="NYL"/>
    <s v="A"/>
    <n v="0"/>
    <n v="2"/>
    <n v="-2"/>
    <n v="2"/>
    <n v="-16"/>
    <n v="16"/>
    <n v="1550.3752237763306"/>
    <n v="1621.7901096461885"/>
    <n v="0.25372430994332523"/>
    <n v="77"/>
    <n v="98"/>
    <n v="0"/>
    <n v="-21"/>
    <n v="0"/>
    <n v="0.55551618529435765"/>
    <n v="1"/>
    <n v="72.400000000000006"/>
    <n v="72.400000000000006"/>
    <n v="-10.204632360193933"/>
    <n v="1540.1705914161366"/>
    <n v="0"/>
    <n v="1"/>
    <n v="0"/>
    <n v="0"/>
    <n v="0"/>
    <n v="0"/>
    <n v="0"/>
    <n v="0"/>
    <n v="0"/>
    <n v="0"/>
  </r>
  <r>
    <d v="2025-07-16T00:00:00"/>
    <n v="2025"/>
    <x v="20"/>
    <s v="R"/>
    <s v="RS"/>
    <x v="9"/>
    <s v="IND"/>
    <s v="H"/>
    <n v="2"/>
    <n v="0"/>
    <n v="2"/>
    <n v="-2"/>
    <n v="16"/>
    <n v="-16"/>
    <n v="1621.7901096461885"/>
    <n v="1550.3752237763306"/>
    <n v="0.74627569005667471"/>
    <n v="98"/>
    <n v="77"/>
    <n v="0"/>
    <n v="21"/>
    <n v="1"/>
    <n v="0.55551618529435765"/>
    <n v="1"/>
    <n v="72.849999999999994"/>
    <n v="72.849999999999994"/>
    <n v="10.268058942543204"/>
    <n v="1632.0581685887316"/>
    <n v="1"/>
    <n v="0"/>
    <n v="0"/>
    <n v="0"/>
    <n v="0"/>
    <n v="0"/>
    <n v="0"/>
    <n v="0"/>
    <n v="0"/>
    <n v="0"/>
  </r>
  <r>
    <d v="2025-07-16T00:00:00"/>
    <n v="2025"/>
    <x v="21"/>
    <s v="R"/>
    <s v="RS"/>
    <x v="3"/>
    <s v="SEA"/>
    <s v="A"/>
    <n v="1"/>
    <n v="2"/>
    <n v="-1"/>
    <n v="1"/>
    <n v="-8"/>
    <n v="8"/>
    <n v="1526.0580901303904"/>
    <n v="1555.1848723458868"/>
    <n v="0.32227999580460404"/>
    <n v="58"/>
    <n v="67"/>
    <n v="0"/>
    <n v="-9"/>
    <n v="0"/>
    <n v="0.39635116541727033"/>
    <n v="1"/>
    <n v="72.7"/>
    <n v="72.7"/>
    <n v="-9.2864109751530819"/>
    <n v="1516.7716791552373"/>
    <n v="0"/>
    <n v="1"/>
    <n v="0"/>
    <n v="0"/>
    <n v="0"/>
    <n v="0"/>
    <n v="0"/>
    <n v="0"/>
    <n v="0"/>
    <n v="0"/>
  </r>
  <r>
    <d v="2025-07-16T00:00:00"/>
    <n v="2025"/>
    <x v="22"/>
    <s v="R"/>
    <s v="RS"/>
    <x v="10"/>
    <s v="GSV"/>
    <s v="H"/>
    <n v="2"/>
    <n v="1"/>
    <n v="1"/>
    <n v="-1"/>
    <n v="8"/>
    <n v="-8"/>
    <n v="1555.1848723458868"/>
    <n v="1526.0580901303904"/>
    <n v="0.67772000419539591"/>
    <n v="67"/>
    <n v="58"/>
    <n v="0"/>
    <n v="9"/>
    <n v="1"/>
    <n v="0.39635116541727033"/>
    <n v="1"/>
    <n v="72.55"/>
    <n v="72.55"/>
    <n v="9.2672505673639076"/>
    <n v="1564.4521229132506"/>
    <n v="1"/>
    <n v="0"/>
    <n v="0"/>
    <n v="0"/>
    <n v="0"/>
    <n v="0"/>
    <n v="0"/>
    <n v="0"/>
    <n v="0"/>
    <n v="0"/>
  </r>
  <r>
    <d v="2025-07-22T00:00:00"/>
    <n v="2025"/>
    <x v="22"/>
    <s v="R"/>
    <s v="RS"/>
    <x v="4"/>
    <s v="LVA"/>
    <s v="A"/>
    <n v="5"/>
    <n v="5"/>
    <n v="0"/>
    <n v="0"/>
    <n v="0"/>
    <n v="0"/>
    <n v="1542.6217047723956"/>
    <n v="1523.5546640153182"/>
    <n v="0.40762695254749531"/>
    <n v="72"/>
    <n v="87"/>
    <n v="0"/>
    <n v="-15"/>
    <n v="0"/>
    <n v="0.49498314159964135"/>
    <n v="1"/>
    <n v="72.55"/>
    <n v="72.55"/>
    <n v="-14.638302467495551"/>
    <n v="1527.9834023049"/>
    <n v="0"/>
    <n v="1"/>
    <n v="0"/>
    <n v="0"/>
    <n v="0"/>
    <n v="0"/>
    <n v="0"/>
    <n v="0"/>
    <n v="0"/>
    <n v="0"/>
  </r>
  <r>
    <d v="2025-07-22T00:00:00"/>
    <n v="2025"/>
    <x v="22"/>
    <s v="R"/>
    <s v="RS"/>
    <x v="8"/>
    <s v="ATL"/>
    <s v="H"/>
    <n v="5"/>
    <n v="5"/>
    <n v="0"/>
    <n v="0"/>
    <n v="0"/>
    <n v="0"/>
    <n v="1523.5546640153182"/>
    <n v="1542.6217047723956"/>
    <n v="0.59237304745250474"/>
    <n v="87"/>
    <n v="72"/>
    <n v="0"/>
    <n v="15"/>
    <n v="1"/>
    <n v="0.49498314159964135"/>
    <n v="1"/>
    <n v="72.55"/>
    <n v="72.55"/>
    <n v="14.638302467495549"/>
    <n v="1538.1929664828137"/>
    <n v="1"/>
    <n v="0"/>
    <n v="0"/>
    <n v="0"/>
    <n v="0"/>
    <n v="0"/>
    <n v="0"/>
    <n v="0"/>
    <n v="0"/>
    <n v="0"/>
  </r>
  <r>
    <d v="2025-07-22T00:00:00"/>
    <n v="2025"/>
    <x v="22"/>
    <s v="R"/>
    <s v="RS"/>
    <x v="6"/>
    <s v="MIN"/>
    <s v="A"/>
    <n v="5"/>
    <n v="5"/>
    <n v="0"/>
    <n v="0"/>
    <n v="0"/>
    <n v="0"/>
    <n v="1375.8316867307055"/>
    <n v="1651.1779469974315"/>
    <n v="0.1121900536159731"/>
    <n v="68"/>
    <n v="91"/>
    <n v="0"/>
    <n v="-23"/>
    <n v="0"/>
    <n v="0.50049628548950043"/>
    <n v="1"/>
    <n v="72.55"/>
    <n v="72.55"/>
    <n v="-4.0737336552707095"/>
    <n v="1371.7579530754349"/>
    <n v="0"/>
    <n v="1"/>
    <n v="0"/>
    <n v="0"/>
    <n v="0"/>
    <n v="0"/>
    <n v="0"/>
    <n v="0"/>
    <n v="0"/>
    <n v="0"/>
  </r>
  <r>
    <d v="2025-07-22T00:00:00"/>
    <n v="2025"/>
    <x v="25"/>
    <s v="R"/>
    <s v="RS"/>
    <x v="0"/>
    <s v="CHI"/>
    <s v="H"/>
    <n v="5"/>
    <n v="5"/>
    <n v="0"/>
    <n v="0"/>
    <n v="0"/>
    <n v="0"/>
    <n v="1651.1779469974315"/>
    <n v="1375.8316867307055"/>
    <n v="0.88780994638402688"/>
    <n v="91"/>
    <n v="68"/>
    <n v="0"/>
    <n v="23"/>
    <n v="1"/>
    <n v="0.50049628548950043"/>
    <n v="1"/>
    <n v="72.099999999999994"/>
    <n v="72.099999999999994"/>
    <n v="4.0484658379740619"/>
    <n v="1655.2264128354057"/>
    <n v="1"/>
    <n v="0"/>
    <n v="0"/>
    <n v="0"/>
    <n v="0"/>
    <n v="0"/>
    <n v="0"/>
    <n v="0"/>
    <n v="0"/>
    <n v="0"/>
  </r>
  <r>
    <d v="2025-07-22T00:00:00"/>
    <n v="2025"/>
    <x v="24"/>
    <s v="R"/>
    <s v="RS"/>
    <x v="7"/>
    <s v="NYL"/>
    <s v="A"/>
    <n v="5"/>
    <n v="5"/>
    <n v="0"/>
    <n v="0"/>
    <n v="0"/>
    <n v="0"/>
    <n v="1540.1705914161366"/>
    <n v="1632.0581685887316"/>
    <n v="0.26649278124017778"/>
    <n v="84"/>
    <n v="98"/>
    <n v="0"/>
    <n v="-14"/>
    <n v="0"/>
    <n v="0.45292619464731387"/>
    <n v="1"/>
    <n v="72.25"/>
    <n v="72.25"/>
    <n v="-8.7206878045097049"/>
    <n v="1531.449903611627"/>
    <n v="0"/>
    <n v="1"/>
    <n v="0"/>
    <n v="0"/>
    <n v="0"/>
    <n v="0"/>
    <n v="0"/>
    <n v="0"/>
    <n v="0"/>
    <n v="0"/>
  </r>
  <r>
    <d v="2025-07-22T00:00:00"/>
    <n v="2025"/>
    <x v="21"/>
    <s v="R"/>
    <s v="RS"/>
    <x v="9"/>
    <s v="IND"/>
    <s v="H"/>
    <n v="5"/>
    <n v="5"/>
    <n v="0"/>
    <n v="0"/>
    <n v="0"/>
    <n v="0"/>
    <n v="1632.0581685887316"/>
    <n v="1540.1705914161366"/>
    <n v="0.73350721875982228"/>
    <n v="98"/>
    <n v="84"/>
    <n v="0"/>
    <n v="14"/>
    <n v="1"/>
    <n v="0.45292619464731387"/>
    <n v="1"/>
    <n v="72.7"/>
    <n v="72.7"/>
    <n v="8.7750035070983454"/>
    <n v="1640.8331720958299"/>
    <n v="1"/>
    <n v="0"/>
    <n v="0"/>
    <n v="0"/>
    <n v="0"/>
    <n v="0"/>
    <n v="0"/>
    <n v="0"/>
    <n v="0"/>
    <n v="0"/>
  </r>
  <r>
    <d v="2025-07-22T00:00:00"/>
    <n v="2025"/>
    <x v="23"/>
    <s v="R"/>
    <s v="RS"/>
    <x v="1"/>
    <s v="SEA"/>
    <s v="A"/>
    <n v="5"/>
    <n v="5"/>
    <n v="0"/>
    <n v="0"/>
    <n v="0"/>
    <n v="0"/>
    <n v="1359.5496838289187"/>
    <n v="1564.4521229132506"/>
    <n v="0.15935217512791244"/>
    <n v="87"/>
    <n v="63"/>
    <n v="0"/>
    <n v="24"/>
    <n v="1"/>
    <n v="0.53677543461969657"/>
    <n v="1"/>
    <n v="72.400000000000006"/>
    <n v="72.400000000000006"/>
    <n v="32.669710952785977"/>
    <n v="1392.2193947817045"/>
    <n v="1"/>
    <n v="0"/>
    <n v="0"/>
    <n v="0"/>
    <n v="0"/>
    <n v="0"/>
    <n v="0"/>
    <n v="0"/>
    <n v="0"/>
    <n v="0"/>
  </r>
  <r>
    <d v="2025-07-22T00:00:00"/>
    <n v="2025"/>
    <x v="23"/>
    <s v="R"/>
    <s v="RS"/>
    <x v="10"/>
    <s v="DAL"/>
    <s v="H"/>
    <n v="5"/>
    <n v="5"/>
    <n v="0"/>
    <n v="0"/>
    <n v="0"/>
    <n v="0"/>
    <n v="1564.4521229132506"/>
    <n v="1359.5496838289187"/>
    <n v="0.84064782487208756"/>
    <n v="63"/>
    <n v="87"/>
    <n v="0"/>
    <n v="-24"/>
    <n v="0"/>
    <n v="0.53677543461969657"/>
    <n v="1"/>
    <n v="72.400000000000006"/>
    <n v="72.400000000000006"/>
    <n v="-32.669710952785977"/>
    <n v="1531.7824119604647"/>
    <n v="0"/>
    <n v="1"/>
    <n v="0"/>
    <n v="0"/>
    <n v="0"/>
    <n v="0"/>
    <n v="0"/>
    <n v="0"/>
    <n v="0"/>
    <n v="0"/>
  </r>
  <r>
    <d v="2025-07-22T00:00:00"/>
    <n v="2025"/>
    <x v="22"/>
    <s v="R"/>
    <s v="RS"/>
    <x v="2"/>
    <s v="WAS"/>
    <s v="A"/>
    <n v="6"/>
    <n v="6"/>
    <n v="0"/>
    <n v="0"/>
    <n v="0"/>
    <n v="0"/>
    <n v="1403.2335382752026"/>
    <n v="1481.4812674194984"/>
    <n v="0.28211937329108577"/>
    <n v="93"/>
    <n v="86"/>
    <n v="0"/>
    <n v="7"/>
    <n v="1"/>
    <n v="0.34745112145194218"/>
    <n v="1"/>
    <n v="72.55"/>
    <n v="72.55"/>
    <n v="18.096032510791993"/>
    <n v="1421.3295707859945"/>
    <n v="1"/>
    <n v="0"/>
    <n v="0"/>
    <n v="0"/>
    <n v="0"/>
    <n v="0"/>
    <n v="0"/>
    <n v="0"/>
    <n v="0"/>
    <n v="0"/>
  </r>
  <r>
    <d v="2025-07-22T00:00:00"/>
    <n v="2025"/>
    <x v="22"/>
    <s v="R"/>
    <s v="RS"/>
    <x v="5"/>
    <s v="LAS"/>
    <s v="H"/>
    <n v="6"/>
    <n v="6"/>
    <n v="0"/>
    <n v="0"/>
    <n v="0"/>
    <n v="0"/>
    <n v="1481.4812674194984"/>
    <n v="1403.2335382752026"/>
    <n v="0.71788062670891417"/>
    <n v="86"/>
    <n v="93"/>
    <n v="0"/>
    <n v="-7"/>
    <n v="0"/>
    <n v="0.34745112145194218"/>
    <n v="1"/>
    <n v="72.55"/>
    <n v="72.55"/>
    <n v="-18.096032510791993"/>
    <n v="1463.3852349087065"/>
    <n v="0"/>
    <n v="1"/>
    <n v="0"/>
    <n v="0"/>
    <n v="0"/>
    <n v="0"/>
    <n v="0"/>
    <n v="0"/>
    <n v="0"/>
    <n v="0"/>
  </r>
  <r>
    <d v="2025-07-23T00:00:00"/>
    <n v="2025"/>
    <x v="23"/>
    <s v="R"/>
    <s v="RS"/>
    <x v="4"/>
    <s v="PHX"/>
    <s v="A"/>
    <n v="0"/>
    <n v="6"/>
    <n v="-6"/>
    <n v="6"/>
    <n v="-16"/>
    <n v="16"/>
    <n v="1527.9834023049"/>
    <n v="1563.5913057368132"/>
    <n v="0.29468755157262189"/>
    <n v="90"/>
    <n v="79"/>
    <n v="0"/>
    <n v="11"/>
    <n v="1"/>
    <n v="0.42716072213780698"/>
    <n v="1"/>
    <n v="72.400000000000006"/>
    <n v="72.400000000000006"/>
    <n v="21.812800495738909"/>
    <n v="1549.7962028006389"/>
    <n v="1"/>
    <n v="0"/>
    <n v="0"/>
    <n v="0"/>
    <n v="0"/>
    <n v="0"/>
    <n v="0"/>
    <n v="0"/>
    <n v="0"/>
    <n v="0"/>
  </r>
  <r>
    <d v="2025-07-23T00:00:00"/>
    <n v="2025"/>
    <x v="22"/>
    <s v="R"/>
    <s v="RS"/>
    <x v="11"/>
    <s v="ATL"/>
    <s v="H"/>
    <n v="6"/>
    <n v="0"/>
    <n v="6"/>
    <n v="-6"/>
    <n v="16"/>
    <n v="-16"/>
    <n v="1563.5913057368132"/>
    <n v="1527.9834023049"/>
    <n v="0.70531244842737817"/>
    <n v="79"/>
    <n v="90"/>
    <n v="0"/>
    <n v="-11"/>
    <n v="0"/>
    <n v="0.42716072213780698"/>
    <n v="1"/>
    <n v="72.55"/>
    <n v="72.55"/>
    <n v="-21.857992761959363"/>
    <n v="1541.7333129748538"/>
    <n v="0"/>
    <n v="1"/>
    <n v="0"/>
    <n v="0"/>
    <n v="0"/>
    <n v="0"/>
    <n v="0"/>
    <n v="0"/>
    <n v="0"/>
    <n v="0"/>
  </r>
  <r>
    <d v="2025-07-24T00:00:00"/>
    <n v="2025"/>
    <x v="24"/>
    <s v="R"/>
    <s v="RS"/>
    <x v="10"/>
    <s v="CHI"/>
    <s v="A"/>
    <n v="1"/>
    <n v="1"/>
    <n v="0"/>
    <n v="0"/>
    <n v="0"/>
    <n v="0"/>
    <n v="1531.7824119604647"/>
    <n v="1371.7579530754349"/>
    <n v="0.6076946308223139"/>
    <n v="95"/>
    <n v="57"/>
    <n v="0"/>
    <n v="38"/>
    <n v="1"/>
    <n v="0.70231889786817125"/>
    <n v="1"/>
    <n v="72.25"/>
    <n v="72.25"/>
    <n v="19.906571033249136"/>
    <n v="1551.6889829937138"/>
    <n v="1"/>
    <n v="0"/>
    <n v="0"/>
    <n v="0"/>
    <n v="0"/>
    <n v="0"/>
    <n v="0"/>
    <n v="0"/>
    <n v="0"/>
    <n v="0"/>
  </r>
  <r>
    <d v="2025-07-24T00:00:00"/>
    <n v="2025"/>
    <x v="23"/>
    <s v="R"/>
    <s v="RS"/>
    <x v="6"/>
    <s v="SEA"/>
    <s v="H"/>
    <n v="1"/>
    <n v="1"/>
    <n v="0"/>
    <n v="0"/>
    <n v="0"/>
    <n v="0"/>
    <n v="1371.7579530754349"/>
    <n v="1531.7824119604647"/>
    <n v="0.39230536917768616"/>
    <n v="57"/>
    <n v="95"/>
    <n v="0"/>
    <n v="-38"/>
    <n v="0"/>
    <n v="0.70231889786817125"/>
    <n v="1"/>
    <n v="72.400000000000006"/>
    <n v="72.400000000000006"/>
    <n v="-19.947899554425433"/>
    <n v="1351.8100535210094"/>
    <n v="0"/>
    <n v="1"/>
    <n v="0"/>
    <n v="0"/>
    <n v="0"/>
    <n v="0"/>
    <n v="0"/>
    <n v="0"/>
    <n v="0"/>
    <n v="0"/>
  </r>
  <r>
    <d v="2025-07-24T00:00:00"/>
    <n v="2025"/>
    <x v="23"/>
    <s v="R"/>
    <s v="RS"/>
    <x v="2"/>
    <s v="CON"/>
    <s v="A"/>
    <n v="1"/>
    <n v="8"/>
    <n v="-7"/>
    <n v="7"/>
    <n v="-16"/>
    <n v="16"/>
    <n v="1421.3295707859945"/>
    <n v="1344.4717984188023"/>
    <n v="0.44390692366853801"/>
    <n v="101"/>
    <n v="86"/>
    <n v="0"/>
    <n v="15"/>
    <n v="1"/>
    <n v="0.47258014691474071"/>
    <n v="1"/>
    <n v="72.400000000000006"/>
    <n v="72.400000000000006"/>
    <n v="19.026614854275856"/>
    <n v="1440.3561856402703"/>
    <n v="1"/>
    <n v="0"/>
    <n v="0"/>
    <n v="0"/>
    <n v="0"/>
    <n v="0"/>
    <n v="0"/>
    <n v="0"/>
    <n v="0"/>
    <n v="0"/>
  </r>
  <r>
    <d v="2025-07-24T00:00:00"/>
    <n v="2025"/>
    <x v="22"/>
    <s v="R"/>
    <s v="RS"/>
    <x v="12"/>
    <s v="LAS"/>
    <s v="H"/>
    <n v="8"/>
    <n v="1"/>
    <n v="7"/>
    <n v="-7"/>
    <n v="16"/>
    <n v="-16"/>
    <n v="1344.4717984188023"/>
    <n v="1421.3295707859945"/>
    <n v="0.55609307633146199"/>
    <n v="86"/>
    <n v="101"/>
    <n v="0"/>
    <n v="-15"/>
    <n v="0"/>
    <n v="0.47258014691474071"/>
    <n v="1"/>
    <n v="72.55"/>
    <n v="72.55"/>
    <n v="-19.066034636432502"/>
    <n v="1325.4057637823698"/>
    <n v="0"/>
    <n v="1"/>
    <n v="0"/>
    <n v="0"/>
    <n v="0"/>
    <n v="0"/>
    <n v="0"/>
    <n v="0"/>
    <n v="0"/>
    <n v="0"/>
  </r>
  <r>
    <d v="2025-07-24T00:00:00"/>
    <n v="2025"/>
    <x v="23"/>
    <s v="R"/>
    <s v="RS"/>
    <x v="8"/>
    <s v="IND"/>
    <s v="A"/>
    <n v="1"/>
    <n v="1"/>
    <n v="0"/>
    <n v="0"/>
    <n v="0"/>
    <n v="0"/>
    <n v="1538.1929664828137"/>
    <n v="1531.449903611627"/>
    <n v="0.39061527428837378"/>
    <n v="70"/>
    <n v="80"/>
    <n v="0"/>
    <n v="-10"/>
    <n v="0"/>
    <n v="0.42076532678849204"/>
    <n v="1"/>
    <n v="72.400000000000006"/>
    <n v="72.400000000000006"/>
    <n v="-11.899473119899541"/>
    <n v="1526.2934933629142"/>
    <n v="0"/>
    <n v="1"/>
    <n v="0"/>
    <n v="0"/>
    <n v="0"/>
    <n v="0"/>
    <n v="0"/>
    <n v="0"/>
    <n v="0"/>
    <n v="0"/>
  </r>
  <r>
    <d v="2025-07-24T00:00:00"/>
    <n v="2025"/>
    <x v="25"/>
    <s v="R"/>
    <s v="RS"/>
    <x v="7"/>
    <s v="LVA"/>
    <s v="H"/>
    <n v="1"/>
    <n v="1"/>
    <n v="0"/>
    <n v="0"/>
    <n v="0"/>
    <n v="0"/>
    <n v="1531.449903611627"/>
    <n v="1538.1929664828137"/>
    <n v="0.60938472571162616"/>
    <n v="80"/>
    <n v="70"/>
    <n v="0"/>
    <n v="10"/>
    <n v="1"/>
    <n v="0.42076532678849204"/>
    <n v="1"/>
    <n v="72.099999999999994"/>
    <n v="72.099999999999994"/>
    <n v="11.850165910839184"/>
    <n v="1543.3000695224662"/>
    <n v="1"/>
    <n v="0"/>
    <n v="0"/>
    <n v="0"/>
    <n v="0"/>
    <n v="0"/>
    <n v="0"/>
    <n v="0"/>
    <n v="0"/>
    <n v="0"/>
  </r>
  <r>
    <d v="2025-07-25T00:00:00"/>
    <n v="2025"/>
    <x v="24"/>
    <s v="R"/>
    <s v="RS"/>
    <x v="1"/>
    <s v="GSV"/>
    <s v="A"/>
    <n v="2"/>
    <n v="8"/>
    <n v="-6"/>
    <n v="6"/>
    <n v="-16"/>
    <n v="16"/>
    <n v="1392.2193947817045"/>
    <n v="1516.7716791552373"/>
    <n v="0.20025037357733699"/>
    <n v="76"/>
    <n v="86"/>
    <n v="0"/>
    <n v="-10"/>
    <n v="0"/>
    <n v="0.38334133366346612"/>
    <n v="1"/>
    <n v="72.25"/>
    <n v="72.25"/>
    <n v="-5.5462167210279807"/>
    <n v="1386.6731780606765"/>
    <n v="0"/>
    <n v="1"/>
    <n v="0"/>
    <n v="0"/>
    <n v="0"/>
    <n v="0"/>
    <n v="0"/>
    <n v="0"/>
    <n v="0"/>
    <n v="0"/>
  </r>
  <r>
    <d v="2025-07-25T00:00:00"/>
    <n v="2025"/>
    <x v="22"/>
    <s v="R"/>
    <s v="RS"/>
    <x v="3"/>
    <s v="DAL"/>
    <s v="H"/>
    <n v="8"/>
    <n v="2"/>
    <n v="6"/>
    <n v="-6"/>
    <n v="16"/>
    <n v="-16"/>
    <n v="1516.7716791552373"/>
    <n v="1392.2193947817045"/>
    <n v="0.79974962642266301"/>
    <n v="86"/>
    <n v="76"/>
    <n v="0"/>
    <n v="10"/>
    <n v="1"/>
    <n v="0.38334133366346612"/>
    <n v="1"/>
    <n v="72.55"/>
    <n v="72.55"/>
    <n v="5.5692459946101041"/>
    <n v="1522.3409251498474"/>
    <n v="1"/>
    <n v="0"/>
    <n v="0"/>
    <n v="0"/>
    <n v="0"/>
    <n v="0"/>
    <n v="0"/>
    <n v="0"/>
    <n v="0"/>
    <n v="0"/>
  </r>
  <r>
    <d v="2025-07-25T00:00:00"/>
    <n v="2025"/>
    <x v="24"/>
    <s v="R"/>
    <s v="RS"/>
    <x v="8"/>
    <s v="MIN"/>
    <s v="A"/>
    <n v="0"/>
    <n v="2"/>
    <n v="-2"/>
    <n v="2"/>
    <n v="-16"/>
    <n v="16"/>
    <n v="1526.2934933629142"/>
    <n v="1655.2264128354057"/>
    <n v="0.19624238083303849"/>
    <n v="78"/>
    <n v="109"/>
    <n v="0"/>
    <n v="-31"/>
    <n v="0"/>
    <n v="0.64606831246528207"/>
    <n v="1"/>
    <n v="72.25"/>
    <n v="72.25"/>
    <n v="-9.1602873309206121"/>
    <n v="1517.1332060319935"/>
    <n v="0"/>
    <n v="1"/>
    <n v="0"/>
    <n v="0"/>
    <n v="0"/>
    <n v="0"/>
    <n v="0"/>
    <n v="0"/>
    <n v="0"/>
    <n v="0"/>
  </r>
  <r>
    <d v="2025-07-25T00:00:00"/>
    <n v="2025"/>
    <x v="26"/>
    <s v="R"/>
    <s v="RS"/>
    <x v="0"/>
    <s v="LVA"/>
    <s v="H"/>
    <n v="2"/>
    <n v="0"/>
    <n v="2"/>
    <n v="-2"/>
    <n v="16"/>
    <n v="-16"/>
    <n v="1655.2264128354057"/>
    <n v="1526.2934933629142"/>
    <n v="0.80375761916696142"/>
    <n v="109"/>
    <n v="78"/>
    <n v="0"/>
    <n v="31"/>
    <n v="1"/>
    <n v="0.64606831246528207"/>
    <n v="1"/>
    <n v="71.95"/>
    <n v="71.95"/>
    <n v="9.1222515357749234"/>
    <n v="1664.3486643711806"/>
    <n v="1"/>
    <n v="0"/>
    <n v="0"/>
    <n v="0"/>
    <n v="0"/>
    <n v="0"/>
    <n v="0"/>
    <n v="0"/>
    <n v="0"/>
    <n v="0"/>
  </r>
  <r>
    <d v="2025-07-25T00:00:00"/>
    <n v="2025"/>
    <x v="23"/>
    <s v="R"/>
    <s v="RS"/>
    <x v="11"/>
    <s v="NYL"/>
    <s v="A"/>
    <n v="1"/>
    <n v="2"/>
    <n v="-1"/>
    <n v="1"/>
    <n v="-8"/>
    <n v="8"/>
    <n v="1541.7333129748538"/>
    <n v="1640.8331720958299"/>
    <n v="0.24120015632598926"/>
    <n v="76"/>
    <n v="89"/>
    <n v="0"/>
    <n v="-13"/>
    <n v="0"/>
    <n v="0.43603461489113388"/>
    <n v="1"/>
    <n v="72.400000000000006"/>
    <n v="72.400000000000006"/>
    <n v="-7.6144250907305642"/>
    <n v="1534.1188878841233"/>
    <n v="0"/>
    <n v="1"/>
    <n v="0"/>
    <n v="0"/>
    <n v="0"/>
    <n v="0"/>
    <n v="0"/>
    <n v="0"/>
    <n v="0"/>
    <n v="0"/>
  </r>
  <r>
    <d v="2025-07-25T00:00:00"/>
    <n v="2025"/>
    <x v="22"/>
    <s v="R"/>
    <s v="RS"/>
    <x v="9"/>
    <s v="PHX"/>
    <s v="H"/>
    <n v="2"/>
    <n v="1"/>
    <n v="1"/>
    <n v="-1"/>
    <n v="8"/>
    <n v="-8"/>
    <n v="1640.8331720958299"/>
    <n v="1541.7333129748538"/>
    <n v="0.75879984367401077"/>
    <n v="89"/>
    <n v="76"/>
    <n v="0"/>
    <n v="13"/>
    <n v="1"/>
    <n v="0.43603461489113388"/>
    <n v="1"/>
    <n v="72.55"/>
    <n v="72.55"/>
    <n v="7.6302008333218545"/>
    <n v="1648.4633729291518"/>
    <n v="1"/>
    <n v="0"/>
    <n v="0"/>
    <n v="0"/>
    <n v="0"/>
    <n v="0"/>
    <n v="0"/>
    <n v="0"/>
    <n v="0"/>
    <n v="0"/>
  </r>
  <r>
    <d v="2025-07-26T00:00:00"/>
    <n v="2025"/>
    <x v="24"/>
    <s v="R"/>
    <s v="RS"/>
    <x v="2"/>
    <s v="NYL"/>
    <s v="A"/>
    <n v="1"/>
    <n v="0"/>
    <n v="1"/>
    <n v="-1"/>
    <n v="8"/>
    <n v="-8"/>
    <n v="1440.3561856402703"/>
    <n v="1648.4633729291518"/>
    <n v="0.16946822619435878"/>
    <n v="101"/>
    <n v="99"/>
    <n v="0"/>
    <n v="2"/>
    <n v="1"/>
    <n v="0.2282564764053468"/>
    <n v="1"/>
    <n v="72.25"/>
    <n v="72.25"/>
    <n v="13.696740012730078"/>
    <n v="1454.0529256530003"/>
    <n v="1"/>
    <n v="0"/>
    <n v="0"/>
    <n v="0"/>
    <n v="0"/>
    <n v="0"/>
    <n v="0"/>
    <n v="0"/>
    <n v="0"/>
    <n v="0"/>
  </r>
  <r>
    <d v="2025-07-26T00:00:00"/>
    <n v="2025"/>
    <x v="23"/>
    <s v="R"/>
    <s v="RS"/>
    <x v="9"/>
    <s v="LAS"/>
    <s v="H"/>
    <n v="0"/>
    <n v="1"/>
    <n v="-1"/>
    <n v="1"/>
    <n v="-8"/>
    <n v="8"/>
    <n v="1648.4633729291518"/>
    <n v="1440.3561856402703"/>
    <n v="0.83053177380564125"/>
    <n v="99"/>
    <n v="101"/>
    <n v="0"/>
    <n v="-2"/>
    <n v="0"/>
    <n v="0.2282564764053468"/>
    <n v="1"/>
    <n v="72.400000000000006"/>
    <n v="72.400000000000006"/>
    <n v="-13.725176151164813"/>
    <n v="1634.738196777987"/>
    <n v="0"/>
    <n v="1"/>
    <n v="0"/>
    <n v="0"/>
    <n v="0"/>
    <n v="0"/>
    <n v="0"/>
    <n v="0"/>
    <n v="0"/>
    <n v="0"/>
  </r>
  <r>
    <d v="2025-07-26T00:00:00"/>
    <n v="2025"/>
    <x v="25"/>
    <s v="R"/>
    <s v="RS"/>
    <x v="10"/>
    <s v="WAS"/>
    <s v="A"/>
    <n v="1"/>
    <n v="3"/>
    <n v="-2"/>
    <n v="2"/>
    <n v="-16"/>
    <n v="16"/>
    <n v="1551.6889829937138"/>
    <n v="1463.3852349087065"/>
    <n v="0.46022610390775004"/>
    <n v="58"/>
    <n v="69"/>
    <n v="0"/>
    <n v="-11"/>
    <n v="0"/>
    <n v="0.40968844893427353"/>
    <n v="1"/>
    <n v="72.099999999999994"/>
    <n v="72.099999999999994"/>
    <n v="-13.594405876037056"/>
    <n v="1538.0945771176769"/>
    <n v="0"/>
    <n v="1"/>
    <n v="0"/>
    <n v="0"/>
    <n v="0"/>
    <n v="0"/>
    <n v="0"/>
    <n v="0"/>
    <n v="0"/>
    <n v="0"/>
  </r>
  <r>
    <d v="2025-07-26T00:00:00"/>
    <n v="2025"/>
    <x v="23"/>
    <s v="R"/>
    <s v="RS"/>
    <x v="5"/>
    <s v="SEA"/>
    <s v="H"/>
    <n v="3"/>
    <n v="1"/>
    <n v="2"/>
    <n v="-2"/>
    <n v="16"/>
    <n v="-16"/>
    <n v="1463.3852349087065"/>
    <n v="1551.6889829937138"/>
    <n v="0.53977389609224991"/>
    <n v="69"/>
    <n v="58"/>
    <n v="0"/>
    <n v="11"/>
    <n v="1"/>
    <n v="0.40968844893427353"/>
    <n v="1"/>
    <n v="72.400000000000006"/>
    <n v="72.400000000000006"/>
    <n v="13.650970671637769"/>
    <n v="1477.0362055803444"/>
    <n v="1"/>
    <n v="0"/>
    <n v="0"/>
    <n v="0"/>
    <n v="0"/>
    <n v="0"/>
    <n v="0"/>
    <n v="0"/>
    <n v="0"/>
    <n v="0"/>
  </r>
  <r>
    <d v="2025-07-27T00:00:00"/>
    <n v="2025"/>
    <x v="26"/>
    <s v="R"/>
    <s v="RS"/>
    <x v="7"/>
    <s v="CHI"/>
    <s v="A"/>
    <n v="2"/>
    <n v="2"/>
    <n v="0"/>
    <n v="0"/>
    <n v="0"/>
    <n v="0"/>
    <n v="1543.3000695224662"/>
    <n v="1351.8100535210094"/>
    <n v="0.64993699417474338"/>
    <n v="93"/>
    <n v="78"/>
    <n v="0"/>
    <n v="15"/>
    <n v="1"/>
    <n v="0.43364855422281695"/>
    <n v="1"/>
    <n v="71.95"/>
    <n v="71.95"/>
    <n v="10.922320562319008"/>
    <n v="1554.2223900847853"/>
    <n v="1"/>
    <n v="0"/>
    <n v="0"/>
    <n v="0"/>
    <n v="0"/>
    <n v="0"/>
    <n v="0"/>
    <n v="0"/>
    <n v="0"/>
    <n v="0"/>
  </r>
  <r>
    <d v="2025-07-27T00:00:00"/>
    <n v="2025"/>
    <x v="24"/>
    <s v="R"/>
    <s v="RS"/>
    <x v="6"/>
    <s v="IND"/>
    <s v="H"/>
    <n v="2"/>
    <n v="2"/>
    <n v="0"/>
    <n v="0"/>
    <n v="0"/>
    <n v="0"/>
    <n v="1351.8100535210094"/>
    <n v="1543.3000695224662"/>
    <n v="0.35006300582525668"/>
    <n v="78"/>
    <n v="93"/>
    <n v="0"/>
    <n v="-15"/>
    <n v="0"/>
    <n v="0.43364855422281695"/>
    <n v="1"/>
    <n v="72.25"/>
    <n v="72.25"/>
    <n v="-10.967861857227915"/>
    <n v="1340.8421916637815"/>
    <n v="0"/>
    <n v="1"/>
    <n v="0"/>
    <n v="0"/>
    <n v="0"/>
    <n v="0"/>
    <n v="0"/>
    <n v="0"/>
    <n v="0"/>
    <n v="0"/>
  </r>
  <r>
    <d v="2025-07-27T00:00:00"/>
    <n v="2025"/>
    <x v="23"/>
    <s v="R"/>
    <s v="RS"/>
    <x v="3"/>
    <s v="CON"/>
    <s v="A"/>
    <n v="1"/>
    <n v="2"/>
    <n v="-1"/>
    <n v="1"/>
    <n v="-8"/>
    <n v="8"/>
    <n v="1522.3409251498474"/>
    <n v="1325.4057637823698"/>
    <n v="0.635990496285463"/>
    <n v="64"/>
    <n v="95"/>
    <n v="0"/>
    <n v="-31"/>
    <n v="0"/>
    <n v="0.61461796682293879"/>
    <n v="1"/>
    <n v="72.400000000000006"/>
    <n v="72.400000000000006"/>
    <n v="-28.300521847987458"/>
    <n v="1494.0404033018599"/>
    <n v="0"/>
    <n v="1"/>
    <n v="0"/>
    <n v="0"/>
    <n v="0"/>
    <n v="0"/>
    <n v="0"/>
    <n v="0"/>
    <n v="0"/>
    <n v="0"/>
  </r>
  <r>
    <d v="2025-07-27T00:00:00"/>
    <n v="2025"/>
    <x v="23"/>
    <s v="R"/>
    <s v="RS"/>
    <x v="12"/>
    <s v="GSV"/>
    <s v="H"/>
    <n v="2"/>
    <n v="1"/>
    <n v="1"/>
    <n v="-1"/>
    <n v="8"/>
    <n v="-8"/>
    <n v="1325.4057637823698"/>
    <n v="1522.3409251498474"/>
    <n v="0.36400950371453694"/>
    <n v="95"/>
    <n v="64"/>
    <n v="0"/>
    <n v="31"/>
    <n v="1"/>
    <n v="0.61461796682293879"/>
    <n v="1"/>
    <n v="72.400000000000006"/>
    <n v="72.400000000000006"/>
    <n v="28.300521847987458"/>
    <n v="1353.7062856303573"/>
    <n v="1"/>
    <n v="0"/>
    <n v="0"/>
    <n v="0"/>
    <n v="0"/>
    <n v="0"/>
    <n v="0"/>
    <n v="0"/>
    <n v="0"/>
    <n v="0"/>
  </r>
  <r>
    <d v="2025-07-27T00:00:00"/>
    <n v="2025"/>
    <x v="25"/>
    <s v="R"/>
    <s v="RS"/>
    <x v="8"/>
    <s v="DAL"/>
    <s v="A"/>
    <n v="1"/>
    <n v="1"/>
    <n v="0"/>
    <n v="0"/>
    <n v="0"/>
    <n v="0"/>
    <n v="1517.1332060319935"/>
    <n v="1386.6731780606765"/>
    <n v="0.56646565202707766"/>
    <n v="106"/>
    <n v="80"/>
    <n v="0"/>
    <n v="26"/>
    <n v="1"/>
    <n v="0.58994997227915591"/>
    <n v="1"/>
    <n v="72.099999999999994"/>
    <n v="72.099999999999994"/>
    <n v="18.440553870602365"/>
    <n v="1535.5737599025958"/>
    <n v="1"/>
    <n v="0"/>
    <n v="0"/>
    <n v="0"/>
    <n v="0"/>
    <n v="0"/>
    <n v="0"/>
    <n v="0"/>
    <n v="0"/>
    <n v="0"/>
  </r>
  <r>
    <d v="2025-07-27T00:00:00"/>
    <n v="2025"/>
    <x v="25"/>
    <s v="R"/>
    <s v="RS"/>
    <x v="1"/>
    <s v="LVA"/>
    <s v="H"/>
    <n v="1"/>
    <n v="1"/>
    <n v="0"/>
    <n v="0"/>
    <n v="0"/>
    <n v="0"/>
    <n v="1386.6731780606765"/>
    <n v="1517.1332060319935"/>
    <n v="0.43353434797292228"/>
    <n v="80"/>
    <n v="106"/>
    <n v="0"/>
    <n v="-26"/>
    <n v="0"/>
    <n v="0.58994997227915591"/>
    <n v="1"/>
    <n v="72.099999999999994"/>
    <n v="72.099999999999994"/>
    <n v="-18.440553870602361"/>
    <n v="1368.2326241900741"/>
    <n v="0"/>
    <n v="1"/>
    <n v="0"/>
    <n v="0"/>
    <n v="0"/>
    <n v="0"/>
    <n v="0"/>
    <n v="0"/>
    <n v="0"/>
    <n v="0"/>
  </r>
  <r>
    <d v="2025-07-27T00:00:00"/>
    <n v="2025"/>
    <x v="24"/>
    <s v="R"/>
    <s v="RS"/>
    <x v="4"/>
    <s v="MIN"/>
    <s v="A"/>
    <n v="3"/>
    <n v="1"/>
    <n v="2"/>
    <n v="-2"/>
    <n v="16"/>
    <n v="-16"/>
    <n v="1549.7962028006389"/>
    <n v="1664.3486643711806"/>
    <n v="0.27712792688477067"/>
    <n v="90"/>
    <n v="86"/>
    <n v="0"/>
    <n v="4"/>
    <n v="1"/>
    <n v="0.28429392725655067"/>
    <n v="1"/>
    <n v="72.25"/>
    <n v="72.25"/>
    <n v="14.84796315618344"/>
    <n v="1564.6441659568222"/>
    <n v="1"/>
    <n v="0"/>
    <n v="0"/>
    <n v="0"/>
    <n v="0"/>
    <n v="0"/>
    <n v="0"/>
    <n v="0"/>
    <n v="0"/>
    <n v="0"/>
  </r>
  <r>
    <d v="2025-07-27T00:00:00"/>
    <n v="2025"/>
    <x v="27"/>
    <s v="R"/>
    <s v="RS"/>
    <x v="0"/>
    <s v="ATL"/>
    <s v="H"/>
    <n v="1"/>
    <n v="3"/>
    <n v="-2"/>
    <n v="2"/>
    <n v="-16"/>
    <n v="16"/>
    <n v="1664.3486643711806"/>
    <n v="1549.7962028006389"/>
    <n v="0.72287207311522939"/>
    <n v="86"/>
    <n v="90"/>
    <n v="0"/>
    <n v="-4"/>
    <n v="0"/>
    <n v="0.28429392725655067"/>
    <n v="1"/>
    <n v="71.8"/>
    <n v="71.8"/>
    <n v="-14.755484492926932"/>
    <n v="1649.5931798782537"/>
    <n v="0"/>
    <n v="1"/>
    <n v="0"/>
    <n v="0"/>
    <n v="0"/>
    <n v="0"/>
    <n v="0"/>
    <n v="0"/>
    <n v="0"/>
    <n v="0"/>
  </r>
  <r>
    <d v="2025-07-27T00:00:00"/>
    <n v="2025"/>
    <x v="24"/>
    <s v="R"/>
    <s v="RS"/>
    <x v="11"/>
    <s v="WAS"/>
    <s v="A"/>
    <n v="1"/>
    <n v="0"/>
    <n v="1"/>
    <n v="-1"/>
    <n v="8"/>
    <n v="-8"/>
    <n v="1534.1188878841233"/>
    <n v="1477.0362055803444"/>
    <n v="0.48429388583430821"/>
    <n v="88"/>
    <n v="72"/>
    <n v="0"/>
    <n v="16"/>
    <n v="1"/>
    <n v="0.4942739626301878"/>
    <n v="1"/>
    <n v="72.25"/>
    <n v="72.25"/>
    <n v="18.416532557443386"/>
    <n v="1552.5354204415667"/>
    <n v="1"/>
    <n v="0"/>
    <n v="0"/>
    <n v="0"/>
    <n v="0"/>
    <n v="0"/>
    <n v="0"/>
    <n v="0"/>
    <n v="0"/>
    <n v="0"/>
  </r>
  <r>
    <d v="2025-07-27T00:00:00"/>
    <n v="2025"/>
    <x v="24"/>
    <s v="R"/>
    <s v="RS"/>
    <x v="5"/>
    <s v="PHX"/>
    <s v="H"/>
    <n v="0"/>
    <n v="1"/>
    <n v="-1"/>
    <n v="1"/>
    <n v="-8"/>
    <n v="8"/>
    <n v="1477.0362055803444"/>
    <n v="1534.1188878841233"/>
    <n v="0.51570611416569179"/>
    <n v="72"/>
    <n v="88"/>
    <n v="0"/>
    <n v="-16"/>
    <n v="0"/>
    <n v="0.4942739626301878"/>
    <n v="1"/>
    <n v="72.25"/>
    <n v="72.25"/>
    <n v="-18.416532557443386"/>
    <n v="1458.619673022901"/>
    <n v="0"/>
    <n v="1"/>
    <n v="0"/>
    <n v="0"/>
    <n v="0"/>
    <n v="0"/>
    <n v="0"/>
    <n v="0"/>
    <n v="0"/>
    <n v="0"/>
  </r>
  <r>
    <d v="2025-07-28T00:00:00"/>
    <n v="2025"/>
    <x v="26"/>
    <s v="R"/>
    <s v="RS"/>
    <x v="10"/>
    <s v="CON"/>
    <s v="A"/>
    <n v="1"/>
    <n v="0"/>
    <n v="1"/>
    <n v="-1"/>
    <n v="8"/>
    <n v="-8"/>
    <n v="1538.0945771176769"/>
    <n v="1353.7062856303573"/>
    <n v="0.6614997696427154"/>
    <n v="101"/>
    <n v="85"/>
    <n v="0"/>
    <n v="16"/>
    <n v="1"/>
    <n v="0.44882150662263498"/>
    <n v="1"/>
    <n v="71.95"/>
    <n v="71.95"/>
    <n v="10.931088894267662"/>
    <n v="1549.0256660119446"/>
    <n v="1"/>
    <n v="0"/>
    <n v="0"/>
    <n v="0"/>
    <n v="0"/>
    <n v="0"/>
    <n v="0"/>
    <n v="0"/>
    <n v="0"/>
    <n v="0"/>
  </r>
  <r>
    <d v="2025-07-28T00:00:00"/>
    <n v="2025"/>
    <x v="24"/>
    <s v="R"/>
    <s v="RS"/>
    <x v="12"/>
    <s v="SEA"/>
    <s v="H"/>
    <n v="0"/>
    <n v="1"/>
    <n v="-1"/>
    <n v="1"/>
    <n v="-8"/>
    <n v="8"/>
    <n v="1353.7062856303573"/>
    <n v="1538.0945771176769"/>
    <n v="0.33850023035728466"/>
    <n v="85"/>
    <n v="101"/>
    <n v="0"/>
    <n v="-16"/>
    <n v="0"/>
    <n v="0.44882150662263498"/>
    <n v="1"/>
    <n v="72.25"/>
    <n v="72.25"/>
    <n v="-10.976666749281984"/>
    <n v="1342.7296188810753"/>
    <n v="0"/>
    <n v="1"/>
    <n v="0"/>
    <n v="0"/>
    <n v="0"/>
    <n v="0"/>
    <n v="0"/>
    <n v="0"/>
    <n v="0"/>
    <n v="0"/>
  </r>
  <r>
    <d v="2025-07-28T00:00:00"/>
    <n v="2025"/>
    <x v="24"/>
    <s v="R"/>
    <s v="RS"/>
    <x v="9"/>
    <s v="DAL"/>
    <s v="A"/>
    <n v="1"/>
    <n v="0"/>
    <n v="1"/>
    <n v="-1"/>
    <n v="8"/>
    <n v="-8"/>
    <n v="1634.738196777987"/>
    <n v="1368.2326241900741"/>
    <n v="0.75817317115034866"/>
    <n v="82"/>
    <n v="92"/>
    <n v="0"/>
    <n v="-10"/>
    <n v="0"/>
    <n v="0.34623505610191074"/>
    <n v="1"/>
    <n v="72.25"/>
    <n v="72.25"/>
    <n v="-18.966067924882775"/>
    <n v="1615.7721288531043"/>
    <n v="0"/>
    <n v="1"/>
    <n v="0"/>
    <n v="0"/>
    <n v="0"/>
    <n v="0"/>
    <n v="0"/>
    <n v="0"/>
    <n v="0"/>
    <n v="0"/>
  </r>
  <r>
    <d v="2025-07-28T00:00:00"/>
    <n v="2025"/>
    <x v="26"/>
    <s v="R"/>
    <s v="RS"/>
    <x v="1"/>
    <s v="NYL"/>
    <s v="H"/>
    <n v="0"/>
    <n v="1"/>
    <n v="-1"/>
    <n v="1"/>
    <n v="-8"/>
    <n v="8"/>
    <n v="1368.2326241900741"/>
    <n v="1634.738196777987"/>
    <n v="0.2418268288496514"/>
    <n v="92"/>
    <n v="82"/>
    <n v="0"/>
    <n v="10"/>
    <n v="1"/>
    <n v="0.34623505610191074"/>
    <n v="1"/>
    <n v="71.95"/>
    <n v="71.95"/>
    <n v="18.887316085748314"/>
    <n v="1387.1199402758225"/>
    <n v="1"/>
    <n v="0"/>
    <n v="0"/>
    <n v="0"/>
    <n v="0"/>
    <n v="0"/>
    <n v="0"/>
    <n v="0"/>
    <n v="0"/>
    <n v="0"/>
  </r>
  <r>
    <d v="2025-07-29T00:00:00"/>
    <n v="2025"/>
    <x v="24"/>
    <s v="R"/>
    <s v="RS"/>
    <x v="3"/>
    <s v="ATL"/>
    <s v="A"/>
    <n v="1"/>
    <n v="1"/>
    <n v="0"/>
    <n v="0"/>
    <n v="0"/>
    <n v="0"/>
    <n v="1494.0404033018599"/>
    <n v="1564.6441659568222"/>
    <n v="0.29111585373311366"/>
    <n v="77"/>
    <n v="75"/>
    <n v="0"/>
    <n v="2"/>
    <n v="1"/>
    <n v="0.25295815612887018"/>
    <n v="1"/>
    <n v="72.25"/>
    <n v="72.25"/>
    <n v="12.955727418140677"/>
    <n v="1506.9961307200006"/>
    <n v="1"/>
    <n v="0"/>
    <n v="0"/>
    <n v="0"/>
    <n v="0"/>
    <n v="0"/>
    <n v="0"/>
    <n v="0"/>
    <n v="0"/>
    <n v="0"/>
  </r>
  <r>
    <d v="2025-07-29T00:00:00"/>
    <n v="2025"/>
    <x v="25"/>
    <s v="R"/>
    <s v="RS"/>
    <x v="4"/>
    <s v="GSV"/>
    <s v="H"/>
    <n v="1"/>
    <n v="1"/>
    <n v="0"/>
    <n v="0"/>
    <n v="0"/>
    <n v="0"/>
    <n v="1564.6441659568222"/>
    <n v="1494.0404033018599"/>
    <n v="0.70888414626688634"/>
    <n v="75"/>
    <n v="77"/>
    <n v="0"/>
    <n v="-2"/>
    <n v="0"/>
    <n v="0.25295815612887018"/>
    <n v="1"/>
    <n v="72.099999999999994"/>
    <n v="72.099999999999994"/>
    <n v="-12.928829714158377"/>
    <n v="1551.7153362426639"/>
    <n v="0"/>
    <n v="1"/>
    <n v="0"/>
    <n v="0"/>
    <n v="0"/>
    <n v="0"/>
    <n v="0"/>
    <n v="0"/>
    <n v="0"/>
    <n v="0"/>
  </r>
  <r>
    <d v="2025-07-29T00:00:00"/>
    <n v="2025"/>
    <x v="26"/>
    <s v="R"/>
    <s v="RS"/>
    <x v="8"/>
    <s v="LAS"/>
    <s v="A"/>
    <n v="1"/>
    <n v="2"/>
    <n v="-1"/>
    <n v="1"/>
    <n v="-8"/>
    <n v="8"/>
    <n v="1535.5737599025958"/>
    <n v="1454.0529256530003"/>
    <n v="0.47343139126160844"/>
    <n v="89"/>
    <n v="74"/>
    <n v="0"/>
    <n v="15"/>
    <n v="1"/>
    <n v="0.47086057247586777"/>
    <n v="1"/>
    <n v="71.95"/>
    <n v="71.95"/>
    <n v="17.839311532375465"/>
    <n v="1553.4130714349712"/>
    <n v="1"/>
    <n v="0"/>
    <n v="0"/>
    <n v="0"/>
    <n v="0"/>
    <n v="0"/>
    <n v="0"/>
    <n v="0"/>
    <n v="0"/>
    <n v="0"/>
  </r>
  <r>
    <d v="2025-07-29T00:00:00"/>
    <n v="2025"/>
    <x v="25"/>
    <s v="R"/>
    <s v="RS"/>
    <x v="2"/>
    <s v="LVA"/>
    <s v="H"/>
    <n v="2"/>
    <n v="1"/>
    <n v="1"/>
    <n v="-1"/>
    <n v="8"/>
    <n v="-8"/>
    <n v="1454.0529256530003"/>
    <n v="1535.5737599025958"/>
    <n v="0.52656860873839151"/>
    <n v="74"/>
    <n v="89"/>
    <n v="0"/>
    <n v="-15"/>
    <n v="0"/>
    <n v="0.47086057247586777"/>
    <n v="1"/>
    <n v="72.099999999999994"/>
    <n v="72.099999999999994"/>
    <n v="-17.876502591859214"/>
    <n v="1436.1764230611411"/>
    <n v="0"/>
    <n v="1"/>
    <n v="0"/>
    <n v="0"/>
    <n v="0"/>
    <n v="0"/>
    <n v="0"/>
    <n v="0"/>
    <n v="0"/>
    <n v="0"/>
  </r>
  <r>
    <d v="2025-07-29T00:00:00"/>
    <n v="2025"/>
    <x v="25"/>
    <s v="R"/>
    <s v="RS"/>
    <x v="6"/>
    <s v="WAS"/>
    <s v="A"/>
    <n v="1"/>
    <n v="1"/>
    <n v="0"/>
    <n v="0"/>
    <n v="0"/>
    <n v="0"/>
    <n v="1340.8421916637815"/>
    <n v="1458.619673022901"/>
    <n v="0.23839037654552234"/>
    <n v="86"/>
    <n v="103"/>
    <n v="0"/>
    <n v="-17"/>
    <n v="0"/>
    <n v="0.48485460704596456"/>
    <n v="1"/>
    <n v="72.099999999999994"/>
    <n v="72.099999999999994"/>
    <n v="-8.3336548759677029"/>
    <n v="1332.5085367878137"/>
    <n v="0"/>
    <n v="1"/>
    <n v="0"/>
    <n v="0"/>
    <n v="0"/>
    <n v="0"/>
    <n v="0"/>
    <n v="0"/>
    <n v="0"/>
    <n v="0"/>
  </r>
  <r>
    <d v="2025-07-29T00:00:00"/>
    <n v="2025"/>
    <x v="25"/>
    <s v="R"/>
    <s v="RS"/>
    <x v="5"/>
    <s v="CHI"/>
    <s v="H"/>
    <n v="1"/>
    <n v="1"/>
    <n v="0"/>
    <n v="0"/>
    <n v="0"/>
    <n v="0"/>
    <n v="1458.619673022901"/>
    <n v="1340.8421916637815"/>
    <n v="0.76160962345447758"/>
    <n v="103"/>
    <n v="86"/>
    <n v="0"/>
    <n v="17"/>
    <n v="1"/>
    <n v="0.48485460704596456"/>
    <n v="1"/>
    <n v="72.099999999999994"/>
    <n v="72.099999999999994"/>
    <n v="8.3336548759677047"/>
    <n v="1466.9533278988688"/>
    <n v="1"/>
    <n v="0"/>
    <n v="0"/>
    <n v="0"/>
    <n v="0"/>
    <n v="0"/>
    <n v="0"/>
    <n v="0"/>
    <n v="0"/>
    <n v="0"/>
  </r>
  <r>
    <d v="2025-07-30T00:00:00"/>
    <n v="2025"/>
    <x v="26"/>
    <s v="R"/>
    <s v="RS"/>
    <x v="4"/>
    <s v="DAL"/>
    <s v="A"/>
    <n v="0"/>
    <n v="1"/>
    <n v="-1"/>
    <n v="1"/>
    <n v="-8"/>
    <n v="8"/>
    <n v="1551.7153362426639"/>
    <n v="1387.1199402758225"/>
    <n v="0.591903751403968"/>
    <n v="88"/>
    <n v="85"/>
    <n v="0"/>
    <n v="3"/>
    <n v="1"/>
    <n v="0.25518203150006163"/>
    <n v="1"/>
    <n v="71.95"/>
    <n v="71.95"/>
    <n v="7.4927888015406383"/>
    <n v="1559.2081250442045"/>
    <n v="1"/>
    <n v="0"/>
    <n v="0"/>
    <n v="0"/>
    <n v="0"/>
    <n v="0"/>
    <n v="0"/>
    <n v="0"/>
    <n v="0"/>
    <n v="0"/>
  </r>
  <r>
    <d v="2025-07-30T00:00:00"/>
    <n v="2025"/>
    <x v="27"/>
    <s v="R"/>
    <s v="RS"/>
    <x v="1"/>
    <s v="ATL"/>
    <s v="H"/>
    <n v="1"/>
    <n v="0"/>
    <n v="1"/>
    <n v="-1"/>
    <n v="8"/>
    <n v="-8"/>
    <n v="1387.1199402758225"/>
    <n v="1551.7153362426639"/>
    <n v="0.408096248596032"/>
    <n v="85"/>
    <n v="88"/>
    <n v="0"/>
    <n v="-3"/>
    <n v="0"/>
    <n v="0.25518203150006163"/>
    <n v="1"/>
    <n v="71.8"/>
    <n v="71.8"/>
    <n v="-7.477167977075994"/>
    <n v="1379.6427722987464"/>
    <n v="0"/>
    <n v="1"/>
    <n v="0"/>
    <n v="0"/>
    <n v="0"/>
    <n v="0"/>
    <n v="0"/>
    <n v="0"/>
    <n v="0"/>
    <n v="0"/>
  </r>
  <r>
    <d v="2025-07-30T00:00:00"/>
    <n v="2025"/>
    <x v="25"/>
    <s v="R"/>
    <s v="RS"/>
    <x v="11"/>
    <s v="IND"/>
    <s v="A"/>
    <n v="2"/>
    <n v="2"/>
    <n v="0"/>
    <n v="0"/>
    <n v="0"/>
    <n v="0"/>
    <n v="1552.5354204415667"/>
    <n v="1554.2223900847853"/>
    <n v="0.37912734448147961"/>
    <n v="101"/>
    <n v="107"/>
    <n v="0"/>
    <n v="-6"/>
    <n v="0"/>
    <n v="0.35078762103440675"/>
    <n v="1"/>
    <n v="72.099999999999994"/>
    <n v="72.099999999999994"/>
    <n v="-9.5888082231859926"/>
    <n v="1542.9466122183808"/>
    <n v="0"/>
    <n v="1"/>
    <n v="0"/>
    <n v="0"/>
    <n v="0"/>
    <n v="0"/>
    <n v="0"/>
    <n v="0"/>
    <n v="0"/>
    <n v="0"/>
  </r>
  <r>
    <d v="2025-07-30T00:00:00"/>
    <n v="2025"/>
    <x v="27"/>
    <s v="R"/>
    <s v="RS"/>
    <x v="7"/>
    <s v="PHX"/>
    <s v="H"/>
    <n v="2"/>
    <n v="2"/>
    <n v="0"/>
    <n v="0"/>
    <n v="0"/>
    <n v="0"/>
    <n v="1554.2223900847853"/>
    <n v="1552.5354204415667"/>
    <n v="0.62087265551852033"/>
    <n v="107"/>
    <n v="101"/>
    <n v="0"/>
    <n v="6"/>
    <n v="1"/>
    <n v="0.35078762103440675"/>
    <n v="1"/>
    <n v="71.8"/>
    <n v="71.8"/>
    <n v="9.5489102694140691"/>
    <n v="1563.7713003541994"/>
    <n v="1"/>
    <n v="0"/>
    <n v="0"/>
    <n v="0"/>
    <n v="0"/>
    <n v="0"/>
    <n v="0"/>
    <n v="0"/>
    <n v="0"/>
    <n v="0"/>
  </r>
  <r>
    <d v="2025-07-30T00:00:00"/>
    <n v="2025"/>
    <x v="25"/>
    <s v="R"/>
    <s v="RS"/>
    <x v="9"/>
    <s v="MIN"/>
    <s v="A"/>
    <n v="1"/>
    <n v="2"/>
    <n v="-1"/>
    <n v="1"/>
    <n v="-8"/>
    <n v="8"/>
    <n v="1615.7721288531043"/>
    <n v="1649.5931798782537"/>
    <n v="0.31640645033152942"/>
    <n v="93"/>
    <n v="100"/>
    <n v="0"/>
    <n v="-7"/>
    <n v="0"/>
    <n v="0.35996193014827332"/>
    <n v="1"/>
    <n v="72.099999999999994"/>
    <n v="72.099999999999994"/>
    <n v="-8.2117773408917483"/>
    <n v="1607.5603515122125"/>
    <n v="0"/>
    <n v="1"/>
    <n v="0"/>
    <n v="0"/>
    <n v="0"/>
    <n v="0"/>
    <n v="0"/>
    <n v="0"/>
    <n v="0"/>
    <n v="0"/>
  </r>
  <r>
    <d v="2025-07-30T00:00:00"/>
    <n v="2025"/>
    <x v="28"/>
    <s v="R"/>
    <s v="RS"/>
    <x v="0"/>
    <s v="NYL"/>
    <s v="H"/>
    <n v="2"/>
    <n v="1"/>
    <n v="1"/>
    <n v="-1"/>
    <n v="8"/>
    <n v="-8"/>
    <n v="1649.5931798782537"/>
    <n v="1615.7721288531043"/>
    <n v="0.68359354966847052"/>
    <n v="100"/>
    <n v="93"/>
    <n v="0"/>
    <n v="7"/>
    <n v="1"/>
    <n v="0.35996193014827332"/>
    <n v="1"/>
    <n v="71.650000000000006"/>
    <n v="71.650000000000006"/>
    <n v="8.1605249164340368"/>
    <n v="1657.7537047946878"/>
    <n v="1"/>
    <n v="0"/>
    <n v="0"/>
    <n v="0"/>
    <n v="0"/>
    <n v="0"/>
    <n v="0"/>
    <n v="0"/>
    <n v="0"/>
    <n v="0"/>
  </r>
  <r>
    <d v="2025-07-31T00:00:00"/>
    <n v="2025"/>
    <x v="25"/>
    <s v="R"/>
    <s v="RS"/>
    <x v="3"/>
    <s v="WAS"/>
    <s v="A"/>
    <n v="1"/>
    <n v="1"/>
    <n v="0"/>
    <n v="0"/>
    <n v="0"/>
    <n v="0"/>
    <n v="1506.9961307200006"/>
    <n v="1466.9533278988688"/>
    <n v="0.4370758935889229"/>
    <n v="68"/>
    <n v="67"/>
    <n v="0"/>
    <n v="1"/>
    <n v="1"/>
    <n v="0.23629475086806156"/>
    <n v="1"/>
    <n v="72.099999999999994"/>
    <n v="72.099999999999994"/>
    <n v="9.5904544278544801"/>
    <n v="1516.586585147855"/>
    <n v="1"/>
    <n v="0"/>
    <n v="0"/>
    <n v="0"/>
    <n v="0"/>
    <n v="0"/>
    <n v="0"/>
    <n v="0"/>
    <n v="0"/>
    <n v="0"/>
  </r>
  <r>
    <d v="2025-07-31T00:00:00"/>
    <n v="2025"/>
    <x v="26"/>
    <s v="R"/>
    <s v="RS"/>
    <x v="5"/>
    <s v="GSV"/>
    <s v="H"/>
    <n v="1"/>
    <n v="1"/>
    <n v="0"/>
    <n v="0"/>
    <n v="0"/>
    <n v="0"/>
    <n v="1466.9533278988688"/>
    <n v="1506.9961307200006"/>
    <n v="0.56292410641107715"/>
    <n v="67"/>
    <n v="68"/>
    <n v="0"/>
    <n v="-1"/>
    <n v="0"/>
    <n v="0.23629475086806156"/>
    <n v="1"/>
    <n v="71.95"/>
    <n v="71.95"/>
    <n v="-9.5705020261321767"/>
    <n v="1457.3828258727367"/>
    <n v="0"/>
    <n v="1"/>
    <n v="0"/>
    <n v="0"/>
    <n v="0"/>
    <n v="0"/>
    <n v="0"/>
    <n v="0"/>
    <n v="0"/>
    <n v="0"/>
  </r>
  <r>
    <d v="2025-08-01T00:00:00"/>
    <n v="2025"/>
    <x v="26"/>
    <s v="R"/>
    <s v="RS"/>
    <x v="11"/>
    <s v="ATL"/>
    <s v="A"/>
    <n v="1"/>
    <n v="1"/>
    <n v="0"/>
    <n v="0"/>
    <n v="0"/>
    <n v="0"/>
    <n v="1542.9466122183808"/>
    <n v="1559.2081250442045"/>
    <n v="0.35958825919028881"/>
    <n v="72"/>
    <n v="95"/>
    <n v="0"/>
    <n v="-23"/>
    <n v="0"/>
    <n v="0.6071106544831254"/>
    <n v="1"/>
    <n v="71.95"/>
    <n v="71.95"/>
    <n v="-15.707394670296333"/>
    <n v="1527.2392175480845"/>
    <n v="0"/>
    <n v="1"/>
    <n v="0"/>
    <n v="0"/>
    <n v="0"/>
    <n v="0"/>
    <n v="0"/>
    <n v="0"/>
    <n v="0"/>
    <n v="0"/>
  </r>
  <r>
    <d v="2025-08-01T00:00:00"/>
    <n v="2025"/>
    <x v="27"/>
    <s v="R"/>
    <s v="RS"/>
    <x v="4"/>
    <s v="PHX"/>
    <s v="H"/>
    <n v="1"/>
    <n v="1"/>
    <n v="0"/>
    <n v="0"/>
    <n v="0"/>
    <n v="0"/>
    <n v="1559.2081250442045"/>
    <n v="1542.9466122183808"/>
    <n v="0.64041174080971108"/>
    <n v="95"/>
    <n v="72"/>
    <n v="0"/>
    <n v="23"/>
    <n v="1"/>
    <n v="0.6071106544831254"/>
    <n v="1"/>
    <n v="71.8"/>
    <n v="71.8"/>
    <n v="15.674648190789117"/>
    <n v="1574.8827732349937"/>
    <n v="1"/>
    <n v="0"/>
    <n v="0"/>
    <n v="0"/>
    <n v="0"/>
    <n v="0"/>
    <n v="0"/>
    <n v="0"/>
    <n v="0"/>
    <n v="0"/>
  </r>
  <r>
    <d v="2025-08-01T00:00:00"/>
    <n v="2025"/>
    <x v="26"/>
    <s v="R"/>
    <s v="RS"/>
    <x v="3"/>
    <s v="CHI"/>
    <s v="A"/>
    <n v="0"/>
    <n v="2"/>
    <n v="-2"/>
    <n v="2"/>
    <n v="-16"/>
    <n v="16"/>
    <n v="1516.586585147855"/>
    <n v="1332.5085367878137"/>
    <n v="0.59673729418994848"/>
    <n v="73"/>
    <n v="66"/>
    <n v="0"/>
    <n v="7"/>
    <n v="1"/>
    <n v="0.32088407695709115"/>
    <n v="1"/>
    <n v="71.95"/>
    <n v="71.95"/>
    <n v="9.3103718119493184"/>
    <n v="1525.8969569598044"/>
    <n v="1"/>
    <n v="0"/>
    <n v="0"/>
    <n v="0"/>
    <n v="0"/>
    <n v="0"/>
    <n v="0"/>
    <n v="0"/>
    <n v="0"/>
    <n v="0"/>
  </r>
  <r>
    <d v="2025-08-01T00:00:00"/>
    <n v="2025"/>
    <x v="26"/>
    <s v="R"/>
    <s v="RS"/>
    <x v="6"/>
    <s v="GSV"/>
    <s v="H"/>
    <n v="2"/>
    <n v="0"/>
    <n v="2"/>
    <n v="-2"/>
    <n v="16"/>
    <n v="-16"/>
    <n v="1332.5085367878137"/>
    <n v="1516.586585147855"/>
    <n v="0.40326270581005152"/>
    <n v="66"/>
    <n v="73"/>
    <n v="0"/>
    <n v="-7"/>
    <n v="0"/>
    <n v="0.32088407695709115"/>
    <n v="1"/>
    <n v="71.95"/>
    <n v="71.95"/>
    <n v="-9.3103718119493184"/>
    <n v="1323.1981649758643"/>
    <n v="0"/>
    <n v="1"/>
    <n v="0"/>
    <n v="0"/>
    <n v="0"/>
    <n v="0"/>
    <n v="0"/>
    <n v="0"/>
    <n v="0"/>
    <n v="0"/>
  </r>
  <r>
    <d v="2025-08-01T00:00:00"/>
    <n v="2025"/>
    <x v="26"/>
    <s v="R"/>
    <s v="RS"/>
    <x v="9"/>
    <s v="CON"/>
    <s v="A"/>
    <n v="1"/>
    <n v="3"/>
    <n v="-2"/>
    <n v="2"/>
    <n v="-16"/>
    <n v="16"/>
    <n v="1607.5603515122125"/>
    <n v="1342.7296188810753"/>
    <n v="0.70197879719971379"/>
    <n v="62"/>
    <n v="78"/>
    <n v="0"/>
    <n v="-16"/>
    <n v="0"/>
    <n v="0.42417408707695126"/>
    <n v="1"/>
    <n v="71.95"/>
    <n v="71.95"/>
    <n v="-21.423919451596195"/>
    <n v="1586.1364320606162"/>
    <n v="0"/>
    <n v="1"/>
    <n v="0"/>
    <n v="0"/>
    <n v="0"/>
    <n v="0"/>
    <n v="0"/>
    <n v="0"/>
    <n v="0"/>
    <n v="0"/>
  </r>
  <r>
    <d v="2025-08-01T00:00:00"/>
    <n v="2025"/>
    <x v="25"/>
    <s v="R"/>
    <s v="RS"/>
    <x v="12"/>
    <s v="NYL"/>
    <s v="H"/>
    <n v="3"/>
    <n v="1"/>
    <n v="2"/>
    <n v="-2"/>
    <n v="16"/>
    <n v="-16"/>
    <n v="1342.7296188810753"/>
    <n v="1607.5603515122125"/>
    <n v="0.29802120280028621"/>
    <n v="78"/>
    <n v="62"/>
    <n v="0"/>
    <n v="16"/>
    <n v="1"/>
    <n v="0.42417408707695126"/>
    <n v="1"/>
    <n v="72.099999999999994"/>
    <n v="72.099999999999994"/>
    <n v="21.468583633913628"/>
    <n v="1364.1982025149889"/>
    <n v="1"/>
    <n v="0"/>
    <n v="0"/>
    <n v="0"/>
    <n v="0"/>
    <n v="0"/>
    <n v="0"/>
    <n v="0"/>
    <n v="0"/>
    <n v="0"/>
  </r>
  <r>
    <d v="2025-08-01T00:00:00"/>
    <n v="2025"/>
    <x v="28"/>
    <s v="R"/>
    <s v="RS"/>
    <x v="7"/>
    <s v="DAL"/>
    <s v="A"/>
    <n v="1"/>
    <n v="1"/>
    <n v="0"/>
    <n v="0"/>
    <n v="0"/>
    <n v="0"/>
    <n v="1563.7713003541994"/>
    <n v="1379.6427722987464"/>
    <n v="0.64023543401232275"/>
    <n v="88"/>
    <n v="78"/>
    <n v="0"/>
    <n v="10"/>
    <n v="1"/>
    <n v="0.36684139435524898"/>
    <n v="1"/>
    <n v="71.650000000000006"/>
    <n v="71.650000000000006"/>
    <n v="9.4561187346509108"/>
    <n v="1573.2274190888504"/>
    <n v="1"/>
    <n v="0"/>
    <n v="0"/>
    <n v="0"/>
    <n v="0"/>
    <n v="0"/>
    <n v="0"/>
    <n v="0"/>
    <n v="0"/>
    <n v="0"/>
  </r>
  <r>
    <d v="2025-08-01T00:00:00"/>
    <n v="2025"/>
    <x v="28"/>
    <s v="R"/>
    <s v="RS"/>
    <x v="1"/>
    <s v="IND"/>
    <s v="H"/>
    <n v="1"/>
    <n v="1"/>
    <n v="0"/>
    <n v="0"/>
    <n v="0"/>
    <n v="0"/>
    <n v="1379.6427722987464"/>
    <n v="1563.7713003541994"/>
    <n v="0.35976456598767731"/>
    <n v="78"/>
    <n v="88"/>
    <n v="0"/>
    <n v="-10"/>
    <n v="0"/>
    <n v="0.36684139435524898"/>
    <n v="1"/>
    <n v="71.650000000000006"/>
    <n v="71.650000000000006"/>
    <n v="-9.4561187346509126"/>
    <n v="1370.1866535640954"/>
    <n v="0"/>
    <n v="1"/>
    <n v="0"/>
    <n v="0"/>
    <n v="0"/>
    <n v="0"/>
    <n v="0"/>
    <n v="0"/>
    <n v="0"/>
    <n v="0"/>
  </r>
  <r>
    <d v="2025-08-01T00:00:00"/>
    <n v="2025"/>
    <x v="26"/>
    <s v="R"/>
    <s v="RS"/>
    <x v="2"/>
    <s v="SEA"/>
    <s v="A"/>
    <n v="2"/>
    <n v="3"/>
    <n v="-1"/>
    <n v="1"/>
    <n v="-8"/>
    <n v="8"/>
    <n v="1436.1764230611411"/>
    <n v="1549.0256660119446"/>
    <n v="0.22701233522019251"/>
    <n v="108"/>
    <n v="106"/>
    <n v="1"/>
    <n v="2"/>
    <n v="1"/>
    <n v="0.22033651466658402"/>
    <n v="1"/>
    <n v="71.95"/>
    <n v="71.95"/>
    <n v="12.254337501127919"/>
    <n v="1448.4307605622691"/>
    <n v="1"/>
    <n v="0"/>
    <n v="0"/>
    <n v="0"/>
    <n v="0"/>
    <n v="0"/>
    <n v="0"/>
    <n v="0"/>
    <n v="0"/>
    <n v="0"/>
  </r>
  <r>
    <d v="2025-08-01T00:00:00"/>
    <n v="2025"/>
    <x v="27"/>
    <s v="R"/>
    <s v="RS"/>
    <x v="10"/>
    <s v="LAS"/>
    <s v="H"/>
    <n v="3"/>
    <n v="2"/>
    <n v="1"/>
    <n v="-1"/>
    <n v="8"/>
    <n v="-8"/>
    <n v="1549.0256660119446"/>
    <n v="1436.1764230611411"/>
    <n v="0.77298766477980752"/>
    <n v="106"/>
    <n v="108"/>
    <n v="1"/>
    <n v="-2"/>
    <n v="0"/>
    <n v="0.22033651466658402"/>
    <n v="1"/>
    <n v="71.8"/>
    <n v="71.8"/>
    <n v="-12.228789889937241"/>
    <n v="1536.7968761220075"/>
    <n v="0"/>
    <n v="1"/>
    <n v="0"/>
    <n v="0"/>
    <n v="0"/>
    <n v="0"/>
    <n v="0"/>
    <n v="0"/>
    <n v="0"/>
    <n v="0"/>
  </r>
  <r>
    <d v="2025-08-02T00:00:00"/>
    <n v="2025"/>
    <x v="29"/>
    <s v="R"/>
    <s v="RS"/>
    <x v="0"/>
    <s v="LVA"/>
    <s v="A"/>
    <n v="2"/>
    <n v="3"/>
    <n v="-1"/>
    <n v="1"/>
    <n v="-8"/>
    <n v="8"/>
    <n v="1657.7537047946878"/>
    <n v="1553.4130714349712"/>
    <n v="0.50624634856158623"/>
    <n v="111"/>
    <n v="58"/>
    <n v="0"/>
    <n v="53"/>
    <n v="1"/>
    <n v="0.8763261517765546"/>
    <n v="1"/>
    <n v="71.5"/>
    <n v="71.5"/>
    <n v="30.93728046628129"/>
    <n v="1688.690985260969"/>
    <n v="1"/>
    <n v="0"/>
    <n v="0"/>
    <n v="0"/>
    <n v="0"/>
    <n v="0"/>
    <n v="0"/>
    <n v="0"/>
    <n v="0"/>
    <n v="0"/>
  </r>
  <r>
    <d v="2025-08-02T00:00:00"/>
    <n v="2025"/>
    <x v="27"/>
    <s v="R"/>
    <s v="RS"/>
    <x v="8"/>
    <s v="MIN"/>
    <s v="H"/>
    <n v="3"/>
    <n v="2"/>
    <n v="1"/>
    <n v="-1"/>
    <n v="8"/>
    <n v="-8"/>
    <n v="1553.4130714349712"/>
    <n v="1657.7537047946878"/>
    <n v="0.49375365143841382"/>
    <n v="58"/>
    <n v="111"/>
    <n v="0"/>
    <n v="-53"/>
    <n v="0"/>
    <n v="0.8763261517765546"/>
    <n v="1"/>
    <n v="71.8"/>
    <n v="71.8"/>
    <n v="-31.067087237468485"/>
    <n v="1522.3459841975027"/>
    <n v="0"/>
    <n v="1"/>
    <n v="0"/>
    <n v="0"/>
    <n v="0"/>
    <n v="0"/>
    <n v="0"/>
    <n v="0"/>
    <n v="0"/>
    <n v="0"/>
  </r>
  <r>
    <d v="2025-08-03T00:00:00"/>
    <n v="2025"/>
    <x v="27"/>
    <s v="R"/>
    <s v="RS"/>
    <x v="5"/>
    <s v="ATL"/>
    <s v="A"/>
    <n v="2"/>
    <n v="1"/>
    <n v="1"/>
    <n v="-1"/>
    <n v="8"/>
    <n v="-8"/>
    <n v="1457.3828258727367"/>
    <n v="1574.8827732349937"/>
    <n v="0.25581720814699188"/>
    <n v="83"/>
    <n v="99"/>
    <n v="0"/>
    <n v="-16"/>
    <n v="0"/>
    <n v="0.47160779017870508"/>
    <n v="1"/>
    <n v="71.8"/>
    <n v="71.8"/>
    <n v="-8.662338874475207"/>
    <n v="1448.7204869982615"/>
    <n v="0"/>
    <n v="1"/>
    <n v="0"/>
    <n v="0"/>
    <n v="0"/>
    <n v="0"/>
    <n v="0"/>
    <n v="0"/>
    <n v="0"/>
    <n v="0"/>
  </r>
  <r>
    <d v="2025-08-03T00:00:00"/>
    <n v="2025"/>
    <x v="28"/>
    <s v="R"/>
    <s v="RS"/>
    <x v="4"/>
    <s v="WAS"/>
    <s v="H"/>
    <n v="1"/>
    <n v="2"/>
    <n v="-1"/>
    <n v="1"/>
    <n v="-8"/>
    <n v="8"/>
    <n v="1574.8827732349937"/>
    <n v="1457.3828258727367"/>
    <n v="0.74418279185300806"/>
    <n v="99"/>
    <n v="83"/>
    <n v="0"/>
    <n v="16"/>
    <n v="1"/>
    <n v="0.47160779017870508"/>
    <n v="1"/>
    <n v="71.650000000000006"/>
    <n v="71.650000000000006"/>
    <n v="8.6442420662416257"/>
    <n v="1583.5270153012352"/>
    <n v="1"/>
    <n v="0"/>
    <n v="0"/>
    <n v="0"/>
    <n v="0"/>
    <n v="0"/>
    <n v="0"/>
    <n v="0"/>
    <n v="0"/>
    <n v="0"/>
  </r>
  <r>
    <d v="2025-08-03T00:00:00"/>
    <n v="2025"/>
    <x v="27"/>
    <s v="R"/>
    <s v="RS"/>
    <x v="11"/>
    <s v="CHI"/>
    <s v="A"/>
    <n v="1"/>
    <n v="1"/>
    <n v="0"/>
    <n v="0"/>
    <n v="0"/>
    <n v="0"/>
    <n v="1527.2392175480845"/>
    <n v="1323.1981649758643"/>
    <n v="0.6661919790086851"/>
    <n v="83"/>
    <n v="67"/>
    <n v="0"/>
    <n v="16"/>
    <n v="1"/>
    <n v="0.44253922461723322"/>
    <n v="1"/>
    <n v="71.8"/>
    <n v="71.8"/>
    <n v="10.606521651640589"/>
    <n v="1537.8457391997251"/>
    <n v="1"/>
    <n v="0"/>
    <n v="0"/>
    <n v="0"/>
    <n v="0"/>
    <n v="0"/>
    <n v="0"/>
    <n v="0"/>
    <n v="0"/>
    <n v="0"/>
  </r>
  <r>
    <d v="2025-08-03T00:00:00"/>
    <n v="2025"/>
    <x v="27"/>
    <s v="R"/>
    <s v="RS"/>
    <x v="6"/>
    <s v="PHX"/>
    <s v="H"/>
    <n v="1"/>
    <n v="1"/>
    <n v="0"/>
    <n v="0"/>
    <n v="0"/>
    <n v="0"/>
    <n v="1323.1981649758643"/>
    <n v="1527.2392175480845"/>
    <n v="0.33380802099131496"/>
    <n v="67"/>
    <n v="83"/>
    <n v="0"/>
    <n v="-16"/>
    <n v="0"/>
    <n v="0.44253922461723322"/>
    <n v="1"/>
    <n v="71.8"/>
    <n v="71.8"/>
    <n v="-10.606521651640591"/>
    <n v="1312.5916433242237"/>
    <n v="0"/>
    <n v="1"/>
    <n v="0"/>
    <n v="0"/>
    <n v="0"/>
    <n v="0"/>
    <n v="0"/>
    <n v="0"/>
    <n v="0"/>
    <n v="0"/>
  </r>
  <r>
    <d v="2025-08-03T00:00:00"/>
    <n v="2025"/>
    <x v="27"/>
    <s v="R"/>
    <s v="RS"/>
    <x v="9"/>
    <s v="CON"/>
    <s v="A"/>
    <n v="1"/>
    <n v="1"/>
    <n v="0"/>
    <n v="0"/>
    <n v="0"/>
    <n v="0"/>
    <n v="1586.1364320606162"/>
    <n v="1364.1982025149889"/>
    <n v="0.68869733995576532"/>
    <n v="87"/>
    <n v="78"/>
    <n v="0"/>
    <n v="9"/>
    <n v="1"/>
    <n v="0.34260688857937421"/>
    <n v="1"/>
    <n v="71.8"/>
    <n v="71.8"/>
    <n v="7.6577884878722822"/>
    <n v="1593.7942205484885"/>
    <n v="1"/>
    <n v="0"/>
    <n v="0"/>
    <n v="0"/>
    <n v="0"/>
    <n v="0"/>
    <n v="0"/>
    <n v="0"/>
    <n v="0"/>
    <n v="0"/>
  </r>
  <r>
    <d v="2025-08-03T00:00:00"/>
    <n v="2025"/>
    <x v="26"/>
    <s v="R"/>
    <s v="RS"/>
    <x v="12"/>
    <s v="NYL"/>
    <s v="H"/>
    <n v="1"/>
    <n v="1"/>
    <n v="0"/>
    <n v="0"/>
    <n v="0"/>
    <n v="0"/>
    <n v="1364.1982025149889"/>
    <n v="1586.1364320606162"/>
    <n v="0.31130266004423468"/>
    <n v="78"/>
    <n v="87"/>
    <n v="0"/>
    <n v="-9"/>
    <n v="0"/>
    <n v="0.34260688857937421"/>
    <n v="1"/>
    <n v="71.95"/>
    <n v="71.95"/>
    <n v="-7.6737866532369186"/>
    <n v="1356.524415861752"/>
    <n v="0"/>
    <n v="1"/>
    <n v="0"/>
    <n v="0"/>
    <n v="0"/>
    <n v="0"/>
    <n v="0"/>
    <n v="0"/>
    <n v="0"/>
    <n v="0"/>
  </r>
  <r>
    <d v="2025-08-03T00:00:00"/>
    <n v="2025"/>
    <x v="27"/>
    <s v="R"/>
    <s v="RS"/>
    <x v="3"/>
    <s v="LVA"/>
    <s v="A"/>
    <n v="1"/>
    <n v="0"/>
    <n v="1"/>
    <n v="-1"/>
    <n v="8"/>
    <n v="-8"/>
    <n v="1525.8969569598044"/>
    <n v="1522.3459841975027"/>
    <n v="0.40829978931285255"/>
    <n v="77"/>
    <n v="101"/>
    <n v="0"/>
    <n v="-24"/>
    <n v="0"/>
    <n v="0.62657680015576744"/>
    <n v="1"/>
    <n v="71.8"/>
    <n v="71.8"/>
    <n v="-18.36867840031994"/>
    <n v="1507.5282785594843"/>
    <n v="0"/>
    <n v="1"/>
    <n v="0"/>
    <n v="0"/>
    <n v="0"/>
    <n v="0"/>
    <n v="0"/>
    <n v="0"/>
    <n v="0"/>
    <n v="0"/>
  </r>
  <r>
    <d v="2025-08-03T00:00:00"/>
    <n v="2025"/>
    <x v="28"/>
    <s v="R"/>
    <s v="RS"/>
    <x v="8"/>
    <s v="GSV"/>
    <s v="H"/>
    <n v="0"/>
    <n v="1"/>
    <n v="-1"/>
    <n v="1"/>
    <n v="-8"/>
    <n v="8"/>
    <n v="1522.3459841975027"/>
    <n v="1525.8969569598044"/>
    <n v="0.59170021068714751"/>
    <n v="101"/>
    <n v="77"/>
    <n v="0"/>
    <n v="24"/>
    <n v="1"/>
    <n v="0.62657680015576744"/>
    <n v="1"/>
    <n v="71.650000000000006"/>
    <n v="71.650000000000006"/>
    <n v="18.330303723996149"/>
    <n v="1540.6762879214989"/>
    <n v="1"/>
    <n v="0"/>
    <n v="0"/>
    <n v="0"/>
    <n v="0"/>
    <n v="0"/>
    <n v="0"/>
    <n v="0"/>
    <n v="0"/>
    <n v="0"/>
  </r>
  <r>
    <d v="2025-08-03T00:00:00"/>
    <n v="2025"/>
    <x v="29"/>
    <s v="R"/>
    <s v="RS"/>
    <x v="7"/>
    <s v="SEA"/>
    <s v="A"/>
    <n v="1"/>
    <n v="1"/>
    <n v="0"/>
    <n v="0"/>
    <n v="0"/>
    <n v="0"/>
    <n v="1573.2274190888504"/>
    <n v="1536.7968761220075"/>
    <n v="0.43196663502750277"/>
    <n v="78"/>
    <n v="74"/>
    <n v="0"/>
    <n v="4"/>
    <n v="1"/>
    <n v="0.30225659177579633"/>
    <n v="1"/>
    <n v="71.5"/>
    <n v="71.5"/>
    <n v="12.275965767173968"/>
    <n v="1585.5033848560245"/>
    <n v="1"/>
    <n v="0"/>
    <n v="0"/>
    <n v="0"/>
    <n v="0"/>
    <n v="0"/>
    <n v="0"/>
    <n v="0"/>
    <n v="0"/>
    <n v="0"/>
  </r>
  <r>
    <d v="2025-08-03T00:00:00"/>
    <n v="2025"/>
    <x v="28"/>
    <s v="R"/>
    <s v="RS"/>
    <x v="10"/>
    <s v="IND"/>
    <s v="H"/>
    <n v="1"/>
    <n v="1"/>
    <n v="0"/>
    <n v="0"/>
    <n v="0"/>
    <n v="0"/>
    <n v="1536.7968761220075"/>
    <n v="1573.2274190888504"/>
    <n v="0.56803336497249712"/>
    <n v="74"/>
    <n v="78"/>
    <n v="0"/>
    <n v="-4"/>
    <n v="0"/>
    <n v="0.30225659177579633"/>
    <n v="1"/>
    <n v="71.650000000000006"/>
    <n v="71.650000000000006"/>
    <n v="-12.301719541510696"/>
    <n v="1524.4951565804968"/>
    <n v="0"/>
    <n v="1"/>
    <n v="0"/>
    <n v="0"/>
    <n v="0"/>
    <n v="0"/>
    <n v="0"/>
    <n v="0"/>
    <n v="0"/>
    <n v="0"/>
  </r>
  <r>
    <d v="2025-08-05T00:00:00"/>
    <n v="2025"/>
    <x v="28"/>
    <s v="R"/>
    <s v="RS"/>
    <x v="5"/>
    <s v="CHI"/>
    <s v="A"/>
    <n v="1"/>
    <n v="1"/>
    <n v="0"/>
    <n v="0"/>
    <n v="0"/>
    <n v="0"/>
    <n v="1448.7204869982615"/>
    <n v="1312.5916433242237"/>
    <n v="0.5744615223324091"/>
    <n v="64"/>
    <n v="78"/>
    <n v="0"/>
    <n v="-14"/>
    <n v="0"/>
    <n v="0.43792911665012285"/>
    <n v="1"/>
    <n v="71.650000000000006"/>
    <n v="71.650000000000006"/>
    <n v="-18.025236046306627"/>
    <n v="1430.6952509519549"/>
    <n v="0"/>
    <n v="1"/>
    <n v="0"/>
    <n v="0"/>
    <n v="0"/>
    <n v="0"/>
    <n v="0"/>
    <n v="0"/>
    <n v="0"/>
    <n v="0"/>
  </r>
  <r>
    <d v="2025-08-05T00:00:00"/>
    <n v="2025"/>
    <x v="28"/>
    <s v="R"/>
    <s v="RS"/>
    <x v="6"/>
    <s v="WAS"/>
    <s v="H"/>
    <n v="1"/>
    <n v="1"/>
    <n v="0"/>
    <n v="0"/>
    <n v="0"/>
    <n v="0"/>
    <n v="1312.5916433242237"/>
    <n v="1448.7204869982615"/>
    <n v="0.42553847766759084"/>
    <n v="78"/>
    <n v="64"/>
    <n v="0"/>
    <n v="14"/>
    <n v="1"/>
    <n v="0.43792911665012285"/>
    <n v="1"/>
    <n v="71.650000000000006"/>
    <n v="71.650000000000006"/>
    <n v="18.025236046306631"/>
    <n v="1330.6168793705303"/>
    <n v="1"/>
    <n v="0"/>
    <n v="0"/>
    <n v="0"/>
    <n v="0"/>
    <n v="0"/>
    <n v="0"/>
    <n v="0"/>
    <n v="0"/>
    <n v="0"/>
  </r>
  <r>
    <d v="2025-08-05T00:00:00"/>
    <n v="2025"/>
    <x v="30"/>
    <s v="R"/>
    <s v="RS"/>
    <x v="7"/>
    <s v="LAS"/>
    <s v="A"/>
    <n v="1"/>
    <n v="3"/>
    <n v="-2"/>
    <n v="2"/>
    <n v="-16"/>
    <n v="16"/>
    <n v="1585.5033848560245"/>
    <n v="1448.4307605622691"/>
    <n v="0.53028881254863414"/>
    <n v="91"/>
    <n v="100"/>
    <n v="0"/>
    <n v="-9"/>
    <n v="0"/>
    <n v="0.36435255925908544"/>
    <n v="1"/>
    <n v="71.349999999999994"/>
    <n v="71.349999999999994"/>
    <n v="-13.785682335996988"/>
    <n v="1571.7177025200274"/>
    <n v="0"/>
    <n v="1"/>
    <n v="0"/>
    <n v="0"/>
    <n v="0"/>
    <n v="0"/>
    <n v="0"/>
    <n v="0"/>
    <n v="0"/>
    <n v="0"/>
  </r>
  <r>
    <d v="2025-08-05T00:00:00"/>
    <n v="2025"/>
    <x v="27"/>
    <s v="R"/>
    <s v="RS"/>
    <x v="2"/>
    <s v="IND"/>
    <s v="H"/>
    <n v="3"/>
    <n v="1"/>
    <n v="2"/>
    <n v="-2"/>
    <n v="16"/>
    <n v="-16"/>
    <n v="1448.4307605622691"/>
    <n v="1585.5033848560245"/>
    <n v="0.46971118745136586"/>
    <n v="100"/>
    <n v="91"/>
    <n v="0"/>
    <n v="9"/>
    <n v="1"/>
    <n v="0.36435255925908544"/>
    <n v="1"/>
    <n v="71.8"/>
    <n v="71.8"/>
    <n v="13.87262777469634"/>
    <n v="1462.3033883369656"/>
    <n v="1"/>
    <n v="0"/>
    <n v="0"/>
    <n v="0"/>
    <n v="0"/>
    <n v="0"/>
    <n v="0"/>
    <n v="0"/>
    <n v="0"/>
    <n v="0"/>
  </r>
  <r>
    <d v="2025-08-05T00:00:00"/>
    <n v="2025"/>
    <x v="29"/>
    <s v="R"/>
    <s v="RS"/>
    <x v="1"/>
    <s v="NYL"/>
    <s v="A"/>
    <n v="3"/>
    <n v="1"/>
    <n v="2"/>
    <n v="-2"/>
    <n v="16"/>
    <n v="-16"/>
    <n v="1370.1866535640954"/>
    <n v="1593.7942205484885"/>
    <n v="0.16987341091555985"/>
    <n v="76"/>
    <n v="85"/>
    <n v="0"/>
    <n v="-9"/>
    <n v="0"/>
    <n v="0.3422051440824016"/>
    <n v="1"/>
    <n v="71.5"/>
    <n v="71.5"/>
    <n v="-4.1564061866561639"/>
    <n v="1366.0302473774393"/>
    <n v="0"/>
    <n v="1"/>
    <n v="0"/>
    <n v="0"/>
    <n v="0"/>
    <n v="0"/>
    <n v="0"/>
    <n v="0"/>
    <n v="0"/>
    <n v="0"/>
  </r>
  <r>
    <d v="2025-08-05T00:00:00"/>
    <n v="2025"/>
    <x v="28"/>
    <s v="R"/>
    <s v="RS"/>
    <x v="9"/>
    <s v="DAL"/>
    <s v="H"/>
    <n v="1"/>
    <n v="3"/>
    <n v="-2"/>
    <n v="2"/>
    <n v="-16"/>
    <n v="16"/>
    <n v="1593.7942205484885"/>
    <n v="1370.1866535640954"/>
    <n v="0.83012658908444015"/>
    <n v="85"/>
    <n v="76"/>
    <n v="0"/>
    <n v="9"/>
    <n v="1"/>
    <n v="0.3422051440824016"/>
    <n v="1"/>
    <n v="71.650000000000006"/>
    <n v="71.650000000000006"/>
    <n v="4.1651259199148845"/>
    <n v="1597.9593464684033"/>
    <n v="1"/>
    <n v="0"/>
    <n v="0"/>
    <n v="0"/>
    <n v="0"/>
    <n v="0"/>
    <n v="0"/>
    <n v="0"/>
    <n v="0"/>
    <n v="0"/>
  </r>
  <r>
    <d v="2025-08-05T00:00:00"/>
    <n v="2025"/>
    <x v="27"/>
    <s v="R"/>
    <s v="RS"/>
    <x v="12"/>
    <s v="PHX"/>
    <s v="A"/>
    <n v="1"/>
    <n v="1"/>
    <n v="0"/>
    <n v="0"/>
    <n v="0"/>
    <n v="0"/>
    <n v="1356.524415861752"/>
    <n v="1537.8457391997251"/>
    <n v="0.17838726730696763"/>
    <n v="66"/>
    <n v="82"/>
    <n v="0"/>
    <n v="-16"/>
    <n v="0"/>
    <n v="0.44981803164711437"/>
    <n v="1"/>
    <n v="71.8"/>
    <n v="71.8"/>
    <n v="-5.7613619185766165"/>
    <n v="1350.7630539431755"/>
    <n v="0"/>
    <n v="1"/>
    <n v="0"/>
    <n v="0"/>
    <n v="0"/>
    <n v="0"/>
    <n v="0"/>
    <n v="0"/>
    <n v="0"/>
    <n v="0"/>
  </r>
  <r>
    <d v="2025-08-05T00:00:00"/>
    <n v="2025"/>
    <x v="28"/>
    <s v="R"/>
    <s v="RS"/>
    <x v="11"/>
    <s v="CON"/>
    <s v="H"/>
    <n v="1"/>
    <n v="1"/>
    <n v="0"/>
    <n v="0"/>
    <n v="0"/>
    <n v="0"/>
    <n v="1537.8457391997251"/>
    <n v="1356.524415861752"/>
    <n v="0.82161273269303237"/>
    <n v="82"/>
    <n v="66"/>
    <n v="0"/>
    <n v="16"/>
    <n v="1"/>
    <n v="0.44981803164711437"/>
    <n v="1"/>
    <n v="71.650000000000006"/>
    <n v="71.650000000000006"/>
    <n v="5.7493256471589786"/>
    <n v="1543.595064846884"/>
    <n v="1"/>
    <n v="0"/>
    <n v="0"/>
    <n v="0"/>
    <n v="0"/>
    <n v="0"/>
    <n v="0"/>
    <n v="0"/>
    <n v="0"/>
    <n v="0"/>
  </r>
  <r>
    <d v="2025-08-05T00:00:00"/>
    <n v="2025"/>
    <x v="30"/>
    <s v="R"/>
    <s v="RS"/>
    <x v="0"/>
    <s v="SEA"/>
    <s v="A"/>
    <n v="2"/>
    <n v="1"/>
    <n v="1"/>
    <n v="-1"/>
    <n v="8"/>
    <n v="-8"/>
    <n v="1688.690985260969"/>
    <n v="1524.4951565804968"/>
    <n v="0.63500464881666718"/>
    <n v="91"/>
    <n v="87"/>
    <n v="0"/>
    <n v="4"/>
    <n v="1"/>
    <n v="0.27394841270416265"/>
    <n v="1"/>
    <n v="71.349999999999994"/>
    <n v="71.349999999999994"/>
    <n v="7.1342791581615179"/>
    <n v="1695.8252644191305"/>
    <n v="1"/>
    <n v="0"/>
    <n v="0"/>
    <n v="0"/>
    <n v="0"/>
    <n v="0"/>
    <n v="0"/>
    <n v="0"/>
    <n v="0"/>
    <n v="0"/>
  </r>
  <r>
    <d v="2025-08-05T00:00:00"/>
    <n v="2025"/>
    <x v="29"/>
    <s v="R"/>
    <s v="RS"/>
    <x v="10"/>
    <s v="MIN"/>
    <s v="H"/>
    <n v="1"/>
    <n v="2"/>
    <n v="-1"/>
    <n v="1"/>
    <n v="-8"/>
    <n v="8"/>
    <n v="1524.4951565804968"/>
    <n v="1688.690985260969"/>
    <n v="0.36499535118333276"/>
    <n v="87"/>
    <n v="91"/>
    <n v="0"/>
    <n v="-4"/>
    <n v="0"/>
    <n v="0.27394841270416265"/>
    <n v="1"/>
    <n v="71.5"/>
    <n v="71.5"/>
    <n v="-7.1492776427266778"/>
    <n v="1517.3458789377701"/>
    <n v="0"/>
    <n v="1"/>
    <n v="0"/>
    <n v="0"/>
    <n v="0"/>
    <n v="0"/>
    <n v="0"/>
    <n v="0"/>
    <n v="0"/>
    <n v="0"/>
  </r>
  <r>
    <d v="2025-08-06T00:00:00"/>
    <n v="2025"/>
    <x v="29"/>
    <s v="R"/>
    <s v="RS"/>
    <x v="8"/>
    <s v="GSV"/>
    <s v="A"/>
    <n v="2"/>
    <n v="2"/>
    <n v="0"/>
    <n v="0"/>
    <n v="0"/>
    <n v="0"/>
    <n v="1540.6762879214989"/>
    <n v="1507.5282785594843"/>
    <n v="0.42733623964567818"/>
    <n v="78"/>
    <n v="72"/>
    <n v="0"/>
    <n v="6"/>
    <n v="1"/>
    <n v="0.34183805196853678"/>
    <n v="1"/>
    <n v="71.5"/>
    <n v="71.5"/>
    <n v="13.996715895483634"/>
    <n v="1554.6730038169826"/>
    <n v="1"/>
    <n v="0"/>
    <n v="0"/>
    <n v="0"/>
    <n v="0"/>
    <n v="0"/>
    <n v="0"/>
    <n v="0"/>
    <n v="0"/>
    <n v="0"/>
  </r>
  <r>
    <d v="2025-08-06T00:00:00"/>
    <n v="2025"/>
    <x v="28"/>
    <s v="R"/>
    <s v="RS"/>
    <x v="3"/>
    <s v="LVA"/>
    <s v="H"/>
    <n v="2"/>
    <n v="2"/>
    <n v="0"/>
    <n v="0"/>
    <n v="0"/>
    <n v="0"/>
    <n v="1507.5282785594843"/>
    <n v="1540.6762879214989"/>
    <n v="0.57266376035432176"/>
    <n v="72"/>
    <n v="78"/>
    <n v="0"/>
    <n v="-6"/>
    <n v="0"/>
    <n v="0.34183805196853678"/>
    <n v="1"/>
    <n v="71.650000000000006"/>
    <n v="71.650000000000006"/>
    <n v="-14.026079635124507"/>
    <n v="1493.5021989243598"/>
    <n v="0"/>
    <n v="1"/>
    <n v="0"/>
    <n v="0"/>
    <n v="0"/>
    <n v="0"/>
    <n v="0"/>
    <n v="0"/>
    <n v="0"/>
    <n v="0"/>
  </r>
  <r>
    <d v="2025-08-07T00:00:00"/>
    <n v="2025"/>
    <x v="29"/>
    <s v="R"/>
    <s v="RS"/>
    <x v="4"/>
    <s v="CHI"/>
    <s v="A"/>
    <n v="3"/>
    <n v="1"/>
    <n v="2"/>
    <n v="-2"/>
    <n v="16"/>
    <n v="-16"/>
    <n v="1583.5270153012352"/>
    <n v="1330.6168793705303"/>
    <n v="0.76070193739395064"/>
    <n v="86"/>
    <n v="65"/>
    <n v="0"/>
    <n v="21"/>
    <n v="1"/>
    <n v="0.48612197675422542"/>
    <n v="1"/>
    <n v="71.5"/>
    <n v="71.5"/>
    <n v="8.3174553767669011"/>
    <n v="1591.8444706780022"/>
    <n v="1"/>
    <n v="0"/>
    <n v="0"/>
    <n v="0"/>
    <n v="0"/>
    <n v="0"/>
    <n v="0"/>
    <n v="0"/>
    <n v="0"/>
    <n v="0"/>
  </r>
  <r>
    <d v="2025-08-07T00:00:00"/>
    <n v="2025"/>
    <x v="29"/>
    <s v="R"/>
    <s v="RS"/>
    <x v="6"/>
    <s v="ATL"/>
    <s v="H"/>
    <n v="1"/>
    <n v="3"/>
    <n v="-2"/>
    <n v="2"/>
    <n v="-16"/>
    <n v="16"/>
    <n v="1330.6168793705303"/>
    <n v="1583.5270153012352"/>
    <n v="0.23929806260604936"/>
    <n v="65"/>
    <n v="86"/>
    <n v="0"/>
    <n v="-21"/>
    <n v="0"/>
    <n v="0.48612197675422542"/>
    <n v="1"/>
    <n v="71.5"/>
    <n v="71.5"/>
    <n v="-8.3174553767669011"/>
    <n v="1322.2994239937634"/>
    <n v="0"/>
    <n v="1"/>
    <n v="0"/>
    <n v="0"/>
    <n v="0"/>
    <n v="0"/>
    <n v="0"/>
    <n v="0"/>
    <n v="0"/>
    <n v="0"/>
  </r>
  <r>
    <d v="2025-08-07T00:00:00"/>
    <n v="2025"/>
    <x v="28"/>
    <s v="R"/>
    <s v="RS"/>
    <x v="12"/>
    <s v="LAS"/>
    <s v="A"/>
    <n v="1"/>
    <n v="1"/>
    <n v="0"/>
    <n v="0"/>
    <n v="0"/>
    <n v="0"/>
    <n v="1350.7630539431755"/>
    <n v="1462.3033883369656"/>
    <n v="0.24497020009977247"/>
    <n v="91"/>
    <n v="102"/>
    <n v="0"/>
    <n v="-11"/>
    <n v="0"/>
    <n v="0.40242999049900718"/>
    <n v="1"/>
    <n v="71.650000000000006"/>
    <n v="71.650000000000006"/>
    <n v="-7.0634974071512335"/>
    <n v="1343.6995565360241"/>
    <n v="0"/>
    <n v="1"/>
    <n v="0"/>
    <n v="0"/>
    <n v="0"/>
    <n v="0"/>
    <n v="0"/>
    <n v="0"/>
    <n v="0"/>
    <n v="0"/>
  </r>
  <r>
    <d v="2025-08-07T00:00:00"/>
    <n v="2025"/>
    <x v="28"/>
    <s v="R"/>
    <s v="RS"/>
    <x v="2"/>
    <s v="CON"/>
    <s v="H"/>
    <n v="1"/>
    <n v="1"/>
    <n v="0"/>
    <n v="0"/>
    <n v="0"/>
    <n v="0"/>
    <n v="1462.3033883369656"/>
    <n v="1350.7630539431755"/>
    <n v="0.75502979990022756"/>
    <n v="102"/>
    <n v="91"/>
    <n v="0"/>
    <n v="11"/>
    <n v="1"/>
    <n v="0.40242999049900718"/>
    <n v="1"/>
    <n v="71.650000000000006"/>
    <n v="71.650000000000006"/>
    <n v="7.0634974071512326"/>
    <n v="1469.3668857441169"/>
    <n v="1"/>
    <n v="0"/>
    <n v="0"/>
    <n v="0"/>
    <n v="0"/>
    <n v="0"/>
    <n v="0"/>
    <n v="0"/>
    <n v="0"/>
    <n v="0"/>
  </r>
  <r>
    <d v="2025-08-07T00:00:00"/>
    <n v="2025"/>
    <x v="31"/>
    <s v="R"/>
    <s v="RS"/>
    <x v="7"/>
    <s v="PHX"/>
    <s v="A"/>
    <n v="1"/>
    <n v="1"/>
    <n v="0"/>
    <n v="0"/>
    <n v="0"/>
    <n v="0"/>
    <n v="1571.7177025200274"/>
    <n v="1543.595064846884"/>
    <n v="0.42027223231162469"/>
    <n v="60"/>
    <n v="95"/>
    <n v="0"/>
    <n v="-35"/>
    <n v="0"/>
    <n v="0.74472212774085333"/>
    <n v="1"/>
    <n v="71.2"/>
    <n v="71.2"/>
    <n v="-22.284605412718808"/>
    <n v="1549.4330971073086"/>
    <n v="0"/>
    <n v="1"/>
    <n v="0"/>
    <n v="0"/>
    <n v="0"/>
    <n v="0"/>
    <n v="0"/>
    <n v="0"/>
    <n v="0"/>
    <n v="0"/>
  </r>
  <r>
    <d v="2025-08-07T00:00:00"/>
    <n v="2025"/>
    <x v="29"/>
    <s v="R"/>
    <s v="RS"/>
    <x v="11"/>
    <s v="IND"/>
    <s v="H"/>
    <n v="1"/>
    <n v="1"/>
    <n v="0"/>
    <n v="0"/>
    <n v="0"/>
    <n v="0"/>
    <n v="1543.595064846884"/>
    <n v="1571.7177025200274"/>
    <n v="0.57972776768837531"/>
    <n v="95"/>
    <n v="60"/>
    <n v="0"/>
    <n v="35"/>
    <n v="1"/>
    <n v="0.74472212774085333"/>
    <n v="1"/>
    <n v="71.5"/>
    <n v="71.5"/>
    <n v="22.378501222042061"/>
    <n v="1565.9735660689262"/>
    <n v="1"/>
    <n v="0"/>
    <n v="0"/>
    <n v="0"/>
    <n v="0"/>
    <n v="0"/>
    <n v="0"/>
    <n v="0"/>
    <n v="0"/>
    <n v="0"/>
  </r>
  <r>
    <d v="2025-08-08T00:00:00"/>
    <n v="2025"/>
    <x v="29"/>
    <s v="R"/>
    <s v="RS"/>
    <x v="9"/>
    <s v="DAL"/>
    <s v="A"/>
    <n v="2"/>
    <n v="2"/>
    <n v="0"/>
    <n v="0"/>
    <n v="0"/>
    <n v="0"/>
    <n v="1597.9593464684033"/>
    <n v="1366.0302473774393"/>
    <n v="0.70089184247637371"/>
    <n v="88"/>
    <n v="77"/>
    <n v="0"/>
    <n v="11"/>
    <n v="1"/>
    <n v="0.36859587855587589"/>
    <n v="1"/>
    <n v="71.5"/>
    <n v="71.5"/>
    <n v="7.8828774385539999"/>
    <n v="1605.8422239069573"/>
    <n v="1"/>
    <n v="0"/>
    <n v="0"/>
    <n v="0"/>
    <n v="0"/>
    <n v="0"/>
    <n v="0"/>
    <n v="0"/>
    <n v="0"/>
    <n v="0"/>
  </r>
  <r>
    <d v="2025-08-08T00:00:00"/>
    <n v="2025"/>
    <x v="30"/>
    <s v="R"/>
    <s v="RS"/>
    <x v="1"/>
    <s v="NYL"/>
    <s v="H"/>
    <n v="2"/>
    <n v="2"/>
    <n v="0"/>
    <n v="0"/>
    <n v="0"/>
    <n v="0"/>
    <n v="1366.0302473774393"/>
    <n v="1597.9593464684033"/>
    <n v="0.29910815752362629"/>
    <n v="77"/>
    <n v="88"/>
    <n v="0"/>
    <n v="-11"/>
    <n v="0"/>
    <n v="0.36859587855587589"/>
    <n v="1"/>
    <n v="71.349999999999994"/>
    <n v="71.349999999999994"/>
    <n v="-7.8663399334381525"/>
    <n v="1358.1639074440011"/>
    <n v="0"/>
    <n v="1"/>
    <n v="0"/>
    <n v="0"/>
    <n v="0"/>
    <n v="0"/>
    <n v="0"/>
    <n v="0"/>
    <n v="0"/>
    <n v="0"/>
  </r>
  <r>
    <d v="2025-08-08T00:00:00"/>
    <n v="2025"/>
    <x v="30"/>
    <s v="R"/>
    <s v="RS"/>
    <x v="10"/>
    <s v="LVA"/>
    <s v="A"/>
    <n v="2"/>
    <n v="1"/>
    <n v="1"/>
    <n v="-1"/>
    <n v="8"/>
    <n v="-8"/>
    <n v="1517.3458789377701"/>
    <n v="1554.6730038169826"/>
    <n v="0.3529010144502131"/>
    <n v="86"/>
    <n v="90"/>
    <n v="0"/>
    <n v="-4"/>
    <n v="0"/>
    <n v="0.30203757306390383"/>
    <n v="1"/>
    <n v="71.349999999999994"/>
    <n v="71.349999999999994"/>
    <n v="-7.6051512595572888"/>
    <n v="1509.7407276782128"/>
    <n v="0"/>
    <n v="1"/>
    <n v="0"/>
    <n v="0"/>
    <n v="0"/>
    <n v="0"/>
    <n v="0"/>
    <n v="0"/>
    <n v="0"/>
    <n v="0"/>
  </r>
  <r>
    <d v="2025-08-08T00:00:00"/>
    <n v="2025"/>
    <x v="30"/>
    <s v="R"/>
    <s v="RS"/>
    <x v="8"/>
    <s v="SEA"/>
    <s v="H"/>
    <n v="1"/>
    <n v="2"/>
    <n v="-1"/>
    <n v="1"/>
    <n v="-8"/>
    <n v="8"/>
    <n v="1554.6730038169826"/>
    <n v="1517.3458789377701"/>
    <n v="0.64709898554978695"/>
    <n v="90"/>
    <n v="86"/>
    <n v="0"/>
    <n v="4"/>
    <n v="1"/>
    <n v="0.30203757306390383"/>
    <n v="1"/>
    <n v="71.349999999999994"/>
    <n v="71.349999999999994"/>
    <n v="7.6051512595572879"/>
    <n v="1562.2781550765399"/>
    <n v="1"/>
    <n v="0"/>
    <n v="0"/>
    <n v="0"/>
    <n v="0"/>
    <n v="0"/>
    <n v="0"/>
    <n v="0"/>
    <n v="0"/>
    <n v="0"/>
  </r>
  <r>
    <d v="2025-08-08T00:00:00"/>
    <n v="2025"/>
    <x v="29"/>
    <s v="R"/>
    <s v="RS"/>
    <x v="5"/>
    <s v="MIN"/>
    <s v="A"/>
    <n v="2"/>
    <n v="2"/>
    <n v="0"/>
    <n v="0"/>
    <n v="0"/>
    <n v="0"/>
    <n v="1430.6952509519549"/>
    <n v="1695.8252644191305"/>
    <n v="0.1181826216523252"/>
    <n v="76"/>
    <n v="80"/>
    <n v="0"/>
    <n v="-4"/>
    <n v="0"/>
    <n v="0.2550758488663149"/>
    <n v="1"/>
    <n v="71.5"/>
    <n v="71.5"/>
    <n v="-2.1554055765537563"/>
    <n v="1428.5398453754012"/>
    <n v="0"/>
    <n v="1"/>
    <n v="0"/>
    <n v="0"/>
    <n v="0"/>
    <n v="0"/>
    <n v="0"/>
    <n v="0"/>
    <n v="0"/>
    <n v="0"/>
  </r>
  <r>
    <d v="2025-08-08T00:00:00"/>
    <n v="2025"/>
    <x v="31"/>
    <s v="R"/>
    <s v="RS"/>
    <x v="0"/>
    <s v="WAS"/>
    <s v="H"/>
    <n v="2"/>
    <n v="2"/>
    <n v="0"/>
    <n v="0"/>
    <n v="0"/>
    <n v="0"/>
    <n v="1695.8252644191305"/>
    <n v="1430.6952509519549"/>
    <n v="0.88181737834767482"/>
    <n v="80"/>
    <n v="76"/>
    <n v="0"/>
    <n v="4"/>
    <n v="1"/>
    <n v="0.2550758488663149"/>
    <n v="1"/>
    <n v="71.2"/>
    <n v="71.2"/>
    <n v="2.1463619167919923"/>
    <n v="1697.9716263359226"/>
    <n v="1"/>
    <n v="0"/>
    <n v="0"/>
    <n v="0"/>
    <n v="0"/>
    <n v="0"/>
    <n v="0"/>
    <n v="0"/>
    <n v="0"/>
    <n v="0"/>
  </r>
  <r>
    <d v="2025-08-09T00:00:00"/>
    <n v="2025"/>
    <x v="29"/>
    <s v="R"/>
    <s v="RS"/>
    <x v="2"/>
    <s v="GSV"/>
    <s v="A"/>
    <n v="1"/>
    <n v="2"/>
    <n v="-1"/>
    <n v="1"/>
    <n v="-8"/>
    <n v="8"/>
    <n v="1469.3668857441169"/>
    <n v="1493.5021989243598"/>
    <n v="0.32858755148545943"/>
    <n v="59"/>
    <n v="72"/>
    <n v="0"/>
    <n v="-13"/>
    <n v="0"/>
    <n v="0.46273684018258199"/>
    <n v="1"/>
    <n v="71.5"/>
    <n v="71.5"/>
    <n v="-10.871543918786479"/>
    <n v="1458.4953418253303"/>
    <n v="0"/>
    <n v="1"/>
    <n v="0"/>
    <n v="0"/>
    <n v="0"/>
    <n v="0"/>
    <n v="0"/>
    <n v="0"/>
    <n v="0"/>
    <n v="0"/>
  </r>
  <r>
    <d v="2025-08-09T00:00:00"/>
    <n v="2025"/>
    <x v="29"/>
    <s v="R"/>
    <s v="RS"/>
    <x v="3"/>
    <s v="LAS"/>
    <s v="H"/>
    <n v="2"/>
    <n v="1"/>
    <n v="1"/>
    <n v="-1"/>
    <n v="8"/>
    <n v="-8"/>
    <n v="1493.5021989243598"/>
    <n v="1469.3668857441169"/>
    <n v="0.67141244851454063"/>
    <n v="72"/>
    <n v="59"/>
    <n v="0"/>
    <n v="13"/>
    <n v="1"/>
    <n v="0.46273684018258199"/>
    <n v="1"/>
    <n v="71.5"/>
    <n v="71.5"/>
    <n v="10.871543918786477"/>
    <n v="1504.3737428431464"/>
    <n v="1"/>
    <n v="0"/>
    <n v="0"/>
    <n v="0"/>
    <n v="0"/>
    <n v="0"/>
    <n v="0"/>
    <n v="0"/>
    <n v="0"/>
    <n v="0"/>
  </r>
  <r>
    <d v="2025-08-09T00:00:00"/>
    <n v="2025"/>
    <x v="30"/>
    <s v="R"/>
    <s v="RS"/>
    <x v="6"/>
    <s v="IND"/>
    <s v="A"/>
    <n v="1"/>
    <n v="1"/>
    <n v="0"/>
    <n v="0"/>
    <n v="0"/>
    <n v="0"/>
    <n v="1322.2994239937634"/>
    <n v="1549.4330971073086"/>
    <n v="0.14294656312324899"/>
    <n v="70"/>
    <n v="92"/>
    <n v="0"/>
    <n v="-22"/>
    <n v="0"/>
    <n v="0.50623667508875803"/>
    <n v="1"/>
    <n v="71.349999999999994"/>
    <n v="71.349999999999994"/>
    <n v="-5.1632279684832048"/>
    <n v="1317.1361960252802"/>
    <n v="0"/>
    <n v="1"/>
    <n v="0"/>
    <n v="0"/>
    <n v="0"/>
    <n v="0"/>
    <n v="0"/>
    <n v="0"/>
    <n v="0"/>
    <n v="0"/>
  </r>
  <r>
    <d v="2025-08-09T00:00:00"/>
    <n v="2025"/>
    <x v="32"/>
    <s v="R"/>
    <s v="RS"/>
    <x v="7"/>
    <s v="CHI"/>
    <s v="H"/>
    <n v="1"/>
    <n v="1"/>
    <n v="0"/>
    <n v="0"/>
    <n v="0"/>
    <n v="0"/>
    <n v="1549.4330971073086"/>
    <n v="1322.2994239937634"/>
    <n v="0.85705343687675106"/>
    <n v="92"/>
    <n v="70"/>
    <n v="0"/>
    <n v="22"/>
    <n v="1"/>
    <n v="0.50623667508875803"/>
    <n v="1"/>
    <n v="71.05"/>
    <n v="71.05"/>
    <n v="5.141518530633939"/>
    <n v="1554.5746156379425"/>
    <n v="1"/>
    <n v="0"/>
    <n v="0"/>
    <n v="0"/>
    <n v="0"/>
    <n v="0"/>
    <n v="0"/>
    <n v="0"/>
    <n v="0"/>
    <n v="0"/>
  </r>
  <r>
    <d v="2025-08-10T00:00:00"/>
    <n v="2025"/>
    <x v="30"/>
    <s v="R"/>
    <s v="RS"/>
    <x v="5"/>
    <s v="DAL"/>
    <s v="A"/>
    <n v="1"/>
    <n v="1"/>
    <n v="0"/>
    <n v="0"/>
    <n v="0"/>
    <n v="0"/>
    <n v="1428.5398453754012"/>
    <n v="1358.1639074440011"/>
    <n v="0.4804034419606516"/>
    <n v="91"/>
    <n v="78"/>
    <n v="0"/>
    <n v="13"/>
    <n v="1"/>
    <n v="0.44589360508458353"/>
    <n v="1"/>
    <n v="71.349999999999994"/>
    <n v="71.349999999999994"/>
    <n v="16.530709228071931"/>
    <n v="1445.0705546034731"/>
    <n v="1"/>
    <n v="0"/>
    <n v="0"/>
    <n v="0"/>
    <n v="0"/>
    <n v="0"/>
    <n v="0"/>
    <n v="0"/>
    <n v="0"/>
    <n v="0"/>
  </r>
  <r>
    <d v="2025-08-10T00:00:00"/>
    <n v="2025"/>
    <x v="31"/>
    <s v="R"/>
    <s v="RS"/>
    <x v="1"/>
    <s v="WAS"/>
    <s v="H"/>
    <n v="1"/>
    <n v="1"/>
    <n v="0"/>
    <n v="0"/>
    <n v="0"/>
    <n v="0"/>
    <n v="1358.1639074440011"/>
    <n v="1428.5398453754012"/>
    <n v="0.51959655803934846"/>
    <n v="78"/>
    <n v="91"/>
    <n v="0"/>
    <n v="-13"/>
    <n v="0"/>
    <n v="0.44589360508458353"/>
    <n v="1"/>
    <n v="71.2"/>
    <n v="71.2"/>
    <n v="-16.495956510703877"/>
    <n v="1341.6679509332971"/>
    <n v="0"/>
    <n v="1"/>
    <n v="0"/>
    <n v="0"/>
    <n v="0"/>
    <n v="0"/>
    <n v="0"/>
    <n v="0"/>
    <n v="0"/>
    <n v="0"/>
  </r>
  <r>
    <d v="2025-08-10T00:00:00"/>
    <n v="2025"/>
    <x v="31"/>
    <s v="R"/>
    <s v="RS"/>
    <x v="10"/>
    <s v="LAS"/>
    <s v="A"/>
    <n v="1"/>
    <n v="0"/>
    <n v="1"/>
    <n v="-1"/>
    <n v="8"/>
    <n v="-8"/>
    <n v="1509.7407276782128"/>
    <n v="1458.4953418253303"/>
    <n v="0.47590684550026524"/>
    <n v="91"/>
    <n v="94"/>
    <n v="0"/>
    <n v="-3"/>
    <n v="0"/>
    <n v="0.27829890863580958"/>
    <n v="1"/>
    <n v="71.2"/>
    <n v="71.2"/>
    <n v="-9.4300381269104694"/>
    <n v="1500.3106895513024"/>
    <n v="0"/>
    <n v="1"/>
    <n v="0"/>
    <n v="0"/>
    <n v="0"/>
    <n v="0"/>
    <n v="0"/>
    <n v="0"/>
    <n v="0"/>
    <n v="0"/>
  </r>
  <r>
    <d v="2025-08-10T00:00:00"/>
    <n v="2025"/>
    <x v="30"/>
    <s v="R"/>
    <s v="RS"/>
    <x v="2"/>
    <s v="SEA"/>
    <s v="H"/>
    <n v="0"/>
    <n v="1"/>
    <n v="-1"/>
    <n v="1"/>
    <n v="-8"/>
    <n v="8"/>
    <n v="1458.4953418253303"/>
    <n v="1509.7407276782128"/>
    <n v="0.52409315449973481"/>
    <n v="94"/>
    <n v="91"/>
    <n v="0"/>
    <n v="3"/>
    <n v="1"/>
    <n v="0.27829890863580958"/>
    <n v="1"/>
    <n v="71.349999999999994"/>
    <n v="71.349999999999994"/>
    <n v="9.4499047802677207"/>
    <n v="1467.945246605598"/>
    <n v="1"/>
    <n v="0"/>
    <n v="0"/>
    <n v="0"/>
    <n v="0"/>
    <n v="0"/>
    <n v="0"/>
    <n v="0"/>
    <n v="0"/>
    <n v="0"/>
  </r>
  <r>
    <d v="2025-08-10T00:00:00"/>
    <n v="2025"/>
    <x v="29"/>
    <s v="R"/>
    <s v="RS"/>
    <x v="12"/>
    <s v="LVA"/>
    <s v="A"/>
    <n v="2"/>
    <n v="1"/>
    <n v="1"/>
    <n v="-1"/>
    <n v="8"/>
    <n v="-8"/>
    <n v="1343.6995565360241"/>
    <n v="1562.2781550765399"/>
    <n v="0.16115233533134043"/>
    <n v="86"/>
    <n v="94"/>
    <n v="0"/>
    <n v="-8"/>
    <n v="0"/>
    <n v="0.32848278021607125"/>
    <n v="1"/>
    <n v="71.5"/>
    <n v="71.5"/>
    <n v="-3.7849073510785187"/>
    <n v="1339.9146491849456"/>
    <n v="0"/>
    <n v="1"/>
    <n v="0"/>
    <n v="0"/>
    <n v="0"/>
    <n v="0"/>
    <n v="0"/>
    <n v="0"/>
    <n v="0"/>
    <n v="0"/>
  </r>
  <r>
    <d v="2025-08-10T00:00:00"/>
    <n v="2025"/>
    <x v="31"/>
    <s v="R"/>
    <s v="RS"/>
    <x v="8"/>
    <s v="CON"/>
    <s v="H"/>
    <n v="1"/>
    <n v="2"/>
    <n v="-1"/>
    <n v="1"/>
    <n v="-8"/>
    <n v="8"/>
    <n v="1562.2781550765399"/>
    <n v="1343.6995565360241"/>
    <n v="0.83884766466865957"/>
    <n v="94"/>
    <n v="86"/>
    <n v="0"/>
    <n v="8"/>
    <n v="1"/>
    <n v="0.32848278021607125"/>
    <n v="1"/>
    <n v="71.2"/>
    <n v="71.2"/>
    <n v="3.7690266209341337"/>
    <n v="1566.0471816974739"/>
    <n v="1"/>
    <n v="0"/>
    <n v="0"/>
    <n v="0"/>
    <n v="0"/>
    <n v="0"/>
    <n v="0"/>
    <n v="0"/>
    <n v="0"/>
    <n v="0"/>
  </r>
  <r>
    <d v="2025-08-10T00:00:00"/>
    <n v="2025"/>
    <x v="32"/>
    <s v="R"/>
    <s v="RS"/>
    <x v="0"/>
    <s v="NYL"/>
    <s v="A"/>
    <n v="1"/>
    <n v="1"/>
    <n v="0"/>
    <n v="0"/>
    <n v="0"/>
    <n v="0"/>
    <n v="1697.9716263359226"/>
    <n v="1605.8422239069573"/>
    <n v="0.51169701597847905"/>
    <n v="83"/>
    <n v="71"/>
    <n v="0"/>
    <n v="12"/>
    <n v="1"/>
    <n v="0.42360721044109179"/>
    <n v="1"/>
    <n v="71.05"/>
    <n v="71.05"/>
    <n v="14.696597641956213"/>
    <n v="1712.6682239778788"/>
    <n v="1"/>
    <n v="0"/>
    <n v="0"/>
    <n v="0"/>
    <n v="0"/>
    <n v="0"/>
    <n v="0"/>
    <n v="0"/>
    <n v="0"/>
    <n v="0"/>
  </r>
  <r>
    <d v="2025-08-10T00:00:00"/>
    <n v="2025"/>
    <x v="30"/>
    <s v="R"/>
    <s v="RS"/>
    <x v="9"/>
    <s v="MIN"/>
    <s v="H"/>
    <n v="1"/>
    <n v="1"/>
    <n v="0"/>
    <n v="0"/>
    <n v="0"/>
    <n v="0"/>
    <n v="1605.8422239069573"/>
    <n v="1697.9716263359226"/>
    <n v="0.48830298402152095"/>
    <n v="71"/>
    <n v="83"/>
    <n v="0"/>
    <n v="-12"/>
    <n v="0"/>
    <n v="0.42360721044109179"/>
    <n v="1"/>
    <n v="71.349999999999994"/>
    <n v="71.349999999999994"/>
    <n v="-14.758652241429637"/>
    <n v="1591.0835716655276"/>
    <n v="0"/>
    <n v="1"/>
    <n v="0"/>
    <n v="0"/>
    <n v="0"/>
    <n v="0"/>
    <n v="0"/>
    <n v="0"/>
    <n v="0"/>
    <n v="0"/>
  </r>
  <r>
    <d v="2025-08-10T00:00:00"/>
    <n v="2025"/>
    <x v="30"/>
    <s v="R"/>
    <s v="RS"/>
    <x v="4"/>
    <s v="PHX"/>
    <s v="A"/>
    <n v="2"/>
    <n v="2"/>
    <n v="0"/>
    <n v="0"/>
    <n v="0"/>
    <n v="0"/>
    <n v="1591.8444706780022"/>
    <n v="1565.9735660689262"/>
    <n v="0.41711742567974736"/>
    <n v="74"/>
    <n v="66"/>
    <n v="0"/>
    <n v="8"/>
    <n v="1"/>
    <n v="0.38012048434431589"/>
    <n v="1"/>
    <n v="71.349999999999994"/>
    <n v="71.349999999999994"/>
    <n v="15.808706021383069"/>
    <n v="1607.6531766993853"/>
    <n v="1"/>
    <n v="0"/>
    <n v="0"/>
    <n v="0"/>
    <n v="0"/>
    <n v="0"/>
    <n v="0"/>
    <n v="0"/>
    <n v="0"/>
    <n v="0"/>
  </r>
  <r>
    <d v="2025-08-10T00:00:00"/>
    <n v="2025"/>
    <x v="30"/>
    <s v="R"/>
    <s v="RS"/>
    <x v="11"/>
    <s v="ATL"/>
    <s v="H"/>
    <n v="2"/>
    <n v="2"/>
    <n v="0"/>
    <n v="0"/>
    <n v="0"/>
    <n v="0"/>
    <n v="1565.9735660689262"/>
    <n v="1591.8444706780022"/>
    <n v="0.5828825743202527"/>
    <n v="66"/>
    <n v="74"/>
    <n v="0"/>
    <n v="-8"/>
    <n v="0"/>
    <n v="0.38012048434431589"/>
    <n v="1"/>
    <n v="71.349999999999994"/>
    <n v="71.349999999999994"/>
    <n v="-15.808706021383072"/>
    <n v="1550.164860047543"/>
    <n v="0"/>
    <n v="1"/>
    <n v="0"/>
    <n v="0"/>
    <n v="0"/>
    <n v="0"/>
    <n v="0"/>
    <n v="0"/>
    <n v="0"/>
    <n v="0"/>
  </r>
  <r>
    <d v="2025-08-11T00:00:00"/>
    <n v="2025"/>
    <x v="30"/>
    <s v="R"/>
    <s v="RS"/>
    <x v="12"/>
    <s v="GSV"/>
    <s v="A"/>
    <n v="0"/>
    <n v="1"/>
    <n v="-1"/>
    <n v="1"/>
    <n v="-8"/>
    <n v="8"/>
    <n v="1339.9146491849456"/>
    <n v="1504.3737428431464"/>
    <n v="0.17911588984374546"/>
    <n v="57"/>
    <n v="74"/>
    <n v="0"/>
    <n v="-17"/>
    <n v="0"/>
    <n v="0.46826649906035944"/>
    <n v="1"/>
    <n v="71.349999999999994"/>
    <n v="71.349999999999994"/>
    <n v="-5.9844078068201538"/>
    <n v="1333.9302413781254"/>
    <n v="0"/>
    <n v="1"/>
    <n v="0"/>
    <n v="0"/>
    <n v="0"/>
    <n v="0"/>
    <n v="0"/>
    <n v="0"/>
    <n v="0"/>
    <n v="0"/>
  </r>
  <r>
    <d v="2025-08-11T00:00:00"/>
    <n v="2025"/>
    <x v="30"/>
    <s v="R"/>
    <s v="RS"/>
    <x v="3"/>
    <s v="CON"/>
    <s v="H"/>
    <n v="1"/>
    <n v="0"/>
    <n v="1"/>
    <n v="-1"/>
    <n v="8"/>
    <n v="-8"/>
    <n v="1504.3737428431464"/>
    <n v="1339.9146491849456"/>
    <n v="0.82088411015625451"/>
    <n v="74"/>
    <n v="57"/>
    <n v="0"/>
    <n v="17"/>
    <n v="1"/>
    <n v="0.46826649906035944"/>
    <n v="1"/>
    <n v="71.349999999999994"/>
    <n v="71.349999999999994"/>
    <n v="5.9844078068201547"/>
    <n v="1510.3581506499665"/>
    <n v="1"/>
    <n v="0"/>
    <n v="0"/>
    <n v="0"/>
    <n v="0"/>
    <n v="0"/>
    <n v="0"/>
    <n v="0"/>
    <n v="0"/>
    <n v="0"/>
  </r>
  <r>
    <d v="2025-08-12T00:00:00"/>
    <n v="2025"/>
    <x v="32"/>
    <s v="R"/>
    <s v="RS"/>
    <x v="1"/>
    <s v="IND"/>
    <s v="A"/>
    <n v="1"/>
    <n v="2"/>
    <n v="-1"/>
    <n v="1"/>
    <n v="-8"/>
    <n v="8"/>
    <n v="1341.6679509332971"/>
    <n v="1554.5746156379425"/>
    <n v="0.14170072825770555"/>
    <n v="81"/>
    <n v="80"/>
    <n v="0"/>
    <n v="1"/>
    <n v="1"/>
    <n v="0.20738496921139815"/>
    <n v="1"/>
    <n v="71.05"/>
    <n v="71.05"/>
    <n v="12.646784049557546"/>
    <n v="1354.3147349828546"/>
    <n v="1"/>
    <n v="0"/>
    <n v="0"/>
    <n v="0"/>
    <n v="0"/>
    <n v="0"/>
    <n v="0"/>
    <n v="0"/>
    <n v="0"/>
    <n v="0"/>
  </r>
  <r>
    <d v="2025-08-12T00:00:00"/>
    <n v="2025"/>
    <x v="33"/>
    <s v="R"/>
    <s v="RS"/>
    <x v="7"/>
    <s v="DAL"/>
    <s v="H"/>
    <n v="2"/>
    <n v="1"/>
    <n v="1"/>
    <n v="-1"/>
    <n v="8"/>
    <n v="-8"/>
    <n v="1554.5746156379425"/>
    <n v="1341.6679509332971"/>
    <n v="0.85829927174229437"/>
    <n v="80"/>
    <n v="81"/>
    <n v="0"/>
    <n v="-1"/>
    <n v="0"/>
    <n v="0.20738496921139815"/>
    <n v="1"/>
    <n v="70.900000000000006"/>
    <n v="70.900000000000006"/>
    <n v="-12.62008429435088"/>
    <n v="1541.9545313435917"/>
    <n v="0"/>
    <n v="1"/>
    <n v="0"/>
    <n v="0"/>
    <n v="0"/>
    <n v="0"/>
    <n v="0"/>
    <n v="0"/>
    <n v="0"/>
    <n v="0"/>
  </r>
  <r>
    <d v="2025-08-12T00:00:00"/>
    <n v="2025"/>
    <x v="31"/>
    <s v="R"/>
    <s v="RS"/>
    <x v="9"/>
    <s v="LAS"/>
    <s v="A"/>
    <n v="1"/>
    <n v="1"/>
    <n v="0"/>
    <n v="0"/>
    <n v="0"/>
    <n v="0"/>
    <n v="1591.0835716655276"/>
    <n v="1467.945246605598"/>
    <n v="0.55608753075531092"/>
    <n v="105"/>
    <n v="97"/>
    <n v="0"/>
    <n v="8"/>
    <n v="1"/>
    <n v="0.35217681566475728"/>
    <n v="1"/>
    <n v="71.2"/>
    <n v="71.2"/>
    <n v="11.131100405496156"/>
    <n v="1602.2146720710239"/>
    <n v="1"/>
    <n v="0"/>
    <n v="0"/>
    <n v="0"/>
    <n v="0"/>
    <n v="0"/>
    <n v="0"/>
    <n v="0"/>
    <n v="0"/>
    <n v="0"/>
  </r>
  <r>
    <d v="2025-08-12T00:00:00"/>
    <n v="2025"/>
    <x v="31"/>
    <s v="R"/>
    <s v="RS"/>
    <x v="2"/>
    <s v="NYL"/>
    <s v="H"/>
    <n v="1"/>
    <n v="1"/>
    <n v="0"/>
    <n v="0"/>
    <n v="0"/>
    <n v="0"/>
    <n v="1467.945246605598"/>
    <n v="1591.0835716655276"/>
    <n v="0.44391246924468902"/>
    <n v="97"/>
    <n v="105"/>
    <n v="0"/>
    <n v="-8"/>
    <n v="0"/>
    <n v="0.35217681566475728"/>
    <n v="1"/>
    <n v="71.2"/>
    <n v="71.2"/>
    <n v="-11.131100405496154"/>
    <n v="1456.8141462001017"/>
    <n v="0"/>
    <n v="1"/>
    <n v="0"/>
    <n v="0"/>
    <n v="0"/>
    <n v="0"/>
    <n v="0"/>
    <n v="0"/>
    <n v="0"/>
    <n v="0"/>
  </r>
  <r>
    <d v="2025-08-13T00:00:00"/>
    <n v="2025"/>
    <x v="31"/>
    <s v="R"/>
    <s v="RS"/>
    <x v="6"/>
    <s v="CON"/>
    <s v="A"/>
    <n v="3"/>
    <n v="1"/>
    <n v="2"/>
    <n v="-2"/>
    <n v="16"/>
    <n v="-16"/>
    <n v="1317.1361960252802"/>
    <n v="1333.9302413781254"/>
    <n v="0.40227127046615024"/>
    <n v="62"/>
    <n v="71"/>
    <n v="0"/>
    <n v="-9"/>
    <n v="0"/>
    <n v="0.40036835686143035"/>
    <n v="1"/>
    <n v="71.2"/>
    <n v="71.2"/>
    <n v="-11.467236154919394"/>
    <n v="1305.6689598703608"/>
    <n v="0"/>
    <n v="1"/>
    <n v="0"/>
    <n v="0"/>
    <n v="0"/>
    <n v="0"/>
    <n v="0"/>
    <n v="0"/>
    <n v="0"/>
    <n v="0"/>
  </r>
  <r>
    <d v="2025-08-13T00:00:00"/>
    <n v="2025"/>
    <x v="31"/>
    <s v="R"/>
    <s v="RS"/>
    <x v="12"/>
    <s v="CHI"/>
    <s v="H"/>
    <n v="1"/>
    <n v="3"/>
    <n v="-2"/>
    <n v="2"/>
    <n v="-16"/>
    <n v="16"/>
    <n v="1333.9302413781254"/>
    <n v="1317.1361960252802"/>
    <n v="0.59772872953384981"/>
    <n v="71"/>
    <n v="62"/>
    <n v="0"/>
    <n v="9"/>
    <n v="1"/>
    <n v="0.40036835686143035"/>
    <n v="1"/>
    <n v="71.2"/>
    <n v="71.2"/>
    <n v="11.467236154919393"/>
    <n v="1345.3974775330448"/>
    <n v="1"/>
    <n v="0"/>
    <n v="0"/>
    <n v="0"/>
    <n v="0"/>
    <n v="0"/>
    <n v="0"/>
    <n v="0"/>
    <n v="0"/>
    <n v="0"/>
  </r>
  <r>
    <d v="2025-08-13T00:00:00"/>
    <n v="2025"/>
    <x v="32"/>
    <s v="R"/>
    <s v="RS"/>
    <x v="9"/>
    <s v="LVA"/>
    <s v="A"/>
    <n v="0"/>
    <n v="2"/>
    <n v="-2"/>
    <n v="2"/>
    <n v="-16"/>
    <n v="16"/>
    <n v="1602.2146720710239"/>
    <n v="1566.0471816974739"/>
    <n v="0.38709190171270164"/>
    <n v="77"/>
    <n v="83"/>
    <n v="0"/>
    <n v="-6"/>
    <n v="0"/>
    <n v="0.34100307328241447"/>
    <n v="1"/>
    <n v="71.05"/>
    <n v="71.05"/>
    <n v="-9.3785664734066927"/>
    <n v="1592.8361055976172"/>
    <n v="0"/>
    <n v="1"/>
    <n v="0"/>
    <n v="0"/>
    <n v="0"/>
    <n v="0"/>
    <n v="0"/>
    <n v="0"/>
    <n v="0"/>
    <n v="0"/>
  </r>
  <r>
    <d v="2025-08-13T00:00:00"/>
    <n v="2025"/>
    <x v="32"/>
    <s v="R"/>
    <s v="RS"/>
    <x v="8"/>
    <s v="NYL"/>
    <s v="H"/>
    <n v="2"/>
    <n v="0"/>
    <n v="2"/>
    <n v="-2"/>
    <n v="16"/>
    <n v="-16"/>
    <n v="1566.0471816974739"/>
    <n v="1602.2146720710239"/>
    <n v="0.61290809828729831"/>
    <n v="83"/>
    <n v="77"/>
    <n v="0"/>
    <n v="6"/>
    <n v="1"/>
    <n v="0.34100307328241447"/>
    <n v="1"/>
    <n v="71.05"/>
    <n v="71.05"/>
    <n v="9.3785664734066945"/>
    <n v="1575.4257481708805"/>
    <n v="1"/>
    <n v="0"/>
    <n v="0"/>
    <n v="0"/>
    <n v="0"/>
    <n v="0"/>
    <n v="0"/>
    <n v="0"/>
    <n v="0"/>
    <n v="0"/>
  </r>
  <r>
    <d v="2025-08-13T00:00:00"/>
    <n v="2025"/>
    <x v="31"/>
    <s v="R"/>
    <s v="RS"/>
    <x v="4"/>
    <s v="SEA"/>
    <s v="A"/>
    <n v="2"/>
    <n v="2"/>
    <n v="0"/>
    <n v="0"/>
    <n v="0"/>
    <n v="0"/>
    <n v="1607.6531766993853"/>
    <n v="1500.3106895513024"/>
    <n v="0.5335420867055205"/>
    <n v="85"/>
    <n v="75"/>
    <n v="0"/>
    <n v="10"/>
    <n v="1"/>
    <n v="0.38838762159898133"/>
    <n v="1"/>
    <n v="71.2"/>
    <n v="71.2"/>
    <n v="12.899053341857233"/>
    <n v="1620.5522300412426"/>
    <n v="1"/>
    <n v="0"/>
    <n v="0"/>
    <n v="0"/>
    <n v="0"/>
    <n v="0"/>
    <n v="0"/>
    <n v="0"/>
    <n v="0"/>
    <n v="0"/>
  </r>
  <r>
    <d v="2025-08-13T00:00:00"/>
    <n v="2025"/>
    <x v="32"/>
    <s v="R"/>
    <s v="RS"/>
    <x v="10"/>
    <s v="ATL"/>
    <s v="H"/>
    <n v="2"/>
    <n v="2"/>
    <n v="0"/>
    <n v="0"/>
    <n v="0"/>
    <n v="0"/>
    <n v="1500.3106895513024"/>
    <n v="1607.6531766993853"/>
    <n v="0.4664579132944795"/>
    <n v="75"/>
    <n v="85"/>
    <n v="0"/>
    <n v="-10"/>
    <n v="0"/>
    <n v="0.38838762159898133"/>
    <n v="1"/>
    <n v="71.05"/>
    <n v="71.05"/>
    <n v="-12.871878369929162"/>
    <n v="1487.4388111813732"/>
    <n v="0"/>
    <n v="1"/>
    <n v="0"/>
    <n v="0"/>
    <n v="0"/>
    <n v="0"/>
    <n v="0"/>
    <n v="0"/>
    <n v="0"/>
    <n v="0"/>
  </r>
  <r>
    <d v="2025-08-13T00:00:00"/>
    <n v="2025"/>
    <x v="31"/>
    <s v="R"/>
    <s v="RS"/>
    <x v="3"/>
    <s v="WAS"/>
    <s v="A"/>
    <n v="1"/>
    <n v="2"/>
    <n v="-1"/>
    <n v="1"/>
    <n v="-8"/>
    <n v="8"/>
    <n v="1510.3581506499665"/>
    <n v="1445.0705546034731"/>
    <n v="0.45021039277723407"/>
    <n v="88"/>
    <n v="83"/>
    <n v="0"/>
    <n v="5"/>
    <n v="1"/>
    <n v="0.31463769327812857"/>
    <n v="1"/>
    <n v="71.2"/>
    <n v="71.2"/>
    <n v="12.31649880690599"/>
    <n v="1522.6746494568724"/>
    <n v="1"/>
    <n v="0"/>
    <n v="0"/>
    <n v="0"/>
    <n v="0"/>
    <n v="0"/>
    <n v="0"/>
    <n v="0"/>
    <n v="0"/>
    <n v="0"/>
  </r>
  <r>
    <d v="2025-08-13T00:00:00"/>
    <n v="2025"/>
    <x v="31"/>
    <s v="R"/>
    <s v="RS"/>
    <x v="5"/>
    <s v="GSV"/>
    <s v="H"/>
    <n v="2"/>
    <n v="1"/>
    <n v="1"/>
    <n v="-1"/>
    <n v="8"/>
    <n v="-8"/>
    <n v="1445.0705546034731"/>
    <n v="1510.3581506499665"/>
    <n v="0.54978960722276593"/>
    <n v="83"/>
    <n v="88"/>
    <n v="0"/>
    <n v="-5"/>
    <n v="0"/>
    <n v="0.31463769327812857"/>
    <n v="1"/>
    <n v="71.2"/>
    <n v="71.2"/>
    <n v="-12.31649880690599"/>
    <n v="1432.7540557965672"/>
    <n v="0"/>
    <n v="1"/>
    <n v="0"/>
    <n v="0"/>
    <n v="0"/>
    <n v="0"/>
    <n v="0"/>
    <n v="0"/>
    <n v="0"/>
    <n v="0"/>
  </r>
  <r>
    <d v="2025-08-15T00:00:00"/>
    <n v="2025"/>
    <x v="33"/>
    <s v="R"/>
    <s v="RS"/>
    <x v="10"/>
    <s v="ATL"/>
    <s v="A"/>
    <n v="1"/>
    <n v="1"/>
    <n v="0"/>
    <n v="0"/>
    <n v="0"/>
    <n v="0"/>
    <n v="1487.4388111813732"/>
    <n v="1620.5522300412426"/>
    <n v="0.22273384338710414"/>
    <n v="80"/>
    <n v="78"/>
    <n v="0"/>
    <n v="2"/>
    <n v="1"/>
    <n v="0.24109695426101541"/>
    <n v="1"/>
    <n v="70.900000000000006"/>
    <n v="70.900000000000006"/>
    <n v="13.286412063376003"/>
    <n v="1500.7252232447493"/>
    <n v="1"/>
    <n v="0"/>
    <n v="0"/>
    <n v="0"/>
    <n v="0"/>
    <n v="0"/>
    <n v="0"/>
    <n v="0"/>
    <n v="0"/>
    <n v="0"/>
  </r>
  <r>
    <d v="2025-08-15T00:00:00"/>
    <n v="2025"/>
    <x v="32"/>
    <s v="R"/>
    <s v="RS"/>
    <x v="4"/>
    <s v="SEA"/>
    <s v="H"/>
    <n v="1"/>
    <n v="1"/>
    <n v="0"/>
    <n v="0"/>
    <n v="0"/>
    <n v="0"/>
    <n v="1620.5522300412426"/>
    <n v="1487.4388111813732"/>
    <n v="0.77726615661289589"/>
    <n v="78"/>
    <n v="80"/>
    <n v="0"/>
    <n v="-2"/>
    <n v="0"/>
    <n v="0.24109695426101541"/>
    <n v="1"/>
    <n v="71.05"/>
    <n v="71.05"/>
    <n v="-13.314521538827432"/>
    <n v="1607.2377085024152"/>
    <n v="0"/>
    <n v="1"/>
    <n v="0"/>
    <n v="0"/>
    <n v="0"/>
    <n v="0"/>
    <n v="0"/>
    <n v="0"/>
    <n v="0"/>
    <n v="0"/>
  </r>
  <r>
    <d v="2025-08-15T00:00:00"/>
    <n v="2025"/>
    <x v="32"/>
    <s v="R"/>
    <s v="RS"/>
    <x v="3"/>
    <s v="CHI"/>
    <s v="A"/>
    <n v="1"/>
    <n v="1"/>
    <n v="0"/>
    <n v="0"/>
    <n v="0"/>
    <n v="0"/>
    <n v="1522.6746494568724"/>
    <n v="1305.6689598703608"/>
    <n v="0.68257748172121036"/>
    <n v="90"/>
    <n v="59"/>
    <n v="0"/>
    <n v="31"/>
    <n v="1"/>
    <n v="0.60591249207594278"/>
    <n v="1"/>
    <n v="71.05"/>
    <n v="71.05"/>
    <n v="13.665065618938494"/>
    <n v="1536.339715075811"/>
    <n v="1"/>
    <n v="0"/>
    <n v="0"/>
    <n v="0"/>
    <n v="0"/>
    <n v="0"/>
    <n v="0"/>
    <n v="0"/>
    <n v="0"/>
    <n v="0"/>
  </r>
  <r>
    <d v="2025-08-15T00:00:00"/>
    <n v="2025"/>
    <x v="32"/>
    <s v="R"/>
    <s v="RS"/>
    <x v="6"/>
    <s v="GSV"/>
    <s v="H"/>
    <n v="1"/>
    <n v="1"/>
    <n v="0"/>
    <n v="0"/>
    <n v="0"/>
    <n v="0"/>
    <n v="1305.6689598703608"/>
    <n v="1522.6746494568724"/>
    <n v="0.3174225182787897"/>
    <n v="59"/>
    <n v="90"/>
    <n v="0"/>
    <n v="-31"/>
    <n v="0"/>
    <n v="0.60591249207594278"/>
    <n v="1"/>
    <n v="71.05"/>
    <n v="71.05"/>
    <n v="-13.665065618938495"/>
    <n v="1292.0038942514223"/>
    <n v="0"/>
    <n v="1"/>
    <n v="0"/>
    <n v="0"/>
    <n v="0"/>
    <n v="0"/>
    <n v="0"/>
    <n v="0"/>
    <n v="0"/>
    <n v="0"/>
  </r>
  <r>
    <d v="2025-08-15T00:00:00"/>
    <n v="2025"/>
    <x v="32"/>
    <s v="R"/>
    <s v="RS"/>
    <x v="2"/>
    <s v="DAL"/>
    <s v="A"/>
    <n v="2"/>
    <n v="2"/>
    <n v="0"/>
    <n v="0"/>
    <n v="0"/>
    <n v="0"/>
    <n v="1456.8141462001017"/>
    <n v="1354.3147349828546"/>
    <n v="0.5265976619511048"/>
    <n v="97"/>
    <n v="96"/>
    <n v="0"/>
    <n v="1"/>
    <n v="1"/>
    <n v="0.22496409797568753"/>
    <n v="1"/>
    <n v="71.05"/>
    <n v="71.05"/>
    <n v="7.5667205535692732"/>
    <n v="1464.3808667536709"/>
    <n v="1"/>
    <n v="0"/>
    <n v="0"/>
    <n v="0"/>
    <n v="0"/>
    <n v="0"/>
    <n v="0"/>
    <n v="0"/>
    <n v="0"/>
    <n v="0"/>
  </r>
  <r>
    <d v="2025-08-15T00:00:00"/>
    <n v="2025"/>
    <x v="33"/>
    <s v="R"/>
    <s v="RS"/>
    <x v="1"/>
    <s v="LAS"/>
    <s v="H"/>
    <n v="2"/>
    <n v="2"/>
    <n v="0"/>
    <n v="0"/>
    <n v="0"/>
    <n v="0"/>
    <n v="1354.3147349828546"/>
    <n v="1456.8141462001017"/>
    <n v="0.4734023380488952"/>
    <n v="96"/>
    <n v="97"/>
    <n v="0"/>
    <n v="-1"/>
    <n v="0"/>
    <n v="0.22496409797568753"/>
    <n v="1"/>
    <n v="70.900000000000006"/>
    <n v="70.900000000000006"/>
    <n v="-7.5507457740754615"/>
    <n v="1346.7639892087791"/>
    <n v="0"/>
    <n v="1"/>
    <n v="0"/>
    <n v="0"/>
    <n v="0"/>
    <n v="0"/>
    <n v="0"/>
    <n v="0"/>
    <n v="0"/>
    <n v="0"/>
  </r>
  <r>
    <d v="2025-08-15T00:00:00"/>
    <n v="2025"/>
    <x v="32"/>
    <s v="R"/>
    <s v="RS"/>
    <x v="5"/>
    <s v="IND"/>
    <s v="A"/>
    <n v="1"/>
    <n v="2"/>
    <n v="-1"/>
    <n v="1"/>
    <n v="-8"/>
    <n v="8"/>
    <n v="1432.7540557965672"/>
    <n v="1541.9545313435917"/>
    <n v="0.23071918661933918"/>
    <n v="88"/>
    <n v="84"/>
    <n v="0"/>
    <n v="4"/>
    <n v="1"/>
    <n v="0.28545611528937437"/>
    <n v="1"/>
    <n v="71.05"/>
    <n v="71.05"/>
    <n v="15.602289586982559"/>
    <n v="1448.3563453835498"/>
    <n v="1"/>
    <n v="0"/>
    <n v="0"/>
    <n v="0"/>
    <n v="0"/>
    <n v="0"/>
    <n v="0"/>
    <n v="0"/>
    <n v="0"/>
    <n v="0"/>
  </r>
  <r>
    <d v="2025-08-15T00:00:00"/>
    <n v="2025"/>
    <x v="34"/>
    <s v="R"/>
    <s v="RS"/>
    <x v="7"/>
    <s v="WAS"/>
    <s v="H"/>
    <n v="2"/>
    <n v="1"/>
    <n v="1"/>
    <n v="-1"/>
    <n v="8"/>
    <n v="-8"/>
    <n v="1541.9545313435917"/>
    <n v="1432.7540557965672"/>
    <n v="0.7692808133806609"/>
    <n v="84"/>
    <n v="88"/>
    <n v="0"/>
    <n v="-4"/>
    <n v="0"/>
    <n v="0.28545611528937437"/>
    <n v="1"/>
    <n v="70.75"/>
    <n v="70.75"/>
    <n v="-15.536410813216273"/>
    <n v="1526.4181205303755"/>
    <n v="0"/>
    <n v="1"/>
    <n v="0"/>
    <n v="0"/>
    <n v="0"/>
    <n v="0"/>
    <n v="0"/>
    <n v="0"/>
    <n v="0"/>
    <n v="0"/>
  </r>
  <r>
    <d v="2025-08-15T00:00:00"/>
    <n v="2025"/>
    <x v="33"/>
    <s v="R"/>
    <s v="RS"/>
    <x v="8"/>
    <s v="PHX"/>
    <s v="A"/>
    <n v="1"/>
    <n v="4"/>
    <n v="-3"/>
    <n v="3"/>
    <n v="-16"/>
    <n v="16"/>
    <n v="1575.4257481708805"/>
    <n v="1550.164860047543"/>
    <n v="0.37230608737602466"/>
    <n v="86"/>
    <n v="83"/>
    <n v="0"/>
    <n v="3"/>
    <n v="1"/>
    <n v="0.28420088219072986"/>
    <n v="1"/>
    <n v="70.900000000000006"/>
    <n v="70.900000000000006"/>
    <n v="12.647933507286066"/>
    <n v="1588.0736816781666"/>
    <n v="1"/>
    <n v="0"/>
    <n v="0"/>
    <n v="0"/>
    <n v="0"/>
    <n v="0"/>
    <n v="0"/>
    <n v="0"/>
    <n v="0"/>
    <n v="0"/>
  </r>
  <r>
    <d v="2025-08-15T00:00:00"/>
    <n v="2025"/>
    <x v="31"/>
    <s v="R"/>
    <s v="RS"/>
    <x v="11"/>
    <s v="LVA"/>
    <s v="H"/>
    <n v="4"/>
    <n v="1"/>
    <n v="3"/>
    <n v="-3"/>
    <n v="16"/>
    <n v="-16"/>
    <n v="1550.164860047543"/>
    <n v="1575.4257481708805"/>
    <n v="0.62769391262397534"/>
    <n v="83"/>
    <n v="86"/>
    <n v="0"/>
    <n v="-3"/>
    <n v="0"/>
    <n v="0.28420088219072986"/>
    <n v="1"/>
    <n v="71.2"/>
    <n v="71.2"/>
    <n v="-12.701450856400111"/>
    <n v="1537.463409191143"/>
    <n v="0"/>
    <n v="1"/>
    <n v="0"/>
    <n v="0"/>
    <n v="0"/>
    <n v="0"/>
    <n v="0"/>
    <n v="0"/>
    <n v="0"/>
    <n v="0"/>
  </r>
  <r>
    <d v="2025-08-16T00:00:00"/>
    <n v="2025"/>
    <x v="33"/>
    <s v="R"/>
    <s v="RS"/>
    <x v="9"/>
    <s v="MIN"/>
    <s v="A"/>
    <n v="2"/>
    <n v="5"/>
    <n v="-3"/>
    <n v="3"/>
    <n v="-16"/>
    <n v="16"/>
    <n v="1592.8361055976172"/>
    <n v="1712.6682239778788"/>
    <n v="0.20463734762526817"/>
    <n v="80"/>
    <n v="86"/>
    <n v="0"/>
    <n v="-6"/>
    <n v="0"/>
    <n v="0.31938676702800128"/>
    <n v="1"/>
    <n v="70.900000000000006"/>
    <n v="70.900000000000006"/>
    <n v="-4.6339148757694719"/>
    <n v="1588.2021907218477"/>
    <n v="0"/>
    <n v="1"/>
    <n v="0"/>
    <n v="0"/>
    <n v="0"/>
    <n v="0"/>
    <n v="0"/>
    <n v="0"/>
    <n v="0"/>
    <n v="0"/>
  </r>
  <r>
    <d v="2025-08-16T00:00:00"/>
    <n v="2025"/>
    <x v="33"/>
    <s v="R"/>
    <s v="RS"/>
    <x v="0"/>
    <s v="NYL"/>
    <s v="H"/>
    <n v="5"/>
    <n v="2"/>
    <n v="3"/>
    <n v="-3"/>
    <n v="16"/>
    <n v="-16"/>
    <n v="1712.6682239778788"/>
    <n v="1592.8361055976172"/>
    <n v="0.79536265237473192"/>
    <n v="86"/>
    <n v="80"/>
    <n v="0"/>
    <n v="6"/>
    <n v="1"/>
    <n v="0.31938676702800128"/>
    <n v="1"/>
    <n v="70.900000000000006"/>
    <n v="70.900000000000006"/>
    <n v="4.6339148757694701"/>
    <n v="1717.3021388536483"/>
    <n v="1"/>
    <n v="0"/>
    <n v="0"/>
    <n v="0"/>
    <n v="0"/>
    <n v="0"/>
    <n v="0"/>
    <n v="0"/>
    <n v="0"/>
    <n v="0"/>
  </r>
  <r>
    <d v="2025-08-17T00:00:00"/>
    <n v="2025"/>
    <x v="35"/>
    <s v="R"/>
    <s v="RS"/>
    <x v="7"/>
    <s v="CON"/>
    <s v="A"/>
    <n v="1"/>
    <n v="3"/>
    <n v="-2"/>
    <n v="2"/>
    <n v="-16"/>
    <n v="16"/>
    <n v="1526.4181205303755"/>
    <n v="1345.3974775330448"/>
    <n v="0.5924949219277833"/>
    <n v="99"/>
    <n v="93"/>
    <n v="1"/>
    <n v="6"/>
    <n v="1"/>
    <n v="0.27471220209631891"/>
    <n v="1"/>
    <n v="70.599999999999994"/>
    <n v="70.599999999999994"/>
    <n v="7.9034311858031616"/>
    <n v="1534.3215517161786"/>
    <n v="1"/>
    <n v="0"/>
    <n v="0"/>
    <n v="0"/>
    <n v="0"/>
    <n v="0"/>
    <n v="0"/>
    <n v="0"/>
    <n v="0"/>
    <n v="0"/>
  </r>
  <r>
    <d v="2025-08-17T00:00:00"/>
    <n v="2025"/>
    <x v="32"/>
    <s v="R"/>
    <s v="RS"/>
    <x v="12"/>
    <s v="IND"/>
    <s v="H"/>
    <n v="3"/>
    <n v="1"/>
    <n v="2"/>
    <n v="-2"/>
    <n v="16"/>
    <n v="-16"/>
    <n v="1345.3974775330448"/>
    <n v="1526.4181205303755"/>
    <n v="0.4075050780722167"/>
    <n v="93"/>
    <n v="99"/>
    <n v="1"/>
    <n v="-6"/>
    <n v="0"/>
    <n v="0.27471220209631891"/>
    <n v="1"/>
    <n v="71.05"/>
    <n v="71.05"/>
    <n v="-7.9538071636163536"/>
    <n v="1337.4436703694284"/>
    <n v="0"/>
    <n v="1"/>
    <n v="0"/>
    <n v="0"/>
    <n v="0"/>
    <n v="0"/>
    <n v="0"/>
    <n v="0"/>
    <n v="0"/>
    <n v="0"/>
  </r>
  <r>
    <d v="2025-08-17T00:00:00"/>
    <n v="2025"/>
    <x v="33"/>
    <s v="R"/>
    <s v="RS"/>
    <x v="4"/>
    <s v="GSV"/>
    <s v="A"/>
    <n v="1"/>
    <n v="1"/>
    <n v="0"/>
    <n v="0"/>
    <n v="0"/>
    <n v="0"/>
    <n v="1607.2377085024152"/>
    <n v="1536.339715075811"/>
    <n v="0.48115362975680381"/>
    <n v="79"/>
    <n v="63"/>
    <n v="0"/>
    <n v="16"/>
    <n v="1"/>
    <n v="0.48890095188584271"/>
    <n v="1"/>
    <n v="70.900000000000006"/>
    <n v="70.900000000000006"/>
    <n v="17.984811936473886"/>
    <n v="1625.2225204388892"/>
    <n v="1"/>
    <n v="0"/>
    <n v="0"/>
    <n v="0"/>
    <n v="0"/>
    <n v="0"/>
    <n v="0"/>
    <n v="0"/>
    <n v="0"/>
    <n v="0"/>
  </r>
  <r>
    <d v="2025-08-17T00:00:00"/>
    <n v="2025"/>
    <x v="33"/>
    <s v="R"/>
    <s v="RS"/>
    <x v="3"/>
    <s v="ATL"/>
    <s v="H"/>
    <n v="1"/>
    <n v="1"/>
    <n v="0"/>
    <n v="0"/>
    <n v="0"/>
    <n v="0"/>
    <n v="1536.339715075811"/>
    <n v="1607.2377085024152"/>
    <n v="0.51884637024319624"/>
    <n v="63"/>
    <n v="79"/>
    <n v="0"/>
    <n v="-16"/>
    <n v="0"/>
    <n v="0.48890095188584271"/>
    <n v="1"/>
    <n v="70.900000000000006"/>
    <n v="70.900000000000006"/>
    <n v="-17.984811936473886"/>
    <n v="1518.354903139337"/>
    <n v="0"/>
    <n v="1"/>
    <n v="0"/>
    <n v="0"/>
    <n v="0"/>
    <n v="0"/>
    <n v="0"/>
    <n v="0"/>
    <n v="0"/>
    <n v="0"/>
  </r>
  <r>
    <d v="2025-08-17T00:00:00"/>
    <n v="2025"/>
    <x v="34"/>
    <s v="R"/>
    <s v="RS"/>
    <x v="1"/>
    <s v="LVA"/>
    <s v="A"/>
    <n v="1"/>
    <n v="1"/>
    <n v="0"/>
    <n v="0"/>
    <n v="0"/>
    <n v="0"/>
    <n v="1346.7639892087791"/>
    <n v="1588.0736816781666"/>
    <n v="0.13323734235343521"/>
    <n v="87"/>
    <n v="106"/>
    <n v="0"/>
    <n v="-19"/>
    <n v="0"/>
    <n v="0.46705651865448583"/>
    <n v="1"/>
    <n v="70.75"/>
    <n v="70.75"/>
    <n v="-4.4027278761617712"/>
    <n v="1342.3612613326172"/>
    <n v="0"/>
    <n v="1"/>
    <n v="0"/>
    <n v="0"/>
    <n v="0"/>
    <n v="0"/>
    <n v="0"/>
    <n v="0"/>
    <n v="0"/>
    <n v="0"/>
  </r>
  <r>
    <d v="2025-08-17T00:00:00"/>
    <n v="2025"/>
    <x v="34"/>
    <s v="R"/>
    <s v="RS"/>
    <x v="8"/>
    <s v="DAL"/>
    <s v="H"/>
    <n v="1"/>
    <n v="1"/>
    <n v="0"/>
    <n v="0"/>
    <n v="0"/>
    <n v="0"/>
    <n v="1588.0736816781666"/>
    <n v="1346.7639892087791"/>
    <n v="0.86676265764656479"/>
    <n v="106"/>
    <n v="87"/>
    <n v="0"/>
    <n v="19"/>
    <n v="1"/>
    <n v="0.46705651865448583"/>
    <n v="1"/>
    <n v="70.75"/>
    <n v="70.75"/>
    <n v="4.4027278761617712"/>
    <n v="1592.4764095543285"/>
    <n v="1"/>
    <n v="0"/>
    <n v="0"/>
    <n v="0"/>
    <n v="0"/>
    <n v="0"/>
    <n v="0"/>
    <n v="0"/>
    <n v="0"/>
    <n v="0"/>
  </r>
  <r>
    <d v="2025-08-17T00:00:00"/>
    <n v="2025"/>
    <x v="32"/>
    <s v="R"/>
    <s v="RS"/>
    <x v="11"/>
    <s v="SEA"/>
    <s v="A"/>
    <n v="1"/>
    <n v="1"/>
    <n v="0"/>
    <n v="0"/>
    <n v="0"/>
    <n v="0"/>
    <n v="1537.463409191143"/>
    <n v="1500.7252232447493"/>
    <n v="0.43240122426820238"/>
    <n v="85"/>
    <n v="82"/>
    <n v="0"/>
    <n v="3"/>
    <n v="1"/>
    <n v="0.28156341356273379"/>
    <n v="1"/>
    <n v="71.05"/>
    <n v="71.05"/>
    <n v="11.354859219305673"/>
    <n v="1548.8182684104486"/>
    <n v="1"/>
    <n v="0"/>
    <n v="0"/>
    <n v="0"/>
    <n v="0"/>
    <n v="0"/>
    <n v="0"/>
    <n v="0"/>
    <n v="0"/>
    <n v="0"/>
  </r>
  <r>
    <d v="2025-08-17T00:00:00"/>
    <n v="2025"/>
    <x v="34"/>
    <s v="R"/>
    <s v="RS"/>
    <x v="10"/>
    <s v="PHX"/>
    <s v="H"/>
    <n v="1"/>
    <n v="1"/>
    <n v="0"/>
    <n v="0"/>
    <n v="0"/>
    <n v="0"/>
    <n v="1500.7252232447493"/>
    <n v="1537.463409191143"/>
    <n v="0.56759877573179762"/>
    <n v="82"/>
    <n v="85"/>
    <n v="0"/>
    <n v="-3"/>
    <n v="0"/>
    <n v="0.28156341356273379"/>
    <n v="1"/>
    <n v="70.75"/>
    <n v="70.75"/>
    <n v="-11.30691470465695"/>
    <n v="1489.4183085400923"/>
    <n v="0"/>
    <n v="1"/>
    <n v="0"/>
    <n v="0"/>
    <n v="0"/>
    <n v="0"/>
    <n v="0"/>
    <n v="0"/>
    <n v="0"/>
    <n v="0"/>
  </r>
  <r>
    <d v="2025-08-17T00:00:00"/>
    <n v="2025"/>
    <x v="33"/>
    <s v="R"/>
    <s v="RS"/>
    <x v="2"/>
    <s v="WAS"/>
    <s v="A"/>
    <n v="1"/>
    <n v="1"/>
    <n v="0"/>
    <n v="0"/>
    <n v="0"/>
    <n v="0"/>
    <n v="1464.3808667536709"/>
    <n v="1448.3563453835498"/>
    <n v="0.40340479824115155"/>
    <n v="86"/>
    <n v="95"/>
    <n v="0"/>
    <n v="-9"/>
    <n v="0"/>
    <n v="0.40062171774940125"/>
    <n v="1"/>
    <n v="70.900000000000006"/>
    <n v="70.900000000000006"/>
    <n v="-11.458342076278203"/>
    <n v="1452.9225246773926"/>
    <n v="0"/>
    <n v="1"/>
    <n v="0"/>
    <n v="0"/>
    <n v="0"/>
    <n v="0"/>
    <n v="0"/>
    <n v="0"/>
    <n v="0"/>
    <n v="0"/>
  </r>
  <r>
    <d v="2025-08-17T00:00:00"/>
    <n v="2025"/>
    <x v="33"/>
    <s v="R"/>
    <s v="RS"/>
    <x v="5"/>
    <s v="LAS"/>
    <s v="H"/>
    <n v="1"/>
    <n v="1"/>
    <n v="0"/>
    <n v="0"/>
    <n v="0"/>
    <n v="0"/>
    <n v="1448.3563453835498"/>
    <n v="1464.3808667536709"/>
    <n v="0.5965952017588485"/>
    <n v="95"/>
    <n v="86"/>
    <n v="0"/>
    <n v="9"/>
    <n v="1"/>
    <n v="0.40062171774940125"/>
    <n v="1"/>
    <n v="70.900000000000006"/>
    <n v="70.900000000000006"/>
    <n v="11.458342076278202"/>
    <n v="1459.8146874598281"/>
    <n v="1"/>
    <n v="0"/>
    <n v="0"/>
    <n v="0"/>
    <n v="0"/>
    <n v="0"/>
    <n v="0"/>
    <n v="0"/>
    <n v="0"/>
    <n v="0"/>
  </r>
  <r>
    <d v="2025-08-19T00:00:00"/>
    <n v="2025"/>
    <x v="35"/>
    <s v="R"/>
    <s v="RS"/>
    <x v="10"/>
    <s v="CHI"/>
    <s v="A"/>
    <n v="1"/>
    <n v="3"/>
    <n v="-2"/>
    <n v="2"/>
    <n v="-16"/>
    <n v="16"/>
    <n v="1489.4183085400923"/>
    <n v="1292.0038942514223"/>
    <n v="0.61506632048727206"/>
    <n v="94"/>
    <n v="88"/>
    <n v="0"/>
    <n v="6"/>
    <n v="1"/>
    <n v="0.30165490565929665"/>
    <n v="1"/>
    <n v="70.599999999999994"/>
    <n v="70.599999999999994"/>
    <n v="8.1978695741619489"/>
    <n v="1497.6161781142544"/>
    <n v="1"/>
    <n v="0"/>
    <n v="0"/>
    <n v="0"/>
    <n v="0"/>
    <n v="0"/>
    <n v="0"/>
    <n v="0"/>
    <n v="0"/>
    <n v="0"/>
  </r>
  <r>
    <d v="2025-08-19T00:00:00"/>
    <n v="2025"/>
    <x v="33"/>
    <s v="R"/>
    <s v="RS"/>
    <x v="6"/>
    <s v="SEA"/>
    <s v="H"/>
    <n v="3"/>
    <n v="1"/>
    <n v="2"/>
    <n v="-2"/>
    <n v="16"/>
    <n v="-16"/>
    <n v="1292.0038942514223"/>
    <n v="1489.4183085400923"/>
    <n v="0.384933679512728"/>
    <n v="88"/>
    <n v="94"/>
    <n v="0"/>
    <n v="-6"/>
    <n v="0"/>
    <n v="0.30165490565929665"/>
    <n v="1"/>
    <n v="70.900000000000006"/>
    <n v="70.900000000000006"/>
    <n v="-8.2327047139955027"/>
    <n v="1283.7711895374268"/>
    <n v="0"/>
    <n v="1"/>
    <n v="0"/>
    <n v="0"/>
    <n v="0"/>
    <n v="0"/>
    <n v="0"/>
    <n v="0"/>
    <n v="0"/>
    <n v="0"/>
  </r>
  <r>
    <d v="2025-08-19T00:00:00"/>
    <n v="2025"/>
    <x v="33"/>
    <s v="R"/>
    <s v="RS"/>
    <x v="11"/>
    <s v="GSV"/>
    <s v="A"/>
    <n v="1"/>
    <n v="1"/>
    <n v="0"/>
    <n v="0"/>
    <n v="0"/>
    <n v="0"/>
    <n v="1548.8182684104486"/>
    <n v="1518.354903139337"/>
    <n v="0.42355864121073411"/>
    <n v="98"/>
    <n v="91"/>
    <n v="0"/>
    <n v="7"/>
    <n v="1"/>
    <n v="0.36094419348009427"/>
    <n v="1"/>
    <n v="70.900000000000006"/>
    <n v="70.900000000000006"/>
    <n v="14.75167813877637"/>
    <n v="1563.5699465492251"/>
    <n v="1"/>
    <n v="0"/>
    <n v="0"/>
    <n v="0"/>
    <n v="0"/>
    <n v="0"/>
    <n v="0"/>
    <n v="0"/>
    <n v="0"/>
    <n v="0"/>
  </r>
  <r>
    <d v="2025-08-19T00:00:00"/>
    <n v="2025"/>
    <x v="34"/>
    <s v="R"/>
    <s v="RS"/>
    <x v="3"/>
    <s v="PHX"/>
    <s v="H"/>
    <n v="1"/>
    <n v="1"/>
    <n v="0"/>
    <n v="0"/>
    <n v="0"/>
    <n v="0"/>
    <n v="1518.354903139337"/>
    <n v="1548.8182684104486"/>
    <n v="0.57644135878926595"/>
    <n v="91"/>
    <n v="98"/>
    <n v="0"/>
    <n v="-7"/>
    <n v="0"/>
    <n v="0.36094419348009427"/>
    <n v="1"/>
    <n v="70.75"/>
    <n v="70.75"/>
    <n v="-14.720468664575858"/>
    <n v="1503.6344344747611"/>
    <n v="0"/>
    <n v="1"/>
    <n v="0"/>
    <n v="0"/>
    <n v="0"/>
    <n v="0"/>
    <n v="0"/>
    <n v="0"/>
    <n v="0"/>
    <n v="0"/>
  </r>
  <r>
    <d v="2025-08-19T00:00:00"/>
    <n v="2025"/>
    <x v="34"/>
    <s v="R"/>
    <s v="RS"/>
    <x v="4"/>
    <s v="LVA"/>
    <s v="A"/>
    <n v="1"/>
    <n v="1"/>
    <n v="0"/>
    <n v="0"/>
    <n v="0"/>
    <n v="0"/>
    <n v="1625.2225204388892"/>
    <n v="1592.4764095543285"/>
    <n v="0.42677017205996781"/>
    <n v="72"/>
    <n v="74"/>
    <n v="0"/>
    <n v="-2"/>
    <n v="0"/>
    <n v="0.26072650494186139"/>
    <n v="1"/>
    <n v="70.75"/>
    <n v="70.75"/>
    <n v="-7.872373397755231"/>
    <n v="1617.3501470411341"/>
    <n v="0"/>
    <n v="1"/>
    <n v="0"/>
    <n v="0"/>
    <n v="0"/>
    <n v="0"/>
    <n v="0"/>
    <n v="0"/>
    <n v="0"/>
    <n v="0"/>
  </r>
  <r>
    <d v="2025-08-19T00:00:00"/>
    <n v="2025"/>
    <x v="35"/>
    <s v="R"/>
    <s v="RS"/>
    <x v="8"/>
    <s v="ATL"/>
    <s v="H"/>
    <n v="1"/>
    <n v="1"/>
    <n v="0"/>
    <n v="0"/>
    <n v="0"/>
    <n v="0"/>
    <n v="1592.4764095543285"/>
    <n v="1625.2225204388892"/>
    <n v="0.57322982794003219"/>
    <n v="74"/>
    <n v="72"/>
    <n v="0"/>
    <n v="2"/>
    <n v="1"/>
    <n v="0.26072650494186139"/>
    <n v="1"/>
    <n v="70.599999999999994"/>
    <n v="70.599999999999994"/>
    <n v="7.8556828534490348"/>
    <n v="1600.3320924077775"/>
    <n v="1"/>
    <n v="0"/>
    <n v="0"/>
    <n v="0"/>
    <n v="0"/>
    <n v="0"/>
    <n v="0"/>
    <n v="0"/>
    <n v="0"/>
    <n v="0"/>
  </r>
  <r>
    <d v="2025-08-19T00:00:00"/>
    <n v="2025"/>
    <x v="34"/>
    <s v="R"/>
    <s v="RS"/>
    <x v="0"/>
    <s v="NYL"/>
    <s v="A"/>
    <n v="2"/>
    <n v="2"/>
    <n v="0"/>
    <n v="0"/>
    <n v="0"/>
    <n v="0"/>
    <n v="1717.3021388536483"/>
    <n v="1588.2021907218477"/>
    <n v="0.56454193570921019"/>
    <n v="75"/>
    <n v="85"/>
    <n v="0"/>
    <n v="-10"/>
    <n v="0"/>
    <n v="0.38202968852150537"/>
    <n v="1"/>
    <n v="70.75"/>
    <n v="70.75"/>
    <n v="-15.258778424834448"/>
    <n v="1702.0433604288139"/>
    <n v="0"/>
    <n v="1"/>
    <n v="0"/>
    <n v="0"/>
    <n v="0"/>
    <n v="0"/>
    <n v="0"/>
    <n v="0"/>
    <n v="0"/>
    <n v="0"/>
  </r>
  <r>
    <d v="2025-08-19T00:00:00"/>
    <n v="2025"/>
    <x v="34"/>
    <s v="R"/>
    <s v="RS"/>
    <x v="9"/>
    <s v="MIN"/>
    <s v="H"/>
    <n v="2"/>
    <n v="2"/>
    <n v="0"/>
    <n v="0"/>
    <n v="0"/>
    <n v="0"/>
    <n v="1588.2021907218477"/>
    <n v="1717.3021388536483"/>
    <n v="0.43545806429078976"/>
    <n v="85"/>
    <n v="75"/>
    <n v="0"/>
    <n v="10"/>
    <n v="1"/>
    <n v="0.38202968852150537"/>
    <n v="1"/>
    <n v="70.75"/>
    <n v="70.75"/>
    <n v="15.258778424834452"/>
    <n v="1603.4609691466821"/>
    <n v="1"/>
    <n v="0"/>
    <n v="0"/>
    <n v="0"/>
    <n v="0"/>
    <n v="0"/>
    <n v="0"/>
    <n v="0"/>
    <n v="0"/>
    <n v="0"/>
  </r>
  <r>
    <d v="2025-08-19T00:00:00"/>
    <n v="2025"/>
    <x v="33"/>
    <s v="R"/>
    <s v="RS"/>
    <x v="12"/>
    <s v="WAS"/>
    <s v="A"/>
    <n v="1"/>
    <n v="1"/>
    <n v="0"/>
    <n v="0"/>
    <n v="0"/>
    <n v="0"/>
    <n v="1337.4436703694284"/>
    <n v="1459.8146874598281"/>
    <n v="0.23362272101674583"/>
    <n v="80"/>
    <n v="69"/>
    <n v="0"/>
    <n v="11"/>
    <n v="1"/>
    <n v="0.3991339476499402"/>
    <n v="1"/>
    <n v="70.900000000000006"/>
    <n v="70.900000000000006"/>
    <n v="21.68740168236123"/>
    <n v="1359.1310720517897"/>
    <n v="1"/>
    <n v="0"/>
    <n v="0"/>
    <n v="0"/>
    <n v="0"/>
    <n v="0"/>
    <n v="0"/>
    <n v="0"/>
    <n v="0"/>
    <n v="0"/>
  </r>
  <r>
    <d v="2025-08-19T00:00:00"/>
    <n v="2025"/>
    <x v="34"/>
    <s v="R"/>
    <s v="RS"/>
    <x v="5"/>
    <s v="CON"/>
    <s v="H"/>
    <n v="1"/>
    <n v="1"/>
    <n v="0"/>
    <n v="0"/>
    <n v="0"/>
    <n v="0"/>
    <n v="1459.8146874598281"/>
    <n v="1337.4436703694284"/>
    <n v="0.76637727898325414"/>
    <n v="69"/>
    <n v="80"/>
    <n v="0"/>
    <n v="-11"/>
    <n v="0"/>
    <n v="0.3991339476499402"/>
    <n v="1"/>
    <n v="70.75"/>
    <n v="70.75"/>
    <n v="-21.641518604048759"/>
    <n v="1438.1731688557793"/>
    <n v="0"/>
    <n v="1"/>
    <n v="0"/>
    <n v="0"/>
    <n v="0"/>
    <n v="0"/>
    <n v="0"/>
    <n v="0"/>
    <n v="0"/>
    <n v="0"/>
  </r>
  <r>
    <d v="2025-08-20T00:00:00"/>
    <n v="2025"/>
    <x v="35"/>
    <s v="R"/>
    <s v="RS"/>
    <x v="1"/>
    <s v="LAS"/>
    <s v="A"/>
    <n v="2"/>
    <n v="2"/>
    <n v="0"/>
    <n v="0"/>
    <n v="0"/>
    <n v="0"/>
    <n v="1342.3612613326172"/>
    <n v="1452.9225246773926"/>
    <n v="0.24601412867238237"/>
    <n v="80"/>
    <n v="81"/>
    <n v="0"/>
    <n v="-1"/>
    <n v="0"/>
    <n v="0.22358024256762055"/>
    <n v="1"/>
    <n v="70.599999999999994"/>
    <n v="70.599999999999994"/>
    <n v="-3.883275238592494"/>
    <n v="1338.4779860940248"/>
    <n v="0"/>
    <n v="1"/>
    <n v="0"/>
    <n v="0"/>
    <n v="0"/>
    <n v="0"/>
    <n v="0"/>
    <n v="0"/>
    <n v="0"/>
    <n v="0"/>
  </r>
  <r>
    <d v="2025-08-20T00:00:00"/>
    <n v="2025"/>
    <x v="34"/>
    <s v="R"/>
    <s v="RS"/>
    <x v="2"/>
    <s v="DAL"/>
    <s v="H"/>
    <n v="2"/>
    <n v="2"/>
    <n v="0"/>
    <n v="0"/>
    <n v="0"/>
    <n v="0"/>
    <n v="1452.9225246773926"/>
    <n v="1342.3612613326172"/>
    <n v="0.75398587132761763"/>
    <n v="81"/>
    <n v="80"/>
    <n v="0"/>
    <n v="1"/>
    <n v="1"/>
    <n v="0.22358024256762055"/>
    <n v="1"/>
    <n v="70.75"/>
    <n v="70.75"/>
    <n v="3.8915258233770391"/>
    <n v="1456.8140505007698"/>
    <n v="1"/>
    <n v="0"/>
    <n v="0"/>
    <n v="0"/>
    <n v="0"/>
    <n v="0"/>
    <n v="0"/>
    <n v="0"/>
    <n v="0"/>
    <n v="0"/>
  </r>
  <r>
    <d v="2025-08-21T00:00:00"/>
    <n v="2025"/>
    <x v="35"/>
    <s v="R"/>
    <s v="RS"/>
    <x v="0"/>
    <s v="ATL"/>
    <s v="A"/>
    <n v="1"/>
    <n v="1"/>
    <n v="0"/>
    <n v="0"/>
    <n v="0"/>
    <n v="0"/>
    <n v="1702.0433604288139"/>
    <n v="1617.3501470411341"/>
    <n v="0.50099761293414868"/>
    <n v="73"/>
    <n v="75"/>
    <n v="0"/>
    <n v="-2"/>
    <n v="0"/>
    <n v="0.25018392066076289"/>
    <n v="1"/>
    <n v="70.599999999999994"/>
    <n v="70.599999999999994"/>
    <n v="-8.8491132214157346"/>
    <n v="1693.1942472073981"/>
    <n v="0"/>
    <n v="1"/>
    <n v="0"/>
    <n v="0"/>
    <n v="0"/>
    <n v="0"/>
    <n v="0"/>
    <n v="0"/>
    <n v="0"/>
    <n v="0"/>
  </r>
  <r>
    <d v="2025-08-21T00:00:00"/>
    <n v="2025"/>
    <x v="35"/>
    <s v="R"/>
    <s v="RS"/>
    <x v="4"/>
    <s v="MIN"/>
    <s v="H"/>
    <n v="1"/>
    <n v="1"/>
    <n v="0"/>
    <n v="0"/>
    <n v="0"/>
    <n v="0"/>
    <n v="1617.3501470411341"/>
    <n v="1702.0433604288139"/>
    <n v="0.49900238706585132"/>
    <n v="75"/>
    <n v="73"/>
    <n v="0"/>
    <n v="2"/>
    <n v="1"/>
    <n v="0.25018392066076289"/>
    <n v="1"/>
    <n v="70.599999999999994"/>
    <n v="70.599999999999994"/>
    <n v="8.8491132214157346"/>
    <n v="1626.1992602625498"/>
    <n v="1"/>
    <n v="0"/>
    <n v="0"/>
    <n v="0"/>
    <n v="0"/>
    <n v="0"/>
    <n v="0"/>
    <n v="0"/>
    <n v="0"/>
    <n v="0"/>
  </r>
  <r>
    <d v="2025-08-21T00:00:00"/>
    <n v="2025"/>
    <x v="35"/>
    <s v="R"/>
    <s v="RS"/>
    <x v="5"/>
    <s v="CON"/>
    <s v="A"/>
    <n v="1"/>
    <n v="1"/>
    <n v="0"/>
    <n v="0"/>
    <n v="0"/>
    <n v="0"/>
    <n v="1438.1731688557793"/>
    <n v="1359.1310720517897"/>
    <n v="0.49286548802192853"/>
    <n v="56"/>
    <n v="67"/>
    <n v="0"/>
    <n v="-11"/>
    <n v="0"/>
    <n v="0.41265503741276965"/>
    <n v="1"/>
    <n v="70.599999999999994"/>
    <n v="70.599999999999994"/>
    <n v="-14.358869903780121"/>
    <n v="1423.8142989519993"/>
    <n v="0"/>
    <n v="1"/>
    <n v="0"/>
    <n v="0"/>
    <n v="0"/>
    <n v="0"/>
    <n v="0"/>
    <n v="0"/>
    <n v="0"/>
    <n v="0"/>
  </r>
  <r>
    <d v="2025-08-21T00:00:00"/>
    <n v="2025"/>
    <x v="34"/>
    <s v="R"/>
    <s v="RS"/>
    <x v="12"/>
    <s v="WAS"/>
    <s v="H"/>
    <n v="1"/>
    <n v="1"/>
    <n v="0"/>
    <n v="0"/>
    <n v="0"/>
    <n v="0"/>
    <n v="1359.1310720517897"/>
    <n v="1438.1731688557793"/>
    <n v="0.50713451197807158"/>
    <n v="67"/>
    <n v="56"/>
    <n v="0"/>
    <n v="11"/>
    <n v="1"/>
    <n v="0.41265503741276965"/>
    <n v="1"/>
    <n v="70.75"/>
    <n v="70.75"/>
    <n v="14.389377417739993"/>
    <n v="1373.5204494695297"/>
    <n v="1"/>
    <n v="0"/>
    <n v="0"/>
    <n v="0"/>
    <n v="0"/>
    <n v="0"/>
    <n v="0"/>
    <n v="0"/>
    <n v="0"/>
    <n v="0"/>
  </r>
  <r>
    <d v="2025-08-21T00:00:00"/>
    <n v="2025"/>
    <x v="34"/>
    <s v="R"/>
    <s v="RS"/>
    <x v="11"/>
    <s v="LVA"/>
    <s v="A"/>
    <n v="1"/>
    <n v="1"/>
    <n v="0"/>
    <n v="0"/>
    <n v="0"/>
    <n v="0"/>
    <n v="1563.5699465492251"/>
    <n v="1600.3320924077775"/>
    <n v="0.33288557022217952"/>
    <n v="61"/>
    <n v="83"/>
    <n v="0"/>
    <n v="-22"/>
    <n v="0"/>
    <n v="0.58416034805356631"/>
    <n v="1"/>
    <n v="70.75"/>
    <n v="70.75"/>
    <n v="-13.757942452332129"/>
    <n v="1549.8120040968929"/>
    <n v="0"/>
    <n v="1"/>
    <n v="0"/>
    <n v="0"/>
    <n v="0"/>
    <n v="0"/>
    <n v="0"/>
    <n v="0"/>
    <n v="0"/>
    <n v="0"/>
  </r>
  <r>
    <d v="2025-08-21T00:00:00"/>
    <n v="2025"/>
    <x v="36"/>
    <s v="R"/>
    <s v="RS"/>
    <x v="8"/>
    <s v="PHX"/>
    <s v="H"/>
    <n v="1"/>
    <n v="1"/>
    <n v="0"/>
    <n v="0"/>
    <n v="0"/>
    <n v="0"/>
    <n v="1600.3320924077775"/>
    <n v="1563.5699465492251"/>
    <n v="0.66711442977782043"/>
    <n v="83"/>
    <n v="61"/>
    <n v="0"/>
    <n v="22"/>
    <n v="1"/>
    <n v="0.58416034805356631"/>
    <n v="1"/>
    <n v="70.45"/>
    <n v="70.45"/>
    <n v="13.699604887163231"/>
    <n v="1614.0316972949408"/>
    <n v="1"/>
    <n v="0"/>
    <n v="0"/>
    <n v="0"/>
    <n v="0"/>
    <n v="0"/>
    <n v="0"/>
    <n v="0"/>
    <n v="0"/>
    <n v="0"/>
  </r>
  <r>
    <d v="2025-08-21T00:00:00"/>
    <n v="2025"/>
    <x v="34"/>
    <s v="R"/>
    <s v="RS"/>
    <x v="6"/>
    <s v="NYL"/>
    <s v="A"/>
    <n v="1"/>
    <n v="1"/>
    <n v="0"/>
    <n v="0"/>
    <n v="0"/>
    <n v="0"/>
    <n v="1283.7711895374268"/>
    <n v="1603.4609691466821"/>
    <n v="8.9168898661810561E-2"/>
    <n v="91"/>
    <n v="85"/>
    <n v="0"/>
    <n v="6"/>
    <n v="1"/>
    <n v="0.27738352851038856"/>
    <n v="1"/>
    <n v="70.75"/>
    <n v="70.75"/>
    <n v="17.874955292207961"/>
    <n v="1301.6461448296347"/>
    <n v="1"/>
    <n v="0"/>
    <n v="0"/>
    <n v="0"/>
    <n v="0"/>
    <n v="0"/>
    <n v="0"/>
    <n v="0"/>
    <n v="0"/>
    <n v="0"/>
  </r>
  <r>
    <d v="2025-08-21T00:00:00"/>
    <n v="2025"/>
    <x v="35"/>
    <s v="R"/>
    <s v="RS"/>
    <x v="9"/>
    <s v="CHI"/>
    <s v="H"/>
    <n v="1"/>
    <n v="1"/>
    <n v="0"/>
    <n v="0"/>
    <n v="0"/>
    <n v="0"/>
    <n v="1603.4609691466821"/>
    <n v="1283.7711895374268"/>
    <n v="0.91083110133818945"/>
    <n v="85"/>
    <n v="91"/>
    <n v="0"/>
    <n v="-6"/>
    <n v="0"/>
    <n v="0.27738352851038856"/>
    <n v="1"/>
    <n v="70.599999999999994"/>
    <n v="70.599999999999994"/>
    <n v="-17.837057860493029"/>
    <n v="1585.623911286189"/>
    <n v="0"/>
    <n v="1"/>
    <n v="0"/>
    <n v="0"/>
    <n v="0"/>
    <n v="0"/>
    <n v="0"/>
    <n v="0"/>
    <n v="0"/>
    <n v="0"/>
  </r>
  <r>
    <d v="2025-08-22T00:00:00"/>
    <n v="2025"/>
    <x v="36"/>
    <s v="R"/>
    <s v="RS"/>
    <x v="10"/>
    <s v="DAL"/>
    <s v="A"/>
    <n v="2"/>
    <n v="1"/>
    <n v="1"/>
    <n v="-1"/>
    <n v="8"/>
    <n v="-8"/>
    <n v="1497.6161781142544"/>
    <n v="1338.4779860940248"/>
    <n v="0.62823061843647621"/>
    <n v="95"/>
    <n v="60"/>
    <n v="0"/>
    <n v="35"/>
    <n v="1"/>
    <n v="0.67293385560387464"/>
    <n v="1"/>
    <n v="70.45"/>
    <n v="70.45"/>
    <n v="17.624913524669662"/>
    <n v="1515.241091638924"/>
    <n v="1"/>
    <n v="0"/>
    <n v="0"/>
    <n v="0"/>
    <n v="0"/>
    <n v="0"/>
    <n v="0"/>
    <n v="0"/>
    <n v="0"/>
    <n v="0"/>
  </r>
  <r>
    <d v="2025-08-22T00:00:00"/>
    <n v="2025"/>
    <x v="36"/>
    <s v="R"/>
    <s v="RS"/>
    <x v="1"/>
    <s v="SEA"/>
    <s v="H"/>
    <n v="1"/>
    <n v="2"/>
    <n v="-1"/>
    <n v="1"/>
    <n v="-8"/>
    <n v="8"/>
    <n v="1338.4779860940248"/>
    <n v="1497.6161781142544"/>
    <n v="0.37176938156352379"/>
    <n v="60"/>
    <n v="95"/>
    <n v="0"/>
    <n v="-35"/>
    <n v="0"/>
    <n v="0.67293385560387464"/>
    <n v="1"/>
    <n v="70.45"/>
    <n v="70.45"/>
    <n v="-17.624913524669662"/>
    <n v="1320.8530725693552"/>
    <n v="0"/>
    <n v="1"/>
    <n v="0"/>
    <n v="0"/>
    <n v="0"/>
    <n v="0"/>
    <n v="0"/>
    <n v="0"/>
    <n v="0"/>
    <n v="0"/>
  </r>
  <r>
    <d v="2025-08-22T00:00:00"/>
    <n v="2025"/>
    <x v="36"/>
    <s v="R"/>
    <s v="RS"/>
    <x v="0"/>
    <s v="IND"/>
    <s v="A"/>
    <n v="0"/>
    <n v="4"/>
    <n v="-4"/>
    <n v="4"/>
    <n v="-16"/>
    <n v="16"/>
    <n v="1693.1942472073981"/>
    <n v="1534.3215517161786"/>
    <n v="0.5613875027751114"/>
    <n v="95"/>
    <n v="90"/>
    <n v="0"/>
    <n v="5"/>
    <n v="1"/>
    <n v="0.29296870256826035"/>
    <n v="1"/>
    <n v="70.45"/>
    <n v="70.45"/>
    <n v="9.0528062773630129"/>
    <n v="1702.2470534847612"/>
    <n v="1"/>
    <n v="0"/>
    <n v="0"/>
    <n v="0"/>
    <n v="0"/>
    <n v="0"/>
    <n v="0"/>
    <n v="0"/>
    <n v="0"/>
    <n v="0"/>
  </r>
  <r>
    <d v="2025-08-22T00:00:00"/>
    <n v="2025"/>
    <x v="36"/>
    <s v="R"/>
    <s v="RS"/>
    <x v="7"/>
    <s v="MIN"/>
    <s v="H"/>
    <n v="4"/>
    <n v="0"/>
    <n v="4"/>
    <n v="-4"/>
    <n v="16"/>
    <n v="-16"/>
    <n v="1534.3215517161786"/>
    <n v="1693.1942472073981"/>
    <n v="0.43861249722488865"/>
    <n v="90"/>
    <n v="95"/>
    <n v="0"/>
    <n v="-5"/>
    <n v="0"/>
    <n v="0.29296870256826035"/>
    <n v="1"/>
    <n v="70.45"/>
    <n v="70.45"/>
    <n v="-9.0528062773630129"/>
    <n v="1525.2687454388156"/>
    <n v="0"/>
    <n v="1"/>
    <n v="0"/>
    <n v="0"/>
    <n v="0"/>
    <n v="0"/>
    <n v="0"/>
    <n v="0"/>
    <n v="0"/>
    <n v="0"/>
  </r>
  <r>
    <d v="2025-08-22T00:00:00"/>
    <n v="2025"/>
    <x v="35"/>
    <s v="R"/>
    <s v="RS"/>
    <x v="3"/>
    <s v="PHX"/>
    <s v="A"/>
    <n v="2"/>
    <n v="0"/>
    <n v="2"/>
    <n v="-2"/>
    <n v="16"/>
    <n v="-16"/>
    <n v="1503.6344344747611"/>
    <n v="1549.8120040968929"/>
    <n v="0.36235541293510537"/>
    <n v="72"/>
    <n v="81"/>
    <n v="0"/>
    <n v="-9"/>
    <n v="0"/>
    <n v="0.39092810242476977"/>
    <n v="1"/>
    <n v="70.599999999999994"/>
    <n v="70.599999999999994"/>
    <n v="-10.000836927133761"/>
    <n v="1493.6335975476272"/>
    <n v="0"/>
    <n v="1"/>
    <n v="0"/>
    <n v="0"/>
    <n v="0"/>
    <n v="0"/>
    <n v="0"/>
    <n v="0"/>
    <n v="0"/>
    <n v="0"/>
  </r>
  <r>
    <d v="2025-08-22T00:00:00"/>
    <n v="2025"/>
    <x v="35"/>
    <s v="R"/>
    <s v="RS"/>
    <x v="11"/>
    <s v="GSV"/>
    <s v="H"/>
    <n v="0"/>
    <n v="2"/>
    <n v="-2"/>
    <n v="2"/>
    <n v="-16"/>
    <n v="16"/>
    <n v="1549.8120040968929"/>
    <n v="1503.6344344747611"/>
    <n v="0.63764458706489469"/>
    <n v="81"/>
    <n v="72"/>
    <n v="0"/>
    <n v="9"/>
    <n v="1"/>
    <n v="0.39092810242476977"/>
    <n v="1"/>
    <n v="70.599999999999994"/>
    <n v="70.599999999999994"/>
    <n v="10.00083692713376"/>
    <n v="1559.8128410240267"/>
    <n v="1"/>
    <n v="0"/>
    <n v="0"/>
    <n v="0"/>
    <n v="0"/>
    <n v="0"/>
    <n v="0"/>
    <n v="0"/>
    <n v="0"/>
    <n v="0"/>
  </r>
  <r>
    <d v="2025-08-23T00:00:00"/>
    <n v="2025"/>
    <x v="36"/>
    <s v="R"/>
    <s v="RS"/>
    <x v="9"/>
    <s v="ATL"/>
    <s v="A"/>
    <n v="1"/>
    <n v="1"/>
    <n v="0"/>
    <n v="0"/>
    <n v="0"/>
    <n v="0"/>
    <n v="1585.623911286189"/>
    <n v="1626.1992602625498"/>
    <n v="0.32802895854919556"/>
    <n v="62"/>
    <n v="78"/>
    <n v="0"/>
    <n v="-16"/>
    <n v="0"/>
    <n v="0.50085086669565448"/>
    <n v="1"/>
    <n v="70.45"/>
    <n v="70.45"/>
    <n v="-11.574483288030414"/>
    <n v="1574.0494279981585"/>
    <n v="0"/>
    <n v="1"/>
    <n v="0"/>
    <n v="0"/>
    <n v="0"/>
    <n v="0"/>
    <n v="0"/>
    <n v="0"/>
    <n v="0"/>
    <n v="0"/>
  </r>
  <r>
    <d v="2025-08-23T00:00:00"/>
    <n v="2025"/>
    <x v="36"/>
    <s v="R"/>
    <s v="RS"/>
    <x v="4"/>
    <s v="NYL"/>
    <s v="H"/>
    <n v="1"/>
    <n v="1"/>
    <n v="0"/>
    <n v="0"/>
    <n v="0"/>
    <n v="0"/>
    <n v="1626.1992602625498"/>
    <n v="1585.623911286189"/>
    <n v="0.67197104145080444"/>
    <n v="78"/>
    <n v="62"/>
    <n v="0"/>
    <n v="16"/>
    <n v="1"/>
    <n v="0.50085086669565448"/>
    <n v="1"/>
    <n v="70.45"/>
    <n v="70.45"/>
    <n v="11.574483288030414"/>
    <n v="1637.7737435505803"/>
    <n v="1"/>
    <n v="0"/>
    <n v="0"/>
    <n v="0"/>
    <n v="0"/>
    <n v="0"/>
    <n v="0"/>
    <n v="0"/>
    <n v="0"/>
    <n v="0"/>
  </r>
  <r>
    <d v="2025-08-23T00:00:00"/>
    <n v="2025"/>
    <x v="35"/>
    <s v="R"/>
    <s v="RS"/>
    <x v="12"/>
    <s v="CHI"/>
    <s v="A"/>
    <n v="1"/>
    <n v="1"/>
    <n v="0"/>
    <n v="0"/>
    <n v="0"/>
    <n v="0"/>
    <n v="1373.5204494695297"/>
    <n v="1301.6461448296347"/>
    <n v="0.48255680328544426"/>
    <n v="94"/>
    <n v="84"/>
    <n v="0"/>
    <n v="10"/>
    <n v="1"/>
    <n v="0.39921841124269064"/>
    <n v="1"/>
    <n v="70.599999999999994"/>
    <n v="70.599999999999994"/>
    <n v="14.584043273591112"/>
    <n v="1388.1044927431208"/>
    <n v="1"/>
    <n v="0"/>
    <n v="0"/>
    <n v="0"/>
    <n v="0"/>
    <n v="0"/>
    <n v="0"/>
    <n v="0"/>
    <n v="0"/>
    <n v="0"/>
  </r>
  <r>
    <d v="2025-08-23T00:00:00"/>
    <n v="2025"/>
    <x v="35"/>
    <s v="R"/>
    <s v="RS"/>
    <x v="6"/>
    <s v="CON"/>
    <s v="H"/>
    <n v="1"/>
    <n v="1"/>
    <n v="0"/>
    <n v="0"/>
    <n v="0"/>
    <n v="0"/>
    <n v="1301.6461448296347"/>
    <n v="1373.5204494695297"/>
    <n v="0.51744319671455574"/>
    <n v="84"/>
    <n v="94"/>
    <n v="0"/>
    <n v="-10"/>
    <n v="0"/>
    <n v="0.39921841124269064"/>
    <n v="1"/>
    <n v="70.599999999999994"/>
    <n v="70.599999999999994"/>
    <n v="-14.584043273591112"/>
    <n v="1287.0621015560437"/>
    <n v="0"/>
    <n v="1"/>
    <n v="0"/>
    <n v="0"/>
    <n v="0"/>
    <n v="0"/>
    <n v="0"/>
    <n v="0"/>
    <n v="0"/>
    <n v="0"/>
  </r>
  <r>
    <d v="2025-08-23T00:00:00"/>
    <n v="2025"/>
    <x v="37"/>
    <s v="R"/>
    <s v="RS"/>
    <x v="8"/>
    <s v="WAS"/>
    <s v="A"/>
    <n v="1"/>
    <n v="1"/>
    <n v="0"/>
    <n v="0"/>
    <n v="0"/>
    <n v="0"/>
    <n v="1614.0316972949408"/>
    <n v="1423.8142989519993"/>
    <n v="0.6482684163539717"/>
    <n v="91"/>
    <n v="81"/>
    <n v="0"/>
    <n v="10"/>
    <n v="1"/>
    <n v="0.36523470343843772"/>
    <n v="1"/>
    <n v="70.3"/>
    <n v="70.3"/>
    <n v="9.0310600191951114"/>
    <n v="1623.062757314136"/>
    <n v="1"/>
    <n v="0"/>
    <n v="0"/>
    <n v="0"/>
    <n v="0"/>
    <n v="0"/>
    <n v="0"/>
    <n v="0"/>
    <n v="0"/>
    <n v="0"/>
  </r>
  <r>
    <d v="2025-08-23T00:00:00"/>
    <n v="2025"/>
    <x v="36"/>
    <s v="R"/>
    <s v="RS"/>
    <x v="5"/>
    <s v="LVA"/>
    <s v="H"/>
    <n v="1"/>
    <n v="1"/>
    <n v="0"/>
    <n v="0"/>
    <n v="0"/>
    <n v="0"/>
    <n v="1423.8142989519993"/>
    <n v="1614.0316972949408"/>
    <n v="0.3517315836460283"/>
    <n v="81"/>
    <n v="91"/>
    <n v="0"/>
    <n v="-10"/>
    <n v="0"/>
    <n v="0.36523470343843772"/>
    <n v="1"/>
    <n v="70.45"/>
    <n v="70.45"/>
    <n v="-9.050329706291544"/>
    <n v="1414.7639692457078"/>
    <n v="0"/>
    <n v="1"/>
    <n v="0"/>
    <n v="0"/>
    <n v="0"/>
    <n v="0"/>
    <n v="0"/>
    <n v="0"/>
    <n v="0"/>
    <n v="0"/>
  </r>
  <r>
    <d v="2025-08-24T00:00:00"/>
    <n v="2025"/>
    <x v="36"/>
    <s v="R"/>
    <s v="RS"/>
    <x v="3"/>
    <s v="DAL"/>
    <s v="A"/>
    <n v="1"/>
    <n v="1"/>
    <n v="0"/>
    <n v="0"/>
    <n v="0"/>
    <n v="0"/>
    <n v="1493.6335975476272"/>
    <n v="1320.8530725693552"/>
    <n v="0.62505534828193343"/>
    <n v="90"/>
    <n v="81"/>
    <n v="0"/>
    <n v="9"/>
    <n v="1"/>
    <n v="0.35487525042242429"/>
    <n v="1"/>
    <n v="70.45"/>
    <n v="70.45"/>
    <n v="9.3739767618376764"/>
    <n v="1503.0075743094649"/>
    <n v="1"/>
    <n v="0"/>
    <n v="0"/>
    <n v="0"/>
    <n v="0"/>
    <n v="0"/>
    <n v="0"/>
    <n v="0"/>
    <n v="0"/>
    <n v="0"/>
  </r>
  <r>
    <d v="2025-08-24T00:00:00"/>
    <n v="2025"/>
    <x v="37"/>
    <s v="R"/>
    <s v="RS"/>
    <x v="1"/>
    <s v="GSV"/>
    <s v="H"/>
    <n v="1"/>
    <n v="1"/>
    <n v="0"/>
    <n v="0"/>
    <n v="0"/>
    <n v="0"/>
    <n v="1320.8530725693552"/>
    <n v="1493.6335975476272"/>
    <n v="0.37494465171806657"/>
    <n v="81"/>
    <n v="90"/>
    <n v="0"/>
    <n v="-9"/>
    <n v="0"/>
    <n v="0.35487525042242429"/>
    <n v="1"/>
    <n v="70.3"/>
    <n v="70.3"/>
    <n v="-9.3540179752617263"/>
    <n v="1311.4990545940934"/>
    <n v="0"/>
    <n v="1"/>
    <n v="0"/>
    <n v="0"/>
    <n v="0"/>
    <n v="0"/>
    <n v="0"/>
    <n v="0"/>
    <n v="0"/>
    <n v="0"/>
  </r>
  <r>
    <d v="2025-08-24T00:00:00"/>
    <n v="2025"/>
    <x v="37"/>
    <s v="R"/>
    <s v="RS"/>
    <x v="7"/>
    <s v="MIN"/>
    <s v="A"/>
    <n v="1"/>
    <n v="1"/>
    <n v="0"/>
    <n v="0"/>
    <n v="0"/>
    <n v="0"/>
    <n v="1525.2687454388156"/>
    <n v="1702.2470534847612"/>
    <n v="0.18208096461885873"/>
    <n v="84"/>
    <n v="97"/>
    <n v="0"/>
    <n v="-13"/>
    <n v="0"/>
    <n v="0.41137358770799187"/>
    <n v="1"/>
    <n v="70.3"/>
    <n v="70.3"/>
    <n v="-5.2657019667020064"/>
    <n v="1520.0030434721136"/>
    <n v="0"/>
    <n v="1"/>
    <n v="0"/>
    <n v="0"/>
    <n v="0"/>
    <n v="0"/>
    <n v="0"/>
    <n v="0"/>
    <n v="0"/>
    <n v="0"/>
  </r>
  <r>
    <d v="2025-08-24T00:00:00"/>
    <n v="2025"/>
    <x v="37"/>
    <s v="R"/>
    <s v="RS"/>
    <x v="0"/>
    <s v="IND"/>
    <s v="H"/>
    <n v="1"/>
    <n v="1"/>
    <n v="0"/>
    <n v="0"/>
    <n v="0"/>
    <n v="0"/>
    <n v="1702.2470534847612"/>
    <n v="1525.2687454388156"/>
    <n v="0.81791903538114119"/>
    <n v="97"/>
    <n v="84"/>
    <n v="0"/>
    <n v="13"/>
    <n v="1"/>
    <n v="0.41137358770799187"/>
    <n v="1"/>
    <n v="70.3"/>
    <n v="70.3"/>
    <n v="5.2657019667020091"/>
    <n v="1707.5127554514631"/>
    <n v="1"/>
    <n v="0"/>
    <n v="0"/>
    <n v="0"/>
    <n v="0"/>
    <n v="0"/>
    <n v="0"/>
    <n v="0"/>
    <n v="0"/>
    <n v="0"/>
  </r>
  <r>
    <d v="2025-08-24T00:00:00"/>
    <n v="2025"/>
    <x v="37"/>
    <s v="R"/>
    <s v="RS"/>
    <x v="10"/>
    <s v="WAS"/>
    <s v="A"/>
    <n v="1"/>
    <n v="0"/>
    <n v="1"/>
    <n v="-1"/>
    <n v="8"/>
    <n v="-8"/>
    <n v="1515.241091638924"/>
    <n v="1414.7639692457078"/>
    <n v="0.54660267884921132"/>
    <n v="84"/>
    <n v="82"/>
    <n v="0"/>
    <n v="2"/>
    <n v="1"/>
    <n v="0.24714743491998276"/>
    <n v="1"/>
    <n v="70.3"/>
    <n v="70.3"/>
    <n v="7.8775357400172368"/>
    <n v="1523.1186273789413"/>
    <n v="1"/>
    <n v="0"/>
    <n v="0"/>
    <n v="0"/>
    <n v="0"/>
    <n v="0"/>
    <n v="0"/>
    <n v="0"/>
    <n v="0"/>
    <n v="0"/>
  </r>
  <r>
    <d v="2025-08-24T00:00:00"/>
    <n v="2025"/>
    <x v="37"/>
    <s v="R"/>
    <s v="RS"/>
    <x v="5"/>
    <s v="SEA"/>
    <s v="H"/>
    <n v="0"/>
    <n v="1"/>
    <n v="-1"/>
    <n v="1"/>
    <n v="-8"/>
    <n v="8"/>
    <n v="1414.7639692457078"/>
    <n v="1515.241091638924"/>
    <n v="0.45339732115078873"/>
    <n v="82"/>
    <n v="84"/>
    <n v="0"/>
    <n v="-2"/>
    <n v="0"/>
    <n v="0.24714743491998276"/>
    <n v="1"/>
    <n v="70.3"/>
    <n v="70.3"/>
    <n v="-7.8775357400172377"/>
    <n v="1406.8864335056905"/>
    <n v="0"/>
    <n v="1"/>
    <n v="0"/>
    <n v="0"/>
    <n v="0"/>
    <n v="0"/>
    <n v="0"/>
    <n v="0"/>
    <n v="0"/>
    <n v="0"/>
  </r>
  <r>
    <d v="2025-08-25T00:00:00"/>
    <n v="2025"/>
    <x v="38"/>
    <s v="R"/>
    <s v="RS"/>
    <x v="8"/>
    <s v="CHI"/>
    <s v="A"/>
    <n v="1"/>
    <n v="1"/>
    <n v="0"/>
    <n v="0"/>
    <n v="0"/>
    <n v="0"/>
    <n v="1623.062757314136"/>
    <n v="1287.0621015560437"/>
    <n v="0.81009573933028944"/>
    <n v="79"/>
    <n v="74"/>
    <n v="0"/>
    <n v="5"/>
    <n v="1"/>
    <n v="0.25918424517664784"/>
    <n v="1"/>
    <n v="70.150000000000006"/>
    <n v="70.150000000000006"/>
    <n v="3.4527965008942081"/>
    <n v="1626.5155538150302"/>
    <n v="1"/>
    <n v="0"/>
    <n v="0"/>
    <n v="0"/>
    <n v="0"/>
    <n v="0"/>
    <n v="0"/>
    <n v="0"/>
    <n v="0"/>
    <n v="0"/>
  </r>
  <r>
    <d v="2025-08-25T00:00:00"/>
    <n v="2025"/>
    <x v="36"/>
    <s v="R"/>
    <s v="RS"/>
    <x v="6"/>
    <s v="LVA"/>
    <s v="H"/>
    <n v="1"/>
    <n v="1"/>
    <n v="0"/>
    <n v="0"/>
    <n v="0"/>
    <n v="0"/>
    <n v="1287.0621015560437"/>
    <n v="1623.062757314136"/>
    <n v="0.18990426066971056"/>
    <n v="74"/>
    <n v="79"/>
    <n v="0"/>
    <n v="-5"/>
    <n v="0"/>
    <n v="0.25918424517664784"/>
    <n v="1"/>
    <n v="70.45"/>
    <n v="70.45"/>
    <n v="-3.4675625586314598"/>
    <n v="1283.5945389974122"/>
    <n v="0"/>
    <n v="1"/>
    <n v="0"/>
    <n v="0"/>
    <n v="0"/>
    <n v="0"/>
    <n v="0"/>
    <n v="0"/>
    <n v="0"/>
    <n v="0"/>
  </r>
  <r>
    <d v="2025-08-25T00:00:00"/>
    <n v="2025"/>
    <x v="36"/>
    <s v="R"/>
    <s v="RS"/>
    <x v="12"/>
    <s v="NYL"/>
    <s v="A"/>
    <n v="1"/>
    <n v="1"/>
    <n v="0"/>
    <n v="0"/>
    <n v="0"/>
    <n v="0"/>
    <n v="1388.1044927431208"/>
    <n v="1574.0494279981585"/>
    <n v="0.17451967261065185"/>
    <n v="79"/>
    <n v="81"/>
    <n v="0"/>
    <n v="-2"/>
    <n v="0"/>
    <n v="0.23190646092476894"/>
    <n v="1"/>
    <n v="70.45"/>
    <n v="70.45"/>
    <n v="-2.8512692824185906"/>
    <n v="1385.2532234607022"/>
    <n v="0"/>
    <n v="1"/>
    <n v="0"/>
    <n v="0"/>
    <n v="0"/>
    <n v="0"/>
    <n v="0"/>
    <n v="0"/>
    <n v="0"/>
    <n v="0"/>
  </r>
  <r>
    <d v="2025-08-25T00:00:00"/>
    <n v="2025"/>
    <x v="37"/>
    <s v="R"/>
    <s v="RS"/>
    <x v="9"/>
    <s v="CON"/>
    <s v="H"/>
    <n v="1"/>
    <n v="1"/>
    <n v="0"/>
    <n v="0"/>
    <n v="0"/>
    <n v="0"/>
    <n v="1574.0494279981585"/>
    <n v="1388.1044927431208"/>
    <n v="0.82548032738934818"/>
    <n v="81"/>
    <n v="79"/>
    <n v="0"/>
    <n v="2"/>
    <n v="1"/>
    <n v="0.23190646092476894"/>
    <n v="1"/>
    <n v="70.3"/>
    <n v="70.3"/>
    <n v="2.8451984464730571"/>
    <n v="1576.8946264446315"/>
    <n v="1"/>
    <n v="0"/>
    <n v="0"/>
    <n v="0"/>
    <n v="0"/>
    <n v="0"/>
    <n v="0"/>
    <n v="0"/>
    <n v="0"/>
    <n v="0"/>
  </r>
  <r>
    <d v="2025-08-26T00:00:00"/>
    <n v="2025"/>
    <x v="38"/>
    <s v="R"/>
    <s v="RS"/>
    <x v="10"/>
    <s v="IND"/>
    <s v="A"/>
    <n v="1"/>
    <n v="1"/>
    <n v="0"/>
    <n v="0"/>
    <n v="0"/>
    <n v="0"/>
    <n v="1523.1186273789413"/>
    <n v="1520.0030434721136"/>
    <n v="0.38565626643676804"/>
    <n v="75"/>
    <n v="95"/>
    <n v="0"/>
    <n v="-20"/>
    <n v="0"/>
    <n v="0.57339863264877478"/>
    <n v="1"/>
    <n v="70.150000000000006"/>
    <n v="70.150000000000006"/>
    <n v="-15.512604525686298"/>
    <n v="1507.6060228532549"/>
    <n v="0"/>
    <n v="1"/>
    <n v="0"/>
    <n v="0"/>
    <n v="0"/>
    <n v="0"/>
    <n v="0"/>
    <n v="0"/>
    <n v="0"/>
    <n v="0"/>
  </r>
  <r>
    <d v="2025-08-26T00:00:00"/>
    <n v="2025"/>
    <x v="38"/>
    <s v="R"/>
    <s v="RS"/>
    <x v="7"/>
    <s v="SEA"/>
    <s v="H"/>
    <n v="1"/>
    <n v="1"/>
    <n v="0"/>
    <n v="0"/>
    <n v="0"/>
    <n v="0"/>
    <n v="1520.0030434721136"/>
    <n v="1523.1186273789413"/>
    <n v="0.61434373356323202"/>
    <n v="95"/>
    <n v="75"/>
    <n v="0"/>
    <n v="20"/>
    <n v="1"/>
    <n v="0.57339863264877478"/>
    <n v="1"/>
    <n v="70.150000000000006"/>
    <n v="70.150000000000006"/>
    <n v="15.512604525686294"/>
    <n v="1535.5156479978"/>
    <n v="1"/>
    <n v="0"/>
    <n v="0"/>
    <n v="0"/>
    <n v="0"/>
    <n v="0"/>
    <n v="0"/>
    <n v="0"/>
    <n v="0"/>
    <n v="0"/>
  </r>
  <r>
    <d v="2025-08-26T00:00:00"/>
    <n v="2025"/>
    <x v="36"/>
    <s v="R"/>
    <s v="RS"/>
    <x v="11"/>
    <s v="LAS"/>
    <s v="A"/>
    <n v="3"/>
    <n v="5"/>
    <n v="-2"/>
    <n v="2"/>
    <n v="-16"/>
    <n v="16"/>
    <n v="1559.8128410240267"/>
    <n v="1456.8140505007698"/>
    <n v="0.48129848392831004"/>
    <n v="92"/>
    <n v="84"/>
    <n v="0"/>
    <n v="8"/>
    <n v="1"/>
    <n v="0.35762016464841023"/>
    <n v="1"/>
    <n v="70.45"/>
    <n v="70.45"/>
    <n v="13.068342665377065"/>
    <n v="1572.8811836894038"/>
    <n v="1"/>
    <n v="0"/>
    <n v="0"/>
    <n v="0"/>
    <n v="0"/>
    <n v="0"/>
    <n v="0"/>
    <n v="0"/>
    <n v="0"/>
    <n v="0"/>
  </r>
  <r>
    <d v="2025-08-26T00:00:00"/>
    <n v="2025"/>
    <x v="35"/>
    <s v="R"/>
    <s v="RS"/>
    <x v="2"/>
    <s v="PHX"/>
    <s v="H"/>
    <n v="5"/>
    <n v="3"/>
    <n v="2"/>
    <n v="-2"/>
    <n v="16"/>
    <n v="-16"/>
    <n v="1456.8140505007698"/>
    <n v="1559.8128410240267"/>
    <n v="0.51870151607168991"/>
    <n v="84"/>
    <n v="92"/>
    <n v="0"/>
    <n v="-8"/>
    <n v="0"/>
    <n v="0.35762016464841023"/>
    <n v="1"/>
    <n v="70.599999999999994"/>
    <n v="70.599999999999994"/>
    <n v="-13.096167383614203"/>
    <n v="1443.7178831171557"/>
    <n v="0"/>
    <n v="1"/>
    <n v="0"/>
    <n v="0"/>
    <n v="0"/>
    <n v="0"/>
    <n v="0"/>
    <n v="0"/>
    <n v="0"/>
    <n v="0"/>
  </r>
  <r>
    <d v="2025-08-27T00:00:00"/>
    <n v="2025"/>
    <x v="39"/>
    <s v="R"/>
    <s v="RS"/>
    <x v="8"/>
    <s v="ATL"/>
    <s v="A"/>
    <n v="1"/>
    <n v="3"/>
    <n v="-2"/>
    <n v="2"/>
    <n v="-16"/>
    <n v="16"/>
    <n v="1626.5155538150302"/>
    <n v="1637.7737435505803"/>
    <n v="0.32463385653223775"/>
    <n v="81"/>
    <n v="75"/>
    <n v="0"/>
    <n v="6"/>
    <n v="1"/>
    <n v="0.34801573841265232"/>
    <n v="1"/>
    <n v="70"/>
    <n v="70"/>
    <n v="16.452663298248698"/>
    <n v="1642.968217113279"/>
    <n v="1"/>
    <n v="0"/>
    <n v="0"/>
    <n v="0"/>
    <n v="0"/>
    <n v="0"/>
    <n v="0"/>
    <n v="0"/>
    <n v="0"/>
    <n v="0"/>
  </r>
  <r>
    <d v="2025-08-27T00:00:00"/>
    <n v="2025"/>
    <x v="37"/>
    <s v="R"/>
    <s v="RS"/>
    <x v="4"/>
    <s v="LVA"/>
    <s v="H"/>
    <n v="3"/>
    <n v="1"/>
    <n v="2"/>
    <n v="-2"/>
    <n v="16"/>
    <n v="-16"/>
    <n v="1637.7737435505803"/>
    <n v="1626.5155538150302"/>
    <n v="0.67536614346776214"/>
    <n v="75"/>
    <n v="81"/>
    <n v="0"/>
    <n v="-6"/>
    <n v="0"/>
    <n v="0.34801573841265232"/>
    <n v="1"/>
    <n v="70.3"/>
    <n v="70.3"/>
    <n v="-16.523174712384048"/>
    <n v="1621.2505688381962"/>
    <n v="0"/>
    <n v="1"/>
    <n v="0"/>
    <n v="0"/>
    <n v="0"/>
    <n v="0"/>
    <n v="0"/>
    <n v="0"/>
    <n v="0"/>
    <n v="0"/>
  </r>
  <r>
    <d v="2025-08-27T00:00:00"/>
    <n v="2025"/>
    <x v="37"/>
    <s v="R"/>
    <s v="RS"/>
    <x v="12"/>
    <s v="DAL"/>
    <s v="A"/>
    <n v="1"/>
    <n v="2"/>
    <n v="-1"/>
    <n v="1"/>
    <n v="-8"/>
    <n v="8"/>
    <n v="1385.2532234607022"/>
    <n v="1311.4990545940934"/>
    <n v="0.46230089588251272"/>
    <n v="101"/>
    <n v="95"/>
    <n v="0"/>
    <n v="6"/>
    <n v="1"/>
    <n v="0.3309405563589049"/>
    <n v="1"/>
    <n v="70.3"/>
    <n v="70.3"/>
    <n v="12.509634779123914"/>
    <n v="1397.7628582398261"/>
    <n v="1"/>
    <n v="0"/>
    <n v="0"/>
    <n v="0"/>
    <n v="0"/>
    <n v="0"/>
    <n v="0"/>
    <n v="0"/>
    <n v="0"/>
    <n v="0"/>
  </r>
  <r>
    <d v="2025-08-27T00:00:00"/>
    <n v="2025"/>
    <x v="38"/>
    <s v="R"/>
    <s v="RS"/>
    <x v="1"/>
    <s v="CON"/>
    <s v="H"/>
    <n v="2"/>
    <n v="1"/>
    <n v="1"/>
    <n v="-1"/>
    <n v="8"/>
    <n v="-8"/>
    <n v="1311.4990545940934"/>
    <n v="1385.2532234607022"/>
    <n v="0.53769910411748723"/>
    <n v="95"/>
    <n v="101"/>
    <n v="0"/>
    <n v="-6"/>
    <n v="0"/>
    <n v="0.3309405563589049"/>
    <n v="1"/>
    <n v="70.150000000000006"/>
    <n v="70.150000000000006"/>
    <n v="-12.482942813023366"/>
    <n v="1299.0161117810701"/>
    <n v="0"/>
    <n v="1"/>
    <n v="0"/>
    <n v="0"/>
    <n v="0"/>
    <n v="0"/>
    <n v="0"/>
    <n v="0"/>
    <n v="0"/>
    <n v="0"/>
  </r>
  <r>
    <d v="2025-08-28T00:00:00"/>
    <n v="2025"/>
    <x v="39"/>
    <s v="R"/>
    <s v="RS"/>
    <x v="10"/>
    <s v="MIN"/>
    <s v="A"/>
    <n v="1"/>
    <n v="3"/>
    <n v="-2"/>
    <n v="2"/>
    <n v="-16"/>
    <n v="16"/>
    <n v="1507.6060228532549"/>
    <n v="1707.5127554514631"/>
    <n v="0.13961331780300062"/>
    <n v="93"/>
    <n v="79"/>
    <n v="0"/>
    <n v="14"/>
    <n v="1"/>
    <n v="0.41797764852157582"/>
    <n v="1"/>
    <n v="70"/>
    <n v="70"/>
    <n v="25.173568157078755"/>
    <n v="1532.7795910103337"/>
    <n v="1"/>
    <n v="0"/>
    <n v="0"/>
    <n v="0"/>
    <n v="0"/>
    <n v="0"/>
    <n v="0"/>
    <n v="0"/>
    <n v="0"/>
    <n v="0"/>
  </r>
  <r>
    <d v="2025-08-28T00:00:00"/>
    <n v="2025"/>
    <x v="38"/>
    <s v="R"/>
    <s v="RS"/>
    <x v="0"/>
    <s v="SEA"/>
    <s v="H"/>
    <n v="3"/>
    <n v="1"/>
    <n v="2"/>
    <n v="-2"/>
    <n v="16"/>
    <n v="-16"/>
    <n v="1707.5127554514631"/>
    <n v="1507.6060228532549"/>
    <n v="0.86038668219699932"/>
    <n v="79"/>
    <n v="93"/>
    <n v="0"/>
    <n v="-14"/>
    <n v="0"/>
    <n v="0.41797764852157582"/>
    <n v="1"/>
    <n v="70.150000000000006"/>
    <n v="70.150000000000006"/>
    <n v="-25.227511517415348"/>
    <n v="1682.2852439340477"/>
    <n v="0"/>
    <n v="1"/>
    <n v="0"/>
    <n v="0"/>
    <n v="0"/>
    <n v="0"/>
    <n v="0"/>
    <n v="0"/>
    <n v="0"/>
    <n v="0"/>
  </r>
  <r>
    <d v="2025-08-28T00:00:00"/>
    <n v="2025"/>
    <x v="38"/>
    <s v="R"/>
    <s v="RS"/>
    <x v="5"/>
    <s v="NYL"/>
    <s v="A"/>
    <n v="3"/>
    <n v="2"/>
    <n v="1"/>
    <n v="-1"/>
    <n v="8"/>
    <n v="-8"/>
    <n v="1406.8864335056905"/>
    <n v="1576.8946264446315"/>
    <n v="0.20260606646517798"/>
    <n v="63"/>
    <n v="89"/>
    <n v="0"/>
    <n v="-26"/>
    <n v="0"/>
    <n v="0.57291982680514186"/>
    <n v="1"/>
    <n v="70.150000000000006"/>
    <n v="70.150000000000006"/>
    <n v="-8.1428038304993926"/>
    <n v="1398.7436296751912"/>
    <n v="0"/>
    <n v="1"/>
    <n v="0"/>
    <n v="0"/>
    <n v="0"/>
    <n v="0"/>
    <n v="0"/>
    <n v="0"/>
    <n v="0"/>
    <n v="0"/>
  </r>
  <r>
    <d v="2025-08-28T00:00:00"/>
    <n v="2025"/>
    <x v="38"/>
    <s v="R"/>
    <s v="RS"/>
    <x v="9"/>
    <s v="WAS"/>
    <s v="H"/>
    <n v="2"/>
    <n v="3"/>
    <n v="-1"/>
    <n v="1"/>
    <n v="-8"/>
    <n v="8"/>
    <n v="1576.8946264446315"/>
    <n v="1406.8864335056905"/>
    <n v="0.79739393353482202"/>
    <n v="89"/>
    <n v="63"/>
    <n v="0"/>
    <n v="26"/>
    <n v="1"/>
    <n v="0.57291982680514186"/>
    <n v="1"/>
    <n v="70.150000000000006"/>
    <n v="70.150000000000006"/>
    <n v="8.1428038304993926"/>
    <n v="1585.0374302751309"/>
    <n v="1"/>
    <n v="0"/>
    <n v="0"/>
    <n v="0"/>
    <n v="0"/>
    <n v="0"/>
    <n v="0"/>
    <n v="0"/>
    <n v="0"/>
    <n v="0"/>
  </r>
  <r>
    <d v="2025-08-28T00:00:00"/>
    <n v="2025"/>
    <x v="37"/>
    <s v="R"/>
    <s v="RS"/>
    <x v="6"/>
    <s v="PHX"/>
    <s v="A"/>
    <n v="2"/>
    <n v="1"/>
    <n v="1"/>
    <n v="-1"/>
    <n v="8"/>
    <n v="-8"/>
    <n v="1283.5945389974122"/>
    <n v="1572.8811836894038"/>
    <n v="0.11337640289051074"/>
    <n v="79"/>
    <n v="83"/>
    <n v="0"/>
    <n v="-4"/>
    <n v="0"/>
    <n v="0.25093844977166663"/>
    <n v="1"/>
    <n v="70.3"/>
    <n v="70.3"/>
    <n v="-2.0000700643768963"/>
    <n v="1281.5944689330354"/>
    <n v="0"/>
    <n v="1"/>
    <n v="0"/>
    <n v="0"/>
    <n v="0"/>
    <n v="0"/>
    <n v="0"/>
    <n v="0"/>
    <n v="0"/>
    <n v="0"/>
  </r>
  <r>
    <d v="2025-08-28T00:00:00"/>
    <n v="2025"/>
    <x v="37"/>
    <s v="R"/>
    <s v="RS"/>
    <x v="11"/>
    <s v="CHI"/>
    <s v="H"/>
    <n v="1"/>
    <n v="2"/>
    <n v="-1"/>
    <n v="1"/>
    <n v="-8"/>
    <n v="8"/>
    <n v="1572.8811836894038"/>
    <n v="1283.5945389974122"/>
    <n v="0.88662359710948924"/>
    <n v="83"/>
    <n v="79"/>
    <n v="0"/>
    <n v="4"/>
    <n v="1"/>
    <n v="0.25093844977166663"/>
    <n v="1"/>
    <n v="70.3"/>
    <n v="70.3"/>
    <n v="2.0000700643768967"/>
    <n v="1574.8812537537806"/>
    <n v="1"/>
    <n v="0"/>
    <n v="0"/>
    <n v="0"/>
    <n v="0"/>
    <n v="0"/>
    <n v="0"/>
    <n v="0"/>
    <n v="0"/>
    <n v="0"/>
  </r>
  <r>
    <d v="2025-08-29T00:00:00"/>
    <n v="2025"/>
    <x v="39"/>
    <s v="R"/>
    <s v="RS"/>
    <x v="1"/>
    <s v="ATL"/>
    <s v="A"/>
    <n v="1"/>
    <n v="1"/>
    <n v="0"/>
    <n v="0"/>
    <n v="0"/>
    <n v="0"/>
    <n v="1299.0161117810701"/>
    <n v="1621.2505688381962"/>
    <n v="8.7986330384689004E-2"/>
    <n v="78"/>
    <n v="100"/>
    <n v="0"/>
    <n v="-22"/>
    <n v="0"/>
    <n v="0.47460980943824149"/>
    <n v="1"/>
    <n v="70"/>
    <n v="70"/>
    <n v="-2.9231422847933186"/>
    <n v="1296.0929694962767"/>
    <n v="0"/>
    <n v="1"/>
    <n v="0"/>
    <n v="0"/>
    <n v="0"/>
    <n v="0"/>
    <n v="0"/>
    <n v="0"/>
    <n v="0"/>
    <n v="0"/>
  </r>
  <r>
    <d v="2025-08-29T00:00:00"/>
    <n v="2025"/>
    <x v="38"/>
    <s v="R"/>
    <s v="RS"/>
    <x v="4"/>
    <s v="DAL"/>
    <s v="H"/>
    <n v="1"/>
    <n v="1"/>
    <n v="0"/>
    <n v="0"/>
    <n v="0"/>
    <n v="0"/>
    <n v="1621.2505688381962"/>
    <n v="1299.0161117810701"/>
    <n v="0.91201366961531094"/>
    <n v="100"/>
    <n v="78"/>
    <n v="0"/>
    <n v="22"/>
    <n v="1"/>
    <n v="0.47460980943824149"/>
    <n v="1"/>
    <n v="70.150000000000006"/>
    <n v="70.150000000000006"/>
    <n v="2.9294061611178774"/>
    <n v="1624.179974999314"/>
    <n v="1"/>
    <n v="0"/>
    <n v="0"/>
    <n v="0"/>
    <n v="0"/>
    <n v="0"/>
    <n v="0"/>
    <n v="0"/>
    <n v="0"/>
    <n v="0"/>
  </r>
  <r>
    <d v="2025-08-29T00:00:00"/>
    <n v="2025"/>
    <x v="39"/>
    <s v="R"/>
    <s v="RS"/>
    <x v="7"/>
    <s v="LAS"/>
    <s v="A"/>
    <n v="2"/>
    <n v="2"/>
    <n v="0"/>
    <n v="0"/>
    <n v="0"/>
    <n v="0"/>
    <n v="1535.5156479978"/>
    <n v="1443.7178831171557"/>
    <n v="0.5112200018724129"/>
    <n v="76"/>
    <n v="75"/>
    <n v="0"/>
    <n v="1"/>
    <n v="1"/>
    <n v="0.22682776911711508"/>
    <n v="1"/>
    <n v="70"/>
    <n v="70"/>
    <n v="7.7608213595043782"/>
    <n v="1543.2764693573044"/>
    <n v="1"/>
    <n v="0"/>
    <n v="0"/>
    <n v="0"/>
    <n v="0"/>
    <n v="0"/>
    <n v="0"/>
    <n v="0"/>
    <n v="0"/>
    <n v="0"/>
  </r>
  <r>
    <d v="2025-08-29T00:00:00"/>
    <n v="2025"/>
    <x v="36"/>
    <s v="R"/>
    <s v="RS"/>
    <x v="2"/>
    <s v="IND"/>
    <s v="H"/>
    <n v="2"/>
    <n v="2"/>
    <n v="0"/>
    <n v="0"/>
    <n v="0"/>
    <n v="0"/>
    <n v="1443.7178831171557"/>
    <n v="1535.5156479978"/>
    <n v="0.48877999812758721"/>
    <n v="75"/>
    <n v="76"/>
    <n v="0"/>
    <n v="-1"/>
    <n v="0"/>
    <n v="0.22682776911711508"/>
    <n v="1"/>
    <n v="70.45"/>
    <n v="70.45"/>
    <n v="-7.8107123539583379"/>
    <n v="1435.9071707631974"/>
    <n v="0"/>
    <n v="1"/>
    <n v="0"/>
    <n v="0"/>
    <n v="0"/>
    <n v="0"/>
    <n v="0"/>
    <n v="0"/>
    <n v="0"/>
    <n v="0"/>
  </r>
  <r>
    <d v="2025-08-30T00:00:00"/>
    <n v="2025"/>
    <x v="39"/>
    <s v="R"/>
    <s v="RS"/>
    <x v="0"/>
    <s v="CON"/>
    <s v="A"/>
    <n v="1"/>
    <n v="2"/>
    <n v="-1"/>
    <n v="1"/>
    <n v="-8"/>
    <n v="8"/>
    <n v="1682.2852439340477"/>
    <n v="1397.7628582398261"/>
    <n v="0.74311002520846681"/>
    <n v="94"/>
    <n v="70"/>
    <n v="0"/>
    <n v="24"/>
    <n v="1"/>
    <n v="0.50798635615394172"/>
    <n v="1"/>
    <n v="70"/>
    <n v="70"/>
    <n v="9.1347621558780219"/>
    <n v="1691.4200060899257"/>
    <n v="1"/>
    <n v="0"/>
    <n v="0"/>
    <n v="0"/>
    <n v="0"/>
    <n v="0"/>
    <n v="0"/>
    <n v="0"/>
    <n v="0"/>
    <n v="0"/>
  </r>
  <r>
    <d v="2025-08-30T00:00:00"/>
    <n v="2025"/>
    <x v="38"/>
    <s v="R"/>
    <s v="RS"/>
    <x v="12"/>
    <s v="MIN"/>
    <s v="H"/>
    <n v="2"/>
    <n v="1"/>
    <n v="1"/>
    <n v="-1"/>
    <n v="8"/>
    <n v="-8"/>
    <n v="1397.7628582398261"/>
    <n v="1682.2852439340477"/>
    <n v="0.25688997479153319"/>
    <n v="70"/>
    <n v="94"/>
    <n v="0"/>
    <n v="-24"/>
    <n v="0"/>
    <n v="0.50798635615394172"/>
    <n v="1"/>
    <n v="70.150000000000006"/>
    <n v="70.150000000000006"/>
    <n v="-9.1543366462120481"/>
    <n v="1388.6085215936141"/>
    <n v="0"/>
    <n v="1"/>
    <n v="0"/>
    <n v="0"/>
    <n v="0"/>
    <n v="0"/>
    <n v="0"/>
    <n v="0"/>
    <n v="0"/>
    <n v="0"/>
  </r>
  <r>
    <d v="2025-08-30T00:00:00"/>
    <n v="2025"/>
    <x v="39"/>
    <s v="R"/>
    <s v="RS"/>
    <x v="5"/>
    <s v="GSV"/>
    <s v="A"/>
    <n v="1"/>
    <n v="5"/>
    <n v="-4"/>
    <n v="4"/>
    <n v="-16"/>
    <n v="16"/>
    <n v="1398.7436296751912"/>
    <n v="1503.0075743094649"/>
    <n v="0.21960989034823708"/>
    <n v="62"/>
    <n v="99"/>
    <n v="0"/>
    <n v="-37"/>
    <n v="0"/>
    <n v="0.72207795386506368"/>
    <n v="1"/>
    <n v="70"/>
    <n v="70"/>
    <n v="-11.100282218983022"/>
    <n v="1387.6433474562082"/>
    <n v="0"/>
    <n v="1"/>
    <n v="0"/>
    <n v="0"/>
    <n v="0"/>
    <n v="0"/>
    <n v="0"/>
    <n v="0"/>
    <n v="0"/>
    <n v="0"/>
  </r>
  <r>
    <d v="2025-08-30T00:00:00"/>
    <n v="2025"/>
    <x v="37"/>
    <s v="R"/>
    <s v="RS"/>
    <x v="3"/>
    <s v="WAS"/>
    <s v="H"/>
    <n v="5"/>
    <n v="1"/>
    <n v="4"/>
    <n v="-4"/>
    <n v="16"/>
    <n v="-16"/>
    <n v="1503.0075743094649"/>
    <n v="1398.7436296751912"/>
    <n v="0.78039010965176292"/>
    <n v="99"/>
    <n v="62"/>
    <n v="0"/>
    <n v="37"/>
    <n v="1"/>
    <n v="0.72207795386506368"/>
    <n v="1"/>
    <n v="70.3"/>
    <n v="70.3"/>
    <n v="11.147854857064377"/>
    <n v="1514.1554291665293"/>
    <n v="1"/>
    <n v="0"/>
    <n v="0"/>
    <n v="0"/>
    <n v="0"/>
    <n v="0"/>
    <n v="0"/>
    <n v="0"/>
    <n v="0"/>
    <n v="0"/>
  </r>
  <r>
    <d v="2025-08-30T00:00:00"/>
    <n v="2025"/>
    <x v="39"/>
    <s v="R"/>
    <s v="RS"/>
    <x v="9"/>
    <s v="PHX"/>
    <s v="A"/>
    <n v="1"/>
    <n v="1"/>
    <n v="0"/>
    <n v="0"/>
    <n v="0"/>
    <n v="0"/>
    <n v="1585.0374302751309"/>
    <n v="1574.8812537537806"/>
    <n v="0.39530197901987163"/>
    <n v="63"/>
    <n v="80"/>
    <n v="0"/>
    <n v="-17"/>
    <n v="0"/>
    <n v="0.52797357505956943"/>
    <n v="1"/>
    <n v="70"/>
    <n v="70"/>
    <n v="-14.609629936387117"/>
    <n v="1570.4278003387437"/>
    <n v="0"/>
    <n v="1"/>
    <n v="0"/>
    <n v="0"/>
    <n v="0"/>
    <n v="0"/>
    <n v="0"/>
    <n v="0"/>
    <n v="0"/>
    <n v="0"/>
  </r>
  <r>
    <d v="2025-08-30T00:00:00"/>
    <n v="2025"/>
    <x v="38"/>
    <s v="R"/>
    <s v="RS"/>
    <x v="11"/>
    <s v="NYL"/>
    <s v="H"/>
    <n v="1"/>
    <n v="1"/>
    <n v="0"/>
    <n v="0"/>
    <n v="0"/>
    <n v="0"/>
    <n v="1574.8812537537806"/>
    <n v="1585.0374302751309"/>
    <n v="0.60469802098012837"/>
    <n v="80"/>
    <n v="63"/>
    <n v="0"/>
    <n v="17"/>
    <n v="1"/>
    <n v="0.52797357505956943"/>
    <n v="1"/>
    <n v="70.150000000000006"/>
    <n v="70.150000000000006"/>
    <n v="14.640936286250806"/>
    <n v="1589.5221900400313"/>
    <n v="1"/>
    <n v="0"/>
    <n v="0"/>
    <n v="0"/>
    <n v="0"/>
    <n v="0"/>
    <n v="0"/>
    <n v="0"/>
    <n v="0"/>
    <n v="0"/>
  </r>
  <r>
    <d v="2025-08-30T00:00:00"/>
    <n v="2025"/>
    <x v="38"/>
    <s v="R"/>
    <s v="RS"/>
    <x v="6"/>
    <s v="SEA"/>
    <s v="A"/>
    <n v="1"/>
    <n v="1"/>
    <n v="0"/>
    <n v="0"/>
    <n v="0"/>
    <n v="0"/>
    <n v="1281.5944689330354"/>
    <n v="1532.7795910103337"/>
    <n v="0.12680807393433191"/>
    <n v="69"/>
    <n v="79"/>
    <n v="0"/>
    <n v="-10"/>
    <n v="0"/>
    <n v="0.34989032858324387"/>
    <n v="1"/>
    <n v="70.150000000000006"/>
    <n v="70.150000000000006"/>
    <n v="-3.1124796437108011"/>
    <n v="1278.4819892893245"/>
    <n v="0"/>
    <n v="1"/>
    <n v="0"/>
    <n v="0"/>
    <n v="0"/>
    <n v="0"/>
    <n v="0"/>
    <n v="0"/>
    <n v="0"/>
    <n v="0"/>
  </r>
  <r>
    <d v="2025-08-30T00:00:00"/>
    <n v="2025"/>
    <x v="40"/>
    <s v="R"/>
    <s v="RS"/>
    <x v="10"/>
    <s v="CHI"/>
    <s v="H"/>
    <n v="1"/>
    <n v="1"/>
    <n v="0"/>
    <n v="0"/>
    <n v="0"/>
    <n v="0"/>
    <n v="1532.7795910103337"/>
    <n v="1281.5944689330354"/>
    <n v="0.87319192606566809"/>
    <n v="79"/>
    <n v="69"/>
    <n v="0"/>
    <n v="10"/>
    <n v="1"/>
    <n v="0.34989032858324387"/>
    <n v="1"/>
    <n v="69.849999999999994"/>
    <n v="69.849999999999994"/>
    <n v="3.0991689681140335"/>
    <n v="1535.8787599784478"/>
    <n v="1"/>
    <n v="0"/>
    <n v="0"/>
    <n v="0"/>
    <n v="0"/>
    <n v="0"/>
    <n v="0"/>
    <n v="0"/>
    <n v="0"/>
    <n v="0"/>
  </r>
  <r>
    <d v="2025-08-31T00:00:00"/>
    <n v="2025"/>
    <x v="40"/>
    <s v="R"/>
    <s v="RS"/>
    <x v="7"/>
    <s v="GSV"/>
    <s v="A"/>
    <n v="1"/>
    <n v="0"/>
    <n v="1"/>
    <n v="-1"/>
    <n v="8"/>
    <n v="-8"/>
    <n v="1543.2764693573044"/>
    <n v="1514.1554291665293"/>
    <n v="0.444281059862974"/>
    <n v="63"/>
    <n v="75"/>
    <n v="0"/>
    <n v="-12"/>
    <n v="0"/>
    <n v="0.44532256286727662"/>
    <n v="1"/>
    <n v="69.849999999999994"/>
    <n v="69.849999999999994"/>
    <n v="-13.81970935777813"/>
    <n v="1529.4567599995264"/>
    <n v="0"/>
    <n v="1"/>
    <n v="0"/>
    <n v="0"/>
    <n v="0"/>
    <n v="0"/>
    <n v="0"/>
    <n v="0"/>
    <n v="0"/>
    <n v="0"/>
  </r>
  <r>
    <d v="2025-08-31T00:00:00"/>
    <n v="2025"/>
    <x v="38"/>
    <s v="R"/>
    <s v="RS"/>
    <x v="3"/>
    <s v="IND"/>
    <s v="H"/>
    <n v="0"/>
    <n v="1"/>
    <n v="-1"/>
    <n v="1"/>
    <n v="-8"/>
    <n v="8"/>
    <n v="1514.1554291665293"/>
    <n v="1543.2764693573044"/>
    <n v="0.55571894013702605"/>
    <n v="75"/>
    <n v="63"/>
    <n v="0"/>
    <n v="12"/>
    <n v="1"/>
    <n v="0.44532256286727662"/>
    <n v="1"/>
    <n v="70.150000000000006"/>
    <n v="70.150000000000006"/>
    <n v="13.879063871841602"/>
    <n v="1528.034493038371"/>
    <n v="1"/>
    <n v="0"/>
    <n v="0"/>
    <n v="0"/>
    <n v="0"/>
    <n v="0"/>
    <n v="0"/>
    <n v="0"/>
    <n v="0"/>
    <n v="0"/>
  </r>
  <r>
    <d v="2025-08-31T00:00:00"/>
    <n v="2025"/>
    <x v="40"/>
    <s v="R"/>
    <s v="RS"/>
    <x v="5"/>
    <s v="LAS"/>
    <s v="A"/>
    <n v="0"/>
    <n v="1"/>
    <n v="-1"/>
    <n v="1"/>
    <n v="-8"/>
    <n v="8"/>
    <n v="1387.6433474562082"/>
    <n v="1435.9071707631974"/>
    <n v="0.2987043690819739"/>
    <n v="78"/>
    <n v="81"/>
    <n v="0"/>
    <n v="-3"/>
    <n v="0"/>
    <n v="0.27896364439683902"/>
    <n v="1"/>
    <n v="69.849999999999994"/>
    <n v="69.849999999999994"/>
    <n v="-5.8204370088361586"/>
    <n v="1381.8229104473721"/>
    <n v="0"/>
    <n v="1"/>
    <n v="0"/>
    <n v="0"/>
    <n v="0"/>
    <n v="0"/>
    <n v="0"/>
    <n v="0"/>
    <n v="0"/>
    <n v="0"/>
  </r>
  <r>
    <d v="2025-08-31T00:00:00"/>
    <n v="2025"/>
    <x v="37"/>
    <s v="R"/>
    <s v="RS"/>
    <x v="2"/>
    <s v="WAS"/>
    <s v="H"/>
    <n v="1"/>
    <n v="0"/>
    <n v="1"/>
    <n v="-1"/>
    <n v="8"/>
    <n v="-8"/>
    <n v="1435.9071707631974"/>
    <n v="1387.6433474562082"/>
    <n v="0.70129563091802605"/>
    <n v="81"/>
    <n v="78"/>
    <n v="0"/>
    <n v="3"/>
    <n v="1"/>
    <n v="0.27896364439683902"/>
    <n v="1"/>
    <n v="70.3"/>
    <n v="70.3"/>
    <n v="5.8579344555645259"/>
    <n v="1441.7651052187618"/>
    <n v="1"/>
    <n v="0"/>
    <n v="0"/>
    <n v="0"/>
    <n v="0"/>
    <n v="0"/>
    <n v="0"/>
    <n v="0"/>
    <n v="0"/>
    <n v="0"/>
  </r>
  <r>
    <d v="2025-09-01T00:00:00"/>
    <n v="2025"/>
    <x v="39"/>
    <s v="R"/>
    <s v="RS"/>
    <x v="4"/>
    <s v="CON"/>
    <s v="A"/>
    <n v="2"/>
    <n v="1"/>
    <n v="1"/>
    <n v="-1"/>
    <n v="8"/>
    <n v="-8"/>
    <n v="1624.179974999314"/>
    <n v="1388.6085215936141"/>
    <n v="0.72404561746412399"/>
    <n v="93"/>
    <n v="76"/>
    <n v="0"/>
    <n v="17"/>
    <n v="1"/>
    <n v="0.44507048491569001"/>
    <n v="1"/>
    <n v="70"/>
    <n v="70"/>
    <n v="8.5973405594896501"/>
    <n v="1632.7773155588036"/>
    <n v="1"/>
    <n v="0"/>
    <n v="0"/>
    <n v="0"/>
    <n v="0"/>
    <n v="0"/>
    <n v="0"/>
    <n v="0"/>
    <n v="0"/>
    <n v="0"/>
  </r>
  <r>
    <d v="2025-09-01T00:00:00"/>
    <n v="2025"/>
    <x v="39"/>
    <s v="R"/>
    <s v="RS"/>
    <x v="12"/>
    <s v="ATL"/>
    <s v="H"/>
    <n v="1"/>
    <n v="2"/>
    <n v="-1"/>
    <n v="1"/>
    <n v="-8"/>
    <n v="8"/>
    <n v="1388.6085215936141"/>
    <n v="1624.179974999314"/>
    <n v="0.27595438253587601"/>
    <n v="76"/>
    <n v="93"/>
    <n v="0"/>
    <n v="-17"/>
    <n v="0"/>
    <n v="0.44507048491569001"/>
    <n v="1"/>
    <n v="70"/>
    <n v="70"/>
    <n v="-8.5973405594896501"/>
    <n v="1380.0111810341245"/>
    <n v="0"/>
    <n v="1"/>
    <n v="0"/>
    <n v="0"/>
    <n v="0"/>
    <n v="0"/>
    <n v="0"/>
    <n v="0"/>
    <n v="0"/>
    <n v="0"/>
  </r>
  <r>
    <d v="2025-09-01T00:00:00"/>
    <n v="2025"/>
    <x v="40"/>
    <s v="R"/>
    <s v="RS"/>
    <x v="1"/>
    <s v="MIN"/>
    <s v="A"/>
    <n v="2"/>
    <n v="1"/>
    <n v="1"/>
    <n v="-1"/>
    <n v="8"/>
    <n v="-8"/>
    <n v="1296.0929694962767"/>
    <n v="1691.4200060899257"/>
    <n v="6.4941342750246253E-2"/>
    <n v="71"/>
    <n v="96"/>
    <n v="0"/>
    <n v="-25"/>
    <n v="0"/>
    <n v="0.48241747078761427"/>
    <n v="1"/>
    <n v="69.849999999999994"/>
    <n v="69.849999999999994"/>
    <n v="-2.1883193565909065"/>
    <n v="1293.9046501396858"/>
    <n v="0"/>
    <n v="1"/>
    <n v="0"/>
    <n v="0"/>
    <n v="0"/>
    <n v="0"/>
    <n v="0"/>
    <n v="0"/>
    <n v="0"/>
    <n v="0"/>
  </r>
  <r>
    <d v="2025-09-01T00:00:00"/>
    <n v="2025"/>
    <x v="40"/>
    <s v="R"/>
    <s v="RS"/>
    <x v="0"/>
    <s v="DAL"/>
    <s v="H"/>
    <n v="1"/>
    <n v="2"/>
    <n v="-1"/>
    <n v="1"/>
    <n v="-8"/>
    <n v="8"/>
    <n v="1691.4200060899257"/>
    <n v="1296.0929694962767"/>
    <n v="0.93505865724975368"/>
    <n v="96"/>
    <n v="71"/>
    <n v="0"/>
    <n v="25"/>
    <n v="1"/>
    <n v="0.48241747078761427"/>
    <n v="1"/>
    <n v="69.849999999999994"/>
    <n v="69.849999999999994"/>
    <n v="2.1883193565909091"/>
    <n v="1693.6083254465166"/>
    <n v="1"/>
    <n v="0"/>
    <n v="0"/>
    <n v="0"/>
    <n v="0"/>
    <n v="0"/>
    <n v="0"/>
    <n v="0"/>
    <n v="0"/>
    <n v="0"/>
  </r>
  <r>
    <d v="2025-09-01T00:00:00"/>
    <n v="2025"/>
    <x v="38"/>
    <s v="R"/>
    <s v="RS"/>
    <x v="2"/>
    <s v="SEA"/>
    <s v="A"/>
    <n v="0"/>
    <n v="1"/>
    <n v="-1"/>
    <n v="1"/>
    <n v="-8"/>
    <n v="8"/>
    <n v="1441.7651052187618"/>
    <n v="1535.8787599784478"/>
    <n v="0.24649238577737759"/>
    <n v="91"/>
    <n v="85"/>
    <n v="0"/>
    <n v="6"/>
    <n v="1"/>
    <n v="0.3257340742513597"/>
    <n v="1"/>
    <n v="70.150000000000006"/>
    <n v="70.150000000000006"/>
    <n v="17.217833826984986"/>
    <n v="1458.9829390457469"/>
    <n v="1"/>
    <n v="0"/>
    <n v="0"/>
    <n v="0"/>
    <n v="0"/>
    <n v="0"/>
    <n v="0"/>
    <n v="0"/>
    <n v="0"/>
    <n v="0"/>
  </r>
  <r>
    <d v="2025-09-01T00:00:00"/>
    <n v="2025"/>
    <x v="41"/>
    <s v="R"/>
    <s v="RS"/>
    <x v="10"/>
    <s v="LAS"/>
    <s v="H"/>
    <n v="1"/>
    <n v="0"/>
    <n v="1"/>
    <n v="-1"/>
    <n v="8"/>
    <n v="-8"/>
    <n v="1535.8787599784478"/>
    <n v="1441.7651052187618"/>
    <n v="0.75350761422262236"/>
    <n v="85"/>
    <n v="91"/>
    <n v="0"/>
    <n v="-6"/>
    <n v="0"/>
    <n v="0.3257340742513597"/>
    <n v="1"/>
    <n v="69.7"/>
    <n v="69.7"/>
    <n v="-17.107384429662915"/>
    <n v="1518.7713755487848"/>
    <n v="0"/>
    <n v="1"/>
    <n v="0"/>
    <n v="0"/>
    <n v="0"/>
    <n v="0"/>
    <n v="0"/>
    <n v="0"/>
    <n v="0"/>
    <n v="0"/>
  </r>
  <r>
    <d v="2025-09-02T00:00:00"/>
    <n v="2025"/>
    <x v="40"/>
    <s v="R"/>
    <s v="RS"/>
    <x v="9"/>
    <s v="GSV"/>
    <s v="A"/>
    <n v="2"/>
    <n v="1"/>
    <n v="1"/>
    <n v="-1"/>
    <n v="8"/>
    <n v="-8"/>
    <n v="1570.4278003387437"/>
    <n v="1528.034493038371"/>
    <n v="0.4632155869352485"/>
    <n v="58"/>
    <n v="66"/>
    <n v="0"/>
    <n v="-8"/>
    <n v="0"/>
    <n v="0.37506531890142192"/>
    <n v="1"/>
    <n v="69.849999999999994"/>
    <n v="69.849999999999994"/>
    <n v="-12.135466713103385"/>
    <n v="1558.2923336256404"/>
    <n v="0"/>
    <n v="1"/>
    <n v="0"/>
    <n v="0"/>
    <n v="0"/>
    <n v="0"/>
    <n v="0"/>
    <n v="0"/>
    <n v="0"/>
    <n v="0"/>
  </r>
  <r>
    <d v="2025-09-02T00:00:00"/>
    <n v="2025"/>
    <x v="39"/>
    <s v="R"/>
    <s v="RS"/>
    <x v="3"/>
    <s v="NYL"/>
    <s v="H"/>
    <n v="1"/>
    <n v="2"/>
    <n v="-1"/>
    <n v="1"/>
    <n v="-8"/>
    <n v="8"/>
    <n v="1528.034493038371"/>
    <n v="1570.4278003387437"/>
    <n v="0.53678441306475155"/>
    <n v="66"/>
    <n v="58"/>
    <n v="0"/>
    <n v="8"/>
    <n v="1"/>
    <n v="0.37506531890142192"/>
    <n v="1"/>
    <n v="70"/>
    <n v="70"/>
    <n v="12.161527128378481"/>
    <n v="1540.1960201667496"/>
    <n v="1"/>
    <n v="0"/>
    <n v="0"/>
    <n v="0"/>
    <n v="0"/>
    <n v="0"/>
    <n v="0"/>
    <n v="0"/>
    <n v="0"/>
    <n v="0"/>
  </r>
  <r>
    <d v="2025-09-02T00:00:00"/>
    <n v="2025"/>
    <x v="41"/>
    <s v="R"/>
    <s v="RS"/>
    <x v="7"/>
    <s v="PHX"/>
    <s v="A"/>
    <n v="1"/>
    <n v="2"/>
    <n v="-1"/>
    <n v="1"/>
    <n v="-8"/>
    <n v="8"/>
    <n v="1529.4567599995264"/>
    <n v="1589.5221900400313"/>
    <n v="0.28467054517435403"/>
    <n v="79"/>
    <n v="85"/>
    <n v="0"/>
    <n v="-6"/>
    <n v="0"/>
    <n v="0.33453573382744073"/>
    <n v="1"/>
    <n v="69.7"/>
    <n v="69.7"/>
    <n v="-6.6377031401085222"/>
    <n v="1522.819056859418"/>
    <n v="0"/>
    <n v="1"/>
    <n v="0"/>
    <n v="0"/>
    <n v="0"/>
    <n v="0"/>
    <n v="0"/>
    <n v="0"/>
    <n v="0"/>
    <n v="0"/>
  </r>
  <r>
    <d v="2025-09-02T00:00:00"/>
    <n v="2025"/>
    <x v="39"/>
    <s v="R"/>
    <s v="RS"/>
    <x v="11"/>
    <s v="IND"/>
    <s v="H"/>
    <n v="2"/>
    <n v="1"/>
    <n v="1"/>
    <n v="-1"/>
    <n v="8"/>
    <n v="-8"/>
    <n v="1589.5221900400313"/>
    <n v="1529.4567599995264"/>
    <n v="0.71532945482564603"/>
    <n v="85"/>
    <n v="79"/>
    <n v="0"/>
    <n v="6"/>
    <n v="1"/>
    <n v="0.33453573382744073"/>
    <n v="1"/>
    <n v="70"/>
    <n v="70"/>
    <n v="6.6662728810272087"/>
    <n v="1596.1884629210585"/>
    <n v="1"/>
    <n v="0"/>
    <n v="0"/>
    <n v="0"/>
    <n v="0"/>
    <n v="0"/>
    <n v="0"/>
    <n v="0"/>
    <n v="0"/>
    <n v="0"/>
  </r>
  <r>
    <d v="2025-09-03T00:00:00"/>
    <n v="2025"/>
    <x v="39"/>
    <s v="R"/>
    <s v="RS"/>
    <x v="2"/>
    <s v="ATL"/>
    <s v="A"/>
    <n v="1"/>
    <n v="1"/>
    <n v="0"/>
    <n v="0"/>
    <n v="0"/>
    <n v="0"/>
    <n v="1458.9829390457469"/>
    <n v="1632.7773155588036"/>
    <n v="0.18482645567158945"/>
    <n v="75"/>
    <n v="86"/>
    <n v="0"/>
    <n v="-11"/>
    <n v="0"/>
    <n v="0.38419371438163796"/>
    <n v="1"/>
    <n v="70"/>
    <n v="70"/>
    <n v="-4.9706413764322779"/>
    <n v="1454.0122976693146"/>
    <n v="0"/>
    <n v="1"/>
    <n v="0"/>
    <n v="0"/>
    <n v="0"/>
    <n v="0"/>
    <n v="0"/>
    <n v="0"/>
    <n v="0"/>
    <n v="0"/>
  </r>
  <r>
    <d v="2025-09-03T00:00:00"/>
    <n v="2025"/>
    <x v="40"/>
    <s v="R"/>
    <s v="RS"/>
    <x v="4"/>
    <s v="LAS"/>
    <s v="H"/>
    <n v="1"/>
    <n v="1"/>
    <n v="0"/>
    <n v="0"/>
    <n v="0"/>
    <n v="0"/>
    <n v="1632.7773155588036"/>
    <n v="1458.9829390457469"/>
    <n v="0.8151735443284106"/>
    <n v="86"/>
    <n v="75"/>
    <n v="0"/>
    <n v="11"/>
    <n v="1"/>
    <n v="0.38419371438163796"/>
    <n v="1"/>
    <n v="69.849999999999994"/>
    <n v="69.849999999999994"/>
    <n v="4.959990002054206"/>
    <n v="1637.7373055608577"/>
    <n v="1"/>
    <n v="0"/>
    <n v="0"/>
    <n v="0"/>
    <n v="0"/>
    <n v="0"/>
    <n v="0"/>
    <n v="0"/>
    <n v="0"/>
    <n v="0"/>
  </r>
  <r>
    <d v="2025-09-03T00:00:00"/>
    <n v="2025"/>
    <x v="40"/>
    <s v="R"/>
    <s v="RS"/>
    <x v="12"/>
    <s v="CHI"/>
    <s v="A"/>
    <n v="1"/>
    <n v="3"/>
    <n v="-2"/>
    <n v="2"/>
    <n v="-16"/>
    <n v="16"/>
    <n v="1380.0111810341245"/>
    <n v="1278.4819892893245"/>
    <n v="0.47918686669755256"/>
    <n v="64"/>
    <n v="88"/>
    <n v="0"/>
    <n v="-24"/>
    <n v="0"/>
    <n v="0.57940853122688085"/>
    <n v="1"/>
    <n v="69.849999999999994"/>
    <n v="69.849999999999994"/>
    <n v="-19.393500359358335"/>
    <n v="1360.6176806747662"/>
    <n v="0"/>
    <n v="1"/>
    <n v="0"/>
    <n v="0"/>
    <n v="0"/>
    <n v="0"/>
    <n v="0"/>
    <n v="0"/>
    <n v="0"/>
    <n v="0"/>
  </r>
  <r>
    <d v="2025-09-03T00:00:00"/>
    <n v="2025"/>
    <x v="39"/>
    <s v="R"/>
    <s v="RS"/>
    <x v="6"/>
    <s v="CON"/>
    <s v="H"/>
    <n v="3"/>
    <n v="1"/>
    <n v="2"/>
    <n v="-2"/>
    <n v="16"/>
    <n v="-16"/>
    <n v="1278.4819892893245"/>
    <n v="1380.0111810341245"/>
    <n v="0.52081313330244738"/>
    <n v="88"/>
    <n v="64"/>
    <n v="0"/>
    <n v="24"/>
    <n v="1"/>
    <n v="0.57940853122688085"/>
    <n v="1"/>
    <n v="70"/>
    <n v="70"/>
    <n v="19.435147103150808"/>
    <n v="1297.9171363924752"/>
    <n v="1"/>
    <n v="0"/>
    <n v="0"/>
    <n v="0"/>
    <n v="0"/>
    <n v="0"/>
    <n v="0"/>
    <n v="0"/>
    <n v="0"/>
    <n v="0"/>
  </r>
  <r>
    <d v="2025-09-04T00:00:00"/>
    <n v="2025"/>
    <x v="41"/>
    <s v="R"/>
    <s v="RS"/>
    <x v="1"/>
    <s v="GSV"/>
    <s v="A"/>
    <n v="2"/>
    <n v="1"/>
    <n v="1"/>
    <n v="-1"/>
    <n v="8"/>
    <n v="-8"/>
    <n v="1293.9046501396858"/>
    <n v="1540.1960201667496"/>
    <n v="0.14073404763571035"/>
    <n v="80"/>
    <n v="84"/>
    <n v="0"/>
    <n v="-4"/>
    <n v="0"/>
    <n v="0.25839833496182862"/>
    <n v="1"/>
    <n v="69.7"/>
    <n v="69.7"/>
    <n v="-2.5346714176309839"/>
    <n v="1291.3699787220548"/>
    <n v="0"/>
    <n v="1"/>
    <n v="0"/>
    <n v="0"/>
    <n v="0"/>
    <n v="0"/>
    <n v="0"/>
    <n v="0"/>
    <n v="0"/>
    <n v="0"/>
  </r>
  <r>
    <d v="2025-09-04T00:00:00"/>
    <n v="2025"/>
    <x v="40"/>
    <s v="R"/>
    <s v="RS"/>
    <x v="3"/>
    <s v="DAL"/>
    <s v="H"/>
    <n v="1"/>
    <n v="2"/>
    <n v="-1"/>
    <n v="1"/>
    <n v="-8"/>
    <n v="8"/>
    <n v="1540.1960201667496"/>
    <n v="1293.9046501396858"/>
    <n v="0.85926595236428971"/>
    <n v="84"/>
    <n v="80"/>
    <n v="0"/>
    <n v="4"/>
    <n v="1"/>
    <n v="0.25839833496182862"/>
    <n v="1"/>
    <n v="69.849999999999994"/>
    <n v="69.849999999999994"/>
    <n v="2.5401262341682092"/>
    <n v="1542.7361464009177"/>
    <n v="1"/>
    <n v="0"/>
    <n v="0"/>
    <n v="0"/>
    <n v="0"/>
    <n v="0"/>
    <n v="0"/>
    <n v="0"/>
    <n v="0"/>
    <n v="0"/>
  </r>
  <r>
    <d v="2025-09-04T00:00:00"/>
    <n v="2025"/>
    <x v="41"/>
    <s v="R"/>
    <s v="RS"/>
    <x v="0"/>
    <s v="LVA"/>
    <s v="A"/>
    <n v="2"/>
    <n v="7"/>
    <n v="-5"/>
    <n v="5"/>
    <n v="-16"/>
    <n v="16"/>
    <n v="1693.6083254465166"/>
    <n v="1642.968217113279"/>
    <n v="0.40703365272455561"/>
    <n v="87"/>
    <n v="97"/>
    <n v="0"/>
    <n v="-10"/>
    <n v="0"/>
    <n v="0.40599660591042502"/>
    <n v="1"/>
    <n v="69.7"/>
    <n v="69.7"/>
    <n v="-11.518223420375206"/>
    <n v="1682.0901020261413"/>
    <n v="0"/>
    <n v="1"/>
    <n v="0"/>
    <n v="0"/>
    <n v="0"/>
    <n v="0"/>
    <n v="0"/>
    <n v="0"/>
    <n v="0"/>
    <n v="0"/>
  </r>
  <r>
    <d v="2025-09-04T00:00:00"/>
    <n v="2025"/>
    <x v="40"/>
    <s v="R"/>
    <s v="RS"/>
    <x v="8"/>
    <s v="MIN"/>
    <s v="H"/>
    <n v="7"/>
    <n v="2"/>
    <n v="5"/>
    <n v="-5"/>
    <n v="16"/>
    <n v="-16"/>
    <n v="1642.968217113279"/>
    <n v="1693.6083254465166"/>
    <n v="0.59296634727544439"/>
    <n v="97"/>
    <n v="87"/>
    <n v="0"/>
    <n v="10"/>
    <n v="1"/>
    <n v="0.40599660591042502"/>
    <n v="1"/>
    <n v="69.849999999999994"/>
    <n v="69.849999999999994"/>
    <n v="11.54301156259983"/>
    <n v="1654.5112286758788"/>
    <n v="1"/>
    <n v="0"/>
    <n v="0"/>
    <n v="0"/>
    <n v="0"/>
    <n v="0"/>
    <n v="0"/>
    <n v="0"/>
    <n v="0"/>
    <n v="0"/>
  </r>
  <r>
    <d v="2025-09-04T00:00:00"/>
    <n v="2025"/>
    <x v="40"/>
    <s v="R"/>
    <s v="RS"/>
    <x v="11"/>
    <s v="WAS"/>
    <s v="A"/>
    <n v="1"/>
    <n v="3"/>
    <n v="-2"/>
    <n v="2"/>
    <n v="-16"/>
    <n v="16"/>
    <n v="1596.1884629210585"/>
    <n v="1381.8229104473721"/>
    <n v="0.63789457706492514"/>
    <n v="75"/>
    <n v="69"/>
    <n v="0"/>
    <n v="6"/>
    <n v="1"/>
    <n v="0.2980395786449504"/>
    <n v="1"/>
    <n v="69.849999999999994"/>
    <n v="69.849999999999994"/>
    <n v="7.5383340752119947"/>
    <n v="1603.7267969962707"/>
    <n v="1"/>
    <n v="0"/>
    <n v="0"/>
    <n v="0"/>
    <n v="0"/>
    <n v="0"/>
    <n v="0"/>
    <n v="0"/>
    <n v="0"/>
    <n v="0"/>
  </r>
  <r>
    <d v="2025-09-04T00:00:00"/>
    <n v="2025"/>
    <x v="41"/>
    <s v="R"/>
    <s v="RS"/>
    <x v="5"/>
    <s v="PHX"/>
    <s v="H"/>
    <n v="3"/>
    <n v="1"/>
    <n v="2"/>
    <n v="-2"/>
    <n v="16"/>
    <n v="-16"/>
    <n v="1381.8229104473721"/>
    <n v="1596.1884629210585"/>
    <n v="0.36210542293507486"/>
    <n v="69"/>
    <n v="75"/>
    <n v="0"/>
    <n v="-6"/>
    <n v="0"/>
    <n v="0.2980395786449504"/>
    <n v="1"/>
    <n v="69.7"/>
    <n v="69.7"/>
    <n v="-7.5221458130605034"/>
    <n v="1374.3007646343117"/>
    <n v="0"/>
    <n v="1"/>
    <n v="0"/>
    <n v="0"/>
    <n v="0"/>
    <n v="0"/>
    <n v="0"/>
    <n v="0"/>
    <n v="0"/>
    <n v="0"/>
  </r>
  <r>
    <d v="2025-09-05T00:00:00"/>
    <n v="2025"/>
    <x v="40"/>
    <s v="R"/>
    <s v="RS"/>
    <x v="2"/>
    <s v="ATL"/>
    <s v="A"/>
    <n v="1"/>
    <n v="1"/>
    <n v="0"/>
    <n v="0"/>
    <n v="0"/>
    <n v="0"/>
    <n v="1454.0122976693146"/>
    <n v="1637.7373055608577"/>
    <n v="0.17636830163865752"/>
    <n v="85"/>
    <n v="104"/>
    <n v="0"/>
    <n v="-19"/>
    <n v="0"/>
    <n v="0.4864934025391866"/>
    <n v="1"/>
    <n v="69.849999999999994"/>
    <n v="69.849999999999994"/>
    <n v="-5.993270759222729"/>
    <n v="1448.019026910092"/>
    <n v="0"/>
    <n v="1"/>
    <n v="0"/>
    <n v="0"/>
    <n v="0"/>
    <n v="0"/>
    <n v="0"/>
    <n v="0"/>
    <n v="0"/>
    <n v="0"/>
  </r>
  <r>
    <d v="2025-09-05T00:00:00"/>
    <n v="2025"/>
    <x v="41"/>
    <s v="R"/>
    <s v="RS"/>
    <x v="4"/>
    <s v="LAS"/>
    <s v="H"/>
    <n v="1"/>
    <n v="1"/>
    <n v="0"/>
    <n v="0"/>
    <n v="0"/>
    <n v="0"/>
    <n v="1637.7373055608577"/>
    <n v="1454.0122976693146"/>
    <n v="0.82363169836134242"/>
    <n v="104"/>
    <n v="85"/>
    <n v="0"/>
    <n v="19"/>
    <n v="1"/>
    <n v="0.4864934025391866"/>
    <n v="1"/>
    <n v="69.7"/>
    <n v="69.7"/>
    <n v="5.980400456948094"/>
    <n v="1643.7177060178058"/>
    <n v="1"/>
    <n v="0"/>
    <n v="0"/>
    <n v="0"/>
    <n v="0"/>
    <n v="0"/>
    <n v="0"/>
    <n v="0"/>
    <n v="0"/>
    <n v="0"/>
  </r>
  <r>
    <d v="2025-09-05T00:00:00"/>
    <n v="2025"/>
    <x v="40"/>
    <s v="R"/>
    <s v="RS"/>
    <x v="6"/>
    <s v="IND"/>
    <s v="A"/>
    <n v="1"/>
    <n v="2"/>
    <n v="-1"/>
    <n v="1"/>
    <n v="-8"/>
    <n v="8"/>
    <n v="1297.9171363924752"/>
    <n v="1522.819056859418"/>
    <n v="0.13350865691643979"/>
    <n v="77"/>
    <n v="97"/>
    <n v="0"/>
    <n v="-20"/>
    <n v="0"/>
    <n v="0.48414899357040481"/>
    <n v="1"/>
    <n v="69.849999999999994"/>
    <n v="69.849999999999994"/>
    <n v="-4.5149700192502999"/>
    <n v="1293.4021663732249"/>
    <n v="0"/>
    <n v="1"/>
    <n v="0"/>
    <n v="0"/>
    <n v="0"/>
    <n v="0"/>
    <n v="0"/>
    <n v="0"/>
    <n v="0"/>
    <n v="0"/>
  </r>
  <r>
    <d v="2025-09-05T00:00:00"/>
    <n v="2025"/>
    <x v="42"/>
    <s v="R"/>
    <s v="RS"/>
    <x v="7"/>
    <s v="CHI"/>
    <s v="H"/>
    <n v="2"/>
    <n v="1"/>
    <n v="1"/>
    <n v="-1"/>
    <n v="8"/>
    <n v="-8"/>
    <n v="1522.819056859418"/>
    <n v="1297.9171363924752"/>
    <n v="0.86649134308356024"/>
    <n v="97"/>
    <n v="77"/>
    <n v="0"/>
    <n v="20"/>
    <n v="1"/>
    <n v="0.48414899357040481"/>
    <n v="1"/>
    <n v="69.55"/>
    <n v="69.55"/>
    <n v="4.4955785946865907"/>
    <n v="1527.3146354541045"/>
    <n v="1"/>
    <n v="0"/>
    <n v="0"/>
    <n v="0"/>
    <n v="0"/>
    <n v="0"/>
    <n v="0"/>
    <n v="0"/>
    <n v="0"/>
    <n v="0"/>
  </r>
  <r>
    <d v="2025-09-05T00:00:00"/>
    <n v="2025"/>
    <x v="41"/>
    <s v="R"/>
    <s v="RS"/>
    <x v="9"/>
    <s v="SEA"/>
    <s v="A"/>
    <n v="2"/>
    <n v="3"/>
    <n v="-1"/>
    <n v="1"/>
    <n v="-8"/>
    <n v="8"/>
    <n v="1558.2923336256404"/>
    <n v="1518.7713755487848"/>
    <n v="0.41383224078400033"/>
    <n v="84"/>
    <n v="76"/>
    <n v="0"/>
    <n v="8"/>
    <n v="1"/>
    <n v="0.37593445997604014"/>
    <n v="1"/>
    <n v="69.7"/>
    <n v="69.7"/>
    <n v="15.359138003131397"/>
    <n v="1573.6514716287718"/>
    <n v="1"/>
    <n v="0"/>
    <n v="0"/>
    <n v="0"/>
    <n v="0"/>
    <n v="0"/>
    <n v="0"/>
    <n v="0"/>
    <n v="0"/>
    <n v="0"/>
  </r>
  <r>
    <d v="2025-09-05T00:00:00"/>
    <n v="2025"/>
    <x v="42"/>
    <s v="R"/>
    <s v="RS"/>
    <x v="10"/>
    <s v="NYL"/>
    <s v="H"/>
    <n v="3"/>
    <n v="2"/>
    <n v="1"/>
    <n v="-1"/>
    <n v="8"/>
    <n v="-8"/>
    <n v="1518.7713755487848"/>
    <n v="1558.2923336256404"/>
    <n v="0.58616775921599973"/>
    <n v="76"/>
    <n v="84"/>
    <n v="0"/>
    <n v="-8"/>
    <n v="0"/>
    <n v="0.37593445997604014"/>
    <n v="1"/>
    <n v="69.55"/>
    <n v="69.55"/>
    <n v="-15.326083904128961"/>
    <n v="1503.4452916446558"/>
    <n v="0"/>
    <n v="1"/>
    <n v="0"/>
    <n v="0"/>
    <n v="0"/>
    <n v="0"/>
    <n v="0"/>
    <n v="0"/>
    <n v="0"/>
    <n v="0"/>
  </r>
  <r>
    <d v="2025-09-06T00:00:00"/>
    <n v="2025"/>
    <x v="41"/>
    <s v="R"/>
    <s v="RS"/>
    <x v="11"/>
    <s v="CON"/>
    <s v="A"/>
    <n v="1"/>
    <n v="2"/>
    <n v="-1"/>
    <n v="1"/>
    <n v="-8"/>
    <n v="8"/>
    <n v="1603.7267969962707"/>
    <n v="1360.6176806747662"/>
    <n v="0.69504286512902547"/>
    <n v="84"/>
    <n v="87"/>
    <n v="0"/>
    <n v="-3"/>
    <n v="0"/>
    <n v="0.24129861101984135"/>
    <n v="1"/>
    <n v="69.7"/>
    <n v="69.7"/>
    <n v="-11.689587593455469"/>
    <n v="1592.0372094028153"/>
    <n v="0"/>
    <n v="1"/>
    <n v="0"/>
    <n v="0"/>
    <n v="0"/>
    <n v="0"/>
    <n v="0"/>
    <n v="0"/>
    <n v="0"/>
    <n v="0"/>
  </r>
  <r>
    <d v="2025-09-06T00:00:00"/>
    <n v="2025"/>
    <x v="41"/>
    <s v="R"/>
    <s v="RS"/>
    <x v="12"/>
    <s v="PHX"/>
    <s v="H"/>
    <n v="2"/>
    <n v="1"/>
    <n v="1"/>
    <n v="-1"/>
    <n v="8"/>
    <n v="-8"/>
    <n v="1360.6176806747662"/>
    <n v="1603.7267969962707"/>
    <n v="0.30495713487097453"/>
    <n v="87"/>
    <n v="84"/>
    <n v="0"/>
    <n v="3"/>
    <n v="1"/>
    <n v="0.24129861101984135"/>
    <n v="1"/>
    <n v="69.7"/>
    <n v="69.7"/>
    <n v="11.689587593455469"/>
    <n v="1372.3072682682216"/>
    <n v="1"/>
    <n v="0"/>
    <n v="0"/>
    <n v="0"/>
    <n v="0"/>
    <n v="0"/>
    <n v="0"/>
    <n v="0"/>
    <n v="0"/>
    <n v="0"/>
  </r>
  <r>
    <d v="2025-09-06T00:00:00"/>
    <n v="2025"/>
    <x v="42"/>
    <s v="R"/>
    <s v="RS"/>
    <x v="0"/>
    <s v="GSV"/>
    <s v="A"/>
    <n v="1"/>
    <n v="1"/>
    <n v="0"/>
    <n v="0"/>
    <n v="0"/>
    <n v="0"/>
    <n v="1682.0901020261413"/>
    <n v="1542.7361464009177"/>
    <n v="0.57899350106950587"/>
    <n v="78"/>
    <n v="72"/>
    <n v="0"/>
    <n v="6"/>
    <n v="1"/>
    <n v="0.31473152525421288"/>
    <n v="1"/>
    <n v="69.55"/>
    <n v="69.55"/>
    <n v="9.2156544206254907"/>
    <n v="1691.3057564467667"/>
    <n v="1"/>
    <n v="0"/>
    <n v="0"/>
    <n v="0"/>
    <n v="0"/>
    <n v="0"/>
    <n v="0"/>
    <n v="0"/>
    <n v="0"/>
    <n v="0"/>
  </r>
  <r>
    <d v="2025-09-06T00:00:00"/>
    <n v="2025"/>
    <x v="41"/>
    <s v="R"/>
    <s v="RS"/>
    <x v="3"/>
    <s v="MIN"/>
    <s v="H"/>
    <n v="1"/>
    <n v="1"/>
    <n v="0"/>
    <n v="0"/>
    <n v="0"/>
    <n v="0"/>
    <n v="1542.7361464009177"/>
    <n v="1682.0901020261413"/>
    <n v="0.42100649893049408"/>
    <n v="72"/>
    <n v="78"/>
    <n v="0"/>
    <n v="-6"/>
    <n v="0"/>
    <n v="0.31473152525421288"/>
    <n v="1"/>
    <n v="69.7"/>
    <n v="69.7"/>
    <n v="-9.235530023258038"/>
    <n v="1533.5006163776598"/>
    <n v="0"/>
    <n v="1"/>
    <n v="0"/>
    <n v="0"/>
    <n v="0"/>
    <n v="0"/>
    <n v="0"/>
    <n v="0"/>
    <n v="0"/>
    <n v="0"/>
  </r>
  <r>
    <d v="2025-09-07T00:00:00"/>
    <n v="2025"/>
    <x v="42"/>
    <s v="R"/>
    <s v="RS"/>
    <x v="1"/>
    <s v="LAS"/>
    <s v="A"/>
    <n v="2"/>
    <n v="1"/>
    <n v="1"/>
    <n v="-1"/>
    <n v="8"/>
    <n v="-8"/>
    <n v="1291.3699787220548"/>
    <n v="1448.019026910092"/>
    <n v="0.2153143947063299"/>
    <n v="77"/>
    <n v="91"/>
    <n v="0"/>
    <n v="-14"/>
    <n v="0"/>
    <n v="0.43130515222225702"/>
    <n v="1"/>
    <n v="69.55"/>
    <n v="69.55"/>
    <n v="-6.4588447514089662"/>
    <n v="1284.9111339706458"/>
    <n v="0"/>
    <n v="1"/>
    <n v="0"/>
    <n v="0"/>
    <n v="0"/>
    <n v="0"/>
    <n v="0"/>
    <n v="0"/>
    <n v="0"/>
    <n v="0"/>
  </r>
  <r>
    <d v="2025-09-07T00:00:00"/>
    <n v="2025"/>
    <x v="41"/>
    <s v="R"/>
    <s v="RS"/>
    <x v="2"/>
    <s v="DAL"/>
    <s v="H"/>
    <n v="1"/>
    <n v="2"/>
    <n v="-1"/>
    <n v="1"/>
    <n v="-8"/>
    <n v="8"/>
    <n v="1448.019026910092"/>
    <n v="1291.3699787220548"/>
    <n v="0.78468560529367015"/>
    <n v="91"/>
    <n v="77"/>
    <n v="0"/>
    <n v="14"/>
    <n v="1"/>
    <n v="0.43130515222225702"/>
    <n v="1"/>
    <n v="69.7"/>
    <n v="69.7"/>
    <n v="6.4727746825766337"/>
    <n v="1454.4918015926685"/>
    <n v="1"/>
    <n v="0"/>
    <n v="0"/>
    <n v="0"/>
    <n v="0"/>
    <n v="0"/>
    <n v="0"/>
    <n v="0"/>
    <n v="0"/>
    <n v="0"/>
  </r>
  <r>
    <d v="2025-09-07T00:00:00"/>
    <n v="2025"/>
    <x v="41"/>
    <s v="R"/>
    <s v="RS"/>
    <x v="6"/>
    <s v="LVA"/>
    <s v="A"/>
    <n v="1"/>
    <n v="2"/>
    <n v="-1"/>
    <n v="1"/>
    <n v="-8"/>
    <n v="8"/>
    <n v="1293.4021663732249"/>
    <n v="1654.5112286758788"/>
    <n v="6.5720967269676286E-2"/>
    <n v="66"/>
    <n v="80"/>
    <n v="0"/>
    <n v="-14"/>
    <n v="0"/>
    <n v="0.37481668537485036"/>
    <n v="1"/>
    <n v="69.7"/>
    <n v="69.7"/>
    <n v="-1.7169420632819421"/>
    <n v="1291.6852243099429"/>
    <n v="0"/>
    <n v="1"/>
    <n v="0"/>
    <n v="0"/>
    <n v="0"/>
    <n v="0"/>
    <n v="0"/>
    <n v="0"/>
    <n v="0"/>
    <n v="0"/>
  </r>
  <r>
    <d v="2025-09-07T00:00:00"/>
    <n v="2025"/>
    <x v="41"/>
    <s v="R"/>
    <s v="RS"/>
    <x v="8"/>
    <s v="CHI"/>
    <s v="H"/>
    <n v="2"/>
    <n v="1"/>
    <n v="1"/>
    <n v="-1"/>
    <n v="8"/>
    <n v="-8"/>
    <n v="1654.5112286758788"/>
    <n v="1293.4021663732249"/>
    <n v="0.93427903273032364"/>
    <n v="80"/>
    <n v="66"/>
    <n v="0"/>
    <n v="14"/>
    <n v="1"/>
    <n v="0.37481668537485036"/>
    <n v="1"/>
    <n v="69.7"/>
    <n v="69.7"/>
    <n v="1.7169420632819439"/>
    <n v="1656.2281707391608"/>
    <n v="1"/>
    <n v="0"/>
    <n v="0"/>
    <n v="0"/>
    <n v="0"/>
    <n v="0"/>
    <n v="0"/>
    <n v="0"/>
    <n v="0"/>
    <n v="0"/>
  </r>
  <r>
    <d v="2025-09-07T00:00:00"/>
    <n v="2025"/>
    <x v="43"/>
    <s v="R"/>
    <s v="RS"/>
    <x v="7"/>
    <s v="WAS"/>
    <s v="A"/>
    <n v="1"/>
    <n v="2"/>
    <n v="-1"/>
    <n v="1"/>
    <n v="-8"/>
    <n v="8"/>
    <n v="1527.3146354541045"/>
    <n v="1374.3007646343117"/>
    <n v="0.57570645656894992"/>
    <n v="94"/>
    <n v="65"/>
    <n v="0"/>
    <n v="29"/>
    <n v="1"/>
    <n v="0.61317593404305004"/>
    <n v="1"/>
    <n v="69.400000000000006"/>
    <n v="69.400000000000006"/>
    <n v="18.05556133224281"/>
    <n v="1545.3701967863474"/>
    <n v="1"/>
    <n v="0"/>
    <n v="0"/>
    <n v="0"/>
    <n v="0"/>
    <n v="0"/>
    <n v="0"/>
    <n v="0"/>
    <n v="0"/>
    <n v="0"/>
  </r>
  <r>
    <d v="2025-09-07T00:00:00"/>
    <n v="2025"/>
    <x v="42"/>
    <s v="R"/>
    <s v="RS"/>
    <x v="5"/>
    <s v="IND"/>
    <s v="H"/>
    <n v="2"/>
    <n v="1"/>
    <n v="1"/>
    <n v="-1"/>
    <n v="8"/>
    <n v="-8"/>
    <n v="1374.3007646343117"/>
    <n v="1527.3146354541045"/>
    <n v="0.42429354343105014"/>
    <n v="65"/>
    <n v="94"/>
    <n v="0"/>
    <n v="-29"/>
    <n v="0"/>
    <n v="0.61317593404305004"/>
    <n v="1"/>
    <n v="69.55"/>
    <n v="69.55"/>
    <n v="-18.094586320713073"/>
    <n v="1356.2061783135987"/>
    <n v="0"/>
    <n v="1"/>
    <n v="0"/>
    <n v="0"/>
    <n v="0"/>
    <n v="0"/>
    <n v="0"/>
    <n v="0"/>
    <n v="0"/>
    <n v="0"/>
  </r>
  <r>
    <d v="2025-09-08T00:00:00"/>
    <n v="2025"/>
    <x v="42"/>
    <s v="R"/>
    <s v="RS"/>
    <x v="12"/>
    <s v="ATL"/>
    <s v="A"/>
    <n v="1"/>
    <n v="2"/>
    <n v="-1"/>
    <n v="1"/>
    <n v="-8"/>
    <n v="8"/>
    <n v="1372.3072682682216"/>
    <n v="1643.7177060178058"/>
    <n v="0.10545693802959173"/>
    <n v="62"/>
    <n v="87"/>
    <n v="0"/>
    <n v="-25"/>
    <n v="0"/>
    <n v="0.52304483801927915"/>
    <n v="1"/>
    <n v="69.55"/>
    <n v="69.55"/>
    <n v="-3.8362880766974237"/>
    <n v="1368.4709801915242"/>
    <n v="0"/>
    <n v="1"/>
    <n v="0"/>
    <n v="0"/>
    <n v="0"/>
    <n v="0"/>
    <n v="0"/>
    <n v="0"/>
    <n v="0"/>
    <n v="0"/>
  </r>
  <r>
    <d v="2025-09-08T00:00:00"/>
    <n v="2025"/>
    <x v="42"/>
    <s v="R"/>
    <s v="RS"/>
    <x v="4"/>
    <s v="CON"/>
    <s v="H"/>
    <n v="2"/>
    <n v="1"/>
    <n v="1"/>
    <n v="-1"/>
    <n v="8"/>
    <n v="-8"/>
    <n v="1643.7177060178058"/>
    <n v="1372.3072682682216"/>
    <n v="0.89454306197040823"/>
    <n v="87"/>
    <n v="62"/>
    <n v="0"/>
    <n v="25"/>
    <n v="1"/>
    <n v="0.52304483801927915"/>
    <n v="1"/>
    <n v="69.55"/>
    <n v="69.55"/>
    <n v="3.836288076697425"/>
    <n v="1647.5539940945032"/>
    <n v="1"/>
    <n v="0"/>
    <n v="0"/>
    <n v="0"/>
    <n v="0"/>
    <n v="0"/>
    <n v="0"/>
    <n v="0"/>
    <n v="0"/>
    <n v="0"/>
  </r>
  <r>
    <d v="2025-09-09T00:00:00"/>
    <n v="2025"/>
    <x v="43"/>
    <s v="R"/>
    <s v="RS"/>
    <x v="0"/>
    <s v="IND"/>
    <s v="A"/>
    <n v="2"/>
    <n v="1"/>
    <n v="1"/>
    <n v="-1"/>
    <n v="8"/>
    <n v="-8"/>
    <n v="1691.3057564467667"/>
    <n v="1545.3701967863474"/>
    <n v="0.61031420275648207"/>
    <n v="72"/>
    <n v="83"/>
    <n v="0"/>
    <n v="-11"/>
    <n v="0"/>
    <n v="0.39214593932143588"/>
    <n v="1"/>
    <n v="69.400000000000006"/>
    <n v="69.400000000000006"/>
    <n v="-16.609657200688083"/>
    <n v="1674.6960992460786"/>
    <n v="0"/>
    <n v="1"/>
    <n v="0"/>
    <n v="0"/>
    <n v="0"/>
    <n v="0"/>
    <n v="0"/>
    <n v="0"/>
    <n v="0"/>
    <n v="0"/>
  </r>
  <r>
    <d v="2025-09-09T00:00:00"/>
    <n v="2025"/>
    <x v="44"/>
    <s v="R"/>
    <s v="RS"/>
    <x v="7"/>
    <s v="MIN"/>
    <s v="H"/>
    <n v="1"/>
    <n v="2"/>
    <n v="-1"/>
    <n v="1"/>
    <n v="-8"/>
    <n v="8"/>
    <n v="1545.3701967863474"/>
    <n v="1691.3057564467667"/>
    <n v="0.38968579724351787"/>
    <n v="83"/>
    <n v="72"/>
    <n v="0"/>
    <n v="11"/>
    <n v="1"/>
    <n v="0.39214593932143588"/>
    <n v="1"/>
    <n v="69.25"/>
    <n v="69.25"/>
    <n v="16.57375736523991"/>
    <n v="1561.9439541515874"/>
    <n v="1"/>
    <n v="0"/>
    <n v="0"/>
    <n v="0"/>
    <n v="0"/>
    <n v="0"/>
    <n v="0"/>
    <n v="0"/>
    <n v="0"/>
    <n v="0"/>
  </r>
  <r>
    <d v="2025-09-09T00:00:00"/>
    <n v="2025"/>
    <x v="42"/>
    <s v="R"/>
    <s v="RS"/>
    <x v="6"/>
    <s v="LVA"/>
    <s v="A"/>
    <n v="1"/>
    <n v="1"/>
    <n v="0"/>
    <n v="0"/>
    <n v="0"/>
    <n v="0"/>
    <n v="1291.6852243099429"/>
    <n v="1656.2281707391608"/>
    <n v="7.030453594848951E-2"/>
    <n v="61"/>
    <n v="92"/>
    <n v="0"/>
    <n v="-31"/>
    <n v="0"/>
    <n v="0.54877461217840495"/>
    <n v="1"/>
    <n v="69.55"/>
    <n v="69.55"/>
    <n v="-2.6833325064637723"/>
    <n v="1289.0018918034791"/>
    <n v="0"/>
    <n v="1"/>
    <n v="0"/>
    <n v="0"/>
    <n v="0"/>
    <n v="0"/>
    <n v="0"/>
    <n v="0"/>
    <n v="0"/>
    <n v="0"/>
  </r>
  <r>
    <d v="2025-09-09T00:00:00"/>
    <n v="2025"/>
    <x v="42"/>
    <s v="R"/>
    <s v="RS"/>
    <x v="8"/>
    <s v="CHI"/>
    <s v="H"/>
    <n v="1"/>
    <n v="1"/>
    <n v="0"/>
    <n v="0"/>
    <n v="0"/>
    <n v="0"/>
    <n v="1656.2281707391608"/>
    <n v="1291.6852243099429"/>
    <n v="0.9296954640515106"/>
    <n v="92"/>
    <n v="61"/>
    <n v="0"/>
    <n v="31"/>
    <n v="1"/>
    <n v="0.54877461217840495"/>
    <n v="1"/>
    <n v="69.55"/>
    <n v="69.55"/>
    <n v="2.6833325064637679"/>
    <n v="1658.9115032456245"/>
    <n v="1"/>
    <n v="0"/>
    <n v="0"/>
    <n v="0"/>
    <n v="0"/>
    <n v="0"/>
    <n v="0"/>
    <n v="0"/>
    <n v="0"/>
    <n v="0"/>
  </r>
  <r>
    <d v="2025-09-09T00:00:00"/>
    <n v="2025"/>
    <x v="43"/>
    <s v="R"/>
    <s v="RS"/>
    <x v="5"/>
    <s v="NYL"/>
    <s v="A"/>
    <n v="1"/>
    <n v="3"/>
    <n v="-2"/>
    <n v="2"/>
    <n v="-16"/>
    <n v="16"/>
    <n v="1356.2061783135987"/>
    <n v="1573.6514716287718"/>
    <n v="0.12792119254378556"/>
    <n v="66"/>
    <n v="75"/>
    <n v="0"/>
    <n v="-9"/>
    <n v="0"/>
    <n v="0.34369286410856115"/>
    <n v="1"/>
    <n v="69.400000000000006"/>
    <n v="69.400000000000006"/>
    <n v="-3.0512127125616124"/>
    <n v="1353.154965601037"/>
    <n v="0"/>
    <n v="1"/>
    <n v="0"/>
    <n v="0"/>
    <n v="0"/>
    <n v="0"/>
    <n v="0"/>
    <n v="0"/>
    <n v="0"/>
    <n v="0"/>
  </r>
  <r>
    <d v="2025-09-09T00:00:00"/>
    <n v="2025"/>
    <x v="42"/>
    <s v="R"/>
    <s v="RS"/>
    <x v="9"/>
    <s v="WAS"/>
    <s v="H"/>
    <n v="3"/>
    <n v="1"/>
    <n v="2"/>
    <n v="-2"/>
    <n v="16"/>
    <n v="-16"/>
    <n v="1573.6514716287718"/>
    <n v="1356.2061783135987"/>
    <n v="0.87207880745621447"/>
    <n v="75"/>
    <n v="66"/>
    <n v="0"/>
    <n v="9"/>
    <n v="1"/>
    <n v="0.34369286410856115"/>
    <n v="1"/>
    <n v="69.55"/>
    <n v="69.55"/>
    <n v="3.0578075527184452"/>
    <n v="1576.7092791814903"/>
    <n v="1"/>
    <n v="0"/>
    <n v="0"/>
    <n v="0"/>
    <n v="0"/>
    <n v="0"/>
    <n v="0"/>
    <n v="0"/>
    <n v="0"/>
    <n v="0"/>
  </r>
  <r>
    <d v="2025-09-09T00:00:00"/>
    <n v="2025"/>
    <x v="42"/>
    <s v="R"/>
    <s v="RS"/>
    <x v="2"/>
    <s v="PHX"/>
    <s v="A"/>
    <n v="1"/>
    <n v="2"/>
    <n v="-1"/>
    <n v="1"/>
    <n v="-8"/>
    <n v="8"/>
    <n v="1454.4918015926685"/>
    <n v="1592.0372094028153"/>
    <n v="0.20303679576733422"/>
    <n v="88"/>
    <n v="83"/>
    <n v="0"/>
    <n v="5"/>
    <n v="1"/>
    <n v="0.29764011616269942"/>
    <n v="1"/>
    <n v="69.55"/>
    <n v="69.55"/>
    <n v="16.4978317486562"/>
    <n v="1470.9896333413246"/>
    <n v="1"/>
    <n v="0"/>
    <n v="0"/>
    <n v="0"/>
    <n v="0"/>
    <n v="0"/>
    <n v="0"/>
    <n v="0"/>
    <n v="0"/>
    <n v="0"/>
  </r>
  <r>
    <d v="2025-09-09T00:00:00"/>
    <n v="2025"/>
    <x v="42"/>
    <s v="R"/>
    <s v="RS"/>
    <x v="11"/>
    <s v="LAS"/>
    <s v="H"/>
    <n v="2"/>
    <n v="1"/>
    <n v="1"/>
    <n v="-1"/>
    <n v="8"/>
    <n v="-8"/>
    <n v="1592.0372094028153"/>
    <n v="1454.4918015926685"/>
    <n v="0.79696320423266576"/>
    <n v="83"/>
    <n v="88"/>
    <n v="0"/>
    <n v="-5"/>
    <n v="0"/>
    <n v="0.29764011616269942"/>
    <n v="1"/>
    <n v="69.55"/>
    <n v="69.55"/>
    <n v="-16.4978317486562"/>
    <n v="1575.5393776541591"/>
    <n v="0"/>
    <n v="1"/>
    <n v="0"/>
    <n v="0"/>
    <n v="0"/>
    <n v="0"/>
    <n v="0"/>
    <n v="0"/>
    <n v="0"/>
    <n v="0"/>
  </r>
  <r>
    <d v="2025-09-09T00:00:00"/>
    <n v="2025"/>
    <x v="42"/>
    <s v="R"/>
    <s v="RS"/>
    <x v="3"/>
    <s v="SEA"/>
    <s v="A"/>
    <n v="2"/>
    <n v="3"/>
    <n v="-1"/>
    <n v="1"/>
    <n v="-8"/>
    <n v="8"/>
    <n v="1533.5006163776598"/>
    <n v="1503.4452916446558"/>
    <n v="0.40067967795935083"/>
    <n v="73"/>
    <n v="74"/>
    <n v="0"/>
    <n v="-1"/>
    <n v="0"/>
    <n v="0.23821335452692272"/>
    <n v="1"/>
    <n v="69.55"/>
    <n v="69.55"/>
    <n v="-6.6383562498426256"/>
    <n v="1526.8622601278171"/>
    <n v="0"/>
    <n v="1"/>
    <n v="0"/>
    <n v="0"/>
    <n v="0"/>
    <n v="0"/>
    <n v="0"/>
    <n v="0"/>
    <n v="0"/>
    <n v="0"/>
  </r>
  <r>
    <d v="2025-09-09T00:00:00"/>
    <n v="2025"/>
    <x v="43"/>
    <s v="R"/>
    <s v="RS"/>
    <x v="10"/>
    <s v="GSV"/>
    <s v="H"/>
    <n v="3"/>
    <n v="2"/>
    <n v="1"/>
    <n v="-1"/>
    <n v="8"/>
    <n v="-8"/>
    <n v="1503.4452916446558"/>
    <n v="1533.5006163776598"/>
    <n v="0.59932032204064922"/>
    <n v="74"/>
    <n v="73"/>
    <n v="0"/>
    <n v="1"/>
    <n v="1"/>
    <n v="0.23821335452692272"/>
    <n v="1"/>
    <n v="69.400000000000006"/>
    <n v="69.400000000000006"/>
    <n v="6.6240391623160058"/>
    <n v="1510.0693308069717"/>
    <n v="1"/>
    <n v="0"/>
    <n v="0"/>
    <n v="0"/>
    <n v="0"/>
    <n v="0"/>
    <n v="0"/>
    <n v="0"/>
    <n v="0"/>
    <n v="0"/>
  </r>
  <r>
    <d v="2025-09-10T00:00:00"/>
    <n v="2025"/>
    <x v="43"/>
    <s v="R"/>
    <s v="RS"/>
    <x v="4"/>
    <s v="CON"/>
    <s v="A"/>
    <n v="1"/>
    <n v="1"/>
    <n v="0"/>
    <n v="0"/>
    <n v="0"/>
    <n v="0"/>
    <n v="1647.5539940945032"/>
    <n v="1368.4709801915242"/>
    <n v="0.75454255743599818"/>
    <n v="88"/>
    <n v="72"/>
    <n v="0"/>
    <n v="16"/>
    <n v="1"/>
    <n v="0.42008679221897377"/>
    <n v="1"/>
    <n v="69.400000000000006"/>
    <n v="69.400000000000006"/>
    <n v="7.1560720193051264"/>
    <n v="1654.7100661138084"/>
    <n v="1"/>
    <n v="0"/>
    <n v="0"/>
    <n v="0"/>
    <n v="0"/>
    <n v="0"/>
    <n v="0"/>
    <n v="0"/>
    <n v="0"/>
    <n v="0"/>
  </r>
  <r>
    <d v="2025-09-10T00:00:00"/>
    <n v="2025"/>
    <x v="43"/>
    <s v="R"/>
    <s v="RS"/>
    <x v="12"/>
    <s v="ATL"/>
    <s v="H"/>
    <n v="1"/>
    <n v="1"/>
    <n v="0"/>
    <n v="0"/>
    <n v="0"/>
    <n v="0"/>
    <n v="1368.4709801915242"/>
    <n v="1647.5539940945032"/>
    <n v="0.24545744256400182"/>
    <n v="72"/>
    <n v="88"/>
    <n v="0"/>
    <n v="-16"/>
    <n v="0"/>
    <n v="0.42008679221897377"/>
    <n v="1"/>
    <n v="69.400000000000006"/>
    <n v="69.400000000000006"/>
    <n v="-7.1560720193051264"/>
    <n v="1361.314908172219"/>
    <n v="0"/>
    <n v="1"/>
    <n v="0"/>
    <n v="0"/>
    <n v="0"/>
    <n v="0"/>
    <n v="0"/>
    <n v="0"/>
    <n v="0"/>
    <n v="0"/>
  </r>
  <r>
    <d v="2025-09-11T00:00:00"/>
    <n v="2025"/>
    <x v="43"/>
    <s v="R"/>
    <s v="RS"/>
    <x v="9"/>
    <s v="CHI"/>
    <s v="A"/>
    <n v="1"/>
    <n v="1"/>
    <n v="0"/>
    <n v="0"/>
    <n v="0"/>
    <n v="0"/>
    <n v="1576.7092791814903"/>
    <n v="1289.0018918034791"/>
    <n v="0.76362079063143362"/>
    <n v="91"/>
    <n v="86"/>
    <n v="0"/>
    <n v="5"/>
    <n v="1"/>
    <n v="0.26759776413770159"/>
    <n v="1"/>
    <n v="69.400000000000006"/>
    <n v="69.400000000000006"/>
    <n v="4.3898656253472215"/>
    <n v="1581.0991448068376"/>
    <n v="1"/>
    <n v="0"/>
    <n v="0"/>
    <n v="0"/>
    <n v="0"/>
    <n v="0"/>
    <n v="0"/>
    <n v="0"/>
    <n v="0"/>
    <n v="0"/>
  </r>
  <r>
    <d v="2025-09-11T00:00:00"/>
    <n v="2025"/>
    <x v="43"/>
    <s v="R"/>
    <s v="RS"/>
    <x v="6"/>
    <s v="NYL"/>
    <s v="H"/>
    <n v="1"/>
    <n v="1"/>
    <n v="0"/>
    <n v="0"/>
    <n v="0"/>
    <n v="0"/>
    <n v="1289.0018918034791"/>
    <n v="1576.7092791814903"/>
    <n v="0.23637920936856641"/>
    <n v="86"/>
    <n v="91"/>
    <n v="0"/>
    <n v="-5"/>
    <n v="0"/>
    <n v="0.26759776413770159"/>
    <n v="1"/>
    <n v="69.400000000000006"/>
    <n v="69.400000000000006"/>
    <n v="-4.3898656253472224"/>
    <n v="1284.6120261781318"/>
    <n v="0"/>
    <n v="1"/>
    <n v="0"/>
    <n v="0"/>
    <n v="0"/>
    <n v="0"/>
    <n v="0"/>
    <n v="0"/>
    <n v="0"/>
    <n v="0"/>
  </r>
  <r>
    <d v="2025-09-11T00:00:00"/>
    <n v="2025"/>
    <x v="43"/>
    <s v="R"/>
    <s v="RS"/>
    <x v="11"/>
    <s v="DAL"/>
    <s v="A"/>
    <n v="1"/>
    <n v="3"/>
    <n v="-2"/>
    <n v="2"/>
    <n v="-16"/>
    <n v="16"/>
    <n v="1575.5393776541591"/>
    <n v="1284.9111339706458"/>
    <n v="0.73208776853478175"/>
    <n v="76"/>
    <n v="97"/>
    <n v="0"/>
    <n v="-21"/>
    <n v="0"/>
    <n v="0.47382139062356493"/>
    <n v="1"/>
    <n v="69.400000000000006"/>
    <n v="69.400000000000006"/>
    <n v="-24.073391811468305"/>
    <n v="1551.4659858426908"/>
    <n v="0"/>
    <n v="1"/>
    <n v="0"/>
    <n v="0"/>
    <n v="0"/>
    <n v="0"/>
    <n v="0"/>
    <n v="0"/>
    <n v="0"/>
    <n v="0"/>
  </r>
  <r>
    <d v="2025-09-11T00:00:00"/>
    <n v="2025"/>
    <x v="43"/>
    <s v="R"/>
    <s v="RS"/>
    <x v="1"/>
    <s v="PHX"/>
    <s v="H"/>
    <n v="3"/>
    <n v="1"/>
    <n v="2"/>
    <n v="-2"/>
    <n v="16"/>
    <n v="-16"/>
    <n v="1284.9111339706458"/>
    <n v="1575.5393776541591"/>
    <n v="0.26791223146521831"/>
    <n v="97"/>
    <n v="76"/>
    <n v="0"/>
    <n v="21"/>
    <n v="1"/>
    <n v="0.47382139062356493"/>
    <n v="1"/>
    <n v="69.400000000000006"/>
    <n v="69.400000000000006"/>
    <n v="24.073391811468305"/>
    <n v="1308.9845257821141"/>
    <n v="1"/>
    <n v="0"/>
    <n v="0"/>
    <n v="0"/>
    <n v="0"/>
    <n v="0"/>
    <n v="0"/>
    <n v="0"/>
    <n v="0"/>
    <n v="0"/>
  </r>
  <r>
    <d v="2025-09-11T00:00:00"/>
    <n v="2025"/>
    <x v="43"/>
    <s v="R"/>
    <s v="RS"/>
    <x v="8"/>
    <s v="LAS"/>
    <s v="A"/>
    <n v="1"/>
    <n v="1"/>
    <n v="0"/>
    <n v="0"/>
    <n v="0"/>
    <n v="0"/>
    <n v="1658.9115032456245"/>
    <n v="1470.9896333413246"/>
    <n v="0.64524950754731336"/>
    <n v="103"/>
    <n v="75"/>
    <n v="0"/>
    <n v="28"/>
    <n v="1"/>
    <n v="0.58714226625845478"/>
    <n v="1"/>
    <n v="69.400000000000006"/>
    <n v="69.400000000000006"/>
    <n v="14.455257161791147"/>
    <n v="1673.3667604074158"/>
    <n v="1"/>
    <n v="0"/>
    <n v="0"/>
    <n v="0"/>
    <n v="0"/>
    <n v="0"/>
    <n v="0"/>
    <n v="0"/>
    <n v="0"/>
    <n v="0"/>
  </r>
  <r>
    <d v="2025-09-11T00:00:00"/>
    <n v="2025"/>
    <x v="43"/>
    <s v="R"/>
    <s v="RS"/>
    <x v="2"/>
    <s v="LVA"/>
    <s v="H"/>
    <n v="1"/>
    <n v="1"/>
    <n v="0"/>
    <n v="0"/>
    <n v="0"/>
    <n v="0"/>
    <n v="1470.9896333413246"/>
    <n v="1658.9115032456245"/>
    <n v="0.35475049245268669"/>
    <n v="75"/>
    <n v="103"/>
    <n v="0"/>
    <n v="-28"/>
    <n v="0"/>
    <n v="0.58714226625845478"/>
    <n v="1"/>
    <n v="69.400000000000006"/>
    <n v="69.400000000000006"/>
    <n v="-14.455257161791149"/>
    <n v="1456.5343761795334"/>
    <n v="0"/>
    <n v="1"/>
    <n v="0"/>
    <n v="0"/>
    <n v="0"/>
    <n v="0"/>
    <n v="0"/>
    <n v="0"/>
    <n v="0"/>
    <n v="0"/>
  </r>
  <r>
    <d v="2025-09-11T00:00:00"/>
    <n v="2025"/>
    <x v="43"/>
    <s v="R"/>
    <s v="RS"/>
    <x v="3"/>
    <s v="MIN"/>
    <s v="A"/>
    <n v="1"/>
    <n v="1"/>
    <n v="0"/>
    <n v="0"/>
    <n v="0"/>
    <n v="0"/>
    <n v="1526.8622601278171"/>
    <n v="1674.6960992460786"/>
    <n v="0.20840891654673202"/>
    <n v="53"/>
    <n v="72"/>
    <n v="0"/>
    <n v="-19"/>
    <n v="0"/>
    <n v="0.49944812760310453"/>
    <n v="1"/>
    <n v="69.400000000000006"/>
    <n v="69.400000000000006"/>
    <n v="-7.2238073542669552"/>
    <n v="1519.6384527735502"/>
    <n v="0"/>
    <n v="1"/>
    <n v="0"/>
    <n v="0"/>
    <n v="0"/>
    <n v="0"/>
    <n v="0"/>
    <n v="0"/>
    <n v="0"/>
    <n v="0"/>
  </r>
  <r>
    <d v="2025-09-11T00:00:00"/>
    <n v="2025"/>
    <x v="44"/>
    <s v="R"/>
    <s v="RS"/>
    <x v="0"/>
    <s v="GSV"/>
    <s v="H"/>
    <n v="1"/>
    <n v="1"/>
    <n v="0"/>
    <n v="0"/>
    <n v="0"/>
    <n v="0"/>
    <n v="1674.6960992460786"/>
    <n v="1526.8622601278171"/>
    <n v="0.7915910834532679"/>
    <n v="72"/>
    <n v="53"/>
    <n v="0"/>
    <n v="19"/>
    <n v="1"/>
    <n v="0.49944812760310453"/>
    <n v="1"/>
    <n v="69.25"/>
    <n v="69.25"/>
    <n v="7.2081939377951993"/>
    <n v="1681.9042931838737"/>
    <n v="1"/>
    <n v="0"/>
    <n v="0"/>
    <n v="0"/>
    <n v="0"/>
    <n v="0"/>
    <n v="0"/>
    <n v="0"/>
    <n v="0"/>
    <n v="0"/>
  </r>
  <r>
    <d v="2025-09-14T00:00:00"/>
    <n v="2025"/>
    <x v="45"/>
    <s v="P"/>
    <n v="1"/>
    <x v="7"/>
    <s v="ATL"/>
    <s v="A"/>
    <n v="4"/>
    <n v="3"/>
    <n v="1"/>
    <n v="-1"/>
    <n v="8"/>
    <n v="-8"/>
    <n v="1561.9439541515874"/>
    <n v="1654.7100661138084"/>
    <n v="0.28384991471465254"/>
    <n v="68"/>
    <n v="80"/>
    <n v="0"/>
    <n v="-12"/>
    <n v="0"/>
    <n v="0.4233985766079893"/>
    <n v="1.1000000000000001"/>
    <n v="69.099999999999994"/>
    <n v="76.010000000000005"/>
    <n v="-9.1350072058953167"/>
    <n v="1552.808946945692"/>
    <n v="0"/>
    <n v="0"/>
    <n v="0"/>
    <n v="1"/>
    <n v="0"/>
    <n v="0"/>
    <n v="0"/>
    <n v="0"/>
    <n v="0"/>
    <n v="0"/>
  </r>
  <r>
    <d v="2025-09-14T00:00:00"/>
    <n v="2025"/>
    <x v="44"/>
    <s v="P"/>
    <n v="1"/>
    <x v="4"/>
    <s v="IND"/>
    <s v="H"/>
    <n v="3"/>
    <n v="4"/>
    <n v="-1"/>
    <n v="1"/>
    <n v="-8"/>
    <n v="8"/>
    <n v="1654.7100661138084"/>
    <n v="1561.9439541515874"/>
    <n v="0.71615008528534752"/>
    <n v="80"/>
    <n v="68"/>
    <n v="0"/>
    <n v="12"/>
    <n v="1"/>
    <n v="0.4233985766079893"/>
    <n v="1.1000000000000001"/>
    <n v="69.25"/>
    <n v="76.175000000000011"/>
    <n v="9.1548371781222961"/>
    <n v="1663.8649032919307"/>
    <n v="0"/>
    <n v="0"/>
    <n v="1"/>
    <n v="0"/>
    <n v="0"/>
    <n v="0"/>
    <n v="0"/>
    <n v="0"/>
    <n v="0"/>
    <n v="0"/>
  </r>
  <r>
    <d v="2025-09-14T00:00:00"/>
    <n v="2025"/>
    <x v="44"/>
    <s v="P"/>
    <n v="1"/>
    <x v="10"/>
    <s v="LVA"/>
    <s v="A"/>
    <n v="4"/>
    <n v="2"/>
    <n v="2"/>
    <n v="-2"/>
    <n v="16"/>
    <n v="-16"/>
    <n v="1510.0693308069717"/>
    <n v="1673.3667604074158"/>
    <n v="0.22454886409600988"/>
    <n v="77"/>
    <n v="102"/>
    <n v="0"/>
    <n v="-25"/>
    <n v="0"/>
    <n v="0.56452364492329943"/>
    <n v="1.1000000000000001"/>
    <n v="69.25"/>
    <n v="76.175000000000011"/>
    <n v="-9.6561824350018259"/>
    <n v="1500.4131483719698"/>
    <n v="0"/>
    <n v="0"/>
    <n v="0"/>
    <n v="1"/>
    <n v="0"/>
    <n v="0"/>
    <n v="0"/>
    <n v="0"/>
    <n v="0"/>
    <n v="0"/>
  </r>
  <r>
    <d v="2025-09-14T00:00:00"/>
    <n v="2025"/>
    <x v="44"/>
    <s v="P"/>
    <n v="1"/>
    <x v="8"/>
    <s v="SEA"/>
    <s v="H"/>
    <n v="2"/>
    <n v="4"/>
    <n v="-2"/>
    <n v="2"/>
    <n v="-16"/>
    <n v="16"/>
    <n v="1673.3667604074158"/>
    <n v="1510.0693308069717"/>
    <n v="0.77545113590399006"/>
    <n v="102"/>
    <n v="77"/>
    <n v="0"/>
    <n v="25"/>
    <n v="1"/>
    <n v="0.56452364492329943"/>
    <n v="1.1000000000000001"/>
    <n v="69.25"/>
    <n v="76.175000000000011"/>
    <n v="9.6561824350018277"/>
    <n v="1683.0229428424177"/>
    <n v="0"/>
    <n v="0"/>
    <n v="1"/>
    <n v="0"/>
    <n v="0"/>
    <n v="0"/>
    <n v="0"/>
    <n v="0"/>
    <n v="0"/>
    <n v="0"/>
  </r>
  <r>
    <d v="2025-09-14T00:00:00"/>
    <n v="2025"/>
    <x v="44"/>
    <s v="P"/>
    <n v="1"/>
    <x v="3"/>
    <s v="MIN"/>
    <s v="A"/>
    <n v="2"/>
    <n v="2"/>
    <n v="0"/>
    <n v="0"/>
    <n v="0"/>
    <n v="0"/>
    <n v="1519.6384527735502"/>
    <n v="1681.9042931838737"/>
    <n v="0.19503494284846773"/>
    <n v="72"/>
    <n v="101"/>
    <n v="0"/>
    <n v="-29"/>
    <n v="0"/>
    <n v="0.6090114861598801"/>
    <n v="1.1000000000000001"/>
    <n v="69.25"/>
    <n v="76.175000000000011"/>
    <n v="-9.0479537912607189"/>
    <n v="1510.5904989822895"/>
    <n v="0"/>
    <n v="0"/>
    <n v="0"/>
    <n v="1"/>
    <n v="0"/>
    <n v="0"/>
    <n v="0"/>
    <n v="0"/>
    <n v="0"/>
    <n v="0"/>
  </r>
  <r>
    <d v="2025-09-14T00:00:00"/>
    <n v="2025"/>
    <x v="45"/>
    <s v="P"/>
    <n v="1"/>
    <x v="0"/>
    <s v="GSV"/>
    <s v="H"/>
    <n v="2"/>
    <n v="2"/>
    <n v="0"/>
    <n v="0"/>
    <n v="0"/>
    <n v="0"/>
    <n v="1681.9042931838737"/>
    <n v="1519.6384527735502"/>
    <n v="0.80496505715153222"/>
    <n v="101"/>
    <n v="72"/>
    <n v="0"/>
    <n v="29"/>
    <n v="1"/>
    <n v="0.6090114861598801"/>
    <n v="1.1000000000000001"/>
    <n v="69.099999999999994"/>
    <n v="76.010000000000005"/>
    <n v="9.0283553353951742"/>
    <n v="1690.9326485192689"/>
    <n v="0"/>
    <n v="0"/>
    <n v="1"/>
    <n v="0"/>
    <n v="0"/>
    <n v="0"/>
    <n v="0"/>
    <n v="0"/>
    <n v="0"/>
    <n v="0"/>
  </r>
  <r>
    <d v="2025-09-14T00:00:00"/>
    <n v="2025"/>
    <x v="44"/>
    <s v="P"/>
    <n v="1"/>
    <x v="9"/>
    <s v="PHX"/>
    <s v="A"/>
    <n v="2"/>
    <n v="2"/>
    <n v="0"/>
    <n v="0"/>
    <n v="0"/>
    <n v="0"/>
    <n v="1581.0991448068376"/>
    <n v="1551.4659858426908"/>
    <n v="0.42239223196691145"/>
    <n v="76"/>
    <n v="69"/>
    <n v="1"/>
    <n v="7"/>
    <n v="1"/>
    <n v="0.32506910160331842"/>
    <n v="1.1000000000000001"/>
    <n v="69.25"/>
    <n v="76.175000000000011"/>
    <n v="14.302803732445552"/>
    <n v="1595.401948539283"/>
    <n v="0"/>
    <n v="0"/>
    <n v="1"/>
    <n v="0"/>
    <n v="0"/>
    <n v="0"/>
    <n v="0"/>
    <n v="0"/>
    <n v="0"/>
    <n v="0"/>
  </r>
  <r>
    <d v="2025-09-14T00:00:00"/>
    <n v="2025"/>
    <x v="44"/>
    <s v="P"/>
    <n v="1"/>
    <x v="11"/>
    <s v="NYL"/>
    <s v="H"/>
    <n v="2"/>
    <n v="2"/>
    <n v="0"/>
    <n v="0"/>
    <n v="0"/>
    <n v="0"/>
    <n v="1551.4659858426908"/>
    <n v="1581.0991448068376"/>
    <n v="0.57760776803308855"/>
    <n v="69"/>
    <n v="76"/>
    <n v="1"/>
    <n v="-7"/>
    <n v="0"/>
    <n v="0.32506910160331842"/>
    <n v="1.1000000000000001"/>
    <n v="69.25"/>
    <n v="76.175000000000011"/>
    <n v="-14.302803732445552"/>
    <n v="1537.1631821102453"/>
    <n v="0"/>
    <n v="0"/>
    <n v="0"/>
    <n v="1"/>
    <n v="0"/>
    <n v="0"/>
    <n v="0"/>
    <n v="0"/>
    <n v="0"/>
    <n v="0"/>
  </r>
  <r>
    <d v="2025-09-16T00:00:00"/>
    <n v="2025"/>
    <x v="45"/>
    <s v="P"/>
    <n v="1"/>
    <x v="4"/>
    <s v="IND"/>
    <s v="A"/>
    <n v="1"/>
    <n v="1"/>
    <n v="0"/>
    <n v="0"/>
    <n v="0"/>
    <n v="0"/>
    <n v="1663.8649032919307"/>
    <n v="1552.808946945692"/>
    <n v="0.53885813434136387"/>
    <n v="60"/>
    <n v="77"/>
    <n v="0"/>
    <n v="-17"/>
    <n v="0"/>
    <n v="0.48734036087904453"/>
    <n v="1.1000000000000001"/>
    <n v="69.099999999999994"/>
    <n v="76.010000000000005"/>
    <n v="-19.960782214768727"/>
    <n v="1643.904121077162"/>
    <n v="0"/>
    <n v="0"/>
    <n v="0"/>
    <n v="1"/>
    <n v="0"/>
    <n v="0"/>
    <n v="0"/>
    <n v="0"/>
    <n v="0"/>
    <n v="0"/>
  </r>
  <r>
    <d v="2025-09-16T00:00:00"/>
    <n v="2025"/>
    <x v="46"/>
    <s v="P"/>
    <n v="1"/>
    <x v="7"/>
    <s v="ATL"/>
    <s v="H"/>
    <n v="1"/>
    <n v="1"/>
    <n v="0"/>
    <n v="0"/>
    <n v="0"/>
    <n v="0"/>
    <n v="1552.808946945692"/>
    <n v="1663.8649032919307"/>
    <n v="0.46114186565863613"/>
    <n v="77"/>
    <n v="60"/>
    <n v="0"/>
    <n v="17"/>
    <n v="1"/>
    <n v="0.48734036087904453"/>
    <n v="1.1000000000000001"/>
    <n v="68.95"/>
    <n v="75.845000000000013"/>
    <n v="19.917452007356061"/>
    <n v="1572.7263989530481"/>
    <n v="0"/>
    <n v="0"/>
    <n v="1"/>
    <n v="0"/>
    <n v="0"/>
    <n v="0"/>
    <n v="0"/>
    <n v="0"/>
    <n v="0"/>
    <n v="0"/>
  </r>
  <r>
    <d v="2025-09-16T00:00:00"/>
    <n v="2025"/>
    <x v="45"/>
    <s v="P"/>
    <n v="1"/>
    <x v="8"/>
    <s v="SEA"/>
    <s v="A"/>
    <n v="1"/>
    <n v="1"/>
    <n v="0"/>
    <n v="0"/>
    <n v="0"/>
    <n v="0"/>
    <n v="1683.0229428424177"/>
    <n v="1500.4131483719698"/>
    <n v="0.63821927215072483"/>
    <n v="83"/>
    <n v="86"/>
    <n v="0"/>
    <n v="-3"/>
    <n v="0"/>
    <n v="0.25185719550888985"/>
    <n v="1.1000000000000001"/>
    <n v="69.099999999999994"/>
    <n v="76.010000000000005"/>
    <n v="-12.217856217434129"/>
    <n v="1670.8050866249837"/>
    <n v="0"/>
    <n v="0"/>
    <n v="0"/>
    <n v="1"/>
    <n v="0"/>
    <n v="0"/>
    <n v="0"/>
    <n v="0"/>
    <n v="0"/>
    <n v="0"/>
  </r>
  <r>
    <d v="2025-09-16T00:00:00"/>
    <n v="2025"/>
    <x v="45"/>
    <s v="P"/>
    <n v="1"/>
    <x v="10"/>
    <s v="LVA"/>
    <s v="H"/>
    <n v="1"/>
    <n v="1"/>
    <n v="0"/>
    <n v="0"/>
    <n v="0"/>
    <n v="0"/>
    <n v="1500.4131483719698"/>
    <n v="1683.0229428424177"/>
    <n v="0.36178072784927523"/>
    <n v="86"/>
    <n v="83"/>
    <n v="0"/>
    <n v="3"/>
    <n v="1"/>
    <n v="0.25185719550888985"/>
    <n v="1.1000000000000001"/>
    <n v="69.099999999999994"/>
    <n v="76.010000000000005"/>
    <n v="12.217856217434127"/>
    <n v="1512.6310045894038"/>
    <n v="0"/>
    <n v="0"/>
    <n v="1"/>
    <n v="0"/>
    <n v="0"/>
    <n v="0"/>
    <n v="0"/>
    <n v="0"/>
    <n v="0"/>
    <n v="0"/>
  </r>
  <r>
    <d v="2025-09-17T00:00:00"/>
    <n v="2025"/>
    <x v="46"/>
    <s v="P"/>
    <n v="1"/>
    <x v="0"/>
    <s v="GSV"/>
    <s v="A"/>
    <n v="2"/>
    <n v="2"/>
    <n v="0"/>
    <n v="0"/>
    <n v="0"/>
    <n v="0"/>
    <n v="1690.9326485192689"/>
    <n v="1510.5904989822895"/>
    <n v="0.6351998474451902"/>
    <n v="75"/>
    <n v="74"/>
    <n v="0"/>
    <n v="1"/>
    <n v="1"/>
    <n v="0.21227751775647871"/>
    <n v="1.1000000000000001"/>
    <n v="68.95"/>
    <n v="75.845000000000013"/>
    <n v="5.8733511604919686"/>
    <n v="1696.8059996797608"/>
    <n v="0"/>
    <n v="0"/>
    <n v="1"/>
    <n v="0"/>
    <n v="0"/>
    <n v="0"/>
    <n v="0"/>
    <n v="0"/>
    <n v="0"/>
    <n v="0"/>
  </r>
  <r>
    <d v="2025-09-17T00:00:00"/>
    <n v="2025"/>
    <x v="45"/>
    <s v="P"/>
    <n v="1"/>
    <x v="3"/>
    <s v="MIN"/>
    <s v="H"/>
    <n v="2"/>
    <n v="2"/>
    <n v="0"/>
    <n v="0"/>
    <n v="0"/>
    <n v="0"/>
    <n v="1510.5904989822895"/>
    <n v="1690.9326485192689"/>
    <n v="0.3648001525548098"/>
    <n v="74"/>
    <n v="75"/>
    <n v="0"/>
    <n v="-1"/>
    <n v="0"/>
    <n v="0.21227751775647871"/>
    <n v="1.1000000000000001"/>
    <n v="69.099999999999994"/>
    <n v="76.010000000000005"/>
    <n v="-5.8861285741841183"/>
    <n v="1504.7043704081054"/>
    <n v="0"/>
    <n v="0"/>
    <n v="0"/>
    <n v="1"/>
    <n v="0"/>
    <n v="0"/>
    <n v="0"/>
    <n v="0"/>
    <n v="0"/>
    <n v="0"/>
  </r>
  <r>
    <d v="2025-09-17T00:00:00"/>
    <n v="2025"/>
    <x v="45"/>
    <s v="P"/>
    <n v="1"/>
    <x v="11"/>
    <s v="NYL"/>
    <s v="A"/>
    <n v="2"/>
    <n v="2"/>
    <n v="0"/>
    <n v="0"/>
    <n v="0"/>
    <n v="0"/>
    <n v="1537.1631821102453"/>
    <n v="1595.401948539283"/>
    <n v="0.30602011134454205"/>
    <n v="86"/>
    <n v="60"/>
    <n v="0"/>
    <n v="26"/>
    <n v="1"/>
    <n v="0.6238123300300259"/>
    <n v="1.1000000000000001"/>
    <n v="69.099999999999994"/>
    <n v="76.010000000000005"/>
    <n v="32.905733193659941"/>
    <n v="1570.0689153039052"/>
    <n v="0"/>
    <n v="0"/>
    <n v="1"/>
    <n v="0"/>
    <n v="0"/>
    <n v="0"/>
    <n v="0"/>
    <n v="0"/>
    <n v="0"/>
    <n v="0"/>
  </r>
  <r>
    <d v="2025-09-17T00:00:00"/>
    <n v="2025"/>
    <x v="45"/>
    <s v="P"/>
    <n v="1"/>
    <x v="9"/>
    <s v="PHX"/>
    <s v="H"/>
    <n v="2"/>
    <n v="2"/>
    <n v="0"/>
    <n v="0"/>
    <n v="0"/>
    <n v="0"/>
    <n v="1595.401948539283"/>
    <n v="1537.1631821102453"/>
    <n v="0.6939798886554579"/>
    <n v="60"/>
    <n v="86"/>
    <n v="0"/>
    <n v="-26"/>
    <n v="0"/>
    <n v="0.6238123300300259"/>
    <n v="1.1000000000000001"/>
    <n v="69.099999999999994"/>
    <n v="76.010000000000005"/>
    <n v="-32.905733193659934"/>
    <n v="1562.4962153456231"/>
    <n v="0"/>
    <n v="0"/>
    <n v="0"/>
    <n v="1"/>
    <n v="0"/>
    <n v="0"/>
    <n v="0"/>
    <n v="0"/>
    <n v="0"/>
    <n v="0"/>
  </r>
  <r>
    <d v="2025-09-18T00:00:00"/>
    <n v="2025"/>
    <x v="47"/>
    <s v="P"/>
    <n v="1"/>
    <x v="7"/>
    <s v="ATL"/>
    <s v="A"/>
    <n v="1"/>
    <n v="1"/>
    <n v="0"/>
    <n v="0"/>
    <n v="0"/>
    <n v="0"/>
    <n v="1572.7263989530481"/>
    <n v="1643.904121077162"/>
    <n v="0.2904344915519888"/>
    <n v="87"/>
    <n v="85"/>
    <n v="0"/>
    <n v="2"/>
    <n v="1"/>
    <n v="0.25284394099869412"/>
    <n v="1.1000000000000001"/>
    <n v="68.8"/>
    <n v="75.680000000000007"/>
    <n v="13.577698817351163"/>
    <n v="1586.3040977703993"/>
    <n v="0"/>
    <n v="0"/>
    <n v="1"/>
    <n v="0"/>
    <n v="0"/>
    <n v="0"/>
    <n v="0"/>
    <n v="0"/>
    <n v="0"/>
    <n v="0"/>
  </r>
  <r>
    <d v="2025-09-18T00:00:00"/>
    <n v="2025"/>
    <x v="46"/>
    <s v="P"/>
    <n v="1"/>
    <x v="4"/>
    <s v="IND"/>
    <s v="H"/>
    <n v="1"/>
    <n v="1"/>
    <n v="0"/>
    <n v="0"/>
    <n v="0"/>
    <n v="0"/>
    <n v="1643.904121077162"/>
    <n v="1572.7263989530481"/>
    <n v="0.70956550844801114"/>
    <n v="85"/>
    <n v="87"/>
    <n v="0"/>
    <n v="-2"/>
    <n v="0"/>
    <n v="0.25284394099869412"/>
    <n v="1.1000000000000001"/>
    <n v="68.95"/>
    <n v="75.845000000000013"/>
    <n v="-13.607301358377365"/>
    <n v="1630.2968197187847"/>
    <n v="0"/>
    <n v="0"/>
    <n v="0"/>
    <n v="1"/>
    <n v="0"/>
    <n v="0"/>
    <n v="0"/>
    <n v="0"/>
    <n v="0"/>
    <n v="0"/>
  </r>
  <r>
    <d v="2025-09-18T00:00:00"/>
    <n v="2025"/>
    <x v="46"/>
    <s v="P"/>
    <n v="1"/>
    <x v="10"/>
    <s v="LVA"/>
    <s v="A"/>
    <n v="1"/>
    <n v="1"/>
    <n v="0"/>
    <n v="0"/>
    <n v="0"/>
    <n v="0"/>
    <n v="1512.6310045894038"/>
    <n v="1670.8050866249837"/>
    <n v="0.1987594239632306"/>
    <n v="73"/>
    <n v="74"/>
    <n v="0"/>
    <n v="-1"/>
    <n v="0"/>
    <n v="0.21574230360749588"/>
    <n v="1.1000000000000001"/>
    <n v="68.95"/>
    <n v="75.845000000000013"/>
    <n v="-3.2522954887256219"/>
    <n v="1509.3787091006782"/>
    <n v="0"/>
    <n v="0"/>
    <n v="0"/>
    <n v="1"/>
    <n v="0"/>
    <n v="0"/>
    <n v="0"/>
    <n v="0"/>
    <n v="0"/>
    <n v="0"/>
  </r>
  <r>
    <d v="2025-09-18T00:00:00"/>
    <n v="2025"/>
    <x v="46"/>
    <s v="P"/>
    <n v="1"/>
    <x v="8"/>
    <s v="SEA"/>
    <s v="H"/>
    <n v="1"/>
    <n v="1"/>
    <n v="0"/>
    <n v="0"/>
    <n v="0"/>
    <n v="0"/>
    <n v="1670.8050866249837"/>
    <n v="1512.6310045894038"/>
    <n v="0.80124057603676935"/>
    <n v="74"/>
    <n v="73"/>
    <n v="0"/>
    <n v="1"/>
    <n v="1"/>
    <n v="0.21574230360749588"/>
    <n v="1.1000000000000001"/>
    <n v="68.95"/>
    <n v="75.845000000000013"/>
    <n v="3.2522954887256228"/>
    <n v="1674.0573821137093"/>
    <n v="0"/>
    <n v="0"/>
    <n v="1"/>
    <n v="0"/>
    <n v="0"/>
    <n v="0"/>
    <n v="0"/>
    <n v="0"/>
    <n v="0"/>
    <n v="0"/>
  </r>
  <r>
    <d v="2025-09-19T00:00:00"/>
    <n v="2025"/>
    <x v="46"/>
    <s v="P"/>
    <n v="1"/>
    <x v="9"/>
    <s v="PHX"/>
    <s v="A"/>
    <n v="1"/>
    <n v="1"/>
    <n v="0"/>
    <n v="0"/>
    <n v="0"/>
    <n v="0"/>
    <n v="1562.4962153456231"/>
    <n v="1570.0689153039052"/>
    <n v="0.37118538991918237"/>
    <n v="73"/>
    <n v="79"/>
    <n v="0"/>
    <n v="-6"/>
    <n v="0"/>
    <n v="0.34907787607632468"/>
    <n v="1.1000000000000001"/>
    <n v="68.95"/>
    <n v="75.845000000000013"/>
    <n v="-9.8274344191405962"/>
    <n v="1552.6687809264824"/>
    <n v="0"/>
    <n v="0"/>
    <n v="0"/>
    <n v="1"/>
    <n v="0"/>
    <n v="0"/>
    <n v="0"/>
    <n v="0"/>
    <n v="0"/>
    <n v="0"/>
  </r>
  <r>
    <d v="2025-09-19T00:00:00"/>
    <n v="2025"/>
    <x v="46"/>
    <s v="P"/>
    <n v="1"/>
    <x v="11"/>
    <s v="NYL"/>
    <s v="H"/>
    <n v="1"/>
    <n v="1"/>
    <n v="0"/>
    <n v="0"/>
    <n v="0"/>
    <n v="0"/>
    <n v="1570.0689153039052"/>
    <n v="1562.4962153456231"/>
    <n v="0.62881461008081763"/>
    <n v="79"/>
    <n v="73"/>
    <n v="0"/>
    <n v="6"/>
    <n v="1"/>
    <n v="0.34907787607632468"/>
    <n v="1.1000000000000001"/>
    <n v="68.95"/>
    <n v="75.845000000000013"/>
    <n v="9.8274344191405962"/>
    <n v="1579.8963497230459"/>
    <n v="0"/>
    <n v="0"/>
    <n v="1"/>
    <n v="0"/>
    <n v="0"/>
    <n v="0"/>
    <n v="0"/>
    <n v="0"/>
    <n v="0"/>
    <n v="0"/>
  </r>
  <r>
    <d v="2025-09-21T00:00:00"/>
    <n v="2025"/>
    <x v="48"/>
    <s v="P"/>
    <n v="2"/>
    <x v="7"/>
    <s v="LVA"/>
    <s v="A"/>
    <n v="2"/>
    <n v="2"/>
    <n v="0"/>
    <n v="0"/>
    <n v="0"/>
    <n v="0"/>
    <n v="1586.3040977703993"/>
    <n v="1674.0573821137093"/>
    <n v="0.27117063197831653"/>
    <n v="89"/>
    <n v="73"/>
    <n v="0"/>
    <n v="16"/>
    <n v="1"/>
    <n v="0.48250176978032588"/>
    <n v="1.2"/>
    <n v="68.650000000000006"/>
    <n v="82.38000000000001"/>
    <n v="28.969871069720348"/>
    <n v="1615.2739688401196"/>
    <n v="0"/>
    <n v="0"/>
    <n v="0"/>
    <n v="0"/>
    <n v="1"/>
    <n v="0"/>
    <n v="0"/>
    <n v="0"/>
    <n v="0"/>
    <n v="0"/>
  </r>
  <r>
    <d v="2025-09-21T00:00:00"/>
    <n v="2025"/>
    <x v="47"/>
    <s v="P"/>
    <n v="2"/>
    <x v="8"/>
    <s v="IND"/>
    <s v="H"/>
    <n v="2"/>
    <n v="2"/>
    <n v="0"/>
    <n v="0"/>
    <n v="0"/>
    <n v="0"/>
    <n v="1674.0573821137093"/>
    <n v="1586.3040977703993"/>
    <n v="0.72882936802168352"/>
    <n v="73"/>
    <n v="89"/>
    <n v="0"/>
    <n v="-16"/>
    <n v="0"/>
    <n v="0.48250176978032588"/>
    <n v="1.2"/>
    <n v="68.8"/>
    <n v="82.559999999999988"/>
    <n v="-29.033170132509245"/>
    <n v="1645.0242119812001"/>
    <n v="0"/>
    <n v="0"/>
    <n v="0"/>
    <n v="0"/>
    <n v="0"/>
    <n v="1"/>
    <n v="0"/>
    <n v="0"/>
    <n v="0"/>
    <n v="0"/>
  </r>
  <r>
    <d v="2025-09-21T00:00:00"/>
    <n v="2025"/>
    <x v="47"/>
    <s v="P"/>
    <n v="2"/>
    <x v="11"/>
    <s v="MIN"/>
    <s v="A"/>
    <n v="1"/>
    <n v="3"/>
    <n v="-2"/>
    <n v="2"/>
    <n v="-16"/>
    <n v="16"/>
    <n v="1579.8963497230459"/>
    <n v="1696.8059996797608"/>
    <n v="0.20738909570836098"/>
    <n v="69"/>
    <n v="82"/>
    <n v="0"/>
    <n v="-13"/>
    <n v="0"/>
    <n v="0.43013771430375619"/>
    <n v="1.2"/>
    <n v="68.8"/>
    <n v="82.559999999999988"/>
    <n v="-7.364836759256149"/>
    <n v="1572.5315129637897"/>
    <n v="0"/>
    <n v="0"/>
    <n v="0"/>
    <n v="0"/>
    <n v="0"/>
    <n v="1"/>
    <n v="0"/>
    <n v="0"/>
    <n v="0"/>
    <n v="0"/>
  </r>
  <r>
    <d v="2025-09-21T00:00:00"/>
    <n v="2025"/>
    <x v="47"/>
    <s v="P"/>
    <n v="2"/>
    <x v="0"/>
    <s v="PHX"/>
    <s v="H"/>
    <n v="3"/>
    <n v="1"/>
    <n v="2"/>
    <n v="-2"/>
    <n v="16"/>
    <n v="-16"/>
    <n v="1696.8059996797608"/>
    <n v="1579.8963497230459"/>
    <n v="0.79261090429163905"/>
    <n v="82"/>
    <n v="69"/>
    <n v="0"/>
    <n v="13"/>
    <n v="1"/>
    <n v="0.43013771430375619"/>
    <n v="1.2"/>
    <n v="68.8"/>
    <n v="82.559999999999988"/>
    <n v="7.3648367592561481"/>
    <n v="1704.170836439017"/>
    <n v="0"/>
    <n v="0"/>
    <n v="0"/>
    <n v="0"/>
    <n v="1"/>
    <n v="0"/>
    <n v="0"/>
    <n v="0"/>
    <n v="0"/>
    <n v="0"/>
  </r>
  <r>
    <d v="2025-09-23T00:00:00"/>
    <n v="2025"/>
    <x v="49"/>
    <s v="P"/>
    <n v="2"/>
    <x v="7"/>
    <s v="LVA"/>
    <s v="A"/>
    <n v="1"/>
    <n v="1"/>
    <n v="0"/>
    <n v="0"/>
    <n v="0"/>
    <n v="0"/>
    <n v="1615.2739688401196"/>
    <n v="1645.0242119812001"/>
    <n v="0.34190890198627877"/>
    <n v="68"/>
    <n v="90"/>
    <n v="0"/>
    <n v="-22"/>
    <n v="0"/>
    <n v="0.58749116709979299"/>
    <n v="1.2"/>
    <n v="68.5"/>
    <n v="82.2"/>
    <n v="-16.511387401291611"/>
    <n v="1598.762581438828"/>
    <n v="0"/>
    <n v="0"/>
    <n v="0"/>
    <n v="0"/>
    <n v="0"/>
    <n v="1"/>
    <n v="0"/>
    <n v="0"/>
    <n v="0"/>
    <n v="0"/>
  </r>
  <r>
    <d v="2025-09-23T00:00:00"/>
    <n v="2025"/>
    <x v="48"/>
    <s v="P"/>
    <n v="2"/>
    <x v="8"/>
    <s v="IND"/>
    <s v="H"/>
    <n v="1"/>
    <n v="1"/>
    <n v="0"/>
    <n v="0"/>
    <n v="0"/>
    <n v="0"/>
    <n v="1645.0242119812001"/>
    <n v="1615.2739688401196"/>
    <n v="0.65809109801372123"/>
    <n v="90"/>
    <n v="68"/>
    <n v="0"/>
    <n v="22"/>
    <n v="1"/>
    <n v="0.58749116709979299"/>
    <n v="1.2"/>
    <n v="68.650000000000006"/>
    <n v="82.38000000000001"/>
    <n v="16.547543724068166"/>
    <n v="1661.5717557052683"/>
    <n v="0"/>
    <n v="0"/>
    <n v="0"/>
    <n v="0"/>
    <n v="1"/>
    <n v="0"/>
    <n v="0"/>
    <n v="0"/>
    <n v="0"/>
    <n v="0"/>
  </r>
  <r>
    <d v="2025-09-23T00:00:00"/>
    <n v="2025"/>
    <x v="48"/>
    <s v="P"/>
    <n v="2"/>
    <x v="11"/>
    <s v="MIN"/>
    <s v="A"/>
    <n v="1"/>
    <n v="1"/>
    <n v="0"/>
    <n v="0"/>
    <n v="0"/>
    <n v="0"/>
    <n v="1572.5315129637897"/>
    <n v="1704.170836439017"/>
    <n v="0.22420635129874814"/>
    <n v="89"/>
    <n v="83"/>
    <n v="1"/>
    <n v="6"/>
    <n v="1"/>
    <n v="0.28489938325655695"/>
    <n v="1.2"/>
    <n v="68.650000000000006"/>
    <n v="82.38000000000001"/>
    <n v="18.207885618224687"/>
    <n v="1590.7393985820145"/>
    <n v="0"/>
    <n v="0"/>
    <n v="0"/>
    <n v="0"/>
    <n v="1"/>
    <n v="0"/>
    <n v="0"/>
    <n v="0"/>
    <n v="0"/>
    <n v="0"/>
  </r>
  <r>
    <d v="2025-09-23T00:00:00"/>
    <n v="2025"/>
    <x v="48"/>
    <s v="P"/>
    <n v="2"/>
    <x v="0"/>
    <s v="PHX"/>
    <s v="H"/>
    <n v="1"/>
    <n v="1"/>
    <n v="0"/>
    <n v="0"/>
    <n v="0"/>
    <n v="0"/>
    <n v="1704.170836439017"/>
    <n v="1572.5315129637897"/>
    <n v="0.77579364870125189"/>
    <n v="83"/>
    <n v="89"/>
    <n v="1"/>
    <n v="-6"/>
    <n v="0"/>
    <n v="0.28489938325655695"/>
    <n v="1.2"/>
    <n v="68.650000000000006"/>
    <n v="82.38000000000001"/>
    <n v="-18.207885618224687"/>
    <n v="1685.9629508207922"/>
    <n v="0"/>
    <n v="0"/>
    <n v="0"/>
    <n v="0"/>
    <n v="0"/>
    <n v="1"/>
    <n v="0"/>
    <n v="0"/>
    <n v="0"/>
    <n v="0"/>
  </r>
  <r>
    <d v="2025-09-26T00:00:00"/>
    <n v="2025"/>
    <x v="49"/>
    <s v="P"/>
    <n v="2"/>
    <x v="8"/>
    <s v="IND"/>
    <s v="A"/>
    <n v="2"/>
    <n v="2"/>
    <n v="0"/>
    <n v="0"/>
    <n v="0"/>
    <n v="0"/>
    <n v="1661.5717557052683"/>
    <n v="1598.762581438828"/>
    <n v="0.46954170963250202"/>
    <n v="84"/>
    <n v="72"/>
    <n v="0"/>
    <n v="12"/>
    <n v="1"/>
    <n v="0.43344263159143182"/>
    <n v="1.2"/>
    <n v="68.5"/>
    <n v="82.2"/>
    <n v="18.899690108228452"/>
    <n v="1680.4714458134968"/>
    <n v="0"/>
    <n v="0"/>
    <n v="0"/>
    <n v="0"/>
    <n v="1"/>
    <n v="0"/>
    <n v="0"/>
    <n v="0"/>
    <n v="0"/>
    <n v="0"/>
  </r>
  <r>
    <d v="2025-09-26T00:00:00"/>
    <n v="2025"/>
    <x v="50"/>
    <s v="P"/>
    <n v="2"/>
    <x v="7"/>
    <s v="LVA"/>
    <s v="H"/>
    <n v="2"/>
    <n v="2"/>
    <n v="0"/>
    <n v="0"/>
    <n v="0"/>
    <n v="0"/>
    <n v="1598.762581438828"/>
    <n v="1661.5717557052683"/>
    <n v="0.53045829036749803"/>
    <n v="72"/>
    <n v="84"/>
    <n v="0"/>
    <n v="-12"/>
    <n v="0"/>
    <n v="0.43344263159143182"/>
    <n v="1.2"/>
    <n v="68.349999999999994"/>
    <n v="82.02"/>
    <n v="-18.858303925509702"/>
    <n v="1579.9042775133182"/>
    <n v="0"/>
    <n v="0"/>
    <n v="0"/>
    <n v="0"/>
    <n v="0"/>
    <n v="1"/>
    <n v="0"/>
    <n v="0"/>
    <n v="0"/>
    <n v="0"/>
  </r>
  <r>
    <d v="2025-09-26T00:00:00"/>
    <n v="2025"/>
    <x v="49"/>
    <s v="P"/>
    <n v="2"/>
    <x v="0"/>
    <s v="PHX"/>
    <s v="A"/>
    <n v="2"/>
    <n v="2"/>
    <n v="0"/>
    <n v="0"/>
    <n v="0"/>
    <n v="0"/>
    <n v="1685.9629508207922"/>
    <n v="1590.7393985820145"/>
    <n v="0.51614637393712903"/>
    <n v="76"/>
    <n v="84"/>
    <n v="0"/>
    <n v="-8"/>
    <n v="0"/>
    <n v="0.3597669616169103"/>
    <n v="1.2"/>
    <n v="68.5"/>
    <n v="82.2"/>
    <n v="-15.263916324017805"/>
    <n v="1670.6990344967744"/>
    <n v="0"/>
    <n v="0"/>
    <n v="0"/>
    <n v="0"/>
    <n v="0"/>
    <n v="1"/>
    <n v="0"/>
    <n v="0"/>
    <n v="0"/>
    <n v="0"/>
  </r>
  <r>
    <d v="2025-09-26T00:00:00"/>
    <n v="2025"/>
    <x v="49"/>
    <s v="P"/>
    <n v="2"/>
    <x v="11"/>
    <s v="MIN"/>
    <s v="H"/>
    <n v="2"/>
    <n v="2"/>
    <n v="0"/>
    <n v="0"/>
    <n v="0"/>
    <n v="0"/>
    <n v="1590.7393985820145"/>
    <n v="1685.9629508207922"/>
    <n v="0.48385362606287091"/>
    <n v="84"/>
    <n v="76"/>
    <n v="0"/>
    <n v="8"/>
    <n v="1"/>
    <n v="0.3597669616169103"/>
    <n v="1.2"/>
    <n v="68.5"/>
    <n v="82.2"/>
    <n v="15.263916324017805"/>
    <n v="1606.0033149060323"/>
    <n v="0"/>
    <n v="0"/>
    <n v="0"/>
    <n v="0"/>
    <n v="1"/>
    <n v="0"/>
    <n v="0"/>
    <n v="0"/>
    <n v="0"/>
    <n v="0"/>
  </r>
  <r>
    <d v="2025-09-28T00:00:00"/>
    <n v="2025"/>
    <x v="50"/>
    <s v="P"/>
    <n v="2"/>
    <x v="8"/>
    <s v="IND"/>
    <s v="A"/>
    <n v="1"/>
    <n v="1"/>
    <n v="0"/>
    <n v="0"/>
    <n v="0"/>
    <n v="0"/>
    <n v="1680.4714458134968"/>
    <n v="1579.9042775133182"/>
    <n v="0.52382401762355091"/>
    <n v="83"/>
    <n v="90"/>
    <n v="0"/>
    <n v="-7"/>
    <n v="0"/>
    <n v="0.34148840429752914"/>
    <n v="1.2"/>
    <n v="68.349999999999994"/>
    <n v="82.02"/>
    <n v="-14.671723485259166"/>
    <n v="1665.7997223282375"/>
    <n v="0"/>
    <n v="0"/>
    <n v="0"/>
    <n v="0"/>
    <n v="0"/>
    <n v="1"/>
    <n v="0"/>
    <n v="0"/>
    <n v="0"/>
    <n v="0"/>
  </r>
  <r>
    <d v="2025-09-28T00:00:00"/>
    <n v="2025"/>
    <x v="51"/>
    <s v="P"/>
    <n v="2"/>
    <x v="7"/>
    <s v="LVA"/>
    <s v="H"/>
    <n v="1"/>
    <n v="1"/>
    <n v="0"/>
    <n v="0"/>
    <n v="0"/>
    <n v="0"/>
    <n v="1579.9042775133182"/>
    <n v="1680.4714458134968"/>
    <n v="0.47617598237644909"/>
    <n v="90"/>
    <n v="83"/>
    <n v="0"/>
    <n v="7"/>
    <n v="1"/>
    <n v="0.34148840429752914"/>
    <n v="1.2"/>
    <n v="68.2"/>
    <n v="81.84"/>
    <n v="14.639525116235191"/>
    <n v="1594.5438026295535"/>
    <n v="0"/>
    <n v="0"/>
    <n v="0"/>
    <n v="0"/>
    <n v="1"/>
    <n v="0"/>
    <n v="0"/>
    <n v="0"/>
    <n v="0"/>
    <n v="0"/>
  </r>
  <r>
    <d v="2025-09-28T00:00:00"/>
    <n v="2025"/>
    <x v="50"/>
    <s v="P"/>
    <n v="2"/>
    <x v="0"/>
    <s v="PHX"/>
    <s v="A"/>
    <n v="1"/>
    <n v="1"/>
    <n v="0"/>
    <n v="0"/>
    <n v="0"/>
    <n v="0"/>
    <n v="1670.6990344967744"/>
    <n v="1606.0033149060323"/>
    <n v="0.47224746024633696"/>
    <n v="81"/>
    <n v="86"/>
    <n v="0"/>
    <n v="-5"/>
    <n v="0"/>
    <n v="0.31478494343471447"/>
    <n v="1.2"/>
    <n v="68.349999999999994"/>
    <n v="82.02"/>
    <n v="-12.192797112789338"/>
    <n v="1658.5062373839851"/>
    <n v="0"/>
    <n v="0"/>
    <n v="0"/>
    <n v="0"/>
    <n v="0"/>
    <n v="1"/>
    <n v="0"/>
    <n v="0"/>
    <n v="0"/>
    <n v="0"/>
  </r>
  <r>
    <d v="2025-09-28T00:00:00"/>
    <n v="2025"/>
    <x v="50"/>
    <s v="P"/>
    <n v="2"/>
    <x v="11"/>
    <s v="MIN"/>
    <s v="H"/>
    <n v="1"/>
    <n v="1"/>
    <n v="0"/>
    <n v="0"/>
    <n v="0"/>
    <n v="0"/>
    <n v="1606.0033149060323"/>
    <n v="1670.6990344967744"/>
    <n v="0.52775253975366299"/>
    <n v="86"/>
    <n v="81"/>
    <n v="0"/>
    <n v="5"/>
    <n v="1"/>
    <n v="0.31478494343471447"/>
    <n v="1.2"/>
    <n v="68.349999999999994"/>
    <n v="82.02"/>
    <n v="12.192797112789339"/>
    <n v="1618.1961120188216"/>
    <n v="0"/>
    <n v="0"/>
    <n v="0"/>
    <n v="0"/>
    <n v="1"/>
    <n v="0"/>
    <n v="0"/>
    <n v="0"/>
    <n v="0"/>
    <n v="0"/>
  </r>
  <r>
    <d v="2025-09-30T00:00:00"/>
    <n v="2025"/>
    <x v="52"/>
    <s v="P"/>
    <n v="2"/>
    <x v="7"/>
    <s v="LVA"/>
    <s v="A"/>
    <n v="1"/>
    <n v="1"/>
    <n v="0"/>
    <n v="0"/>
    <n v="0"/>
    <n v="0"/>
    <n v="1594.5438026295535"/>
    <n v="1665.7997223282375"/>
    <n v="0.29034173412485564"/>
    <n v="98"/>
    <n v="107"/>
    <n v="1"/>
    <n v="-9"/>
    <n v="0"/>
    <n v="0.34489455862116614"/>
    <n v="1.2"/>
    <n v="68.05"/>
    <n v="81.66"/>
    <n v="-8.1772106310625752"/>
    <n v="1586.366591998491"/>
    <n v="0"/>
    <n v="0"/>
    <n v="0"/>
    <n v="0"/>
    <n v="0"/>
    <n v="1"/>
    <n v="0"/>
    <n v="0"/>
    <n v="0"/>
    <n v="0"/>
  </r>
  <r>
    <d v="2025-09-30T00:00:00"/>
    <n v="2025"/>
    <x v="51"/>
    <s v="P"/>
    <n v="2"/>
    <x v="8"/>
    <s v="IND"/>
    <s v="H"/>
    <n v="1"/>
    <n v="1"/>
    <n v="0"/>
    <n v="0"/>
    <n v="0"/>
    <n v="0"/>
    <n v="1665.7997223282375"/>
    <n v="1594.5438026295535"/>
    <n v="0.70965826587514436"/>
    <n v="107"/>
    <n v="98"/>
    <n v="1"/>
    <n v="9"/>
    <n v="1"/>
    <n v="0.34489455862116614"/>
    <n v="1.2"/>
    <n v="68.2"/>
    <n v="81.84"/>
    <n v="8.1952353422258302"/>
    <n v="1673.9949576704635"/>
    <n v="0"/>
    <n v="0"/>
    <n v="0"/>
    <n v="0"/>
    <n v="1"/>
    <n v="0"/>
    <n v="0"/>
    <n v="0"/>
    <n v="0"/>
    <n v="0"/>
  </r>
  <r>
    <d v="2025-10-03T00:00:00"/>
    <n v="2025"/>
    <x v="51"/>
    <s v="P"/>
    <n v="3"/>
    <x v="11"/>
    <s v="LVA"/>
    <s v="A"/>
    <n v="4"/>
    <n v="2"/>
    <n v="2"/>
    <n v="-2"/>
    <n v="16"/>
    <n v="-16"/>
    <n v="1618.1961120188216"/>
    <n v="1673.9949576704635"/>
    <n v="0.34965863827165944"/>
    <n v="86"/>
    <n v="89"/>
    <n v="0"/>
    <n v="-3"/>
    <n v="0"/>
    <n v="0.27728981160016591"/>
    <n v="1.35"/>
    <n v="68.2"/>
    <n v="92.070000000000007"/>
    <n v="-8.9268105440813006"/>
    <n v="1609.2693014747404"/>
    <n v="0"/>
    <n v="0"/>
    <n v="0"/>
    <n v="0"/>
    <n v="0"/>
    <n v="0"/>
    <n v="0"/>
    <n v="1"/>
    <n v="0"/>
    <n v="0"/>
  </r>
  <r>
    <d v="2025-10-03T00:00:00"/>
    <n v="2025"/>
    <x v="52"/>
    <s v="P"/>
    <n v="3"/>
    <x v="8"/>
    <s v="PHX"/>
    <s v="H"/>
    <n v="2"/>
    <n v="4"/>
    <n v="-2"/>
    <n v="2"/>
    <n v="-16"/>
    <n v="16"/>
    <n v="1673.9949576704635"/>
    <n v="1618.1961120188216"/>
    <n v="0.65034136172834056"/>
    <n v="89"/>
    <n v="86"/>
    <n v="0"/>
    <n v="3"/>
    <n v="1"/>
    <n v="0.27728981160016591"/>
    <n v="1.35"/>
    <n v="68.05"/>
    <n v="91.867500000000007"/>
    <n v="8.9071767965503295"/>
    <n v="1682.9021344670139"/>
    <n v="0"/>
    <n v="0"/>
    <n v="0"/>
    <n v="0"/>
    <n v="0"/>
    <n v="0"/>
    <n v="1"/>
    <n v="0"/>
    <n v="0"/>
    <n v="0"/>
  </r>
  <r>
    <d v="2025-10-05T00:00:00"/>
    <n v="2025"/>
    <x v="52"/>
    <s v="P"/>
    <n v="3"/>
    <x v="11"/>
    <s v="LVA"/>
    <s v="A"/>
    <n v="1"/>
    <n v="1"/>
    <n v="0"/>
    <n v="0"/>
    <n v="0"/>
    <n v="0"/>
    <n v="1609.2693014747404"/>
    <n v="1682.9021344670139"/>
    <n v="0.28753062990085448"/>
    <n v="78"/>
    <n v="91"/>
    <n v="0"/>
    <n v="-13"/>
    <n v="0"/>
    <n v="0.44475337954826222"/>
    <n v="1.35"/>
    <n v="68.05"/>
    <n v="91.867500000000007"/>
    <n v="-11.748036053161405"/>
    <n v="1597.5212654215788"/>
    <n v="0"/>
    <n v="0"/>
    <n v="0"/>
    <n v="0"/>
    <n v="0"/>
    <n v="0"/>
    <n v="0"/>
    <n v="1"/>
    <n v="0"/>
    <n v="0"/>
  </r>
  <r>
    <d v="2025-10-05T00:00:00"/>
    <n v="2025"/>
    <x v="53"/>
    <s v="P"/>
    <n v="3"/>
    <x v="8"/>
    <s v="PHX"/>
    <s v="H"/>
    <n v="1"/>
    <n v="1"/>
    <n v="0"/>
    <n v="0"/>
    <n v="0"/>
    <n v="0"/>
    <n v="1682.9021344670139"/>
    <n v="1609.2693014747404"/>
    <n v="0.71246937009914546"/>
    <n v="91"/>
    <n v="78"/>
    <n v="0"/>
    <n v="13"/>
    <n v="1"/>
    <n v="0.44475337954826222"/>
    <n v="1.35"/>
    <n v="67.900000000000006"/>
    <n v="91.66500000000002"/>
    <n v="11.72214030873857"/>
    <n v="1694.6242747757524"/>
    <n v="0"/>
    <n v="0"/>
    <n v="0"/>
    <n v="0"/>
    <n v="0"/>
    <n v="0"/>
    <n v="1"/>
    <n v="0"/>
    <n v="0"/>
    <n v="0"/>
  </r>
  <r>
    <d v="2025-10-08T00:00:00"/>
    <n v="2025"/>
    <x v="54"/>
    <s v="P"/>
    <n v="3"/>
    <x v="8"/>
    <s v="PHX"/>
    <s v="A"/>
    <n v="2"/>
    <n v="2"/>
    <n v="0"/>
    <n v="0"/>
    <n v="0"/>
    <n v="0"/>
    <n v="1694.6242747757524"/>
    <n v="1597.5212654215788"/>
    <n v="0.51884781131028479"/>
    <n v="90"/>
    <n v="88"/>
    <n v="0"/>
    <n v="2"/>
    <n v="1"/>
    <n v="0.24779033172672493"/>
    <n v="1.35"/>
    <n v="67.75"/>
    <n v="91.462500000000006"/>
    <n v="10.904603798584741"/>
    <n v="1705.5288785743371"/>
    <n v="0"/>
    <n v="0"/>
    <n v="0"/>
    <n v="0"/>
    <n v="0"/>
    <n v="0"/>
    <n v="1"/>
    <n v="0"/>
    <n v="0"/>
    <n v="0"/>
  </r>
  <r>
    <d v="2025-10-08T00:00:00"/>
    <n v="2025"/>
    <x v="53"/>
    <s v="P"/>
    <n v="3"/>
    <x v="11"/>
    <s v="LVA"/>
    <s v="H"/>
    <n v="2"/>
    <n v="2"/>
    <n v="0"/>
    <n v="0"/>
    <n v="0"/>
    <n v="0"/>
    <n v="1597.5212654215788"/>
    <n v="1694.6242747757524"/>
    <n v="0.48115218868971521"/>
    <n v="88"/>
    <n v="90"/>
    <n v="0"/>
    <n v="-2"/>
    <n v="0"/>
    <n v="0.24779033172672493"/>
    <n v="1.35"/>
    <n v="67.900000000000006"/>
    <n v="91.66500000000002"/>
    <n v="-10.928746832825151"/>
    <n v="1586.5925185887536"/>
    <n v="0"/>
    <n v="0"/>
    <n v="0"/>
    <n v="0"/>
    <n v="0"/>
    <n v="0"/>
    <n v="0"/>
    <n v="1"/>
    <n v="0"/>
    <n v="0"/>
  </r>
  <r>
    <d v="2025-10-10T00:00:00"/>
    <n v="2025"/>
    <x v="55"/>
    <s v="P"/>
    <n v="3"/>
    <x v="8"/>
    <s v="PHX"/>
    <s v="A"/>
    <n v="1"/>
    <n v="1"/>
    <n v="0"/>
    <n v="0"/>
    <n v="0"/>
    <n v="0"/>
    <n v="1705.5288785743371"/>
    <n v="1586.5925185887536"/>
    <n v="0.55010868941553481"/>
    <n v="97"/>
    <n v="86"/>
    <n v="0"/>
    <n v="11"/>
    <n v="1"/>
    <n v="0.40017333688103557"/>
    <n v="1.35"/>
    <n v="67.599999999999994"/>
    <n v="91.26"/>
    <n v="16.429949107940967"/>
    <n v="1721.9588276822781"/>
    <n v="0"/>
    <n v="0"/>
    <n v="0"/>
    <n v="0"/>
    <n v="0"/>
    <n v="0"/>
    <n v="1"/>
    <n v="0"/>
    <n v="0"/>
    <n v="0"/>
  </r>
  <r>
    <d v="2025-10-10T00:00:00"/>
    <n v="2025"/>
    <x v="54"/>
    <s v="P"/>
    <n v="3"/>
    <x v="11"/>
    <s v="LVA"/>
    <s v="H"/>
    <n v="1"/>
    <n v="1"/>
    <n v="0"/>
    <n v="0"/>
    <n v="0"/>
    <n v="0"/>
    <n v="1586.5925185887536"/>
    <n v="1705.5288785743371"/>
    <n v="0.44989131058446524"/>
    <n v="86"/>
    <n v="97"/>
    <n v="0"/>
    <n v="-11"/>
    <n v="0"/>
    <n v="0.40017333688103557"/>
    <n v="1.35"/>
    <n v="67.75"/>
    <n v="91.462500000000006"/>
    <n v="-16.466406095606516"/>
    <n v="1570.126112493147"/>
    <n v="0"/>
    <n v="0"/>
    <n v="0"/>
    <n v="0"/>
    <n v="0"/>
    <n v="0"/>
    <n v="0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7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61">
        <item m="1" x="41"/>
        <item x="4"/>
        <item m="1" x="52"/>
        <item m="1" x="30"/>
        <item m="1" x="28"/>
        <item m="1" x="40"/>
        <item m="1" x="56"/>
        <item m="1" x="18"/>
        <item x="6"/>
        <item m="1" x="42"/>
        <item m="1" x="19"/>
        <item x="12"/>
        <item x="1"/>
        <item m="1" x="35"/>
        <item m="1" x="15"/>
        <item m="1" x="57"/>
        <item m="1" x="37"/>
        <item x="3"/>
        <item m="1" x="17"/>
        <item x="7"/>
        <item m="1" x="51"/>
        <item m="1" x="50"/>
        <item m="1" x="27"/>
        <item m="1" x="26"/>
        <item m="1" x="59"/>
        <item x="2"/>
        <item m="1" x="58"/>
        <item x="8"/>
        <item m="1" x="29"/>
        <item m="1" x="21"/>
        <item m="1" x="36"/>
        <item x="0"/>
        <item m="1" x="44"/>
        <item m="1" x="24"/>
        <item m="1" x="32"/>
        <item m="1" x="45"/>
        <item m="1" x="53"/>
        <item x="9"/>
        <item m="1" x="46"/>
        <item m="1" x="34"/>
        <item m="1" x="23"/>
        <item m="1" x="31"/>
        <item x="11"/>
        <item m="1" x="48"/>
        <item m="1" x="22"/>
        <item m="1" x="33"/>
        <item m="1" x="16"/>
        <item m="1" x="13"/>
        <item m="1" x="43"/>
        <item x="10"/>
        <item m="1" x="54"/>
        <item m="1" x="49"/>
        <item m="1" x="55"/>
        <item m="1" x="47"/>
        <item m="1" x="25"/>
        <item m="1" x="14"/>
        <item m="1" x="20"/>
        <item m="1" x="39"/>
        <item x="5"/>
        <item m="1" x="38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4">
    <i>
      <x v="1"/>
    </i>
    <i>
      <x v="8"/>
    </i>
    <i>
      <x v="11"/>
    </i>
    <i>
      <x v="12"/>
    </i>
    <i>
      <x v="17"/>
    </i>
    <i>
      <x v="19"/>
    </i>
    <i>
      <x v="25"/>
    </i>
    <i>
      <x v="27"/>
    </i>
    <i>
      <x v="31"/>
    </i>
    <i>
      <x v="37"/>
    </i>
    <i>
      <x v="42"/>
    </i>
    <i>
      <x v="49"/>
    </i>
    <i>
      <x v="58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1">
      <pivotArea outline="0" collapsedLevelsAreSubtotals="1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0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m="1" x="202"/>
        <item x="49"/>
        <item x="50"/>
        <item x="51"/>
        <item x="52"/>
        <item x="53"/>
        <item x="54"/>
        <item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4" totalsRowShown="0">
  <autoFilter ref="A1:D14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4">
    <sortCondition ref="C14"/>
  </sortState>
  <tableColumns count="4">
    <tableColumn id="1" xr3:uid="{8C17ECDF-4459-4994-A3F5-8E8FEDF92B6F}" name="TeamID"/>
    <tableColumn id="4" xr3:uid="{789F069E-DAF9-4B19-A6DB-107BA6995CE5}" name="Logo" dataDxfId="44"/>
    <tableColumn id="5" xr3:uid="{A9DA91BA-5529-4913-978B-19C8EF225B29}" name="TeamName" dataDxfId="43"/>
    <tableColumn id="2" xr3:uid="{AA4C8157-DB69-4779-8EEE-6F419B992D71}" name="PreSeasonElo" dataDxfId="4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623" totalsRowShown="0" headerRowDxfId="39" dataDxfId="38">
  <autoFilter ref="A1:AL623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37"/>
    <tableColumn id="21" xr3:uid="{D754AB95-C77C-4DD5-B1B9-A24A4FEE7279}" name="Season" dataDxfId="36"/>
    <tableColumn id="19" xr3:uid="{4C42B78B-6AFC-42C3-A5F4-3266E247C458}" name="GamesPlayed" dataDxfId="35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4"/>
    <tableColumn id="14" xr3:uid="{EFA83923-8CCA-4DC9-BC85-5D86949A45D9}" name="Round" dataDxfId="33"/>
    <tableColumn id="2" xr3:uid="{6E102E51-A49B-416B-8CD2-B93B2A4EA389}" name="Team" dataDxfId="32"/>
    <tableColumn id="3" xr3:uid="{19101345-1C34-4AF3-88E6-76A7F19B7FE6}" name="Opponent" dataDxfId="31"/>
    <tableColumn id="16" xr3:uid="{4CBCDF29-B095-48DF-8EF6-06DC7D78C844}" name="HomeAway" dataDxfId="30"/>
    <tableColumn id="32" xr3:uid="{E3FA53E3-DAD6-4BC2-969A-C53F4798E86D}" name="DaysOff" dataDxfId="29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28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27">
      <calculatedColumnFormula>Games[[#This Row],[DaysOff]]-Games[[#This Row],[OppDaysOff]]</calculatedColumnFormula>
    </tableColumn>
    <tableColumn id="35" xr3:uid="{3F2DB366-7372-41BA-8B0C-09F9BA7EA850}" name="OppRestDiff" dataDxfId="26">
      <calculatedColumnFormula>Games[[#This Row],[OppDaysOff]]-Games[[#This Row],[DaysOff]]</calculatedColumnFormula>
    </tableColumn>
    <tableColumn id="36" xr3:uid="{BDD0FD2C-608F-4CCC-867B-4481F0F4B802}" name="RestAdj" dataDxfId="25">
      <calculatedColumnFormula>MAX(-16, MIN(16, Games[[#This Row],[RestDiff]]*8))</calculatedColumnFormula>
    </tableColumn>
    <tableColumn id="37" xr3:uid="{5F89213A-4C28-428C-B766-3B05D4F530A5}" name="OppRestAdj" dataDxfId="24">
      <calculatedColumnFormula>MAX(-16, MIN(16, Games[[#This Row],[OppRestDiff]]*8))</calculatedColumnFormula>
    </tableColumn>
    <tableColumn id="4" xr3:uid="{68053CFA-948B-4F2C-A114-7C46ABD9EA33}" name="PreGmRate" dataDxfId="23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2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1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0"/>
    <tableColumn id="8" xr3:uid="{0CDDF0F9-2F1E-487C-96DD-90F70CE7DAFC}" name="PointsAgainst" dataDxfId="19"/>
    <tableColumn id="22" xr3:uid="{AB7B5B5C-5BAD-4213-990E-8EB9B177497C}" name="OT" dataDxfId="18"/>
    <tableColumn id="9" xr3:uid="{CE171F1D-5E5D-4800-A6DC-8F6DBD74C939}" name="MOV" dataDxfId="17">
      <calculatedColumnFormula>Games[[#This Row],[PointsFor]]-Games[[#This Row],[PointsAgainst]]</calculatedColumnFormula>
    </tableColumn>
    <tableColumn id="10" xr3:uid="{883A3911-25F6-4C39-9637-F1C42D6A1FC2}" name="Result" dataDxfId="16">
      <calculatedColumnFormula>IF(Games[[#This Row],[MOV]]&gt;0,1,IF(Games[[#This Row],[MOV]]=0,0.5,0))</calculatedColumnFormula>
    </tableColumn>
    <tableColumn id="15" xr3:uid="{00048431-5FD6-47EE-807E-5B63FD521193}" name="MOVMult" dataDxfId="15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0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calculatedColumnFormula>
    </tableColumn>
    <tableColumn id="30" xr3:uid="{F56B2662-6D39-4B84-BEBE-39C9D43603BC}" name="K" dataDxfId="14">
      <calculatedColumnFormula>MAX(kmin, kmax - 0.15 * MIN(Games[[#This Row],[GamesPlayed]], 82))</calculatedColumnFormula>
    </tableColumn>
    <tableColumn id="29" xr3:uid="{FBA5D644-15ED-4725-9E52-1D37FD0FAC64}" name="Keff" dataDxfId="13">
      <calculatedColumnFormula>Games[[#This Row],[K]]*Games[[#This Row],[POMult]]</calculatedColumnFormula>
    </tableColumn>
    <tableColumn id="11" xr3:uid="{309DAEBD-E62C-4090-89E9-A58FD32AB89B}" name="RatingChange" dataDxfId="12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1">
      <calculatedColumnFormula>Games[[#This Row],[PreGmRate]]+Games[[#This Row],[RatingChange]]</calculatedColumnFormula>
    </tableColumn>
    <tableColumn id="17" xr3:uid="{90B7BF87-E472-4474-A10D-555BD3BF8F04}" name="W" dataDxfId="10">
      <calculatedColumnFormula>IF(Games[[#This Row],[Type]]="R",IF(Games[[#This Row],[Result]]&gt;0.5,1,0),0)</calculatedColumnFormula>
    </tableColumn>
    <tableColumn id="18" xr3:uid="{29756EA1-783D-4C76-A7B8-F906AF0EC7E7}" name="L" dataDxfId="9">
      <calculatedColumnFormula>IF(Games[[#This Row],[Type]]="R",IF(Games[[#This Row],[Result]]&lt;0.5,1,0),0)</calculatedColumnFormula>
    </tableColumn>
    <tableColumn id="23" xr3:uid="{C253CFA7-28A4-4AE5-B131-DC1E8F2B73F8}" name="R1W" dataDxfId="8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7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6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5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4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3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2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/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77</v>
      </c>
      <c r="B2" s="8"/>
      <c r="C2" s="15" t="s">
        <v>78</v>
      </c>
      <c r="D2" s="13">
        <v>1425.3542450537543</v>
      </c>
    </row>
    <row r="3" spans="1:4" x14ac:dyDescent="0.35">
      <c r="A3" t="s">
        <v>75</v>
      </c>
      <c r="B3" s="8"/>
      <c r="C3" s="15" t="s">
        <v>76</v>
      </c>
      <c r="D3" s="13">
        <v>1350.3289629058668</v>
      </c>
    </row>
    <row r="4" spans="1:4" x14ac:dyDescent="0.35">
      <c r="A4" t="s">
        <v>74</v>
      </c>
      <c r="B4" s="8"/>
      <c r="C4" s="15" t="s">
        <v>73</v>
      </c>
      <c r="D4" s="13">
        <v>1619.2181732839883</v>
      </c>
    </row>
    <row r="5" spans="1:4" x14ac:dyDescent="0.35">
      <c r="A5" t="s">
        <v>85</v>
      </c>
      <c r="B5" s="8"/>
      <c r="C5" s="15" t="s">
        <v>84</v>
      </c>
      <c r="D5" s="13">
        <v>1333.0705207017966</v>
      </c>
    </row>
    <row r="6" spans="1:4" x14ac:dyDescent="0.35">
      <c r="A6" t="s">
        <v>88</v>
      </c>
      <c r="B6" s="8"/>
      <c r="C6" s="15" t="s">
        <v>89</v>
      </c>
      <c r="D6" s="13">
        <v>1500</v>
      </c>
    </row>
    <row r="7" spans="1:4" x14ac:dyDescent="0.35">
      <c r="A7" t="s">
        <v>69</v>
      </c>
      <c r="B7" s="8"/>
      <c r="C7" s="15" t="s">
        <v>70</v>
      </c>
      <c r="D7" s="13">
        <v>1478.0260695190914</v>
      </c>
    </row>
    <row r="8" spans="1:4" x14ac:dyDescent="0.35">
      <c r="A8" t="s">
        <v>86</v>
      </c>
      <c r="B8" s="8"/>
      <c r="C8" s="15" t="s">
        <v>87</v>
      </c>
      <c r="D8" s="13">
        <v>1661.253866376461</v>
      </c>
    </row>
    <row r="9" spans="1:4" x14ac:dyDescent="0.35">
      <c r="A9" t="s">
        <v>63</v>
      </c>
      <c r="B9" s="8"/>
      <c r="C9" s="15" t="s">
        <v>64</v>
      </c>
      <c r="D9" s="13">
        <v>1306.9245133020324</v>
      </c>
    </row>
    <row r="10" spans="1:4" x14ac:dyDescent="0.35">
      <c r="A10" t="s">
        <v>67</v>
      </c>
      <c r="B10" s="8"/>
      <c r="C10" s="15" t="s">
        <v>68</v>
      </c>
      <c r="D10" s="13">
        <v>1665.2519245134156</v>
      </c>
    </row>
    <row r="11" spans="1:4" x14ac:dyDescent="0.35">
      <c r="A11" t="s">
        <v>60</v>
      </c>
      <c r="B11" s="8"/>
      <c r="C11" s="15" t="s">
        <v>61</v>
      </c>
      <c r="D11" s="13">
        <v>1740.7595949123422</v>
      </c>
    </row>
    <row r="12" spans="1:4" x14ac:dyDescent="0.35">
      <c r="A12" t="s">
        <v>40</v>
      </c>
      <c r="B12" s="8"/>
      <c r="C12" s="15" t="s">
        <v>62</v>
      </c>
      <c r="D12" s="13">
        <v>1412.5383179206331</v>
      </c>
    </row>
    <row r="13" spans="1:4" x14ac:dyDescent="0.35">
      <c r="A13" t="s">
        <v>71</v>
      </c>
      <c r="B13" s="8"/>
      <c r="C13" s="15" t="s">
        <v>72</v>
      </c>
      <c r="D13" s="13">
        <v>1551.2272666363078</v>
      </c>
    </row>
    <row r="14" spans="1:4" x14ac:dyDescent="0.35">
      <c r="A14" t="s">
        <v>65</v>
      </c>
      <c r="B14" s="8"/>
      <c r="C14" s="15" t="s">
        <v>66</v>
      </c>
      <c r="D14" s="13">
        <v>1455.1387986445923</v>
      </c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4">
    <sortCondition ref="G2:G1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7"/>
  <sheetViews>
    <sheetView tabSelected="1" workbookViewId="0"/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4">_xlfn.SORTBY(A25:H37,G25:G37,-1)</f>
        <v>LVA</v>
      </c>
      <c r="B2">
        <v>0</v>
      </c>
      <c r="C2" t="str">
        <v>Las Vegas Aces</v>
      </c>
      <c r="D2" s="1">
        <v>30</v>
      </c>
      <c r="E2" s="1">
        <v>14</v>
      </c>
      <c r="F2" s="3">
        <v>0.68181818181818177</v>
      </c>
      <c r="G2" s="9">
        <v>1721.9701955270914</v>
      </c>
      <c r="H2" s="1">
        <v>45940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MIN</v>
      </c>
      <c r="B3">
        <v>0</v>
      </c>
      <c r="C3" t="str">
        <v>Minnesota Lynx</v>
      </c>
      <c r="D3" s="1">
        <v>34</v>
      </c>
      <c r="E3" s="1">
        <v>10</v>
      </c>
      <c r="F3" s="3">
        <v>0.77272727272727271</v>
      </c>
      <c r="G3" s="9">
        <v>1658.365460848747</v>
      </c>
      <c r="H3" s="1">
        <v>45928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1</v>
      </c>
      <c r="AO3" s="1">
        <f>_xlfn.XLOOKUP($AK3,StandingsPivot!$A$4:$A$33,StandingsPivot!E$4:E$33)</f>
        <v>2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1</v>
      </c>
      <c r="AW3" s="1">
        <f t="shared" si="1"/>
        <v>2</v>
      </c>
      <c r="AX3" s="4" cm="1">
        <f t="array" ref="AX3">_xlfn.IFNA(INDEX(Games[PostGmRate], MATCH(1, (Games[Team]=AK3)*(Games[Date]=AY3), 0)),0)</f>
        <v>1552.6553861802392</v>
      </c>
      <c r="AY3" s="1">
        <f>_xlfn.MAXIFS(Games[Date], Games[Team], AK3)</f>
        <v>45919</v>
      </c>
      <c r="AZ3">
        <f t="shared" si="2"/>
        <v>3</v>
      </c>
    </row>
    <row r="4" spans="1:68" x14ac:dyDescent="0.35">
      <c r="A4" t="str">
        <v>ATL</v>
      </c>
      <c r="B4">
        <v>0</v>
      </c>
      <c r="C4" t="str">
        <v>Atlanta Dream</v>
      </c>
      <c r="D4" s="1">
        <v>30</v>
      </c>
      <c r="E4" s="1">
        <v>14</v>
      </c>
      <c r="F4" s="3">
        <v>0.68181818181818177</v>
      </c>
      <c r="G4" s="9">
        <v>1630.3110714528118</v>
      </c>
      <c r="H4" s="1">
        <v>45918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IND</v>
      </c>
      <c r="B5">
        <v>0</v>
      </c>
      <c r="C5" t="str">
        <v>Indiana Fever</v>
      </c>
      <c r="D5" s="1">
        <v>24</v>
      </c>
      <c r="E5" s="1">
        <v>20</v>
      </c>
      <c r="F5" s="3">
        <v>0.54545454545454541</v>
      </c>
      <c r="G5" s="9">
        <v>1586.4805455304747</v>
      </c>
      <c r="H5" s="1">
        <v>45930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PHX</v>
      </c>
      <c r="B6">
        <v>0</v>
      </c>
      <c r="C6" t="str">
        <v>Phoenix Mercury</v>
      </c>
      <c r="D6" s="1">
        <v>27</v>
      </c>
      <c r="E6" s="1">
        <v>17</v>
      </c>
      <c r="F6" s="3">
        <v>0.61363636363636365</v>
      </c>
      <c r="G6" s="9">
        <v>1570.120592182451</v>
      </c>
      <c r="H6" s="1">
        <v>45940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2</v>
      </c>
      <c r="AO6" s="1">
        <f>_xlfn.XLOOKUP($AK6,StandingsPivot!$A$4:$A$33,StandingsPivot!E$4:E$33)</f>
        <v>1</v>
      </c>
      <c r="AP6" s="1">
        <f>_xlfn.XLOOKUP($AK6,StandingsPivot!$A$4:$A$33,StandingsPivot!F$4:F$33)</f>
        <v>3</v>
      </c>
      <c r="AQ6" s="1">
        <f>_xlfn.XLOOKUP($AK6,StandingsPivot!$A$4:$A$33,StandingsPivot!G$4:G$33)</f>
        <v>1</v>
      </c>
      <c r="AR6" s="1">
        <f>_xlfn.XLOOKUP($AK6,StandingsPivot!$A$4:$A$33,StandingsPivot!H$4:H$33)</f>
        <v>0</v>
      </c>
      <c r="AS6" s="1">
        <f>_xlfn.XLOOKUP($AK6,StandingsPivot!$A$4:$A$33,StandingsPivot!I$4:I$33)</f>
        <v>4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5</v>
      </c>
      <c r="AW6" s="1">
        <f t="shared" si="3"/>
        <v>6</v>
      </c>
      <c r="AX6" s="4" cm="1">
        <f t="array" ref="AX6">_xlfn.IFNA(INDEX(Games[PostGmRate], MATCH(1, (Games[Team]=AK6)*(Games[Date]=AY6), 0)),0)</f>
        <v>1570.120592182451</v>
      </c>
      <c r="AY6" s="1">
        <f>_xlfn.MAXIFS(Games[Date], Games[Team], AK6)</f>
        <v>45940</v>
      </c>
      <c r="AZ6">
        <f>SUM(AV6:AW6)</f>
        <v>11</v>
      </c>
      <c r="BO6" s="4"/>
      <c r="BP6" s="1"/>
    </row>
    <row r="7" spans="1:68" x14ac:dyDescent="0.35">
      <c r="A7" t="str">
        <v>NYL</v>
      </c>
      <c r="B7">
        <v>0</v>
      </c>
      <c r="C7" t="str">
        <v>New York Liberty</v>
      </c>
      <c r="D7" s="1">
        <v>27</v>
      </c>
      <c r="E7" s="1">
        <v>17</v>
      </c>
      <c r="F7" s="3">
        <v>0.61363636363636365</v>
      </c>
      <c r="G7" s="9">
        <v>1552.6553861802392</v>
      </c>
      <c r="H7" s="1">
        <v>45919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0</v>
      </c>
      <c r="AX7" s="4" cm="1">
        <f t="array" ref="AX7">_xlfn.IFNA(INDEX(Games[PostGmRate], MATCH(1, (Games[Team]=AK7)*(Games[Date]=AY7), 0)),0)</f>
        <v>1456.5389128968641</v>
      </c>
      <c r="AY7" s="1">
        <f>_xlfn.MAXIFS(Games[Date], Games[Team], AK7)</f>
        <v>45911</v>
      </c>
      <c r="AZ7">
        <f>SUM(AV7:AW7)</f>
        <v>0</v>
      </c>
      <c r="BO7" s="4"/>
      <c r="BP7" s="1"/>
    </row>
    <row r="8" spans="1:68" x14ac:dyDescent="0.35">
      <c r="A8" t="str">
        <v>SEA</v>
      </c>
      <c r="B8">
        <v>0</v>
      </c>
      <c r="C8" t="str">
        <v>Seattle Storm</v>
      </c>
      <c r="D8" s="1">
        <v>23</v>
      </c>
      <c r="E8" s="1">
        <v>21</v>
      </c>
      <c r="F8" s="3">
        <v>0.52272727272727271</v>
      </c>
      <c r="G8" s="9">
        <v>1509.3840303960185</v>
      </c>
      <c r="H8" s="1">
        <v>45918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GSV</v>
      </c>
      <c r="B9">
        <v>0</v>
      </c>
      <c r="C9" t="str">
        <v>Golden State Valkyries</v>
      </c>
      <c r="D9" s="1">
        <v>23</v>
      </c>
      <c r="E9" s="1">
        <v>21</v>
      </c>
      <c r="F9" s="3">
        <v>0.52272727272727271</v>
      </c>
      <c r="G9" s="9">
        <v>1504.6824520603593</v>
      </c>
      <c r="H9" s="1">
        <v>45917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LAS</v>
      </c>
      <c r="B10">
        <v>0</v>
      </c>
      <c r="C10" t="str">
        <v>Los Angeles Sparks</v>
      </c>
      <c r="D10" s="1">
        <v>21</v>
      </c>
      <c r="E10" s="1">
        <v>23</v>
      </c>
      <c r="F10" s="3">
        <v>0.47727272727272729</v>
      </c>
      <c r="G10" s="9">
        <v>1456.5389128968641</v>
      </c>
      <c r="H10" s="1">
        <v>45911</v>
      </c>
      <c r="O10" s="3"/>
      <c r="P10" s="4"/>
      <c r="Q10" s="1"/>
      <c r="AX10" s="4"/>
      <c r="BO10" s="4"/>
      <c r="BP10" s="1"/>
    </row>
    <row r="11" spans="1:68" x14ac:dyDescent="0.35">
      <c r="A11" t="str">
        <v>CON</v>
      </c>
      <c r="B11">
        <v>0</v>
      </c>
      <c r="C11" t="str">
        <v>Connecticut Sun</v>
      </c>
      <c r="D11" s="1">
        <v>11</v>
      </c>
      <c r="E11" s="1">
        <v>33</v>
      </c>
      <c r="F11" s="3">
        <v>0.25</v>
      </c>
      <c r="G11" s="9">
        <v>1361.3211164395393</v>
      </c>
      <c r="H11" s="1">
        <v>45910</v>
      </c>
      <c r="O11" s="3"/>
      <c r="P11" s="4"/>
      <c r="Q11" s="1"/>
      <c r="AX11" s="4"/>
      <c r="BO11" s="4"/>
      <c r="BP11" s="1"/>
    </row>
    <row r="12" spans="1:68" x14ac:dyDescent="0.35">
      <c r="A12" t="str">
        <v>WAS</v>
      </c>
      <c r="B12">
        <v>0</v>
      </c>
      <c r="C12" t="str">
        <v>Washington Mystics</v>
      </c>
      <c r="D12" s="1">
        <v>16</v>
      </c>
      <c r="E12" s="1">
        <v>28</v>
      </c>
      <c r="F12" s="3">
        <v>0.36363636363636365</v>
      </c>
      <c r="G12" s="9">
        <v>1353.1596661494825</v>
      </c>
      <c r="H12" s="1">
        <v>45909</v>
      </c>
      <c r="O12" s="3"/>
      <c r="P12" s="4"/>
      <c r="Q12" s="1"/>
      <c r="AX12" s="4"/>
      <c r="BO12" s="4"/>
      <c r="BP12" s="1"/>
    </row>
    <row r="13" spans="1:68" x14ac:dyDescent="0.35">
      <c r="A13" t="str">
        <v>DAL</v>
      </c>
      <c r="B13">
        <v>0</v>
      </c>
      <c r="C13" t="str">
        <v>Dallas Wings</v>
      </c>
      <c r="D13" s="1">
        <v>10</v>
      </c>
      <c r="E13" s="1">
        <v>34</v>
      </c>
      <c r="F13" s="3">
        <v>0.22727272727272727</v>
      </c>
      <c r="G13" s="9">
        <v>1309.00081441775</v>
      </c>
      <c r="H13" s="1">
        <v>45911</v>
      </c>
      <c r="AX13" s="4"/>
      <c r="BO13" s="4"/>
      <c r="BP13" s="1"/>
    </row>
    <row r="14" spans="1:68" x14ac:dyDescent="0.35">
      <c r="A14" t="str">
        <v>CHI</v>
      </c>
      <c r="B14">
        <v>0</v>
      </c>
      <c r="C14" t="str">
        <v>Chicago Sky</v>
      </c>
      <c r="D14" s="1">
        <v>10</v>
      </c>
      <c r="E14" s="1">
        <v>34</v>
      </c>
      <c r="F14" s="3">
        <v>0.22727272727272727</v>
      </c>
      <c r="G14" s="9">
        <v>1284.6161660413511</v>
      </c>
      <c r="H14" s="1">
        <v>45911</v>
      </c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77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30</v>
      </c>
      <c r="E25" s="1">
        <f>_xlfn.XLOOKUP($A25,StandingsPivot!$A$4:$A$35,StandingsPivot!C$4:C$35)</f>
        <v>14</v>
      </c>
      <c r="F25" s="3">
        <f t="shared" ref="F25:F37" si="4">(D25)/(D25+E25)</f>
        <v>0.68181818181818177</v>
      </c>
      <c r="G25" s="9" cm="1">
        <f t="array" ref="G25">INDEX(Games[PostGmRate], MATCH(1, (Games[Team]=A25)*(Games[Date]=H25), 0))</f>
        <v>1630.3110714528118</v>
      </c>
      <c r="H25" s="1">
        <f>_xlfn.MAXIFS(Games[Date], Games[Team], A25)</f>
        <v>45918</v>
      </c>
      <c r="AR25" s="3"/>
      <c r="AS25" s="4"/>
      <c r="BD25" s="1"/>
      <c r="BG25" s="3"/>
      <c r="BH25" s="4"/>
    </row>
    <row r="26" spans="1:60" x14ac:dyDescent="0.35">
      <c r="A26" t="s">
        <v>75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10</v>
      </c>
      <c r="E26" s="1">
        <f>_xlfn.XLOOKUP($A26,StandingsPivot!$A$4:$A$35,StandingsPivot!C$4:C$35)</f>
        <v>34</v>
      </c>
      <c r="F26" s="3">
        <f t="shared" si="4"/>
        <v>0.22727272727272727</v>
      </c>
      <c r="G26" s="9" cm="1">
        <f t="array" ref="G26">INDEX(Games[PostGmRate], MATCH(1, (Games[Team]=A26)*(Games[Date]=H26), 0))</f>
        <v>1284.6161660413511</v>
      </c>
      <c r="H26" s="1">
        <f>_xlfn.MAXIFS(Games[Date], Games[Team], A26)</f>
        <v>45911</v>
      </c>
      <c r="AR26" s="3"/>
      <c r="AS26" s="4"/>
      <c r="BD26" s="1"/>
      <c r="BG26" s="3"/>
      <c r="BH26" s="4"/>
    </row>
    <row r="27" spans="1:60" x14ac:dyDescent="0.35">
      <c r="A27" t="s">
        <v>74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11</v>
      </c>
      <c r="E27" s="1">
        <f>_xlfn.XLOOKUP($A27,StandingsPivot!$A$4:$A$35,StandingsPivot!C$4:C$35)</f>
        <v>33</v>
      </c>
      <c r="F27" s="3">
        <f t="shared" si="4"/>
        <v>0.25</v>
      </c>
      <c r="G27" s="9" cm="1">
        <f t="array" ref="G27">INDEX(Games[PostGmRate], MATCH(1, (Games[Team]=A27)*(Games[Date]=H27), 0))</f>
        <v>1361.3211164395393</v>
      </c>
      <c r="H27" s="1">
        <f>_xlfn.MAXIFS(Games[Date], Games[Team], A27)</f>
        <v>45910</v>
      </c>
      <c r="AR27" s="3"/>
      <c r="AS27" s="4"/>
      <c r="BD27" s="1"/>
      <c r="BG27" s="3"/>
      <c r="BH27" s="4"/>
    </row>
    <row r="28" spans="1:60" x14ac:dyDescent="0.35">
      <c r="A28" t="s">
        <v>85</v>
      </c>
      <c r="B28">
        <f>_xlfn.XLOOKUP(A28,ConfDiv[TeamID],ConfDiv[Logo])</f>
        <v>0</v>
      </c>
      <c r="C28" t="str">
        <f>_xlfn.XLOOKUP(A28,ConfDiv[TeamID],ConfDiv[TeamName])</f>
        <v>Dallas Wings</v>
      </c>
      <c r="D28" s="1">
        <f>_xlfn.XLOOKUP($A28,StandingsPivot!$A$4:$A$35,StandingsPivot!B$4:B$35)</f>
        <v>10</v>
      </c>
      <c r="E28" s="1">
        <f>_xlfn.XLOOKUP($A28,StandingsPivot!$A$4:$A$35,StandingsPivot!C$4:C$35)</f>
        <v>34</v>
      </c>
      <c r="F28" s="3">
        <f t="shared" si="4"/>
        <v>0.22727272727272727</v>
      </c>
      <c r="G28" s="9" cm="1">
        <f t="array" ref="G28">INDEX(Games[PostGmRate], MATCH(1, (Games[Team]=A28)*(Games[Date]=H28), 0))</f>
        <v>1309.00081441775</v>
      </c>
      <c r="H28" s="1">
        <f>_xlfn.MAXIFS(Games[Date], Games[Team], A28)</f>
        <v>45911</v>
      </c>
      <c r="AR28" s="3"/>
      <c r="AS28" s="4"/>
      <c r="BD28" s="1"/>
      <c r="BG28" s="3"/>
      <c r="BH28" s="4"/>
    </row>
    <row r="29" spans="1:60" x14ac:dyDescent="0.35">
      <c r="A29" t="s">
        <v>88</v>
      </c>
      <c r="B29">
        <f>_xlfn.XLOOKUP(A29,ConfDiv[TeamID],ConfDiv[Logo])</f>
        <v>0</v>
      </c>
      <c r="C29" t="str">
        <f>_xlfn.XLOOKUP(A29,ConfDiv[TeamID],ConfDiv[TeamName])</f>
        <v>Golden State Valkyries</v>
      </c>
      <c r="D29" s="1">
        <f>_xlfn.XLOOKUP($A29,StandingsPivot!$A$4:$A$35,StandingsPivot!B$4:B$35)</f>
        <v>23</v>
      </c>
      <c r="E29" s="1">
        <f>_xlfn.XLOOKUP($A29,StandingsPivot!$A$4:$A$35,StandingsPivot!C$4:C$35)</f>
        <v>21</v>
      </c>
      <c r="F29" s="3">
        <f t="shared" si="4"/>
        <v>0.52272727272727271</v>
      </c>
      <c r="G29" s="9" cm="1">
        <f t="array" ref="G29">INDEX(Games[PostGmRate], MATCH(1, (Games[Team]=A29)*(Games[Date]=H29), 0))</f>
        <v>1504.6824520603593</v>
      </c>
      <c r="H29" s="1">
        <f>_xlfn.MAXIFS(Games[Date], Games[Team], A29)</f>
        <v>45917</v>
      </c>
      <c r="AR29" s="3"/>
      <c r="AS29" s="4"/>
      <c r="BD29" s="1"/>
      <c r="BG29" s="3"/>
      <c r="BH29" s="4"/>
    </row>
    <row r="30" spans="1:60" x14ac:dyDescent="0.35">
      <c r="A30" t="s">
        <v>69</v>
      </c>
      <c r="B30">
        <f>_xlfn.XLOOKUP(A30,ConfDiv[TeamID],ConfDiv[Logo])</f>
        <v>0</v>
      </c>
      <c r="C30" t="str">
        <f>_xlfn.XLOOKUP(A30,ConfDiv[TeamID],ConfDiv[TeamName])</f>
        <v>Indiana Fever</v>
      </c>
      <c r="D30" s="1">
        <f>_xlfn.XLOOKUP($A30,StandingsPivot!$A$4:$A$35,StandingsPivot!B$4:B$35)</f>
        <v>24</v>
      </c>
      <c r="E30" s="1">
        <f>_xlfn.XLOOKUP($A30,StandingsPivot!$A$4:$A$35,StandingsPivot!C$4:C$35)</f>
        <v>20</v>
      </c>
      <c r="F30" s="3">
        <f t="shared" si="4"/>
        <v>0.54545454545454541</v>
      </c>
      <c r="G30" s="9" cm="1">
        <f t="array" ref="G30">INDEX(Games[PostGmRate], MATCH(1, (Games[Team]=A30)*(Games[Date]=H30), 0))</f>
        <v>1586.4805455304747</v>
      </c>
      <c r="H30" s="1">
        <f>_xlfn.MAXIFS(Games[Date], Games[Team], A30)</f>
        <v>45930</v>
      </c>
      <c r="AR30" s="3"/>
      <c r="AS30" s="4"/>
      <c r="BD30" s="1"/>
      <c r="BG30" s="3"/>
      <c r="BH30" s="4"/>
    </row>
    <row r="31" spans="1:60" x14ac:dyDescent="0.35">
      <c r="A31" t="s">
        <v>63</v>
      </c>
      <c r="B31">
        <f>_xlfn.XLOOKUP(A31,ConfDiv[TeamID],ConfDiv[Logo])</f>
        <v>0</v>
      </c>
      <c r="C31" t="str">
        <f>_xlfn.XLOOKUP(A31,ConfDiv[TeamID],ConfDiv[TeamName])</f>
        <v>Los Angeles Sparks</v>
      </c>
      <c r="D31" s="1">
        <f>_xlfn.XLOOKUP($A31,StandingsPivot!$A$4:$A$35,StandingsPivot!B$4:B$35)</f>
        <v>21</v>
      </c>
      <c r="E31" s="1">
        <f>_xlfn.XLOOKUP($A31,StandingsPivot!$A$4:$A$35,StandingsPivot!C$4:C$35)</f>
        <v>23</v>
      </c>
      <c r="F31" s="3">
        <f t="shared" si="4"/>
        <v>0.47727272727272729</v>
      </c>
      <c r="G31" s="9" cm="1">
        <f t="array" ref="G31">INDEX(Games[PostGmRate], MATCH(1, (Games[Team]=A31)*(Games[Date]=H31), 0))</f>
        <v>1456.5389128968641</v>
      </c>
      <c r="H31" s="1">
        <f>_xlfn.MAXIFS(Games[Date], Games[Team], A31)</f>
        <v>45911</v>
      </c>
      <c r="AR31" s="3"/>
      <c r="AS31" s="4"/>
      <c r="BD31" s="1"/>
      <c r="BG31" s="3"/>
      <c r="BH31" s="4"/>
    </row>
    <row r="32" spans="1:60" x14ac:dyDescent="0.35">
      <c r="A32" t="s">
        <v>86</v>
      </c>
      <c r="B32">
        <f>_xlfn.XLOOKUP(A32,ConfDiv[TeamID],ConfDiv[Logo])</f>
        <v>0</v>
      </c>
      <c r="C32" t="str">
        <f>_xlfn.XLOOKUP(A32,ConfDiv[TeamID],ConfDiv[TeamName])</f>
        <v>Las Vegas Aces</v>
      </c>
      <c r="D32" s="1">
        <f>_xlfn.XLOOKUP($A32,StandingsPivot!$A$4:$A$35,StandingsPivot!B$4:B$35)</f>
        <v>30</v>
      </c>
      <c r="E32" s="1">
        <f>_xlfn.XLOOKUP($A32,StandingsPivot!$A$4:$A$35,StandingsPivot!C$4:C$35)</f>
        <v>14</v>
      </c>
      <c r="F32" s="3">
        <f t="shared" si="4"/>
        <v>0.68181818181818177</v>
      </c>
      <c r="G32" s="9" cm="1">
        <f t="array" ref="G32">INDEX(Games[PostGmRate], MATCH(1, (Games[Team]=A32)*(Games[Date]=H32), 0))</f>
        <v>1721.9701955270914</v>
      </c>
      <c r="H32" s="1">
        <f>_xlfn.MAXIFS(Games[Date], Games[Team], A32)</f>
        <v>45940</v>
      </c>
    </row>
    <row r="33" spans="1:8" x14ac:dyDescent="0.35">
      <c r="A33" t="s">
        <v>67</v>
      </c>
      <c r="B33">
        <f>_xlfn.XLOOKUP(A33,ConfDiv[TeamID],ConfDiv[Logo])</f>
        <v>0</v>
      </c>
      <c r="C33" t="str">
        <f>_xlfn.XLOOKUP(A33,ConfDiv[TeamID],ConfDiv[TeamName])</f>
        <v>Minnesota Lynx</v>
      </c>
      <c r="D33" s="1">
        <f>_xlfn.XLOOKUP($A33,StandingsPivot!$A$4:$A$35,StandingsPivot!B$4:B$35)</f>
        <v>34</v>
      </c>
      <c r="E33" s="1">
        <f>_xlfn.XLOOKUP($A33,StandingsPivot!$A$4:$A$35,StandingsPivot!C$4:C$35)</f>
        <v>10</v>
      </c>
      <c r="F33" s="3">
        <f t="shared" si="4"/>
        <v>0.77272727272727271</v>
      </c>
      <c r="G33" s="9" cm="1">
        <f t="array" ref="G33">INDEX(Games[PostGmRate], MATCH(1, (Games[Team]=A33)*(Games[Date]=H33), 0))</f>
        <v>1658.365460848747</v>
      </c>
      <c r="H33" s="1">
        <f>_xlfn.MAXIFS(Games[Date], Games[Team], A33)</f>
        <v>45928</v>
      </c>
    </row>
    <row r="34" spans="1:8" x14ac:dyDescent="0.35">
      <c r="A34" t="s">
        <v>60</v>
      </c>
      <c r="B34">
        <f>_xlfn.XLOOKUP(A34,ConfDiv[TeamID],ConfDiv[Logo])</f>
        <v>0</v>
      </c>
      <c r="C34" t="str">
        <f>_xlfn.XLOOKUP(A34,ConfDiv[TeamID],ConfDiv[TeamName])</f>
        <v>New York Liberty</v>
      </c>
      <c r="D34" s="1">
        <f>_xlfn.XLOOKUP($A34,StandingsPivot!$A$4:$A$35,StandingsPivot!B$4:B$35)</f>
        <v>27</v>
      </c>
      <c r="E34" s="1">
        <f>_xlfn.XLOOKUP($A34,StandingsPivot!$A$4:$A$35,StandingsPivot!C$4:C$35)</f>
        <v>17</v>
      </c>
      <c r="F34" s="3">
        <f t="shared" si="4"/>
        <v>0.61363636363636365</v>
      </c>
      <c r="G34" s="9" cm="1">
        <f t="array" ref="G34">INDEX(Games[PostGmRate], MATCH(1, (Games[Team]=A34)*(Games[Date]=H34), 0))</f>
        <v>1552.6553861802392</v>
      </c>
      <c r="H34" s="1">
        <f>_xlfn.MAXIFS(Games[Date], Games[Team], A34)</f>
        <v>45919</v>
      </c>
    </row>
    <row r="35" spans="1:8" x14ac:dyDescent="0.35">
      <c r="A35" t="s">
        <v>40</v>
      </c>
      <c r="B35">
        <f>_xlfn.XLOOKUP(A35,ConfDiv[TeamID],ConfDiv[Logo])</f>
        <v>0</v>
      </c>
      <c r="C35" t="str">
        <f>_xlfn.XLOOKUP(A35,ConfDiv[TeamID],ConfDiv[TeamName])</f>
        <v>Phoenix Mercury</v>
      </c>
      <c r="D35" s="1">
        <f>_xlfn.XLOOKUP($A35,StandingsPivot!$A$4:$A$35,StandingsPivot!B$4:B$35)</f>
        <v>27</v>
      </c>
      <c r="E35" s="1">
        <f>_xlfn.XLOOKUP($A35,StandingsPivot!$A$4:$A$35,StandingsPivot!C$4:C$35)</f>
        <v>17</v>
      </c>
      <c r="F35" s="3">
        <f t="shared" si="4"/>
        <v>0.61363636363636365</v>
      </c>
      <c r="G35" s="9" cm="1">
        <f t="array" ref="G35">INDEX(Games[PostGmRate], MATCH(1, (Games[Team]=A35)*(Games[Date]=H35), 0))</f>
        <v>1570.120592182451</v>
      </c>
      <c r="H35" s="1">
        <f>_xlfn.MAXIFS(Games[Date], Games[Team], A35)</f>
        <v>45940</v>
      </c>
    </row>
    <row r="36" spans="1:8" x14ac:dyDescent="0.35">
      <c r="A36" t="s">
        <v>71</v>
      </c>
      <c r="B36">
        <f>_xlfn.XLOOKUP(A36,ConfDiv[TeamID],ConfDiv[Logo])</f>
        <v>0</v>
      </c>
      <c r="C36" t="str">
        <f>_xlfn.XLOOKUP(A36,ConfDiv[TeamID],ConfDiv[TeamName])</f>
        <v>Seattle Storm</v>
      </c>
      <c r="D36" s="1">
        <f>_xlfn.XLOOKUP($A36,StandingsPivot!$A$4:$A$35,StandingsPivot!B$4:B$35)</f>
        <v>23</v>
      </c>
      <c r="E36" s="1">
        <f>_xlfn.XLOOKUP($A36,StandingsPivot!$A$4:$A$35,StandingsPivot!C$4:C$35)</f>
        <v>21</v>
      </c>
      <c r="F36" s="3">
        <f t="shared" si="4"/>
        <v>0.52272727272727271</v>
      </c>
      <c r="G36" s="9" cm="1">
        <f t="array" ref="G36">INDEX(Games[PostGmRate], MATCH(1, (Games[Team]=A36)*(Games[Date]=H36), 0))</f>
        <v>1509.3840303960185</v>
      </c>
      <c r="H36" s="1">
        <f>_xlfn.MAXIFS(Games[Date], Games[Team], A36)</f>
        <v>45918</v>
      </c>
    </row>
    <row r="37" spans="1:8" x14ac:dyDescent="0.35">
      <c r="A37" t="s">
        <v>65</v>
      </c>
      <c r="B37">
        <f>_xlfn.XLOOKUP(A37,ConfDiv[TeamID],ConfDiv[Logo])</f>
        <v>0</v>
      </c>
      <c r="C37" t="str">
        <f>_xlfn.XLOOKUP(A37,ConfDiv[TeamID],ConfDiv[TeamName])</f>
        <v>Washington Mystics</v>
      </c>
      <c r="D37" s="1">
        <f>_xlfn.XLOOKUP($A37,StandingsPivot!$A$4:$A$35,StandingsPivot!B$4:B$35)</f>
        <v>16</v>
      </c>
      <c r="E37" s="1">
        <f>_xlfn.XLOOKUP($A37,StandingsPivot!$A$4:$A$35,StandingsPivot!C$4:C$35)</f>
        <v>28</v>
      </c>
      <c r="F37" s="3">
        <f t="shared" si="4"/>
        <v>0.36363636363636365</v>
      </c>
      <c r="G37" s="9" cm="1">
        <f t="array" ref="G37">INDEX(Games[PostGmRate], MATCH(1, (Games[Team]=A37)*(Games[Date]=H37), 0))</f>
        <v>1353.1596661494825</v>
      </c>
      <c r="H37" s="1">
        <f>_xlfn.MAXIFS(Games[Date], Games[Team], A37)</f>
        <v>45909</v>
      </c>
    </row>
  </sheetData>
  <sortState xmlns:xlrd2="http://schemas.microsoft.com/office/spreadsheetml/2017/richdata2" ref="A25:G37">
    <sortCondition ref="A25:A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77</v>
      </c>
      <c r="B4" s="2">
        <v>30</v>
      </c>
      <c r="C4" s="2">
        <v>14</v>
      </c>
      <c r="D4" s="2">
        <v>1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75</v>
      </c>
      <c r="B5" s="2">
        <v>10</v>
      </c>
      <c r="C5" s="2">
        <v>34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74</v>
      </c>
      <c r="B6" s="2">
        <v>11</v>
      </c>
      <c r="C6" s="2">
        <v>33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85</v>
      </c>
      <c r="B7" s="2">
        <v>10</v>
      </c>
      <c r="C7" s="2">
        <v>34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88</v>
      </c>
      <c r="B8" s="2">
        <v>23</v>
      </c>
      <c r="C8" s="2">
        <v>21</v>
      </c>
      <c r="D8" s="2">
        <v>0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69</v>
      </c>
      <c r="B9" s="2">
        <v>24</v>
      </c>
      <c r="C9" s="2">
        <v>20</v>
      </c>
      <c r="D9" s="2">
        <v>2</v>
      </c>
      <c r="E9" s="2">
        <v>1</v>
      </c>
      <c r="F9" s="2">
        <v>2</v>
      </c>
      <c r="G9" s="2">
        <v>3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63</v>
      </c>
      <c r="B10" s="2">
        <v>21</v>
      </c>
      <c r="C10" s="2">
        <v>23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86</v>
      </c>
      <c r="B11" s="2">
        <v>30</v>
      </c>
      <c r="C11" s="2">
        <v>14</v>
      </c>
      <c r="D11" s="2">
        <v>2</v>
      </c>
      <c r="E11" s="2">
        <v>1</v>
      </c>
      <c r="F11" s="2">
        <v>3</v>
      </c>
      <c r="G11" s="2">
        <v>2</v>
      </c>
      <c r="H11" s="2">
        <v>4</v>
      </c>
      <c r="I11" s="2">
        <v>0</v>
      </c>
      <c r="J11" s="2">
        <v>0</v>
      </c>
      <c r="K11" s="2">
        <v>0</v>
      </c>
    </row>
    <row r="12" spans="1:11" x14ac:dyDescent="0.35">
      <c r="A12" s="6" t="s">
        <v>67</v>
      </c>
      <c r="B12" s="2">
        <v>34</v>
      </c>
      <c r="C12" s="2">
        <v>10</v>
      </c>
      <c r="D12" s="2">
        <v>2</v>
      </c>
      <c r="E12" s="2">
        <v>0</v>
      </c>
      <c r="F12" s="2">
        <v>1</v>
      </c>
      <c r="G12" s="2">
        <v>3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60</v>
      </c>
      <c r="B13" s="2">
        <v>27</v>
      </c>
      <c r="C13" s="2">
        <v>17</v>
      </c>
      <c r="D13" s="2">
        <v>1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40</v>
      </c>
      <c r="B14" s="2">
        <v>27</v>
      </c>
      <c r="C14" s="2">
        <v>17</v>
      </c>
      <c r="D14" s="2">
        <v>2</v>
      </c>
      <c r="E14" s="2">
        <v>1</v>
      </c>
      <c r="F14" s="2">
        <v>3</v>
      </c>
      <c r="G14" s="2">
        <v>1</v>
      </c>
      <c r="H14" s="2">
        <v>0</v>
      </c>
      <c r="I14" s="2">
        <v>4</v>
      </c>
      <c r="J14" s="2">
        <v>0</v>
      </c>
      <c r="K14" s="2">
        <v>0</v>
      </c>
    </row>
    <row r="15" spans="1:11" x14ac:dyDescent="0.35">
      <c r="A15" s="6" t="s">
        <v>71</v>
      </c>
      <c r="B15" s="2">
        <v>23</v>
      </c>
      <c r="C15" s="2">
        <v>21</v>
      </c>
      <c r="D15" s="2">
        <v>1</v>
      </c>
      <c r="E15" s="2">
        <v>2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65</v>
      </c>
      <c r="B16" s="2">
        <v>16</v>
      </c>
      <c r="C16" s="2">
        <v>28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5">
      <c r="A17" s="6" t="s">
        <v>18</v>
      </c>
      <c r="B17" s="2">
        <v>286</v>
      </c>
      <c r="C17" s="2">
        <v>286</v>
      </c>
      <c r="D17" s="2">
        <v>11</v>
      </c>
      <c r="E17" s="2">
        <v>11</v>
      </c>
      <c r="F17" s="2">
        <v>9</v>
      </c>
      <c r="G17" s="2">
        <v>9</v>
      </c>
      <c r="H17" s="2">
        <v>4</v>
      </c>
      <c r="I17" s="2">
        <v>4</v>
      </c>
      <c r="J17" s="2">
        <v>0</v>
      </c>
      <c r="K17" s="2">
        <v>0</v>
      </c>
    </row>
    <row r="18" spans="1:11" x14ac:dyDescent="0.35">
      <c r="B18"/>
      <c r="C18"/>
      <c r="D18"/>
    </row>
    <row r="19" spans="1:11" x14ac:dyDescent="0.35">
      <c r="B19"/>
      <c r="C19"/>
      <c r="D19"/>
    </row>
    <row r="20" spans="1:11" x14ac:dyDescent="0.35">
      <c r="B20"/>
      <c r="C20"/>
      <c r="D20"/>
    </row>
    <row r="21" spans="1:11" x14ac:dyDescent="0.35">
      <c r="B21"/>
      <c r="C21"/>
      <c r="D21"/>
    </row>
    <row r="22" spans="1:11" x14ac:dyDescent="0.35">
      <c r="B22"/>
      <c r="C22"/>
      <c r="D22"/>
    </row>
    <row r="23" spans="1:11" x14ac:dyDescent="0.35">
      <c r="B23"/>
      <c r="C23"/>
      <c r="D23"/>
    </row>
    <row r="24" spans="1:11" x14ac:dyDescent="0.35">
      <c r="B24"/>
      <c r="C24"/>
      <c r="D24"/>
    </row>
    <row r="25" spans="1:11" x14ac:dyDescent="0.35">
      <c r="B25"/>
      <c r="C25"/>
      <c r="D25"/>
    </row>
    <row r="26" spans="1:11" x14ac:dyDescent="0.35">
      <c r="B26"/>
      <c r="C26"/>
      <c r="D26"/>
    </row>
    <row r="27" spans="1:11" x14ac:dyDescent="0.35">
      <c r="B27"/>
      <c r="C27"/>
      <c r="D27"/>
    </row>
    <row r="28" spans="1:11" x14ac:dyDescent="0.35">
      <c r="B28"/>
      <c r="C28"/>
      <c r="D28"/>
    </row>
    <row r="29" spans="1:11" x14ac:dyDescent="0.35">
      <c r="B29"/>
      <c r="C29"/>
      <c r="D29"/>
    </row>
    <row r="30" spans="1:11" x14ac:dyDescent="0.35">
      <c r="B30"/>
      <c r="C30"/>
      <c r="D30"/>
    </row>
    <row r="31" spans="1:11" x14ac:dyDescent="0.35">
      <c r="B31"/>
      <c r="C31"/>
      <c r="D31"/>
    </row>
    <row r="32" spans="1:11" x14ac:dyDescent="0.35">
      <c r="B32"/>
      <c r="C32"/>
      <c r="D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60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>
        <v>44</v>
      </c>
    </row>
    <row r="48" spans="1:1" x14ac:dyDescent="0.35">
      <c r="A48" s="11">
        <v>45</v>
      </c>
    </row>
    <row r="49" spans="1:1" x14ac:dyDescent="0.35">
      <c r="A49" s="11">
        <v>46</v>
      </c>
    </row>
    <row r="50" spans="1:1" x14ac:dyDescent="0.35">
      <c r="A50" s="11">
        <v>47</v>
      </c>
    </row>
    <row r="51" spans="1:1" x14ac:dyDescent="0.35">
      <c r="A51" s="11">
        <v>48</v>
      </c>
    </row>
    <row r="52" spans="1:1" x14ac:dyDescent="0.35">
      <c r="A52" s="11">
        <v>49</v>
      </c>
    </row>
    <row r="53" spans="1:1" x14ac:dyDescent="0.35">
      <c r="A53" s="11">
        <v>50</v>
      </c>
    </row>
    <row r="54" spans="1:1" x14ac:dyDescent="0.35">
      <c r="A54" s="11">
        <v>51</v>
      </c>
    </row>
    <row r="55" spans="1:1" x14ac:dyDescent="0.35">
      <c r="A55" s="11">
        <v>52</v>
      </c>
    </row>
    <row r="56" spans="1:1" x14ac:dyDescent="0.35">
      <c r="A56" s="11">
        <v>53</v>
      </c>
    </row>
    <row r="57" spans="1:1" x14ac:dyDescent="0.35">
      <c r="A57" s="11">
        <v>54</v>
      </c>
    </row>
    <row r="58" spans="1:1" x14ac:dyDescent="0.35">
      <c r="A58" s="11">
        <v>55</v>
      </c>
    </row>
    <row r="59" spans="1:1" x14ac:dyDescent="0.35">
      <c r="A59" s="11">
        <v>56</v>
      </c>
    </row>
    <row r="60" spans="1:1" x14ac:dyDescent="0.35">
      <c r="A60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623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45793</v>
      </c>
      <c r="B2" s="2">
        <v>2025</v>
      </c>
      <c r="C2" s="2">
        <f>COUNTIFS(Games[Team],Games[[#This Row],[Team]],Games[Season],Games[[#This Row],[Season]],Games[Date],"&lt;=" &amp; Games[[#This Row],[Date]])</f>
        <v>1</v>
      </c>
      <c r="D2" s="2" t="s">
        <v>79</v>
      </c>
      <c r="E2" s="2" t="s">
        <v>80</v>
      </c>
      <c r="F2" s="1" t="s">
        <v>67</v>
      </c>
      <c r="G2" s="1" t="s">
        <v>85</v>
      </c>
      <c r="H2" s="1" t="s">
        <v>81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1582.6259622567077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1416.5352603508982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0.61598761809029712</v>
      </c>
      <c r="R2" s="1">
        <v>99</v>
      </c>
      <c r="S2" s="1">
        <v>84</v>
      </c>
      <c r="T2" s="1">
        <v>0</v>
      </c>
      <c r="U2" s="1">
        <f>Games[[#This Row],[PointsFor]]-Games[[#This Row],[PointsAgainst]]</f>
        <v>15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0.4417112515389342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12.865873437830466</v>
      </c>
      <c r="AB2" s="4">
        <f>Games[[#This Row],[PreGmRate]]+Games[[#This Row],[RatingChange]]</f>
        <v>1595.4918356945382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45793</v>
      </c>
      <c r="B3" s="2">
        <v>2025</v>
      </c>
      <c r="C3" s="2">
        <f>COUNTIFS(Games[Team],Games[[#This Row],[Team]],Games[Season],Games[[#This Row],[Season]],Games[Date],"&lt;=" &amp; Games[[#This Row],[Date]])</f>
        <v>1</v>
      </c>
      <c r="D3" s="2" t="s">
        <v>79</v>
      </c>
      <c r="E3" s="2" t="s">
        <v>80</v>
      </c>
      <c r="F3" s="1" t="s">
        <v>85</v>
      </c>
      <c r="G3" s="1" t="s">
        <v>67</v>
      </c>
      <c r="H3" s="1" t="s">
        <v>82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1416.5352603508982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1582.6259622567077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0.38401238190970288</v>
      </c>
      <c r="R3" s="1">
        <v>84</v>
      </c>
      <c r="S3" s="1">
        <v>99</v>
      </c>
      <c r="T3" s="1">
        <v>0</v>
      </c>
      <c r="U3" s="1">
        <f>Games[[#This Row],[PointsFor]]-Games[[#This Row],[PointsAgainst]]</f>
        <v>-15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0.4417112515389342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-12.865873437830466</v>
      </c>
      <c r="AB3" s="4">
        <f>Games[[#This Row],[PreGmRate]]+Games[[#This Row],[RatingChange]]</f>
        <v>1403.6693869130677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45793</v>
      </c>
      <c r="B4" s="2">
        <v>2025</v>
      </c>
      <c r="C4" s="2">
        <f>COUNTIFS(Games[Team],Games[[#This Row],[Team]],Games[Season],Games[[#This Row],[Season]],Games[Date],"&lt;=" &amp; Games[[#This Row],[Date]])</f>
        <v>1</v>
      </c>
      <c r="D4" s="2" t="s">
        <v>79</v>
      </c>
      <c r="E4" s="2" t="s">
        <v>80</v>
      </c>
      <c r="F4" s="1" t="s">
        <v>63</v>
      </c>
      <c r="G4" s="1" t="s">
        <v>88</v>
      </c>
      <c r="H4" s="1" t="s">
        <v>81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1403.4622566510161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0.2612930359333035</v>
      </c>
      <c r="R4" s="1">
        <v>84</v>
      </c>
      <c r="S4" s="1">
        <v>67</v>
      </c>
      <c r="T4" s="1">
        <v>0</v>
      </c>
      <c r="U4" s="1">
        <f>Games[[#This Row],[PointsFor]]-Games[[#This Row],[PointsAgainst]]</f>
        <v>17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0.49279744162944772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27.611895617149369</v>
      </c>
      <c r="AB4" s="4">
        <f>Games[[#This Row],[PreGmRate]]+Games[[#This Row],[RatingChange]]</f>
        <v>1431.0741522681656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45793</v>
      </c>
      <c r="B5" s="2">
        <v>2025</v>
      </c>
      <c r="C5" s="2">
        <f>COUNTIFS(Games[Team],Games[[#This Row],[Team]],Games[Season],Games[[#This Row],[Season]],Games[Date],"&lt;=" &amp; Games[[#This Row],[Date]])</f>
        <v>1</v>
      </c>
      <c r="D5" s="2" t="s">
        <v>79</v>
      </c>
      <c r="E5" s="2" t="s">
        <v>80</v>
      </c>
      <c r="F5" s="1" t="s">
        <v>88</v>
      </c>
      <c r="G5" s="1" t="s">
        <v>63</v>
      </c>
      <c r="H5" s="1" t="s">
        <v>82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1403.4622566510161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0.73870696406669656</v>
      </c>
      <c r="R5" s="1">
        <v>67</v>
      </c>
      <c r="S5" s="1">
        <v>84</v>
      </c>
      <c r="T5" s="1">
        <v>0</v>
      </c>
      <c r="U5" s="1">
        <f>Games[[#This Row],[PointsFor]]-Games[[#This Row],[PointsAgainst]]</f>
        <v>-17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0.49279744162944772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-27.611895617149369</v>
      </c>
      <c r="AB5" s="4">
        <f>Games[[#This Row],[PreGmRate]]+Games[[#This Row],[RatingChange]]</f>
        <v>1472.3881043828505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45793</v>
      </c>
      <c r="B6" s="2">
        <v>2025</v>
      </c>
      <c r="C6" s="2">
        <f>COUNTIFS(Games[Team],Games[[#This Row],[Team]],Games[Season],Games[[#This Row],[Season]],Games[Date],"&lt;=" &amp; Games[[#This Row],[Date]])</f>
        <v>1</v>
      </c>
      <c r="D6" s="2" t="s">
        <v>79</v>
      </c>
      <c r="E6" s="2" t="s">
        <v>80</v>
      </c>
      <c r="F6" s="1" t="s">
        <v>77</v>
      </c>
      <c r="G6" s="1" t="s">
        <v>65</v>
      </c>
      <c r="H6" s="1" t="s">
        <v>81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1462.6771225268772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1477.5693993222962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0.36140535347354996</v>
      </c>
      <c r="R6" s="1">
        <v>90</v>
      </c>
      <c r="S6" s="1">
        <v>94</v>
      </c>
      <c r="T6" s="1">
        <v>0</v>
      </c>
      <c r="U6" s="1">
        <f>Games[[#This Row],[PointsFor]]-Games[[#This Row],[PointsAgainst]]</f>
        <v>-4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0.30761515981518367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-8.4325301182439816</v>
      </c>
      <c r="AB6" s="4">
        <f>Games[[#This Row],[PreGmRate]]+Games[[#This Row],[RatingChange]]</f>
        <v>1454.2445924086333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45793</v>
      </c>
      <c r="B7" s="2">
        <v>2025</v>
      </c>
      <c r="C7" s="2">
        <f>COUNTIFS(Games[Team],Games[[#This Row],[Team]],Games[Season],Games[[#This Row],[Season]],Games[Date],"&lt;=" &amp; Games[[#This Row],[Date]])</f>
        <v>1</v>
      </c>
      <c r="D7" s="2" t="s">
        <v>79</v>
      </c>
      <c r="E7" s="2" t="s">
        <v>80</v>
      </c>
      <c r="F7" s="1" t="s">
        <v>65</v>
      </c>
      <c r="G7" s="1" t="s">
        <v>77</v>
      </c>
      <c r="H7" s="1" t="s">
        <v>82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1477.5693993222962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1462.6771225268772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0.63859464652645015</v>
      </c>
      <c r="R7" s="1">
        <v>94</v>
      </c>
      <c r="S7" s="1">
        <v>90</v>
      </c>
      <c r="T7" s="1">
        <v>0</v>
      </c>
      <c r="U7" s="1">
        <f>Games[[#This Row],[PointsFor]]-Games[[#This Row],[PointsAgainst]]</f>
        <v>4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0.30761515981518367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8.432530118243978</v>
      </c>
      <c r="AB7" s="4">
        <f>Games[[#This Row],[PreGmRate]]+Games[[#This Row],[RatingChange]]</f>
        <v>1486.0019294405402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45794</v>
      </c>
      <c r="B8" s="2">
        <v>2025</v>
      </c>
      <c r="C8" s="2">
        <f>COUNTIFS(Games[Team],Games[[#This Row],[Team]],Games[Season],Games[[#This Row],[Season]],Games[Date],"&lt;=" &amp; Games[[#This Row],[Date]])</f>
        <v>1</v>
      </c>
      <c r="D8" s="2" t="s">
        <v>79</v>
      </c>
      <c r="E8" s="2" t="s">
        <v>80</v>
      </c>
      <c r="F8" s="1" t="s">
        <v>75</v>
      </c>
      <c r="G8" s="1" t="s">
        <v>69</v>
      </c>
      <c r="H8" s="1" t="s">
        <v>81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1425.1644814529334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1489.0130347595457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0.29920536915288959</v>
      </c>
      <c r="R8" s="1">
        <v>58</v>
      </c>
      <c r="S8" s="1">
        <v>93</v>
      </c>
      <c r="T8" s="1">
        <v>0</v>
      </c>
      <c r="U8" s="1">
        <f>Games[[#This Row],[PointsFor]]-Games[[#This Row],[PointsAgainst]]</f>
        <v>-35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0.72367064982727092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-16.423508016838685</v>
      </c>
      <c r="AB8" s="4">
        <f>Games[[#This Row],[PreGmRate]]+Games[[#This Row],[RatingChange]]</f>
        <v>1408.7409734360947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45794</v>
      </c>
      <c r="B9" s="2">
        <v>2025</v>
      </c>
      <c r="C9" s="2">
        <f>COUNTIFS(Games[Team],Games[[#This Row],[Team]],Games[Season],Games[[#This Row],[Season]],Games[Date],"&lt;=" &amp; Games[[#This Row],[Date]])</f>
        <v>1</v>
      </c>
      <c r="D9" s="2" t="s">
        <v>79</v>
      </c>
      <c r="E9" s="2" t="s">
        <v>80</v>
      </c>
      <c r="F9" s="1" t="s">
        <v>69</v>
      </c>
      <c r="G9" s="1" t="s">
        <v>75</v>
      </c>
      <c r="H9" s="1" t="s">
        <v>82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1489.0130347595457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1425.1644814529334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0.70079463084711036</v>
      </c>
      <c r="R9" s="1">
        <v>93</v>
      </c>
      <c r="S9" s="1">
        <v>58</v>
      </c>
      <c r="T9" s="1">
        <v>0</v>
      </c>
      <c r="U9" s="1">
        <f>Games[[#This Row],[PointsFor]]-Games[[#This Row],[PointsAgainst]]</f>
        <v>35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0.72367064982727092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16.423508016838685</v>
      </c>
      <c r="AB9" s="4">
        <f>Games[[#This Row],[PreGmRate]]+Games[[#This Row],[RatingChange]]</f>
        <v>1505.4365427763844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45794</v>
      </c>
      <c r="B10" s="2">
        <v>2025</v>
      </c>
      <c r="C10" s="2">
        <f>COUNTIFS(Games[Team],Games[[#This Row],[Team]],Games[Season],Games[[#This Row],[Season]],Games[Date],"&lt;=" &amp; Games[[#This Row],[Date]])</f>
        <v>1</v>
      </c>
      <c r="D10" s="2" t="s">
        <v>79</v>
      </c>
      <c r="E10" s="2" t="s">
        <v>80</v>
      </c>
      <c r="F10" s="1" t="s">
        <v>86</v>
      </c>
      <c r="G10" s="1" t="s">
        <v>60</v>
      </c>
      <c r="H10" s="1" t="s">
        <v>81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1580.6269331882304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1620.3797974561712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0.3290734363485141</v>
      </c>
      <c r="R10" s="1">
        <v>78</v>
      </c>
      <c r="S10" s="1">
        <v>92</v>
      </c>
      <c r="T10" s="1">
        <v>0</v>
      </c>
      <c r="U10" s="1">
        <f>Games[[#This Row],[PointsFor]]-Games[[#This Row],[PointsAgainst]]</f>
        <v>-14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0.47197287548630396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-11.780546875567186</v>
      </c>
      <c r="AB10" s="4">
        <f>Games[[#This Row],[PreGmRate]]+Games[[#This Row],[RatingChange]]</f>
        <v>1568.8463863126633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45794</v>
      </c>
      <c r="B11" s="2">
        <v>2025</v>
      </c>
      <c r="C11" s="2">
        <f>COUNTIFS(Games[Team],Games[[#This Row],[Team]],Games[Season],Games[[#This Row],[Season]],Games[Date],"&lt;=" &amp; Games[[#This Row],[Date]])</f>
        <v>1</v>
      </c>
      <c r="D11" s="2" t="s">
        <v>79</v>
      </c>
      <c r="E11" s="2" t="s">
        <v>80</v>
      </c>
      <c r="F11" s="1" t="s">
        <v>60</v>
      </c>
      <c r="G11" s="1" t="s">
        <v>86</v>
      </c>
      <c r="H11" s="1" t="s">
        <v>82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1620.3797974561712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1580.6269331882304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0.67092656365148595</v>
      </c>
      <c r="R11" s="1">
        <v>92</v>
      </c>
      <c r="S11" s="1">
        <v>78</v>
      </c>
      <c r="T11" s="1">
        <v>0</v>
      </c>
      <c r="U11" s="1">
        <f>Games[[#This Row],[PointsFor]]-Games[[#This Row],[PointsAgainst]]</f>
        <v>14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0.47197287548630396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11.780546875567184</v>
      </c>
      <c r="AB11" s="4">
        <f>Games[[#This Row],[PreGmRate]]+Games[[#This Row],[RatingChange]]</f>
        <v>1632.1603443317383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45794</v>
      </c>
      <c r="B12" s="2">
        <v>2025</v>
      </c>
      <c r="C12" s="2">
        <f>COUNTIFS(Games[Team],Games[[#This Row],[Team]],Games[Season],Games[[#This Row],[Season]],Games[Date],"&lt;=" &amp; Games[[#This Row],[Date]])</f>
        <v>1</v>
      </c>
      <c r="D12" s="2" t="s">
        <v>79</v>
      </c>
      <c r="E12" s="2" t="s">
        <v>80</v>
      </c>
      <c r="F12" s="1" t="s">
        <v>71</v>
      </c>
      <c r="G12" s="1" t="s">
        <v>40</v>
      </c>
      <c r="H12" s="1" t="s">
        <v>81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1525.6136333181539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1456.2691589603164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0.4789215035221317</v>
      </c>
      <c r="R12" s="1">
        <v>59</v>
      </c>
      <c r="S12" s="1">
        <v>81</v>
      </c>
      <c r="T12" s="1">
        <v>0</v>
      </c>
      <c r="U12" s="1">
        <f>Games[[#This Row],[PointsFor]]-Games[[#This Row],[PointsAgainst]]</f>
        <v>-22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0.56916575459132523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-20.675626781764816</v>
      </c>
      <c r="AB12" s="4">
        <f>Games[[#This Row],[PreGmRate]]+Games[[#This Row],[RatingChange]]</f>
        <v>1504.9380065363891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45794</v>
      </c>
      <c r="B13" s="2">
        <v>2025</v>
      </c>
      <c r="C13" s="2">
        <f>COUNTIFS(Games[Team],Games[[#This Row],[Team]],Games[Season],Games[[#This Row],[Season]],Games[Date],"&lt;=" &amp; Games[[#This Row],[Date]])</f>
        <v>1</v>
      </c>
      <c r="D13" s="2" t="s">
        <v>79</v>
      </c>
      <c r="E13" s="2" t="s">
        <v>80</v>
      </c>
      <c r="F13" s="1" t="s">
        <v>40</v>
      </c>
      <c r="G13" s="1" t="s">
        <v>71</v>
      </c>
      <c r="H13" s="1" t="s">
        <v>82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1456.2691589603164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1525.6136333181539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0.52107849647786819</v>
      </c>
      <c r="R13" s="1">
        <v>81</v>
      </c>
      <c r="S13" s="1">
        <v>59</v>
      </c>
      <c r="T13" s="1">
        <v>0</v>
      </c>
      <c r="U13" s="1">
        <f>Games[[#This Row],[PointsFor]]-Games[[#This Row],[PointsAgainst]]</f>
        <v>22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0.56916575459132523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20.675626781764823</v>
      </c>
      <c r="AB13" s="4">
        <f>Games[[#This Row],[PreGmRate]]+Games[[#This Row],[RatingChange]]</f>
        <v>1476.9447857420812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45795</v>
      </c>
      <c r="B14" s="2">
        <v>2025</v>
      </c>
      <c r="C14" s="2">
        <f>COUNTIFS(Games[Team],Games[[#This Row],[Team]],Games[Season],Games[[#This Row],[Season]],Games[Date],"&lt;=" &amp; Games[[#This Row],[Date]])</f>
        <v>2</v>
      </c>
      <c r="D14" s="2" t="s">
        <v>79</v>
      </c>
      <c r="E14" s="2" t="s">
        <v>80</v>
      </c>
      <c r="F14" s="1" t="s">
        <v>65</v>
      </c>
      <c r="G14" s="1" t="s">
        <v>74</v>
      </c>
      <c r="H14" s="1" t="s">
        <v>81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" s="2">
        <f>Games[[#This Row],[DaysOff]]-Games[[#This Row],[OppDaysOff]]</f>
        <v>-1</v>
      </c>
      <c r="L14" s="2">
        <f>Games[[#This Row],[OppDaysOff]]-Games[[#This Row],[DaysOff]]</f>
        <v>1</v>
      </c>
      <c r="M14" s="1">
        <f>MAX(-16, MIN(16, Games[[#This Row],[RestDiff]]*8))</f>
        <v>-8</v>
      </c>
      <c r="N14" s="1">
        <f>MAX(-16, MIN(16, Games[[#This Row],[OppRestDiff]]*8))</f>
        <v>8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1486.0019294405402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1559.6090866419941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0.26906665593367285</v>
      </c>
      <c r="R14" s="1">
        <v>90</v>
      </c>
      <c r="S14" s="1">
        <v>85</v>
      </c>
      <c r="T14" s="1">
        <v>0</v>
      </c>
      <c r="U14" s="1">
        <f>Games[[#This Row],[PointsFor]]-Games[[#This Row],[PointsAgainst]]</f>
        <v>5</v>
      </c>
      <c r="V14" s="1">
        <f>IF(Games[[#This Row],[MOV]]&gt;0,1,IF(Games[[#This Row],[MOV]]=0,0.5,0))</f>
        <v>1</v>
      </c>
      <c r="W14" s="4">
        <f>((ABS(Games[[#This Row],[MOV]])+5)^0.6)/(12+0.01*(ABS(Games[[#This Row],[PreGmRate]]-Games[[#This Row],[OppPreGmRate]])))*IF(Games[[#This Row],[OT]]=1,0.9,1)</f>
        <v>0.31258239112621938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17.295700757869707</v>
      </c>
      <c r="AB14" s="4">
        <f>Games[[#This Row],[PreGmRate]]+Games[[#This Row],[RatingChange]]</f>
        <v>1503.2976301984099</v>
      </c>
      <c r="AC14" s="2">
        <f>IF(Games[[#This Row],[Type]]="R",IF(Games[[#This Row],[Result]]&gt;0.5,1,0),0)</f>
        <v>1</v>
      </c>
      <c r="AD14" s="2">
        <f>IF(Games[[#This Row],[Type]]="R",IF(Games[[#This Row],[Result]]&lt;0.5,1,0),0)</f>
        <v>0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45795</v>
      </c>
      <c r="B15" s="2">
        <v>2025</v>
      </c>
      <c r="C15" s="2">
        <f>COUNTIFS(Games[Team],Games[[#This Row],[Team]],Games[Season],Games[[#This Row],[Season]],Games[Date],"&lt;=" &amp; Games[[#This Row],[Date]])</f>
        <v>1</v>
      </c>
      <c r="D15" s="2" t="s">
        <v>79</v>
      </c>
      <c r="E15" s="2" t="s">
        <v>80</v>
      </c>
      <c r="F15" s="1" t="s">
        <v>74</v>
      </c>
      <c r="G15" s="1" t="s">
        <v>65</v>
      </c>
      <c r="H15" s="1" t="s">
        <v>82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1</v>
      </c>
      <c r="L15" s="2">
        <f>Games[[#This Row],[OppDaysOff]]-Games[[#This Row],[DaysOff]]</f>
        <v>-1</v>
      </c>
      <c r="M15" s="1">
        <f>MAX(-16, MIN(16, Games[[#This Row],[RestDiff]]*8))</f>
        <v>8</v>
      </c>
      <c r="N15" s="1">
        <f>MAX(-16, MIN(16, Games[[#This Row],[OppRestDiff]]*8))</f>
        <v>-8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1559.6090866419941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1486.0019294405402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0.73093334406632715</v>
      </c>
      <c r="R15" s="1">
        <v>85</v>
      </c>
      <c r="S15" s="1">
        <v>90</v>
      </c>
      <c r="T15" s="1">
        <v>0</v>
      </c>
      <c r="U15" s="1">
        <f>Games[[#This Row],[PointsFor]]-Games[[#This Row],[PointsAgainst]]</f>
        <v>-5</v>
      </c>
      <c r="V15" s="1">
        <f>IF(Games[[#This Row],[MOV]]&gt;0,1,IF(Games[[#This Row],[MOV]]=0,0.5,0))</f>
        <v>0</v>
      </c>
      <c r="W15" s="4">
        <f>((ABS(Games[[#This Row],[MOV]])+5)^0.6)/(12+0.01*(ABS(Games[[#This Row],[PreGmRate]]-Games[[#This Row],[OppPreGmRate]])))*IF(Games[[#This Row],[OT]]=1,0.9,1)</f>
        <v>0.31258239112621938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-17.329972291736027</v>
      </c>
      <c r="AB15" s="4">
        <f>Games[[#This Row],[PreGmRate]]+Games[[#This Row],[RatingChange]]</f>
        <v>1542.2791143502579</v>
      </c>
      <c r="AC15" s="2">
        <f>IF(Games[[#This Row],[Type]]="R",IF(Games[[#This Row],[Result]]&gt;0.5,1,0),0)</f>
        <v>0</v>
      </c>
      <c r="AD15" s="2">
        <f>IF(Games[[#This Row],[Type]]="R",IF(Games[[#This Row],[Result]]&lt;0.5,1,0),0)</f>
        <v>1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45795</v>
      </c>
      <c r="B16" s="2">
        <v>2025</v>
      </c>
      <c r="C16" s="2">
        <f>COUNTIFS(Games[Team],Games[[#This Row],[Team]],Games[Season],Games[[#This Row],[Season]],Games[Date],"&lt;=" &amp; Games[[#This Row],[Date]])</f>
        <v>2</v>
      </c>
      <c r="D16" s="2" t="s">
        <v>79</v>
      </c>
      <c r="E16" s="2" t="s">
        <v>80</v>
      </c>
      <c r="F16" s="1" t="s">
        <v>67</v>
      </c>
      <c r="G16" s="1" t="s">
        <v>63</v>
      </c>
      <c r="H16" s="1" t="s">
        <v>81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1595.4918356945382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1431.0741522681656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0.61370698364178389</v>
      </c>
      <c r="R16" s="1">
        <v>89</v>
      </c>
      <c r="S16" s="1">
        <v>75</v>
      </c>
      <c r="T16" s="1">
        <v>0</v>
      </c>
      <c r="U16" s="1">
        <f>Games[[#This Row],[PointsFor]]-Games[[#This Row],[PointsAgainst]]</f>
        <v>14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0.42884941418490241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12.54057810630875</v>
      </c>
      <c r="AB16" s="4">
        <f>Games[[#This Row],[PreGmRate]]+Games[[#This Row],[RatingChange]]</f>
        <v>1608.0324138008468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45795</v>
      </c>
      <c r="B17" s="2">
        <v>2025</v>
      </c>
      <c r="C17" s="2">
        <f>COUNTIFS(Games[Team],Games[[#This Row],[Team]],Games[Season],Games[[#This Row],[Season]],Games[Date],"&lt;=" &amp; Games[[#This Row],[Date]])</f>
        <v>2</v>
      </c>
      <c r="D17" s="2" t="s">
        <v>79</v>
      </c>
      <c r="E17" s="2" t="s">
        <v>80</v>
      </c>
      <c r="F17" s="1" t="s">
        <v>63</v>
      </c>
      <c r="G17" s="1" t="s">
        <v>67</v>
      </c>
      <c r="H17" s="1" t="s">
        <v>82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1431.0741522681656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1595.4918356945382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0.38629301635821611</v>
      </c>
      <c r="R17" s="1">
        <v>75</v>
      </c>
      <c r="S17" s="1">
        <v>89</v>
      </c>
      <c r="T17" s="1">
        <v>0</v>
      </c>
      <c r="U17" s="1">
        <f>Games[[#This Row],[PointsFor]]-Games[[#This Row],[PointsAgainst]]</f>
        <v>-14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0.42884941418490241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-12.54057810630875</v>
      </c>
      <c r="AB17" s="4">
        <f>Games[[#This Row],[PreGmRate]]+Games[[#This Row],[RatingChange]]</f>
        <v>1418.5335741618569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45796</v>
      </c>
      <c r="B18" s="2">
        <v>2025</v>
      </c>
      <c r="C18" s="2">
        <f>COUNTIFS(Games[Team],Games[[#This Row],[Team]],Games[Season],Games[[#This Row],[Season]],Games[Date],"&lt;=" &amp; Games[[#This Row],[Date]])</f>
        <v>2</v>
      </c>
      <c r="D18" s="2" t="s">
        <v>79</v>
      </c>
      <c r="E18" s="2" t="s">
        <v>80</v>
      </c>
      <c r="F18" s="1" t="s">
        <v>71</v>
      </c>
      <c r="G18" s="1" t="s">
        <v>85</v>
      </c>
      <c r="H18" s="1" t="s">
        <v>81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" s="2">
        <f>Games[[#This Row],[DaysOff]]-Games[[#This Row],[OppDaysOff]]</f>
        <v>-1</v>
      </c>
      <c r="L18" s="2">
        <f>Games[[#This Row],[OppDaysOff]]-Games[[#This Row],[DaysOff]]</f>
        <v>1</v>
      </c>
      <c r="M18" s="1">
        <f>MAX(-16, MIN(16, Games[[#This Row],[RestDiff]]*8))</f>
        <v>-8</v>
      </c>
      <c r="N18" s="1">
        <f>MAX(-16, MIN(16, Games[[#This Row],[OppRestDiff]]*8))</f>
        <v>8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1504.9380065363891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1403.6693869130677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0.50182568228215851</v>
      </c>
      <c r="R18" s="1">
        <v>79</v>
      </c>
      <c r="S18" s="1">
        <v>71</v>
      </c>
      <c r="T18" s="1">
        <v>0</v>
      </c>
      <c r="U18" s="1">
        <f>Games[[#This Row],[PointsFor]]-Games[[#This Row],[PointsAgainst]]</f>
        <v>8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0.35809565755800177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13.504430333043127</v>
      </c>
      <c r="AB18" s="4">
        <f>Games[[#This Row],[PreGmRate]]+Games[[#This Row],[RatingChange]]</f>
        <v>1518.4424368694322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45796</v>
      </c>
      <c r="B19" s="2">
        <v>2025</v>
      </c>
      <c r="C19" s="2">
        <f>COUNTIFS(Games[Team],Games[[#This Row],[Team]],Games[Season],Games[[#This Row],[Season]],Games[Date],"&lt;=" &amp; Games[[#This Row],[Date]])</f>
        <v>2</v>
      </c>
      <c r="D19" s="2" t="s">
        <v>79</v>
      </c>
      <c r="E19" s="2" t="s">
        <v>80</v>
      </c>
      <c r="F19" s="1" t="s">
        <v>85</v>
      </c>
      <c r="G19" s="1" t="s">
        <v>71</v>
      </c>
      <c r="H19" s="1" t="s">
        <v>82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" s="2">
        <f>Games[[#This Row],[DaysOff]]-Games[[#This Row],[OppDaysOff]]</f>
        <v>1</v>
      </c>
      <c r="L19" s="2">
        <f>Games[[#This Row],[OppDaysOff]]-Games[[#This Row],[DaysOff]]</f>
        <v>-1</v>
      </c>
      <c r="M19" s="1">
        <f>MAX(-16, MIN(16, Games[[#This Row],[RestDiff]]*8))</f>
        <v>8</v>
      </c>
      <c r="N19" s="1">
        <f>MAX(-16, MIN(16, Games[[#This Row],[OppRestDiff]]*8))</f>
        <v>-8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1403.6693869130677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1504.9380065363891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0.49817431771784143</v>
      </c>
      <c r="R19" s="1">
        <v>71</v>
      </c>
      <c r="S19" s="1">
        <v>79</v>
      </c>
      <c r="T19" s="1">
        <v>0</v>
      </c>
      <c r="U19" s="1">
        <f>Games[[#This Row],[PointsFor]]-Games[[#This Row],[PointsAgainst]]</f>
        <v>-8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0.35809565755800177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-13.504430333043125</v>
      </c>
      <c r="AB19" s="4">
        <f>Games[[#This Row],[PreGmRate]]+Games[[#This Row],[RatingChange]]</f>
        <v>1390.1649565800246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45797</v>
      </c>
      <c r="B20" s="2">
        <v>2025</v>
      </c>
      <c r="C20" s="2">
        <f>COUNTIFS(Games[Team],Games[[#This Row],[Team]],Games[Season],Games[[#This Row],[Season]],Games[Date],"&lt;=" &amp; Games[[#This Row],[Date]])</f>
        <v>2</v>
      </c>
      <c r="D20" s="2" t="s">
        <v>79</v>
      </c>
      <c r="E20" s="2" t="s">
        <v>80</v>
      </c>
      <c r="F20" s="1" t="s">
        <v>86</v>
      </c>
      <c r="G20" s="1" t="s">
        <v>74</v>
      </c>
      <c r="H20" s="1" t="s">
        <v>81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" s="2">
        <f>Games[[#This Row],[DaysOff]]-Games[[#This Row],[OppDaysOff]]</f>
        <v>1</v>
      </c>
      <c r="L20" s="2">
        <f>Games[[#This Row],[OppDaysOff]]-Games[[#This Row],[DaysOff]]</f>
        <v>-1</v>
      </c>
      <c r="M20" s="1">
        <f>MAX(-16, MIN(16, Games[[#This Row],[RestDiff]]*8))</f>
        <v>8</v>
      </c>
      <c r="N20" s="1">
        <f>MAX(-16, MIN(16, Games[[#This Row],[OppRestDiff]]*8))</f>
        <v>-8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1568.8463863126633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1542.2791143502579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0.44065456745480269</v>
      </c>
      <c r="R20" s="1">
        <v>87</v>
      </c>
      <c r="S20" s="1">
        <v>62</v>
      </c>
      <c r="T20" s="1">
        <v>0</v>
      </c>
      <c r="U20" s="1">
        <f>Games[[#This Row],[PointsFor]]-Games[[#This Row],[PointsAgainst]]</f>
        <v>25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0.62745326054663941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26.56790783747223</v>
      </c>
      <c r="AB20" s="4">
        <f>Games[[#This Row],[PreGmRate]]+Games[[#This Row],[RatingChange]]</f>
        <v>1595.4142941501354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45797</v>
      </c>
      <c r="B21" s="2">
        <v>2025</v>
      </c>
      <c r="C21" s="2">
        <f>COUNTIFS(Games[Team],Games[[#This Row],[Team]],Games[Season],Games[[#This Row],[Season]],Games[Date],"&lt;=" &amp; Games[[#This Row],[Date]])</f>
        <v>2</v>
      </c>
      <c r="D21" s="2" t="s">
        <v>79</v>
      </c>
      <c r="E21" s="2" t="s">
        <v>80</v>
      </c>
      <c r="F21" s="1" t="s">
        <v>74</v>
      </c>
      <c r="G21" s="1" t="s">
        <v>86</v>
      </c>
      <c r="H21" s="1" t="s">
        <v>82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" s="2">
        <f>Games[[#This Row],[DaysOff]]-Games[[#This Row],[OppDaysOff]]</f>
        <v>-1</v>
      </c>
      <c r="L21" s="2">
        <f>Games[[#This Row],[OppDaysOff]]-Games[[#This Row],[DaysOff]]</f>
        <v>1</v>
      </c>
      <c r="M21" s="1">
        <f>MAX(-16, MIN(16, Games[[#This Row],[RestDiff]]*8))</f>
        <v>-8</v>
      </c>
      <c r="N21" s="1">
        <f>MAX(-16, MIN(16, Games[[#This Row],[OppRestDiff]]*8))</f>
        <v>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1542.2791143502579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1568.8463863126633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0.55934543254519731</v>
      </c>
      <c r="R21" s="1">
        <v>62</v>
      </c>
      <c r="S21" s="1">
        <v>87</v>
      </c>
      <c r="T21" s="1">
        <v>0</v>
      </c>
      <c r="U21" s="1">
        <f>Games[[#This Row],[PointsFor]]-Games[[#This Row],[PointsAgainst]]</f>
        <v>-25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0.62745326054663941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-26.56790783747223</v>
      </c>
      <c r="AB21" s="4">
        <f>Games[[#This Row],[PreGmRate]]+Games[[#This Row],[RatingChange]]</f>
        <v>1515.7112065127858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45797</v>
      </c>
      <c r="B22" s="2">
        <v>2025</v>
      </c>
      <c r="C22" s="2">
        <f>COUNTIFS(Games[Team],Games[[#This Row],[Team]],Games[Season],Games[[#This Row],[Season]],Games[Date],"&lt;=" &amp; Games[[#This Row],[Date]])</f>
        <v>2</v>
      </c>
      <c r="D22" s="2" t="s">
        <v>79</v>
      </c>
      <c r="E22" s="2" t="s">
        <v>80</v>
      </c>
      <c r="F22" s="1" t="s">
        <v>77</v>
      </c>
      <c r="G22" s="1" t="s">
        <v>69</v>
      </c>
      <c r="H22" s="1" t="s">
        <v>81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" s="2">
        <f>Games[[#This Row],[DaysOff]]-Games[[#This Row],[OppDaysOff]]</f>
        <v>1</v>
      </c>
      <c r="L22" s="2">
        <f>Games[[#This Row],[OppDaysOff]]-Games[[#This Row],[DaysOff]]</f>
        <v>-1</v>
      </c>
      <c r="M22" s="1">
        <f>MAX(-16, MIN(16, Games[[#This Row],[RestDiff]]*8))</f>
        <v>8</v>
      </c>
      <c r="N22" s="1">
        <f>MAX(-16, MIN(16, Games[[#This Row],[OppRestDiff]]*8))</f>
        <v>-8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1454.2445924086333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1505.4365427763844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0.3348958581668508</v>
      </c>
      <c r="R22" s="1">
        <v>91</v>
      </c>
      <c r="S22" s="1">
        <v>90</v>
      </c>
      <c r="T22" s="1">
        <v>0</v>
      </c>
      <c r="U22" s="1">
        <f>Games[[#This Row],[PointsFor]]-Games[[#This Row],[PointsAgainst]]</f>
        <v>1</v>
      </c>
      <c r="V22" s="1">
        <f>IF(Games[[#This Row],[MOV]]&gt;0,1,IF(Games[[#This Row],[MOV]]=0,0.5,0))</f>
        <v>1</v>
      </c>
      <c r="W22" s="4">
        <f>((ABS(Games[[#This Row],[MOV]])+5)^0.6)/(12+0.01*(ABS(Games[[#This Row],[PreGmRate]]-Games[[#This Row],[OppPreGmRate]])))*IF(Games[[#This Row],[OT]]=1,0.9,1)</f>
        <v>0.23418917063223496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11.791046183149696</v>
      </c>
      <c r="AB22" s="4">
        <f>Games[[#This Row],[PreGmRate]]+Games[[#This Row],[RatingChange]]</f>
        <v>1466.035638591783</v>
      </c>
      <c r="AC22" s="2">
        <f>IF(Games[[#This Row],[Type]]="R",IF(Games[[#This Row],[Result]]&gt;0.5,1,0),0)</f>
        <v>1</v>
      </c>
      <c r="AD22" s="2">
        <f>IF(Games[[#This Row],[Type]]="R",IF(Games[[#This Row],[Result]]&lt;0.5,1,0),0)</f>
        <v>0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45797</v>
      </c>
      <c r="B23" s="2">
        <v>2025</v>
      </c>
      <c r="C23" s="2">
        <f>COUNTIFS(Games[Team],Games[[#This Row],[Team]],Games[Season],Games[[#This Row],[Season]],Games[Date],"&lt;=" &amp; Games[[#This Row],[Date]])</f>
        <v>2</v>
      </c>
      <c r="D23" s="2" t="s">
        <v>79</v>
      </c>
      <c r="E23" s="2" t="s">
        <v>80</v>
      </c>
      <c r="F23" s="1" t="s">
        <v>69</v>
      </c>
      <c r="G23" s="1" t="s">
        <v>77</v>
      </c>
      <c r="H23" s="1" t="s">
        <v>82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" s="2">
        <f>Games[[#This Row],[DaysOff]]-Games[[#This Row],[OppDaysOff]]</f>
        <v>-1</v>
      </c>
      <c r="L23" s="2">
        <f>Games[[#This Row],[OppDaysOff]]-Games[[#This Row],[DaysOff]]</f>
        <v>1</v>
      </c>
      <c r="M23" s="1">
        <f>MAX(-16, MIN(16, Games[[#This Row],[RestDiff]]*8))</f>
        <v>-8</v>
      </c>
      <c r="N23" s="1">
        <f>MAX(-16, MIN(16, Games[[#This Row],[OppRestDiff]]*8))</f>
        <v>8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1505.4365427763844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1454.2445924086333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0.66510414183314914</v>
      </c>
      <c r="R23" s="1">
        <v>90</v>
      </c>
      <c r="S23" s="1">
        <v>91</v>
      </c>
      <c r="T23" s="1">
        <v>0</v>
      </c>
      <c r="U23" s="1">
        <f>Games[[#This Row],[PointsFor]]-Games[[#This Row],[PointsAgainst]]</f>
        <v>-1</v>
      </c>
      <c r="V23" s="1">
        <f>IF(Games[[#This Row],[MOV]]&gt;0,1,IF(Games[[#This Row],[MOV]]=0,0.5,0))</f>
        <v>0</v>
      </c>
      <c r="W23" s="4">
        <f>((ABS(Games[[#This Row],[MOV]])+5)^0.6)/(12+0.01*(ABS(Games[[#This Row],[PreGmRate]]-Games[[#This Row],[OppPreGmRate]])))*IF(Games[[#This Row],[OT]]=1,0.9,1)</f>
        <v>0.23418917063223496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-11.791046183149696</v>
      </c>
      <c r="AB23" s="4">
        <f>Games[[#This Row],[PreGmRate]]+Games[[#This Row],[RatingChange]]</f>
        <v>1493.6454965932346</v>
      </c>
      <c r="AC23" s="2">
        <f>IF(Games[[#This Row],[Type]]="R",IF(Games[[#This Row],[Result]]&gt;0.5,1,0),0)</f>
        <v>0</v>
      </c>
      <c r="AD23" s="2">
        <f>IF(Games[[#This Row],[Type]]="R",IF(Games[[#This Row],[Result]]&lt;0.5,1,0),0)</f>
        <v>1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45798</v>
      </c>
      <c r="B24" s="2">
        <v>2025</v>
      </c>
      <c r="C24" s="2">
        <f>COUNTIFS(Games[Team],Games[[#This Row],[Team]],Games[Season],Games[[#This Row],[Season]],Games[Date],"&lt;=" &amp; Games[[#This Row],[Date]])</f>
        <v>3</v>
      </c>
      <c r="D24" s="2" t="s">
        <v>79</v>
      </c>
      <c r="E24" s="2" t="s">
        <v>80</v>
      </c>
      <c r="F24" s="1" t="s">
        <v>65</v>
      </c>
      <c r="G24" s="1" t="s">
        <v>88</v>
      </c>
      <c r="H24" s="1" t="s">
        <v>81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" s="2">
        <f>Games[[#This Row],[DaysOff]]-Games[[#This Row],[OppDaysOff]]</f>
        <v>-2</v>
      </c>
      <c r="L24" s="2">
        <f>Games[[#This Row],[OppDaysOff]]-Games[[#This Row],[DaysOff]]</f>
        <v>2</v>
      </c>
      <c r="M24" s="1">
        <f>MAX(-16, MIN(16, Games[[#This Row],[RestDiff]]*8))</f>
        <v>-16</v>
      </c>
      <c r="N24" s="1">
        <f>MAX(-16, MIN(16, Games[[#This Row],[OppRestDiff]]*8))</f>
        <v>16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1503.2976301984099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1472.3881043828505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0.37993593815964066</v>
      </c>
      <c r="R24" s="1">
        <v>74</v>
      </c>
      <c r="S24" s="1">
        <v>76</v>
      </c>
      <c r="T24" s="1">
        <v>0</v>
      </c>
      <c r="U24" s="1">
        <f>Games[[#This Row],[PointsFor]]-Games[[#This Row],[PointsAgainst]]</f>
        <v>-2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0.26111552330269655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" s="9">
        <f>MAX(kmin, kmax - 0.15 * MIN(Games[[#This Row],[GamesPlayed]], 82))</f>
        <v>75.55</v>
      </c>
      <c r="Z24" s="4">
        <f>Games[[#This Row],[K]]*Games[[#This Row],[POMult]]</f>
        <v>75.55</v>
      </c>
      <c r="AA24" s="4">
        <f>(Games[[#This Row],[Keff]]*Games[[#This Row],[MOVMult]])*(Games[[#This Row],[Result]]-Games[[#This Row],[ExpectedWin%]])</f>
        <v>-7.4951017927768948</v>
      </c>
      <c r="AB24" s="4">
        <f>Games[[#This Row],[PreGmRate]]+Games[[#This Row],[RatingChange]]</f>
        <v>1495.802528405633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45798</v>
      </c>
      <c r="B25" s="2">
        <v>2025</v>
      </c>
      <c r="C25" s="2">
        <f>COUNTIFS(Games[Team],Games[[#This Row],[Team]],Games[Season],Games[[#This Row],[Season]],Games[Date],"&lt;=" &amp; Games[[#This Row],[Date]])</f>
        <v>2</v>
      </c>
      <c r="D25" s="2" t="s">
        <v>79</v>
      </c>
      <c r="E25" s="2" t="s">
        <v>80</v>
      </c>
      <c r="F25" s="1" t="s">
        <v>88</v>
      </c>
      <c r="G25" s="1" t="s">
        <v>65</v>
      </c>
      <c r="H25" s="1" t="s">
        <v>82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" s="2">
        <f>Games[[#This Row],[DaysOff]]-Games[[#This Row],[OppDaysOff]]</f>
        <v>2</v>
      </c>
      <c r="L25" s="2">
        <f>Games[[#This Row],[OppDaysOff]]-Games[[#This Row],[DaysOff]]</f>
        <v>-2</v>
      </c>
      <c r="M25" s="1">
        <f>MAX(-16, MIN(16, Games[[#This Row],[RestDiff]]*8))</f>
        <v>16</v>
      </c>
      <c r="N25" s="1">
        <f>MAX(-16, MIN(16, Games[[#This Row],[OppRestDiff]]*8))</f>
        <v>-16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1472.3881043828505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1503.2976301984099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0.62006406184035934</v>
      </c>
      <c r="R25" s="1">
        <v>76</v>
      </c>
      <c r="S25" s="1">
        <v>74</v>
      </c>
      <c r="T25" s="1">
        <v>0</v>
      </c>
      <c r="U25" s="1">
        <f>Games[[#This Row],[PointsFor]]-Games[[#This Row],[PointsAgainst]]</f>
        <v>2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0.26111552330269655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7.5099828684740038</v>
      </c>
      <c r="AB25" s="4">
        <f>Games[[#This Row],[PreGmRate]]+Games[[#This Row],[RatingChange]]</f>
        <v>1479.8980872513246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45798</v>
      </c>
      <c r="B26" s="2">
        <v>2025</v>
      </c>
      <c r="C26" s="2">
        <f>COUNTIFS(Games[Team],Games[[#This Row],[Team]],Games[Season],Games[[#This Row],[Season]],Games[Date],"&lt;=" &amp; Games[[#This Row],[Date]])</f>
        <v>3</v>
      </c>
      <c r="D26" s="2" t="s">
        <v>79</v>
      </c>
      <c r="E26" s="2" t="s">
        <v>80</v>
      </c>
      <c r="F26" s="1" t="s">
        <v>85</v>
      </c>
      <c r="G26" s="1" t="s">
        <v>67</v>
      </c>
      <c r="H26" s="1" t="s">
        <v>81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" s="2">
        <f>Games[[#This Row],[DaysOff]]-Games[[#This Row],[OppDaysOff]]</f>
        <v>-1</v>
      </c>
      <c r="L26" s="2">
        <f>Games[[#This Row],[OppDaysOff]]-Games[[#This Row],[DaysOff]]</f>
        <v>1</v>
      </c>
      <c r="M26" s="1">
        <f>MAX(-16, MIN(16, Games[[#This Row],[RestDiff]]*8))</f>
        <v>-8</v>
      </c>
      <c r="N26" s="1">
        <f>MAX(-16, MIN(16, Games[[#This Row],[OppRestDiff]]*8))</f>
        <v>8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1390.1649565800246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1608.0324138008468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0.13826303333818213</v>
      </c>
      <c r="R26" s="1">
        <v>81</v>
      </c>
      <c r="S26" s="1">
        <v>85</v>
      </c>
      <c r="T26" s="1">
        <v>0</v>
      </c>
      <c r="U26" s="1">
        <f>Games[[#This Row],[PointsFor]]-Games[[#This Row],[PointsAgainst]]</f>
        <v>-4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0.26357843251243424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-2.7532802546078674</v>
      </c>
      <c r="AB26" s="4">
        <f>Games[[#This Row],[PreGmRate]]+Games[[#This Row],[RatingChange]]</f>
        <v>1387.4116763254167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45798</v>
      </c>
      <c r="B27" s="2">
        <v>2025</v>
      </c>
      <c r="C27" s="2">
        <f>COUNTIFS(Games[Team],Games[[#This Row],[Team]],Games[Season],Games[[#This Row],[Season]],Games[Date],"&lt;=" &amp; Games[[#This Row],[Date]])</f>
        <v>3</v>
      </c>
      <c r="D27" s="2" t="s">
        <v>79</v>
      </c>
      <c r="E27" s="2" t="s">
        <v>80</v>
      </c>
      <c r="F27" s="1" t="s">
        <v>67</v>
      </c>
      <c r="G27" s="1" t="s">
        <v>85</v>
      </c>
      <c r="H27" s="1" t="s">
        <v>82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1</v>
      </c>
      <c r="L27" s="2">
        <f>Games[[#This Row],[OppDaysOff]]-Games[[#This Row],[DaysOff]]</f>
        <v>-1</v>
      </c>
      <c r="M27" s="1">
        <f>MAX(-16, MIN(16, Games[[#This Row],[RestDiff]]*8))</f>
        <v>8</v>
      </c>
      <c r="N27" s="1">
        <f>MAX(-16, MIN(16, Games[[#This Row],[OppRestDiff]]*8))</f>
        <v>-8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1608.0324138008468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1390.1649565800246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0.86173696666181798</v>
      </c>
      <c r="R27" s="1">
        <v>85</v>
      </c>
      <c r="S27" s="1">
        <v>81</v>
      </c>
      <c r="T27" s="1">
        <v>0</v>
      </c>
      <c r="U27" s="1">
        <f>Games[[#This Row],[PointsFor]]-Games[[#This Row],[PointsAgainst]]</f>
        <v>4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0.26357843251243424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2.7532802546078652</v>
      </c>
      <c r="AB27" s="4">
        <f>Games[[#This Row],[PreGmRate]]+Games[[#This Row],[RatingChange]]</f>
        <v>1610.7856940554548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45798</v>
      </c>
      <c r="B28" s="2">
        <v>2025</v>
      </c>
      <c r="C28" s="2">
        <f>COUNTIFS(Games[Team],Games[[#This Row],[Team]],Games[Season],Games[[#This Row],[Season]],Games[Date],"&lt;=" &amp; Games[[#This Row],[Date]])</f>
        <v>3</v>
      </c>
      <c r="D28" s="2" t="s">
        <v>79</v>
      </c>
      <c r="E28" s="2" t="s">
        <v>80</v>
      </c>
      <c r="F28" s="1" t="s">
        <v>63</v>
      </c>
      <c r="G28" s="1" t="s">
        <v>40</v>
      </c>
      <c r="H28" s="1" t="s">
        <v>81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" s="2">
        <f>Games[[#This Row],[DaysOff]]-Games[[#This Row],[OppDaysOff]]</f>
        <v>-1</v>
      </c>
      <c r="L28" s="2">
        <f>Games[[#This Row],[OppDaysOff]]-Games[[#This Row],[DaysOff]]</f>
        <v>1</v>
      </c>
      <c r="M28" s="1">
        <f>MAX(-16, MIN(16, Games[[#This Row],[RestDiff]]*8))</f>
        <v>-8</v>
      </c>
      <c r="N28" s="1">
        <f>MAX(-16, MIN(16, Games[[#This Row],[OppRestDiff]]*8))</f>
        <v>8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1418.5335741618569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1476.9447857420812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0.28661360124122243</v>
      </c>
      <c r="R28" s="1">
        <v>86</v>
      </c>
      <c r="S28" s="1">
        <v>89</v>
      </c>
      <c r="T28" s="1">
        <v>0</v>
      </c>
      <c r="U28" s="1">
        <f>Games[[#This Row],[PointsFor]]-Games[[#This Row],[PointsAgainst]]</f>
        <v>-3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0.27671417904897649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-5.9918740789346225</v>
      </c>
      <c r="AB28" s="4">
        <f>Games[[#This Row],[PreGmRate]]+Games[[#This Row],[RatingChange]]</f>
        <v>1412.5417000829223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45798</v>
      </c>
      <c r="B29" s="2">
        <v>2025</v>
      </c>
      <c r="C29" s="2">
        <f>COUNTIFS(Games[Team],Games[[#This Row],[Team]],Games[Season],Games[[#This Row],[Season]],Games[Date],"&lt;=" &amp; Games[[#This Row],[Date]])</f>
        <v>2</v>
      </c>
      <c r="D29" s="2" t="s">
        <v>79</v>
      </c>
      <c r="E29" s="2" t="s">
        <v>80</v>
      </c>
      <c r="F29" s="1" t="s">
        <v>40</v>
      </c>
      <c r="G29" s="1" t="s">
        <v>63</v>
      </c>
      <c r="H29" s="1" t="s">
        <v>82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" s="2">
        <f>Games[[#This Row],[DaysOff]]-Games[[#This Row],[OppDaysOff]]</f>
        <v>1</v>
      </c>
      <c r="L29" s="2">
        <f>Games[[#This Row],[OppDaysOff]]-Games[[#This Row],[DaysOff]]</f>
        <v>-1</v>
      </c>
      <c r="M29" s="1">
        <f>MAX(-16, MIN(16, Games[[#This Row],[RestDiff]]*8))</f>
        <v>8</v>
      </c>
      <c r="N29" s="1">
        <f>MAX(-16, MIN(16, Games[[#This Row],[OppRestDiff]]*8))</f>
        <v>-8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1476.9447857420812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1418.5335741618569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0.71338639875877763</v>
      </c>
      <c r="R29" s="1">
        <v>89</v>
      </c>
      <c r="S29" s="1">
        <v>86</v>
      </c>
      <c r="T29" s="1">
        <v>0</v>
      </c>
      <c r="U29" s="1">
        <f>Games[[#This Row],[PointsFor]]-Games[[#This Row],[PointsAgainst]]</f>
        <v>3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0.27671417904897649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" s="9">
        <f>MAX(kmin, kmax - 0.15 * MIN(Games[[#This Row],[GamesPlayed]], 82))</f>
        <v>75.7</v>
      </c>
      <c r="Z29" s="4">
        <f>Games[[#This Row],[K]]*Games[[#This Row],[POMult]]</f>
        <v>75.7</v>
      </c>
      <c r="AA29" s="4">
        <f>(Games[[#This Row],[Keff]]*Games[[#This Row],[MOVMult]])*(Games[[#This Row],[Result]]-Games[[#This Row],[ExpectedWin%]])</f>
        <v>6.0037705860403818</v>
      </c>
      <c r="AB29" s="4">
        <f>Games[[#This Row],[PreGmRate]]+Games[[#This Row],[RatingChange]]</f>
        <v>1482.9485563281216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45799</v>
      </c>
      <c r="B30" s="2">
        <v>2025</v>
      </c>
      <c r="C30" s="2">
        <f>COUNTIFS(Games[Team],Games[[#This Row],[Team]],Games[Season],Games[[#This Row],[Season]],Games[Date],"&lt;=" &amp; Games[[#This Row],[Date]])</f>
        <v>3</v>
      </c>
      <c r="D30" s="2" t="s">
        <v>79</v>
      </c>
      <c r="E30" s="2" t="s">
        <v>80</v>
      </c>
      <c r="F30" s="1" t="s">
        <v>69</v>
      </c>
      <c r="G30" s="1" t="s">
        <v>77</v>
      </c>
      <c r="H30" s="1" t="s">
        <v>81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1493.6454965932346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1466.035638591783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0.41955321592771355</v>
      </c>
      <c r="R30" s="1">
        <v>81</v>
      </c>
      <c r="S30" s="1">
        <v>76</v>
      </c>
      <c r="T30" s="1">
        <v>0</v>
      </c>
      <c r="U30" s="1">
        <f>Games[[#This Row],[PointsFor]]-Games[[#This Row],[PointsAgainst]]</f>
        <v>5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0.32429453702955402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14.221208729937231</v>
      </c>
      <c r="AB30" s="4">
        <f>Games[[#This Row],[PreGmRate]]+Games[[#This Row],[RatingChange]]</f>
        <v>1507.8667053231718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45799</v>
      </c>
      <c r="B31" s="2">
        <v>2025</v>
      </c>
      <c r="C31" s="2">
        <f>COUNTIFS(Games[Team],Games[[#This Row],[Team]],Games[Season],Games[[#This Row],[Season]],Games[Date],"&lt;=" &amp; Games[[#This Row],[Date]])</f>
        <v>3</v>
      </c>
      <c r="D31" s="2" t="s">
        <v>79</v>
      </c>
      <c r="E31" s="2" t="s">
        <v>80</v>
      </c>
      <c r="F31" s="1" t="s">
        <v>77</v>
      </c>
      <c r="G31" s="1" t="s">
        <v>69</v>
      </c>
      <c r="H31" s="1" t="s">
        <v>82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1466.035638591783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1493.6454965932346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0.58044678407228645</v>
      </c>
      <c r="R31" s="1">
        <v>76</v>
      </c>
      <c r="S31" s="1">
        <v>81</v>
      </c>
      <c r="T31" s="1">
        <v>0</v>
      </c>
      <c r="U31" s="1">
        <f>Games[[#This Row],[PointsFor]]-Games[[#This Row],[PointsAgainst]]</f>
        <v>-5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0.32429453702955402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-14.221208729937231</v>
      </c>
      <c r="AB31" s="4">
        <f>Games[[#This Row],[PreGmRate]]+Games[[#This Row],[RatingChange]]</f>
        <v>1451.8144298618458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45799</v>
      </c>
      <c r="B32" s="2">
        <v>2025</v>
      </c>
      <c r="C32" s="2">
        <f>COUNTIFS(Games[Team],Games[[#This Row],[Team]],Games[Season],Games[[#This Row],[Season]],Games[Date],"&lt;=" &amp; Games[[#This Row],[Date]])</f>
        <v>2</v>
      </c>
      <c r="D32" s="2" t="s">
        <v>79</v>
      </c>
      <c r="E32" s="2" t="s">
        <v>80</v>
      </c>
      <c r="F32" s="1" t="s">
        <v>60</v>
      </c>
      <c r="G32" s="1" t="s">
        <v>75</v>
      </c>
      <c r="H32" s="1" t="s">
        <v>81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" s="2">
        <f>Games[[#This Row],[DaysOff]]-Games[[#This Row],[OppDaysOff]]</f>
        <v>0</v>
      </c>
      <c r="L32" s="2">
        <f>Games[[#This Row],[OppDaysOff]]-Games[[#This Row],[DaysOff]]</f>
        <v>0</v>
      </c>
      <c r="M32" s="1">
        <f>MAX(-16, MIN(16, Games[[#This Row],[RestDiff]]*8))</f>
        <v>0</v>
      </c>
      <c r="N32" s="1">
        <f>MAX(-16, MIN(16, Games[[#This Row],[OppRestDiff]]*8))</f>
        <v>0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1632.1603443317383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1408.7409734360947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0.69052233906755001</v>
      </c>
      <c r="R32" s="1">
        <v>99</v>
      </c>
      <c r="S32" s="1">
        <v>74</v>
      </c>
      <c r="T32" s="1">
        <v>0</v>
      </c>
      <c r="U32" s="1">
        <f>Games[[#This Row],[PointsFor]]-Games[[#This Row],[PointsAgainst]]</f>
        <v>25</v>
      </c>
      <c r="V32" s="1">
        <f>IF(Games[[#This Row],[MOV]]&gt;0,1,IF(Games[[#This Row],[MOV]]=0,0.5,0))</f>
        <v>1</v>
      </c>
      <c r="W32" s="4">
        <f>((ABS(Games[[#This Row],[MOV]])+5)^0.6)/(12+0.01*(ABS(Games[[#This Row],[PreGmRate]]-Games[[#This Row],[OppPreGmRate]])))*IF(Games[[#This Row],[OT]]=1,0.9,1)</f>
        <v>0.54067947212798695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" s="9">
        <f>MAX(kmin, kmax - 0.15 * MIN(Games[[#This Row],[GamesPlayed]], 82))</f>
        <v>75.7</v>
      </c>
      <c r="Z32" s="4">
        <f>Games[[#This Row],[K]]*Games[[#This Row],[POMult]]</f>
        <v>75.7</v>
      </c>
      <c r="AA32" s="4">
        <f>(Games[[#This Row],[Keff]]*Games[[#This Row],[MOVMult]])*(Games[[#This Row],[Result]]-Games[[#This Row],[ExpectedWin%]])</f>
        <v>12.666746128970942</v>
      </c>
      <c r="AB32" s="4">
        <f>Games[[#This Row],[PreGmRate]]+Games[[#This Row],[RatingChange]]</f>
        <v>1644.8270904607093</v>
      </c>
      <c r="AC32" s="2">
        <f>IF(Games[[#This Row],[Type]]="R",IF(Games[[#This Row],[Result]]&gt;0.5,1,0),0)</f>
        <v>1</v>
      </c>
      <c r="AD32" s="2">
        <f>IF(Games[[#This Row],[Type]]="R",IF(Games[[#This Row],[Result]]&lt;0.5,1,0),0)</f>
        <v>0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45799</v>
      </c>
      <c r="B33" s="2">
        <v>2025</v>
      </c>
      <c r="C33" s="2">
        <f>COUNTIFS(Games[Team],Games[[#This Row],[Team]],Games[Season],Games[[#This Row],[Season]],Games[Date],"&lt;=" &amp; Games[[#This Row],[Date]])</f>
        <v>2</v>
      </c>
      <c r="D33" s="2" t="s">
        <v>79</v>
      </c>
      <c r="E33" s="2" t="s">
        <v>80</v>
      </c>
      <c r="F33" s="1" t="s">
        <v>75</v>
      </c>
      <c r="G33" s="1" t="s">
        <v>60</v>
      </c>
      <c r="H33" s="1" t="s">
        <v>82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3" s="2">
        <f>Games[[#This Row],[DaysOff]]-Games[[#This Row],[OppDaysOff]]</f>
        <v>0</v>
      </c>
      <c r="L33" s="2">
        <f>Games[[#This Row],[OppDaysOff]]-Games[[#This Row],[DaysOff]]</f>
        <v>0</v>
      </c>
      <c r="M33" s="1">
        <f>MAX(-16, MIN(16, Games[[#This Row],[RestDiff]]*8))</f>
        <v>0</v>
      </c>
      <c r="N33" s="1">
        <f>MAX(-16, MIN(16, Games[[#This Row],[OppRestDiff]]*8))</f>
        <v>0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1408.7409734360947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1632.1603443317383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0.30947766093244999</v>
      </c>
      <c r="R33" s="1">
        <v>74</v>
      </c>
      <c r="S33" s="1">
        <v>99</v>
      </c>
      <c r="T33" s="1">
        <v>0</v>
      </c>
      <c r="U33" s="1">
        <f>Games[[#This Row],[PointsFor]]-Games[[#This Row],[PointsAgainst]]</f>
        <v>-25</v>
      </c>
      <c r="V33" s="1">
        <f>IF(Games[[#This Row],[MOV]]&gt;0,1,IF(Games[[#This Row],[MOV]]=0,0.5,0))</f>
        <v>0</v>
      </c>
      <c r="W33" s="4">
        <f>((ABS(Games[[#This Row],[MOV]])+5)^0.6)/(12+0.01*(ABS(Games[[#This Row],[PreGmRate]]-Games[[#This Row],[OppPreGmRate]])))*IF(Games[[#This Row],[OT]]=1,0.9,1)</f>
        <v>0.54067947212798695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" s="9">
        <f>MAX(kmin, kmax - 0.15 * MIN(Games[[#This Row],[GamesPlayed]], 82))</f>
        <v>75.7</v>
      </c>
      <c r="Z33" s="4">
        <f>Games[[#This Row],[K]]*Games[[#This Row],[POMult]]</f>
        <v>75.7</v>
      </c>
      <c r="AA33" s="4">
        <f>(Games[[#This Row],[Keff]]*Games[[#This Row],[MOVMult]])*(Games[[#This Row],[Result]]-Games[[#This Row],[ExpectedWin%]])</f>
        <v>-12.666746128970942</v>
      </c>
      <c r="AB33" s="4">
        <f>Games[[#This Row],[PreGmRate]]+Games[[#This Row],[RatingChange]]</f>
        <v>1396.0742273071237</v>
      </c>
      <c r="AC33" s="2">
        <f>IF(Games[[#This Row],[Type]]="R",IF(Games[[#This Row],[Result]]&gt;0.5,1,0),0)</f>
        <v>0</v>
      </c>
      <c r="AD33" s="2">
        <f>IF(Games[[#This Row],[Type]]="R",IF(Games[[#This Row],[Result]]&lt;0.5,1,0),0)</f>
        <v>1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45800</v>
      </c>
      <c r="B34" s="2">
        <v>2025</v>
      </c>
      <c r="C34" s="2">
        <f>COUNTIFS(Games[Team],Games[[#This Row],[Team]],Games[Season],Games[[#This Row],[Season]],Games[Date],"&lt;=" &amp; Games[[#This Row],[Date]])</f>
        <v>3</v>
      </c>
      <c r="D34" s="2" t="s">
        <v>79</v>
      </c>
      <c r="E34" s="2" t="s">
        <v>80</v>
      </c>
      <c r="F34" s="1" t="s">
        <v>88</v>
      </c>
      <c r="G34" s="1" t="s">
        <v>63</v>
      </c>
      <c r="H34" s="1" t="s">
        <v>81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1479.8980872513246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1412.5417000829223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0.47606622077019334</v>
      </c>
      <c r="R34" s="1">
        <v>82</v>
      </c>
      <c r="S34" s="1">
        <v>73</v>
      </c>
      <c r="T34" s="1">
        <v>0</v>
      </c>
      <c r="U34" s="1">
        <f>Games[[#This Row],[PointsFor]]-Games[[#This Row],[PointsAgainst]]</f>
        <v>9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0.38439529520590832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15.215594704008618</v>
      </c>
      <c r="AB34" s="4">
        <f>Games[[#This Row],[PreGmRate]]+Games[[#This Row],[RatingChange]]</f>
        <v>1495.1136819553333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45800</v>
      </c>
      <c r="B35" s="2">
        <v>2025</v>
      </c>
      <c r="C35" s="2">
        <f>COUNTIFS(Games[Team],Games[[#This Row],[Team]],Games[Season],Games[[#This Row],[Season]],Games[Date],"&lt;=" &amp; Games[[#This Row],[Date]])</f>
        <v>4</v>
      </c>
      <c r="D35" s="2" t="s">
        <v>79</v>
      </c>
      <c r="E35" s="2" t="s">
        <v>80</v>
      </c>
      <c r="F35" s="1" t="s">
        <v>63</v>
      </c>
      <c r="G35" s="1" t="s">
        <v>88</v>
      </c>
      <c r="H35" s="1" t="s">
        <v>82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1412.5417000829223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1479.8980872513246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0.52393377922980666</v>
      </c>
      <c r="R35" s="1">
        <v>73</v>
      </c>
      <c r="S35" s="1">
        <v>82</v>
      </c>
      <c r="T35" s="1">
        <v>0</v>
      </c>
      <c r="U35" s="1">
        <f>Games[[#This Row],[PointsFor]]-Games[[#This Row],[PointsAgainst]]</f>
        <v>-9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0.38439529520590832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" s="9">
        <f>MAX(kmin, kmax - 0.15 * MIN(Games[[#This Row],[GamesPlayed]], 82))</f>
        <v>75.400000000000006</v>
      </c>
      <c r="Z35" s="4">
        <f>Games[[#This Row],[K]]*Games[[#This Row],[POMult]]</f>
        <v>75.400000000000006</v>
      </c>
      <c r="AA35" s="4">
        <f>(Games[[#This Row],[Keff]]*Games[[#This Row],[MOVMult]])*(Games[[#This Row],[Result]]-Games[[#This Row],[ExpectedWin%]])</f>
        <v>-15.185385052048312</v>
      </c>
      <c r="AB35" s="4">
        <f>Games[[#This Row],[PreGmRate]]+Games[[#This Row],[RatingChange]]</f>
        <v>1397.3563150308739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45800</v>
      </c>
      <c r="B36" s="2">
        <v>2025</v>
      </c>
      <c r="C36" s="2">
        <f>COUNTIFS(Games[Team],Games[[#This Row],[Team]],Games[Season],Games[[#This Row],[Season]],Games[Date],"&lt;=" &amp; Games[[#This Row],[Date]])</f>
        <v>4</v>
      </c>
      <c r="D36" s="2" t="s">
        <v>79</v>
      </c>
      <c r="E36" s="2" t="s">
        <v>80</v>
      </c>
      <c r="F36" s="1" t="s">
        <v>65</v>
      </c>
      <c r="G36" s="1" t="s">
        <v>86</v>
      </c>
      <c r="H36" s="1" t="s">
        <v>81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-1</v>
      </c>
      <c r="L36" s="2">
        <f>Games[[#This Row],[OppDaysOff]]-Games[[#This Row],[DaysOff]]</f>
        <v>1</v>
      </c>
      <c r="M36" s="1">
        <f>MAX(-16, MIN(16, Games[[#This Row],[RestDiff]]*8))</f>
        <v>-8</v>
      </c>
      <c r="N36" s="1">
        <f>MAX(-16, MIN(16, Games[[#This Row],[OppRestDiff]]*8))</f>
        <v>8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1495.802528405633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1595.4142941501354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0.24066124182113019</v>
      </c>
      <c r="R36" s="1">
        <v>72</v>
      </c>
      <c r="S36" s="1">
        <v>75</v>
      </c>
      <c r="T36" s="1">
        <v>0</v>
      </c>
      <c r="U36" s="1">
        <f>Games[[#This Row],[PointsFor]]-Games[[#This Row],[PointsAgainst]]</f>
        <v>-3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0.26794173036665792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-4.8620324932569723</v>
      </c>
      <c r="AB36" s="4">
        <f>Games[[#This Row],[PreGmRate]]+Games[[#This Row],[RatingChange]]</f>
        <v>1490.940495912376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45800</v>
      </c>
      <c r="B37" s="2">
        <v>2025</v>
      </c>
      <c r="C37" s="2">
        <f>COUNTIFS(Games[Team],Games[[#This Row],[Team]],Games[Season],Games[[#This Row],[Season]],Games[Date],"&lt;=" &amp; Games[[#This Row],[Date]])</f>
        <v>3</v>
      </c>
      <c r="D37" s="2" t="s">
        <v>79</v>
      </c>
      <c r="E37" s="2" t="s">
        <v>80</v>
      </c>
      <c r="F37" s="1" t="s">
        <v>86</v>
      </c>
      <c r="G37" s="1" t="s">
        <v>65</v>
      </c>
      <c r="H37" s="1" t="s">
        <v>82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" s="2">
        <f>Games[[#This Row],[DaysOff]]-Games[[#This Row],[OppDaysOff]]</f>
        <v>1</v>
      </c>
      <c r="L37" s="2">
        <f>Games[[#This Row],[OppDaysOff]]-Games[[#This Row],[DaysOff]]</f>
        <v>-1</v>
      </c>
      <c r="M37" s="1">
        <f>MAX(-16, MIN(16, Games[[#This Row],[RestDiff]]*8))</f>
        <v>8</v>
      </c>
      <c r="N37" s="1">
        <f>MAX(-16, MIN(16, Games[[#This Row],[OppRestDiff]]*8))</f>
        <v>-8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1595.4142941501354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1495.802528405633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0.75933875817886987</v>
      </c>
      <c r="R37" s="1">
        <v>75</v>
      </c>
      <c r="S37" s="1">
        <v>72</v>
      </c>
      <c r="T37" s="1">
        <v>0</v>
      </c>
      <c r="U37" s="1">
        <f>Games[[#This Row],[PointsFor]]-Games[[#This Row],[PointsAgainst]]</f>
        <v>3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0.26794173036665792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4.8717049716918313</v>
      </c>
      <c r="AB37" s="4">
        <f>Games[[#This Row],[PreGmRate]]+Games[[#This Row],[RatingChange]]</f>
        <v>1600.2859991218272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45800</v>
      </c>
      <c r="B38" s="2">
        <v>2025</v>
      </c>
      <c r="C38" s="2">
        <f>COUNTIFS(Games[Team],Games[[#This Row],[Team]],Games[Season],Games[[#This Row],[Season]],Games[Date],"&lt;=" &amp; Games[[#This Row],[Date]])</f>
        <v>3</v>
      </c>
      <c r="D38" s="2" t="s">
        <v>79</v>
      </c>
      <c r="E38" s="2" t="s">
        <v>80</v>
      </c>
      <c r="F38" s="1" t="s">
        <v>74</v>
      </c>
      <c r="G38" s="1" t="s">
        <v>67</v>
      </c>
      <c r="H38" s="1" t="s">
        <v>81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" s="2">
        <f>Games[[#This Row],[DaysOff]]-Games[[#This Row],[OppDaysOff]]</f>
        <v>1</v>
      </c>
      <c r="L38" s="2">
        <f>Games[[#This Row],[OppDaysOff]]-Games[[#This Row],[DaysOff]]</f>
        <v>-1</v>
      </c>
      <c r="M38" s="1">
        <f>MAX(-16, MIN(16, Games[[#This Row],[RestDiff]]*8))</f>
        <v>8</v>
      </c>
      <c r="N38" s="1">
        <f>MAX(-16, MIN(16, Games[[#This Row],[OppRestDiff]]*8))</f>
        <v>-8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1515.7112065127858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1610.7856940554548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0.28115650134335707</v>
      </c>
      <c r="R38" s="1">
        <v>70</v>
      </c>
      <c r="S38" s="1">
        <v>76</v>
      </c>
      <c r="T38" s="1">
        <v>0</v>
      </c>
      <c r="U38" s="1">
        <f>Games[[#This Row],[PointsFor]]-Games[[#This Row],[PointsAgainst]]</f>
        <v>-6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0.32549240786067263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" s="9">
        <f>MAX(kmin, kmax - 0.15 * MIN(Games[[#This Row],[GamesPlayed]], 82))</f>
        <v>75.55</v>
      </c>
      <c r="Z38" s="4">
        <f>Games[[#This Row],[K]]*Games[[#This Row],[POMult]]</f>
        <v>75.55</v>
      </c>
      <c r="AA38" s="4">
        <f>(Games[[#This Row],[Keff]]*Games[[#This Row],[MOVMult]])*(Games[[#This Row],[Result]]-Games[[#This Row],[ExpectedWin%]])</f>
        <v>-6.9139058642292426</v>
      </c>
      <c r="AB38" s="4">
        <f>Games[[#This Row],[PreGmRate]]+Games[[#This Row],[RatingChange]]</f>
        <v>1508.7973006485565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45800</v>
      </c>
      <c r="B39" s="2">
        <v>2025</v>
      </c>
      <c r="C39" s="2">
        <f>COUNTIFS(Games[Team],Games[[#This Row],[Team]],Games[Season],Games[[#This Row],[Season]],Games[Date],"&lt;=" &amp; Games[[#This Row],[Date]])</f>
        <v>4</v>
      </c>
      <c r="D39" s="2" t="s">
        <v>79</v>
      </c>
      <c r="E39" s="2" t="s">
        <v>80</v>
      </c>
      <c r="F39" s="1" t="s">
        <v>67</v>
      </c>
      <c r="G39" s="1" t="s">
        <v>74</v>
      </c>
      <c r="H39" s="1" t="s">
        <v>82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-1</v>
      </c>
      <c r="L39" s="2">
        <f>Games[[#This Row],[OppDaysOff]]-Games[[#This Row],[DaysOff]]</f>
        <v>1</v>
      </c>
      <c r="M39" s="1">
        <f>MAX(-16, MIN(16, Games[[#This Row],[RestDiff]]*8))</f>
        <v>-8</v>
      </c>
      <c r="N39" s="1">
        <f>MAX(-16, MIN(16, Games[[#This Row],[OppRestDiff]]*8))</f>
        <v>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1610.7856940554548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1515.7112065127858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0.71884349865664299</v>
      </c>
      <c r="R39" s="1">
        <v>76</v>
      </c>
      <c r="S39" s="1">
        <v>70</v>
      </c>
      <c r="T39" s="1">
        <v>0</v>
      </c>
      <c r="U39" s="1">
        <f>Games[[#This Row],[PointsFor]]-Games[[#This Row],[PointsAgainst]]</f>
        <v>6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0.32549240786067263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6.9001787182380516</v>
      </c>
      <c r="AB39" s="4">
        <f>Games[[#This Row],[PreGmRate]]+Games[[#This Row],[RatingChange]]</f>
        <v>1617.6858727736928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45800</v>
      </c>
      <c r="B40" s="2">
        <v>2025</v>
      </c>
      <c r="C40" s="2">
        <f>COUNTIFS(Games[Team],Games[[#This Row],[Team]],Games[Season],Games[[#This Row],[Season]],Games[Date],"&lt;=" &amp; Games[[#This Row],[Date]])</f>
        <v>3</v>
      </c>
      <c r="D40" s="2" t="s">
        <v>79</v>
      </c>
      <c r="E40" s="2" t="s">
        <v>80</v>
      </c>
      <c r="F40" s="1" t="s">
        <v>40</v>
      </c>
      <c r="G40" s="1" t="s">
        <v>71</v>
      </c>
      <c r="H40" s="1" t="s">
        <v>81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" s="2">
        <f>Games[[#This Row],[DaysOff]]-Games[[#This Row],[OppDaysOff]]</f>
        <v>-2</v>
      </c>
      <c r="L40" s="2">
        <f>Games[[#This Row],[OppDaysOff]]-Games[[#This Row],[DaysOff]]</f>
        <v>2</v>
      </c>
      <c r="M40" s="1">
        <f>MAX(-16, MIN(16, Games[[#This Row],[RestDiff]]*8))</f>
        <v>-16</v>
      </c>
      <c r="N40" s="1">
        <f>MAX(-16, MIN(16, Games[[#This Row],[OppRestDiff]]*8))</f>
        <v>16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1482.9485563281216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1518.4424368694322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0.29482399405041326</v>
      </c>
      <c r="R40" s="1">
        <v>70</v>
      </c>
      <c r="S40" s="1">
        <v>77</v>
      </c>
      <c r="T40" s="1">
        <v>0</v>
      </c>
      <c r="U40" s="1">
        <f>Games[[#This Row],[PointsFor]]-Games[[#This Row],[PointsAgainst]]</f>
        <v>-7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0.35947455020173524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" s="9">
        <f>MAX(kmin, kmax - 0.15 * MIN(Games[[#This Row],[GamesPlayed]], 82))</f>
        <v>75.55</v>
      </c>
      <c r="Z40" s="4">
        <f>Games[[#This Row],[K]]*Games[[#This Row],[POMult]]</f>
        <v>75.55</v>
      </c>
      <c r="AA40" s="4">
        <f>(Games[[#This Row],[Keff]]*Games[[#This Row],[MOVMult]])*(Games[[#This Row],[Result]]-Games[[#This Row],[ExpectedWin%]])</f>
        <v>-8.0069191462038258</v>
      </c>
      <c r="AB40" s="4">
        <f>Games[[#This Row],[PreGmRate]]+Games[[#This Row],[RatingChange]]</f>
        <v>1474.9416371819177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45800</v>
      </c>
      <c r="B41" s="2">
        <v>2025</v>
      </c>
      <c r="C41" s="2">
        <f>COUNTIFS(Games[Team],Games[[#This Row],[Team]],Games[Season],Games[[#This Row],[Season]],Games[Date],"&lt;=" &amp; Games[[#This Row],[Date]])</f>
        <v>3</v>
      </c>
      <c r="D41" s="2" t="s">
        <v>79</v>
      </c>
      <c r="E41" s="2" t="s">
        <v>80</v>
      </c>
      <c r="F41" s="1" t="s">
        <v>71</v>
      </c>
      <c r="G41" s="1" t="s">
        <v>40</v>
      </c>
      <c r="H41" s="1" t="s">
        <v>82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" s="2">
        <f>Games[[#This Row],[DaysOff]]-Games[[#This Row],[OppDaysOff]]</f>
        <v>2</v>
      </c>
      <c r="L41" s="2">
        <f>Games[[#This Row],[OppDaysOff]]-Games[[#This Row],[DaysOff]]</f>
        <v>-2</v>
      </c>
      <c r="M41" s="1">
        <f>MAX(-16, MIN(16, Games[[#This Row],[RestDiff]]*8))</f>
        <v>16</v>
      </c>
      <c r="N41" s="1">
        <f>MAX(-16, MIN(16, Games[[#This Row],[OppRestDiff]]*8))</f>
        <v>-16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1518.4424368694322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1482.9485563281216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0.70517600594958674</v>
      </c>
      <c r="R41" s="1">
        <v>77</v>
      </c>
      <c r="S41" s="1">
        <v>70</v>
      </c>
      <c r="T41" s="1">
        <v>0</v>
      </c>
      <c r="U41" s="1">
        <f>Games[[#This Row],[PointsFor]]-Games[[#This Row],[PointsAgainst]]</f>
        <v>7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0.35947455020173524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" s="9">
        <f>MAX(kmin, kmax - 0.15 * MIN(Games[[#This Row],[GamesPlayed]], 82))</f>
        <v>75.55</v>
      </c>
      <c r="Z41" s="4">
        <f>Games[[#This Row],[K]]*Games[[#This Row],[POMult]]</f>
        <v>75.55</v>
      </c>
      <c r="AA41" s="4">
        <f>(Games[[#This Row],[Keff]]*Games[[#This Row],[MOVMult]])*(Games[[#This Row],[Result]]-Games[[#This Row],[ExpectedWin%]])</f>
        <v>8.0069191462038258</v>
      </c>
      <c r="AB41" s="4">
        <f>Games[[#This Row],[PreGmRate]]+Games[[#This Row],[RatingChange]]</f>
        <v>1526.4493560156361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45801</v>
      </c>
      <c r="B42" s="2">
        <v>2025</v>
      </c>
      <c r="C42" s="2">
        <f>COUNTIFS(Games[Team],Games[[#This Row],[Team]],Games[Season],Games[[#This Row],[Season]],Games[Date],"&lt;=" &amp; Games[[#This Row],[Date]])</f>
        <v>4</v>
      </c>
      <c r="D42" s="2" t="s">
        <v>79</v>
      </c>
      <c r="E42" s="2" t="s">
        <v>80</v>
      </c>
      <c r="F42" s="1" t="s">
        <v>85</v>
      </c>
      <c r="G42" s="1" t="s">
        <v>77</v>
      </c>
      <c r="H42" s="1" t="s">
        <v>81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" s="2">
        <f>Games[[#This Row],[DaysOff]]-Games[[#This Row],[OppDaysOff]]</f>
        <v>1</v>
      </c>
      <c r="L42" s="2">
        <f>Games[[#This Row],[OppDaysOff]]-Games[[#This Row],[DaysOff]]</f>
        <v>-1</v>
      </c>
      <c r="M42" s="1">
        <f>MAX(-16, MIN(16, Games[[#This Row],[RestDiff]]*8))</f>
        <v>8</v>
      </c>
      <c r="N42" s="1">
        <f>MAX(-16, MIN(16, Games[[#This Row],[OppRestDiff]]*8))</f>
        <v>-8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1387.4116763254167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1451.8144298618458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0.31817499227413948</v>
      </c>
      <c r="R42" s="1">
        <v>75</v>
      </c>
      <c r="S42" s="1">
        <v>83</v>
      </c>
      <c r="T42" s="1">
        <v>0</v>
      </c>
      <c r="U42" s="1">
        <f>Games[[#This Row],[PointsFor]]-Games[[#This Row],[PointsAgainst]]</f>
        <v>-8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0.36853656060167789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-8.8413374460921315</v>
      </c>
      <c r="AB42" s="4">
        <f>Games[[#This Row],[PreGmRate]]+Games[[#This Row],[RatingChange]]</f>
        <v>1378.5703388793245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45801</v>
      </c>
      <c r="B43" s="2">
        <v>2025</v>
      </c>
      <c r="C43" s="2">
        <f>COUNTIFS(Games[Team],Games[[#This Row],[Team]],Games[Season],Games[[#This Row],[Season]],Games[Date],"&lt;=" &amp; Games[[#This Row],[Date]])</f>
        <v>4</v>
      </c>
      <c r="D43" s="2" t="s">
        <v>79</v>
      </c>
      <c r="E43" s="2" t="s">
        <v>80</v>
      </c>
      <c r="F43" s="1" t="s">
        <v>77</v>
      </c>
      <c r="G43" s="1" t="s">
        <v>85</v>
      </c>
      <c r="H43" s="1" t="s">
        <v>82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" s="2">
        <f>Games[[#This Row],[DaysOff]]-Games[[#This Row],[OppDaysOff]]</f>
        <v>-1</v>
      </c>
      <c r="L43" s="2">
        <f>Games[[#This Row],[OppDaysOff]]-Games[[#This Row],[DaysOff]]</f>
        <v>1</v>
      </c>
      <c r="M43" s="1">
        <f>MAX(-16, MIN(16, Games[[#This Row],[RestDiff]]*8))</f>
        <v>-8</v>
      </c>
      <c r="N43" s="1">
        <f>MAX(-16, MIN(16, Games[[#This Row],[OppRestDiff]]*8))</f>
        <v>8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1451.8144298618458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1387.4116763254167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0.68182500772586052</v>
      </c>
      <c r="R43" s="1">
        <v>83</v>
      </c>
      <c r="S43" s="1">
        <v>75</v>
      </c>
      <c r="T43" s="1">
        <v>0</v>
      </c>
      <c r="U43" s="1">
        <f>Games[[#This Row],[PointsFor]]-Games[[#This Row],[PointsAgainst]]</f>
        <v>8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0.36853656060167789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8.8413374460921315</v>
      </c>
      <c r="AB43" s="4">
        <f>Games[[#This Row],[PreGmRate]]+Games[[#This Row],[RatingChange]]</f>
        <v>1460.655767307938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45801</v>
      </c>
      <c r="B44" s="2">
        <v>2025</v>
      </c>
      <c r="C44" s="2">
        <f>COUNTIFS(Games[Team],Games[[#This Row],[Team]],Games[Season],Games[[#This Row],[Season]],Games[Date],"&lt;=" &amp; Games[[#This Row],[Date]])</f>
        <v>3</v>
      </c>
      <c r="D44" s="2" t="s">
        <v>79</v>
      </c>
      <c r="E44" s="2" t="s">
        <v>80</v>
      </c>
      <c r="F44" s="1" t="s">
        <v>60</v>
      </c>
      <c r="G44" s="1" t="s">
        <v>69</v>
      </c>
      <c r="H44" s="1" t="s">
        <v>81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1644.8270904607093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1507.8667053231718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0.57563124738434224</v>
      </c>
      <c r="R44" s="1">
        <v>90</v>
      </c>
      <c r="S44" s="1">
        <v>88</v>
      </c>
      <c r="T44" s="1">
        <v>0</v>
      </c>
      <c r="U44" s="1">
        <f>Games[[#This Row],[PointsFor]]-Games[[#This Row],[PointsAgainst]]</f>
        <v>2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0.24040322252221361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" s="9">
        <f>MAX(kmin, kmax - 0.15 * MIN(Games[[#This Row],[GamesPlayed]], 82))</f>
        <v>75.55</v>
      </c>
      <c r="Z44" s="4">
        <f>Games[[#This Row],[K]]*Games[[#This Row],[POMult]]</f>
        <v>75.55</v>
      </c>
      <c r="AA44" s="4">
        <f>(Games[[#This Row],[Keff]]*Games[[#This Row],[MOVMult]])*(Games[[#This Row],[Result]]-Games[[#This Row],[ExpectedWin%]])</f>
        <v>7.7075819636068088</v>
      </c>
      <c r="AB44" s="4">
        <f>Games[[#This Row],[PreGmRate]]+Games[[#This Row],[RatingChange]]</f>
        <v>1652.5346724243161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45801</v>
      </c>
      <c r="B45" s="2">
        <v>2025</v>
      </c>
      <c r="C45" s="2">
        <f>COUNTIFS(Games[Team],Games[[#This Row],[Team]],Games[Season],Games[[#This Row],[Season]],Games[Date],"&lt;=" &amp; Games[[#This Row],[Date]])</f>
        <v>4</v>
      </c>
      <c r="D45" s="2" t="s">
        <v>79</v>
      </c>
      <c r="E45" s="2" t="s">
        <v>80</v>
      </c>
      <c r="F45" s="1" t="s">
        <v>69</v>
      </c>
      <c r="G45" s="1" t="s">
        <v>60</v>
      </c>
      <c r="H45" s="1" t="s">
        <v>82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1507.8667053231718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1644.8270904607093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0.42436875261565776</v>
      </c>
      <c r="R45" s="1">
        <v>88</v>
      </c>
      <c r="S45" s="1">
        <v>90</v>
      </c>
      <c r="T45" s="1">
        <v>0</v>
      </c>
      <c r="U45" s="1">
        <f>Games[[#This Row],[PointsFor]]-Games[[#This Row],[PointsAgainst]]</f>
        <v>-2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0.24040322252221361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" s="9">
        <f>MAX(kmin, kmax - 0.15 * MIN(Games[[#This Row],[GamesPlayed]], 82))</f>
        <v>75.400000000000006</v>
      </c>
      <c r="Z45" s="4">
        <f>Games[[#This Row],[K]]*Games[[#This Row],[POMult]]</f>
        <v>75.400000000000006</v>
      </c>
      <c r="AA45" s="4">
        <f>(Games[[#This Row],[Keff]]*Games[[#This Row],[MOVMult]])*(Games[[#This Row],[Result]]-Games[[#This Row],[ExpectedWin%]])</f>
        <v>-7.6922790212568302</v>
      </c>
      <c r="AB45" s="4">
        <f>Games[[#This Row],[PreGmRate]]+Games[[#This Row],[RatingChange]]</f>
        <v>1500.174426301915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45802</v>
      </c>
      <c r="B46" s="2">
        <v>2025</v>
      </c>
      <c r="C46" s="2">
        <f>COUNTIFS(Games[Team],Games[[#This Row],[Team]],Games[Season],Games[[#This Row],[Season]],Games[Date],"&lt;=" &amp; Games[[#This Row],[Date]])</f>
        <v>4</v>
      </c>
      <c r="D46" s="2" t="s">
        <v>79</v>
      </c>
      <c r="E46" s="2" t="s">
        <v>80</v>
      </c>
      <c r="F46" s="1" t="s">
        <v>74</v>
      </c>
      <c r="G46" s="1" t="s">
        <v>77</v>
      </c>
      <c r="H46" s="1" t="s">
        <v>81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" s="2">
        <f>Games[[#This Row],[DaysOff]]-Games[[#This Row],[OppDaysOff]]</f>
        <v>1</v>
      </c>
      <c r="L46" s="2">
        <f>Games[[#This Row],[OppDaysOff]]-Games[[#This Row],[DaysOff]]</f>
        <v>-1</v>
      </c>
      <c r="M46" s="1">
        <f>MAX(-16, MIN(16, Games[[#This Row],[RestDiff]]*8))</f>
        <v>8</v>
      </c>
      <c r="N46" s="1">
        <f>MAX(-16, MIN(16, Games[[#This Row],[OppRestDiff]]*8))</f>
        <v>-8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1508.7973006485565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1460.655767307938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0.47145245024923044</v>
      </c>
      <c r="R46" s="1">
        <v>55</v>
      </c>
      <c r="S46" s="1">
        <v>79</v>
      </c>
      <c r="T46" s="1">
        <v>0</v>
      </c>
      <c r="U46" s="1">
        <f>Games[[#This Row],[PointsFor]]-Games[[#This Row],[PointsAgainst]]</f>
        <v>-24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0.6041919904062395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" s="9">
        <f>MAX(kmin, kmax - 0.15 * MIN(Games[[#This Row],[GamesPlayed]], 82))</f>
        <v>75.400000000000006</v>
      </c>
      <c r="Z46" s="4">
        <f>Games[[#This Row],[K]]*Games[[#This Row],[POMult]]</f>
        <v>75.400000000000006</v>
      </c>
      <c r="AA46" s="4">
        <f>(Games[[#This Row],[Keff]]*Games[[#This Row],[MOVMult]])*(Games[[#This Row],[Result]]-Games[[#This Row],[ExpectedWin%]])</f>
        <v>-21.47752369006778</v>
      </c>
      <c r="AB46" s="4">
        <f>Games[[#This Row],[PreGmRate]]+Games[[#This Row],[RatingChange]]</f>
        <v>1487.3197769584888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45802</v>
      </c>
      <c r="B47" s="2">
        <v>2025</v>
      </c>
      <c r="C47" s="2">
        <f>COUNTIFS(Games[Team],Games[[#This Row],[Team]],Games[Season],Games[[#This Row],[Season]],Games[Date],"&lt;=" &amp; Games[[#This Row],[Date]])</f>
        <v>5</v>
      </c>
      <c r="D47" s="2" t="s">
        <v>79</v>
      </c>
      <c r="E47" s="2" t="s">
        <v>80</v>
      </c>
      <c r="F47" s="1" t="s">
        <v>77</v>
      </c>
      <c r="G47" s="1" t="s">
        <v>74</v>
      </c>
      <c r="H47" s="1" t="s">
        <v>82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-1</v>
      </c>
      <c r="L47" s="2">
        <f>Games[[#This Row],[OppDaysOff]]-Games[[#This Row],[DaysOff]]</f>
        <v>1</v>
      </c>
      <c r="M47" s="1">
        <f>MAX(-16, MIN(16, Games[[#This Row],[RestDiff]]*8))</f>
        <v>-8</v>
      </c>
      <c r="N47" s="1">
        <f>MAX(-16, MIN(16, Games[[#This Row],[OppRestDiff]]*8))</f>
        <v>8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1460.655767307938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1508.7973006485565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0.52854754975076956</v>
      </c>
      <c r="R47" s="1">
        <v>79</v>
      </c>
      <c r="S47" s="1">
        <v>55</v>
      </c>
      <c r="T47" s="1">
        <v>0</v>
      </c>
      <c r="U47" s="1">
        <f>Games[[#This Row],[PointsFor]]-Games[[#This Row],[PointsAgainst]]</f>
        <v>24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0.6041919904062395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" s="9">
        <f>MAX(kmin, kmax - 0.15 * MIN(Games[[#This Row],[GamesPlayed]], 82))</f>
        <v>75.25</v>
      </c>
      <c r="Z47" s="4">
        <f>Games[[#This Row],[K]]*Games[[#This Row],[POMult]]</f>
        <v>75.25</v>
      </c>
      <c r="AA47" s="4">
        <f>(Games[[#This Row],[Keff]]*Games[[#This Row],[MOVMult]])*(Games[[#This Row],[Result]]-Games[[#This Row],[ExpectedWin%]])</f>
        <v>21.434796520923083</v>
      </c>
      <c r="AB47" s="4">
        <f>Games[[#This Row],[PreGmRate]]+Games[[#This Row],[RatingChange]]</f>
        <v>1482.0905638288611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45802</v>
      </c>
      <c r="B48" s="2">
        <v>2025</v>
      </c>
      <c r="C48" s="2">
        <f>COUNTIFS(Games[Team],Games[[#This Row],[Team]],Games[Season],Games[[#This Row],[Season]],Games[Date],"&lt;=" &amp; Games[[#This Row],[Date]])</f>
        <v>3</v>
      </c>
      <c r="D48" s="2" t="s">
        <v>79</v>
      </c>
      <c r="E48" s="2" t="s">
        <v>80</v>
      </c>
      <c r="F48" s="1" t="s">
        <v>75</v>
      </c>
      <c r="G48" s="1" t="s">
        <v>63</v>
      </c>
      <c r="H48" s="1" t="s">
        <v>81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1</v>
      </c>
      <c r="L48" s="2">
        <f>Games[[#This Row],[OppDaysOff]]-Games[[#This Row],[DaysOff]]</f>
        <v>-1</v>
      </c>
      <c r="M48" s="1">
        <f>MAX(-16, MIN(16, Games[[#This Row],[RestDiff]]*8))</f>
        <v>8</v>
      </c>
      <c r="N48" s="1">
        <f>MAX(-16, MIN(16, Games[[#This Row],[OppRestDiff]]*8))</f>
        <v>-8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1396.0742273071237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1397.3563150308739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0.40159593918806913</v>
      </c>
      <c r="R48" s="1">
        <v>78</v>
      </c>
      <c r="S48" s="1">
        <v>91</v>
      </c>
      <c r="T48" s="1">
        <v>0</v>
      </c>
      <c r="U48" s="1">
        <f>Games[[#This Row],[PointsFor]]-Games[[#This Row],[PointsAgainst]]</f>
        <v>-13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0.4715399593198662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" s="9">
        <f>MAX(kmin, kmax - 0.15 * MIN(Games[[#This Row],[GamesPlayed]], 82))</f>
        <v>75.55</v>
      </c>
      <c r="Z48" s="4">
        <f>Games[[#This Row],[K]]*Games[[#This Row],[POMult]]</f>
        <v>75.55</v>
      </c>
      <c r="AA48" s="4">
        <f>(Games[[#This Row],[Keff]]*Games[[#This Row],[MOVMult]])*(Games[[#This Row],[Result]]-Games[[#This Row],[ExpectedWin%]])</f>
        <v>-14.306792655137688</v>
      </c>
      <c r="AB48" s="4">
        <f>Games[[#This Row],[PreGmRate]]+Games[[#This Row],[RatingChange]]</f>
        <v>1381.7674346519859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45802</v>
      </c>
      <c r="B49" s="2">
        <v>2025</v>
      </c>
      <c r="C49" s="2">
        <f>COUNTIFS(Games[Team],Games[[#This Row],[Team]],Games[Season],Games[[#This Row],[Season]],Games[Date],"&lt;=" &amp; Games[[#This Row],[Date]])</f>
        <v>5</v>
      </c>
      <c r="D49" s="2" t="s">
        <v>79</v>
      </c>
      <c r="E49" s="2" t="s">
        <v>80</v>
      </c>
      <c r="F49" s="1" t="s">
        <v>63</v>
      </c>
      <c r="G49" s="1" t="s">
        <v>75</v>
      </c>
      <c r="H49" s="1" t="s">
        <v>82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" s="2">
        <f>Games[[#This Row],[DaysOff]]-Games[[#This Row],[OppDaysOff]]</f>
        <v>-1</v>
      </c>
      <c r="L49" s="2">
        <f>Games[[#This Row],[OppDaysOff]]-Games[[#This Row],[DaysOff]]</f>
        <v>1</v>
      </c>
      <c r="M49" s="1">
        <f>MAX(-16, MIN(16, Games[[#This Row],[RestDiff]]*8))</f>
        <v>-8</v>
      </c>
      <c r="N49" s="1">
        <f>MAX(-16, MIN(16, Games[[#This Row],[OppRestDiff]]*8))</f>
        <v>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1397.3563150308739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1396.0742273071237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0.59840406081193076</v>
      </c>
      <c r="R49" s="1">
        <v>91</v>
      </c>
      <c r="S49" s="1">
        <v>78</v>
      </c>
      <c r="T49" s="1">
        <v>0</v>
      </c>
      <c r="U49" s="1">
        <f>Games[[#This Row],[PointsFor]]-Games[[#This Row],[PointsAgainst]]</f>
        <v>13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0.4715399593198662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" s="9">
        <f>MAX(kmin, kmax - 0.15 * MIN(Games[[#This Row],[GamesPlayed]], 82))</f>
        <v>75.25</v>
      </c>
      <c r="Z49" s="4">
        <f>Games[[#This Row],[K]]*Games[[#This Row],[POMult]]</f>
        <v>75.25</v>
      </c>
      <c r="AA49" s="4">
        <f>(Games[[#This Row],[Keff]]*Games[[#This Row],[MOVMult]])*(Games[[#This Row],[Result]]-Games[[#This Row],[ExpectedWin%]])</f>
        <v>14.249982095289363</v>
      </c>
      <c r="AB49" s="4">
        <f>Games[[#This Row],[PreGmRate]]+Games[[#This Row],[RatingChange]]</f>
        <v>1411.6062971261633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45802</v>
      </c>
      <c r="B50" s="2">
        <v>2025</v>
      </c>
      <c r="C50" s="2">
        <f>COUNTIFS(Games[Team],Games[[#This Row],[Team]],Games[Season],Games[[#This Row],[Season]],Games[Date],"&lt;=" &amp; Games[[#This Row],[Date]])</f>
        <v>5</v>
      </c>
      <c r="D50" s="2" t="s">
        <v>79</v>
      </c>
      <c r="E50" s="2" t="s">
        <v>80</v>
      </c>
      <c r="F50" s="1" t="s">
        <v>65</v>
      </c>
      <c r="G50" s="1" t="s">
        <v>40</v>
      </c>
      <c r="H50" s="1" t="s">
        <v>81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1490.940495912376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1474.9416371819177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0.4033692456186897</v>
      </c>
      <c r="R50" s="1">
        <v>62</v>
      </c>
      <c r="S50" s="1">
        <v>68</v>
      </c>
      <c r="T50" s="1">
        <v>0</v>
      </c>
      <c r="U50" s="1">
        <f>Games[[#This Row],[PointsFor]]-Games[[#This Row],[PointsAgainst]]</f>
        <v>-6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0.34665897116818678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-10.522325468451461</v>
      </c>
      <c r="AB50" s="4">
        <f>Games[[#This Row],[PreGmRate]]+Games[[#This Row],[RatingChange]]</f>
        <v>1480.4181704439245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45802</v>
      </c>
      <c r="B51" s="2">
        <v>2025</v>
      </c>
      <c r="C51" s="2">
        <f>COUNTIFS(Games[Team],Games[[#This Row],[Team]],Games[Season],Games[[#This Row],[Season]],Games[Date],"&lt;=" &amp; Games[[#This Row],[Date]])</f>
        <v>4</v>
      </c>
      <c r="D51" s="2" t="s">
        <v>79</v>
      </c>
      <c r="E51" s="2" t="s">
        <v>80</v>
      </c>
      <c r="F51" s="1" t="s">
        <v>40</v>
      </c>
      <c r="G51" s="1" t="s">
        <v>65</v>
      </c>
      <c r="H51" s="1" t="s">
        <v>82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1474.9416371819177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1490.940495912376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0.5966307543813103</v>
      </c>
      <c r="R51" s="1">
        <v>68</v>
      </c>
      <c r="S51" s="1">
        <v>62</v>
      </c>
      <c r="T51" s="1">
        <v>0</v>
      </c>
      <c r="U51" s="1">
        <f>Games[[#This Row],[PointsFor]]-Games[[#This Row],[PointsAgainst]]</f>
        <v>6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0.34665897116818678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" s="9">
        <f>MAX(kmin, kmax - 0.15 * MIN(Games[[#This Row],[GamesPlayed]], 82))</f>
        <v>75.400000000000006</v>
      </c>
      <c r="Z51" s="4">
        <f>Games[[#This Row],[K]]*Games[[#This Row],[POMult]]</f>
        <v>75.400000000000006</v>
      </c>
      <c r="AA51" s="4">
        <f>(Games[[#This Row],[Keff]]*Games[[#This Row],[MOVMult]])*(Games[[#This Row],[Result]]-Games[[#This Row],[ExpectedWin%]])</f>
        <v>10.54330020360452</v>
      </c>
      <c r="AB51" s="4">
        <f>Games[[#This Row],[PreGmRate]]+Games[[#This Row],[RatingChange]]</f>
        <v>1485.4849373855222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45802</v>
      </c>
      <c r="B52" s="2">
        <v>2025</v>
      </c>
      <c r="C52" s="2">
        <f>COUNTIFS(Games[Team],Games[[#This Row],[Team]],Games[Season],Games[[#This Row],[Season]],Games[Date],"&lt;=" &amp; Games[[#This Row],[Date]])</f>
        <v>4</v>
      </c>
      <c r="D52" s="2" t="s">
        <v>79</v>
      </c>
      <c r="E52" s="2" t="s">
        <v>80</v>
      </c>
      <c r="F52" s="1" t="s">
        <v>86</v>
      </c>
      <c r="G52" s="1" t="s">
        <v>71</v>
      </c>
      <c r="H52" s="1" t="s">
        <v>81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" s="2">
        <f>Games[[#This Row],[DaysOff]]-Games[[#This Row],[OppDaysOff]]</f>
        <v>0</v>
      </c>
      <c r="L52" s="2">
        <f>Games[[#This Row],[OppDaysOff]]-Games[[#This Row],[DaysOff]]</f>
        <v>0</v>
      </c>
      <c r="M52" s="1">
        <f>MAX(-16, MIN(16, Games[[#This Row],[RestDiff]]*8))</f>
        <v>0</v>
      </c>
      <c r="N52" s="1">
        <f>MAX(-16, MIN(16, Games[[#This Row],[OppRestDiff]]*8))</f>
        <v>0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1600.2859991218272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1526.4493560156361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0.48537792420703701</v>
      </c>
      <c r="R52" s="1">
        <v>82</v>
      </c>
      <c r="S52" s="1">
        <v>102</v>
      </c>
      <c r="T52" s="1">
        <v>0</v>
      </c>
      <c r="U52" s="1">
        <f>Games[[#This Row],[PointsFor]]-Games[[#This Row],[PointsAgainst]]</f>
        <v>-20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0.54156459893350539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" s="9">
        <f>MAX(kmin, kmax - 0.15 * MIN(Games[[#This Row],[GamesPlayed]], 82))</f>
        <v>75.400000000000006</v>
      </c>
      <c r="Z52" s="4">
        <f>Games[[#This Row],[K]]*Games[[#This Row],[POMult]]</f>
        <v>75.400000000000006</v>
      </c>
      <c r="AA52" s="4">
        <f>(Games[[#This Row],[Keff]]*Games[[#This Row],[MOVMult]])*(Games[[#This Row],[Result]]-Games[[#This Row],[ExpectedWin%]])</f>
        <v>-19.819907964418849</v>
      </c>
      <c r="AB52" s="4">
        <f>Games[[#This Row],[PreGmRate]]+Games[[#This Row],[RatingChange]]</f>
        <v>1580.4660911574083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45802</v>
      </c>
      <c r="B53" s="2">
        <v>2025</v>
      </c>
      <c r="C53" s="2">
        <f>COUNTIFS(Games[Team],Games[[#This Row],[Team]],Games[Season],Games[[#This Row],[Season]],Games[Date],"&lt;=" &amp; Games[[#This Row],[Date]])</f>
        <v>4</v>
      </c>
      <c r="D53" s="2" t="s">
        <v>79</v>
      </c>
      <c r="E53" s="2" t="s">
        <v>80</v>
      </c>
      <c r="F53" s="1" t="s">
        <v>71</v>
      </c>
      <c r="G53" s="1" t="s">
        <v>86</v>
      </c>
      <c r="H53" s="1" t="s">
        <v>82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0</v>
      </c>
      <c r="L53" s="2">
        <f>Games[[#This Row],[OppDaysOff]]-Games[[#This Row],[DaysOff]]</f>
        <v>0</v>
      </c>
      <c r="M53" s="1">
        <f>MAX(-16, MIN(16, Games[[#This Row],[RestDiff]]*8))</f>
        <v>0</v>
      </c>
      <c r="N53" s="1">
        <f>MAX(-16, MIN(16, Games[[#This Row],[OppRestDiff]]*8))</f>
        <v>0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1526.4493560156361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1600.2859991218272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0.51462207579296293</v>
      </c>
      <c r="R53" s="1">
        <v>102</v>
      </c>
      <c r="S53" s="1">
        <v>82</v>
      </c>
      <c r="T53" s="1">
        <v>0</v>
      </c>
      <c r="U53" s="1">
        <f>Games[[#This Row],[PointsFor]]-Games[[#This Row],[PointsAgainst]]</f>
        <v>20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0.54156459893350539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" s="9">
        <f>MAX(kmin, kmax - 0.15 * MIN(Games[[#This Row],[GamesPlayed]], 82))</f>
        <v>75.400000000000006</v>
      </c>
      <c r="Z53" s="4">
        <f>Games[[#This Row],[K]]*Games[[#This Row],[POMult]]</f>
        <v>75.400000000000006</v>
      </c>
      <c r="AA53" s="4">
        <f>(Games[[#This Row],[Keff]]*Games[[#This Row],[MOVMult]])*(Games[[#This Row],[Result]]-Games[[#This Row],[ExpectedWin%]])</f>
        <v>19.819907964418849</v>
      </c>
      <c r="AB53" s="4">
        <f>Games[[#This Row],[PreGmRate]]+Games[[#This Row],[RatingChange]]</f>
        <v>1546.269263980055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45804</v>
      </c>
      <c r="B54" s="2">
        <v>2025</v>
      </c>
      <c r="C54" s="2">
        <f>COUNTIFS(Games[Team],Games[[#This Row],[Team]],Games[Season],Games[[#This Row],[Season]],Games[Date],"&lt;=" &amp; Games[[#This Row],[Date]])</f>
        <v>5</v>
      </c>
      <c r="D54" s="2" t="s">
        <v>79</v>
      </c>
      <c r="E54" s="2" t="s">
        <v>80</v>
      </c>
      <c r="F54" s="1" t="s">
        <v>85</v>
      </c>
      <c r="G54" s="1" t="s">
        <v>74</v>
      </c>
      <c r="H54" s="1" t="s">
        <v>81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1</v>
      </c>
      <c r="L54" s="2">
        <f>Games[[#This Row],[OppDaysOff]]-Games[[#This Row],[DaysOff]]</f>
        <v>-1</v>
      </c>
      <c r="M54" s="1">
        <f>MAX(-16, MIN(16, Games[[#This Row],[RestDiff]]*8))</f>
        <v>8</v>
      </c>
      <c r="N54" s="1">
        <f>MAX(-16, MIN(16, Games[[#This Row],[OppRestDiff]]*8))</f>
        <v>-8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1378.5703388793245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1487.3197769584888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0.26552410422383727</v>
      </c>
      <c r="R54" s="1">
        <v>109</v>
      </c>
      <c r="S54" s="1">
        <v>87</v>
      </c>
      <c r="T54" s="1">
        <v>0</v>
      </c>
      <c r="U54" s="1">
        <f>Games[[#This Row],[PointsFor]]-Games[[#This Row],[PointsAgainst]]</f>
        <v>22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0.55202881817054628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" s="9">
        <f>MAX(kmin, kmax - 0.15 * MIN(Games[[#This Row],[GamesPlayed]], 82))</f>
        <v>75.25</v>
      </c>
      <c r="Z54" s="4">
        <f>Games[[#This Row],[K]]*Games[[#This Row],[POMult]]</f>
        <v>75.25</v>
      </c>
      <c r="AA54" s="4">
        <f>(Games[[#This Row],[Keff]]*Games[[#This Row],[MOVMult]])*(Games[[#This Row],[Result]]-Games[[#This Row],[ExpectedWin%]])</f>
        <v>30.510252519185155</v>
      </c>
      <c r="AB54" s="4">
        <f>Games[[#This Row],[PreGmRate]]+Games[[#This Row],[RatingChange]]</f>
        <v>1409.0805913985096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45804</v>
      </c>
      <c r="B55" s="2">
        <v>2025</v>
      </c>
      <c r="C55" s="2">
        <f>COUNTIFS(Games[Team],Games[[#This Row],[Team]],Games[Season],Games[[#This Row],[Season]],Games[Date],"&lt;=" &amp; Games[[#This Row],[Date]])</f>
        <v>5</v>
      </c>
      <c r="D55" s="2" t="s">
        <v>79</v>
      </c>
      <c r="E55" s="2" t="s">
        <v>80</v>
      </c>
      <c r="F55" s="1" t="s">
        <v>74</v>
      </c>
      <c r="G55" s="1" t="s">
        <v>85</v>
      </c>
      <c r="H55" s="1" t="s">
        <v>82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" s="2">
        <f>Games[[#This Row],[DaysOff]]-Games[[#This Row],[OppDaysOff]]</f>
        <v>-1</v>
      </c>
      <c r="L55" s="2">
        <f>Games[[#This Row],[OppDaysOff]]-Games[[#This Row],[DaysOff]]</f>
        <v>1</v>
      </c>
      <c r="M55" s="1">
        <f>MAX(-16, MIN(16, Games[[#This Row],[RestDiff]]*8))</f>
        <v>-8</v>
      </c>
      <c r="N55" s="1">
        <f>MAX(-16, MIN(16, Games[[#This Row],[OppRestDiff]]*8))</f>
        <v>8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1487.3197769584888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1378.5703388793245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0.73447589577616279</v>
      </c>
      <c r="R55" s="1">
        <v>87</v>
      </c>
      <c r="S55" s="1">
        <v>109</v>
      </c>
      <c r="T55" s="1">
        <v>0</v>
      </c>
      <c r="U55" s="1">
        <f>Games[[#This Row],[PointsFor]]-Games[[#This Row],[PointsAgainst]]</f>
        <v>-22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0.55202881817054628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" s="9">
        <f>MAX(kmin, kmax - 0.15 * MIN(Games[[#This Row],[GamesPlayed]], 82))</f>
        <v>75.25</v>
      </c>
      <c r="Z55" s="4">
        <f>Games[[#This Row],[K]]*Games[[#This Row],[POMult]]</f>
        <v>75.25</v>
      </c>
      <c r="AA55" s="4">
        <f>(Games[[#This Row],[Keff]]*Games[[#This Row],[MOVMult]])*(Games[[#This Row],[Result]]-Games[[#This Row],[ExpectedWin%]])</f>
        <v>-30.510252519185155</v>
      </c>
      <c r="AB55" s="4">
        <f>Games[[#This Row],[PreGmRate]]+Games[[#This Row],[RatingChange]]</f>
        <v>1456.8095244393037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45804</v>
      </c>
      <c r="B56" s="2">
        <v>2025</v>
      </c>
      <c r="C56" s="2">
        <f>COUNTIFS(Games[Team],Games[[#This Row],[Team]],Games[Season],Games[[#This Row],[Season]],Games[Date],"&lt;=" &amp; Games[[#This Row],[Date]])</f>
        <v>6</v>
      </c>
      <c r="D56" s="2" t="s">
        <v>79</v>
      </c>
      <c r="E56" s="2" t="s">
        <v>80</v>
      </c>
      <c r="F56" s="1" t="s">
        <v>77</v>
      </c>
      <c r="G56" s="1" t="s">
        <v>63</v>
      </c>
      <c r="H56" s="1" t="s">
        <v>81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" s="2">
        <f>Games[[#This Row],[DaysOff]]-Games[[#This Row],[OppDaysOff]]</f>
        <v>0</v>
      </c>
      <c r="L56" s="2">
        <f>Games[[#This Row],[OppDaysOff]]-Games[[#This Row],[DaysOff]]</f>
        <v>0</v>
      </c>
      <c r="M56" s="1">
        <f>MAX(-16, MIN(16, Games[[#This Row],[RestDiff]]*8))</f>
        <v>0</v>
      </c>
      <c r="N56" s="1">
        <f>MAX(-16, MIN(16, Games[[#This Row],[OppRestDiff]]*8))</f>
        <v>0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1482.0905638288611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1411.6062971261633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0.48055910201710711</v>
      </c>
      <c r="R56" s="1">
        <v>88</v>
      </c>
      <c r="S56" s="1">
        <v>82</v>
      </c>
      <c r="T56" s="1">
        <v>0</v>
      </c>
      <c r="U56" s="1">
        <f>Games[[#This Row],[PointsFor]]-Games[[#This Row],[PointsAgainst]]</f>
        <v>6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0.33179231286602984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" s="9">
        <f>MAX(kmin, kmax - 0.15 * MIN(Games[[#This Row],[GamesPlayed]], 82))</f>
        <v>75.099999999999994</v>
      </c>
      <c r="Z56" s="4">
        <f>Games[[#This Row],[K]]*Games[[#This Row],[POMult]]</f>
        <v>75.099999999999994</v>
      </c>
      <c r="AA56" s="4">
        <f>(Games[[#This Row],[Keff]]*Games[[#This Row],[MOVMult]])*(Games[[#This Row],[Result]]-Games[[#This Row],[ExpectedWin%]])</f>
        <v>12.943221920115253</v>
      </c>
      <c r="AB56" s="4">
        <f>Games[[#This Row],[PreGmRate]]+Games[[#This Row],[RatingChange]]</f>
        <v>1495.0337857489765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45804</v>
      </c>
      <c r="B57" s="2">
        <v>2025</v>
      </c>
      <c r="C57" s="2">
        <f>COUNTIFS(Games[Team],Games[[#This Row],[Team]],Games[Season],Games[[#This Row],[Season]],Games[Date],"&lt;=" &amp; Games[[#This Row],[Date]])</f>
        <v>6</v>
      </c>
      <c r="D57" s="2" t="s">
        <v>79</v>
      </c>
      <c r="E57" s="2" t="s">
        <v>80</v>
      </c>
      <c r="F57" s="1" t="s">
        <v>63</v>
      </c>
      <c r="G57" s="1" t="s">
        <v>77</v>
      </c>
      <c r="H57" s="1" t="s">
        <v>82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0</v>
      </c>
      <c r="L57" s="2">
        <f>Games[[#This Row],[OppDaysOff]]-Games[[#This Row],[DaysOff]]</f>
        <v>0</v>
      </c>
      <c r="M57" s="1">
        <f>MAX(-16, MIN(16, Games[[#This Row],[RestDiff]]*8))</f>
        <v>0</v>
      </c>
      <c r="N57" s="1">
        <f>MAX(-16, MIN(16, Games[[#This Row],[OppRestDiff]]*8))</f>
        <v>0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1411.6062971261633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1482.0905638288611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0.51944089798289295</v>
      </c>
      <c r="R57" s="1">
        <v>82</v>
      </c>
      <c r="S57" s="1">
        <v>88</v>
      </c>
      <c r="T57" s="1">
        <v>0</v>
      </c>
      <c r="U57" s="1">
        <f>Games[[#This Row],[PointsFor]]-Games[[#This Row],[PointsAgainst]]</f>
        <v>-6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0.33179231286602984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7" s="9">
        <f>MAX(kmin, kmax - 0.15 * MIN(Games[[#This Row],[GamesPlayed]], 82))</f>
        <v>75.099999999999994</v>
      </c>
      <c r="Z57" s="4">
        <f>Games[[#This Row],[K]]*Games[[#This Row],[POMult]]</f>
        <v>75.099999999999994</v>
      </c>
      <c r="AA57" s="4">
        <f>(Games[[#This Row],[Keff]]*Games[[#This Row],[MOVMult]])*(Games[[#This Row],[Result]]-Games[[#This Row],[ExpectedWin%]])</f>
        <v>-12.943221920115256</v>
      </c>
      <c r="AB57" s="4">
        <f>Games[[#This Row],[PreGmRate]]+Games[[#This Row],[RatingChange]]</f>
        <v>1398.663075206048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45804</v>
      </c>
      <c r="B58" s="2">
        <v>2025</v>
      </c>
      <c r="C58" s="2">
        <f>COUNTIFS(Games[Team],Games[[#This Row],[Team]],Games[Season],Games[[#This Row],[Season]],Games[Date],"&lt;=" &amp; Games[[#This Row],[Date]])</f>
        <v>5</v>
      </c>
      <c r="D58" s="2" t="s">
        <v>79</v>
      </c>
      <c r="E58" s="2" t="s">
        <v>80</v>
      </c>
      <c r="F58" s="1" t="s">
        <v>71</v>
      </c>
      <c r="G58" s="1" t="s">
        <v>67</v>
      </c>
      <c r="H58" s="1" t="s">
        <v>81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8" s="2">
        <f>Games[[#This Row],[DaysOff]]-Games[[#This Row],[OppDaysOff]]</f>
        <v>-2</v>
      </c>
      <c r="L58" s="2">
        <f>Games[[#This Row],[OppDaysOff]]-Games[[#This Row],[DaysOff]]</f>
        <v>2</v>
      </c>
      <c r="M58" s="1">
        <f>MAX(-16, MIN(16, Games[[#This Row],[RestDiff]]*8))</f>
        <v>-16</v>
      </c>
      <c r="N58" s="1">
        <f>MAX(-16, MIN(16, Games[[#This Row],[OppRestDiff]]*8))</f>
        <v>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1546.269263980055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1617.6858727736928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0.25372243200175121</v>
      </c>
      <c r="R58" s="1">
        <v>77</v>
      </c>
      <c r="S58" s="1">
        <v>82</v>
      </c>
      <c r="T58" s="1">
        <v>0</v>
      </c>
      <c r="U58" s="1">
        <f>Games[[#This Row],[PointsFor]]-Games[[#This Row],[PointsAgainst]]</f>
        <v>-5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0.31312094540847196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8" s="9">
        <f>MAX(kmin, kmax - 0.15 * MIN(Games[[#This Row],[GamesPlayed]], 82))</f>
        <v>75.25</v>
      </c>
      <c r="Z58" s="4">
        <f>Games[[#This Row],[K]]*Games[[#This Row],[POMult]]</f>
        <v>75.25</v>
      </c>
      <c r="AA58" s="4">
        <f>(Games[[#This Row],[Keff]]*Games[[#This Row],[MOVMult]])*(Games[[#This Row],[Result]]-Games[[#This Row],[ExpectedWin%]])</f>
        <v>-5.9782970354243128</v>
      </c>
      <c r="AB58" s="4">
        <f>Games[[#This Row],[PreGmRate]]+Games[[#This Row],[RatingChange]]</f>
        <v>1540.2909669446308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45804</v>
      </c>
      <c r="B59" s="2">
        <v>2025</v>
      </c>
      <c r="C59" s="2">
        <f>COUNTIFS(Games[Team],Games[[#This Row],[Team]],Games[Season],Games[[#This Row],[Season]],Games[Date],"&lt;=" &amp; Games[[#This Row],[Date]])</f>
        <v>5</v>
      </c>
      <c r="D59" s="2" t="s">
        <v>79</v>
      </c>
      <c r="E59" s="2" t="s">
        <v>80</v>
      </c>
      <c r="F59" s="1" t="s">
        <v>67</v>
      </c>
      <c r="G59" s="1" t="s">
        <v>71</v>
      </c>
      <c r="H59" s="1" t="s">
        <v>82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" s="2">
        <f>Games[[#This Row],[DaysOff]]-Games[[#This Row],[OppDaysOff]]</f>
        <v>2</v>
      </c>
      <c r="L59" s="2">
        <f>Games[[#This Row],[OppDaysOff]]-Games[[#This Row],[DaysOff]]</f>
        <v>-2</v>
      </c>
      <c r="M59" s="1">
        <f>MAX(-16, MIN(16, Games[[#This Row],[RestDiff]]*8))</f>
        <v>16</v>
      </c>
      <c r="N59" s="1">
        <f>MAX(-16, MIN(16, Games[[#This Row],[OppRestDiff]]*8))</f>
        <v>-16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1617.6858727736928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1546.269263980055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0.74627756799824885</v>
      </c>
      <c r="R59" s="1">
        <v>82</v>
      </c>
      <c r="S59" s="1">
        <v>77</v>
      </c>
      <c r="T59" s="1">
        <v>0</v>
      </c>
      <c r="U59" s="1">
        <f>Games[[#This Row],[PointsFor]]-Games[[#This Row],[PointsAgainst]]</f>
        <v>5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0.31312094540847196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5.978297035424311</v>
      </c>
      <c r="AB59" s="4">
        <f>Games[[#This Row],[PreGmRate]]+Games[[#This Row],[RatingChange]]</f>
        <v>1623.6641698091171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45804</v>
      </c>
      <c r="B60" s="2">
        <v>2025</v>
      </c>
      <c r="C60" s="2">
        <f>COUNTIFS(Games[Team],Games[[#This Row],[Team]],Games[Season],Games[[#This Row],[Season]],Games[Date],"&lt;=" &amp; Games[[#This Row],[Date]])</f>
        <v>4</v>
      </c>
      <c r="D60" s="2" t="s">
        <v>79</v>
      </c>
      <c r="E60" s="2" t="s">
        <v>80</v>
      </c>
      <c r="F60" s="1" t="s">
        <v>88</v>
      </c>
      <c r="G60" s="1" t="s">
        <v>60</v>
      </c>
      <c r="H60" s="1" t="s">
        <v>81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0" s="2">
        <f>Games[[#This Row],[DaysOff]]-Games[[#This Row],[OppDaysOff]]</f>
        <v>1</v>
      </c>
      <c r="L60" s="2">
        <f>Games[[#This Row],[OppDaysOff]]-Games[[#This Row],[DaysOff]]</f>
        <v>-1</v>
      </c>
      <c r="M60" s="1">
        <f>MAX(-16, MIN(16, Games[[#This Row],[RestDiff]]*8))</f>
        <v>8</v>
      </c>
      <c r="N60" s="1">
        <f>MAX(-16, MIN(16, Games[[#This Row],[OppRestDiff]]*8))</f>
        <v>-8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1495.1136819553333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1652.5346724243161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0.21456457041010596</v>
      </c>
      <c r="R60" s="1">
        <v>67</v>
      </c>
      <c r="S60" s="1">
        <v>95</v>
      </c>
      <c r="T60" s="1">
        <v>0</v>
      </c>
      <c r="U60" s="1">
        <f>Games[[#This Row],[PointsFor]]-Games[[#This Row],[PointsAgainst]]</f>
        <v>-28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0.60033519284517323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0" s="9">
        <f>MAX(kmin, kmax - 0.15 * MIN(Games[[#This Row],[GamesPlayed]], 82))</f>
        <v>75.400000000000006</v>
      </c>
      <c r="Z60" s="4">
        <f>Games[[#This Row],[K]]*Games[[#This Row],[POMult]]</f>
        <v>75.400000000000006</v>
      </c>
      <c r="AA60" s="4">
        <f>(Games[[#This Row],[Keff]]*Games[[#This Row],[MOVMult]])*(Games[[#This Row],[Result]]-Games[[#This Row],[ExpectedWin%]])</f>
        <v>-9.7123239717189112</v>
      </c>
      <c r="AB60" s="4">
        <f>Games[[#This Row],[PreGmRate]]+Games[[#This Row],[RatingChange]]</f>
        <v>1485.4013579836144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45804</v>
      </c>
      <c r="B61" s="2">
        <v>2025</v>
      </c>
      <c r="C61" s="2">
        <f>COUNTIFS(Games[Team],Games[[#This Row],[Team]],Games[Season],Games[[#This Row],[Season]],Games[Date],"&lt;=" &amp; Games[[#This Row],[Date]])</f>
        <v>4</v>
      </c>
      <c r="D61" s="2" t="s">
        <v>79</v>
      </c>
      <c r="E61" s="2" t="s">
        <v>80</v>
      </c>
      <c r="F61" s="1" t="s">
        <v>60</v>
      </c>
      <c r="G61" s="1" t="s">
        <v>88</v>
      </c>
      <c r="H61" s="1" t="s">
        <v>82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1" s="2">
        <f>Games[[#This Row],[DaysOff]]-Games[[#This Row],[OppDaysOff]]</f>
        <v>-1</v>
      </c>
      <c r="L61" s="2">
        <f>Games[[#This Row],[OppDaysOff]]-Games[[#This Row],[DaysOff]]</f>
        <v>1</v>
      </c>
      <c r="M61" s="1">
        <f>MAX(-16, MIN(16, Games[[#This Row],[RestDiff]]*8))</f>
        <v>-8</v>
      </c>
      <c r="N61" s="1">
        <f>MAX(-16, MIN(16, Games[[#This Row],[OppRestDiff]]*8))</f>
        <v>8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1652.5346724243161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1495.1136819553333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0.7854354295898941</v>
      </c>
      <c r="R61" s="1">
        <v>95</v>
      </c>
      <c r="S61" s="1">
        <v>67</v>
      </c>
      <c r="T61" s="1">
        <v>0</v>
      </c>
      <c r="U61" s="1">
        <f>Games[[#This Row],[PointsFor]]-Games[[#This Row],[PointsAgainst]]</f>
        <v>28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0.60033519284517323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9.7123239717189094</v>
      </c>
      <c r="AB61" s="4">
        <f>Games[[#This Row],[PreGmRate]]+Games[[#This Row],[RatingChange]]</f>
        <v>1662.246996396035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45804</v>
      </c>
      <c r="B62" s="2">
        <v>2025</v>
      </c>
      <c r="C62" s="2">
        <f>COUNTIFS(Games[Team],Games[[#This Row],[Team]],Games[Season],Games[[#This Row],[Season]],Games[Date],"&lt;=" &amp; Games[[#This Row],[Date]])</f>
        <v>4</v>
      </c>
      <c r="D62" s="2" t="s">
        <v>79</v>
      </c>
      <c r="E62" s="2" t="s">
        <v>80</v>
      </c>
      <c r="F62" s="1" t="s">
        <v>75</v>
      </c>
      <c r="G62" s="1" t="s">
        <v>40</v>
      </c>
      <c r="H62" s="1" t="s">
        <v>81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1381.7674346519859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1485.4849373855222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0.25339460625140797</v>
      </c>
      <c r="R62" s="1">
        <v>89</v>
      </c>
      <c r="S62" s="1">
        <v>94</v>
      </c>
      <c r="T62" s="1">
        <v>0</v>
      </c>
      <c r="U62" s="1">
        <f>Games[[#This Row],[PointsFor]]-Games[[#This Row],[PointsAgainst]]</f>
        <v>-5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0.30536306348482417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2" s="9">
        <f>MAX(kmin, kmax - 0.15 * MIN(Games[[#This Row],[GamesPlayed]], 82))</f>
        <v>75.400000000000006</v>
      </c>
      <c r="Z62" s="4">
        <f>Games[[#This Row],[K]]*Games[[#This Row],[POMult]]</f>
        <v>75.400000000000006</v>
      </c>
      <c r="AA62" s="4">
        <f>(Games[[#This Row],[Keff]]*Games[[#This Row],[MOVMult]])*(Games[[#This Row],[Result]]-Games[[#This Row],[ExpectedWin%]])</f>
        <v>-5.8342524339537389</v>
      </c>
      <c r="AB62" s="4">
        <f>Games[[#This Row],[PreGmRate]]+Games[[#This Row],[RatingChange]]</f>
        <v>1375.9331822180322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45804</v>
      </c>
      <c r="B63" s="2">
        <v>2025</v>
      </c>
      <c r="C63" s="2">
        <f>COUNTIFS(Games[Team],Games[[#This Row],[Team]],Games[Season],Games[[#This Row],[Season]],Games[Date],"&lt;=" &amp; Games[[#This Row],[Date]])</f>
        <v>5</v>
      </c>
      <c r="D63" s="2" t="s">
        <v>79</v>
      </c>
      <c r="E63" s="2" t="s">
        <v>80</v>
      </c>
      <c r="F63" s="1" t="s">
        <v>40</v>
      </c>
      <c r="G63" s="1" t="s">
        <v>75</v>
      </c>
      <c r="H63" s="1" t="s">
        <v>82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1485.4849373855222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1381.7674346519859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0.74660539374859214</v>
      </c>
      <c r="R63" s="1">
        <v>94</v>
      </c>
      <c r="S63" s="1">
        <v>89</v>
      </c>
      <c r="T63" s="1">
        <v>0</v>
      </c>
      <c r="U63" s="1">
        <f>Games[[#This Row],[PointsFor]]-Games[[#This Row],[PointsAgainst]]</f>
        <v>5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0.30536306348482417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3" s="9">
        <f>MAX(kmin, kmax - 0.15 * MIN(Games[[#This Row],[GamesPlayed]], 82))</f>
        <v>75.25</v>
      </c>
      <c r="Z63" s="4">
        <f>Games[[#This Row],[K]]*Games[[#This Row],[POMult]]</f>
        <v>75.25</v>
      </c>
      <c r="AA63" s="4">
        <f>(Games[[#This Row],[Keff]]*Games[[#This Row],[MOVMult]])*(Games[[#This Row],[Result]]-Games[[#This Row],[ExpectedWin%]])</f>
        <v>5.8226458309684164</v>
      </c>
      <c r="AB63" s="4">
        <f>Games[[#This Row],[PreGmRate]]+Games[[#This Row],[RatingChange]]</f>
        <v>1491.3075832164907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45805</v>
      </c>
      <c r="B64" s="2">
        <v>2025</v>
      </c>
      <c r="C64" s="2">
        <f>COUNTIFS(Games[Team],Games[[#This Row],[Team]],Games[Season],Games[[#This Row],[Season]],Games[Date],"&lt;=" &amp; Games[[#This Row],[Date]])</f>
        <v>5</v>
      </c>
      <c r="D64" s="2" t="s">
        <v>79</v>
      </c>
      <c r="E64" s="2" t="s">
        <v>80</v>
      </c>
      <c r="F64" s="1" t="s">
        <v>69</v>
      </c>
      <c r="G64" s="1" t="s">
        <v>65</v>
      </c>
      <c r="H64" s="1" t="s">
        <v>81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1</v>
      </c>
      <c r="L64" s="2">
        <f>Games[[#This Row],[OppDaysOff]]-Games[[#This Row],[DaysOff]]</f>
        <v>-1</v>
      </c>
      <c r="M64" s="1">
        <f>MAX(-16, MIN(16, Games[[#This Row],[RestDiff]]*8))</f>
        <v>8</v>
      </c>
      <c r="N64" s="1">
        <f>MAX(-16, MIN(16, Games[[#This Row],[OppRestDiff]]*8))</f>
        <v>-8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1500.174426301915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1480.4181704439245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0.43101447622126071</v>
      </c>
      <c r="R64" s="1">
        <v>77</v>
      </c>
      <c r="S64" s="1">
        <v>83</v>
      </c>
      <c r="T64" s="1">
        <v>0</v>
      </c>
      <c r="U64" s="1">
        <f>Games[[#This Row],[PointsFor]]-Games[[#This Row],[PointsAgainst]]</f>
        <v>-6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0.34559110583341596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4" s="9">
        <f>MAX(kmin, kmax - 0.15 * MIN(Games[[#This Row],[GamesPlayed]], 82))</f>
        <v>75.25</v>
      </c>
      <c r="Z64" s="4">
        <f>Games[[#This Row],[K]]*Games[[#This Row],[POMult]]</f>
        <v>75.25</v>
      </c>
      <c r="AA64" s="4">
        <f>(Games[[#This Row],[Keff]]*Games[[#This Row],[MOVMult]])*(Games[[#This Row],[Result]]-Games[[#This Row],[ExpectedWin%]])</f>
        <v>-11.208846402430583</v>
      </c>
      <c r="AB64" s="4">
        <f>Games[[#This Row],[PreGmRate]]+Games[[#This Row],[RatingChange]]</f>
        <v>1488.9655798994845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45805</v>
      </c>
      <c r="B65" s="2">
        <v>2025</v>
      </c>
      <c r="C65" s="2">
        <f>COUNTIFS(Games[Team],Games[[#This Row],[Team]],Games[Season],Games[[#This Row],[Season]],Games[Date],"&lt;=" &amp; Games[[#This Row],[Date]])</f>
        <v>6</v>
      </c>
      <c r="D65" s="2" t="s">
        <v>79</v>
      </c>
      <c r="E65" s="2" t="s">
        <v>80</v>
      </c>
      <c r="F65" s="1" t="s">
        <v>65</v>
      </c>
      <c r="G65" s="1" t="s">
        <v>69</v>
      </c>
      <c r="H65" s="1" t="s">
        <v>82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5" s="2">
        <f>Games[[#This Row],[DaysOff]]-Games[[#This Row],[OppDaysOff]]</f>
        <v>-1</v>
      </c>
      <c r="L65" s="2">
        <f>Games[[#This Row],[OppDaysOff]]-Games[[#This Row],[DaysOff]]</f>
        <v>1</v>
      </c>
      <c r="M65" s="1">
        <f>MAX(-16, MIN(16, Games[[#This Row],[RestDiff]]*8))</f>
        <v>-8</v>
      </c>
      <c r="N65" s="1">
        <f>MAX(-16, MIN(16, Games[[#This Row],[OppRestDiff]]*8))</f>
        <v>8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1480.4181704439245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1500.174426301915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0.56898552377873934</v>
      </c>
      <c r="R65" s="1">
        <v>83</v>
      </c>
      <c r="S65" s="1">
        <v>77</v>
      </c>
      <c r="T65" s="1">
        <v>0</v>
      </c>
      <c r="U65" s="1">
        <f>Games[[#This Row],[PointsFor]]-Games[[#This Row],[PointsAgainst]]</f>
        <v>6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0.34559110583341596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5" s="9">
        <f>MAX(kmin, kmax - 0.15 * MIN(Games[[#This Row],[GamesPlayed]], 82))</f>
        <v>75.099999999999994</v>
      </c>
      <c r="Z65" s="4">
        <f>Games[[#This Row],[K]]*Games[[#This Row],[POMult]]</f>
        <v>75.099999999999994</v>
      </c>
      <c r="AA65" s="4">
        <f>(Games[[#This Row],[Keff]]*Games[[#This Row],[MOVMult]])*(Games[[#This Row],[Result]]-Games[[#This Row],[ExpectedWin%]])</f>
        <v>11.186503187010453</v>
      </c>
      <c r="AB65" s="4">
        <f>Games[[#This Row],[PreGmRate]]+Games[[#This Row],[RatingChange]]</f>
        <v>1491.6046736309349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45806</v>
      </c>
      <c r="B66" s="2">
        <v>2025</v>
      </c>
      <c r="C66" s="2">
        <f>COUNTIFS(Games[Team],Games[[#This Row],[Team]],Games[Season],Games[[#This Row],[Season]],Games[Date],"&lt;=" &amp; Games[[#This Row],[Date]])</f>
        <v>6</v>
      </c>
      <c r="D66" s="2" t="s">
        <v>79</v>
      </c>
      <c r="E66" s="2" t="s">
        <v>80</v>
      </c>
      <c r="F66" s="1" t="s">
        <v>85</v>
      </c>
      <c r="G66" s="1" t="s">
        <v>75</v>
      </c>
      <c r="H66" s="1" t="s">
        <v>81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1409.0805913985096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1375.9331822180322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0.42733539415729532</v>
      </c>
      <c r="R66" s="1">
        <v>92</v>
      </c>
      <c r="S66" s="1">
        <v>97</v>
      </c>
      <c r="T66" s="1">
        <v>0</v>
      </c>
      <c r="U66" s="1">
        <f>Games[[#This Row],[PointsFor]]-Games[[#This Row],[PointsAgainst]]</f>
        <v>-5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0.32283826539283778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-10.360812326042009</v>
      </c>
      <c r="AB66" s="4">
        <f>Games[[#This Row],[PreGmRate]]+Games[[#This Row],[RatingChange]]</f>
        <v>1398.7197790724676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45806</v>
      </c>
      <c r="B67" s="2">
        <v>2025</v>
      </c>
      <c r="C67" s="2">
        <f>COUNTIFS(Games[Team],Games[[#This Row],[Team]],Games[Season],Games[[#This Row],[Season]],Games[Date],"&lt;=" &amp; Games[[#This Row],[Date]])</f>
        <v>5</v>
      </c>
      <c r="D67" s="2" t="s">
        <v>79</v>
      </c>
      <c r="E67" s="2" t="s">
        <v>80</v>
      </c>
      <c r="F67" s="1" t="s">
        <v>75</v>
      </c>
      <c r="G67" s="1" t="s">
        <v>85</v>
      </c>
      <c r="H67" s="1" t="s">
        <v>82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1375.9331822180322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1409.0805913985096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0.57266460584270462</v>
      </c>
      <c r="R67" s="1">
        <v>97</v>
      </c>
      <c r="S67" s="1">
        <v>92</v>
      </c>
      <c r="T67" s="1">
        <v>0</v>
      </c>
      <c r="U67" s="1">
        <f>Games[[#This Row],[PointsFor]]-Games[[#This Row],[PointsAgainst]]</f>
        <v>5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0.32283826539283778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10.381506358650617</v>
      </c>
      <c r="AB67" s="4">
        <f>Games[[#This Row],[PreGmRate]]+Games[[#This Row],[RatingChange]]</f>
        <v>1386.3146885766828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45806</v>
      </c>
      <c r="B68" s="2">
        <v>2025</v>
      </c>
      <c r="C68" s="2">
        <f>COUNTIFS(Games[Team],Games[[#This Row],[Team]],Games[Season],Games[[#This Row],[Season]],Games[Date],"&lt;=" &amp; Games[[#This Row],[Date]])</f>
        <v>5</v>
      </c>
      <c r="D68" s="2" t="s">
        <v>79</v>
      </c>
      <c r="E68" s="2" t="s">
        <v>80</v>
      </c>
      <c r="F68" s="1" t="s">
        <v>88</v>
      </c>
      <c r="G68" s="1" t="s">
        <v>60</v>
      </c>
      <c r="H68" s="1" t="s">
        <v>81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1485.4013579836144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1662.246996396035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0.18219472931866418</v>
      </c>
      <c r="R68" s="1">
        <v>77</v>
      </c>
      <c r="S68" s="1">
        <v>82</v>
      </c>
      <c r="T68" s="1">
        <v>0</v>
      </c>
      <c r="U68" s="1">
        <f>Games[[#This Row],[PointsFor]]-Games[[#This Row],[PointsAgainst]]</f>
        <v>-5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0.28914437424701939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8" s="9">
        <f>MAX(kmin, kmax - 0.15 * MIN(Games[[#This Row],[GamesPlayed]], 82))</f>
        <v>75.25</v>
      </c>
      <c r="Z68" s="4">
        <f>Games[[#This Row],[K]]*Games[[#This Row],[POMult]]</f>
        <v>75.25</v>
      </c>
      <c r="AA68" s="4">
        <f>(Games[[#This Row],[Keff]]*Games[[#This Row],[MOVMult]])*(Games[[#This Row],[Result]]-Games[[#This Row],[ExpectedWin%]])</f>
        <v>-3.9642137202462546</v>
      </c>
      <c r="AB68" s="4">
        <f>Games[[#This Row],[PreGmRate]]+Games[[#This Row],[RatingChange]]</f>
        <v>1481.4371442633681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45806</v>
      </c>
      <c r="B69" s="2">
        <v>2025</v>
      </c>
      <c r="C69" s="2">
        <f>COUNTIFS(Games[Team],Games[[#This Row],[Team]],Games[Season],Games[[#This Row],[Season]],Games[Date],"&lt;=" &amp; Games[[#This Row],[Date]])</f>
        <v>5</v>
      </c>
      <c r="D69" s="2" t="s">
        <v>79</v>
      </c>
      <c r="E69" s="2" t="s">
        <v>80</v>
      </c>
      <c r="F69" s="1" t="s">
        <v>60</v>
      </c>
      <c r="G69" s="1" t="s">
        <v>88</v>
      </c>
      <c r="H69" s="1" t="s">
        <v>82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1662.246996396035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1485.4013579836144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0.81780527068133591</v>
      </c>
      <c r="R69" s="1">
        <v>82</v>
      </c>
      <c r="S69" s="1">
        <v>77</v>
      </c>
      <c r="T69" s="1">
        <v>0</v>
      </c>
      <c r="U69" s="1">
        <f>Games[[#This Row],[PointsFor]]-Games[[#This Row],[PointsAgainst]]</f>
        <v>5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0.28914437424701939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9" s="9">
        <f>MAX(kmin, kmax - 0.15 * MIN(Games[[#This Row],[GamesPlayed]], 82))</f>
        <v>75.25</v>
      </c>
      <c r="Z69" s="4">
        <f>Games[[#This Row],[K]]*Games[[#This Row],[POMult]]</f>
        <v>75.25</v>
      </c>
      <c r="AA69" s="4">
        <f>(Games[[#This Row],[Keff]]*Games[[#This Row],[MOVMult]])*(Games[[#This Row],[Result]]-Games[[#This Row],[ExpectedWin%]])</f>
        <v>3.9642137202462528</v>
      </c>
      <c r="AB69" s="4">
        <f>Games[[#This Row],[PreGmRate]]+Games[[#This Row],[RatingChange]]</f>
        <v>1666.2112101162813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45807</v>
      </c>
      <c r="B70" s="2">
        <v>2025</v>
      </c>
      <c r="C70" s="2">
        <f>COUNTIFS(Games[Team],Games[[#This Row],[Team]],Games[Season],Games[[#This Row],[Season]],Games[Date],"&lt;=" &amp; Games[[#This Row],[Date]])</f>
        <v>6</v>
      </c>
      <c r="D70" s="2" t="s">
        <v>79</v>
      </c>
      <c r="E70" s="2" t="s">
        <v>80</v>
      </c>
      <c r="F70" s="1" t="s">
        <v>74</v>
      </c>
      <c r="G70" s="1" t="s">
        <v>69</v>
      </c>
      <c r="H70" s="1" t="s">
        <v>81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1</v>
      </c>
      <c r="L70" s="2">
        <f>Games[[#This Row],[OppDaysOff]]-Games[[#This Row],[DaysOff]]</f>
        <v>-1</v>
      </c>
      <c r="M70" s="1">
        <f>MAX(-16, MIN(16, Games[[#This Row],[RestDiff]]*8))</f>
        <v>8</v>
      </c>
      <c r="N70" s="1">
        <f>MAX(-16, MIN(16, Games[[#This Row],[OppRestDiff]]*8))</f>
        <v>-8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1456.8095244393037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1488.9655798994845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0.35972806795908174</v>
      </c>
      <c r="R70" s="1">
        <v>85</v>
      </c>
      <c r="S70" s="1">
        <v>83</v>
      </c>
      <c r="T70" s="1">
        <v>0</v>
      </c>
      <c r="U70" s="1">
        <f>Games[[#This Row],[PointsFor]]-Games[[#This Row],[PointsAgainst]]</f>
        <v>2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0.26085136176323465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12.542886983410972</v>
      </c>
      <c r="AB70" s="4">
        <f>Games[[#This Row],[PreGmRate]]+Games[[#This Row],[RatingChange]]</f>
        <v>1469.3524114227146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45807</v>
      </c>
      <c r="B71" s="2">
        <v>2025</v>
      </c>
      <c r="C71" s="2">
        <f>COUNTIFS(Games[Team],Games[[#This Row],[Team]],Games[Season],Games[[#This Row],[Season]],Games[Date],"&lt;=" &amp; Games[[#This Row],[Date]])</f>
        <v>6</v>
      </c>
      <c r="D71" s="2" t="s">
        <v>79</v>
      </c>
      <c r="E71" s="2" t="s">
        <v>80</v>
      </c>
      <c r="F71" s="1" t="s">
        <v>69</v>
      </c>
      <c r="G71" s="1" t="s">
        <v>74</v>
      </c>
      <c r="H71" s="1" t="s">
        <v>82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1" s="2">
        <f>Games[[#This Row],[DaysOff]]-Games[[#This Row],[OppDaysOff]]</f>
        <v>-1</v>
      </c>
      <c r="L71" s="2">
        <f>Games[[#This Row],[OppDaysOff]]-Games[[#This Row],[DaysOff]]</f>
        <v>1</v>
      </c>
      <c r="M71" s="1">
        <f>MAX(-16, MIN(16, Games[[#This Row],[RestDiff]]*8))</f>
        <v>-8</v>
      </c>
      <c r="N71" s="1">
        <f>MAX(-16, MIN(16, Games[[#This Row],[OppRestDiff]]*8))</f>
        <v>8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1488.9655798994845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1456.8095244393037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0.64027193204091837</v>
      </c>
      <c r="R71" s="1">
        <v>83</v>
      </c>
      <c r="S71" s="1">
        <v>85</v>
      </c>
      <c r="T71" s="1">
        <v>0</v>
      </c>
      <c r="U71" s="1">
        <f>Games[[#This Row],[PointsFor]]-Games[[#This Row],[PointsAgainst]]</f>
        <v>-2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0.26085136176323465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1" s="9">
        <f>MAX(kmin, kmax - 0.15 * MIN(Games[[#This Row],[GamesPlayed]], 82))</f>
        <v>75.099999999999994</v>
      </c>
      <c r="Z71" s="4">
        <f>Games[[#This Row],[K]]*Games[[#This Row],[POMult]]</f>
        <v>75.099999999999994</v>
      </c>
      <c r="AA71" s="4">
        <f>(Games[[#This Row],[Keff]]*Games[[#This Row],[MOVMult]])*(Games[[#This Row],[Result]]-Games[[#This Row],[ExpectedWin%]])</f>
        <v>-12.542886983410973</v>
      </c>
      <c r="AB71" s="4">
        <f>Games[[#This Row],[PreGmRate]]+Games[[#This Row],[RatingChange]]</f>
        <v>1476.4226929160736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45807</v>
      </c>
      <c r="B72" s="2">
        <v>2025</v>
      </c>
      <c r="C72" s="2">
        <f>COUNTIFS(Games[Team],Games[[#This Row],[Team]],Games[Season],Games[[#This Row],[Season]],Games[Date],"&lt;=" &amp; Games[[#This Row],[Date]])</f>
        <v>7</v>
      </c>
      <c r="D72" s="2" t="s">
        <v>79</v>
      </c>
      <c r="E72" s="2" t="s">
        <v>80</v>
      </c>
      <c r="F72" s="1" t="s">
        <v>63</v>
      </c>
      <c r="G72" s="1" t="s">
        <v>86</v>
      </c>
      <c r="H72" s="1" t="s">
        <v>81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2" s="2">
        <f>Games[[#This Row],[DaysOff]]-Games[[#This Row],[OppDaysOff]]</f>
        <v>-2</v>
      </c>
      <c r="L72" s="2">
        <f>Games[[#This Row],[OppDaysOff]]-Games[[#This Row],[DaysOff]]</f>
        <v>2</v>
      </c>
      <c r="M72" s="1">
        <f>MAX(-16, MIN(16, Games[[#This Row],[RestDiff]]*8))</f>
        <v>-16</v>
      </c>
      <c r="N72" s="1">
        <f>MAX(-16, MIN(16, Games[[#This Row],[OppRestDiff]]*8))</f>
        <v>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1398.663075206048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1580.4660911574083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0.15260785677230132</v>
      </c>
      <c r="R72" s="1">
        <v>81</v>
      </c>
      <c r="S72" s="1">
        <v>96</v>
      </c>
      <c r="T72" s="1">
        <v>0</v>
      </c>
      <c r="U72" s="1">
        <f>Games[[#This Row],[PointsFor]]-Games[[#This Row],[PointsAgainst]]</f>
        <v>-15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0.43668860661667325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-4.9948263193323506</v>
      </c>
      <c r="AB72" s="4">
        <f>Games[[#This Row],[PreGmRate]]+Games[[#This Row],[RatingChange]]</f>
        <v>1393.6682488867157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45807</v>
      </c>
      <c r="B73" s="2">
        <v>2025</v>
      </c>
      <c r="C73" s="2">
        <f>COUNTIFS(Games[Team],Games[[#This Row],[Team]],Games[Season],Games[[#This Row],[Season]],Games[Date],"&lt;=" &amp; Games[[#This Row],[Date]])</f>
        <v>5</v>
      </c>
      <c r="D73" s="2" t="s">
        <v>79</v>
      </c>
      <c r="E73" s="2" t="s">
        <v>80</v>
      </c>
      <c r="F73" s="1" t="s">
        <v>86</v>
      </c>
      <c r="G73" s="1" t="s">
        <v>63</v>
      </c>
      <c r="H73" s="1" t="s">
        <v>82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3" s="2">
        <f>Games[[#This Row],[DaysOff]]-Games[[#This Row],[OppDaysOff]]</f>
        <v>2</v>
      </c>
      <c r="L73" s="2">
        <f>Games[[#This Row],[OppDaysOff]]-Games[[#This Row],[DaysOff]]</f>
        <v>-2</v>
      </c>
      <c r="M73" s="1">
        <f>MAX(-16, MIN(16, Games[[#This Row],[RestDiff]]*8))</f>
        <v>16</v>
      </c>
      <c r="N73" s="1">
        <f>MAX(-16, MIN(16, Games[[#This Row],[OppRestDiff]]*8))</f>
        <v>-16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1580.4660911574083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1398.663075206048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0.84739214322769862</v>
      </c>
      <c r="R73" s="1">
        <v>96</v>
      </c>
      <c r="S73" s="1">
        <v>81</v>
      </c>
      <c r="T73" s="1">
        <v>0</v>
      </c>
      <c r="U73" s="1">
        <f>Games[[#This Row],[PointsFor]]-Games[[#This Row],[PointsAgainst]]</f>
        <v>15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0.43668860661667325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3" s="9">
        <f>MAX(kmin, kmax - 0.15 * MIN(Games[[#This Row],[GamesPlayed]], 82))</f>
        <v>75.25</v>
      </c>
      <c r="Z73" s="4">
        <f>Games[[#This Row],[K]]*Games[[#This Row],[POMult]]</f>
        <v>75.25</v>
      </c>
      <c r="AA73" s="4">
        <f>(Games[[#This Row],[Keff]]*Games[[#This Row],[MOVMult]])*(Games[[#This Row],[Result]]-Games[[#This Row],[ExpectedWin%]])</f>
        <v>5.0148189530321474</v>
      </c>
      <c r="AB73" s="4">
        <f>Games[[#This Row],[PreGmRate]]+Games[[#This Row],[RatingChange]]</f>
        <v>1585.4809101104404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45807</v>
      </c>
      <c r="B74" s="2">
        <v>2025</v>
      </c>
      <c r="C74" s="2">
        <f>COUNTIFS(Games[Team],Games[[#This Row],[Team]],Games[Season],Games[[#This Row],[Season]],Games[Date],"&lt;=" &amp; Games[[#This Row],[Date]])</f>
        <v>6</v>
      </c>
      <c r="D74" s="2" t="s">
        <v>79</v>
      </c>
      <c r="E74" s="2" t="s">
        <v>80</v>
      </c>
      <c r="F74" s="1" t="s">
        <v>67</v>
      </c>
      <c r="G74" s="1" t="s">
        <v>40</v>
      </c>
      <c r="H74" s="1" t="s">
        <v>81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1623.6641698091171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1491.3075832164907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0.56914481865410871</v>
      </c>
      <c r="R74" s="1">
        <v>74</v>
      </c>
      <c r="S74" s="1">
        <v>71</v>
      </c>
      <c r="T74" s="1">
        <v>0</v>
      </c>
      <c r="U74" s="1">
        <f>Games[[#This Row],[PointsFor]]-Games[[#This Row],[PointsAgainst]]</f>
        <v>3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0.26135662841506213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4" s="9">
        <f>MAX(kmin, kmax - 0.15 * MIN(Games[[#This Row],[GamesPlayed]], 82))</f>
        <v>75.099999999999994</v>
      </c>
      <c r="Z74" s="4">
        <f>Games[[#This Row],[K]]*Games[[#This Row],[POMult]]</f>
        <v>75.099999999999994</v>
      </c>
      <c r="AA74" s="4">
        <f>(Games[[#This Row],[Keff]]*Games[[#This Row],[MOVMult]])*(Games[[#This Row],[Result]]-Games[[#This Row],[ExpectedWin%]])</f>
        <v>8.4567750006323461</v>
      </c>
      <c r="AB74" s="4">
        <f>Games[[#This Row],[PreGmRate]]+Games[[#This Row],[RatingChange]]</f>
        <v>1632.1209448097495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45807</v>
      </c>
      <c r="B75" s="2">
        <v>2025</v>
      </c>
      <c r="C75" s="2">
        <f>COUNTIFS(Games[Team],Games[[#This Row],[Team]],Games[Season],Games[[#This Row],[Season]],Games[Date],"&lt;=" &amp; Games[[#This Row],[Date]])</f>
        <v>6</v>
      </c>
      <c r="D75" s="2" t="s">
        <v>79</v>
      </c>
      <c r="E75" s="2" t="s">
        <v>80</v>
      </c>
      <c r="F75" s="1" t="s">
        <v>40</v>
      </c>
      <c r="G75" s="1" t="s">
        <v>67</v>
      </c>
      <c r="H75" s="1" t="s">
        <v>82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1491.3075832164907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1623.6641698091171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0.43085518134589124</v>
      </c>
      <c r="R75" s="1">
        <v>71</v>
      </c>
      <c r="S75" s="1">
        <v>74</v>
      </c>
      <c r="T75" s="1">
        <v>0</v>
      </c>
      <c r="U75" s="1">
        <f>Games[[#This Row],[PointsFor]]-Games[[#This Row],[PointsAgainst]]</f>
        <v>-3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0.26135662841506213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-8.4567750006323443</v>
      </c>
      <c r="AB75" s="4">
        <f>Games[[#This Row],[PreGmRate]]+Games[[#This Row],[RatingChange]]</f>
        <v>1482.8508082158583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45807</v>
      </c>
      <c r="B76" s="2">
        <v>2025</v>
      </c>
      <c r="C76" s="2">
        <f>COUNTIFS(Games[Team],Games[[#This Row],[Team]],Games[Season],Games[[#This Row],[Season]],Games[Date],"&lt;=" &amp; Games[[#This Row],[Date]])</f>
        <v>7</v>
      </c>
      <c r="D76" s="2" t="s">
        <v>79</v>
      </c>
      <c r="E76" s="2" t="s">
        <v>80</v>
      </c>
      <c r="F76" s="1" t="s">
        <v>77</v>
      </c>
      <c r="G76" s="1" t="s">
        <v>71</v>
      </c>
      <c r="H76" s="1" t="s">
        <v>81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1495.0337857489765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1540.2909669446308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0.32211606687859784</v>
      </c>
      <c r="R76" s="1">
        <v>94</v>
      </c>
      <c r="S76" s="1">
        <v>87</v>
      </c>
      <c r="T76" s="1">
        <v>0</v>
      </c>
      <c r="U76" s="1">
        <f>Games[[#This Row],[PointsFor]]-Games[[#This Row],[PointsAgainst]]</f>
        <v>7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0.35665612990735501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18.120770935503497</v>
      </c>
      <c r="AB76" s="4">
        <f>Games[[#This Row],[PreGmRate]]+Games[[#This Row],[RatingChange]]</f>
        <v>1513.15455668448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45807</v>
      </c>
      <c r="B77" s="2">
        <v>2025</v>
      </c>
      <c r="C77" s="2">
        <f>COUNTIFS(Games[Team],Games[[#This Row],[Team]],Games[Season],Games[[#This Row],[Season]],Games[Date],"&lt;=" &amp; Games[[#This Row],[Date]])</f>
        <v>6</v>
      </c>
      <c r="D77" s="2" t="s">
        <v>79</v>
      </c>
      <c r="E77" s="2" t="s">
        <v>80</v>
      </c>
      <c r="F77" s="1" t="s">
        <v>71</v>
      </c>
      <c r="G77" s="1" t="s">
        <v>77</v>
      </c>
      <c r="H77" s="1" t="s">
        <v>82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1540.2909669446308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1495.0337857489765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0.67788393312140216</v>
      </c>
      <c r="R77" s="1">
        <v>87</v>
      </c>
      <c r="S77" s="1">
        <v>94</v>
      </c>
      <c r="T77" s="1">
        <v>0</v>
      </c>
      <c r="U77" s="1">
        <f>Games[[#This Row],[PointsFor]]-Games[[#This Row],[PointsAgainst]]</f>
        <v>-7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0.35665612990735501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7" s="9">
        <f>MAX(kmin, kmax - 0.15 * MIN(Games[[#This Row],[GamesPlayed]], 82))</f>
        <v>75.099999999999994</v>
      </c>
      <c r="Z77" s="4">
        <f>Games[[#This Row],[K]]*Games[[#This Row],[POMult]]</f>
        <v>75.099999999999994</v>
      </c>
      <c r="AA77" s="4">
        <f>(Games[[#This Row],[Keff]]*Games[[#This Row],[MOVMult]])*(Games[[#This Row],[Result]]-Games[[#This Row],[ExpectedWin%]])</f>
        <v>-18.15703665452051</v>
      </c>
      <c r="AB77" s="4">
        <f>Games[[#This Row],[PreGmRate]]+Games[[#This Row],[RatingChange]]</f>
        <v>1522.1339302901104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45807</v>
      </c>
      <c r="B78" s="2">
        <v>2025</v>
      </c>
      <c r="C78" s="2">
        <f>COUNTIFS(Games[Team],Games[[#This Row],[Team]],Games[Season],Games[[#This Row],[Season]],Games[Date],"&lt;=" &amp; Games[[#This Row],[Date]])</f>
        <v>6</v>
      </c>
      <c r="D78" s="2" t="s">
        <v>79</v>
      </c>
      <c r="E78" s="2" t="s">
        <v>80</v>
      </c>
      <c r="F78" s="1" t="s">
        <v>60</v>
      </c>
      <c r="G78" s="1" t="s">
        <v>65</v>
      </c>
      <c r="H78" s="1" t="s">
        <v>81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-1</v>
      </c>
      <c r="L78" s="2">
        <f>Games[[#This Row],[OppDaysOff]]-Games[[#This Row],[DaysOff]]</f>
        <v>1</v>
      </c>
      <c r="M78" s="1">
        <f>MAX(-16, MIN(16, Games[[#This Row],[RestDiff]]*8))</f>
        <v>-8</v>
      </c>
      <c r="N78" s="1">
        <f>MAX(-16, MIN(16, Games[[#This Row],[OppRestDiff]]*8))</f>
        <v>8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1666.2112101162813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1491.6046736309349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0.60574704177649963</v>
      </c>
      <c r="R78" s="1">
        <v>85</v>
      </c>
      <c r="S78" s="1">
        <v>63</v>
      </c>
      <c r="T78" s="1">
        <v>0</v>
      </c>
      <c r="U78" s="1">
        <f>Games[[#This Row],[PointsFor]]-Games[[#This Row],[PointsAgainst]]</f>
        <v>22</v>
      </c>
      <c r="V78" s="1">
        <f>IF(Games[[#This Row],[MOV]]&gt;0,1,IF(Games[[#This Row],[MOV]]=0,0.5,0))</f>
        <v>1</v>
      </c>
      <c r="W78" s="4">
        <f>((ABS(Games[[#This Row],[MOV]])+5)^0.6)/(12+0.01*(ABS(Games[[#This Row],[PreGmRate]]-Games[[#This Row],[OppPreGmRate]])))*IF(Games[[#This Row],[OT]]=1,0.9,1)</f>
        <v>0.5255812382730578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8" s="9">
        <f>MAX(kmin, kmax - 0.15 * MIN(Games[[#This Row],[GamesPlayed]], 82))</f>
        <v>75.099999999999994</v>
      </c>
      <c r="Z78" s="4">
        <f>Games[[#This Row],[K]]*Games[[#This Row],[POMult]]</f>
        <v>75.099999999999994</v>
      </c>
      <c r="AA78" s="4">
        <f>(Games[[#This Row],[Keff]]*Games[[#This Row],[MOVMult]])*(Games[[#This Row],[Result]]-Games[[#This Row],[ExpectedWin%]])</f>
        <v>15.561618043991851</v>
      </c>
      <c r="AB78" s="4">
        <f>Games[[#This Row],[PreGmRate]]+Games[[#This Row],[RatingChange]]</f>
        <v>1681.7728281602731</v>
      </c>
      <c r="AC78" s="2">
        <f>IF(Games[[#This Row],[Type]]="R",IF(Games[[#This Row],[Result]]&gt;0.5,1,0),0)</f>
        <v>1</v>
      </c>
      <c r="AD78" s="2">
        <f>IF(Games[[#This Row],[Type]]="R",IF(Games[[#This Row],[Result]]&lt;0.5,1,0),0)</f>
        <v>0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45807</v>
      </c>
      <c r="B79" s="2">
        <v>2025</v>
      </c>
      <c r="C79" s="2">
        <f>COUNTIFS(Games[Team],Games[[#This Row],[Team]],Games[Season],Games[[#This Row],[Season]],Games[Date],"&lt;=" &amp; Games[[#This Row],[Date]])</f>
        <v>7</v>
      </c>
      <c r="D79" s="2" t="s">
        <v>79</v>
      </c>
      <c r="E79" s="2" t="s">
        <v>80</v>
      </c>
      <c r="F79" s="1" t="s">
        <v>65</v>
      </c>
      <c r="G79" s="1" t="s">
        <v>60</v>
      </c>
      <c r="H79" s="1" t="s">
        <v>82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9" s="2">
        <f>Games[[#This Row],[DaysOff]]-Games[[#This Row],[OppDaysOff]]</f>
        <v>1</v>
      </c>
      <c r="L79" s="2">
        <f>Games[[#This Row],[OppDaysOff]]-Games[[#This Row],[DaysOff]]</f>
        <v>-1</v>
      </c>
      <c r="M79" s="1">
        <f>MAX(-16, MIN(16, Games[[#This Row],[RestDiff]]*8))</f>
        <v>8</v>
      </c>
      <c r="N79" s="1">
        <f>MAX(-16, MIN(16, Games[[#This Row],[OppRestDiff]]*8))</f>
        <v>-8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1491.6046736309349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1666.2112101162813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0.39425295822350043</v>
      </c>
      <c r="R79" s="1">
        <v>63</v>
      </c>
      <c r="S79" s="1">
        <v>85</v>
      </c>
      <c r="T79" s="1">
        <v>0</v>
      </c>
      <c r="U79" s="1">
        <f>Games[[#This Row],[PointsFor]]-Games[[#This Row],[PointsAgainst]]</f>
        <v>-22</v>
      </c>
      <c r="V79" s="1">
        <f>IF(Games[[#This Row],[MOV]]&gt;0,1,IF(Games[[#This Row],[MOV]]=0,0.5,0))</f>
        <v>0</v>
      </c>
      <c r="W79" s="4">
        <f>((ABS(Games[[#This Row],[MOV]])+5)^0.6)/(12+0.01*(ABS(Games[[#This Row],[PreGmRate]]-Games[[#This Row],[OppPreGmRate]])))*IF(Games[[#This Row],[OT]]=1,0.9,1)</f>
        <v>0.5255812382730578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9" s="9">
        <f>MAX(kmin, kmax - 0.15 * MIN(Games[[#This Row],[GamesPlayed]], 82))</f>
        <v>74.95</v>
      </c>
      <c r="Z79" s="4">
        <f>Games[[#This Row],[K]]*Games[[#This Row],[POMult]]</f>
        <v>74.95</v>
      </c>
      <c r="AA79" s="4">
        <f>(Games[[#This Row],[Keff]]*Games[[#This Row],[MOVMult]])*(Games[[#This Row],[Result]]-Games[[#This Row],[ExpectedWin%]])</f>
        <v>-15.530536250295464</v>
      </c>
      <c r="AB79" s="4">
        <f>Games[[#This Row],[PreGmRate]]+Games[[#This Row],[RatingChange]]</f>
        <v>1476.0741373806395</v>
      </c>
      <c r="AC79" s="2">
        <f>IF(Games[[#This Row],[Type]]="R",IF(Games[[#This Row],[Result]]&gt;0.5,1,0),0)</f>
        <v>0</v>
      </c>
      <c r="AD79" s="2">
        <f>IF(Games[[#This Row],[Type]]="R",IF(Games[[#This Row],[Result]]&lt;0.5,1,0),0)</f>
        <v>1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45808</v>
      </c>
      <c r="B80" s="2">
        <v>2025</v>
      </c>
      <c r="C80" s="2">
        <f>COUNTIFS(Games[Team],Games[[#This Row],[Team]],Games[Season],Games[[#This Row],[Season]],Games[Date],"&lt;=" &amp; Games[[#This Row],[Date]])</f>
        <v>6</v>
      </c>
      <c r="D80" s="2" t="s">
        <v>79</v>
      </c>
      <c r="E80" s="2" t="s">
        <v>80</v>
      </c>
      <c r="F80" s="1" t="s">
        <v>75</v>
      </c>
      <c r="G80" s="1" t="s">
        <v>85</v>
      </c>
      <c r="H80" s="1" t="s">
        <v>81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1386.3146885766828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1398.7197790724676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0.36471620014440542</v>
      </c>
      <c r="R80" s="1">
        <v>94</v>
      </c>
      <c r="S80" s="1">
        <v>83</v>
      </c>
      <c r="T80" s="1">
        <v>0</v>
      </c>
      <c r="U80" s="1">
        <f>Games[[#This Row],[PointsFor]]-Games[[#This Row],[PointsAgainst]]</f>
        <v>11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0.43533565509307198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0" s="9">
        <f>MAX(kmin, kmax - 0.15 * MIN(Games[[#This Row],[GamesPlayed]], 82))</f>
        <v>75.099999999999994</v>
      </c>
      <c r="Z80" s="4">
        <f>Games[[#This Row],[K]]*Games[[#This Row],[POMult]]</f>
        <v>75.099999999999994</v>
      </c>
      <c r="AA80" s="4">
        <f>(Games[[#This Row],[Keff]]*Games[[#This Row],[MOVMult]])*(Games[[#This Row],[Result]]-Games[[#This Row],[ExpectedWin%]])</f>
        <v>20.769782857429362</v>
      </c>
      <c r="AB80" s="4">
        <f>Games[[#This Row],[PreGmRate]]+Games[[#This Row],[RatingChange]]</f>
        <v>1407.0844714341122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45808</v>
      </c>
      <c r="B81" s="2">
        <v>2025</v>
      </c>
      <c r="C81" s="2">
        <f>COUNTIFS(Games[Team],Games[[#This Row],[Team]],Games[Season],Games[[#This Row],[Season]],Games[Date],"&lt;=" &amp; Games[[#This Row],[Date]])</f>
        <v>7</v>
      </c>
      <c r="D81" s="2" t="s">
        <v>79</v>
      </c>
      <c r="E81" s="2" t="s">
        <v>80</v>
      </c>
      <c r="F81" s="1" t="s">
        <v>85</v>
      </c>
      <c r="G81" s="1" t="s">
        <v>75</v>
      </c>
      <c r="H81" s="1" t="s">
        <v>82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1398.7197790724676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1386.3146885766828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0.63528379985559458</v>
      </c>
      <c r="R81" s="1">
        <v>83</v>
      </c>
      <c r="S81" s="1">
        <v>94</v>
      </c>
      <c r="T81" s="1">
        <v>0</v>
      </c>
      <c r="U81" s="1">
        <f>Games[[#This Row],[PointsFor]]-Games[[#This Row],[PointsAgainst]]</f>
        <v>-11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0.43533565509307198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1" s="9">
        <f>MAX(kmin, kmax - 0.15 * MIN(Games[[#This Row],[GamesPlayed]], 82))</f>
        <v>74.95</v>
      </c>
      <c r="Z81" s="4">
        <f>Games[[#This Row],[K]]*Games[[#This Row],[POMult]]</f>
        <v>74.95</v>
      </c>
      <c r="AA81" s="4">
        <f>(Games[[#This Row],[Keff]]*Games[[#This Row],[MOVMult]])*(Games[[#This Row],[Result]]-Games[[#This Row],[ExpectedWin%]])</f>
        <v>-20.728298604052341</v>
      </c>
      <c r="AB81" s="4">
        <f>Games[[#This Row],[PreGmRate]]+Games[[#This Row],[RatingChange]]</f>
        <v>1377.9914804684154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45809</v>
      </c>
      <c r="B82" s="2">
        <v>2025</v>
      </c>
      <c r="C82" s="2">
        <f>COUNTIFS(Games[Team],Games[[#This Row],[Team]],Games[Season],Games[[#This Row],[Season]],Games[Date],"&lt;=" &amp; Games[[#This Row],[Date]])</f>
        <v>7</v>
      </c>
      <c r="D82" s="2" t="s">
        <v>79</v>
      </c>
      <c r="E82" s="2" t="s">
        <v>80</v>
      </c>
      <c r="F82" s="1" t="s">
        <v>67</v>
      </c>
      <c r="G82" s="1" t="s">
        <v>88</v>
      </c>
      <c r="H82" s="1" t="s">
        <v>81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2" s="2">
        <f>Games[[#This Row],[DaysOff]]-Games[[#This Row],[OppDaysOff]]</f>
        <v>-1</v>
      </c>
      <c r="L82" s="2">
        <f>Games[[#This Row],[OppDaysOff]]-Games[[#This Row],[DaysOff]]</f>
        <v>1</v>
      </c>
      <c r="M82" s="1">
        <f>MAX(-16, MIN(16, Games[[#This Row],[RestDiff]]*8))</f>
        <v>-8</v>
      </c>
      <c r="N82" s="1">
        <f>MAX(-16, MIN(16, Games[[#This Row],[OppRestDiff]]*8))</f>
        <v>8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1632.1209448097495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1481.4371442633681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0.5724268107162086</v>
      </c>
      <c r="R82" s="1">
        <v>86</v>
      </c>
      <c r="S82" s="1">
        <v>75</v>
      </c>
      <c r="T82" s="1">
        <v>0</v>
      </c>
      <c r="U82" s="1">
        <f>Games[[#This Row],[PointsFor]]-Games[[#This Row],[PointsAgainst]]</f>
        <v>11</v>
      </c>
      <c r="V82" s="1">
        <f>IF(Games[[#This Row],[MOV]]&gt;0,1,IF(Games[[#This Row],[MOV]]=0,0.5,0))</f>
        <v>1</v>
      </c>
      <c r="W82" s="4">
        <f>((ABS(Games[[#This Row],[MOV]])+5)^0.6)/(12+0.01*(ABS(Games[[#This Row],[PreGmRate]]-Games[[#This Row],[OppPreGmRate]])))*IF(Games[[#This Row],[OT]]=1,0.9,1)</f>
        <v>0.39076737582522991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2" s="9">
        <f>MAX(kmin, kmax - 0.15 * MIN(Games[[#This Row],[GamesPlayed]], 82))</f>
        <v>74.95</v>
      </c>
      <c r="Z82" s="4">
        <f>Games[[#This Row],[K]]*Games[[#This Row],[POMult]]</f>
        <v>74.95</v>
      </c>
      <c r="AA82" s="4">
        <f>(Games[[#This Row],[Keff]]*Games[[#This Row],[MOVMult]])*(Games[[#This Row],[Result]]-Games[[#This Row],[ExpectedWin%]])</f>
        <v>12.522769903566379</v>
      </c>
      <c r="AB82" s="4">
        <f>Games[[#This Row],[PreGmRate]]+Games[[#This Row],[RatingChange]]</f>
        <v>1644.6437147133158</v>
      </c>
      <c r="AC82" s="2">
        <f>IF(Games[[#This Row],[Type]]="R",IF(Games[[#This Row],[Result]]&gt;0.5,1,0),0)</f>
        <v>1</v>
      </c>
      <c r="AD82" s="2">
        <f>IF(Games[[#This Row],[Type]]="R",IF(Games[[#This Row],[Result]]&lt;0.5,1,0),0)</f>
        <v>0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45809</v>
      </c>
      <c r="B83" s="2">
        <v>2025</v>
      </c>
      <c r="C83" s="2">
        <f>COUNTIFS(Games[Team],Games[[#This Row],[Team]],Games[Season],Games[[#This Row],[Season]],Games[Date],"&lt;=" &amp; Games[[#This Row],[Date]])</f>
        <v>6</v>
      </c>
      <c r="D83" s="2" t="s">
        <v>79</v>
      </c>
      <c r="E83" s="2" t="s">
        <v>80</v>
      </c>
      <c r="F83" s="1" t="s">
        <v>88</v>
      </c>
      <c r="G83" s="1" t="s">
        <v>67</v>
      </c>
      <c r="H83" s="1" t="s">
        <v>82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3" s="2">
        <f>Games[[#This Row],[DaysOff]]-Games[[#This Row],[OppDaysOff]]</f>
        <v>1</v>
      </c>
      <c r="L83" s="2">
        <f>Games[[#This Row],[OppDaysOff]]-Games[[#This Row],[DaysOff]]</f>
        <v>-1</v>
      </c>
      <c r="M83" s="1">
        <f>MAX(-16, MIN(16, Games[[#This Row],[RestDiff]]*8))</f>
        <v>8</v>
      </c>
      <c r="N83" s="1">
        <f>MAX(-16, MIN(16, Games[[#This Row],[OppRestDiff]]*8))</f>
        <v>-8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1481.4371442633681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1632.1209448097495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0.4275731892837914</v>
      </c>
      <c r="R83" s="1">
        <v>75</v>
      </c>
      <c r="S83" s="1">
        <v>86</v>
      </c>
      <c r="T83" s="1">
        <v>0</v>
      </c>
      <c r="U83" s="1">
        <f>Games[[#This Row],[PointsFor]]-Games[[#This Row],[PointsAgainst]]</f>
        <v>-11</v>
      </c>
      <c r="V83" s="1">
        <f>IF(Games[[#This Row],[MOV]]&gt;0,1,IF(Games[[#This Row],[MOV]]=0,0.5,0))</f>
        <v>0</v>
      </c>
      <c r="W83" s="4">
        <f>((ABS(Games[[#This Row],[MOV]])+5)^0.6)/(12+0.01*(ABS(Games[[#This Row],[PreGmRate]]-Games[[#This Row],[OppPreGmRate]])))*IF(Games[[#This Row],[OT]]=1,0.9,1)</f>
        <v>0.39076737582522991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3" s="9">
        <f>MAX(kmin, kmax - 0.15 * MIN(Games[[#This Row],[GamesPlayed]], 82))</f>
        <v>75.099999999999994</v>
      </c>
      <c r="Z83" s="4">
        <f>Games[[#This Row],[K]]*Games[[#This Row],[POMult]]</f>
        <v>75.099999999999994</v>
      </c>
      <c r="AA83" s="4">
        <f>(Games[[#This Row],[Keff]]*Games[[#This Row],[MOVMult]])*(Games[[#This Row],[Result]]-Games[[#This Row],[ExpectedWin%]])</f>
        <v>-12.547832151538826</v>
      </c>
      <c r="AB83" s="4">
        <f>Games[[#This Row],[PreGmRate]]+Games[[#This Row],[RatingChange]]</f>
        <v>1468.8893121118292</v>
      </c>
      <c r="AC83" s="2">
        <f>IF(Games[[#This Row],[Type]]="R",IF(Games[[#This Row],[Result]]&gt;0.5,1,0),0)</f>
        <v>0</v>
      </c>
      <c r="AD83" s="2">
        <f>IF(Games[[#This Row],[Type]]="R",IF(Games[[#This Row],[Result]]&lt;0.5,1,0),0)</f>
        <v>1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45809</v>
      </c>
      <c r="B84" s="2">
        <v>2025</v>
      </c>
      <c r="C84" s="2">
        <f>COUNTIFS(Games[Team],Games[[#This Row],[Team]],Games[Season],Games[[#This Row],[Season]],Games[Date],"&lt;=" &amp; Games[[#This Row],[Date]])</f>
        <v>7</v>
      </c>
      <c r="D84" s="2" t="s">
        <v>79</v>
      </c>
      <c r="E84" s="2" t="s">
        <v>80</v>
      </c>
      <c r="F84" s="1" t="s">
        <v>40</v>
      </c>
      <c r="G84" s="1" t="s">
        <v>63</v>
      </c>
      <c r="H84" s="1" t="s">
        <v>81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1482.8508082158583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1393.6682488867157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0.50745774928839837</v>
      </c>
      <c r="R84" s="1">
        <v>85</v>
      </c>
      <c r="S84" s="1">
        <v>80</v>
      </c>
      <c r="T84" s="1">
        <v>0</v>
      </c>
      <c r="U84" s="1">
        <f>Games[[#This Row],[PointsFor]]-Games[[#This Row],[PointsAgainst]]</f>
        <v>5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0.30880589228624222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4" s="9">
        <f>MAX(kmin, kmax - 0.15 * MIN(Games[[#This Row],[GamesPlayed]], 82))</f>
        <v>74.95</v>
      </c>
      <c r="Z84" s="4">
        <f>Games[[#This Row],[K]]*Games[[#This Row],[POMult]]</f>
        <v>74.95</v>
      </c>
      <c r="AA84" s="4">
        <f>(Games[[#This Row],[Keff]]*Games[[#This Row],[MOVMult]])*(Games[[#This Row],[Result]]-Games[[#This Row],[ExpectedWin%]])</f>
        <v>11.399891194014279</v>
      </c>
      <c r="AB84" s="4">
        <f>Games[[#This Row],[PreGmRate]]+Games[[#This Row],[RatingChange]]</f>
        <v>1494.2506994098726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45809</v>
      </c>
      <c r="B85" s="2">
        <v>2025</v>
      </c>
      <c r="C85" s="2">
        <f>COUNTIFS(Games[Team],Games[[#This Row],[Team]],Games[Season],Games[[#This Row],[Season]],Games[Date],"&lt;=" &amp; Games[[#This Row],[Date]])</f>
        <v>8</v>
      </c>
      <c r="D85" s="2" t="s">
        <v>79</v>
      </c>
      <c r="E85" s="2" t="s">
        <v>80</v>
      </c>
      <c r="F85" s="1" t="s">
        <v>63</v>
      </c>
      <c r="G85" s="1" t="s">
        <v>40</v>
      </c>
      <c r="H85" s="1" t="s">
        <v>82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1393.6682488867157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1482.8508082158583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0.49254225071160168</v>
      </c>
      <c r="R85" s="1">
        <v>80</v>
      </c>
      <c r="S85" s="1">
        <v>85</v>
      </c>
      <c r="T85" s="1">
        <v>0</v>
      </c>
      <c r="U85" s="1">
        <f>Games[[#This Row],[PointsFor]]-Games[[#This Row],[PointsAgainst]]</f>
        <v>-5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0.30880589228624222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5" s="9">
        <f>MAX(kmin, kmax - 0.15 * MIN(Games[[#This Row],[GamesPlayed]], 82))</f>
        <v>74.8</v>
      </c>
      <c r="Z85" s="4">
        <f>Games[[#This Row],[K]]*Games[[#This Row],[POMult]]</f>
        <v>74.8</v>
      </c>
      <c r="AA85" s="4">
        <f>(Games[[#This Row],[Keff]]*Games[[#This Row],[MOVMult]])*(Games[[#This Row],[Result]]-Games[[#This Row],[ExpectedWin%]])</f>
        <v>-11.377076201631329</v>
      </c>
      <c r="AB85" s="4">
        <f>Games[[#This Row],[PreGmRate]]+Games[[#This Row],[RatingChange]]</f>
        <v>1382.2911726850843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45809</v>
      </c>
      <c r="B86" s="2">
        <v>2025</v>
      </c>
      <c r="C86" s="2">
        <f>COUNTIFS(Games[Team],Games[[#This Row],[Team]],Games[Season],Games[[#This Row],[Season]],Games[Date],"&lt;=" &amp; Games[[#This Row],[Date]])</f>
        <v>7</v>
      </c>
      <c r="D86" s="2" t="s">
        <v>79</v>
      </c>
      <c r="E86" s="2" t="s">
        <v>80</v>
      </c>
      <c r="F86" s="1" t="s">
        <v>74</v>
      </c>
      <c r="G86" s="1" t="s">
        <v>60</v>
      </c>
      <c r="H86" s="1" t="s">
        <v>81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1469.3524114227146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1681.7728281602731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0.15363993698945144</v>
      </c>
      <c r="R86" s="1">
        <v>52</v>
      </c>
      <c r="S86" s="1">
        <v>100</v>
      </c>
      <c r="T86" s="1">
        <v>0</v>
      </c>
      <c r="U86" s="1">
        <f>Games[[#This Row],[PointsFor]]-Games[[#This Row],[PointsAgainst]]</f>
        <v>-48</v>
      </c>
      <c r="V86" s="1">
        <f>IF(Games[[#This Row],[MOV]]&gt;0,1,IF(Games[[#This Row],[MOV]]=0,0.5,0))</f>
        <v>0</v>
      </c>
      <c r="W86" s="4">
        <f>((ABS(Games[[#This Row],[MOV]])+5)^0.6)/(12+0.01*(ABS(Games[[#This Row],[PreGmRate]]-Games[[#This Row],[OppPreGmRate]])))*IF(Games[[#This Row],[OT]]=1,0.9,1)</f>
        <v>0.76665775847476547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-8.8283042653550527</v>
      </c>
      <c r="AB86" s="4">
        <f>Games[[#This Row],[PreGmRate]]+Games[[#This Row],[RatingChange]]</f>
        <v>1460.5241071573596</v>
      </c>
      <c r="AC86" s="2">
        <f>IF(Games[[#This Row],[Type]]="R",IF(Games[[#This Row],[Result]]&gt;0.5,1,0),0)</f>
        <v>0</v>
      </c>
      <c r="AD86" s="2">
        <f>IF(Games[[#This Row],[Type]]="R",IF(Games[[#This Row],[Result]]&lt;0.5,1,0),0)</f>
        <v>1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45809</v>
      </c>
      <c r="B87" s="2">
        <v>2025</v>
      </c>
      <c r="C87" s="2">
        <f>COUNTIFS(Games[Team],Games[[#This Row],[Team]],Games[Season],Games[[#This Row],[Season]],Games[Date],"&lt;=" &amp; Games[[#This Row],[Date]])</f>
        <v>7</v>
      </c>
      <c r="D87" s="2" t="s">
        <v>79</v>
      </c>
      <c r="E87" s="2" t="s">
        <v>80</v>
      </c>
      <c r="F87" s="1" t="s">
        <v>60</v>
      </c>
      <c r="G87" s="1" t="s">
        <v>74</v>
      </c>
      <c r="H87" s="1" t="s">
        <v>82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1681.7728281602731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1469.3524114227146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0.84636006301054856</v>
      </c>
      <c r="R87" s="1">
        <v>100</v>
      </c>
      <c r="S87" s="1">
        <v>52</v>
      </c>
      <c r="T87" s="1">
        <v>0</v>
      </c>
      <c r="U87" s="1">
        <f>Games[[#This Row],[PointsFor]]-Games[[#This Row],[PointsAgainst]]</f>
        <v>48</v>
      </c>
      <c r="V87" s="1">
        <f>IF(Games[[#This Row],[MOV]]&gt;0,1,IF(Games[[#This Row],[MOV]]=0,0.5,0))</f>
        <v>1</v>
      </c>
      <c r="W87" s="4">
        <f>((ABS(Games[[#This Row],[MOV]])+5)^0.6)/(12+0.01*(ABS(Games[[#This Row],[PreGmRate]]-Games[[#This Row],[OppPreGmRate]])))*IF(Games[[#This Row],[OT]]=1,0.9,1)</f>
        <v>0.76665775847476547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7" s="9">
        <f>MAX(kmin, kmax - 0.15 * MIN(Games[[#This Row],[GamesPlayed]], 82))</f>
        <v>74.95</v>
      </c>
      <c r="Z87" s="4">
        <f>Games[[#This Row],[K]]*Games[[#This Row],[POMult]]</f>
        <v>74.95</v>
      </c>
      <c r="AA87" s="4">
        <f>(Games[[#This Row],[Keff]]*Games[[#This Row],[MOVMult]])*(Games[[#This Row],[Result]]-Games[[#This Row],[ExpectedWin%]])</f>
        <v>8.8283042653550527</v>
      </c>
      <c r="AB87" s="4">
        <f>Games[[#This Row],[PreGmRate]]+Games[[#This Row],[RatingChange]]</f>
        <v>1690.6011324256281</v>
      </c>
      <c r="AC87" s="2">
        <f>IF(Games[[#This Row],[Type]]="R",IF(Games[[#This Row],[Result]]&gt;0.5,1,0),0)</f>
        <v>1</v>
      </c>
      <c r="AD87" s="2">
        <f>IF(Games[[#This Row],[Type]]="R",IF(Games[[#This Row],[Result]]&lt;0.5,1,0),0)</f>
        <v>0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45809</v>
      </c>
      <c r="B88" s="2">
        <v>2025</v>
      </c>
      <c r="C88" s="2">
        <f>COUNTIFS(Games[Team],Games[[#This Row],[Team]],Games[Season],Games[[#This Row],[Season]],Games[Date],"&lt;=" &amp; Games[[#This Row],[Date]])</f>
        <v>6</v>
      </c>
      <c r="D88" s="2" t="s">
        <v>79</v>
      </c>
      <c r="E88" s="2" t="s">
        <v>80</v>
      </c>
      <c r="F88" s="1" t="s">
        <v>86</v>
      </c>
      <c r="G88" s="1" t="s">
        <v>71</v>
      </c>
      <c r="H88" s="1" t="s">
        <v>81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1585.4809101104404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1522.1339302901104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0.47031287409004768</v>
      </c>
      <c r="R88" s="1">
        <v>75</v>
      </c>
      <c r="S88" s="1">
        <v>70</v>
      </c>
      <c r="T88" s="1">
        <v>0</v>
      </c>
      <c r="U88" s="1">
        <f>Games[[#This Row],[PointsFor]]-Games[[#This Row],[PointsAgainst]]</f>
        <v>5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0.31512100548189464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8" s="9">
        <f>MAX(kmin, kmax - 0.15 * MIN(Games[[#This Row],[GamesPlayed]], 82))</f>
        <v>75.099999999999994</v>
      </c>
      <c r="Z88" s="4">
        <f>Games[[#This Row],[K]]*Games[[#This Row],[POMult]]</f>
        <v>75.099999999999994</v>
      </c>
      <c r="AA88" s="4">
        <f>(Games[[#This Row],[Keff]]*Games[[#This Row],[MOVMult]])*(Games[[#This Row],[Result]]-Games[[#This Row],[ExpectedWin%]])</f>
        <v>12.535357032037687</v>
      </c>
      <c r="AB88" s="4">
        <f>Games[[#This Row],[PreGmRate]]+Games[[#This Row],[RatingChange]]</f>
        <v>1598.016267142478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45809</v>
      </c>
      <c r="B89" s="2">
        <v>2025</v>
      </c>
      <c r="C89" s="2">
        <f>COUNTIFS(Games[Team],Games[[#This Row],[Team]],Games[Season],Games[[#This Row],[Season]],Games[Date],"&lt;=" &amp; Games[[#This Row],[Date]])</f>
        <v>7</v>
      </c>
      <c r="D89" s="2" t="s">
        <v>79</v>
      </c>
      <c r="E89" s="2" t="s">
        <v>80</v>
      </c>
      <c r="F89" s="1" t="s">
        <v>71</v>
      </c>
      <c r="G89" s="1" t="s">
        <v>86</v>
      </c>
      <c r="H89" s="1" t="s">
        <v>82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1522.1339302901104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1585.4809101104404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0.52968712590995226</v>
      </c>
      <c r="R89" s="1">
        <v>70</v>
      </c>
      <c r="S89" s="1">
        <v>75</v>
      </c>
      <c r="T89" s="1">
        <v>0</v>
      </c>
      <c r="U89" s="1">
        <f>Games[[#This Row],[PointsFor]]-Games[[#This Row],[PointsAgainst]]</f>
        <v>-5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0.31512100548189464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9" s="9">
        <f>MAX(kmin, kmax - 0.15 * MIN(Games[[#This Row],[GamesPlayed]], 82))</f>
        <v>74.95</v>
      </c>
      <c r="Z89" s="4">
        <f>Games[[#This Row],[K]]*Games[[#This Row],[POMult]]</f>
        <v>74.95</v>
      </c>
      <c r="AA89" s="4">
        <f>(Games[[#This Row],[Keff]]*Games[[#This Row],[MOVMult]])*(Games[[#This Row],[Result]]-Games[[#This Row],[ExpectedWin%]])</f>
        <v>-12.510319701081553</v>
      </c>
      <c r="AB89" s="4">
        <f>Games[[#This Row],[PreGmRate]]+Games[[#This Row],[RatingChange]]</f>
        <v>1509.6236105890289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45811</v>
      </c>
      <c r="B90" s="2">
        <v>2025</v>
      </c>
      <c r="C90" s="2">
        <f>COUNTIFS(Games[Team],Games[[#This Row],[Team]],Games[Season],Games[[#This Row],[Season]],Games[Date],"&lt;=" &amp; Games[[#This Row],[Date]])</f>
        <v>8</v>
      </c>
      <c r="D90" s="2" t="s">
        <v>79</v>
      </c>
      <c r="E90" s="2" t="s">
        <v>80</v>
      </c>
      <c r="F90" s="1" t="s">
        <v>65</v>
      </c>
      <c r="G90" s="1" t="s">
        <v>69</v>
      </c>
      <c r="H90" s="1" t="s">
        <v>81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3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0" s="2">
        <f>Games[[#This Row],[DaysOff]]-Games[[#This Row],[OppDaysOff]]</f>
        <v>0</v>
      </c>
      <c r="L90" s="2">
        <f>Games[[#This Row],[OppDaysOff]]-Games[[#This Row],[DaysOff]]</f>
        <v>0</v>
      </c>
      <c r="M90" s="1">
        <f>MAX(-16, MIN(16, Games[[#This Row],[RestDiff]]*8))</f>
        <v>0</v>
      </c>
      <c r="N90" s="1">
        <f>MAX(-16, MIN(16, Games[[#This Row],[OppRestDiff]]*8))</f>
        <v>0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1476.0741373806395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1476.4226929160736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0.3809425939882965</v>
      </c>
      <c r="R90" s="1">
        <v>76</v>
      </c>
      <c r="S90" s="1">
        <v>85</v>
      </c>
      <c r="T90" s="1">
        <v>0</v>
      </c>
      <c r="U90" s="1">
        <f>Games[[#This Row],[PointsFor]]-Games[[#This Row],[PointsAgainst]]</f>
        <v>-9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0.40585364170274985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0" s="9">
        <f>MAX(kmin, kmax - 0.15 * MIN(Games[[#This Row],[GamesPlayed]], 82))</f>
        <v>74.8</v>
      </c>
      <c r="Z90" s="4">
        <f>Games[[#This Row],[K]]*Games[[#This Row],[POMult]]</f>
        <v>74.8</v>
      </c>
      <c r="AA90" s="4">
        <f>(Games[[#This Row],[Keff]]*Games[[#This Row],[MOVMult]])*(Games[[#This Row],[Result]]-Games[[#This Row],[ExpectedWin%]])</f>
        <v>-11.564599040928195</v>
      </c>
      <c r="AB90" s="4">
        <f>Games[[#This Row],[PreGmRate]]+Games[[#This Row],[RatingChange]]</f>
        <v>1464.5095383397113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45811</v>
      </c>
      <c r="B91" s="2">
        <v>2025</v>
      </c>
      <c r="C91" s="2">
        <f>COUNTIFS(Games[Team],Games[[#This Row],[Team]],Games[Season],Games[[#This Row],[Season]],Games[Date],"&lt;=" &amp; Games[[#This Row],[Date]])</f>
        <v>7</v>
      </c>
      <c r="D91" s="2" t="s">
        <v>79</v>
      </c>
      <c r="E91" s="2" t="s">
        <v>80</v>
      </c>
      <c r="F91" s="1" t="s">
        <v>69</v>
      </c>
      <c r="G91" s="1" t="s">
        <v>65</v>
      </c>
      <c r="H91" s="1" t="s">
        <v>82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1" s="2">
        <f>Games[[#This Row],[DaysOff]]-Games[[#This Row],[OppDaysOff]]</f>
        <v>0</v>
      </c>
      <c r="L91" s="2">
        <f>Games[[#This Row],[OppDaysOff]]-Games[[#This Row],[DaysOff]]</f>
        <v>0</v>
      </c>
      <c r="M91" s="1">
        <f>MAX(-16, MIN(16, Games[[#This Row],[RestDiff]]*8))</f>
        <v>0</v>
      </c>
      <c r="N91" s="1">
        <f>MAX(-16, MIN(16, Games[[#This Row],[OppRestDiff]]*8))</f>
        <v>0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1476.4226929160736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1476.0741373806395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0.61905740601170356</v>
      </c>
      <c r="R91" s="1">
        <v>85</v>
      </c>
      <c r="S91" s="1">
        <v>76</v>
      </c>
      <c r="T91" s="1">
        <v>0</v>
      </c>
      <c r="U91" s="1">
        <f>Games[[#This Row],[PointsFor]]-Games[[#This Row],[PointsAgainst]]</f>
        <v>9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0.40585364170274985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1" s="9">
        <f>MAX(kmin, kmax - 0.15 * MIN(Games[[#This Row],[GamesPlayed]], 82))</f>
        <v>74.95</v>
      </c>
      <c r="Z91" s="4">
        <f>Games[[#This Row],[K]]*Games[[#This Row],[POMult]]</f>
        <v>74.95</v>
      </c>
      <c r="AA91" s="4">
        <f>(Games[[#This Row],[Keff]]*Games[[#This Row],[MOVMult]])*(Games[[#This Row],[Result]]-Games[[#This Row],[ExpectedWin%]])</f>
        <v>11.587790081785672</v>
      </c>
      <c r="AB91" s="4">
        <f>Games[[#This Row],[PreGmRate]]+Games[[#This Row],[RatingChange]]</f>
        <v>1488.0104829978593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45811</v>
      </c>
      <c r="B92" s="2">
        <v>2025</v>
      </c>
      <c r="C92" s="2">
        <f>COUNTIFS(Games[Team],Games[[#This Row],[Team]],Games[Season],Games[[#This Row],[Season]],Games[Date],"&lt;=" &amp; Games[[#This Row],[Date]])</f>
        <v>8</v>
      </c>
      <c r="D92" s="2" t="s">
        <v>79</v>
      </c>
      <c r="E92" s="2" t="s">
        <v>80</v>
      </c>
      <c r="F92" s="1" t="s">
        <v>40</v>
      </c>
      <c r="G92" s="1" t="s">
        <v>67</v>
      </c>
      <c r="H92" s="1" t="s">
        <v>81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1494.2506994098726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1644.6437147133158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0.20598898174710559</v>
      </c>
      <c r="R92" s="1">
        <v>65</v>
      </c>
      <c r="S92" s="1">
        <v>88</v>
      </c>
      <c r="T92" s="1">
        <v>0</v>
      </c>
      <c r="U92" s="1">
        <f>Games[[#This Row],[PointsFor]]-Games[[#This Row],[PointsAgainst]]</f>
        <v>-23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0.54680771798008521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-8.4252001048555822</v>
      </c>
      <c r="AB92" s="4">
        <f>Games[[#This Row],[PreGmRate]]+Games[[#This Row],[RatingChange]]</f>
        <v>1485.825499305017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45811</v>
      </c>
      <c r="B93" s="2">
        <v>2025</v>
      </c>
      <c r="C93" s="2">
        <f>COUNTIFS(Games[Team],Games[[#This Row],[Team]],Games[Season],Games[[#This Row],[Season]],Games[Date],"&lt;=" &amp; Games[[#This Row],[Date]])</f>
        <v>8</v>
      </c>
      <c r="D93" s="2" t="s">
        <v>79</v>
      </c>
      <c r="E93" s="2" t="s">
        <v>80</v>
      </c>
      <c r="F93" s="1" t="s">
        <v>67</v>
      </c>
      <c r="G93" s="1" t="s">
        <v>40</v>
      </c>
      <c r="H93" s="1" t="s">
        <v>82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1644.6437147133158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1494.2506994098726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0.79401101825289444</v>
      </c>
      <c r="R93" s="1">
        <v>88</v>
      </c>
      <c r="S93" s="1">
        <v>65</v>
      </c>
      <c r="T93" s="1">
        <v>0</v>
      </c>
      <c r="U93" s="1">
        <f>Games[[#This Row],[PointsFor]]-Games[[#This Row],[PointsAgainst]]</f>
        <v>23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0.54680771798008521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3" s="9">
        <f>MAX(kmin, kmax - 0.15 * MIN(Games[[#This Row],[GamesPlayed]], 82))</f>
        <v>74.8</v>
      </c>
      <c r="Z93" s="4">
        <f>Games[[#This Row],[K]]*Games[[#This Row],[POMult]]</f>
        <v>74.8</v>
      </c>
      <c r="AA93" s="4">
        <f>(Games[[#This Row],[Keff]]*Games[[#This Row],[MOVMult]])*(Games[[#This Row],[Result]]-Games[[#This Row],[ExpectedWin%]])</f>
        <v>8.4252001048555805</v>
      </c>
      <c r="AB93" s="4">
        <f>Games[[#This Row],[PreGmRate]]+Games[[#This Row],[RatingChange]]</f>
        <v>1653.0689148181714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45811</v>
      </c>
      <c r="B94" s="2">
        <v>2025</v>
      </c>
      <c r="C94" s="2">
        <f>COUNTIFS(Games[Team],Games[[#This Row],[Team]],Games[Season],Games[[#This Row],[Season]],Games[Date],"&lt;=" &amp; Games[[#This Row],[Date]])</f>
        <v>8</v>
      </c>
      <c r="D94" s="2" t="s">
        <v>79</v>
      </c>
      <c r="E94" s="2" t="s">
        <v>80</v>
      </c>
      <c r="F94" s="1" t="s">
        <v>85</v>
      </c>
      <c r="G94" s="1" t="s">
        <v>71</v>
      </c>
      <c r="H94" s="1" t="s">
        <v>81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1</v>
      </c>
      <c r="L94" s="2">
        <f>Games[[#This Row],[OppDaysOff]]-Games[[#This Row],[DaysOff]]</f>
        <v>-1</v>
      </c>
      <c r="M94" s="1">
        <f>MAX(-16, MIN(16, Games[[#This Row],[RestDiff]]*8))</f>
        <v>8</v>
      </c>
      <c r="N94" s="1">
        <f>MAX(-16, MIN(16, Games[[#This Row],[OppRestDiff]]*8))</f>
        <v>-8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1377.9914804684154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1509.6236105890289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0.24063982005249587</v>
      </c>
      <c r="R94" s="1">
        <v>77</v>
      </c>
      <c r="S94" s="1">
        <v>83</v>
      </c>
      <c r="T94" s="1">
        <v>0</v>
      </c>
      <c r="U94" s="1">
        <f>Games[[#This Row],[PointsFor]]-Games[[#This Row],[PointsAgainst]]</f>
        <v>-6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0.31655658028543437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4" s="9">
        <f>MAX(kmin, kmax - 0.15 * MIN(Games[[#This Row],[GamesPlayed]], 82))</f>
        <v>74.8</v>
      </c>
      <c r="Z94" s="4">
        <f>Games[[#This Row],[K]]*Games[[#This Row],[POMult]]</f>
        <v>74.8</v>
      </c>
      <c r="AA94" s="4">
        <f>(Games[[#This Row],[Keff]]*Games[[#This Row],[MOVMult]])*(Games[[#This Row],[Result]]-Games[[#This Row],[ExpectedWin%]])</f>
        <v>-5.6979736650207649</v>
      </c>
      <c r="AB94" s="4">
        <f>Games[[#This Row],[PreGmRate]]+Games[[#This Row],[RatingChange]]</f>
        <v>1372.2935068033946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45811</v>
      </c>
      <c r="B95" s="2">
        <v>2025</v>
      </c>
      <c r="C95" s="2">
        <f>COUNTIFS(Games[Team],Games[[#This Row],[Team]],Games[Season],Games[[#This Row],[Season]],Games[Date],"&lt;=" &amp; Games[[#This Row],[Date]])</f>
        <v>8</v>
      </c>
      <c r="D95" s="2" t="s">
        <v>79</v>
      </c>
      <c r="E95" s="2" t="s">
        <v>80</v>
      </c>
      <c r="F95" s="1" t="s">
        <v>71</v>
      </c>
      <c r="G95" s="1" t="s">
        <v>85</v>
      </c>
      <c r="H95" s="1" t="s">
        <v>82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5" s="2">
        <f>Games[[#This Row],[DaysOff]]-Games[[#This Row],[OppDaysOff]]</f>
        <v>-1</v>
      </c>
      <c r="L95" s="2">
        <f>Games[[#This Row],[OppDaysOff]]-Games[[#This Row],[DaysOff]]</f>
        <v>1</v>
      </c>
      <c r="M95" s="1">
        <f>MAX(-16, MIN(16, Games[[#This Row],[RestDiff]]*8))</f>
        <v>-8</v>
      </c>
      <c r="N95" s="1">
        <f>MAX(-16, MIN(16, Games[[#This Row],[OppRestDiff]]*8))</f>
        <v>8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1509.6236105890289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1377.9914804684154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0.75936017994750415</v>
      </c>
      <c r="R95" s="1">
        <v>83</v>
      </c>
      <c r="S95" s="1">
        <v>77</v>
      </c>
      <c r="T95" s="1">
        <v>0</v>
      </c>
      <c r="U95" s="1">
        <f>Games[[#This Row],[PointsFor]]-Games[[#This Row],[PointsAgainst]]</f>
        <v>6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0.31655658028543437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5" s="9">
        <f>MAX(kmin, kmax - 0.15 * MIN(Games[[#This Row],[GamesPlayed]], 82))</f>
        <v>74.8</v>
      </c>
      <c r="Z95" s="4">
        <f>Games[[#This Row],[K]]*Games[[#This Row],[POMult]]</f>
        <v>74.8</v>
      </c>
      <c r="AA95" s="4">
        <f>(Games[[#This Row],[Keff]]*Games[[#This Row],[MOVMult]])*(Games[[#This Row],[Result]]-Games[[#This Row],[ExpectedWin%]])</f>
        <v>5.697973665020764</v>
      </c>
      <c r="AB95" s="4">
        <f>Games[[#This Row],[PreGmRate]]+Games[[#This Row],[RatingChange]]</f>
        <v>1515.3215842540496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45813</v>
      </c>
      <c r="B96" s="2">
        <v>2025</v>
      </c>
      <c r="C96" s="2">
        <f>COUNTIFS(Games[Team],Games[[#This Row],[Team]],Games[Season],Games[[#This Row],[Season]],Games[Date],"&lt;=" &amp; Games[[#This Row],[Date]])</f>
        <v>7</v>
      </c>
      <c r="D96" s="2" t="s">
        <v>79</v>
      </c>
      <c r="E96" s="2" t="s">
        <v>80</v>
      </c>
      <c r="F96" s="1" t="s">
        <v>88</v>
      </c>
      <c r="G96" s="1" t="s">
        <v>40</v>
      </c>
      <c r="H96" s="1" t="s">
        <v>81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3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2</v>
      </c>
      <c r="L96" s="2">
        <f>Games[[#This Row],[OppDaysOff]]-Games[[#This Row],[DaysOff]]</f>
        <v>-2</v>
      </c>
      <c r="M96" s="1">
        <f>MAX(-16, MIN(16, Games[[#This Row],[RestDiff]]*8))</f>
        <v>16</v>
      </c>
      <c r="N96" s="1">
        <f>MAX(-16, MIN(16, Games[[#This Row],[OppRestDiff]]*8))</f>
        <v>-16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1468.8893121118292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1485.825499305017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0.40207454253363717</v>
      </c>
      <c r="R96" s="1">
        <v>77</v>
      </c>
      <c r="S96" s="1">
        <v>86</v>
      </c>
      <c r="T96" s="1">
        <v>0</v>
      </c>
      <c r="U96" s="1">
        <f>Games[[#This Row],[PointsFor]]-Games[[#This Row],[PointsAgainst]]</f>
        <v>-9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0.40032159262213979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6" s="9">
        <f>MAX(kmin, kmax - 0.15 * MIN(Games[[#This Row],[GamesPlayed]], 82))</f>
        <v>74.95</v>
      </c>
      <c r="Z96" s="4">
        <f>Games[[#This Row],[K]]*Games[[#This Row],[POMult]]</f>
        <v>74.95</v>
      </c>
      <c r="AA96" s="4">
        <f>(Games[[#This Row],[Keff]]*Games[[#This Row],[MOVMult]])*(Games[[#This Row],[Result]]-Games[[#This Row],[ExpectedWin%]])</f>
        <v>-12.0638861354303</v>
      </c>
      <c r="AB96" s="4">
        <f>Games[[#This Row],[PreGmRate]]+Games[[#This Row],[RatingChange]]</f>
        <v>1456.8254259763989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45813</v>
      </c>
      <c r="B97" s="2">
        <v>2025</v>
      </c>
      <c r="C97" s="2">
        <f>COUNTIFS(Games[Team],Games[[#This Row],[Team]],Games[Season],Games[[#This Row],[Season]],Games[Date],"&lt;=" &amp; Games[[#This Row],[Date]])</f>
        <v>9</v>
      </c>
      <c r="D97" s="2" t="s">
        <v>79</v>
      </c>
      <c r="E97" s="2" t="s">
        <v>80</v>
      </c>
      <c r="F97" s="1" t="s">
        <v>40</v>
      </c>
      <c r="G97" s="1" t="s">
        <v>88</v>
      </c>
      <c r="H97" s="1" t="s">
        <v>82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7" s="2">
        <f>Games[[#This Row],[DaysOff]]-Games[[#This Row],[OppDaysOff]]</f>
        <v>-2</v>
      </c>
      <c r="L97" s="2">
        <f>Games[[#This Row],[OppDaysOff]]-Games[[#This Row],[DaysOff]]</f>
        <v>2</v>
      </c>
      <c r="M97" s="1">
        <f>MAX(-16, MIN(16, Games[[#This Row],[RestDiff]]*8))</f>
        <v>-16</v>
      </c>
      <c r="N97" s="1">
        <f>MAX(-16, MIN(16, Games[[#This Row],[OppRestDiff]]*8))</f>
        <v>16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1485.825499305017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1468.8893121118292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0.59792545746636283</v>
      </c>
      <c r="R97" s="1">
        <v>86</v>
      </c>
      <c r="S97" s="1">
        <v>77</v>
      </c>
      <c r="T97" s="1">
        <v>0</v>
      </c>
      <c r="U97" s="1">
        <f>Games[[#This Row],[PointsFor]]-Games[[#This Row],[PointsAgainst]]</f>
        <v>9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0.40032159262213979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7" s="9">
        <f>MAX(kmin, kmax - 0.15 * MIN(Games[[#This Row],[GamesPlayed]], 82))</f>
        <v>74.650000000000006</v>
      </c>
      <c r="Z97" s="4">
        <f>Games[[#This Row],[K]]*Games[[#This Row],[POMult]]</f>
        <v>74.650000000000006</v>
      </c>
      <c r="AA97" s="4">
        <f>(Games[[#This Row],[Keff]]*Games[[#This Row],[MOVMult]])*(Games[[#This Row],[Result]]-Games[[#This Row],[ExpectedWin%]])</f>
        <v>12.015598399064336</v>
      </c>
      <c r="AB97" s="4">
        <f>Games[[#This Row],[PreGmRate]]+Games[[#This Row],[RatingChange]]</f>
        <v>1497.8410977040814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45813</v>
      </c>
      <c r="B98" s="2">
        <v>2025</v>
      </c>
      <c r="C98" s="2">
        <f>COUNTIFS(Games[Team],Games[[#This Row],[Team]],Games[Season],Games[[#This Row],[Season]],Games[Date],"&lt;=" &amp; Games[[#This Row],[Date]])</f>
        <v>8</v>
      </c>
      <c r="D98" s="2" t="s">
        <v>79</v>
      </c>
      <c r="E98" s="2" t="s">
        <v>80</v>
      </c>
      <c r="F98" s="1" t="s">
        <v>60</v>
      </c>
      <c r="G98" s="1" t="s">
        <v>65</v>
      </c>
      <c r="H98" s="1" t="s">
        <v>81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2</v>
      </c>
      <c r="L98" s="2">
        <f>Games[[#This Row],[OppDaysOff]]-Games[[#This Row],[DaysOff]]</f>
        <v>-2</v>
      </c>
      <c r="M98" s="1">
        <f>MAX(-16, MIN(16, Games[[#This Row],[RestDiff]]*8))</f>
        <v>16</v>
      </c>
      <c r="N98" s="1">
        <f>MAX(-16, MIN(16, Games[[#This Row],[OppRestDiff]]*8))</f>
        <v>-16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1690.6011324256281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1464.5095383397113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0.731481432556914</v>
      </c>
      <c r="R98" s="1">
        <v>86</v>
      </c>
      <c r="S98" s="1">
        <v>78</v>
      </c>
      <c r="T98" s="1">
        <v>0</v>
      </c>
      <c r="U98" s="1">
        <f>Games[[#This Row],[PointsFor]]-Games[[#This Row],[PointsAgainst]]</f>
        <v>8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0.32675225345696352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8" s="9">
        <f>MAX(kmin, kmax - 0.15 * MIN(Games[[#This Row],[GamesPlayed]], 82))</f>
        <v>74.8</v>
      </c>
      <c r="Z98" s="4">
        <f>Games[[#This Row],[K]]*Games[[#This Row],[POMult]]</f>
        <v>74.8</v>
      </c>
      <c r="AA98" s="4">
        <f>(Games[[#This Row],[Keff]]*Games[[#This Row],[MOVMult]])*(Games[[#This Row],[Result]]-Games[[#This Row],[ExpectedWin%]])</f>
        <v>6.5628807161283857</v>
      </c>
      <c r="AB98" s="4">
        <f>Games[[#This Row],[PreGmRate]]+Games[[#This Row],[RatingChange]]</f>
        <v>1697.1640131417564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45813</v>
      </c>
      <c r="B99" s="2">
        <v>2025</v>
      </c>
      <c r="C99" s="2">
        <f>COUNTIFS(Games[Team],Games[[#This Row],[Team]],Games[Season],Games[[#This Row],[Season]],Games[Date],"&lt;=" &amp; Games[[#This Row],[Date]])</f>
        <v>9</v>
      </c>
      <c r="D99" s="2" t="s">
        <v>79</v>
      </c>
      <c r="E99" s="2" t="s">
        <v>80</v>
      </c>
      <c r="F99" s="1" t="s">
        <v>65</v>
      </c>
      <c r="G99" s="1" t="s">
        <v>60</v>
      </c>
      <c r="H99" s="1" t="s">
        <v>82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9" s="2">
        <f>Games[[#This Row],[DaysOff]]-Games[[#This Row],[OppDaysOff]]</f>
        <v>-2</v>
      </c>
      <c r="L99" s="2">
        <f>Games[[#This Row],[OppDaysOff]]-Games[[#This Row],[DaysOff]]</f>
        <v>2</v>
      </c>
      <c r="M99" s="1">
        <f>MAX(-16, MIN(16, Games[[#This Row],[RestDiff]]*8))</f>
        <v>-16</v>
      </c>
      <c r="N99" s="1">
        <f>MAX(-16, MIN(16, Games[[#This Row],[OppRestDiff]]*8))</f>
        <v>16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1464.5095383397113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1690.6011324256281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0.26851856744308594</v>
      </c>
      <c r="R99" s="1">
        <v>78</v>
      </c>
      <c r="S99" s="1">
        <v>86</v>
      </c>
      <c r="T99" s="1">
        <v>0</v>
      </c>
      <c r="U99" s="1">
        <f>Games[[#This Row],[PointsFor]]-Games[[#This Row],[PointsAgainst]]</f>
        <v>-8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0.32675225345696352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9" s="9">
        <f>MAX(kmin, kmax - 0.15 * MIN(Games[[#This Row],[GamesPlayed]], 82))</f>
        <v>74.650000000000006</v>
      </c>
      <c r="Z99" s="4">
        <f>Games[[#This Row],[K]]*Games[[#This Row],[POMult]]</f>
        <v>74.650000000000006</v>
      </c>
      <c r="AA99" s="4">
        <f>(Games[[#This Row],[Keff]]*Games[[#This Row],[MOVMult]])*(Games[[#This Row],[Result]]-Games[[#This Row],[ExpectedWin%]])</f>
        <v>-6.5497198590773262</v>
      </c>
      <c r="AB99" s="4">
        <f>Games[[#This Row],[PreGmRate]]+Games[[#This Row],[RatingChange]]</f>
        <v>1457.9598184806339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45814</v>
      </c>
      <c r="B100" s="2">
        <v>2025</v>
      </c>
      <c r="C100" s="2">
        <f>COUNTIFS(Games[Team],Games[[#This Row],[Team]],Games[Season],Games[[#This Row],[Season]],Games[Date],"&lt;=" &amp; Games[[#This Row],[Date]])</f>
        <v>8</v>
      </c>
      <c r="D100" s="2" t="s">
        <v>79</v>
      </c>
      <c r="E100" s="2" t="s">
        <v>80</v>
      </c>
      <c r="F100" s="1" t="s">
        <v>77</v>
      </c>
      <c r="G100" s="1" t="s">
        <v>74</v>
      </c>
      <c r="H100" s="1" t="s">
        <v>81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6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0" s="2">
        <f>Games[[#This Row],[DaysOff]]-Games[[#This Row],[OppDaysOff]]</f>
        <v>2</v>
      </c>
      <c r="L100" s="2">
        <f>Games[[#This Row],[OppDaysOff]]-Games[[#This Row],[DaysOff]]</f>
        <v>-2</v>
      </c>
      <c r="M100" s="1">
        <f>MAX(-16, MIN(16, Games[[#This Row],[RestDiff]]*8))</f>
        <v>16</v>
      </c>
      <c r="N100" s="1">
        <f>MAX(-16, MIN(16, Games[[#This Row],[OppRestDiff]]*8))</f>
        <v>-16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1513.15455668448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1460.5241071573596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0.50090728880608593</v>
      </c>
      <c r="R100" s="1">
        <v>76</v>
      </c>
      <c r="S100" s="1">
        <v>84</v>
      </c>
      <c r="T100" s="1">
        <v>0</v>
      </c>
      <c r="U100" s="1">
        <f>Games[[#This Row],[PointsFor]]-Games[[#This Row],[PointsAgainst]]</f>
        <v>-8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0.37200009163079012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0" s="9">
        <f>MAX(kmin, kmax - 0.15 * MIN(Games[[#This Row],[GamesPlayed]], 82))</f>
        <v>74.8</v>
      </c>
      <c r="Z100" s="4">
        <f>Games[[#This Row],[K]]*Games[[#This Row],[POMult]]</f>
        <v>74.8</v>
      </c>
      <c r="AA100" s="4">
        <f>(Games[[#This Row],[Keff]]*Games[[#This Row],[MOVMult]])*(Games[[#This Row],[Result]]-Games[[#This Row],[ExpectedWin%]])</f>
        <v>-13.938049288612717</v>
      </c>
      <c r="AB100" s="4">
        <f>Games[[#This Row],[PreGmRate]]+Games[[#This Row],[RatingChange]]</f>
        <v>1499.2165073958672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45814</v>
      </c>
      <c r="B101" s="2">
        <v>2025</v>
      </c>
      <c r="C101" s="2">
        <f>COUNTIFS(Games[Team],Games[[#This Row],[Team]],Games[Season],Games[[#This Row],[Season]],Games[Date],"&lt;=" &amp; Games[[#This Row],[Date]])</f>
        <v>8</v>
      </c>
      <c r="D101" s="2" t="s">
        <v>79</v>
      </c>
      <c r="E101" s="2" t="s">
        <v>80</v>
      </c>
      <c r="F101" s="1" t="s">
        <v>74</v>
      </c>
      <c r="G101" s="1" t="s">
        <v>77</v>
      </c>
      <c r="H101" s="1" t="s">
        <v>82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01" s="2">
        <f>Games[[#This Row],[DaysOff]]-Games[[#This Row],[OppDaysOff]]</f>
        <v>-2</v>
      </c>
      <c r="L101" s="2">
        <f>Games[[#This Row],[OppDaysOff]]-Games[[#This Row],[DaysOff]]</f>
        <v>2</v>
      </c>
      <c r="M101" s="1">
        <f>MAX(-16, MIN(16, Games[[#This Row],[RestDiff]]*8))</f>
        <v>-16</v>
      </c>
      <c r="N101" s="1">
        <f>MAX(-16, MIN(16, Games[[#This Row],[OppRestDiff]]*8))</f>
        <v>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1460.5241071573596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1513.15455668448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0.49909271119391413</v>
      </c>
      <c r="R101" s="1">
        <v>84</v>
      </c>
      <c r="S101" s="1">
        <v>76</v>
      </c>
      <c r="T101" s="1">
        <v>0</v>
      </c>
      <c r="U101" s="1">
        <f>Games[[#This Row],[PointsFor]]-Games[[#This Row],[PointsAgainst]]</f>
        <v>8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0.37200009163079012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1" s="9">
        <f>MAX(kmin, kmax - 0.15 * MIN(Games[[#This Row],[GamesPlayed]], 82))</f>
        <v>74.8</v>
      </c>
      <c r="Z101" s="4">
        <f>Games[[#This Row],[K]]*Games[[#This Row],[POMult]]</f>
        <v>74.8</v>
      </c>
      <c r="AA101" s="4">
        <f>(Games[[#This Row],[Keff]]*Games[[#This Row],[MOVMult]])*(Games[[#This Row],[Result]]-Games[[#This Row],[ExpectedWin%]])</f>
        <v>13.938049288612717</v>
      </c>
      <c r="AB101" s="4">
        <f>Games[[#This Row],[PreGmRate]]+Games[[#This Row],[RatingChange]]</f>
        <v>1474.4621564459724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45814</v>
      </c>
      <c r="B102" s="2">
        <v>2025</v>
      </c>
      <c r="C102" s="2">
        <f>COUNTIFS(Games[Team],Games[[#This Row],[Team]],Games[Season],Games[[#This Row],[Season]],Games[Date],"&lt;=" &amp; Games[[#This Row],[Date]])</f>
        <v>9</v>
      </c>
      <c r="D102" s="2" t="s">
        <v>79</v>
      </c>
      <c r="E102" s="2" t="s">
        <v>80</v>
      </c>
      <c r="F102" s="1" t="s">
        <v>63</v>
      </c>
      <c r="G102" s="1" t="s">
        <v>85</v>
      </c>
      <c r="H102" s="1" t="s">
        <v>81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2" s="2">
        <f>Games[[#This Row],[DaysOff]]-Games[[#This Row],[OppDaysOff]]</f>
        <v>2</v>
      </c>
      <c r="L102" s="2">
        <f>Games[[#This Row],[OppDaysOff]]-Games[[#This Row],[DaysOff]]</f>
        <v>-2</v>
      </c>
      <c r="M102" s="1">
        <f>MAX(-16, MIN(16, Games[[#This Row],[RestDiff]]*8))</f>
        <v>16</v>
      </c>
      <c r="N102" s="1">
        <f>MAX(-16, MIN(16, Games[[#This Row],[OppRestDiff]]*8))</f>
        <v>-16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1382.2911726850843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1372.2935068033946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0.43984654431745013</v>
      </c>
      <c r="R102" s="1">
        <v>93</v>
      </c>
      <c r="S102" s="1">
        <v>79</v>
      </c>
      <c r="T102" s="1">
        <v>0</v>
      </c>
      <c r="U102" s="1">
        <f>Games[[#This Row],[PointsFor]]-Games[[#This Row],[PointsAgainst]]</f>
        <v>14</v>
      </c>
      <c r="V102" s="1">
        <f>IF(Games[[#This Row],[MOV]]&gt;0,1,IF(Games[[#This Row],[MOV]]=0,0.5,0))</f>
        <v>1</v>
      </c>
      <c r="W102" s="4">
        <f>((ABS(Games[[#This Row],[MOV]])+5)^0.6)/(12+0.01*(ABS(Games[[#This Row],[PreGmRate]]-Games[[#This Row],[OppPreGmRate]])))*IF(Games[[#This Row],[OT]]=1,0.9,1)</f>
        <v>0.48357921733225384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2" s="9">
        <f>MAX(kmin, kmax - 0.15 * MIN(Games[[#This Row],[GamesPlayed]], 82))</f>
        <v>74.650000000000006</v>
      </c>
      <c r="Z102" s="4">
        <f>Games[[#This Row],[K]]*Games[[#This Row],[POMult]]</f>
        <v>74.650000000000006</v>
      </c>
      <c r="AA102" s="4">
        <f>(Games[[#This Row],[Keff]]*Games[[#This Row],[MOVMult]])*(Games[[#This Row],[Result]]-Games[[#This Row],[ExpectedWin%]])</f>
        <v>20.221085226979636</v>
      </c>
      <c r="AB102" s="4">
        <f>Games[[#This Row],[PreGmRate]]+Games[[#This Row],[RatingChange]]</f>
        <v>1402.5122579120639</v>
      </c>
      <c r="AC102" s="2">
        <f>IF(Games[[#This Row],[Type]]="R",IF(Games[[#This Row],[Result]]&gt;0.5,1,0),0)</f>
        <v>1</v>
      </c>
      <c r="AD102" s="2">
        <f>IF(Games[[#This Row],[Type]]="R",IF(Games[[#This Row],[Result]]&lt;0.5,1,0),0)</f>
        <v>0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45814</v>
      </c>
      <c r="B103" s="2">
        <v>2025</v>
      </c>
      <c r="C103" s="2">
        <f>COUNTIFS(Games[Team],Games[[#This Row],[Team]],Games[Season],Games[[#This Row],[Season]],Games[Date],"&lt;=" &amp; Games[[#This Row],[Date]])</f>
        <v>9</v>
      </c>
      <c r="D103" s="2" t="s">
        <v>79</v>
      </c>
      <c r="E103" s="2" t="s">
        <v>80</v>
      </c>
      <c r="F103" s="1" t="s">
        <v>85</v>
      </c>
      <c r="G103" s="1" t="s">
        <v>63</v>
      </c>
      <c r="H103" s="1" t="s">
        <v>82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3" s="2">
        <f>Games[[#This Row],[DaysOff]]-Games[[#This Row],[OppDaysOff]]</f>
        <v>-2</v>
      </c>
      <c r="L103" s="2">
        <f>Games[[#This Row],[OppDaysOff]]-Games[[#This Row],[DaysOff]]</f>
        <v>2</v>
      </c>
      <c r="M103" s="1">
        <f>MAX(-16, MIN(16, Games[[#This Row],[RestDiff]]*8))</f>
        <v>-16</v>
      </c>
      <c r="N103" s="1">
        <f>MAX(-16, MIN(16, Games[[#This Row],[OppRestDiff]]*8))</f>
        <v>16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1372.2935068033946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1382.2911726850843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0.56015345568254993</v>
      </c>
      <c r="R103" s="1">
        <v>79</v>
      </c>
      <c r="S103" s="1">
        <v>93</v>
      </c>
      <c r="T103" s="1">
        <v>0</v>
      </c>
      <c r="U103" s="1">
        <f>Games[[#This Row],[PointsFor]]-Games[[#This Row],[PointsAgainst]]</f>
        <v>-14</v>
      </c>
      <c r="V103" s="1">
        <f>IF(Games[[#This Row],[MOV]]&gt;0,1,IF(Games[[#This Row],[MOV]]=0,0.5,0))</f>
        <v>0</v>
      </c>
      <c r="W103" s="4">
        <f>((ABS(Games[[#This Row],[MOV]])+5)^0.6)/(12+0.01*(ABS(Games[[#This Row],[PreGmRate]]-Games[[#This Row],[OppPreGmRate]])))*IF(Games[[#This Row],[OT]]=1,0.9,1)</f>
        <v>0.48357921733225384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3" s="9">
        <f>MAX(kmin, kmax - 0.15 * MIN(Games[[#This Row],[GamesPlayed]], 82))</f>
        <v>74.650000000000006</v>
      </c>
      <c r="Z103" s="4">
        <f>Games[[#This Row],[K]]*Games[[#This Row],[POMult]]</f>
        <v>74.650000000000006</v>
      </c>
      <c r="AA103" s="4">
        <f>(Games[[#This Row],[Keff]]*Games[[#This Row],[MOVMult]])*(Games[[#This Row],[Result]]-Games[[#This Row],[ExpectedWin%]])</f>
        <v>-20.221085226979639</v>
      </c>
      <c r="AB103" s="4">
        <f>Games[[#This Row],[PreGmRate]]+Games[[#This Row],[RatingChange]]</f>
        <v>1352.0724215764151</v>
      </c>
      <c r="AC103" s="2">
        <f>IF(Games[[#This Row],[Type]]="R",IF(Games[[#This Row],[Result]]&gt;0.5,1,0),0)</f>
        <v>0</v>
      </c>
      <c r="AD103" s="2">
        <f>IF(Games[[#This Row],[Type]]="R",IF(Games[[#This Row],[Result]]&lt;0.5,1,0),0)</f>
        <v>1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45815</v>
      </c>
      <c r="B104" s="2">
        <v>2025</v>
      </c>
      <c r="C104" s="2">
        <f>COUNTIFS(Games[Team],Games[[#This Row],[Team]],Games[Season],Games[[#This Row],[Season]],Games[Date],"&lt;=" &amp; Games[[#This Row],[Date]])</f>
        <v>8</v>
      </c>
      <c r="D104" s="2" t="s">
        <v>79</v>
      </c>
      <c r="E104" s="2" t="s">
        <v>80</v>
      </c>
      <c r="F104" s="1" t="s">
        <v>69</v>
      </c>
      <c r="G104" s="1" t="s">
        <v>75</v>
      </c>
      <c r="H104" s="1" t="s">
        <v>81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04" s="2">
        <f>Games[[#This Row],[DaysOff]]-Games[[#This Row],[OppDaysOff]]</f>
        <v>-3</v>
      </c>
      <c r="L104" s="2">
        <f>Games[[#This Row],[OppDaysOff]]-Games[[#This Row],[DaysOff]]</f>
        <v>3</v>
      </c>
      <c r="M104" s="1">
        <f>MAX(-16, MIN(16, Games[[#This Row],[RestDiff]]*8))</f>
        <v>-16</v>
      </c>
      <c r="N104" s="1">
        <f>MAX(-16, MIN(16, Games[[#This Row],[OppRestDiff]]*8))</f>
        <v>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1488.0104829978593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1407.0844714341122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0.44969524436943387</v>
      </c>
      <c r="R104" s="1">
        <v>79</v>
      </c>
      <c r="S104" s="1">
        <v>52</v>
      </c>
      <c r="T104" s="1">
        <v>0</v>
      </c>
      <c r="U104" s="1">
        <f>Games[[#This Row],[PointsFor]]-Games[[#This Row],[PointsAgainst]]</f>
        <v>27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0.62454817278896879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4" s="9">
        <f>MAX(kmin, kmax - 0.15 * MIN(Games[[#This Row],[GamesPlayed]], 82))</f>
        <v>74.8</v>
      </c>
      <c r="Z104" s="4">
        <f>Games[[#This Row],[K]]*Games[[#This Row],[POMult]]</f>
        <v>74.8</v>
      </c>
      <c r="AA104" s="4">
        <f>(Games[[#This Row],[Keff]]*Games[[#This Row],[MOVMult]])*(Games[[#This Row],[Result]]-Games[[#This Row],[ExpectedWin%]])</f>
        <v>25.708148854540024</v>
      </c>
      <c r="AB104" s="4">
        <f>Games[[#This Row],[PreGmRate]]+Games[[#This Row],[RatingChange]]</f>
        <v>1513.7186318523993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45815</v>
      </c>
      <c r="B105" s="2">
        <v>2025</v>
      </c>
      <c r="C105" s="2">
        <f>COUNTIFS(Games[Team],Games[[#This Row],[Team]],Games[Season],Games[[#This Row],[Season]],Games[Date],"&lt;=" &amp; Games[[#This Row],[Date]])</f>
        <v>7</v>
      </c>
      <c r="D105" s="2" t="s">
        <v>79</v>
      </c>
      <c r="E105" s="2" t="s">
        <v>80</v>
      </c>
      <c r="F105" s="1" t="s">
        <v>75</v>
      </c>
      <c r="G105" s="1" t="s">
        <v>69</v>
      </c>
      <c r="H105" s="1" t="s">
        <v>82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6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5" s="2">
        <f>Games[[#This Row],[DaysOff]]-Games[[#This Row],[OppDaysOff]]</f>
        <v>3</v>
      </c>
      <c r="L105" s="2">
        <f>Games[[#This Row],[OppDaysOff]]-Games[[#This Row],[DaysOff]]</f>
        <v>-3</v>
      </c>
      <c r="M105" s="1">
        <f>MAX(-16, MIN(16, Games[[#This Row],[RestDiff]]*8))</f>
        <v>16</v>
      </c>
      <c r="N105" s="1">
        <f>MAX(-16, MIN(16, Games[[#This Row],[OppRestDiff]]*8))</f>
        <v>-16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1407.0844714341122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1488.0104829978593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0.55030475563056613</v>
      </c>
      <c r="R105" s="1">
        <v>52</v>
      </c>
      <c r="S105" s="1">
        <v>79</v>
      </c>
      <c r="T105" s="1">
        <v>0</v>
      </c>
      <c r="U105" s="1">
        <f>Games[[#This Row],[PointsFor]]-Games[[#This Row],[PointsAgainst]]</f>
        <v>-27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0.62454817278896879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5" s="9">
        <f>MAX(kmin, kmax - 0.15 * MIN(Games[[#This Row],[GamesPlayed]], 82))</f>
        <v>74.95</v>
      </c>
      <c r="Z105" s="4">
        <f>Games[[#This Row],[K]]*Games[[#This Row],[POMult]]</f>
        <v>74.95</v>
      </c>
      <c r="AA105" s="4">
        <f>(Games[[#This Row],[Keff]]*Games[[#This Row],[MOVMult]])*(Games[[#This Row],[Result]]-Games[[#This Row],[ExpectedWin%]])</f>
        <v>-25.759702628980946</v>
      </c>
      <c r="AB105" s="4">
        <f>Games[[#This Row],[PreGmRate]]+Games[[#This Row],[RatingChange]]</f>
        <v>1381.3247688051313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45815</v>
      </c>
      <c r="B106" s="2">
        <v>2025</v>
      </c>
      <c r="C106" s="2">
        <f>COUNTIFS(Games[Team],Games[[#This Row],[Team]],Games[Season],Games[[#This Row],[Season]],Games[Date],"&lt;=" &amp; Games[[#This Row],[Date]])</f>
        <v>7</v>
      </c>
      <c r="D106" s="2" t="s">
        <v>79</v>
      </c>
      <c r="E106" s="2" t="s">
        <v>80</v>
      </c>
      <c r="F106" s="1" t="s">
        <v>86</v>
      </c>
      <c r="G106" s="1" t="s">
        <v>88</v>
      </c>
      <c r="H106" s="1" t="s">
        <v>81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5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6" s="2">
        <f>Games[[#This Row],[DaysOff]]-Games[[#This Row],[OppDaysOff]]</f>
        <v>4</v>
      </c>
      <c r="L106" s="2">
        <f>Games[[#This Row],[OppDaysOff]]-Games[[#This Row],[DaysOff]]</f>
        <v>-4</v>
      </c>
      <c r="M106" s="1">
        <f>MAX(-16, MIN(16, Games[[#This Row],[RestDiff]]*8))</f>
        <v>16</v>
      </c>
      <c r="N106" s="1">
        <f>MAX(-16, MIN(16, Games[[#This Row],[OppRestDiff]]*8))</f>
        <v>-16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1598.016267142478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1456.8254259763989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0.62560873855804511</v>
      </c>
      <c r="R106" s="1">
        <v>68</v>
      </c>
      <c r="S106" s="1">
        <v>95</v>
      </c>
      <c r="T106" s="1">
        <v>0</v>
      </c>
      <c r="U106" s="1">
        <f>Games[[#This Row],[PointsFor]]-Games[[#This Row],[PointsAgainst]]</f>
        <v>-27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0.59648483679209385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6" s="9">
        <f>MAX(kmin, kmax - 0.15 * MIN(Games[[#This Row],[GamesPlayed]], 82))</f>
        <v>74.95</v>
      </c>
      <c r="Z106" s="4">
        <f>Games[[#This Row],[K]]*Games[[#This Row],[POMult]]</f>
        <v>74.95</v>
      </c>
      <c r="AA106" s="4">
        <f>(Games[[#This Row],[Keff]]*Games[[#This Row],[MOVMult]])*(Games[[#This Row],[Result]]-Games[[#This Row],[ExpectedWin%]])</f>
        <v>-27.968801167272019</v>
      </c>
      <c r="AB106" s="4">
        <f>Games[[#This Row],[PreGmRate]]+Games[[#This Row],[RatingChange]]</f>
        <v>1570.047465975206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45815</v>
      </c>
      <c r="B107" s="2">
        <v>2025</v>
      </c>
      <c r="C107" s="2">
        <f>COUNTIFS(Games[Team],Games[[#This Row],[Team]],Games[Season],Games[[#This Row],[Season]],Games[Date],"&lt;=" &amp; Games[[#This Row],[Date]])</f>
        <v>8</v>
      </c>
      <c r="D107" s="2" t="s">
        <v>79</v>
      </c>
      <c r="E107" s="2" t="s">
        <v>80</v>
      </c>
      <c r="F107" s="1" t="s">
        <v>88</v>
      </c>
      <c r="G107" s="1" t="s">
        <v>86</v>
      </c>
      <c r="H107" s="1" t="s">
        <v>82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07" s="2">
        <f>Games[[#This Row],[DaysOff]]-Games[[#This Row],[OppDaysOff]]</f>
        <v>-4</v>
      </c>
      <c r="L107" s="2">
        <f>Games[[#This Row],[OppDaysOff]]-Games[[#This Row],[DaysOff]]</f>
        <v>4</v>
      </c>
      <c r="M107" s="1">
        <f>MAX(-16, MIN(16, Games[[#This Row],[RestDiff]]*8))</f>
        <v>-16</v>
      </c>
      <c r="N107" s="1">
        <f>MAX(-16, MIN(16, Games[[#This Row],[OppRestDiff]]*8))</f>
        <v>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1456.8254259763989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1598.016267142478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0.374391261441955</v>
      </c>
      <c r="R107" s="1">
        <v>95</v>
      </c>
      <c r="S107" s="1">
        <v>68</v>
      </c>
      <c r="T107" s="1">
        <v>0</v>
      </c>
      <c r="U107" s="1">
        <f>Games[[#This Row],[PointsFor]]-Games[[#This Row],[PointsAgainst]]</f>
        <v>27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0.59648483679209385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7" s="9">
        <f>MAX(kmin, kmax - 0.15 * MIN(Games[[#This Row],[GamesPlayed]], 82))</f>
        <v>74.8</v>
      </c>
      <c r="Z107" s="4">
        <f>Games[[#This Row],[K]]*Games[[#This Row],[POMult]]</f>
        <v>74.8</v>
      </c>
      <c r="AA107" s="4">
        <f>(Games[[#This Row],[Keff]]*Games[[#This Row],[MOVMult]])*(Games[[#This Row],[Result]]-Games[[#This Row],[ExpectedWin%]])</f>
        <v>27.912826248324837</v>
      </c>
      <c r="AB107" s="4">
        <f>Games[[#This Row],[PreGmRate]]+Games[[#This Row],[RatingChange]]</f>
        <v>1484.7382522247237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45815</v>
      </c>
      <c r="B108" s="2">
        <v>2025</v>
      </c>
      <c r="C108" s="2">
        <f>COUNTIFS(Games[Team],Games[[#This Row],[Team]],Games[Season],Games[[#This Row],[Season]],Games[Date],"&lt;=" &amp; Games[[#This Row],[Date]])</f>
        <v>9</v>
      </c>
      <c r="D108" s="2" t="s">
        <v>79</v>
      </c>
      <c r="E108" s="2" t="s">
        <v>80</v>
      </c>
      <c r="F108" s="1" t="s">
        <v>71</v>
      </c>
      <c r="G108" s="1" t="s">
        <v>40</v>
      </c>
      <c r="H108" s="1" t="s">
        <v>81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8" s="2">
        <f>Games[[#This Row],[DaysOff]]-Games[[#This Row],[OppDaysOff]]</f>
        <v>2</v>
      </c>
      <c r="L108" s="2">
        <f>Games[[#This Row],[OppDaysOff]]-Games[[#This Row],[DaysOff]]</f>
        <v>-2</v>
      </c>
      <c r="M108" s="1">
        <f>MAX(-16, MIN(16, Games[[#This Row],[RestDiff]]*8))</f>
        <v>16</v>
      </c>
      <c r="N108" s="1">
        <f>MAX(-16, MIN(16, Games[[#This Row],[OppRestDiff]]*8))</f>
        <v>-16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1515.3215842540496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1497.8410977040814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0.45048524708760085</v>
      </c>
      <c r="R108" s="1">
        <v>89</v>
      </c>
      <c r="S108" s="1">
        <v>77</v>
      </c>
      <c r="T108" s="1">
        <v>0</v>
      </c>
      <c r="U108" s="1">
        <f>Games[[#This Row],[PointsFor]]-Games[[#This Row],[PointsAgainst]]</f>
        <v>12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0.44958037335195034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8" s="9">
        <f>MAX(kmin, kmax - 0.15 * MIN(Games[[#This Row],[GamesPlayed]], 82))</f>
        <v>74.650000000000006</v>
      </c>
      <c r="Z108" s="4">
        <f>Games[[#This Row],[K]]*Games[[#This Row],[POMult]]</f>
        <v>74.650000000000006</v>
      </c>
      <c r="AA108" s="4">
        <f>(Games[[#This Row],[Keff]]*Games[[#This Row],[MOVMult]])*(Games[[#This Row],[Result]]-Games[[#This Row],[ExpectedWin%]])</f>
        <v>18.442360716535219</v>
      </c>
      <c r="AB108" s="4">
        <f>Games[[#This Row],[PreGmRate]]+Games[[#This Row],[RatingChange]]</f>
        <v>1533.7639449705848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45815</v>
      </c>
      <c r="B109" s="2">
        <v>2025</v>
      </c>
      <c r="C109" s="2">
        <f>COUNTIFS(Games[Team],Games[[#This Row],[Team]],Games[Season],Games[[#This Row],[Season]],Games[Date],"&lt;=" &amp; Games[[#This Row],[Date]])</f>
        <v>10</v>
      </c>
      <c r="D109" s="2" t="s">
        <v>79</v>
      </c>
      <c r="E109" s="2" t="s">
        <v>80</v>
      </c>
      <c r="F109" s="1" t="s">
        <v>40</v>
      </c>
      <c r="G109" s="1" t="s">
        <v>71</v>
      </c>
      <c r="H109" s="1" t="s">
        <v>82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9" s="2">
        <f>Games[[#This Row],[DaysOff]]-Games[[#This Row],[OppDaysOff]]</f>
        <v>-2</v>
      </c>
      <c r="L109" s="2">
        <f>Games[[#This Row],[OppDaysOff]]-Games[[#This Row],[DaysOff]]</f>
        <v>2</v>
      </c>
      <c r="M109" s="1">
        <f>MAX(-16, MIN(16, Games[[#This Row],[RestDiff]]*8))</f>
        <v>-16</v>
      </c>
      <c r="N109" s="1">
        <f>MAX(-16, MIN(16, Games[[#This Row],[OppRestDiff]]*8))</f>
        <v>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1497.8410977040814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1515.3215842540496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0.54951475291239915</v>
      </c>
      <c r="R109" s="1">
        <v>77</v>
      </c>
      <c r="S109" s="1">
        <v>89</v>
      </c>
      <c r="T109" s="1">
        <v>0</v>
      </c>
      <c r="U109" s="1">
        <f>Games[[#This Row],[PointsFor]]-Games[[#This Row],[PointsAgainst]]</f>
        <v>-12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0.44958037335195034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9" s="9">
        <f>MAX(kmin, kmax - 0.15 * MIN(Games[[#This Row],[GamesPlayed]], 82))</f>
        <v>74.5</v>
      </c>
      <c r="Z109" s="4">
        <f>Games[[#This Row],[K]]*Games[[#This Row],[POMult]]</f>
        <v>74.5</v>
      </c>
      <c r="AA109" s="4">
        <f>(Games[[#This Row],[Keff]]*Games[[#This Row],[MOVMult]])*(Games[[#This Row],[Result]]-Games[[#This Row],[ExpectedWin%]])</f>
        <v>-18.405303059368705</v>
      </c>
      <c r="AB109" s="4">
        <f>Games[[#This Row],[PreGmRate]]+Games[[#This Row],[RatingChange]]</f>
        <v>1479.4357946447128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45816</v>
      </c>
      <c r="B110" s="2">
        <v>2025</v>
      </c>
      <c r="C110" s="2">
        <f>COUNTIFS(Games[Team],Games[[#This Row],[Team]],Games[Season],Games[[#This Row],[Season]],Games[Date],"&lt;=" &amp; Games[[#This Row],[Date]])</f>
        <v>9</v>
      </c>
      <c r="D110" s="2" t="s">
        <v>79</v>
      </c>
      <c r="E110" s="2" t="s">
        <v>80</v>
      </c>
      <c r="F110" s="1" t="s">
        <v>67</v>
      </c>
      <c r="G110" s="1" t="s">
        <v>85</v>
      </c>
      <c r="H110" s="1" t="s">
        <v>81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0" s="2">
        <f>Games[[#This Row],[DaysOff]]-Games[[#This Row],[OppDaysOff]]</f>
        <v>3</v>
      </c>
      <c r="L110" s="2">
        <f>Games[[#This Row],[OppDaysOff]]-Games[[#This Row],[DaysOff]]</f>
        <v>-3</v>
      </c>
      <c r="M110" s="1">
        <f>MAX(-16, MIN(16, Games[[#This Row],[RestDiff]]*8))</f>
        <v>16</v>
      </c>
      <c r="N110" s="1">
        <f>MAX(-16, MIN(16, Games[[#This Row],[OppRestDiff]]*8))</f>
        <v>-16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1653.0689148181714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1352.0724215764151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0.80742104284179694</v>
      </c>
      <c r="R110" s="1">
        <v>81</v>
      </c>
      <c r="S110" s="1">
        <v>65</v>
      </c>
      <c r="T110" s="1">
        <v>0</v>
      </c>
      <c r="U110" s="1">
        <f>Games[[#This Row],[PointsFor]]-Games[[#This Row],[PointsAgainst]]</f>
        <v>16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0.41395382436513012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0" s="9">
        <f>MAX(kmin, kmax - 0.15 * MIN(Games[[#This Row],[GamesPlayed]], 82))</f>
        <v>74.650000000000006</v>
      </c>
      <c r="Z110" s="4">
        <f>Games[[#This Row],[K]]*Games[[#This Row],[POMult]]</f>
        <v>74.650000000000006</v>
      </c>
      <c r="AA110" s="4">
        <f>(Games[[#This Row],[Keff]]*Games[[#This Row],[MOVMult]])*(Games[[#This Row],[Result]]-Games[[#This Row],[ExpectedWin%]])</f>
        <v>5.9510081070587431</v>
      </c>
      <c r="AB110" s="4">
        <f>Games[[#This Row],[PreGmRate]]+Games[[#This Row],[RatingChange]]</f>
        <v>1659.01992292523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45816</v>
      </c>
      <c r="B111" s="2">
        <v>2025</v>
      </c>
      <c r="C111" s="2">
        <f>COUNTIFS(Games[Team],Games[[#This Row],[Team]],Games[Season],Games[[#This Row],[Season]],Games[Date],"&lt;=" &amp; Games[[#This Row],[Date]])</f>
        <v>10</v>
      </c>
      <c r="D111" s="2" t="s">
        <v>79</v>
      </c>
      <c r="E111" s="2" t="s">
        <v>80</v>
      </c>
      <c r="F111" s="1" t="s">
        <v>85</v>
      </c>
      <c r="G111" s="1" t="s">
        <v>67</v>
      </c>
      <c r="H111" s="1" t="s">
        <v>82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1" s="2">
        <f>Games[[#This Row],[DaysOff]]-Games[[#This Row],[OppDaysOff]]</f>
        <v>-3</v>
      </c>
      <c r="L111" s="2">
        <f>Games[[#This Row],[OppDaysOff]]-Games[[#This Row],[DaysOff]]</f>
        <v>3</v>
      </c>
      <c r="M111" s="1">
        <f>MAX(-16, MIN(16, Games[[#This Row],[RestDiff]]*8))</f>
        <v>-16</v>
      </c>
      <c r="N111" s="1">
        <f>MAX(-16, MIN(16, Games[[#This Row],[OppRestDiff]]*8))</f>
        <v>16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1352.0724215764151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1653.0689148181714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0.19257895715820297</v>
      </c>
      <c r="R111" s="1">
        <v>65</v>
      </c>
      <c r="S111" s="1">
        <v>81</v>
      </c>
      <c r="T111" s="1">
        <v>0</v>
      </c>
      <c r="U111" s="1">
        <f>Games[[#This Row],[PointsFor]]-Games[[#This Row],[PointsAgainst]]</f>
        <v>-16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0.41395382436513012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1" s="9">
        <f>MAX(kmin, kmax - 0.15 * MIN(Games[[#This Row],[GamesPlayed]], 82))</f>
        <v>74.5</v>
      </c>
      <c r="Z111" s="4">
        <f>Games[[#This Row],[K]]*Games[[#This Row],[POMult]]</f>
        <v>74.5</v>
      </c>
      <c r="AA111" s="4">
        <f>(Games[[#This Row],[Keff]]*Games[[#This Row],[MOVMult]])*(Games[[#This Row],[Result]]-Games[[#This Row],[ExpectedWin%]])</f>
        <v>-5.9390502876875573</v>
      </c>
      <c r="AB111" s="4">
        <f>Games[[#This Row],[PreGmRate]]+Games[[#This Row],[RatingChange]]</f>
        <v>1346.1333712887276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45816</v>
      </c>
      <c r="B112" s="2">
        <v>2025</v>
      </c>
      <c r="C112" s="2">
        <f>COUNTIFS(Games[Team],Games[[#This Row],[Team]],Games[Season],Games[[#This Row],[Season]],Games[Date],"&lt;=" &amp; Games[[#This Row],[Date]])</f>
        <v>9</v>
      </c>
      <c r="D112" s="2" t="s">
        <v>79</v>
      </c>
      <c r="E112" s="2" t="s">
        <v>80</v>
      </c>
      <c r="F112" s="1" t="s">
        <v>74</v>
      </c>
      <c r="G112" s="1" t="s">
        <v>65</v>
      </c>
      <c r="H112" s="1" t="s">
        <v>81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2" s="2">
        <f>Games[[#This Row],[DaysOff]]-Games[[#This Row],[OppDaysOff]]</f>
        <v>-1</v>
      </c>
      <c r="L112" s="2">
        <f>Games[[#This Row],[OppDaysOff]]-Games[[#This Row],[DaysOff]]</f>
        <v>1</v>
      </c>
      <c r="M112" s="1">
        <f>MAX(-16, MIN(16, Games[[#This Row],[RestDiff]]*8))</f>
        <v>-8</v>
      </c>
      <c r="N112" s="1">
        <f>MAX(-16, MIN(16, Games[[#This Row],[OppRestDiff]]*8))</f>
        <v>8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1474.4621564459724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1457.9598184806339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0.38209837040935374</v>
      </c>
      <c r="R112" s="1">
        <v>67</v>
      </c>
      <c r="S112" s="1">
        <v>104</v>
      </c>
      <c r="T112" s="1">
        <v>0</v>
      </c>
      <c r="U112" s="1">
        <f>Games[[#This Row],[PointsFor]]-Games[[#This Row],[PointsAgainst]]</f>
        <v>-37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0.77417051414522398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2" s="9">
        <f>MAX(kmin, kmax - 0.15 * MIN(Games[[#This Row],[GamesPlayed]], 82))</f>
        <v>74.650000000000006</v>
      </c>
      <c r="Z112" s="4">
        <f>Games[[#This Row],[K]]*Games[[#This Row],[POMult]]</f>
        <v>74.650000000000006</v>
      </c>
      <c r="AA112" s="4">
        <f>(Games[[#This Row],[Keff]]*Games[[#This Row],[MOVMult]])*(Games[[#This Row],[Result]]-Games[[#This Row],[ExpectedWin%]])</f>
        <v>-22.082163638383772</v>
      </c>
      <c r="AB112" s="4">
        <f>Games[[#This Row],[PreGmRate]]+Games[[#This Row],[RatingChange]]</f>
        <v>1452.3799928075887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45816</v>
      </c>
      <c r="B113" s="2">
        <v>2025</v>
      </c>
      <c r="C113" s="2">
        <f>COUNTIFS(Games[Team],Games[[#This Row],[Team]],Games[Season],Games[[#This Row],[Season]],Games[Date],"&lt;=" &amp; Games[[#This Row],[Date]])</f>
        <v>10</v>
      </c>
      <c r="D113" s="2" t="s">
        <v>79</v>
      </c>
      <c r="E113" s="2" t="s">
        <v>80</v>
      </c>
      <c r="F113" s="1" t="s">
        <v>65</v>
      </c>
      <c r="G113" s="1" t="s">
        <v>74</v>
      </c>
      <c r="H113" s="1" t="s">
        <v>82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3" s="2">
        <f>Games[[#This Row],[DaysOff]]-Games[[#This Row],[OppDaysOff]]</f>
        <v>1</v>
      </c>
      <c r="L113" s="2">
        <f>Games[[#This Row],[OppDaysOff]]-Games[[#This Row],[DaysOff]]</f>
        <v>-1</v>
      </c>
      <c r="M113" s="1">
        <f>MAX(-16, MIN(16, Games[[#This Row],[RestDiff]]*8))</f>
        <v>8</v>
      </c>
      <c r="N113" s="1">
        <f>MAX(-16, MIN(16, Games[[#This Row],[OppRestDiff]]*8))</f>
        <v>-8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1457.9598184806339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1474.4621564459724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0.61790162959064632</v>
      </c>
      <c r="R113" s="1">
        <v>104</v>
      </c>
      <c r="S113" s="1">
        <v>67</v>
      </c>
      <c r="T113" s="1">
        <v>0</v>
      </c>
      <c r="U113" s="1">
        <f>Games[[#This Row],[PointsFor]]-Games[[#This Row],[PointsAgainst]]</f>
        <v>37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0.77417051414522398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22.037792244602688</v>
      </c>
      <c r="AB113" s="4">
        <f>Games[[#This Row],[PreGmRate]]+Games[[#This Row],[RatingChange]]</f>
        <v>1479.9976107252367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45817</v>
      </c>
      <c r="B114" s="2">
        <v>2025</v>
      </c>
      <c r="C114" s="2">
        <f>COUNTIFS(Games[Team],Games[[#This Row],[Team]],Games[Season],Games[[#This Row],[Season]],Games[Date],"&lt;=" &amp; Games[[#This Row],[Date]])</f>
        <v>9</v>
      </c>
      <c r="D114" s="2" t="s">
        <v>79</v>
      </c>
      <c r="E114" s="2" t="s">
        <v>80</v>
      </c>
      <c r="F114" s="1" t="s">
        <v>88</v>
      </c>
      <c r="G114" s="1" t="s">
        <v>63</v>
      </c>
      <c r="H114" s="1" t="s">
        <v>81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4" s="2">
        <f>Games[[#This Row],[DaysOff]]-Games[[#This Row],[OppDaysOff]]</f>
        <v>-1</v>
      </c>
      <c r="L114" s="2">
        <f>Games[[#This Row],[OppDaysOff]]-Games[[#This Row],[DaysOff]]</f>
        <v>1</v>
      </c>
      <c r="M114" s="1">
        <f>MAX(-16, MIN(16, Games[[#This Row],[RestDiff]]*8))</f>
        <v>-8</v>
      </c>
      <c r="N114" s="1">
        <f>MAX(-16, MIN(16, Games[[#This Row],[OppRestDiff]]*8))</f>
        <v>8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1484.7382522247237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1402.5122579120639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0.47444344055321691</v>
      </c>
      <c r="R114" s="1">
        <v>89</v>
      </c>
      <c r="S114" s="1">
        <v>81</v>
      </c>
      <c r="T114" s="1">
        <v>1</v>
      </c>
      <c r="U114" s="1">
        <f>Games[[#This Row],[PointsFor]]-Games[[#This Row],[PointsAgainst]]</f>
        <v>8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0.32707243470606445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4" s="9">
        <f>MAX(kmin, kmax - 0.15 * MIN(Games[[#This Row],[GamesPlayed]], 82))</f>
        <v>74.650000000000006</v>
      </c>
      <c r="Z114" s="4">
        <f>Games[[#This Row],[K]]*Games[[#This Row],[POMult]]</f>
        <v>74.650000000000006</v>
      </c>
      <c r="AA114" s="4">
        <f>(Games[[#This Row],[Keff]]*Games[[#This Row],[MOVMult]])*(Games[[#This Row],[Result]]-Games[[#This Row],[ExpectedWin%]])</f>
        <v>12.831966488334238</v>
      </c>
      <c r="AB114" s="4">
        <f>Games[[#This Row],[PreGmRate]]+Games[[#This Row],[RatingChange]]</f>
        <v>1497.570218713058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45817</v>
      </c>
      <c r="B115" s="2">
        <v>2025</v>
      </c>
      <c r="C115" s="2">
        <f>COUNTIFS(Games[Team],Games[[#This Row],[Team]],Games[Season],Games[[#This Row],[Season]],Games[Date],"&lt;=" &amp; Games[[#This Row],[Date]])</f>
        <v>10</v>
      </c>
      <c r="D115" s="2" t="s">
        <v>79</v>
      </c>
      <c r="E115" s="2" t="s">
        <v>80</v>
      </c>
      <c r="F115" s="1" t="s">
        <v>63</v>
      </c>
      <c r="G115" s="1" t="s">
        <v>88</v>
      </c>
      <c r="H115" s="1" t="s">
        <v>82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1</v>
      </c>
      <c r="L115" s="2">
        <f>Games[[#This Row],[OppDaysOff]]-Games[[#This Row],[DaysOff]]</f>
        <v>-1</v>
      </c>
      <c r="M115" s="1">
        <f>MAX(-16, MIN(16, Games[[#This Row],[RestDiff]]*8))</f>
        <v>8</v>
      </c>
      <c r="N115" s="1">
        <f>MAX(-16, MIN(16, Games[[#This Row],[OppRestDiff]]*8))</f>
        <v>-8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1402.5122579120639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1484.7382522247237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0.52555655944678314</v>
      </c>
      <c r="R115" s="1">
        <v>81</v>
      </c>
      <c r="S115" s="1">
        <v>89</v>
      </c>
      <c r="T115" s="1">
        <v>1</v>
      </c>
      <c r="U115" s="1">
        <f>Games[[#This Row],[PointsFor]]-Games[[#This Row],[PointsAgainst]]</f>
        <v>-8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0.32707243470606445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5" s="9">
        <f>MAX(kmin, kmax - 0.15 * MIN(Games[[#This Row],[GamesPlayed]], 82))</f>
        <v>74.5</v>
      </c>
      <c r="Z115" s="4">
        <f>Games[[#This Row],[K]]*Games[[#This Row],[POMult]]</f>
        <v>74.5</v>
      </c>
      <c r="AA115" s="4">
        <f>(Games[[#This Row],[Keff]]*Games[[#This Row],[MOVMult]])*(Games[[#This Row],[Result]]-Games[[#This Row],[ExpectedWin%]])</f>
        <v>-12.806182228813139</v>
      </c>
      <c r="AB115" s="4">
        <f>Games[[#This Row],[PreGmRate]]+Games[[#This Row],[RatingChange]]</f>
        <v>1389.7060756832507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45818</v>
      </c>
      <c r="B116" s="2">
        <v>2025</v>
      </c>
      <c r="C116" s="2">
        <f>COUNTIFS(Games[Team],Games[[#This Row],[Team]],Games[Season],Games[[#This Row],[Season]],Games[Date],"&lt;=" &amp; Games[[#This Row],[Date]])</f>
        <v>9</v>
      </c>
      <c r="D116" s="2" t="s">
        <v>79</v>
      </c>
      <c r="E116" s="2" t="s">
        <v>80</v>
      </c>
      <c r="F116" s="1" t="s">
        <v>69</v>
      </c>
      <c r="G116" s="1" t="s">
        <v>77</v>
      </c>
      <c r="H116" s="1" t="s">
        <v>81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6" s="2">
        <f>Games[[#This Row],[DaysOff]]-Games[[#This Row],[OppDaysOff]]</f>
        <v>-1</v>
      </c>
      <c r="L116" s="2">
        <f>Games[[#This Row],[OppDaysOff]]-Games[[#This Row],[DaysOff]]</f>
        <v>1</v>
      </c>
      <c r="M116" s="1">
        <f>MAX(-16, MIN(16, Games[[#This Row],[RestDiff]]*8))</f>
        <v>-8</v>
      </c>
      <c r="N116" s="1">
        <f>MAX(-16, MIN(16, Games[[#This Row],[OppRestDiff]]*8))</f>
        <v>8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1513.7186318523993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1499.2165073958672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0.37938360306363178</v>
      </c>
      <c r="R116" s="1">
        <v>58</v>
      </c>
      <c r="S116" s="1">
        <v>77</v>
      </c>
      <c r="T116" s="1">
        <v>0</v>
      </c>
      <c r="U116" s="1">
        <f>Games[[#This Row],[PointsFor]]-Games[[#This Row],[PointsAgainst]]</f>
        <v>-19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0.55427905288263912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6" s="9">
        <f>MAX(kmin, kmax - 0.15 * MIN(Games[[#This Row],[GamesPlayed]], 82))</f>
        <v>74.650000000000006</v>
      </c>
      <c r="Z116" s="4">
        <f>Games[[#This Row],[K]]*Games[[#This Row],[POMult]]</f>
        <v>74.650000000000006</v>
      </c>
      <c r="AA116" s="4">
        <f>(Games[[#This Row],[Keff]]*Games[[#This Row],[MOVMult]])*(Games[[#This Row],[Result]]-Games[[#This Row],[ExpectedWin%]])</f>
        <v>-15.697729279433611</v>
      </c>
      <c r="AB116" s="4">
        <f>Games[[#This Row],[PreGmRate]]+Games[[#This Row],[RatingChange]]</f>
        <v>1498.0209025729657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45818</v>
      </c>
      <c r="B117" s="2">
        <v>2025</v>
      </c>
      <c r="C117" s="2">
        <f>COUNTIFS(Games[Team],Games[[#This Row],[Team]],Games[Season],Games[[#This Row],[Season]],Games[Date],"&lt;=" &amp; Games[[#This Row],[Date]])</f>
        <v>9</v>
      </c>
      <c r="D117" s="2" t="s">
        <v>79</v>
      </c>
      <c r="E117" s="2" t="s">
        <v>80</v>
      </c>
      <c r="F117" s="1" t="s">
        <v>77</v>
      </c>
      <c r="G117" s="1" t="s">
        <v>69</v>
      </c>
      <c r="H117" s="1" t="s">
        <v>82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7" s="2">
        <f>Games[[#This Row],[DaysOff]]-Games[[#This Row],[OppDaysOff]]</f>
        <v>1</v>
      </c>
      <c r="L117" s="2">
        <f>Games[[#This Row],[OppDaysOff]]-Games[[#This Row],[DaysOff]]</f>
        <v>-1</v>
      </c>
      <c r="M117" s="1">
        <f>MAX(-16, MIN(16, Games[[#This Row],[RestDiff]]*8))</f>
        <v>8</v>
      </c>
      <c r="N117" s="1">
        <f>MAX(-16, MIN(16, Games[[#This Row],[OppRestDiff]]*8))</f>
        <v>-8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1499.2165073958672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1513.7186318523993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0.62061639693636816</v>
      </c>
      <c r="R117" s="1">
        <v>77</v>
      </c>
      <c r="S117" s="1">
        <v>58</v>
      </c>
      <c r="T117" s="1">
        <v>0</v>
      </c>
      <c r="U117" s="1">
        <f>Games[[#This Row],[PointsFor]]-Games[[#This Row],[PointsAgainst]]</f>
        <v>19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0.55427905288263912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7" s="9">
        <f>MAX(kmin, kmax - 0.15 * MIN(Games[[#This Row],[GamesPlayed]], 82))</f>
        <v>74.650000000000006</v>
      </c>
      <c r="Z117" s="4">
        <f>Games[[#This Row],[K]]*Games[[#This Row],[POMult]]</f>
        <v>74.650000000000006</v>
      </c>
      <c r="AA117" s="4">
        <f>(Games[[#This Row],[Keff]]*Games[[#This Row],[MOVMult]])*(Games[[#This Row],[Result]]-Games[[#This Row],[ExpectedWin%]])</f>
        <v>15.697729279433613</v>
      </c>
      <c r="AB117" s="4">
        <f>Games[[#This Row],[PreGmRate]]+Games[[#This Row],[RatingChange]]</f>
        <v>1514.9142366753008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45818</v>
      </c>
      <c r="B118" s="2">
        <v>2025</v>
      </c>
      <c r="C118" s="2">
        <f>COUNTIFS(Games[Team],Games[[#This Row],[Team]],Games[Season],Games[[#This Row],[Season]],Games[Date],"&lt;=" &amp; Games[[#This Row],[Date]])</f>
        <v>8</v>
      </c>
      <c r="D118" s="2" t="s">
        <v>79</v>
      </c>
      <c r="E118" s="2" t="s">
        <v>80</v>
      </c>
      <c r="F118" s="1" t="s">
        <v>75</v>
      </c>
      <c r="G118" s="1" t="s">
        <v>60</v>
      </c>
      <c r="H118" s="1" t="s">
        <v>81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8" s="2">
        <f>Games[[#This Row],[DaysOff]]-Games[[#This Row],[OppDaysOff]]</f>
        <v>-2</v>
      </c>
      <c r="L118" s="2">
        <f>Games[[#This Row],[OppDaysOff]]-Games[[#This Row],[DaysOff]]</f>
        <v>2</v>
      </c>
      <c r="M118" s="1">
        <f>MAX(-16, MIN(16, Games[[#This Row],[RestDiff]]*8))</f>
        <v>-16</v>
      </c>
      <c r="N118" s="1">
        <f>MAX(-16, MIN(16, Games[[#This Row],[OppRestDiff]]*8))</f>
        <v>16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1381.3247688051313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1697.1640131417564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7.685494838256636E-2</v>
      </c>
      <c r="R118" s="1">
        <v>66</v>
      </c>
      <c r="S118" s="1">
        <v>85</v>
      </c>
      <c r="T118" s="1">
        <v>0</v>
      </c>
      <c r="U118" s="1">
        <f>Games[[#This Row],[PointsFor]]-Games[[#This Row],[PointsAgainst]]</f>
        <v>-19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0.44409266337626691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8" s="9">
        <f>MAX(kmin, kmax - 0.15 * MIN(Games[[#This Row],[GamesPlayed]], 82))</f>
        <v>74.8</v>
      </c>
      <c r="Z118" s="4">
        <f>Games[[#This Row],[K]]*Games[[#This Row],[POMult]]</f>
        <v>74.8</v>
      </c>
      <c r="AA118" s="4">
        <f>(Games[[#This Row],[Keff]]*Games[[#This Row],[MOVMult]])*(Games[[#This Row],[Result]]-Games[[#This Row],[ExpectedWin%]])</f>
        <v>-2.5529777603202839</v>
      </c>
      <c r="AB118" s="4">
        <f>Games[[#This Row],[PreGmRate]]+Games[[#This Row],[RatingChange]]</f>
        <v>1378.7717910448109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45818</v>
      </c>
      <c r="B119" s="2">
        <v>2025</v>
      </c>
      <c r="C119" s="2">
        <f>COUNTIFS(Games[Team],Games[[#This Row],[Team]],Games[Season],Games[[#This Row],[Season]],Games[Date],"&lt;=" &amp; Games[[#This Row],[Date]])</f>
        <v>9</v>
      </c>
      <c r="D119" s="2" t="s">
        <v>79</v>
      </c>
      <c r="E119" s="2" t="s">
        <v>80</v>
      </c>
      <c r="F119" s="1" t="s">
        <v>60</v>
      </c>
      <c r="G119" s="1" t="s">
        <v>75</v>
      </c>
      <c r="H119" s="1" t="s">
        <v>82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2</v>
      </c>
      <c r="L119" s="2">
        <f>Games[[#This Row],[OppDaysOff]]-Games[[#This Row],[DaysOff]]</f>
        <v>-2</v>
      </c>
      <c r="M119" s="1">
        <f>MAX(-16, MIN(16, Games[[#This Row],[RestDiff]]*8))</f>
        <v>16</v>
      </c>
      <c r="N119" s="1">
        <f>MAX(-16, MIN(16, Games[[#This Row],[OppRestDiff]]*8))</f>
        <v>-16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1697.1640131417564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1381.3247688051313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0.92314505161743377</v>
      </c>
      <c r="R119" s="1">
        <v>85</v>
      </c>
      <c r="S119" s="1">
        <v>66</v>
      </c>
      <c r="T119" s="1">
        <v>0</v>
      </c>
      <c r="U119" s="1">
        <f>Games[[#This Row],[PointsFor]]-Games[[#This Row],[PointsAgainst]]</f>
        <v>19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0.44409266337626691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9" s="9">
        <f>MAX(kmin, kmax - 0.15 * MIN(Games[[#This Row],[GamesPlayed]], 82))</f>
        <v>74.650000000000006</v>
      </c>
      <c r="Z119" s="4">
        <f>Games[[#This Row],[K]]*Games[[#This Row],[POMult]]</f>
        <v>74.650000000000006</v>
      </c>
      <c r="AA119" s="4">
        <f>(Games[[#This Row],[Keff]]*Games[[#This Row],[MOVMult]])*(Games[[#This Row],[Result]]-Games[[#This Row],[ExpectedWin%]])</f>
        <v>2.5478581525121511</v>
      </c>
      <c r="AB119" s="4">
        <f>Games[[#This Row],[PreGmRate]]+Games[[#This Row],[RatingChange]]</f>
        <v>1699.7118712942686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45819</v>
      </c>
      <c r="B120" s="2">
        <v>2025</v>
      </c>
      <c r="C120" s="2">
        <f>COUNTIFS(Games[Team],Games[[#This Row],[Team]],Games[Season],Games[[#This Row],[Season]],Games[Date],"&lt;=" &amp; Games[[#This Row],[Date]])</f>
        <v>11</v>
      </c>
      <c r="D120" s="2" t="s">
        <v>79</v>
      </c>
      <c r="E120" s="2" t="s">
        <v>80</v>
      </c>
      <c r="F120" s="1" t="s">
        <v>63</v>
      </c>
      <c r="G120" s="1" t="s">
        <v>86</v>
      </c>
      <c r="H120" s="1" t="s">
        <v>81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0" s="2">
        <f>Games[[#This Row],[DaysOff]]-Games[[#This Row],[OppDaysOff]]</f>
        <v>-2</v>
      </c>
      <c r="L120" s="2">
        <f>Games[[#This Row],[OppDaysOff]]-Games[[#This Row],[DaysOff]]</f>
        <v>2</v>
      </c>
      <c r="M120" s="1">
        <f>MAX(-16, MIN(16, Games[[#This Row],[RestDiff]]*8))</f>
        <v>-16</v>
      </c>
      <c r="N120" s="1">
        <f>MAX(-16, MIN(16, Games[[#This Row],[OppRestDiff]]*8))</f>
        <v>16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1389.7060756832507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1570.047465975206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0.15369910076160387</v>
      </c>
      <c r="R120" s="1">
        <v>97</v>
      </c>
      <c r="S120" s="1">
        <v>89</v>
      </c>
      <c r="T120" s="1">
        <v>0</v>
      </c>
      <c r="U120" s="1">
        <f>Games[[#This Row],[PointsFor]]-Games[[#This Row],[PointsAgainst]]</f>
        <v>8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0.33758217009275343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0" s="9">
        <f>MAX(kmin, kmax - 0.15 * MIN(Games[[#This Row],[GamesPlayed]], 82))</f>
        <v>74.349999999999994</v>
      </c>
      <c r="Z120" s="4">
        <f>Games[[#This Row],[K]]*Games[[#This Row],[POMult]]</f>
        <v>74.349999999999994</v>
      </c>
      <c r="AA120" s="4">
        <f>(Games[[#This Row],[Keff]]*Games[[#This Row],[MOVMult]])*(Games[[#This Row],[Result]]-Games[[#This Row],[ExpectedWin%]])</f>
        <v>21.241504597550357</v>
      </c>
      <c r="AB120" s="4">
        <f>Games[[#This Row],[PreGmRate]]+Games[[#This Row],[RatingChange]]</f>
        <v>1410.947580280801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45819</v>
      </c>
      <c r="B121" s="2">
        <v>2025</v>
      </c>
      <c r="C121" s="2">
        <f>COUNTIFS(Games[Team],Games[[#This Row],[Team]],Games[Season],Games[[#This Row],[Season]],Games[Date],"&lt;=" &amp; Games[[#This Row],[Date]])</f>
        <v>8</v>
      </c>
      <c r="D121" s="2" t="s">
        <v>79</v>
      </c>
      <c r="E121" s="2" t="s">
        <v>80</v>
      </c>
      <c r="F121" s="1" t="s">
        <v>86</v>
      </c>
      <c r="G121" s="1" t="s">
        <v>63</v>
      </c>
      <c r="H121" s="1" t="s">
        <v>82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2</v>
      </c>
      <c r="L121" s="2">
        <f>Games[[#This Row],[OppDaysOff]]-Games[[#This Row],[DaysOff]]</f>
        <v>-2</v>
      </c>
      <c r="M121" s="1">
        <f>MAX(-16, MIN(16, Games[[#This Row],[RestDiff]]*8))</f>
        <v>16</v>
      </c>
      <c r="N121" s="1">
        <f>MAX(-16, MIN(16, Games[[#This Row],[OppRestDiff]]*8))</f>
        <v>-16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1570.047465975206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1389.7060756832507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0.84630089923839613</v>
      </c>
      <c r="R121" s="1">
        <v>89</v>
      </c>
      <c r="S121" s="1">
        <v>97</v>
      </c>
      <c r="T121" s="1">
        <v>0</v>
      </c>
      <c r="U121" s="1">
        <f>Games[[#This Row],[PointsFor]]-Games[[#This Row],[PointsAgainst]]</f>
        <v>-8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0.33758217009275343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1" s="9">
        <f>MAX(kmin, kmax - 0.15 * MIN(Games[[#This Row],[GamesPlayed]], 82))</f>
        <v>74.8</v>
      </c>
      <c r="Z121" s="4">
        <f>Games[[#This Row],[K]]*Games[[#This Row],[POMult]]</f>
        <v>74.8</v>
      </c>
      <c r="AA121" s="4">
        <f>(Games[[#This Row],[Keff]]*Games[[#This Row],[MOVMult]])*(Games[[#This Row],[Result]]-Games[[#This Row],[ExpectedWin%]])</f>
        <v>-21.370067839902713</v>
      </c>
      <c r="AB121" s="4">
        <f>Games[[#This Row],[PreGmRate]]+Games[[#This Row],[RatingChange]]</f>
        <v>1548.6773981353033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45819</v>
      </c>
      <c r="B122" s="2">
        <v>2025</v>
      </c>
      <c r="C122" s="2">
        <f>COUNTIFS(Games[Team],Games[[#This Row],[Team]],Games[Season],Games[[#This Row],[Season]],Games[Date],"&lt;=" &amp; Games[[#This Row],[Date]])</f>
        <v>11</v>
      </c>
      <c r="D122" s="2" t="s">
        <v>79</v>
      </c>
      <c r="E122" s="2" t="s">
        <v>80</v>
      </c>
      <c r="F122" s="1" t="s">
        <v>85</v>
      </c>
      <c r="G122" s="1" t="s">
        <v>40</v>
      </c>
      <c r="H122" s="1" t="s">
        <v>81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2" s="2">
        <f>Games[[#This Row],[DaysOff]]-Games[[#This Row],[OppDaysOff]]</f>
        <v>-1</v>
      </c>
      <c r="L122" s="2">
        <f>Games[[#This Row],[OppDaysOff]]-Games[[#This Row],[DaysOff]]</f>
        <v>1</v>
      </c>
      <c r="M122" s="1">
        <f>MAX(-16, MIN(16, Games[[#This Row],[RestDiff]]*8))</f>
        <v>-8</v>
      </c>
      <c r="N122" s="1">
        <f>MAX(-16, MIN(16, Games[[#This Row],[OppRestDiff]]*8))</f>
        <v>8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1346.1333712887276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1479.4357946447128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0.20701768338353635</v>
      </c>
      <c r="R122" s="1">
        <v>80</v>
      </c>
      <c r="S122" s="1">
        <v>93</v>
      </c>
      <c r="T122" s="1">
        <v>0</v>
      </c>
      <c r="U122" s="1">
        <f>Games[[#This Row],[PointsFor]]-Games[[#This Row],[PointsAgainst]]</f>
        <v>-13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0.4248492291427427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2" s="9">
        <f>MAX(kmin, kmax - 0.15 * MIN(Games[[#This Row],[GamesPlayed]], 82))</f>
        <v>74.349999999999994</v>
      </c>
      <c r="Z122" s="4">
        <f>Games[[#This Row],[K]]*Games[[#This Row],[POMult]]</f>
        <v>74.349999999999994</v>
      </c>
      <c r="AA122" s="4">
        <f>(Games[[#This Row],[Keff]]*Games[[#This Row],[MOVMult]])*(Games[[#This Row],[Result]]-Games[[#This Row],[ExpectedWin%]])</f>
        <v>-6.5391793932480162</v>
      </c>
      <c r="AB122" s="4">
        <f>Games[[#This Row],[PreGmRate]]+Games[[#This Row],[RatingChange]]</f>
        <v>1339.5941918954795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45819</v>
      </c>
      <c r="B123" s="2">
        <v>2025</v>
      </c>
      <c r="C123" s="2">
        <f>COUNTIFS(Games[Team],Games[[#This Row],[Team]],Games[Season],Games[[#This Row],[Season]],Games[Date],"&lt;=" &amp; Games[[#This Row],[Date]])</f>
        <v>11</v>
      </c>
      <c r="D123" s="2" t="s">
        <v>79</v>
      </c>
      <c r="E123" s="2" t="s">
        <v>80</v>
      </c>
      <c r="F123" s="1" t="s">
        <v>40</v>
      </c>
      <c r="G123" s="1" t="s">
        <v>85</v>
      </c>
      <c r="H123" s="1" t="s">
        <v>82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1</v>
      </c>
      <c r="L123" s="2">
        <f>Games[[#This Row],[OppDaysOff]]-Games[[#This Row],[DaysOff]]</f>
        <v>-1</v>
      </c>
      <c r="M123" s="1">
        <f>MAX(-16, MIN(16, Games[[#This Row],[RestDiff]]*8))</f>
        <v>8</v>
      </c>
      <c r="N123" s="1">
        <f>MAX(-16, MIN(16, Games[[#This Row],[OppRestDiff]]*8))</f>
        <v>-8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1479.4357946447128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1346.1333712887276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0.79298231661646368</v>
      </c>
      <c r="R123" s="1">
        <v>93</v>
      </c>
      <c r="S123" s="1">
        <v>80</v>
      </c>
      <c r="T123" s="1">
        <v>0</v>
      </c>
      <c r="U123" s="1">
        <f>Games[[#This Row],[PointsFor]]-Games[[#This Row],[PointsAgainst]]</f>
        <v>13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0.4248492291427427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3" s="9">
        <f>MAX(kmin, kmax - 0.15 * MIN(Games[[#This Row],[GamesPlayed]], 82))</f>
        <v>74.349999999999994</v>
      </c>
      <c r="Z123" s="4">
        <f>Games[[#This Row],[K]]*Games[[#This Row],[POMult]]</f>
        <v>74.349999999999994</v>
      </c>
      <c r="AA123" s="4">
        <f>(Games[[#This Row],[Keff]]*Games[[#This Row],[MOVMult]])*(Games[[#This Row],[Result]]-Games[[#This Row],[ExpectedWin%]])</f>
        <v>6.5391793932480153</v>
      </c>
      <c r="AB123" s="4">
        <f>Games[[#This Row],[PreGmRate]]+Games[[#This Row],[RatingChange]]</f>
        <v>1485.9749740379609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45819</v>
      </c>
      <c r="B124" s="2">
        <v>2025</v>
      </c>
      <c r="C124" s="2">
        <f>COUNTIFS(Games[Team],Games[[#This Row],[Team]],Games[Season],Games[[#This Row],[Season]],Games[Date],"&lt;=" &amp; Games[[#This Row],[Date]])</f>
        <v>10</v>
      </c>
      <c r="D124" s="2" t="s">
        <v>79</v>
      </c>
      <c r="E124" s="2" t="s">
        <v>80</v>
      </c>
      <c r="F124" s="1" t="s">
        <v>67</v>
      </c>
      <c r="G124" s="1" t="s">
        <v>71</v>
      </c>
      <c r="H124" s="1" t="s">
        <v>81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4" s="2">
        <f>Games[[#This Row],[DaysOff]]-Games[[#This Row],[OppDaysOff]]</f>
        <v>-1</v>
      </c>
      <c r="L124" s="2">
        <f>Games[[#This Row],[OppDaysOff]]-Games[[#This Row],[DaysOff]]</f>
        <v>1</v>
      </c>
      <c r="M124" s="1">
        <f>MAX(-16, MIN(16, Games[[#This Row],[RestDiff]]*8))</f>
        <v>-8</v>
      </c>
      <c r="N124" s="1">
        <f>MAX(-16, MIN(16, Games[[#This Row],[OppRestDiff]]*8))</f>
        <v>8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1659.01992292523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1533.7639449705848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0.53628238859108568</v>
      </c>
      <c r="R124" s="1">
        <v>84</v>
      </c>
      <c r="S124" s="1">
        <v>94</v>
      </c>
      <c r="T124" s="1">
        <v>0</v>
      </c>
      <c r="U124" s="1">
        <f>Games[[#This Row],[PointsFor]]-Games[[#This Row],[PointsAgainst]]</f>
        <v>-10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0.38313778443195062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4" s="9">
        <f>MAX(kmin, kmax - 0.15 * MIN(Games[[#This Row],[GamesPlayed]], 82))</f>
        <v>74.5</v>
      </c>
      <c r="Z124" s="4">
        <f>Games[[#This Row],[K]]*Games[[#This Row],[POMult]]</f>
        <v>74.5</v>
      </c>
      <c r="AA124" s="4">
        <f>(Games[[#This Row],[Keff]]*Games[[#This Row],[MOVMult]])*(Games[[#This Row],[Result]]-Games[[#This Row],[ExpectedWin%]])</f>
        <v>-15.30751844150239</v>
      </c>
      <c r="AB124" s="4">
        <f>Games[[#This Row],[PreGmRate]]+Games[[#This Row],[RatingChange]]</f>
        <v>1643.7124044837276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45819</v>
      </c>
      <c r="B125" s="2">
        <v>2025</v>
      </c>
      <c r="C125" s="2">
        <f>COUNTIFS(Games[Team],Games[[#This Row],[Team]],Games[Season],Games[[#This Row],[Season]],Games[Date],"&lt;=" &amp; Games[[#This Row],[Date]])</f>
        <v>10</v>
      </c>
      <c r="D125" s="2" t="s">
        <v>79</v>
      </c>
      <c r="E125" s="2" t="s">
        <v>80</v>
      </c>
      <c r="F125" s="1" t="s">
        <v>71</v>
      </c>
      <c r="G125" s="1" t="s">
        <v>67</v>
      </c>
      <c r="H125" s="1" t="s">
        <v>82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5" s="2">
        <f>Games[[#This Row],[DaysOff]]-Games[[#This Row],[OppDaysOff]]</f>
        <v>1</v>
      </c>
      <c r="L125" s="2">
        <f>Games[[#This Row],[OppDaysOff]]-Games[[#This Row],[DaysOff]]</f>
        <v>-1</v>
      </c>
      <c r="M125" s="1">
        <f>MAX(-16, MIN(16, Games[[#This Row],[RestDiff]]*8))</f>
        <v>8</v>
      </c>
      <c r="N125" s="1">
        <f>MAX(-16, MIN(16, Games[[#This Row],[OppRestDiff]]*8))</f>
        <v>-8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1533.7639449705848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1659.01992292523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0.46371761140891427</v>
      </c>
      <c r="R125" s="1">
        <v>94</v>
      </c>
      <c r="S125" s="1">
        <v>84</v>
      </c>
      <c r="T125" s="1">
        <v>0</v>
      </c>
      <c r="U125" s="1">
        <f>Games[[#This Row],[PointsFor]]-Games[[#This Row],[PointsAgainst]]</f>
        <v>10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0.38313778443195062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5" s="9">
        <f>MAX(kmin, kmax - 0.15 * MIN(Games[[#This Row],[GamesPlayed]], 82))</f>
        <v>74.5</v>
      </c>
      <c r="Z125" s="4">
        <f>Games[[#This Row],[K]]*Games[[#This Row],[POMult]]</f>
        <v>74.5</v>
      </c>
      <c r="AA125" s="4">
        <f>(Games[[#This Row],[Keff]]*Games[[#This Row],[MOVMult]])*(Games[[#This Row],[Result]]-Games[[#This Row],[ExpectedWin%]])</f>
        <v>15.30751844150239</v>
      </c>
      <c r="AB125" s="4">
        <f>Games[[#This Row],[PreGmRate]]+Games[[#This Row],[RatingChange]]</f>
        <v>1549.0714634120873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45821</v>
      </c>
      <c r="B126" s="2">
        <v>2025</v>
      </c>
      <c r="C126" s="2">
        <f>COUNTIFS(Games[Team],Games[[#This Row],[Team]],Games[Season],Games[[#This Row],[Season]],Games[Date],"&lt;=" &amp; Games[[#This Row],[Date]])</f>
        <v>9</v>
      </c>
      <c r="D126" s="2" t="s">
        <v>79</v>
      </c>
      <c r="E126" s="2" t="s">
        <v>80</v>
      </c>
      <c r="F126" s="1" t="s">
        <v>75</v>
      </c>
      <c r="G126" s="1" t="s">
        <v>77</v>
      </c>
      <c r="H126" s="1" t="s">
        <v>81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6" s="2">
        <f>Games[[#This Row],[DaysOff]]-Games[[#This Row],[OppDaysOff]]</f>
        <v>0</v>
      </c>
      <c r="L126" s="2">
        <f>Games[[#This Row],[OppDaysOff]]-Games[[#This Row],[DaysOff]]</f>
        <v>0</v>
      </c>
      <c r="M126" s="1">
        <f>MAX(-16, MIN(16, Games[[#This Row],[RestDiff]]*8))</f>
        <v>0</v>
      </c>
      <c r="N126" s="1">
        <f>MAX(-16, MIN(16, Games[[#This Row],[OppRestDiff]]*8))</f>
        <v>0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1378.7717910448109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1514.9142366753008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0.21972977876489708</v>
      </c>
      <c r="R126" s="1">
        <v>70</v>
      </c>
      <c r="S126" s="1">
        <v>88</v>
      </c>
      <c r="T126" s="1">
        <v>0</v>
      </c>
      <c r="U126" s="1">
        <f>Games[[#This Row],[PointsFor]]-Games[[#This Row],[PointsAgainst]]</f>
        <v>-18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0.49111583925615199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6" s="9">
        <f>MAX(kmin, kmax - 0.15 * MIN(Games[[#This Row],[GamesPlayed]], 82))</f>
        <v>74.650000000000006</v>
      </c>
      <c r="Z126" s="4">
        <f>Games[[#This Row],[K]]*Games[[#This Row],[POMult]]</f>
        <v>74.650000000000006</v>
      </c>
      <c r="AA126" s="4">
        <f>(Games[[#This Row],[Keff]]*Games[[#This Row],[MOVMult]])*(Games[[#This Row],[Result]]-Games[[#This Row],[ExpectedWin%]])</f>
        <v>-8.0556886319291365</v>
      </c>
      <c r="AB126" s="4">
        <f>Games[[#This Row],[PreGmRate]]+Games[[#This Row],[RatingChange]]</f>
        <v>1370.7161024128818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45821</v>
      </c>
      <c r="B127" s="2">
        <v>2025</v>
      </c>
      <c r="C127" s="2">
        <f>COUNTIFS(Games[Team],Games[[#This Row],[Team]],Games[Season],Games[[#This Row],[Season]],Games[Date],"&lt;=" &amp; Games[[#This Row],[Date]])</f>
        <v>10</v>
      </c>
      <c r="D127" s="2" t="s">
        <v>79</v>
      </c>
      <c r="E127" s="2" t="s">
        <v>80</v>
      </c>
      <c r="F127" s="1" t="s">
        <v>77</v>
      </c>
      <c r="G127" s="1" t="s">
        <v>75</v>
      </c>
      <c r="H127" s="1" t="s">
        <v>82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7" s="2">
        <f>Games[[#This Row],[DaysOff]]-Games[[#This Row],[OppDaysOff]]</f>
        <v>0</v>
      </c>
      <c r="L127" s="2">
        <f>Games[[#This Row],[OppDaysOff]]-Games[[#This Row],[DaysOff]]</f>
        <v>0</v>
      </c>
      <c r="M127" s="1">
        <f>MAX(-16, MIN(16, Games[[#This Row],[RestDiff]]*8))</f>
        <v>0</v>
      </c>
      <c r="N127" s="1">
        <f>MAX(-16, MIN(16, Games[[#This Row],[OppRestDiff]]*8))</f>
        <v>0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1514.9142366753008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1378.7717910448109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0.78027022123510292</v>
      </c>
      <c r="R127" s="1">
        <v>88</v>
      </c>
      <c r="S127" s="1">
        <v>70</v>
      </c>
      <c r="T127" s="1">
        <v>0</v>
      </c>
      <c r="U127" s="1">
        <f>Games[[#This Row],[PointsFor]]-Games[[#This Row],[PointsAgainst]]</f>
        <v>18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0.49111583925615199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7" s="9">
        <f>MAX(kmin, kmax - 0.15 * MIN(Games[[#This Row],[GamesPlayed]], 82))</f>
        <v>74.5</v>
      </c>
      <c r="Z127" s="4">
        <f>Games[[#This Row],[K]]*Games[[#This Row],[POMult]]</f>
        <v>74.5</v>
      </c>
      <c r="AA127" s="4">
        <f>(Games[[#This Row],[Keff]]*Games[[#This Row],[MOVMult]])*(Games[[#This Row],[Result]]-Games[[#This Row],[ExpectedWin%]])</f>
        <v>8.0395017157229809</v>
      </c>
      <c r="AB127" s="4">
        <f>Games[[#This Row],[PreGmRate]]+Games[[#This Row],[RatingChange]]</f>
        <v>1522.9537383910238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45821</v>
      </c>
      <c r="B128" s="2">
        <v>2025</v>
      </c>
      <c r="C128" s="2">
        <f>COUNTIFS(Games[Team],Games[[#This Row],[Team]],Games[Season],Games[[#This Row],[Season]],Games[Date],"&lt;=" &amp; Games[[#This Row],[Date]])</f>
        <v>12</v>
      </c>
      <c r="D128" s="2" t="s">
        <v>79</v>
      </c>
      <c r="E128" s="2" t="s">
        <v>80</v>
      </c>
      <c r="F128" s="1" t="s">
        <v>85</v>
      </c>
      <c r="G128" s="1" t="s">
        <v>86</v>
      </c>
      <c r="H128" s="1" t="s">
        <v>81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0</v>
      </c>
      <c r="L128" s="2">
        <f>Games[[#This Row],[OppDaysOff]]-Games[[#This Row],[DaysOff]]</f>
        <v>0</v>
      </c>
      <c r="M128" s="1">
        <f>MAX(-16, MIN(16, Games[[#This Row],[RestDiff]]*8))</f>
        <v>0</v>
      </c>
      <c r="N128" s="1">
        <f>MAX(-16, MIN(16, Games[[#This Row],[OppRestDiff]]*8))</f>
        <v>0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1339.5941918954795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1548.6773981353033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0.15615462715473405</v>
      </c>
      <c r="R128" s="1">
        <v>84</v>
      </c>
      <c r="S128" s="1">
        <v>88</v>
      </c>
      <c r="T128" s="1">
        <v>0</v>
      </c>
      <c r="U128" s="1">
        <f>Games[[#This Row],[PointsFor]]-Games[[#This Row],[PointsAgainst]]</f>
        <v>-4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0.26522158537531298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8" s="9">
        <f>MAX(kmin, kmax - 0.15 * MIN(Games[[#This Row],[GamesPlayed]], 82))</f>
        <v>74.2</v>
      </c>
      <c r="Z128" s="4">
        <f>Games[[#This Row],[K]]*Games[[#This Row],[POMult]]</f>
        <v>74.2</v>
      </c>
      <c r="AA128" s="4">
        <f>(Games[[#This Row],[Keff]]*Games[[#This Row],[MOVMult]])*(Games[[#This Row],[Result]]-Games[[#This Row],[ExpectedWin%]])</f>
        <v>-3.0730358711030745</v>
      </c>
      <c r="AB128" s="4">
        <f>Games[[#This Row],[PreGmRate]]+Games[[#This Row],[RatingChange]]</f>
        <v>1336.5211560243765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45821</v>
      </c>
      <c r="B129" s="2">
        <v>2025</v>
      </c>
      <c r="C129" s="2">
        <f>COUNTIFS(Games[Team],Games[[#This Row],[Team]],Games[Season],Games[[#This Row],[Season]],Games[Date],"&lt;=" &amp; Games[[#This Row],[Date]])</f>
        <v>9</v>
      </c>
      <c r="D129" s="2" t="s">
        <v>79</v>
      </c>
      <c r="E129" s="2" t="s">
        <v>80</v>
      </c>
      <c r="F129" s="1" t="s">
        <v>86</v>
      </c>
      <c r="G129" s="1" t="s">
        <v>85</v>
      </c>
      <c r="H129" s="1" t="s">
        <v>82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0</v>
      </c>
      <c r="L129" s="2">
        <f>Games[[#This Row],[OppDaysOff]]-Games[[#This Row],[DaysOff]]</f>
        <v>0</v>
      </c>
      <c r="M129" s="1">
        <f>MAX(-16, MIN(16, Games[[#This Row],[RestDiff]]*8))</f>
        <v>0</v>
      </c>
      <c r="N129" s="1">
        <f>MAX(-16, MIN(16, Games[[#This Row],[OppRestDiff]]*8))</f>
        <v>0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1548.6773981353033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1339.5941918954795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0.84384537284526595</v>
      </c>
      <c r="R129" s="1">
        <v>88</v>
      </c>
      <c r="S129" s="1">
        <v>84</v>
      </c>
      <c r="T129" s="1">
        <v>0</v>
      </c>
      <c r="U129" s="1">
        <f>Games[[#This Row],[PointsFor]]-Games[[#This Row],[PointsAgainst]]</f>
        <v>4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0.26522158537531298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9" s="9">
        <f>MAX(kmin, kmax - 0.15 * MIN(Games[[#This Row],[GamesPlayed]], 82))</f>
        <v>74.650000000000006</v>
      </c>
      <c r="Z129" s="4">
        <f>Games[[#This Row],[K]]*Games[[#This Row],[POMult]]</f>
        <v>74.650000000000006</v>
      </c>
      <c r="AA129" s="4">
        <f>(Games[[#This Row],[Keff]]*Games[[#This Row],[MOVMult]])*(Games[[#This Row],[Result]]-Games[[#This Row],[ExpectedWin%]])</f>
        <v>3.0916728811030256</v>
      </c>
      <c r="AB129" s="4">
        <f>Games[[#This Row],[PreGmRate]]+Games[[#This Row],[RatingChange]]</f>
        <v>1551.7690710164063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45822</v>
      </c>
      <c r="B130" s="2">
        <v>2025</v>
      </c>
      <c r="C130" s="2">
        <f>COUNTIFS(Games[Team],Games[[#This Row],[Team]],Games[Season],Games[[#This Row],[Season]],Games[Date],"&lt;=" &amp; Games[[#This Row],[Date]])</f>
        <v>11</v>
      </c>
      <c r="D130" s="2" t="s">
        <v>79</v>
      </c>
      <c r="E130" s="2" t="s">
        <v>80</v>
      </c>
      <c r="F130" s="1" t="s">
        <v>71</v>
      </c>
      <c r="G130" s="1" t="s">
        <v>88</v>
      </c>
      <c r="H130" s="1" t="s">
        <v>81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0" s="2">
        <f>Games[[#This Row],[DaysOff]]-Games[[#This Row],[OppDaysOff]]</f>
        <v>-2</v>
      </c>
      <c r="L130" s="2">
        <f>Games[[#This Row],[OppDaysOff]]-Games[[#This Row],[DaysOff]]</f>
        <v>2</v>
      </c>
      <c r="M130" s="1">
        <f>MAX(-16, MIN(16, Games[[#This Row],[RestDiff]]*8))</f>
        <v>-16</v>
      </c>
      <c r="N130" s="1">
        <f>MAX(-16, MIN(16, Games[[#This Row],[OppRestDiff]]*8))</f>
        <v>16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1549.0714634120873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1497.570218713058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0.40823063381383634</v>
      </c>
      <c r="R130" s="1">
        <v>70</v>
      </c>
      <c r="S130" s="1">
        <v>76</v>
      </c>
      <c r="T130" s="1">
        <v>0</v>
      </c>
      <c r="U130" s="1">
        <f>Games[[#This Row],[PointsFor]]-Games[[#This Row],[PointsAgainst]]</f>
        <v>-6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0.33682500524445302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0" s="9">
        <f>MAX(kmin, kmax - 0.15 * MIN(Games[[#This Row],[GamesPlayed]], 82))</f>
        <v>74.349999999999994</v>
      </c>
      <c r="Z130" s="4">
        <f>Games[[#This Row],[K]]*Games[[#This Row],[POMult]]</f>
        <v>74.349999999999994</v>
      </c>
      <c r="AA130" s="4">
        <f>(Games[[#This Row],[Keff]]*Games[[#This Row],[MOVMult]])*(Games[[#This Row],[Result]]-Games[[#This Row],[ExpectedWin%]])</f>
        <v>-10.223294917652945</v>
      </c>
      <c r="AB130" s="4">
        <f>Games[[#This Row],[PreGmRate]]+Games[[#This Row],[RatingChange]]</f>
        <v>1538.8481684944343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45822</v>
      </c>
      <c r="B131" s="2">
        <v>2025</v>
      </c>
      <c r="C131" s="2">
        <f>COUNTIFS(Games[Team],Games[[#This Row],[Team]],Games[Season],Games[[#This Row],[Season]],Games[Date],"&lt;=" &amp; Games[[#This Row],[Date]])</f>
        <v>10</v>
      </c>
      <c r="D131" s="2" t="s">
        <v>79</v>
      </c>
      <c r="E131" s="2" t="s">
        <v>80</v>
      </c>
      <c r="F131" s="1" t="s">
        <v>88</v>
      </c>
      <c r="G131" s="1" t="s">
        <v>71</v>
      </c>
      <c r="H131" s="1" t="s">
        <v>82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1" s="2">
        <f>Games[[#This Row],[DaysOff]]-Games[[#This Row],[OppDaysOff]]</f>
        <v>2</v>
      </c>
      <c r="L131" s="2">
        <f>Games[[#This Row],[OppDaysOff]]-Games[[#This Row],[DaysOff]]</f>
        <v>-2</v>
      </c>
      <c r="M131" s="1">
        <f>MAX(-16, MIN(16, Games[[#This Row],[RestDiff]]*8))</f>
        <v>16</v>
      </c>
      <c r="N131" s="1">
        <f>MAX(-16, MIN(16, Games[[#This Row],[OppRestDiff]]*8))</f>
        <v>-16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1497.570218713058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1549.0714634120873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0.5917693661861636</v>
      </c>
      <c r="R131" s="1">
        <v>76</v>
      </c>
      <c r="S131" s="1">
        <v>70</v>
      </c>
      <c r="T131" s="1">
        <v>0</v>
      </c>
      <c r="U131" s="1">
        <f>Games[[#This Row],[PointsFor]]-Games[[#This Row],[PointsAgainst]]</f>
        <v>6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0.33682500524445302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1" s="9">
        <f>MAX(kmin, kmax - 0.15 * MIN(Games[[#This Row],[GamesPlayed]], 82))</f>
        <v>74.5</v>
      </c>
      <c r="Z131" s="4">
        <f>Games[[#This Row],[K]]*Games[[#This Row],[POMult]]</f>
        <v>74.5</v>
      </c>
      <c r="AA131" s="4">
        <f>(Games[[#This Row],[Keff]]*Games[[#This Row],[MOVMult]])*(Games[[#This Row],[Result]]-Games[[#This Row],[ExpectedWin%]])</f>
        <v>10.243920260459241</v>
      </c>
      <c r="AB131" s="4">
        <f>Games[[#This Row],[PreGmRate]]+Games[[#This Row],[RatingChange]]</f>
        <v>1507.8141389735172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45822</v>
      </c>
      <c r="B132" s="2">
        <v>2025</v>
      </c>
      <c r="C132" s="2">
        <f>COUNTIFS(Games[Team],Games[[#This Row],[Team]],Games[Season],Games[[#This Row],[Season]],Games[Date],"&lt;=" &amp; Games[[#This Row],[Date]])</f>
        <v>10</v>
      </c>
      <c r="D132" s="2" t="s">
        <v>79</v>
      </c>
      <c r="E132" s="2" t="s">
        <v>80</v>
      </c>
      <c r="F132" s="1" t="s">
        <v>60</v>
      </c>
      <c r="G132" s="1" t="s">
        <v>69</v>
      </c>
      <c r="H132" s="1" t="s">
        <v>81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2" s="2">
        <f>Games[[#This Row],[DaysOff]]-Games[[#This Row],[OppDaysOff]]</f>
        <v>0</v>
      </c>
      <c r="L132" s="2">
        <f>Games[[#This Row],[OppDaysOff]]-Games[[#This Row],[DaysOff]]</f>
        <v>0</v>
      </c>
      <c r="M132" s="1">
        <f>MAX(-16, MIN(16, Games[[#This Row],[RestDiff]]*8))</f>
        <v>0</v>
      </c>
      <c r="N132" s="1">
        <f>MAX(-16, MIN(16, Games[[#This Row],[OppRestDiff]]*8))</f>
        <v>0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1699.7118712942686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1498.0209025729657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0.66317684862775028</v>
      </c>
      <c r="R132" s="1">
        <v>88</v>
      </c>
      <c r="S132" s="1">
        <v>102</v>
      </c>
      <c r="T132" s="1">
        <v>0</v>
      </c>
      <c r="U132" s="1">
        <f>Games[[#This Row],[PointsFor]]-Games[[#This Row],[PointsAgainst]]</f>
        <v>-14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0.41744559770882161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2" s="9">
        <f>MAX(kmin, kmax - 0.15 * MIN(Games[[#This Row],[GamesPlayed]], 82))</f>
        <v>74.5</v>
      </c>
      <c r="Z132" s="4">
        <f>Games[[#This Row],[K]]*Games[[#This Row],[POMult]]</f>
        <v>74.5</v>
      </c>
      <c r="AA132" s="4">
        <f>(Games[[#This Row],[Keff]]*Games[[#This Row],[MOVMult]])*(Games[[#This Row],[Result]]-Games[[#This Row],[ExpectedWin%]])</f>
        <v>-20.624599069173765</v>
      </c>
      <c r="AB132" s="4">
        <f>Games[[#This Row],[PreGmRate]]+Games[[#This Row],[RatingChange]]</f>
        <v>1679.0872722250949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45822</v>
      </c>
      <c r="B133" s="2">
        <v>2025</v>
      </c>
      <c r="C133" s="2">
        <f>COUNTIFS(Games[Team],Games[[#This Row],[Team]],Games[Season],Games[[#This Row],[Season]],Games[Date],"&lt;=" &amp; Games[[#This Row],[Date]])</f>
        <v>10</v>
      </c>
      <c r="D133" s="2" t="s">
        <v>79</v>
      </c>
      <c r="E133" s="2" t="s">
        <v>80</v>
      </c>
      <c r="F133" s="1" t="s">
        <v>69</v>
      </c>
      <c r="G133" s="1" t="s">
        <v>60</v>
      </c>
      <c r="H133" s="1" t="s">
        <v>82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3" s="2">
        <f>Games[[#This Row],[DaysOff]]-Games[[#This Row],[OppDaysOff]]</f>
        <v>0</v>
      </c>
      <c r="L133" s="2">
        <f>Games[[#This Row],[OppDaysOff]]-Games[[#This Row],[DaysOff]]</f>
        <v>0</v>
      </c>
      <c r="M133" s="1">
        <f>MAX(-16, MIN(16, Games[[#This Row],[RestDiff]]*8))</f>
        <v>0</v>
      </c>
      <c r="N133" s="1">
        <f>MAX(-16, MIN(16, Games[[#This Row],[OppRestDiff]]*8))</f>
        <v>0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1498.0209025729657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1699.7118712942686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0.33682315137224972</v>
      </c>
      <c r="R133" s="1">
        <v>102</v>
      </c>
      <c r="S133" s="1">
        <v>88</v>
      </c>
      <c r="T133" s="1">
        <v>0</v>
      </c>
      <c r="U133" s="1">
        <f>Games[[#This Row],[PointsFor]]-Games[[#This Row],[PointsAgainst]]</f>
        <v>14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0.41744559770882161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3" s="9">
        <f>MAX(kmin, kmax - 0.15 * MIN(Games[[#This Row],[GamesPlayed]], 82))</f>
        <v>74.5</v>
      </c>
      <c r="Z133" s="4">
        <f>Games[[#This Row],[K]]*Games[[#This Row],[POMult]]</f>
        <v>74.5</v>
      </c>
      <c r="AA133" s="4">
        <f>(Games[[#This Row],[Keff]]*Games[[#This Row],[MOVMult]])*(Games[[#This Row],[Result]]-Games[[#This Row],[ExpectedWin%]])</f>
        <v>20.624599069173765</v>
      </c>
      <c r="AB133" s="4">
        <f>Games[[#This Row],[PreGmRate]]+Games[[#This Row],[RatingChange]]</f>
        <v>1518.6455016421394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45822</v>
      </c>
      <c r="B134" s="2">
        <v>2025</v>
      </c>
      <c r="C134" s="2">
        <f>COUNTIFS(Games[Team],Games[[#This Row],[Team]],Games[Season],Games[[#This Row],[Season]],Games[Date],"&lt;=" &amp; Games[[#This Row],[Date]])</f>
        <v>12</v>
      </c>
      <c r="D134" s="2" t="s">
        <v>79</v>
      </c>
      <c r="E134" s="2" t="s">
        <v>80</v>
      </c>
      <c r="F134" s="1" t="s">
        <v>63</v>
      </c>
      <c r="G134" s="1" t="s">
        <v>67</v>
      </c>
      <c r="H134" s="1" t="s">
        <v>81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4" s="2">
        <f>Games[[#This Row],[DaysOff]]-Games[[#This Row],[OppDaysOff]]</f>
        <v>0</v>
      </c>
      <c r="L134" s="2">
        <f>Games[[#This Row],[OppDaysOff]]-Games[[#This Row],[DaysOff]]</f>
        <v>0</v>
      </c>
      <c r="M134" s="1">
        <f>MAX(-16, MIN(16, Games[[#This Row],[RestDiff]]*8))</f>
        <v>0</v>
      </c>
      <c r="N134" s="1">
        <f>MAX(-16, MIN(16, Games[[#This Row],[OppRestDiff]]*8))</f>
        <v>0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1410.947580280801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1643.7124044837276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0.13902102484180179</v>
      </c>
      <c r="R134" s="1">
        <v>78</v>
      </c>
      <c r="S134" s="1">
        <v>101</v>
      </c>
      <c r="T134" s="1">
        <v>0</v>
      </c>
      <c r="U134" s="1">
        <f>Games[[#This Row],[PointsFor]]-Games[[#This Row],[PointsAgainst]]</f>
        <v>-23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0.51537091824201542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4" s="9">
        <f>MAX(kmin, kmax - 0.15 * MIN(Games[[#This Row],[GamesPlayed]], 82))</f>
        <v>74.2</v>
      </c>
      <c r="Z134" s="4">
        <f>Games[[#This Row],[K]]*Games[[#This Row],[POMult]]</f>
        <v>74.2</v>
      </c>
      <c r="AA134" s="4">
        <f>(Games[[#This Row],[Keff]]*Games[[#This Row],[MOVMult]])*(Games[[#This Row],[Result]]-Games[[#This Row],[ExpectedWin%]])</f>
        <v>-5.3162365774927753</v>
      </c>
      <c r="AB134" s="4">
        <f>Games[[#This Row],[PreGmRate]]+Games[[#This Row],[RatingChange]]</f>
        <v>1405.6313437033082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45822</v>
      </c>
      <c r="B135" s="2">
        <v>2025</v>
      </c>
      <c r="C135" s="2">
        <f>COUNTIFS(Games[Team],Games[[#This Row],[Team]],Games[Season],Games[[#This Row],[Season]],Games[Date],"&lt;=" &amp; Games[[#This Row],[Date]])</f>
        <v>11</v>
      </c>
      <c r="D135" s="2" t="s">
        <v>79</v>
      </c>
      <c r="E135" s="2" t="s">
        <v>80</v>
      </c>
      <c r="F135" s="1" t="s">
        <v>67</v>
      </c>
      <c r="G135" s="1" t="s">
        <v>63</v>
      </c>
      <c r="H135" s="1" t="s">
        <v>82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5" s="2">
        <f>Games[[#This Row],[DaysOff]]-Games[[#This Row],[OppDaysOff]]</f>
        <v>0</v>
      </c>
      <c r="L135" s="2">
        <f>Games[[#This Row],[OppDaysOff]]-Games[[#This Row],[DaysOff]]</f>
        <v>0</v>
      </c>
      <c r="M135" s="1">
        <f>MAX(-16, MIN(16, Games[[#This Row],[RestDiff]]*8))</f>
        <v>0</v>
      </c>
      <c r="N135" s="1">
        <f>MAX(-16, MIN(16, Games[[#This Row],[OppRestDiff]]*8))</f>
        <v>0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1643.7124044837276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1410.947580280801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0.8609789751581981</v>
      </c>
      <c r="R135" s="1">
        <v>101</v>
      </c>
      <c r="S135" s="1">
        <v>78</v>
      </c>
      <c r="T135" s="1">
        <v>0</v>
      </c>
      <c r="U135" s="1">
        <f>Games[[#This Row],[PointsFor]]-Games[[#This Row],[PointsAgainst]]</f>
        <v>23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0.51537091824201542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5" s="9">
        <f>MAX(kmin, kmax - 0.15 * MIN(Games[[#This Row],[GamesPlayed]], 82))</f>
        <v>74.349999999999994</v>
      </c>
      <c r="Z135" s="4">
        <f>Games[[#This Row],[K]]*Games[[#This Row],[POMult]]</f>
        <v>74.349999999999994</v>
      </c>
      <c r="AA135" s="4">
        <f>(Games[[#This Row],[Keff]]*Games[[#This Row],[MOVMult]])*(Games[[#This Row],[Result]]-Games[[#This Row],[ExpectedWin%]])</f>
        <v>5.326983686476928</v>
      </c>
      <c r="AB135" s="4">
        <f>Games[[#This Row],[PreGmRate]]+Games[[#This Row],[RatingChange]]</f>
        <v>1649.0393881702046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45823</v>
      </c>
      <c r="B136" s="2">
        <v>2025</v>
      </c>
      <c r="C136" s="2">
        <f>COUNTIFS(Games[Team],Games[[#This Row],[Team]],Games[Season],Games[[#This Row],[Season]],Games[Date],"&lt;=" &amp; Games[[#This Row],[Date]])</f>
        <v>10</v>
      </c>
      <c r="D136" s="2" t="s">
        <v>79</v>
      </c>
      <c r="E136" s="2" t="s">
        <v>80</v>
      </c>
      <c r="F136" s="1" t="s">
        <v>75</v>
      </c>
      <c r="G136" s="1" t="s">
        <v>74</v>
      </c>
      <c r="H136" s="1" t="s">
        <v>81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36" s="2">
        <f>Games[[#This Row],[DaysOff]]-Games[[#This Row],[OppDaysOff]]</f>
        <v>-5</v>
      </c>
      <c r="L136" s="2">
        <f>Games[[#This Row],[OppDaysOff]]-Games[[#This Row],[DaysOff]]</f>
        <v>5</v>
      </c>
      <c r="M136" s="1">
        <f>MAX(-16, MIN(16, Games[[#This Row],[RestDiff]]*8))</f>
        <v>-16</v>
      </c>
      <c r="N136" s="1">
        <f>MAX(-16, MIN(16, Games[[#This Row],[OppRestDiff]]*8))</f>
        <v>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1370.7161024128818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1452.3799928075887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0.24271627460856074</v>
      </c>
      <c r="R136" s="1">
        <v>78</v>
      </c>
      <c r="S136" s="1">
        <v>66</v>
      </c>
      <c r="T136" s="1">
        <v>0</v>
      </c>
      <c r="U136" s="1">
        <f>Games[[#This Row],[PointsFor]]-Games[[#This Row],[PointsAgainst]]</f>
        <v>12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0.42706620338916068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6" s="9">
        <f>MAX(kmin, kmax - 0.15 * MIN(Games[[#This Row],[GamesPlayed]], 82))</f>
        <v>74.5</v>
      </c>
      <c r="Z136" s="4">
        <f>Games[[#This Row],[K]]*Games[[#This Row],[POMult]]</f>
        <v>74.5</v>
      </c>
      <c r="AA136" s="4">
        <f>(Games[[#This Row],[Keff]]*Games[[#This Row],[MOVMult]])*(Games[[#This Row],[Result]]-Games[[#This Row],[ExpectedWin%]])</f>
        <v>24.094066269103468</v>
      </c>
      <c r="AB136" s="4">
        <f>Games[[#This Row],[PreGmRate]]+Games[[#This Row],[RatingChange]]</f>
        <v>1394.8101686819853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45823</v>
      </c>
      <c r="B137" s="2">
        <v>2025</v>
      </c>
      <c r="C137" s="2">
        <f>COUNTIFS(Games[Team],Games[[#This Row],[Team]],Games[Season],Games[[#This Row],[Season]],Games[Date],"&lt;=" &amp; Games[[#This Row],[Date]])</f>
        <v>10</v>
      </c>
      <c r="D137" s="2" t="s">
        <v>79</v>
      </c>
      <c r="E137" s="2" t="s">
        <v>80</v>
      </c>
      <c r="F137" s="1" t="s">
        <v>74</v>
      </c>
      <c r="G137" s="1" t="s">
        <v>75</v>
      </c>
      <c r="H137" s="1" t="s">
        <v>82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6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5</v>
      </c>
      <c r="L137" s="2">
        <f>Games[[#This Row],[OppDaysOff]]-Games[[#This Row],[DaysOff]]</f>
        <v>-5</v>
      </c>
      <c r="M137" s="1">
        <f>MAX(-16, MIN(16, Games[[#This Row],[RestDiff]]*8))</f>
        <v>16</v>
      </c>
      <c r="N137" s="1">
        <f>MAX(-16, MIN(16, Games[[#This Row],[OppRestDiff]]*8))</f>
        <v>-16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1452.3799928075887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1370.7161024128818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0.75728372539143918</v>
      </c>
      <c r="R137" s="1">
        <v>66</v>
      </c>
      <c r="S137" s="1">
        <v>78</v>
      </c>
      <c r="T137" s="1">
        <v>0</v>
      </c>
      <c r="U137" s="1">
        <f>Games[[#This Row],[PointsFor]]-Games[[#This Row],[PointsAgainst]]</f>
        <v>-12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0.42706620338916068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7" s="9">
        <f>MAX(kmin, kmax - 0.15 * MIN(Games[[#This Row],[GamesPlayed]], 82))</f>
        <v>74.5</v>
      </c>
      <c r="Z137" s="4">
        <f>Games[[#This Row],[K]]*Games[[#This Row],[POMult]]</f>
        <v>74.5</v>
      </c>
      <c r="AA137" s="4">
        <f>(Games[[#This Row],[Keff]]*Games[[#This Row],[MOVMult]])*(Games[[#This Row],[Result]]-Games[[#This Row],[ExpectedWin%]])</f>
        <v>-24.094066269103465</v>
      </c>
      <c r="AB137" s="4">
        <f>Games[[#This Row],[PreGmRate]]+Games[[#This Row],[RatingChange]]</f>
        <v>1428.2859265384852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45823</v>
      </c>
      <c r="B138" s="2">
        <v>2025</v>
      </c>
      <c r="C138" s="2">
        <f>COUNTIFS(Games[Team],Games[[#This Row],[Team]],Games[Season],Games[[#This Row],[Season]],Games[Date],"&lt;=" &amp; Games[[#This Row],[Date]])</f>
        <v>12</v>
      </c>
      <c r="D138" s="2" t="s">
        <v>79</v>
      </c>
      <c r="E138" s="2" t="s">
        <v>80</v>
      </c>
      <c r="F138" s="1" t="s">
        <v>40</v>
      </c>
      <c r="G138" s="1" t="s">
        <v>86</v>
      </c>
      <c r="H138" s="1" t="s">
        <v>81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8" s="2">
        <f>Games[[#This Row],[DaysOff]]-Games[[#This Row],[OppDaysOff]]</f>
        <v>2</v>
      </c>
      <c r="L138" s="2">
        <f>Games[[#This Row],[OppDaysOff]]-Games[[#This Row],[DaysOff]]</f>
        <v>-2</v>
      </c>
      <c r="M138" s="1">
        <f>MAX(-16, MIN(16, Games[[#This Row],[RestDiff]]*8))</f>
        <v>16</v>
      </c>
      <c r="N138" s="1">
        <f>MAX(-16, MIN(16, Games[[#This Row],[OppRestDiff]]*8))</f>
        <v>-16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1485.9749740379609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1551.7690710164063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0.3366905577649299</v>
      </c>
      <c r="R138" s="1">
        <v>76</v>
      </c>
      <c r="S138" s="1">
        <v>70</v>
      </c>
      <c r="T138" s="1">
        <v>0</v>
      </c>
      <c r="U138" s="1">
        <f>Games[[#This Row],[PointsFor]]-Games[[#This Row],[PointsAgainst]]</f>
        <v>6</v>
      </c>
      <c r="V138" s="1">
        <f>IF(Games[[#This Row],[MOV]]&gt;0,1,IF(Games[[#This Row],[MOV]]=0,0.5,0))</f>
        <v>1</v>
      </c>
      <c r="W138" s="4">
        <f>((ABS(Games[[#This Row],[MOV]])+5)^0.6)/(12+0.01*(ABS(Games[[#This Row],[PreGmRate]]-Games[[#This Row],[OppPreGmRate]])))*IF(Games[[#This Row],[OT]]=1,0.9,1)</f>
        <v>0.33302170891413801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16.390516144206902</v>
      </c>
      <c r="AB138" s="4">
        <f>Games[[#This Row],[PreGmRate]]+Games[[#This Row],[RatingChange]]</f>
        <v>1502.3654901821678</v>
      </c>
      <c r="AC138" s="2">
        <f>IF(Games[[#This Row],[Type]]="R",IF(Games[[#This Row],[Result]]&gt;0.5,1,0),0)</f>
        <v>1</v>
      </c>
      <c r="AD138" s="2">
        <f>IF(Games[[#This Row],[Type]]="R",IF(Games[[#This Row],[Result]]&lt;0.5,1,0),0)</f>
        <v>0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45823</v>
      </c>
      <c r="B139" s="2">
        <v>2025</v>
      </c>
      <c r="C139" s="2">
        <f>COUNTIFS(Games[Team],Games[[#This Row],[Team]],Games[Season],Games[[#This Row],[Season]],Games[Date],"&lt;=" &amp; Games[[#This Row],[Date]])</f>
        <v>10</v>
      </c>
      <c r="D139" s="2" t="s">
        <v>79</v>
      </c>
      <c r="E139" s="2" t="s">
        <v>80</v>
      </c>
      <c r="F139" s="1" t="s">
        <v>86</v>
      </c>
      <c r="G139" s="1" t="s">
        <v>40</v>
      </c>
      <c r="H139" s="1" t="s">
        <v>82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9" s="2">
        <f>Games[[#This Row],[DaysOff]]-Games[[#This Row],[OppDaysOff]]</f>
        <v>-2</v>
      </c>
      <c r="L139" s="2">
        <f>Games[[#This Row],[OppDaysOff]]-Games[[#This Row],[DaysOff]]</f>
        <v>2</v>
      </c>
      <c r="M139" s="1">
        <f>MAX(-16, MIN(16, Games[[#This Row],[RestDiff]]*8))</f>
        <v>-16</v>
      </c>
      <c r="N139" s="1">
        <f>MAX(-16, MIN(16, Games[[#This Row],[OppRestDiff]]*8))</f>
        <v>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1551.7690710164063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1485.9749740379609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0.66330944223507005</v>
      </c>
      <c r="R139" s="1">
        <v>70</v>
      </c>
      <c r="S139" s="1">
        <v>76</v>
      </c>
      <c r="T139" s="1">
        <v>0</v>
      </c>
      <c r="U139" s="1">
        <f>Games[[#This Row],[PointsFor]]-Games[[#This Row],[PointsAgainst]]</f>
        <v>-6</v>
      </c>
      <c r="V139" s="1">
        <f>IF(Games[[#This Row],[MOV]]&gt;0,1,IF(Games[[#This Row],[MOV]]=0,0.5,0))</f>
        <v>0</v>
      </c>
      <c r="W139" s="4">
        <f>((ABS(Games[[#This Row],[MOV]])+5)^0.6)/(12+0.01*(ABS(Games[[#This Row],[PreGmRate]]-Games[[#This Row],[OppPreGmRate]])))*IF(Games[[#This Row],[OT]]=1,0.9,1)</f>
        <v>0.33302170891413801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9" s="9">
        <f>MAX(kmin, kmax - 0.15 * MIN(Games[[#This Row],[GamesPlayed]], 82))</f>
        <v>74.5</v>
      </c>
      <c r="Z139" s="4">
        <f>Games[[#This Row],[K]]*Games[[#This Row],[POMult]]</f>
        <v>74.5</v>
      </c>
      <c r="AA139" s="4">
        <f>(Games[[#This Row],[Keff]]*Games[[#This Row],[MOVMult]])*(Games[[#This Row],[Result]]-Games[[#This Row],[ExpectedWin%]])</f>
        <v>-16.456785077404504</v>
      </c>
      <c r="AB139" s="4">
        <f>Games[[#This Row],[PreGmRate]]+Games[[#This Row],[RatingChange]]</f>
        <v>1535.3122859390019</v>
      </c>
      <c r="AC139" s="2">
        <f>IF(Games[[#This Row],[Type]]="R",IF(Games[[#This Row],[Result]]&gt;0.5,1,0),0)</f>
        <v>0</v>
      </c>
      <c r="AD139" s="2">
        <f>IF(Games[[#This Row],[Type]]="R",IF(Games[[#This Row],[Result]]&lt;0.5,1,0),0)</f>
        <v>1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45823</v>
      </c>
      <c r="B140" s="2">
        <v>2025</v>
      </c>
      <c r="C140" s="2">
        <f>COUNTIFS(Games[Team],Games[[#This Row],[Team]],Games[Season],Games[[#This Row],[Season]],Games[Date],"&lt;=" &amp; Games[[#This Row],[Date]])</f>
        <v>11</v>
      </c>
      <c r="D140" s="2" t="s">
        <v>79</v>
      </c>
      <c r="E140" s="2" t="s">
        <v>80</v>
      </c>
      <c r="F140" s="1" t="s">
        <v>77</v>
      </c>
      <c r="G140" s="1" t="s">
        <v>65</v>
      </c>
      <c r="H140" s="1" t="s">
        <v>81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40" s="2">
        <f>Games[[#This Row],[DaysOff]]-Games[[#This Row],[OppDaysOff]]</f>
        <v>-5</v>
      </c>
      <c r="L140" s="2">
        <f>Games[[#This Row],[OppDaysOff]]-Games[[#This Row],[DaysOff]]</f>
        <v>5</v>
      </c>
      <c r="M140" s="1">
        <f>MAX(-16, MIN(16, Games[[#This Row],[RestDiff]]*8))</f>
        <v>-16</v>
      </c>
      <c r="N140" s="1">
        <f>MAX(-16, MIN(16, Games[[#This Row],[OppRestDiff]]*8))</f>
        <v>16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1522.9537383910238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1479.9976107252367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0.39640325296191242</v>
      </c>
      <c r="R140" s="1">
        <v>89</v>
      </c>
      <c r="S140" s="1">
        <v>56</v>
      </c>
      <c r="T140" s="1">
        <v>0</v>
      </c>
      <c r="U140" s="1">
        <f>Games[[#This Row],[PointsFor]]-Games[[#This Row],[PointsAgainst]]</f>
        <v>33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0.71353348428730534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0" s="9">
        <f>MAX(kmin, kmax - 0.15 * MIN(Games[[#This Row],[GamesPlayed]], 82))</f>
        <v>74.349999999999994</v>
      </c>
      <c r="Z140" s="4">
        <f>Games[[#This Row],[K]]*Games[[#This Row],[POMult]]</f>
        <v>74.349999999999994</v>
      </c>
      <c r="AA140" s="4">
        <f>(Games[[#This Row],[Keff]]*Games[[#This Row],[MOVMult]])*(Games[[#This Row],[Result]]-Games[[#This Row],[ExpectedWin%]])</f>
        <v>32.021540532880671</v>
      </c>
      <c r="AB140" s="4">
        <f>Games[[#This Row],[PreGmRate]]+Games[[#This Row],[RatingChange]]</f>
        <v>1554.9752789239044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45823</v>
      </c>
      <c r="B141" s="2">
        <v>2025</v>
      </c>
      <c r="C141" s="2">
        <f>COUNTIFS(Games[Team],Games[[#This Row],[Team]],Games[Season],Games[[#This Row],[Season]],Games[Date],"&lt;=" &amp; Games[[#This Row],[Date]])</f>
        <v>11</v>
      </c>
      <c r="D141" s="2" t="s">
        <v>79</v>
      </c>
      <c r="E141" s="2" t="s">
        <v>80</v>
      </c>
      <c r="F141" s="1" t="s">
        <v>65</v>
      </c>
      <c r="G141" s="1" t="s">
        <v>77</v>
      </c>
      <c r="H141" s="1" t="s">
        <v>82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6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5</v>
      </c>
      <c r="L141" s="2">
        <f>Games[[#This Row],[OppDaysOff]]-Games[[#This Row],[DaysOff]]</f>
        <v>-5</v>
      </c>
      <c r="M141" s="1">
        <f>MAX(-16, MIN(16, Games[[#This Row],[RestDiff]]*8))</f>
        <v>16</v>
      </c>
      <c r="N141" s="1">
        <f>MAX(-16, MIN(16, Games[[#This Row],[OppRestDiff]]*8))</f>
        <v>-16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1479.9976107252367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1522.9537383910238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0.60359674703808763</v>
      </c>
      <c r="R141" s="1">
        <v>56</v>
      </c>
      <c r="S141" s="1">
        <v>89</v>
      </c>
      <c r="T141" s="1">
        <v>0</v>
      </c>
      <c r="U141" s="1">
        <f>Games[[#This Row],[PointsFor]]-Games[[#This Row],[PointsAgainst]]</f>
        <v>-33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0.71353348428730534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1" s="9">
        <f>MAX(kmin, kmax - 0.15 * MIN(Games[[#This Row],[GamesPlayed]], 82))</f>
        <v>74.349999999999994</v>
      </c>
      <c r="Z141" s="4">
        <f>Games[[#This Row],[K]]*Games[[#This Row],[POMult]]</f>
        <v>74.349999999999994</v>
      </c>
      <c r="AA141" s="4">
        <f>(Games[[#This Row],[Keff]]*Games[[#This Row],[MOVMult]])*(Games[[#This Row],[Result]]-Games[[#This Row],[ExpectedWin%]])</f>
        <v>-32.021540532880671</v>
      </c>
      <c r="AB141" s="4">
        <f>Games[[#This Row],[PreGmRate]]+Games[[#This Row],[RatingChange]]</f>
        <v>1447.976070192356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45825</v>
      </c>
      <c r="B142" s="2">
        <v>2025</v>
      </c>
      <c r="C142" s="2">
        <f>COUNTIFS(Games[Team],Games[[#This Row],[Team]],Games[Season],Games[[#This Row],[Season]],Games[Date],"&lt;=" &amp; Games[[#This Row],[Date]])</f>
        <v>12</v>
      </c>
      <c r="D142" s="2" t="s">
        <v>79</v>
      </c>
      <c r="E142" s="2" t="s">
        <v>80</v>
      </c>
      <c r="F142" s="1" t="s">
        <v>65</v>
      </c>
      <c r="G142" s="1" t="s">
        <v>75</v>
      </c>
      <c r="H142" s="1" t="s">
        <v>81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1447.976070192356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1394.8101686819853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0.45574229774054703</v>
      </c>
      <c r="R142" s="1">
        <v>79</v>
      </c>
      <c r="S142" s="1">
        <v>72</v>
      </c>
      <c r="T142" s="1">
        <v>0</v>
      </c>
      <c r="U142" s="1">
        <f>Games[[#This Row],[PointsFor]]-Games[[#This Row],[PointsAgainst]]</f>
        <v>7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0.35440527582924225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2" s="9">
        <f>MAX(kmin, kmax - 0.15 * MIN(Games[[#This Row],[GamesPlayed]], 82))</f>
        <v>74.2</v>
      </c>
      <c r="Z142" s="4">
        <f>Games[[#This Row],[K]]*Games[[#This Row],[POMult]]</f>
        <v>74.2</v>
      </c>
      <c r="AA142" s="4">
        <f>(Games[[#This Row],[Keff]]*Games[[#This Row],[MOVMult]])*(Games[[#This Row],[Result]]-Games[[#This Row],[ExpectedWin%]])</f>
        <v>14.312274840985669</v>
      </c>
      <c r="AB142" s="4">
        <f>Games[[#This Row],[PreGmRate]]+Games[[#This Row],[RatingChange]]</f>
        <v>1462.2883450333418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45825</v>
      </c>
      <c r="B143" s="2">
        <v>2025</v>
      </c>
      <c r="C143" s="2">
        <f>COUNTIFS(Games[Team],Games[[#This Row],[Team]],Games[Season],Games[[#This Row],[Season]],Games[Date],"&lt;=" &amp; Games[[#This Row],[Date]])</f>
        <v>11</v>
      </c>
      <c r="D143" s="2" t="s">
        <v>79</v>
      </c>
      <c r="E143" s="2" t="s">
        <v>80</v>
      </c>
      <c r="F143" s="1" t="s">
        <v>75</v>
      </c>
      <c r="G143" s="1" t="s">
        <v>65</v>
      </c>
      <c r="H143" s="1" t="s">
        <v>82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1394.8101686819853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1447.976070192356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0.54425770225945291</v>
      </c>
      <c r="R143" s="1">
        <v>72</v>
      </c>
      <c r="S143" s="1">
        <v>79</v>
      </c>
      <c r="T143" s="1">
        <v>0</v>
      </c>
      <c r="U143" s="1">
        <f>Games[[#This Row],[PointsFor]]-Games[[#This Row],[PointsAgainst]]</f>
        <v>-7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0.35440527582924225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3" s="9">
        <f>MAX(kmin, kmax - 0.15 * MIN(Games[[#This Row],[GamesPlayed]], 82))</f>
        <v>74.349999999999994</v>
      </c>
      <c r="Z143" s="4">
        <f>Games[[#This Row],[K]]*Games[[#This Row],[POMult]]</f>
        <v>74.349999999999994</v>
      </c>
      <c r="AA143" s="4">
        <f>(Games[[#This Row],[Keff]]*Games[[#This Row],[MOVMult]])*(Games[[#This Row],[Result]]-Games[[#This Row],[ExpectedWin%]])</f>
        <v>-14.341208011149382</v>
      </c>
      <c r="AB143" s="4">
        <f>Games[[#This Row],[PreGmRate]]+Games[[#This Row],[RatingChange]]</f>
        <v>1380.4689606708359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45825</v>
      </c>
      <c r="B144" s="2">
        <v>2025</v>
      </c>
      <c r="C144" s="2">
        <f>COUNTIFS(Games[Team],Games[[#This Row],[Team]],Games[Season],Games[[#This Row],[Season]],Games[Date],"&lt;=" &amp; Games[[#This Row],[Date]])</f>
        <v>11</v>
      </c>
      <c r="D144" s="2" t="s">
        <v>79</v>
      </c>
      <c r="E144" s="2" t="s">
        <v>80</v>
      </c>
      <c r="F144" s="1" t="s">
        <v>88</v>
      </c>
      <c r="G144" s="1" t="s">
        <v>85</v>
      </c>
      <c r="H144" s="1" t="s">
        <v>81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4" s="2">
        <f>Games[[#This Row],[DaysOff]]-Games[[#This Row],[OppDaysOff]]</f>
        <v>-1</v>
      </c>
      <c r="L144" s="2">
        <f>Games[[#This Row],[OppDaysOff]]-Games[[#This Row],[DaysOff]]</f>
        <v>1</v>
      </c>
      <c r="M144" s="1">
        <f>MAX(-16, MIN(16, Games[[#This Row],[RestDiff]]*8))</f>
        <v>-8</v>
      </c>
      <c r="N144" s="1">
        <f>MAX(-16, MIN(16, Games[[#This Row],[OppRestDiff]]*8))</f>
        <v>8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1507.8141389735172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1336.5211560243765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0.60118268442472533</v>
      </c>
      <c r="R144" s="1">
        <v>71</v>
      </c>
      <c r="S144" s="1">
        <v>80</v>
      </c>
      <c r="T144" s="1">
        <v>0</v>
      </c>
      <c r="U144" s="1">
        <f>Games[[#This Row],[PointsFor]]-Games[[#This Row],[PointsAgainst]]</f>
        <v>-9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0.35526020962273069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4" s="9">
        <f>MAX(kmin, kmax - 0.15 * MIN(Games[[#This Row],[GamesPlayed]], 82))</f>
        <v>74.349999999999994</v>
      </c>
      <c r="Z144" s="4">
        <f>Games[[#This Row],[K]]*Games[[#This Row],[POMult]]</f>
        <v>74.349999999999994</v>
      </c>
      <c r="AA144" s="4">
        <f>(Games[[#This Row],[Keff]]*Games[[#This Row],[MOVMult]])*(Games[[#This Row],[Result]]-Games[[#This Row],[ExpectedWin%]])</f>
        <v>-15.879396900552607</v>
      </c>
      <c r="AB144" s="4">
        <f>Games[[#This Row],[PreGmRate]]+Games[[#This Row],[RatingChange]]</f>
        <v>1491.9347420729646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45825</v>
      </c>
      <c r="B145" s="2">
        <v>2025</v>
      </c>
      <c r="C145" s="2">
        <f>COUNTIFS(Games[Team],Games[[#This Row],[Team]],Games[Season],Games[[#This Row],[Season]],Games[Date],"&lt;=" &amp; Games[[#This Row],[Date]])</f>
        <v>13</v>
      </c>
      <c r="D145" s="2" t="s">
        <v>79</v>
      </c>
      <c r="E145" s="2" t="s">
        <v>80</v>
      </c>
      <c r="F145" s="1" t="s">
        <v>85</v>
      </c>
      <c r="G145" s="1" t="s">
        <v>88</v>
      </c>
      <c r="H145" s="1" t="s">
        <v>82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5" s="2">
        <f>Games[[#This Row],[DaysOff]]-Games[[#This Row],[OppDaysOff]]</f>
        <v>1</v>
      </c>
      <c r="L145" s="2">
        <f>Games[[#This Row],[OppDaysOff]]-Games[[#This Row],[DaysOff]]</f>
        <v>-1</v>
      </c>
      <c r="M145" s="1">
        <f>MAX(-16, MIN(16, Games[[#This Row],[RestDiff]]*8))</f>
        <v>8</v>
      </c>
      <c r="N145" s="1">
        <f>MAX(-16, MIN(16, Games[[#This Row],[OppRestDiff]]*8))</f>
        <v>-8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1336.5211560243765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1507.8141389735172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0.39881731557527461</v>
      </c>
      <c r="R145" s="1">
        <v>80</v>
      </c>
      <c r="S145" s="1">
        <v>71</v>
      </c>
      <c r="T145" s="1">
        <v>0</v>
      </c>
      <c r="U145" s="1">
        <f>Games[[#This Row],[PointsFor]]-Games[[#This Row],[PointsAgainst]]</f>
        <v>9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0.35526020962273069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5" s="9">
        <f>MAX(kmin, kmax - 0.15 * MIN(Games[[#This Row],[GamesPlayed]], 82))</f>
        <v>74.05</v>
      </c>
      <c r="Z145" s="4">
        <f>Games[[#This Row],[K]]*Games[[#This Row],[POMult]]</f>
        <v>74.05</v>
      </c>
      <c r="AA145" s="4">
        <f>(Games[[#This Row],[Keff]]*Games[[#This Row],[MOVMult]])*(Games[[#This Row],[Result]]-Games[[#This Row],[ExpectedWin%]])</f>
        <v>15.815324014605524</v>
      </c>
      <c r="AB145" s="4">
        <f>Games[[#This Row],[PreGmRate]]+Games[[#This Row],[RatingChange]]</f>
        <v>1352.336480038982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45825</v>
      </c>
      <c r="B146" s="2">
        <v>2025</v>
      </c>
      <c r="C146" s="2">
        <f>COUNTIFS(Games[Team],Games[[#This Row],[Team]],Games[Season],Games[[#This Row],[Season]],Games[Date],"&lt;=" &amp; Games[[#This Row],[Date]])</f>
        <v>11</v>
      </c>
      <c r="D146" s="2" t="s">
        <v>79</v>
      </c>
      <c r="E146" s="2" t="s">
        <v>80</v>
      </c>
      <c r="F146" s="1" t="s">
        <v>74</v>
      </c>
      <c r="G146" s="1" t="s">
        <v>69</v>
      </c>
      <c r="H146" s="1" t="s">
        <v>81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6" s="2">
        <f>Games[[#This Row],[DaysOff]]-Games[[#This Row],[OppDaysOff]]</f>
        <v>-1</v>
      </c>
      <c r="L146" s="2">
        <f>Games[[#This Row],[OppDaysOff]]-Games[[#This Row],[DaysOff]]</f>
        <v>1</v>
      </c>
      <c r="M146" s="1">
        <f>MAX(-16, MIN(16, Games[[#This Row],[RestDiff]]*8))</f>
        <v>-8</v>
      </c>
      <c r="N146" s="1">
        <f>MAX(-16, MIN(16, Games[[#This Row],[OppRestDiff]]*8))</f>
        <v>8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1428.2859265384852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1518.6455016421394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0.25052808787805081</v>
      </c>
      <c r="R146" s="1">
        <v>71</v>
      </c>
      <c r="S146" s="1">
        <v>88</v>
      </c>
      <c r="T146" s="1">
        <v>0</v>
      </c>
      <c r="U146" s="1">
        <f>Games[[#This Row],[PointsFor]]-Games[[#This Row],[PointsAgainst]]</f>
        <v>-17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0.495156927747889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6" s="9">
        <f>MAX(kmin, kmax - 0.15 * MIN(Games[[#This Row],[GamesPlayed]], 82))</f>
        <v>74.349999999999994</v>
      </c>
      <c r="Z146" s="4">
        <f>Games[[#This Row],[K]]*Games[[#This Row],[POMult]]</f>
        <v>74.349999999999994</v>
      </c>
      <c r="AA146" s="4">
        <f>(Games[[#This Row],[Keff]]*Games[[#This Row],[MOVMult]])*(Games[[#This Row],[Result]]-Games[[#This Row],[ExpectedWin%]])</f>
        <v>-9.2231709062182965</v>
      </c>
      <c r="AB146" s="4">
        <f>Games[[#This Row],[PreGmRate]]+Games[[#This Row],[RatingChange]]</f>
        <v>1419.062755632267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45825</v>
      </c>
      <c r="B147" s="2">
        <v>2025</v>
      </c>
      <c r="C147" s="2">
        <f>COUNTIFS(Games[Team],Games[[#This Row],[Team]],Games[Season],Games[[#This Row],[Season]],Games[Date],"&lt;=" &amp; Games[[#This Row],[Date]])</f>
        <v>11</v>
      </c>
      <c r="D147" s="2" t="s">
        <v>79</v>
      </c>
      <c r="E147" s="2" t="s">
        <v>80</v>
      </c>
      <c r="F147" s="1" t="s">
        <v>69</v>
      </c>
      <c r="G147" s="1" t="s">
        <v>74</v>
      </c>
      <c r="H147" s="1" t="s">
        <v>82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1</v>
      </c>
      <c r="L147" s="2">
        <f>Games[[#This Row],[OppDaysOff]]-Games[[#This Row],[DaysOff]]</f>
        <v>-1</v>
      </c>
      <c r="M147" s="1">
        <f>MAX(-16, MIN(16, Games[[#This Row],[RestDiff]]*8))</f>
        <v>8</v>
      </c>
      <c r="N147" s="1">
        <f>MAX(-16, MIN(16, Games[[#This Row],[OppRestDiff]]*8))</f>
        <v>-8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1518.6455016421394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1428.2859265384852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0.74947191212194919</v>
      </c>
      <c r="R147" s="1">
        <v>88</v>
      </c>
      <c r="S147" s="1">
        <v>71</v>
      </c>
      <c r="T147" s="1">
        <v>0</v>
      </c>
      <c r="U147" s="1">
        <f>Games[[#This Row],[PointsFor]]-Games[[#This Row],[PointsAgainst]]</f>
        <v>17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0.495156927747889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7" s="9">
        <f>MAX(kmin, kmax - 0.15 * MIN(Games[[#This Row],[GamesPlayed]], 82))</f>
        <v>74.349999999999994</v>
      </c>
      <c r="Z147" s="4">
        <f>Games[[#This Row],[K]]*Games[[#This Row],[POMult]]</f>
        <v>74.349999999999994</v>
      </c>
      <c r="AA147" s="4">
        <f>(Games[[#This Row],[Keff]]*Games[[#This Row],[MOVMult]])*(Games[[#This Row],[Result]]-Games[[#This Row],[ExpectedWin%]])</f>
        <v>9.2231709062182965</v>
      </c>
      <c r="AB147" s="4">
        <f>Games[[#This Row],[PreGmRate]]+Games[[#This Row],[RatingChange]]</f>
        <v>1527.8686725483576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45825</v>
      </c>
      <c r="B148" s="2">
        <v>2025</v>
      </c>
      <c r="C148" s="2">
        <f>COUNTIFS(Games[Team],Games[[#This Row],[Team]],Games[Season],Games[[#This Row],[Season]],Games[Date],"&lt;=" &amp; Games[[#This Row],[Date]])</f>
        <v>12</v>
      </c>
      <c r="D148" s="2" t="s">
        <v>79</v>
      </c>
      <c r="E148" s="2" t="s">
        <v>80</v>
      </c>
      <c r="F148" s="1" t="s">
        <v>71</v>
      </c>
      <c r="G148" s="1" t="s">
        <v>63</v>
      </c>
      <c r="H148" s="1" t="s">
        <v>81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1538.8481684944343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1405.6313437033082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0.57035870761775265</v>
      </c>
      <c r="R148" s="1">
        <v>98</v>
      </c>
      <c r="S148" s="1">
        <v>67</v>
      </c>
      <c r="T148" s="1">
        <v>0</v>
      </c>
      <c r="U148" s="1">
        <f>Games[[#This Row],[PointsFor]]-Games[[#This Row],[PointsAgainst]]</f>
        <v>31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0.6439923594556094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8" s="9">
        <f>MAX(kmin, kmax - 0.15 * MIN(Games[[#This Row],[GamesPlayed]], 82))</f>
        <v>74.2</v>
      </c>
      <c r="Z148" s="4">
        <f>Games[[#This Row],[K]]*Games[[#This Row],[POMult]]</f>
        <v>74.2</v>
      </c>
      <c r="AA148" s="4">
        <f>(Games[[#This Row],[Keff]]*Games[[#This Row],[MOVMult]])*(Games[[#This Row],[Result]]-Games[[#This Row],[ExpectedWin%]])</f>
        <v>20.53007965237942</v>
      </c>
      <c r="AB148" s="4">
        <f>Games[[#This Row],[PreGmRate]]+Games[[#This Row],[RatingChange]]</f>
        <v>1559.3782481468138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45825</v>
      </c>
      <c r="B149" s="2">
        <v>2025</v>
      </c>
      <c r="C149" s="2">
        <f>COUNTIFS(Games[Team],Games[[#This Row],[Team]],Games[Season],Games[[#This Row],[Season]],Games[Date],"&lt;=" &amp; Games[[#This Row],[Date]])</f>
        <v>13</v>
      </c>
      <c r="D149" s="2" t="s">
        <v>79</v>
      </c>
      <c r="E149" s="2" t="s">
        <v>80</v>
      </c>
      <c r="F149" s="1" t="s">
        <v>63</v>
      </c>
      <c r="G149" s="1" t="s">
        <v>71</v>
      </c>
      <c r="H149" s="1" t="s">
        <v>82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1405.6313437033082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1538.8481684944343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0.42964129238224746</v>
      </c>
      <c r="R149" s="1">
        <v>67</v>
      </c>
      <c r="S149" s="1">
        <v>98</v>
      </c>
      <c r="T149" s="1">
        <v>0</v>
      </c>
      <c r="U149" s="1">
        <f>Games[[#This Row],[PointsFor]]-Games[[#This Row],[PointsAgainst]]</f>
        <v>-31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0.6439923594556094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9" s="9">
        <f>MAX(kmin, kmax - 0.15 * MIN(Games[[#This Row],[GamesPlayed]], 82))</f>
        <v>74.05</v>
      </c>
      <c r="Z149" s="4">
        <f>Games[[#This Row],[K]]*Games[[#This Row],[POMult]]</f>
        <v>74.05</v>
      </c>
      <c r="AA149" s="4">
        <f>(Games[[#This Row],[Keff]]*Games[[#This Row],[MOVMult]])*(Games[[#This Row],[Result]]-Games[[#This Row],[ExpectedWin%]])</f>
        <v>-20.488576795939306</v>
      </c>
      <c r="AB149" s="4">
        <f>Games[[#This Row],[PreGmRate]]+Games[[#This Row],[RatingChange]]</f>
        <v>1385.1427669073689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45825</v>
      </c>
      <c r="B150" s="2">
        <v>2025</v>
      </c>
      <c r="C150" s="2">
        <f>COUNTIFS(Games[Team],Games[[#This Row],[Team]],Games[Season],Games[[#This Row],[Season]],Games[Date],"&lt;=" &amp; Games[[#This Row],[Date]])</f>
        <v>11</v>
      </c>
      <c r="D150" s="2" t="s">
        <v>79</v>
      </c>
      <c r="E150" s="2" t="s">
        <v>80</v>
      </c>
      <c r="F150" s="1" t="s">
        <v>86</v>
      </c>
      <c r="G150" s="1" t="s">
        <v>67</v>
      </c>
      <c r="H150" s="1" t="s">
        <v>81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-1</v>
      </c>
      <c r="L150" s="2">
        <f>Games[[#This Row],[OppDaysOff]]-Games[[#This Row],[DaysOff]]</f>
        <v>1</v>
      </c>
      <c r="M150" s="1">
        <f>MAX(-16, MIN(16, Games[[#This Row],[RestDiff]]*8))</f>
        <v>-8</v>
      </c>
      <c r="N150" s="1">
        <f>MAX(-16, MIN(16, Games[[#This Row],[OppRestDiff]]*8))</f>
        <v>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1535.3122859390019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1649.0393881702046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0.22612680578894506</v>
      </c>
      <c r="R150" s="1">
        <v>62</v>
      </c>
      <c r="S150" s="1">
        <v>76</v>
      </c>
      <c r="T150" s="1">
        <v>0</v>
      </c>
      <c r="U150" s="1">
        <f>Games[[#This Row],[PointsFor]]-Games[[#This Row],[PointsAgainst]]</f>
        <v>-14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0.4453967062467929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0" s="9">
        <f>MAX(kmin, kmax - 0.15 * MIN(Games[[#This Row],[GamesPlayed]], 82))</f>
        <v>74.349999999999994</v>
      </c>
      <c r="Z150" s="4">
        <f>Games[[#This Row],[K]]*Games[[#This Row],[POMult]]</f>
        <v>74.349999999999994</v>
      </c>
      <c r="AA150" s="4">
        <f>(Games[[#This Row],[Keff]]*Games[[#This Row],[MOVMult]])*(Games[[#This Row],[Result]]-Games[[#This Row],[ExpectedWin%]])</f>
        <v>-7.4882445995176976</v>
      </c>
      <c r="AB150" s="4">
        <f>Games[[#This Row],[PreGmRate]]+Games[[#This Row],[RatingChange]]</f>
        <v>1527.8240413394842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45825</v>
      </c>
      <c r="B151" s="2">
        <v>2025</v>
      </c>
      <c r="C151" s="2">
        <f>COUNTIFS(Games[Team],Games[[#This Row],[Team]],Games[Season],Games[[#This Row],[Season]],Games[Date],"&lt;=" &amp; Games[[#This Row],[Date]])</f>
        <v>12</v>
      </c>
      <c r="D151" s="2" t="s">
        <v>79</v>
      </c>
      <c r="E151" s="2" t="s">
        <v>80</v>
      </c>
      <c r="F151" s="1" t="s">
        <v>67</v>
      </c>
      <c r="G151" s="1" t="s">
        <v>86</v>
      </c>
      <c r="H151" s="1" t="s">
        <v>82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1</v>
      </c>
      <c r="L151" s="2">
        <f>Games[[#This Row],[OppDaysOff]]-Games[[#This Row],[DaysOff]]</f>
        <v>-1</v>
      </c>
      <c r="M151" s="1">
        <f>MAX(-16, MIN(16, Games[[#This Row],[RestDiff]]*8))</f>
        <v>8</v>
      </c>
      <c r="N151" s="1">
        <f>MAX(-16, MIN(16, Games[[#This Row],[OppRestDiff]]*8))</f>
        <v>-8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1649.0393881702046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1535.3122859390019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0.77387319421105494</v>
      </c>
      <c r="R151" s="1">
        <v>76</v>
      </c>
      <c r="S151" s="1">
        <v>62</v>
      </c>
      <c r="T151" s="1">
        <v>0</v>
      </c>
      <c r="U151" s="1">
        <f>Games[[#This Row],[PointsFor]]-Games[[#This Row],[PointsAgainst]]</f>
        <v>14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0.4453967062467929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1" s="9">
        <f>MAX(kmin, kmax - 0.15 * MIN(Games[[#This Row],[GamesPlayed]], 82))</f>
        <v>74.2</v>
      </c>
      <c r="Z151" s="4">
        <f>Games[[#This Row],[K]]*Games[[#This Row],[POMult]]</f>
        <v>74.2</v>
      </c>
      <c r="AA151" s="4">
        <f>(Games[[#This Row],[Keff]]*Games[[#This Row],[MOVMult]])*(Games[[#This Row],[Result]]-Games[[#This Row],[ExpectedWin%]])</f>
        <v>7.4731371793438228</v>
      </c>
      <c r="AB151" s="4">
        <f>Games[[#This Row],[PreGmRate]]+Games[[#This Row],[RatingChange]]</f>
        <v>1656.5125253495485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45825</v>
      </c>
      <c r="B152" s="2">
        <v>2025</v>
      </c>
      <c r="C152" s="2">
        <f>COUNTIFS(Games[Team],Games[[#This Row],[Team]],Games[Season],Games[[#This Row],[Season]],Games[Date],"&lt;=" &amp; Games[[#This Row],[Date]])</f>
        <v>12</v>
      </c>
      <c r="D152" s="2" t="s">
        <v>79</v>
      </c>
      <c r="E152" s="2" t="s">
        <v>80</v>
      </c>
      <c r="F152" s="1" t="s">
        <v>77</v>
      </c>
      <c r="G152" s="1" t="s">
        <v>60</v>
      </c>
      <c r="H152" s="1" t="s">
        <v>81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2" s="2">
        <f>Games[[#This Row],[DaysOff]]-Games[[#This Row],[OppDaysOff]]</f>
        <v>-1</v>
      </c>
      <c r="L152" s="2">
        <f>Games[[#This Row],[OppDaysOff]]-Games[[#This Row],[DaysOff]]</f>
        <v>1</v>
      </c>
      <c r="M152" s="1">
        <f>MAX(-16, MIN(16, Games[[#This Row],[RestDiff]]*8))</f>
        <v>-8</v>
      </c>
      <c r="N152" s="1">
        <f>MAX(-16, MIN(16, Games[[#This Row],[OppRestDiff]]*8))</f>
        <v>8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1554.9752789239044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1679.0872722250949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0.21583718217958381</v>
      </c>
      <c r="R152" s="1">
        <v>81</v>
      </c>
      <c r="S152" s="1">
        <v>86</v>
      </c>
      <c r="T152" s="1">
        <v>0</v>
      </c>
      <c r="U152" s="1">
        <f>Games[[#This Row],[PointsFor]]-Games[[#This Row],[PointsAgainst]]</f>
        <v>-5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0.30065974220274388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2" s="9">
        <f>MAX(kmin, kmax - 0.15 * MIN(Games[[#This Row],[GamesPlayed]], 82))</f>
        <v>74.2</v>
      </c>
      <c r="Z152" s="4">
        <f>Games[[#This Row],[K]]*Games[[#This Row],[POMult]]</f>
        <v>74.2</v>
      </c>
      <c r="AA152" s="4">
        <f>(Games[[#This Row],[Keff]]*Games[[#This Row],[MOVMult]])*(Games[[#This Row],[Result]]-Games[[#This Row],[ExpectedWin%]])</f>
        <v>-4.8151015251495215</v>
      </c>
      <c r="AB152" s="4">
        <f>Games[[#This Row],[PreGmRate]]+Games[[#This Row],[RatingChange]]</f>
        <v>1550.160177398755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45825</v>
      </c>
      <c r="B153" s="2">
        <v>2025</v>
      </c>
      <c r="C153" s="2">
        <f>COUNTIFS(Games[Team],Games[[#This Row],[Team]],Games[Season],Games[[#This Row],[Season]],Games[Date],"&lt;=" &amp; Games[[#This Row],[Date]])</f>
        <v>11</v>
      </c>
      <c r="D153" s="2" t="s">
        <v>79</v>
      </c>
      <c r="E153" s="2" t="s">
        <v>80</v>
      </c>
      <c r="F153" s="1" t="s">
        <v>60</v>
      </c>
      <c r="G153" s="1" t="s">
        <v>77</v>
      </c>
      <c r="H153" s="1" t="s">
        <v>82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1</v>
      </c>
      <c r="L153" s="2">
        <f>Games[[#This Row],[OppDaysOff]]-Games[[#This Row],[DaysOff]]</f>
        <v>-1</v>
      </c>
      <c r="M153" s="1">
        <f>MAX(-16, MIN(16, Games[[#This Row],[RestDiff]]*8))</f>
        <v>8</v>
      </c>
      <c r="N153" s="1">
        <f>MAX(-16, MIN(16, Games[[#This Row],[OppRestDiff]]*8))</f>
        <v>-8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1679.0872722250949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1554.9752789239044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0.7841628178204163</v>
      </c>
      <c r="R153" s="1">
        <v>86</v>
      </c>
      <c r="S153" s="1">
        <v>81</v>
      </c>
      <c r="T153" s="1">
        <v>0</v>
      </c>
      <c r="U153" s="1">
        <f>Games[[#This Row],[PointsFor]]-Games[[#This Row],[PointsAgainst]]</f>
        <v>5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0.30065974220274388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3" s="9">
        <f>MAX(kmin, kmax - 0.15 * MIN(Games[[#This Row],[GamesPlayed]], 82))</f>
        <v>74.349999999999994</v>
      </c>
      <c r="Z153" s="4">
        <f>Games[[#This Row],[K]]*Games[[#This Row],[POMult]]</f>
        <v>74.349999999999994</v>
      </c>
      <c r="AA153" s="4">
        <f>(Games[[#This Row],[Keff]]*Games[[#This Row],[MOVMult]])*(Games[[#This Row],[Result]]-Games[[#This Row],[ExpectedWin%]])</f>
        <v>4.8248355578822997</v>
      </c>
      <c r="AB153" s="4">
        <f>Games[[#This Row],[PreGmRate]]+Games[[#This Row],[RatingChange]]</f>
        <v>1683.9121077829773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45826</v>
      </c>
      <c r="B154" s="2">
        <v>2025</v>
      </c>
      <c r="C154" s="2">
        <f>COUNTIFS(Games[Team],Games[[#This Row],[Team]],Games[Season],Games[[#This Row],[Season]],Games[Date],"&lt;=" &amp; Games[[#This Row],[Date]])</f>
        <v>13</v>
      </c>
      <c r="D154" s="2" t="s">
        <v>79</v>
      </c>
      <c r="E154" s="2" t="s">
        <v>80</v>
      </c>
      <c r="F154" s="1" t="s">
        <v>40</v>
      </c>
      <c r="G154" s="1" t="s">
        <v>74</v>
      </c>
      <c r="H154" s="1" t="s">
        <v>81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4" s="2">
        <f>Games[[#This Row],[DaysOff]]-Games[[#This Row],[OppDaysOff]]</f>
        <v>2</v>
      </c>
      <c r="L154" s="2">
        <f>Games[[#This Row],[OppDaysOff]]-Games[[#This Row],[DaysOff]]</f>
        <v>-2</v>
      </c>
      <c r="M154" s="1">
        <f>MAX(-16, MIN(16, Games[[#This Row],[RestDiff]]*8))</f>
        <v>16</v>
      </c>
      <c r="N154" s="1">
        <f>MAX(-16, MIN(16, Games[[#This Row],[OppRestDiff]]*8))</f>
        <v>-16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1502.3654901821678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1419.062755632267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0.54492675939985136</v>
      </c>
      <c r="R154" s="1">
        <v>83</v>
      </c>
      <c r="S154" s="1">
        <v>75</v>
      </c>
      <c r="T154" s="1">
        <v>0</v>
      </c>
      <c r="U154" s="1">
        <f>Games[[#This Row],[PointsFor]]-Games[[#This Row],[PointsAgainst]]</f>
        <v>8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0.36310889820322995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4" s="9">
        <f>MAX(kmin, kmax - 0.15 * MIN(Games[[#This Row],[GamesPlayed]], 82))</f>
        <v>74.05</v>
      </c>
      <c r="Z154" s="4">
        <f>Games[[#This Row],[K]]*Games[[#This Row],[POMult]]</f>
        <v>74.05</v>
      </c>
      <c r="AA154" s="4">
        <f>(Games[[#This Row],[Keff]]*Games[[#This Row],[MOVMult]])*(Games[[#This Row],[Result]]-Games[[#This Row],[ExpectedWin%]])</f>
        <v>12.236106638860711</v>
      </c>
      <c r="AB154" s="4">
        <f>Games[[#This Row],[PreGmRate]]+Games[[#This Row],[RatingChange]]</f>
        <v>1514.6015968210286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45826</v>
      </c>
      <c r="B155" s="2">
        <v>2025</v>
      </c>
      <c r="C155" s="2">
        <f>COUNTIFS(Games[Team],Games[[#This Row],[Team]],Games[Season],Games[[#This Row],[Season]],Games[Date],"&lt;=" &amp; Games[[#This Row],[Date]])</f>
        <v>12</v>
      </c>
      <c r="D155" s="2" t="s">
        <v>79</v>
      </c>
      <c r="E155" s="2" t="s">
        <v>80</v>
      </c>
      <c r="F155" s="1" t="s">
        <v>74</v>
      </c>
      <c r="G155" s="1" t="s">
        <v>40</v>
      </c>
      <c r="H155" s="1" t="s">
        <v>82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5" s="2">
        <f>Games[[#This Row],[DaysOff]]-Games[[#This Row],[OppDaysOff]]</f>
        <v>-2</v>
      </c>
      <c r="L155" s="2">
        <f>Games[[#This Row],[OppDaysOff]]-Games[[#This Row],[DaysOff]]</f>
        <v>2</v>
      </c>
      <c r="M155" s="1">
        <f>MAX(-16, MIN(16, Games[[#This Row],[RestDiff]]*8))</f>
        <v>-16</v>
      </c>
      <c r="N155" s="1">
        <f>MAX(-16, MIN(16, Games[[#This Row],[OppRestDiff]]*8))</f>
        <v>16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1419.062755632267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1502.3654901821678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0.45507324060014864</v>
      </c>
      <c r="R155" s="1">
        <v>75</v>
      </c>
      <c r="S155" s="1">
        <v>83</v>
      </c>
      <c r="T155" s="1">
        <v>0</v>
      </c>
      <c r="U155" s="1">
        <f>Games[[#This Row],[PointsFor]]-Games[[#This Row],[PointsAgainst]]</f>
        <v>-8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0.36310889820322995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5" s="9">
        <f>MAX(kmin, kmax - 0.15 * MIN(Games[[#This Row],[GamesPlayed]], 82))</f>
        <v>74.2</v>
      </c>
      <c r="Z155" s="4">
        <f>Games[[#This Row],[K]]*Games[[#This Row],[POMult]]</f>
        <v>74.2</v>
      </c>
      <c r="AA155" s="4">
        <f>(Games[[#This Row],[Keff]]*Games[[#This Row],[MOVMult]])*(Games[[#This Row],[Result]]-Games[[#This Row],[ExpectedWin%]])</f>
        <v>-12.260892810310127</v>
      </c>
      <c r="AB155" s="4">
        <f>Games[[#This Row],[PreGmRate]]+Games[[#This Row],[RatingChange]]</f>
        <v>1406.8018628219568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45827</v>
      </c>
      <c r="B156" s="2">
        <v>2025</v>
      </c>
      <c r="C156" s="2">
        <f>COUNTIFS(Games[Team],Games[[#This Row],[Team]],Games[Season],Games[[#This Row],[Season]],Games[Date],"&lt;=" &amp; Games[[#This Row],[Date]])</f>
        <v>12</v>
      </c>
      <c r="D156" s="2" t="s">
        <v>79</v>
      </c>
      <c r="E156" s="2" t="s">
        <v>80</v>
      </c>
      <c r="F156" s="1" t="s">
        <v>69</v>
      </c>
      <c r="G156" s="1" t="s">
        <v>88</v>
      </c>
      <c r="H156" s="1" t="s">
        <v>81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1527.8686725483576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1491.9347420729646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0.43126532082680719</v>
      </c>
      <c r="R156" s="1">
        <v>77</v>
      </c>
      <c r="S156" s="1">
        <v>88</v>
      </c>
      <c r="T156" s="1">
        <v>0</v>
      </c>
      <c r="U156" s="1">
        <f>Games[[#This Row],[PointsFor]]-Games[[#This Row],[PointsAgainst]]</f>
        <v>-11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0.42704804139986835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6" s="9">
        <f>MAX(kmin, kmax - 0.15 * MIN(Games[[#This Row],[GamesPlayed]], 82))</f>
        <v>74.2</v>
      </c>
      <c r="Z156" s="4">
        <f>Games[[#This Row],[K]]*Games[[#This Row],[POMult]]</f>
        <v>74.2</v>
      </c>
      <c r="AA156" s="4">
        <f>(Games[[#This Row],[Keff]]*Games[[#This Row],[MOVMult]])*(Games[[#This Row],[Result]]-Games[[#This Row],[ExpectedWin%]])</f>
        <v>-13.66548898524182</v>
      </c>
      <c r="AB156" s="4">
        <f>Games[[#This Row],[PreGmRate]]+Games[[#This Row],[RatingChange]]</f>
        <v>1514.2031835631158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45827</v>
      </c>
      <c r="B157" s="2">
        <v>2025</v>
      </c>
      <c r="C157" s="2">
        <f>COUNTIFS(Games[Team],Games[[#This Row],[Team]],Games[Season],Games[[#This Row],[Season]],Games[Date],"&lt;=" &amp; Games[[#This Row],[Date]])</f>
        <v>12</v>
      </c>
      <c r="D157" s="2" t="s">
        <v>79</v>
      </c>
      <c r="E157" s="2" t="s">
        <v>80</v>
      </c>
      <c r="F157" s="1" t="s">
        <v>88</v>
      </c>
      <c r="G157" s="1" t="s">
        <v>69</v>
      </c>
      <c r="H157" s="1" t="s">
        <v>82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1491.9347420729646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1527.8686725483576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0.56873467917319276</v>
      </c>
      <c r="R157" s="1">
        <v>88</v>
      </c>
      <c r="S157" s="1">
        <v>77</v>
      </c>
      <c r="T157" s="1">
        <v>0</v>
      </c>
      <c r="U157" s="1">
        <f>Games[[#This Row],[PointsFor]]-Games[[#This Row],[PointsAgainst]]</f>
        <v>11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0.42704804139986835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7" s="9">
        <f>MAX(kmin, kmax - 0.15 * MIN(Games[[#This Row],[GamesPlayed]], 82))</f>
        <v>74.2</v>
      </c>
      <c r="Z157" s="4">
        <f>Games[[#This Row],[K]]*Games[[#This Row],[POMult]]</f>
        <v>74.2</v>
      </c>
      <c r="AA157" s="4">
        <f>(Games[[#This Row],[Keff]]*Games[[#This Row],[MOVMult]])*(Games[[#This Row],[Result]]-Games[[#This Row],[ExpectedWin%]])</f>
        <v>13.665488985241822</v>
      </c>
      <c r="AB157" s="4">
        <f>Games[[#This Row],[PreGmRate]]+Games[[#This Row],[RatingChange]]</f>
        <v>1505.6002310582064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45827</v>
      </c>
      <c r="B158" s="2">
        <v>2025</v>
      </c>
      <c r="C158" s="2">
        <f>COUNTIFS(Games[Team],Games[[#This Row],[Team]],Games[Season],Games[[#This Row],[Season]],Games[Date],"&lt;=" &amp; Games[[#This Row],[Date]])</f>
        <v>14</v>
      </c>
      <c r="D158" s="2" t="s">
        <v>79</v>
      </c>
      <c r="E158" s="2" t="s">
        <v>80</v>
      </c>
      <c r="F158" s="1" t="s">
        <v>40</v>
      </c>
      <c r="G158" s="1" t="s">
        <v>60</v>
      </c>
      <c r="H158" s="1" t="s">
        <v>81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-1</v>
      </c>
      <c r="L158" s="2">
        <f>Games[[#This Row],[OppDaysOff]]-Games[[#This Row],[DaysOff]]</f>
        <v>1</v>
      </c>
      <c r="M158" s="1">
        <f>MAX(-16, MIN(16, Games[[#This Row],[RestDiff]]*8))</f>
        <v>-8</v>
      </c>
      <c r="N158" s="1">
        <f>MAX(-16, MIN(16, Games[[#This Row],[OppRestDiff]]*8))</f>
        <v>8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1514.6015968210286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1683.9121077829773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0.17504642034283072</v>
      </c>
      <c r="R158" s="1">
        <v>89</v>
      </c>
      <c r="S158" s="1">
        <v>81</v>
      </c>
      <c r="T158" s="1">
        <v>0</v>
      </c>
      <c r="U158" s="1">
        <f>Games[[#This Row],[PointsFor]]-Games[[#This Row],[PointsAgainst]]</f>
        <v>8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0.34030166151010832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8" s="9">
        <f>MAX(kmin, kmax - 0.15 * MIN(Games[[#This Row],[GamesPlayed]], 82))</f>
        <v>73.900000000000006</v>
      </c>
      <c r="Z158" s="4">
        <f>Games[[#This Row],[K]]*Games[[#This Row],[POMult]]</f>
        <v>73.900000000000006</v>
      </c>
      <c r="AA158" s="4">
        <f>(Games[[#This Row],[Keff]]*Games[[#This Row],[MOVMult]])*(Games[[#This Row],[Result]]-Games[[#This Row],[ExpectedWin%]])</f>
        <v>20.746174155744818</v>
      </c>
      <c r="AB158" s="4">
        <f>Games[[#This Row],[PreGmRate]]+Games[[#This Row],[RatingChange]]</f>
        <v>1535.3477709767733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45827</v>
      </c>
      <c r="B159" s="2">
        <v>2025</v>
      </c>
      <c r="C159" s="2">
        <f>COUNTIFS(Games[Team],Games[[#This Row],[Team]],Games[Season],Games[[#This Row],[Season]],Games[Date],"&lt;=" &amp; Games[[#This Row],[Date]])</f>
        <v>12</v>
      </c>
      <c r="D159" s="2" t="s">
        <v>79</v>
      </c>
      <c r="E159" s="2" t="s">
        <v>80</v>
      </c>
      <c r="F159" s="1" t="s">
        <v>60</v>
      </c>
      <c r="G159" s="1" t="s">
        <v>40</v>
      </c>
      <c r="H159" s="1" t="s">
        <v>82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9" s="2">
        <f>Games[[#This Row],[DaysOff]]-Games[[#This Row],[OppDaysOff]]</f>
        <v>1</v>
      </c>
      <c r="L159" s="2">
        <f>Games[[#This Row],[OppDaysOff]]-Games[[#This Row],[DaysOff]]</f>
        <v>-1</v>
      </c>
      <c r="M159" s="1">
        <f>MAX(-16, MIN(16, Games[[#This Row],[RestDiff]]*8))</f>
        <v>8</v>
      </c>
      <c r="N159" s="1">
        <f>MAX(-16, MIN(16, Games[[#This Row],[OppRestDiff]]*8))</f>
        <v>-8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1683.9121077829773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1514.6015968210286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0.82495357965716931</v>
      </c>
      <c r="R159" s="1">
        <v>81</v>
      </c>
      <c r="S159" s="1">
        <v>89</v>
      </c>
      <c r="T159" s="1">
        <v>0</v>
      </c>
      <c r="U159" s="1">
        <f>Games[[#This Row],[PointsFor]]-Games[[#This Row],[PointsAgainst]]</f>
        <v>-8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0.34030166151010832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9" s="9">
        <f>MAX(kmin, kmax - 0.15 * MIN(Games[[#This Row],[GamesPlayed]], 82))</f>
        <v>74.2</v>
      </c>
      <c r="Z159" s="4">
        <f>Games[[#This Row],[K]]*Games[[#This Row],[POMult]]</f>
        <v>74.2</v>
      </c>
      <c r="AA159" s="4">
        <f>(Games[[#This Row],[Keff]]*Games[[#This Row],[MOVMult]])*(Games[[#This Row],[Result]]-Games[[#This Row],[ExpectedWin%]])</f>
        <v>-20.830394077892631</v>
      </c>
      <c r="AB159" s="4">
        <f>Games[[#This Row],[PreGmRate]]+Games[[#This Row],[RatingChange]]</f>
        <v>1663.0817137050847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45828</v>
      </c>
      <c r="B160" s="2">
        <v>2025</v>
      </c>
      <c r="C160" s="2">
        <f>COUNTIFS(Games[Team],Games[[#This Row],[Team]],Games[Season],Games[[#This Row],[Season]],Games[Date],"&lt;=" &amp; Games[[#This Row],[Date]])</f>
        <v>13</v>
      </c>
      <c r="D160" s="2" t="s">
        <v>79</v>
      </c>
      <c r="E160" s="2" t="s">
        <v>80</v>
      </c>
      <c r="F160" s="1" t="s">
        <v>65</v>
      </c>
      <c r="G160" s="1" t="s">
        <v>77</v>
      </c>
      <c r="H160" s="1" t="s">
        <v>81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1462.2883450333418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1550.160177398755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0.27103578205697099</v>
      </c>
      <c r="R160" s="1">
        <v>91</v>
      </c>
      <c r="S160" s="1">
        <v>92</v>
      </c>
      <c r="T160" s="1">
        <v>0</v>
      </c>
      <c r="U160" s="1">
        <f>Games[[#This Row],[PointsFor]]-Games[[#This Row],[PointsAgainst]]</f>
        <v>-1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0.22751922807425265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0" s="9">
        <f>MAX(kmin, kmax - 0.15 * MIN(Games[[#This Row],[GamesPlayed]], 82))</f>
        <v>74.05</v>
      </c>
      <c r="Z160" s="4">
        <f>Games[[#This Row],[K]]*Games[[#This Row],[POMult]]</f>
        <v>74.05</v>
      </c>
      <c r="AA160" s="4">
        <f>(Games[[#This Row],[Keff]]*Games[[#This Row],[MOVMult]])*(Games[[#This Row],[Result]]-Games[[#This Row],[ExpectedWin%]])</f>
        <v>-4.5663563342393578</v>
      </c>
      <c r="AB160" s="4">
        <f>Games[[#This Row],[PreGmRate]]+Games[[#This Row],[RatingChange]]</f>
        <v>1457.7219886991024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45828</v>
      </c>
      <c r="B161" s="2">
        <v>2025</v>
      </c>
      <c r="C161" s="2">
        <f>COUNTIFS(Games[Team],Games[[#This Row],[Team]],Games[Season],Games[[#This Row],[Season]],Games[Date],"&lt;=" &amp; Games[[#This Row],[Date]])</f>
        <v>13</v>
      </c>
      <c r="D161" s="2" t="s">
        <v>79</v>
      </c>
      <c r="E161" s="2" t="s">
        <v>80</v>
      </c>
      <c r="F161" s="1" t="s">
        <v>77</v>
      </c>
      <c r="G161" s="1" t="s">
        <v>65</v>
      </c>
      <c r="H161" s="1" t="s">
        <v>82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1550.160177398755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1462.2883450333418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0.72896421794302901</v>
      </c>
      <c r="R161" s="1">
        <v>92</v>
      </c>
      <c r="S161" s="1">
        <v>91</v>
      </c>
      <c r="T161" s="1">
        <v>0</v>
      </c>
      <c r="U161" s="1">
        <f>Games[[#This Row],[PointsFor]]-Games[[#This Row],[PointsAgainst]]</f>
        <v>1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0.22751922807425265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1" s="9">
        <f>MAX(kmin, kmax - 0.15 * MIN(Games[[#This Row],[GamesPlayed]], 82))</f>
        <v>74.05</v>
      </c>
      <c r="Z161" s="4">
        <f>Games[[#This Row],[K]]*Games[[#This Row],[POMult]]</f>
        <v>74.05</v>
      </c>
      <c r="AA161" s="4">
        <f>(Games[[#This Row],[Keff]]*Games[[#This Row],[MOVMult]])*(Games[[#This Row],[Result]]-Games[[#This Row],[ExpectedWin%]])</f>
        <v>4.5663563342393578</v>
      </c>
      <c r="AB161" s="4">
        <f>Games[[#This Row],[PreGmRate]]+Games[[#This Row],[RatingChange]]</f>
        <v>1554.7265337329943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45828</v>
      </c>
      <c r="B162" s="2">
        <v>2025</v>
      </c>
      <c r="C162" s="2">
        <f>COUNTIFS(Games[Team],Games[[#This Row],[Team]],Games[Season],Games[[#This Row],[Season]],Games[Date],"&lt;=" &amp; Games[[#This Row],[Date]])</f>
        <v>14</v>
      </c>
      <c r="D162" s="2" t="s">
        <v>79</v>
      </c>
      <c r="E162" s="2" t="s">
        <v>80</v>
      </c>
      <c r="F162" s="1" t="s">
        <v>85</v>
      </c>
      <c r="G162" s="1" t="s">
        <v>74</v>
      </c>
      <c r="H162" s="1" t="s">
        <v>81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1</v>
      </c>
      <c r="L162" s="2">
        <f>Games[[#This Row],[OppDaysOff]]-Games[[#This Row],[DaysOff]]</f>
        <v>-1</v>
      </c>
      <c r="M162" s="1">
        <f>MAX(-16, MIN(16, Games[[#This Row],[RestDiff]]*8))</f>
        <v>8</v>
      </c>
      <c r="N162" s="1">
        <f>MAX(-16, MIN(16, Games[[#This Row],[OppRestDiff]]*8))</f>
        <v>-8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1352.336480038982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1406.8018628219568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0.33071181025769886</v>
      </c>
      <c r="R162" s="1">
        <v>86</v>
      </c>
      <c r="S162" s="1">
        <v>83</v>
      </c>
      <c r="T162" s="1">
        <v>0</v>
      </c>
      <c r="U162" s="1">
        <f>Games[[#This Row],[PointsFor]]-Games[[#This Row],[PointsAgainst]]</f>
        <v>3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0.27758456319132441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2" s="9">
        <f>MAX(kmin, kmax - 0.15 * MIN(Games[[#This Row],[GamesPlayed]], 82))</f>
        <v>73.900000000000006</v>
      </c>
      <c r="Z162" s="4">
        <f>Games[[#This Row],[K]]*Games[[#This Row],[POMult]]</f>
        <v>73.900000000000006</v>
      </c>
      <c r="AA162" s="4">
        <f>(Games[[#This Row],[Keff]]*Games[[#This Row],[MOVMult]])*(Games[[#This Row],[Result]]-Games[[#This Row],[ExpectedWin%]])</f>
        <v>13.729442758126066</v>
      </c>
      <c r="AB162" s="4">
        <f>Games[[#This Row],[PreGmRate]]+Games[[#This Row],[RatingChange]]</f>
        <v>1366.065922797108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45828</v>
      </c>
      <c r="B163" s="2">
        <v>2025</v>
      </c>
      <c r="C163" s="2">
        <f>COUNTIFS(Games[Team],Games[[#This Row],[Team]],Games[Season],Games[[#This Row],[Season]],Games[Date],"&lt;=" &amp; Games[[#This Row],[Date]])</f>
        <v>13</v>
      </c>
      <c r="D163" s="2" t="s">
        <v>79</v>
      </c>
      <c r="E163" s="2" t="s">
        <v>80</v>
      </c>
      <c r="F163" s="1" t="s">
        <v>74</v>
      </c>
      <c r="G163" s="1" t="s">
        <v>85</v>
      </c>
      <c r="H163" s="1" t="s">
        <v>82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3" s="2">
        <f>Games[[#This Row],[DaysOff]]-Games[[#This Row],[OppDaysOff]]</f>
        <v>-1</v>
      </c>
      <c r="L163" s="2">
        <f>Games[[#This Row],[OppDaysOff]]-Games[[#This Row],[DaysOff]]</f>
        <v>1</v>
      </c>
      <c r="M163" s="1">
        <f>MAX(-16, MIN(16, Games[[#This Row],[RestDiff]]*8))</f>
        <v>-8</v>
      </c>
      <c r="N163" s="1">
        <f>MAX(-16, MIN(16, Games[[#This Row],[OppRestDiff]]*8))</f>
        <v>8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1406.8018628219568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1352.336480038982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0.6692881897423012</v>
      </c>
      <c r="R163" s="1">
        <v>83</v>
      </c>
      <c r="S163" s="1">
        <v>86</v>
      </c>
      <c r="T163" s="1">
        <v>0</v>
      </c>
      <c r="U163" s="1">
        <f>Games[[#This Row],[PointsFor]]-Games[[#This Row],[PointsAgainst]]</f>
        <v>-3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0.27758456319132441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3" s="9">
        <f>MAX(kmin, kmax - 0.15 * MIN(Games[[#This Row],[GamesPlayed]], 82))</f>
        <v>74.05</v>
      </c>
      <c r="Z163" s="4">
        <f>Games[[#This Row],[K]]*Games[[#This Row],[POMult]]</f>
        <v>74.05</v>
      </c>
      <c r="AA163" s="4">
        <f>(Games[[#This Row],[Keff]]*Games[[#This Row],[MOVMult]])*(Games[[#This Row],[Result]]-Games[[#This Row],[ExpectedWin%]])</f>
        <v>-13.757310368595876</v>
      </c>
      <c r="AB163" s="4">
        <f>Games[[#This Row],[PreGmRate]]+Games[[#This Row],[RatingChange]]</f>
        <v>1393.0445524533609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45828</v>
      </c>
      <c r="B164" s="2">
        <v>2025</v>
      </c>
      <c r="C164" s="2">
        <f>COUNTIFS(Games[Team],Games[[#This Row],[Team]],Games[Season],Games[[#This Row],[Season]],Games[Date],"&lt;=" &amp; Games[[#This Row],[Date]])</f>
        <v>13</v>
      </c>
      <c r="D164" s="2" t="s">
        <v>79</v>
      </c>
      <c r="E164" s="2" t="s">
        <v>80</v>
      </c>
      <c r="F164" s="1" t="s">
        <v>71</v>
      </c>
      <c r="G164" s="1" t="s">
        <v>86</v>
      </c>
      <c r="H164" s="1" t="s">
        <v>81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1559.3782481468138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1527.8240413394842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0.42509252737166392</v>
      </c>
      <c r="R164" s="1">
        <v>90</v>
      </c>
      <c r="S164" s="1">
        <v>83</v>
      </c>
      <c r="T164" s="1">
        <v>0</v>
      </c>
      <c r="U164" s="1">
        <f>Games[[#This Row],[PointsFor]]-Games[[#This Row],[PointsAgainst]]</f>
        <v>7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0.3606244893888505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4" s="9">
        <f>MAX(kmin, kmax - 0.15 * MIN(Games[[#This Row],[GamesPlayed]], 82))</f>
        <v>74.05</v>
      </c>
      <c r="Z164" s="4">
        <f>Games[[#This Row],[K]]*Games[[#This Row],[POMult]]</f>
        <v>74.05</v>
      </c>
      <c r="AA164" s="4">
        <f>(Games[[#This Row],[Keff]]*Games[[#This Row],[MOVMult]])*(Games[[#This Row],[Result]]-Games[[#This Row],[ExpectedWin%]])</f>
        <v>15.352469104107811</v>
      </c>
      <c r="AB164" s="4">
        <f>Games[[#This Row],[PreGmRate]]+Games[[#This Row],[RatingChange]]</f>
        <v>1574.7307172509215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45828</v>
      </c>
      <c r="B165" s="2">
        <v>2025</v>
      </c>
      <c r="C165" s="2">
        <f>COUNTIFS(Games[Team],Games[[#This Row],[Team]],Games[Season],Games[[#This Row],[Season]],Games[Date],"&lt;=" &amp; Games[[#This Row],[Date]])</f>
        <v>12</v>
      </c>
      <c r="D165" s="2" t="s">
        <v>79</v>
      </c>
      <c r="E165" s="2" t="s">
        <v>80</v>
      </c>
      <c r="F165" s="1" t="s">
        <v>86</v>
      </c>
      <c r="G165" s="1" t="s">
        <v>71</v>
      </c>
      <c r="H165" s="1" t="s">
        <v>82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1527.8240413394842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1559.3782481468138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0.57490747262833619</v>
      </c>
      <c r="R165" s="1">
        <v>83</v>
      </c>
      <c r="S165" s="1">
        <v>90</v>
      </c>
      <c r="T165" s="1">
        <v>0</v>
      </c>
      <c r="U165" s="1">
        <f>Games[[#This Row],[PointsFor]]-Games[[#This Row],[PointsAgainst]]</f>
        <v>-7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0.3606244893888505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5" s="9">
        <f>MAX(kmin, kmax - 0.15 * MIN(Games[[#This Row],[GamesPlayed]], 82))</f>
        <v>74.2</v>
      </c>
      <c r="Z165" s="4">
        <f>Games[[#This Row],[K]]*Games[[#This Row],[POMult]]</f>
        <v>74.2</v>
      </c>
      <c r="AA165" s="4">
        <f>(Games[[#This Row],[Keff]]*Games[[#This Row],[MOVMult]])*(Games[[#This Row],[Result]]-Games[[#This Row],[ExpectedWin%]])</f>
        <v>-15.383567961172179</v>
      </c>
      <c r="AB165" s="4">
        <f>Games[[#This Row],[PreGmRate]]+Games[[#This Row],[RatingChange]]</f>
        <v>1512.4404733783119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45829</v>
      </c>
      <c r="B166" s="2">
        <v>2025</v>
      </c>
      <c r="C166" s="2">
        <f>COUNTIFS(Games[Team],Games[[#This Row],[Team]],Games[Season],Games[[#This Row],[Season]],Games[Date],"&lt;=" &amp; Games[[#This Row],[Date]])</f>
        <v>15</v>
      </c>
      <c r="D166" s="2" t="s">
        <v>79</v>
      </c>
      <c r="E166" s="2" t="s">
        <v>80</v>
      </c>
      <c r="F166" s="1" t="s">
        <v>40</v>
      </c>
      <c r="G166" s="1" t="s">
        <v>75</v>
      </c>
      <c r="H166" s="1" t="s">
        <v>81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6" s="2">
        <f>Games[[#This Row],[DaysOff]]-Games[[#This Row],[OppDaysOff]]</f>
        <v>-2</v>
      </c>
      <c r="L166" s="2">
        <f>Games[[#This Row],[OppDaysOff]]-Games[[#This Row],[DaysOff]]</f>
        <v>2</v>
      </c>
      <c r="M166" s="1">
        <f>MAX(-16, MIN(16, Games[[#This Row],[RestDiff]]*8))</f>
        <v>-16</v>
      </c>
      <c r="N166" s="1">
        <f>MAX(-16, MIN(16, Games[[#This Row],[OppRestDiff]]*8))</f>
        <v>16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1535.3477709767733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1380.4689606708359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0.55571872765634056</v>
      </c>
      <c r="R166" s="1">
        <v>107</v>
      </c>
      <c r="S166" s="1">
        <v>86</v>
      </c>
      <c r="T166" s="1">
        <v>0</v>
      </c>
      <c r="U166" s="1">
        <f>Games[[#This Row],[PointsFor]]-Games[[#This Row],[PointsAgainst]]</f>
        <v>21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0.5212949984548072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6" s="9">
        <f>MAX(kmin, kmax - 0.15 * MIN(Games[[#This Row],[GamesPlayed]], 82))</f>
        <v>73.75</v>
      </c>
      <c r="Z166" s="4">
        <f>Games[[#This Row],[K]]*Games[[#This Row],[POMult]]</f>
        <v>73.75</v>
      </c>
      <c r="AA166" s="4">
        <f>(Games[[#This Row],[Keff]]*Games[[#This Row],[MOVMult]])*(Games[[#This Row],[Result]]-Games[[#This Row],[ExpectedWin%]])</f>
        <v>17.08061838201672</v>
      </c>
      <c r="AB166" s="4">
        <f>Games[[#This Row],[PreGmRate]]+Games[[#This Row],[RatingChange]]</f>
        <v>1552.4283893587899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45829</v>
      </c>
      <c r="B167" s="2">
        <v>2025</v>
      </c>
      <c r="C167" s="2">
        <f>COUNTIFS(Games[Team],Games[[#This Row],[Team]],Games[Season],Games[[#This Row],[Season]],Games[Date],"&lt;=" &amp; Games[[#This Row],[Date]])</f>
        <v>12</v>
      </c>
      <c r="D167" s="2" t="s">
        <v>79</v>
      </c>
      <c r="E167" s="2" t="s">
        <v>80</v>
      </c>
      <c r="F167" s="1" t="s">
        <v>75</v>
      </c>
      <c r="G167" s="1" t="s">
        <v>40</v>
      </c>
      <c r="H167" s="1" t="s">
        <v>82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2</v>
      </c>
      <c r="L167" s="2">
        <f>Games[[#This Row],[OppDaysOff]]-Games[[#This Row],[DaysOff]]</f>
        <v>-2</v>
      </c>
      <c r="M167" s="1">
        <f>MAX(-16, MIN(16, Games[[#This Row],[RestDiff]]*8))</f>
        <v>16</v>
      </c>
      <c r="N167" s="1">
        <f>MAX(-16, MIN(16, Games[[#This Row],[OppRestDiff]]*8))</f>
        <v>-16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1380.4689606708359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1535.3477709767733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0.44428127234365944</v>
      </c>
      <c r="R167" s="1">
        <v>86</v>
      </c>
      <c r="S167" s="1">
        <v>107</v>
      </c>
      <c r="T167" s="1">
        <v>0</v>
      </c>
      <c r="U167" s="1">
        <f>Games[[#This Row],[PointsFor]]-Games[[#This Row],[PointsAgainst]]</f>
        <v>-21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0.5212949984548072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7" s="9">
        <f>MAX(kmin, kmax - 0.15 * MIN(Games[[#This Row],[GamesPlayed]], 82))</f>
        <v>74.2</v>
      </c>
      <c r="Z167" s="4">
        <f>Games[[#This Row],[K]]*Games[[#This Row],[POMult]]</f>
        <v>74.2</v>
      </c>
      <c r="AA167" s="4">
        <f>(Games[[#This Row],[Keff]]*Games[[#This Row],[MOVMult]])*(Games[[#This Row],[Result]]-Games[[#This Row],[ExpectedWin%]])</f>
        <v>-17.18483910434767</v>
      </c>
      <c r="AB167" s="4">
        <f>Games[[#This Row],[PreGmRate]]+Games[[#This Row],[RatingChange]]</f>
        <v>1363.2841215664882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45829</v>
      </c>
      <c r="B168" s="2">
        <v>2025</v>
      </c>
      <c r="C168" s="2">
        <f>COUNTIFS(Games[Team],Games[[#This Row],[Team]],Games[Season],Games[[#This Row],[Season]],Games[Date],"&lt;=" &amp; Games[[#This Row],[Date]])</f>
        <v>14</v>
      </c>
      <c r="D168" s="2" t="s">
        <v>79</v>
      </c>
      <c r="E168" s="2" t="s">
        <v>80</v>
      </c>
      <c r="F168" s="1" t="s">
        <v>63</v>
      </c>
      <c r="G168" s="1" t="s">
        <v>67</v>
      </c>
      <c r="H168" s="1" t="s">
        <v>81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1385.1427669073689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1656.5125253495485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0.11449035448820716</v>
      </c>
      <c r="R168" s="1">
        <v>66</v>
      </c>
      <c r="S168" s="1">
        <v>82</v>
      </c>
      <c r="T168" s="1">
        <v>0</v>
      </c>
      <c r="U168" s="1">
        <f>Games[[#This Row],[PointsFor]]-Games[[#This Row],[PointsAgainst]]</f>
        <v>-16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0.42228898288213063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8" s="9">
        <f>MAX(kmin, kmax - 0.15 * MIN(Games[[#This Row],[GamesPlayed]], 82))</f>
        <v>73.900000000000006</v>
      </c>
      <c r="Z168" s="4">
        <f>Games[[#This Row],[K]]*Games[[#This Row],[POMult]]</f>
        <v>73.900000000000006</v>
      </c>
      <c r="AA168" s="4">
        <f>(Games[[#This Row],[Keff]]*Games[[#This Row],[MOVMult]])*(Games[[#This Row],[Result]]-Games[[#This Row],[ExpectedWin%]])</f>
        <v>-3.5729183341166655</v>
      </c>
      <c r="AB168" s="4">
        <f>Games[[#This Row],[PreGmRate]]+Games[[#This Row],[RatingChange]]</f>
        <v>1381.5698485732523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45829</v>
      </c>
      <c r="B169" s="2">
        <v>2025</v>
      </c>
      <c r="C169" s="2">
        <f>COUNTIFS(Games[Team],Games[[#This Row],[Team]],Games[Season],Games[[#This Row],[Season]],Games[Date],"&lt;=" &amp; Games[[#This Row],[Date]])</f>
        <v>13</v>
      </c>
      <c r="D169" s="2" t="s">
        <v>79</v>
      </c>
      <c r="E169" s="2" t="s">
        <v>80</v>
      </c>
      <c r="F169" s="1" t="s">
        <v>67</v>
      </c>
      <c r="G169" s="1" t="s">
        <v>63</v>
      </c>
      <c r="H169" s="1" t="s">
        <v>82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1656.5125253495485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1385.1427669073689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0.8855096455117929</v>
      </c>
      <c r="R169" s="1">
        <v>82</v>
      </c>
      <c r="S169" s="1">
        <v>66</v>
      </c>
      <c r="T169" s="1">
        <v>0</v>
      </c>
      <c r="U169" s="1">
        <f>Games[[#This Row],[PointsFor]]-Games[[#This Row],[PointsAgainst]]</f>
        <v>16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0.42228898288213063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9" s="9">
        <f>MAX(kmin, kmax - 0.15 * MIN(Games[[#This Row],[GamesPlayed]], 82))</f>
        <v>74.05</v>
      </c>
      <c r="Z169" s="4">
        <f>Games[[#This Row],[K]]*Games[[#This Row],[POMult]]</f>
        <v>74.05</v>
      </c>
      <c r="AA169" s="4">
        <f>(Games[[#This Row],[Keff]]*Games[[#This Row],[MOVMult]])*(Games[[#This Row],[Result]]-Games[[#This Row],[ExpectedWin%]])</f>
        <v>3.5801705364186591</v>
      </c>
      <c r="AB169" s="4">
        <f>Games[[#This Row],[PreGmRate]]+Games[[#This Row],[RatingChange]]</f>
        <v>1660.092695885967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45830</v>
      </c>
      <c r="B170" s="2">
        <v>2025</v>
      </c>
      <c r="C170" s="2">
        <f>COUNTIFS(Games[Team],Games[[#This Row],[Team]],Games[Season],Games[[#This Row],[Season]],Games[Date],"&lt;=" &amp; Games[[#This Row],[Date]])</f>
        <v>13</v>
      </c>
      <c r="D170" s="2" t="s">
        <v>79</v>
      </c>
      <c r="E170" s="2" t="s">
        <v>80</v>
      </c>
      <c r="F170" s="1" t="s">
        <v>75</v>
      </c>
      <c r="G170" s="1" t="s">
        <v>77</v>
      </c>
      <c r="H170" s="1" t="s">
        <v>81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-1</v>
      </c>
      <c r="L170" s="2">
        <f>Games[[#This Row],[OppDaysOff]]-Games[[#This Row],[DaysOff]]</f>
        <v>1</v>
      </c>
      <c r="M170" s="1">
        <f>MAX(-16, MIN(16, Games[[#This Row],[RestDiff]]*8))</f>
        <v>-8</v>
      </c>
      <c r="N170" s="1">
        <f>MAX(-16, MIN(16, Games[[#This Row],[OppRestDiff]]*8))</f>
        <v>8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1363.2841215664882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1554.7265337329943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0.15740326648902189</v>
      </c>
      <c r="R170" s="1">
        <v>80</v>
      </c>
      <c r="S170" s="1">
        <v>93</v>
      </c>
      <c r="T170" s="1">
        <v>0</v>
      </c>
      <c r="U170" s="1">
        <f>Games[[#This Row],[PointsFor]]-Games[[#This Row],[PointsAgainst]]</f>
        <v>-13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0.40709734145228638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0" s="9">
        <f>MAX(kmin, kmax - 0.15 * MIN(Games[[#This Row],[GamesPlayed]], 82))</f>
        <v>74.05</v>
      </c>
      <c r="Z170" s="4">
        <f>Games[[#This Row],[K]]*Games[[#This Row],[POMult]]</f>
        <v>74.05</v>
      </c>
      <c r="AA170" s="4">
        <f>(Games[[#This Row],[Keff]]*Games[[#This Row],[MOVMult]])*(Games[[#This Row],[Result]]-Games[[#This Row],[ExpectedWin%]])</f>
        <v>-4.7450093205115857</v>
      </c>
      <c r="AB170" s="4">
        <f>Games[[#This Row],[PreGmRate]]+Games[[#This Row],[RatingChange]]</f>
        <v>1358.5391122459766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45830</v>
      </c>
      <c r="B171" s="2">
        <v>2025</v>
      </c>
      <c r="C171" s="2">
        <f>COUNTIFS(Games[Team],Games[[#This Row],[Team]],Games[Season],Games[[#This Row],[Season]],Games[Date],"&lt;=" &amp; Games[[#This Row],[Date]])</f>
        <v>14</v>
      </c>
      <c r="D171" s="2" t="s">
        <v>79</v>
      </c>
      <c r="E171" s="2" t="s">
        <v>80</v>
      </c>
      <c r="F171" s="1" t="s">
        <v>77</v>
      </c>
      <c r="G171" s="1" t="s">
        <v>75</v>
      </c>
      <c r="H171" s="1" t="s">
        <v>82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1" s="2">
        <f>Games[[#This Row],[DaysOff]]-Games[[#This Row],[OppDaysOff]]</f>
        <v>1</v>
      </c>
      <c r="L171" s="2">
        <f>Games[[#This Row],[OppDaysOff]]-Games[[#This Row],[DaysOff]]</f>
        <v>-1</v>
      </c>
      <c r="M171" s="1">
        <f>MAX(-16, MIN(16, Games[[#This Row],[RestDiff]]*8))</f>
        <v>8</v>
      </c>
      <c r="N171" s="1">
        <f>MAX(-16, MIN(16, Games[[#This Row],[OppRestDiff]]*8))</f>
        <v>-8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1554.7265337329943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1363.2841215664882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0.84259673351097819</v>
      </c>
      <c r="R171" s="1">
        <v>93</v>
      </c>
      <c r="S171" s="1">
        <v>80</v>
      </c>
      <c r="T171" s="1">
        <v>0</v>
      </c>
      <c r="U171" s="1">
        <f>Games[[#This Row],[PointsFor]]-Games[[#This Row],[PointsAgainst]]</f>
        <v>13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0.40709734145228638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1" s="9">
        <f>MAX(kmin, kmax - 0.15 * MIN(Games[[#This Row],[GamesPlayed]], 82))</f>
        <v>73.900000000000006</v>
      </c>
      <c r="Z171" s="4">
        <f>Games[[#This Row],[K]]*Games[[#This Row],[POMult]]</f>
        <v>73.900000000000006</v>
      </c>
      <c r="AA171" s="4">
        <f>(Games[[#This Row],[Keff]]*Games[[#This Row],[MOVMult]])*(Games[[#This Row],[Result]]-Games[[#This Row],[ExpectedWin%]])</f>
        <v>4.735397552813045</v>
      </c>
      <c r="AB171" s="4">
        <f>Games[[#This Row],[PreGmRate]]+Games[[#This Row],[RatingChange]]</f>
        <v>1559.4619312858074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45830</v>
      </c>
      <c r="B172" s="2">
        <v>2025</v>
      </c>
      <c r="C172" s="2">
        <f>COUNTIFS(Games[Team],Games[[#This Row],[Team]],Games[Season],Games[[#This Row],[Season]],Games[Date],"&lt;=" &amp; Games[[#This Row],[Date]])</f>
        <v>14</v>
      </c>
      <c r="D172" s="2" t="s">
        <v>79</v>
      </c>
      <c r="E172" s="2" t="s">
        <v>80</v>
      </c>
      <c r="F172" s="1" t="s">
        <v>74</v>
      </c>
      <c r="G172" s="1" t="s">
        <v>88</v>
      </c>
      <c r="H172" s="1" t="s">
        <v>81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2" s="2">
        <f>Games[[#This Row],[DaysOff]]-Games[[#This Row],[OppDaysOff]]</f>
        <v>-1</v>
      </c>
      <c r="L172" s="2">
        <f>Games[[#This Row],[OppDaysOff]]-Games[[#This Row],[DaysOff]]</f>
        <v>1</v>
      </c>
      <c r="M172" s="1">
        <f>MAX(-16, MIN(16, Games[[#This Row],[RestDiff]]*8))</f>
        <v>-8</v>
      </c>
      <c r="N172" s="1">
        <f>MAX(-16, MIN(16, Games[[#This Row],[OppRestDiff]]*8))</f>
        <v>8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1393.0445524533609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1505.6002310582064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0.22730901047018023</v>
      </c>
      <c r="R172" s="1">
        <v>63</v>
      </c>
      <c r="S172" s="1">
        <v>87</v>
      </c>
      <c r="T172" s="1">
        <v>0</v>
      </c>
      <c r="U172" s="1">
        <f>Games[[#This Row],[PointsFor]]-Games[[#This Row],[PointsAgainst]]</f>
        <v>-24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0.5745410496713842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-9.6512186174247461</v>
      </c>
      <c r="AB172" s="4">
        <f>Games[[#This Row],[PreGmRate]]+Games[[#This Row],[RatingChange]]</f>
        <v>1383.3933338359361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45830</v>
      </c>
      <c r="B173" s="2">
        <v>2025</v>
      </c>
      <c r="C173" s="2">
        <f>COUNTIFS(Games[Team],Games[[#This Row],[Team]],Games[Season],Games[[#This Row],[Season]],Games[Date],"&lt;=" &amp; Games[[#This Row],[Date]])</f>
        <v>13</v>
      </c>
      <c r="D173" s="2" t="s">
        <v>79</v>
      </c>
      <c r="E173" s="2" t="s">
        <v>80</v>
      </c>
      <c r="F173" s="1" t="s">
        <v>88</v>
      </c>
      <c r="G173" s="1" t="s">
        <v>74</v>
      </c>
      <c r="H173" s="1" t="s">
        <v>82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3" s="2">
        <f>Games[[#This Row],[DaysOff]]-Games[[#This Row],[OppDaysOff]]</f>
        <v>1</v>
      </c>
      <c r="L173" s="2">
        <f>Games[[#This Row],[OppDaysOff]]-Games[[#This Row],[DaysOff]]</f>
        <v>-1</v>
      </c>
      <c r="M173" s="1">
        <f>MAX(-16, MIN(16, Games[[#This Row],[RestDiff]]*8))</f>
        <v>8</v>
      </c>
      <c r="N173" s="1">
        <f>MAX(-16, MIN(16, Games[[#This Row],[OppRestDiff]]*8))</f>
        <v>-8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1505.6002310582064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1393.0445524533609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0.77269098952981974</v>
      </c>
      <c r="R173" s="1">
        <v>87</v>
      </c>
      <c r="S173" s="1">
        <v>63</v>
      </c>
      <c r="T173" s="1">
        <v>0</v>
      </c>
      <c r="U173" s="1">
        <f>Games[[#This Row],[PointsFor]]-Games[[#This Row],[PointsAgainst]]</f>
        <v>24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0.5745410496713842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3" s="9">
        <f>MAX(kmin, kmax - 0.15 * MIN(Games[[#This Row],[GamesPlayed]], 82))</f>
        <v>74.05</v>
      </c>
      <c r="Z173" s="4">
        <f>Games[[#This Row],[K]]*Games[[#This Row],[POMult]]</f>
        <v>74.05</v>
      </c>
      <c r="AA173" s="4">
        <f>(Games[[#This Row],[Keff]]*Games[[#This Row],[MOVMult]])*(Games[[#This Row],[Result]]-Games[[#This Row],[ExpectedWin%]])</f>
        <v>9.6708083710460411</v>
      </c>
      <c r="AB173" s="4">
        <f>Games[[#This Row],[PreGmRate]]+Games[[#This Row],[RatingChange]]</f>
        <v>1515.2710394292524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45830</v>
      </c>
      <c r="B174" s="2">
        <v>2025</v>
      </c>
      <c r="C174" s="2">
        <f>COUNTIFS(Games[Team],Games[[#This Row],[Team]],Games[Season],Games[[#This Row],[Season]],Games[Date],"&lt;=" &amp; Games[[#This Row],[Date]])</f>
        <v>13</v>
      </c>
      <c r="D174" s="2" t="s">
        <v>79</v>
      </c>
      <c r="E174" s="2" t="s">
        <v>80</v>
      </c>
      <c r="F174" s="1" t="s">
        <v>69</v>
      </c>
      <c r="G174" s="1" t="s">
        <v>86</v>
      </c>
      <c r="H174" s="1" t="s">
        <v>81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1</v>
      </c>
      <c r="L174" s="2">
        <f>Games[[#This Row],[OppDaysOff]]-Games[[#This Row],[DaysOff]]</f>
        <v>-1</v>
      </c>
      <c r="M174" s="1">
        <f>MAX(-16, MIN(16, Games[[#This Row],[RestDiff]]*8))</f>
        <v>8</v>
      </c>
      <c r="N174" s="1">
        <f>MAX(-16, MIN(16, Games[[#This Row],[OppRestDiff]]*8))</f>
        <v>-8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1514.2031835631158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1512.4404733783119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0.40581520197755033</v>
      </c>
      <c r="R174" s="1">
        <v>81</v>
      </c>
      <c r="S174" s="1">
        <v>89</v>
      </c>
      <c r="T174" s="1">
        <v>0</v>
      </c>
      <c r="U174" s="1">
        <f>Games[[#This Row],[PointsFor]]-Games[[#This Row],[PointsAgainst]]</f>
        <v>-8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0.38774596520135796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4" s="9">
        <f>MAX(kmin, kmax - 0.15 * MIN(Games[[#This Row],[GamesPlayed]], 82))</f>
        <v>74.05</v>
      </c>
      <c r="Z174" s="4">
        <f>Games[[#This Row],[K]]*Games[[#This Row],[POMult]]</f>
        <v>74.05</v>
      </c>
      <c r="AA174" s="4">
        <f>(Games[[#This Row],[Keff]]*Games[[#This Row],[MOVMult]])*(Games[[#This Row],[Result]]-Games[[#This Row],[ExpectedWin%]])</f>
        <v>-11.652004991987734</v>
      </c>
      <c r="AB174" s="4">
        <f>Games[[#This Row],[PreGmRate]]+Games[[#This Row],[RatingChange]]</f>
        <v>1502.551178571128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45830</v>
      </c>
      <c r="B175" s="2">
        <v>2025</v>
      </c>
      <c r="C175" s="2">
        <f>COUNTIFS(Games[Team],Games[[#This Row],[Team]],Games[Season],Games[[#This Row],[Season]],Games[Date],"&lt;=" &amp; Games[[#This Row],[Date]])</f>
        <v>13</v>
      </c>
      <c r="D175" s="2" t="s">
        <v>79</v>
      </c>
      <c r="E175" s="2" t="s">
        <v>80</v>
      </c>
      <c r="F175" s="1" t="s">
        <v>86</v>
      </c>
      <c r="G175" s="1" t="s">
        <v>69</v>
      </c>
      <c r="H175" s="1" t="s">
        <v>82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5" s="2">
        <f>Games[[#This Row],[DaysOff]]-Games[[#This Row],[OppDaysOff]]</f>
        <v>-1</v>
      </c>
      <c r="L175" s="2">
        <f>Games[[#This Row],[OppDaysOff]]-Games[[#This Row],[DaysOff]]</f>
        <v>1</v>
      </c>
      <c r="M175" s="1">
        <f>MAX(-16, MIN(16, Games[[#This Row],[RestDiff]]*8))</f>
        <v>-8</v>
      </c>
      <c r="N175" s="1">
        <f>MAX(-16, MIN(16, Games[[#This Row],[OppRestDiff]]*8))</f>
        <v>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1512.4404733783119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1514.2031835631158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0.59418479802244961</v>
      </c>
      <c r="R175" s="1">
        <v>89</v>
      </c>
      <c r="S175" s="1">
        <v>81</v>
      </c>
      <c r="T175" s="1">
        <v>0</v>
      </c>
      <c r="U175" s="1">
        <f>Games[[#This Row],[PointsFor]]-Games[[#This Row],[PointsAgainst]]</f>
        <v>8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0.38774596520135796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5" s="9">
        <f>MAX(kmin, kmax - 0.15 * MIN(Games[[#This Row],[GamesPlayed]], 82))</f>
        <v>74.05</v>
      </c>
      <c r="Z175" s="4">
        <f>Games[[#This Row],[K]]*Games[[#This Row],[POMult]]</f>
        <v>74.05</v>
      </c>
      <c r="AA175" s="4">
        <f>(Games[[#This Row],[Keff]]*Games[[#This Row],[MOVMult]])*(Games[[#This Row],[Result]]-Games[[#This Row],[ExpectedWin%]])</f>
        <v>11.652004991987736</v>
      </c>
      <c r="AB175" s="4">
        <f>Games[[#This Row],[PreGmRate]]+Games[[#This Row],[RatingChange]]</f>
        <v>1524.0924783702997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45830</v>
      </c>
      <c r="B176" s="2">
        <v>2025</v>
      </c>
      <c r="C176" s="2">
        <f>COUNTIFS(Games[Team],Games[[#This Row],[Team]],Games[Season],Games[[#This Row],[Season]],Games[Date],"&lt;=" &amp; Games[[#This Row],[Date]])</f>
        <v>13</v>
      </c>
      <c r="D176" s="2" t="s">
        <v>79</v>
      </c>
      <c r="E176" s="2" t="s">
        <v>80</v>
      </c>
      <c r="F176" s="1" t="s">
        <v>60</v>
      </c>
      <c r="G176" s="1" t="s">
        <v>71</v>
      </c>
      <c r="H176" s="1" t="s">
        <v>81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1</v>
      </c>
      <c r="L176" s="2">
        <f>Games[[#This Row],[OppDaysOff]]-Games[[#This Row],[DaysOff]]</f>
        <v>-1</v>
      </c>
      <c r="M176" s="1">
        <f>MAX(-16, MIN(16, Games[[#This Row],[RestDiff]]*8))</f>
        <v>8</v>
      </c>
      <c r="N176" s="1">
        <f>MAX(-16, MIN(16, Games[[#This Row],[OppRestDiff]]*8))</f>
        <v>-8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1663.0817137050847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1574.7307172509215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0.52925398884532615</v>
      </c>
      <c r="R176" s="1">
        <v>79</v>
      </c>
      <c r="S176" s="1">
        <v>89</v>
      </c>
      <c r="T176" s="1">
        <v>0</v>
      </c>
      <c r="U176" s="1">
        <f>Games[[#This Row],[PointsFor]]-Games[[#This Row],[PointsAgainst]]</f>
        <v>-10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0.39411281599207088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6" s="9">
        <f>MAX(kmin, kmax - 0.15 * MIN(Games[[#This Row],[GamesPlayed]], 82))</f>
        <v>74.05</v>
      </c>
      <c r="Z176" s="4">
        <f>Games[[#This Row],[K]]*Games[[#This Row],[POMult]]</f>
        <v>74.05</v>
      </c>
      <c r="AA176" s="4">
        <f>(Games[[#This Row],[Keff]]*Games[[#This Row],[MOVMult]])*(Games[[#This Row],[Result]]-Games[[#This Row],[ExpectedWin%]])</f>
        <v>-15.445777002992143</v>
      </c>
      <c r="AB176" s="4">
        <f>Games[[#This Row],[PreGmRate]]+Games[[#This Row],[RatingChange]]</f>
        <v>1647.6359367020925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45830</v>
      </c>
      <c r="B177" s="2">
        <v>2025</v>
      </c>
      <c r="C177" s="2">
        <f>COUNTIFS(Games[Team],Games[[#This Row],[Team]],Games[Season],Games[[#This Row],[Season]],Games[Date],"&lt;=" &amp; Games[[#This Row],[Date]])</f>
        <v>14</v>
      </c>
      <c r="D177" s="2" t="s">
        <v>79</v>
      </c>
      <c r="E177" s="2" t="s">
        <v>80</v>
      </c>
      <c r="F177" s="1" t="s">
        <v>71</v>
      </c>
      <c r="G177" s="1" t="s">
        <v>60</v>
      </c>
      <c r="H177" s="1" t="s">
        <v>82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7" s="2">
        <f>Games[[#This Row],[DaysOff]]-Games[[#This Row],[OppDaysOff]]</f>
        <v>-1</v>
      </c>
      <c r="L177" s="2">
        <f>Games[[#This Row],[OppDaysOff]]-Games[[#This Row],[DaysOff]]</f>
        <v>1</v>
      </c>
      <c r="M177" s="1">
        <f>MAX(-16, MIN(16, Games[[#This Row],[RestDiff]]*8))</f>
        <v>-8</v>
      </c>
      <c r="N177" s="1">
        <f>MAX(-16, MIN(16, Games[[#This Row],[OppRestDiff]]*8))</f>
        <v>8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1574.7307172509215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1663.0817137050847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0.47074601115467385</v>
      </c>
      <c r="R177" s="1">
        <v>89</v>
      </c>
      <c r="S177" s="1">
        <v>79</v>
      </c>
      <c r="T177" s="1">
        <v>0</v>
      </c>
      <c r="U177" s="1">
        <f>Games[[#This Row],[PointsFor]]-Games[[#This Row],[PointsAgainst]]</f>
        <v>10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0.39411281599207088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7" s="9">
        <f>MAX(kmin, kmax - 0.15 * MIN(Games[[#This Row],[GamesPlayed]], 82))</f>
        <v>73.900000000000006</v>
      </c>
      <c r="Z177" s="4">
        <f>Games[[#This Row],[K]]*Games[[#This Row],[POMult]]</f>
        <v>73.900000000000006</v>
      </c>
      <c r="AA177" s="4">
        <f>(Games[[#This Row],[Keff]]*Games[[#This Row],[MOVMult]])*(Games[[#This Row],[Result]]-Games[[#This Row],[ExpectedWin%]])</f>
        <v>15.414489136004313</v>
      </c>
      <c r="AB177" s="4">
        <f>Games[[#This Row],[PreGmRate]]+Games[[#This Row],[RatingChange]]</f>
        <v>1590.1452063869258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45830</v>
      </c>
      <c r="B178" s="2">
        <v>2025</v>
      </c>
      <c r="C178" s="2">
        <f>COUNTIFS(Games[Team],Games[[#This Row],[Team]],Games[Season],Games[[#This Row],[Season]],Games[Date],"&lt;=" &amp; Games[[#This Row],[Date]])</f>
        <v>15</v>
      </c>
      <c r="D178" s="2" t="s">
        <v>79</v>
      </c>
      <c r="E178" s="2" t="s">
        <v>80</v>
      </c>
      <c r="F178" s="1" t="s">
        <v>85</v>
      </c>
      <c r="G178" s="1" t="s">
        <v>65</v>
      </c>
      <c r="H178" s="1" t="s">
        <v>81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0</v>
      </c>
      <c r="L178" s="2">
        <f>Games[[#This Row],[OppDaysOff]]-Games[[#This Row],[DaysOff]]</f>
        <v>0</v>
      </c>
      <c r="M178" s="1">
        <f>MAX(-16, MIN(16, Games[[#This Row],[RestDiff]]*8))</f>
        <v>0</v>
      </c>
      <c r="N178" s="1">
        <f>MAX(-16, MIN(16, Games[[#This Row],[OppRestDiff]]*8))</f>
        <v>0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1366.065922797108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1457.7219886991024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0.26675336826238916</v>
      </c>
      <c r="R178" s="1">
        <v>88</v>
      </c>
      <c r="S178" s="1">
        <v>91</v>
      </c>
      <c r="T178" s="1">
        <v>1</v>
      </c>
      <c r="U178" s="1">
        <f>Games[[#This Row],[PointsFor]]-Games[[#This Row],[PointsAgainst]]</f>
        <v>-3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0.24263285797194875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8" s="9">
        <f>MAX(kmin, kmax - 0.15 * MIN(Games[[#This Row],[GamesPlayed]], 82))</f>
        <v>73.75</v>
      </c>
      <c r="Z178" s="4">
        <f>Games[[#This Row],[K]]*Games[[#This Row],[POMult]]</f>
        <v>73.75</v>
      </c>
      <c r="AA178" s="4">
        <f>(Games[[#This Row],[Keff]]*Games[[#This Row],[MOVMult]])*(Games[[#This Row],[Result]]-Games[[#This Row],[ExpectedWin%]])</f>
        <v>-4.7733309934921069</v>
      </c>
      <c r="AB178" s="4">
        <f>Games[[#This Row],[PreGmRate]]+Games[[#This Row],[RatingChange]]</f>
        <v>1361.2925918036158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45830</v>
      </c>
      <c r="B179" s="2">
        <v>2025</v>
      </c>
      <c r="C179" s="2">
        <f>COUNTIFS(Games[Team],Games[[#This Row],[Team]],Games[Season],Games[[#This Row],[Season]],Games[Date],"&lt;=" &amp; Games[[#This Row],[Date]])</f>
        <v>14</v>
      </c>
      <c r="D179" s="2" t="s">
        <v>79</v>
      </c>
      <c r="E179" s="2" t="s">
        <v>80</v>
      </c>
      <c r="F179" s="1" t="s">
        <v>65</v>
      </c>
      <c r="G179" s="1" t="s">
        <v>85</v>
      </c>
      <c r="H179" s="1" t="s">
        <v>82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0</v>
      </c>
      <c r="L179" s="2">
        <f>Games[[#This Row],[OppDaysOff]]-Games[[#This Row],[DaysOff]]</f>
        <v>0</v>
      </c>
      <c r="M179" s="1">
        <f>MAX(-16, MIN(16, Games[[#This Row],[RestDiff]]*8))</f>
        <v>0</v>
      </c>
      <c r="N179" s="1">
        <f>MAX(-16, MIN(16, Games[[#This Row],[OppRestDiff]]*8))</f>
        <v>0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1457.7219886991024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1366.065922797108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0.73324663173761073</v>
      </c>
      <c r="R179" s="1">
        <v>91</v>
      </c>
      <c r="S179" s="1">
        <v>88</v>
      </c>
      <c r="T179" s="1">
        <v>1</v>
      </c>
      <c r="U179" s="1">
        <f>Games[[#This Row],[PointsFor]]-Games[[#This Row],[PointsAgainst]]</f>
        <v>3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0.24263285797194875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9" s="9">
        <f>MAX(kmin, kmax - 0.15 * MIN(Games[[#This Row],[GamesPlayed]], 82))</f>
        <v>73.900000000000006</v>
      </c>
      <c r="Z179" s="4">
        <f>Games[[#This Row],[K]]*Games[[#This Row],[POMult]]</f>
        <v>73.900000000000006</v>
      </c>
      <c r="AA179" s="4">
        <f>(Games[[#This Row],[Keff]]*Games[[#This Row],[MOVMult]])*(Games[[#This Row],[Result]]-Games[[#This Row],[ExpectedWin%]])</f>
        <v>4.7830394633093807</v>
      </c>
      <c r="AB179" s="4">
        <f>Games[[#This Row],[PreGmRate]]+Games[[#This Row],[RatingChange]]</f>
        <v>1462.5050281624119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45832</v>
      </c>
      <c r="B180" s="2">
        <v>2025</v>
      </c>
      <c r="C180" s="2">
        <f>COUNTIFS(Games[Team],Games[[#This Row],[Team]],Games[Season],Games[[#This Row],[Season]],Games[Date],"&lt;=" &amp; Games[[#This Row],[Date]])</f>
        <v>15</v>
      </c>
      <c r="D180" s="2" t="s">
        <v>79</v>
      </c>
      <c r="E180" s="2" t="s">
        <v>80</v>
      </c>
      <c r="F180" s="1" t="s">
        <v>63</v>
      </c>
      <c r="G180" s="1" t="s">
        <v>75</v>
      </c>
      <c r="H180" s="1" t="s">
        <v>81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1</v>
      </c>
      <c r="L180" s="2">
        <f>Games[[#This Row],[OppDaysOff]]-Games[[#This Row],[DaysOff]]</f>
        <v>-1</v>
      </c>
      <c r="M180" s="1">
        <f>MAX(-16, MIN(16, Games[[#This Row],[RestDiff]]*8))</f>
        <v>8</v>
      </c>
      <c r="N180" s="1">
        <f>MAX(-16, MIN(16, Games[[#This Row],[OppRestDiff]]*8))</f>
        <v>-8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1381.5698485732523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1358.5391122459766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0.43564300957171098</v>
      </c>
      <c r="R180" s="1">
        <v>86</v>
      </c>
      <c r="S180" s="1">
        <v>97</v>
      </c>
      <c r="T180" s="1">
        <v>0</v>
      </c>
      <c r="U180" s="1">
        <f>Games[[#This Row],[PointsFor]]-Games[[#This Row],[PointsAgainst]]</f>
        <v>-11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0.43155347501252062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0" s="9">
        <f>MAX(kmin, kmax - 0.15 * MIN(Games[[#This Row],[GamesPlayed]], 82))</f>
        <v>73.75</v>
      </c>
      <c r="Z180" s="4">
        <f>Games[[#This Row],[K]]*Games[[#This Row],[POMult]]</f>
        <v>73.75</v>
      </c>
      <c r="AA180" s="4">
        <f>(Games[[#This Row],[Keff]]*Games[[#This Row],[MOVMult]])*(Games[[#This Row],[Result]]-Games[[#This Row],[ExpectedWin%]])</f>
        <v>-13.865240030111869</v>
      </c>
      <c r="AB180" s="4">
        <f>Games[[#This Row],[PreGmRate]]+Games[[#This Row],[RatingChange]]</f>
        <v>1367.7046085431405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45832</v>
      </c>
      <c r="B181" s="2">
        <v>2025</v>
      </c>
      <c r="C181" s="2">
        <f>COUNTIFS(Games[Team],Games[[#This Row],[Team]],Games[Season],Games[[#This Row],[Season]],Games[Date],"&lt;=" &amp; Games[[#This Row],[Date]])</f>
        <v>14</v>
      </c>
      <c r="D181" s="2" t="s">
        <v>79</v>
      </c>
      <c r="E181" s="2" t="s">
        <v>80</v>
      </c>
      <c r="F181" s="1" t="s">
        <v>75</v>
      </c>
      <c r="G181" s="1" t="s">
        <v>63</v>
      </c>
      <c r="H181" s="1" t="s">
        <v>82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1" s="2">
        <f>Games[[#This Row],[DaysOff]]-Games[[#This Row],[OppDaysOff]]</f>
        <v>-1</v>
      </c>
      <c r="L181" s="2">
        <f>Games[[#This Row],[OppDaysOff]]-Games[[#This Row],[DaysOff]]</f>
        <v>1</v>
      </c>
      <c r="M181" s="1">
        <f>MAX(-16, MIN(16, Games[[#This Row],[RestDiff]]*8))</f>
        <v>-8</v>
      </c>
      <c r="N181" s="1">
        <f>MAX(-16, MIN(16, Games[[#This Row],[OppRestDiff]]*8))</f>
        <v>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1358.5391122459766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1381.5698485732523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0.56435699042828891</v>
      </c>
      <c r="R181" s="1">
        <v>97</v>
      </c>
      <c r="S181" s="1">
        <v>86</v>
      </c>
      <c r="T181" s="1">
        <v>0</v>
      </c>
      <c r="U181" s="1">
        <f>Games[[#This Row],[PointsFor]]-Games[[#This Row],[PointsAgainst]]</f>
        <v>11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0.43155347501252062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1" s="9">
        <f>MAX(kmin, kmax - 0.15 * MIN(Games[[#This Row],[GamesPlayed]], 82))</f>
        <v>73.900000000000006</v>
      </c>
      <c r="Z181" s="4">
        <f>Games[[#This Row],[K]]*Games[[#This Row],[POMult]]</f>
        <v>73.900000000000006</v>
      </c>
      <c r="AA181" s="4">
        <f>(Games[[#This Row],[Keff]]*Games[[#This Row],[MOVMult]])*(Games[[#This Row],[Result]]-Games[[#This Row],[ExpectedWin%]])</f>
        <v>13.893440518308712</v>
      </c>
      <c r="AB181" s="4">
        <f>Games[[#This Row],[PreGmRate]]+Games[[#This Row],[RatingChange]]</f>
        <v>1372.4325527642854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45832</v>
      </c>
      <c r="B182" s="2">
        <v>2025</v>
      </c>
      <c r="C182" s="2">
        <f>COUNTIFS(Games[Team],Games[[#This Row],[Team]],Games[Season],Games[[#This Row],[Season]],Games[Date],"&lt;=" &amp; Games[[#This Row],[Date]])</f>
        <v>15</v>
      </c>
      <c r="D182" s="2" t="s">
        <v>79</v>
      </c>
      <c r="E182" s="2" t="s">
        <v>80</v>
      </c>
      <c r="F182" s="1" t="s">
        <v>77</v>
      </c>
      <c r="G182" s="1" t="s">
        <v>85</v>
      </c>
      <c r="H182" s="1" t="s">
        <v>81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1559.4619312858074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1361.2925918036158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0.65863372348195737</v>
      </c>
      <c r="R182" s="1">
        <v>55</v>
      </c>
      <c r="S182" s="1">
        <v>68</v>
      </c>
      <c r="T182" s="1">
        <v>0</v>
      </c>
      <c r="U182" s="1">
        <f>Games[[#This Row],[PointsFor]]-Games[[#This Row],[PointsAgainst]]</f>
        <v>-13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0.40513869871207825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2" s="9">
        <f>MAX(kmin, kmax - 0.15 * MIN(Games[[#This Row],[GamesPlayed]], 82))</f>
        <v>73.75</v>
      </c>
      <c r="Z182" s="4">
        <f>Games[[#This Row],[K]]*Games[[#This Row],[POMult]]</f>
        <v>73.75</v>
      </c>
      <c r="AA182" s="4">
        <f>(Games[[#This Row],[Keff]]*Games[[#This Row],[MOVMult]])*(Games[[#This Row],[Result]]-Games[[#This Row],[ExpectedWin%]])</f>
        <v>-19.67930321237861</v>
      </c>
      <c r="AB182" s="4">
        <f>Games[[#This Row],[PreGmRate]]+Games[[#This Row],[RatingChange]]</f>
        <v>1539.7826280734289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45832</v>
      </c>
      <c r="B183" s="2">
        <v>2025</v>
      </c>
      <c r="C183" s="2">
        <f>COUNTIFS(Games[Team],Games[[#This Row],[Team]],Games[Season],Games[[#This Row],[Season]],Games[Date],"&lt;=" &amp; Games[[#This Row],[Date]])</f>
        <v>16</v>
      </c>
      <c r="D183" s="2" t="s">
        <v>79</v>
      </c>
      <c r="E183" s="2" t="s">
        <v>80</v>
      </c>
      <c r="F183" s="1" t="s">
        <v>85</v>
      </c>
      <c r="G183" s="1" t="s">
        <v>77</v>
      </c>
      <c r="H183" s="1" t="s">
        <v>82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1361.2925918036158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1559.4619312858074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0.34136627651804269</v>
      </c>
      <c r="R183" s="1">
        <v>68</v>
      </c>
      <c r="S183" s="1">
        <v>55</v>
      </c>
      <c r="T183" s="1">
        <v>0</v>
      </c>
      <c r="U183" s="1">
        <f>Games[[#This Row],[PointsFor]]-Games[[#This Row],[PointsAgainst]]</f>
        <v>13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0.40513869871207825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3" s="9">
        <f>MAX(kmin, kmax - 0.15 * MIN(Games[[#This Row],[GamesPlayed]], 82))</f>
        <v>73.599999999999994</v>
      </c>
      <c r="Z183" s="4">
        <f>Games[[#This Row],[K]]*Games[[#This Row],[POMult]]</f>
        <v>73.599999999999994</v>
      </c>
      <c r="AA183" s="4">
        <f>(Games[[#This Row],[Keff]]*Games[[#This Row],[MOVMult]])*(Games[[#This Row],[Result]]-Games[[#This Row],[ExpectedWin%]])</f>
        <v>19.639277510929698</v>
      </c>
      <c r="AB183" s="4">
        <f>Games[[#This Row],[PreGmRate]]+Games[[#This Row],[RatingChange]]</f>
        <v>1380.9318693145456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45832</v>
      </c>
      <c r="B184" s="2">
        <v>2025</v>
      </c>
      <c r="C184" s="2">
        <f>COUNTIFS(Games[Team],Games[[#This Row],[Team]],Games[Season],Games[[#This Row],[Season]],Games[Date],"&lt;=" &amp; Games[[#This Row],[Date]])</f>
        <v>14</v>
      </c>
      <c r="D184" s="2" t="s">
        <v>79</v>
      </c>
      <c r="E184" s="2" t="s">
        <v>80</v>
      </c>
      <c r="F184" s="1" t="s">
        <v>69</v>
      </c>
      <c r="G184" s="1" t="s">
        <v>71</v>
      </c>
      <c r="H184" s="1" t="s">
        <v>81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1502.551178571128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1590.1452063869258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0.27135185465566203</v>
      </c>
      <c r="R184" s="1">
        <v>94</v>
      </c>
      <c r="S184" s="1">
        <v>86</v>
      </c>
      <c r="T184" s="1">
        <v>0</v>
      </c>
      <c r="U184" s="1">
        <f>Games[[#This Row],[PointsFor]]-Games[[#This Row],[PointsAgainst]]</f>
        <v>8</v>
      </c>
      <c r="V184" s="1">
        <f>IF(Games[[#This Row],[MOV]]&gt;0,1,IF(Games[[#This Row],[MOV]]=0,0.5,0))</f>
        <v>1</v>
      </c>
      <c r="W184" s="4">
        <f>((ABS(Games[[#This Row],[MOV]])+5)^0.6)/(12+0.01*(ABS(Games[[#This Row],[PreGmRate]]-Games[[#This Row],[OppPreGmRate]])))*IF(Games[[#This Row],[OT]]=1,0.9,1)</f>
        <v>0.36189872889832103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4" s="9">
        <f>MAX(kmin, kmax - 0.15 * MIN(Games[[#This Row],[GamesPlayed]], 82))</f>
        <v>73.900000000000006</v>
      </c>
      <c r="Z184" s="4">
        <f>Games[[#This Row],[K]]*Games[[#This Row],[POMult]]</f>
        <v>73.900000000000006</v>
      </c>
      <c r="AA184" s="4">
        <f>(Games[[#This Row],[Keff]]*Games[[#This Row],[MOVMult]])*(Games[[#This Row],[Result]]-Games[[#This Row],[ExpectedWin%]])</f>
        <v>19.487196299691966</v>
      </c>
      <c r="AB184" s="4">
        <f>Games[[#This Row],[PreGmRate]]+Games[[#This Row],[RatingChange]]</f>
        <v>1522.03837487082</v>
      </c>
      <c r="AC184" s="2">
        <f>IF(Games[[#This Row],[Type]]="R",IF(Games[[#This Row],[Result]]&gt;0.5,1,0),0)</f>
        <v>1</v>
      </c>
      <c r="AD184" s="2">
        <f>IF(Games[[#This Row],[Type]]="R",IF(Games[[#This Row],[Result]]&lt;0.5,1,0),0)</f>
        <v>0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45832</v>
      </c>
      <c r="B185" s="2">
        <v>2025</v>
      </c>
      <c r="C185" s="2">
        <f>COUNTIFS(Games[Team],Games[[#This Row],[Team]],Games[Season],Games[[#This Row],[Season]],Games[Date],"&lt;=" &amp; Games[[#This Row],[Date]])</f>
        <v>15</v>
      </c>
      <c r="D185" s="2" t="s">
        <v>79</v>
      </c>
      <c r="E185" s="2" t="s">
        <v>80</v>
      </c>
      <c r="F185" s="1" t="s">
        <v>71</v>
      </c>
      <c r="G185" s="1" t="s">
        <v>69</v>
      </c>
      <c r="H185" s="1" t="s">
        <v>82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1590.1452063869258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1502.551178571128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0.72864814534433786</v>
      </c>
      <c r="R185" s="1">
        <v>86</v>
      </c>
      <c r="S185" s="1">
        <v>94</v>
      </c>
      <c r="T185" s="1">
        <v>0</v>
      </c>
      <c r="U185" s="1">
        <f>Games[[#This Row],[PointsFor]]-Games[[#This Row],[PointsAgainst]]</f>
        <v>-8</v>
      </c>
      <c r="V185" s="1">
        <f>IF(Games[[#This Row],[MOV]]&gt;0,1,IF(Games[[#This Row],[MOV]]=0,0.5,0))</f>
        <v>0</v>
      </c>
      <c r="W185" s="4">
        <f>((ABS(Games[[#This Row],[MOV]])+5)^0.6)/(12+0.01*(ABS(Games[[#This Row],[PreGmRate]]-Games[[#This Row],[OppPreGmRate]])))*IF(Games[[#This Row],[OT]]=1,0.9,1)</f>
        <v>0.36189872889832103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5" s="9">
        <f>MAX(kmin, kmax - 0.15 * MIN(Games[[#This Row],[GamesPlayed]], 82))</f>
        <v>73.75</v>
      </c>
      <c r="Z185" s="4">
        <f>Games[[#This Row],[K]]*Games[[#This Row],[POMult]]</f>
        <v>73.75</v>
      </c>
      <c r="AA185" s="4">
        <f>(Games[[#This Row],[Keff]]*Games[[#This Row],[MOVMult]])*(Games[[#This Row],[Result]]-Games[[#This Row],[ExpectedWin%]])</f>
        <v>-19.447641774049828</v>
      </c>
      <c r="AB185" s="4">
        <f>Games[[#This Row],[PreGmRate]]+Games[[#This Row],[RatingChange]]</f>
        <v>1570.697564612876</v>
      </c>
      <c r="AC185" s="2">
        <f>IF(Games[[#This Row],[Type]]="R",IF(Games[[#This Row],[Result]]&gt;0.5,1,0),0)</f>
        <v>0</v>
      </c>
      <c r="AD185" s="2">
        <f>IF(Games[[#This Row],[Type]]="R",IF(Games[[#This Row],[Result]]&lt;0.5,1,0),0)</f>
        <v>1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45832</v>
      </c>
      <c r="B186" s="2">
        <v>2025</v>
      </c>
      <c r="C186" s="2">
        <f>COUNTIFS(Games[Team],Games[[#This Row],[Team]],Games[Season],Games[[#This Row],[Season]],Games[Date],"&lt;=" &amp; Games[[#This Row],[Date]])</f>
        <v>14</v>
      </c>
      <c r="D186" s="2" t="s">
        <v>79</v>
      </c>
      <c r="E186" s="2" t="s">
        <v>80</v>
      </c>
      <c r="F186" s="1" t="s">
        <v>67</v>
      </c>
      <c r="G186" s="1" t="s">
        <v>65</v>
      </c>
      <c r="H186" s="1" t="s">
        <v>81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6" s="2">
        <f>Games[[#This Row],[DaysOff]]-Games[[#This Row],[OppDaysOff]]</f>
        <v>1</v>
      </c>
      <c r="L186" s="2">
        <f>Games[[#This Row],[OppDaysOff]]-Games[[#This Row],[DaysOff]]</f>
        <v>-1</v>
      </c>
      <c r="M186" s="1">
        <f>MAX(-16, MIN(16, Games[[#This Row],[RestDiff]]*8))</f>
        <v>8</v>
      </c>
      <c r="N186" s="1">
        <f>MAX(-16, MIN(16, Games[[#This Row],[OppRestDiff]]*8))</f>
        <v>-8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1660.092695885967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1462.5050281624119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0.67829920269247024</v>
      </c>
      <c r="R186" s="1">
        <v>64</v>
      </c>
      <c r="S186" s="1">
        <v>68</v>
      </c>
      <c r="T186" s="1">
        <v>0</v>
      </c>
      <c r="U186" s="1">
        <f>Games[[#This Row],[PointsFor]]-Games[[#This Row],[PointsAgainst]]</f>
        <v>-4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0.26740310501836617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6" s="9">
        <f>MAX(kmin, kmax - 0.15 * MIN(Games[[#This Row],[GamesPlayed]], 82))</f>
        <v>73.900000000000006</v>
      </c>
      <c r="Z186" s="4">
        <f>Games[[#This Row],[K]]*Games[[#This Row],[POMult]]</f>
        <v>73.900000000000006</v>
      </c>
      <c r="AA186" s="4">
        <f>(Games[[#This Row],[Keff]]*Games[[#This Row],[MOVMult]])*(Games[[#This Row],[Result]]-Games[[#This Row],[ExpectedWin%]])</f>
        <v>-13.403931225634055</v>
      </c>
      <c r="AB186" s="4">
        <f>Games[[#This Row],[PreGmRate]]+Games[[#This Row],[RatingChange]]</f>
        <v>1646.6887646603329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45832</v>
      </c>
      <c r="B187" s="2">
        <v>2025</v>
      </c>
      <c r="C187" s="2">
        <f>COUNTIFS(Games[Team],Games[[#This Row],[Team]],Games[Season],Games[[#This Row],[Season]],Games[Date],"&lt;=" &amp; Games[[#This Row],[Date]])</f>
        <v>15</v>
      </c>
      <c r="D187" s="2" t="s">
        <v>79</v>
      </c>
      <c r="E187" s="2" t="s">
        <v>80</v>
      </c>
      <c r="F187" s="1" t="s">
        <v>65</v>
      </c>
      <c r="G187" s="1" t="s">
        <v>67</v>
      </c>
      <c r="H187" s="1" t="s">
        <v>82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7" s="2">
        <f>Games[[#This Row],[DaysOff]]-Games[[#This Row],[OppDaysOff]]</f>
        <v>-1</v>
      </c>
      <c r="L187" s="2">
        <f>Games[[#This Row],[OppDaysOff]]-Games[[#This Row],[DaysOff]]</f>
        <v>1</v>
      </c>
      <c r="M187" s="1">
        <f>MAX(-16, MIN(16, Games[[#This Row],[RestDiff]]*8))</f>
        <v>-8</v>
      </c>
      <c r="N187" s="1">
        <f>MAX(-16, MIN(16, Games[[#This Row],[OppRestDiff]]*8))</f>
        <v>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1462.5050281624119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1660.092695885967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0.32170079730752971</v>
      </c>
      <c r="R187" s="1">
        <v>68</v>
      </c>
      <c r="S187" s="1">
        <v>64</v>
      </c>
      <c r="T187" s="1">
        <v>0</v>
      </c>
      <c r="U187" s="1">
        <f>Games[[#This Row],[PointsFor]]-Games[[#This Row],[PointsAgainst]]</f>
        <v>4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0.26740310501836617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7" s="9">
        <f>MAX(kmin, kmax - 0.15 * MIN(Games[[#This Row],[GamesPlayed]], 82))</f>
        <v>73.75</v>
      </c>
      <c r="Z187" s="4">
        <f>Games[[#This Row],[K]]*Games[[#This Row],[POMult]]</f>
        <v>73.75</v>
      </c>
      <c r="AA187" s="4">
        <f>(Games[[#This Row],[Keff]]*Games[[#This Row],[MOVMult]])*(Games[[#This Row],[Result]]-Games[[#This Row],[ExpectedWin%]])</f>
        <v>13.376724328694342</v>
      </c>
      <c r="AB187" s="4">
        <f>Games[[#This Row],[PreGmRate]]+Games[[#This Row],[RatingChange]]</f>
        <v>1475.8817524911062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45833</v>
      </c>
      <c r="B188" s="2">
        <v>2025</v>
      </c>
      <c r="C188" s="2">
        <f>COUNTIFS(Games[Team],Games[[#This Row],[Team]],Games[Season],Games[[#This Row],[Season]],Games[Date],"&lt;=" &amp; Games[[#This Row],[Date]])</f>
        <v>14</v>
      </c>
      <c r="D188" s="2" t="s">
        <v>79</v>
      </c>
      <c r="E188" s="2" t="s">
        <v>80</v>
      </c>
      <c r="F188" s="1" t="s">
        <v>60</v>
      </c>
      <c r="G188" s="1" t="s">
        <v>88</v>
      </c>
      <c r="H188" s="1" t="s">
        <v>81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8" s="2">
        <f>Games[[#This Row],[DaysOff]]-Games[[#This Row],[OppDaysOff]]</f>
        <v>0</v>
      </c>
      <c r="L188" s="2">
        <f>Games[[#This Row],[OppDaysOff]]-Games[[#This Row],[DaysOff]]</f>
        <v>0</v>
      </c>
      <c r="M188" s="1">
        <f>MAX(-16, MIN(16, Games[[#This Row],[RestDiff]]*8))</f>
        <v>0</v>
      </c>
      <c r="N188" s="1">
        <f>MAX(-16, MIN(16, Games[[#This Row],[OppRestDiff]]*8))</f>
        <v>0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1647.6359367020925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1515.2710394292524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0.56915654992163112</v>
      </c>
      <c r="R188" s="1">
        <v>81</v>
      </c>
      <c r="S188" s="1">
        <v>78</v>
      </c>
      <c r="T188" s="1">
        <v>0</v>
      </c>
      <c r="U188" s="1">
        <f>Games[[#This Row],[PointsFor]]-Games[[#This Row],[PointsAgainst]]</f>
        <v>3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0.26135499819246705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8" s="9">
        <f>MAX(kmin, kmax - 0.15 * MIN(Games[[#This Row],[GamesPlayed]], 82))</f>
        <v>73.900000000000006</v>
      </c>
      <c r="Z188" s="4">
        <f>Games[[#This Row],[K]]*Games[[#This Row],[POMult]]</f>
        <v>73.900000000000006</v>
      </c>
      <c r="AA188" s="4">
        <f>(Games[[#This Row],[Keff]]*Games[[#This Row],[MOVMult]])*(Games[[#This Row],[Result]]-Games[[#This Row],[ExpectedWin%]])</f>
        <v>8.3213682857070133</v>
      </c>
      <c r="AB188" s="4">
        <f>Games[[#This Row],[PreGmRate]]+Games[[#This Row],[RatingChange]]</f>
        <v>1655.9573049877995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45833</v>
      </c>
      <c r="B189" s="2">
        <v>2025</v>
      </c>
      <c r="C189" s="2">
        <f>COUNTIFS(Games[Team],Games[[#This Row],[Team]],Games[Season],Games[[#This Row],[Season]],Games[Date],"&lt;=" &amp; Games[[#This Row],[Date]])</f>
        <v>14</v>
      </c>
      <c r="D189" s="2" t="s">
        <v>79</v>
      </c>
      <c r="E189" s="2" t="s">
        <v>80</v>
      </c>
      <c r="F189" s="1" t="s">
        <v>88</v>
      </c>
      <c r="G189" s="1" t="s">
        <v>60</v>
      </c>
      <c r="H189" s="1" t="s">
        <v>82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9" s="2">
        <f>Games[[#This Row],[DaysOff]]-Games[[#This Row],[OppDaysOff]]</f>
        <v>0</v>
      </c>
      <c r="L189" s="2">
        <f>Games[[#This Row],[OppDaysOff]]-Games[[#This Row],[DaysOff]]</f>
        <v>0</v>
      </c>
      <c r="M189" s="1">
        <f>MAX(-16, MIN(16, Games[[#This Row],[RestDiff]]*8))</f>
        <v>0</v>
      </c>
      <c r="N189" s="1">
        <f>MAX(-16, MIN(16, Games[[#This Row],[OppRestDiff]]*8))</f>
        <v>0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1515.2710394292524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1647.6359367020925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0.43084345007836894</v>
      </c>
      <c r="R189" s="1">
        <v>78</v>
      </c>
      <c r="S189" s="1">
        <v>81</v>
      </c>
      <c r="T189" s="1">
        <v>0</v>
      </c>
      <c r="U189" s="1">
        <f>Games[[#This Row],[PointsFor]]-Games[[#This Row],[PointsAgainst]]</f>
        <v>-3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0.26135499819246705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9" s="9">
        <f>MAX(kmin, kmax - 0.15 * MIN(Games[[#This Row],[GamesPlayed]], 82))</f>
        <v>73.900000000000006</v>
      </c>
      <c r="Z189" s="4">
        <f>Games[[#This Row],[K]]*Games[[#This Row],[POMult]]</f>
        <v>73.900000000000006</v>
      </c>
      <c r="AA189" s="4">
        <f>(Games[[#This Row],[Keff]]*Games[[#This Row],[MOVMult]])*(Games[[#This Row],[Result]]-Games[[#This Row],[ExpectedWin%]])</f>
        <v>-8.321368285707015</v>
      </c>
      <c r="AB189" s="4">
        <f>Games[[#This Row],[PreGmRate]]+Games[[#This Row],[RatingChange]]</f>
        <v>1506.9496711435454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45833</v>
      </c>
      <c r="B190" s="2">
        <v>2025</v>
      </c>
      <c r="C190" s="2">
        <f>COUNTIFS(Games[Team],Games[[#This Row],[Team]],Games[Season],Games[[#This Row],[Season]],Games[Date],"&lt;=" &amp; Games[[#This Row],[Date]])</f>
        <v>15</v>
      </c>
      <c r="D190" s="2" t="s">
        <v>79</v>
      </c>
      <c r="E190" s="2" t="s">
        <v>80</v>
      </c>
      <c r="F190" s="1" t="s">
        <v>74</v>
      </c>
      <c r="G190" s="1" t="s">
        <v>86</v>
      </c>
      <c r="H190" s="1" t="s">
        <v>81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1383.3933338359361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1524.0924783702997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0.2152656761012253</v>
      </c>
      <c r="R190" s="1">
        <v>59</v>
      </c>
      <c r="S190" s="1">
        <v>85</v>
      </c>
      <c r="T190" s="1">
        <v>0</v>
      </c>
      <c r="U190" s="1">
        <f>Games[[#This Row],[PointsFor]]-Games[[#This Row],[PointsAgainst]]</f>
        <v>-26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0.58544443756828657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0" s="9">
        <f>MAX(kmin, kmax - 0.15 * MIN(Games[[#This Row],[GamesPlayed]], 82))</f>
        <v>73.75</v>
      </c>
      <c r="Z190" s="4">
        <f>Games[[#This Row],[K]]*Games[[#This Row],[POMult]]</f>
        <v>73.75</v>
      </c>
      <c r="AA190" s="4">
        <f>(Games[[#This Row],[Keff]]*Games[[#This Row],[MOVMult]])*(Games[[#This Row],[Result]]-Games[[#This Row],[ExpectedWin%]])</f>
        <v>-9.2944243346218602</v>
      </c>
      <c r="AB190" s="4">
        <f>Games[[#This Row],[PreGmRate]]+Games[[#This Row],[RatingChange]]</f>
        <v>1374.0989095013142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45833</v>
      </c>
      <c r="B191" s="2">
        <v>2025</v>
      </c>
      <c r="C191" s="2">
        <f>COUNTIFS(Games[Team],Games[[#This Row],[Team]],Games[Season],Games[[#This Row],[Season]],Games[Date],"&lt;=" &amp; Games[[#This Row],[Date]])</f>
        <v>14</v>
      </c>
      <c r="D191" s="2" t="s">
        <v>79</v>
      </c>
      <c r="E191" s="2" t="s">
        <v>80</v>
      </c>
      <c r="F191" s="1" t="s">
        <v>86</v>
      </c>
      <c r="G191" s="1" t="s">
        <v>74</v>
      </c>
      <c r="H191" s="1" t="s">
        <v>82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1524.0924783702997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1383.3933338359361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0.78473432389877473</v>
      </c>
      <c r="R191" s="1">
        <v>85</v>
      </c>
      <c r="S191" s="1">
        <v>59</v>
      </c>
      <c r="T191" s="1">
        <v>0</v>
      </c>
      <c r="U191" s="1">
        <f>Games[[#This Row],[PointsFor]]-Games[[#This Row],[PointsAgainst]]</f>
        <v>26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0.58544443756828657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1" s="9">
        <f>MAX(kmin, kmax - 0.15 * MIN(Games[[#This Row],[GamesPlayed]], 82))</f>
        <v>73.900000000000006</v>
      </c>
      <c r="Z191" s="4">
        <f>Games[[#This Row],[K]]*Games[[#This Row],[POMult]]</f>
        <v>73.900000000000006</v>
      </c>
      <c r="AA191" s="4">
        <f>(Games[[#This Row],[Keff]]*Games[[#This Row],[MOVMult]])*(Games[[#This Row],[Result]]-Games[[#This Row],[ExpectedWin%]])</f>
        <v>9.3133282485227848</v>
      </c>
      <c r="AB191" s="4">
        <f>Games[[#This Row],[PreGmRate]]+Games[[#This Row],[RatingChange]]</f>
        <v>1533.4058066188225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45834</v>
      </c>
      <c r="B192" s="2">
        <v>2025</v>
      </c>
      <c r="C192" s="2">
        <f>COUNTIFS(Games[Team],Games[[#This Row],[Team]],Games[Season],Games[[#This Row],[Season]],Games[Date],"&lt;=" &amp; Games[[#This Row],[Date]])</f>
        <v>16</v>
      </c>
      <c r="D192" s="2" t="s">
        <v>79</v>
      </c>
      <c r="E192" s="2" t="s">
        <v>80</v>
      </c>
      <c r="F192" s="1" t="s">
        <v>63</v>
      </c>
      <c r="G192" s="1" t="s">
        <v>69</v>
      </c>
      <c r="H192" s="1" t="s">
        <v>81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1367.7046085431405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1522.03837487082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0.20230345327704297</v>
      </c>
      <c r="R192" s="1">
        <v>85</v>
      </c>
      <c r="S192" s="1">
        <v>75</v>
      </c>
      <c r="T192" s="1">
        <v>0</v>
      </c>
      <c r="U192" s="1">
        <f>Games[[#This Row],[PointsFor]]-Games[[#This Row],[PointsAgainst]]</f>
        <v>10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0.37491174762299317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2" s="9">
        <f>MAX(kmin, kmax - 0.15 * MIN(Games[[#This Row],[GamesPlayed]], 82))</f>
        <v>73.599999999999994</v>
      </c>
      <c r="Z192" s="4">
        <f>Games[[#This Row],[K]]*Games[[#This Row],[POMult]]</f>
        <v>73.599999999999994</v>
      </c>
      <c r="AA192" s="4">
        <f>(Games[[#This Row],[Keff]]*Games[[#This Row],[MOVMult]])*(Games[[#This Row],[Result]]-Games[[#This Row],[ExpectedWin%]])</f>
        <v>22.011243351388163</v>
      </c>
      <c r="AB192" s="4">
        <f>Games[[#This Row],[PreGmRate]]+Games[[#This Row],[RatingChange]]</f>
        <v>1389.7158518945287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45834</v>
      </c>
      <c r="B193" s="2">
        <v>2025</v>
      </c>
      <c r="C193" s="2">
        <f>COUNTIFS(Games[Team],Games[[#This Row],[Team]],Games[Season],Games[[#This Row],[Season]],Games[Date],"&lt;=" &amp; Games[[#This Row],[Date]])</f>
        <v>15</v>
      </c>
      <c r="D193" s="2" t="s">
        <v>79</v>
      </c>
      <c r="E193" s="2" t="s">
        <v>80</v>
      </c>
      <c r="F193" s="1" t="s">
        <v>69</v>
      </c>
      <c r="G193" s="1" t="s">
        <v>63</v>
      </c>
      <c r="H193" s="1" t="s">
        <v>82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1522.03837487082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1367.7046085431405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0.79769654672295709</v>
      </c>
      <c r="R193" s="1">
        <v>75</v>
      </c>
      <c r="S193" s="1">
        <v>85</v>
      </c>
      <c r="T193" s="1">
        <v>0</v>
      </c>
      <c r="U193" s="1">
        <f>Games[[#This Row],[PointsFor]]-Games[[#This Row],[PointsAgainst]]</f>
        <v>-10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0.37491174762299317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3" s="9">
        <f>MAX(kmin, kmax - 0.15 * MIN(Games[[#This Row],[GamesPlayed]], 82))</f>
        <v>73.75</v>
      </c>
      <c r="Z193" s="4">
        <f>Games[[#This Row],[K]]*Games[[#This Row],[POMult]]</f>
        <v>73.75</v>
      </c>
      <c r="AA193" s="4">
        <f>(Games[[#This Row],[Keff]]*Games[[#This Row],[MOVMult]])*(Games[[#This Row],[Result]]-Games[[#This Row],[ExpectedWin%]])</f>
        <v>-22.05610322234887</v>
      </c>
      <c r="AB193" s="4">
        <f>Games[[#This Row],[PreGmRate]]+Games[[#This Row],[RatingChange]]</f>
        <v>1499.9822716484712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45834</v>
      </c>
      <c r="B194" s="2">
        <v>2025</v>
      </c>
      <c r="C194" s="2">
        <f>COUNTIFS(Games[Team],Games[[#This Row],[Team]],Games[Season],Games[[#This Row],[Season]],Games[Date],"&lt;=" &amp; Games[[#This Row],[Date]])</f>
        <v>16</v>
      </c>
      <c r="D194" s="2" t="s">
        <v>79</v>
      </c>
      <c r="E194" s="2" t="s">
        <v>80</v>
      </c>
      <c r="F194" s="1" t="s">
        <v>65</v>
      </c>
      <c r="G194" s="1" t="s">
        <v>86</v>
      </c>
      <c r="H194" s="1" t="s">
        <v>81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4" s="2">
        <f>Games[[#This Row],[DaysOff]]-Games[[#This Row],[OppDaysOff]]</f>
        <v>1</v>
      </c>
      <c r="L194" s="2">
        <f>Games[[#This Row],[OppDaysOff]]-Games[[#This Row],[DaysOff]]</f>
        <v>-1</v>
      </c>
      <c r="M194" s="1">
        <f>MAX(-16, MIN(16, Games[[#This Row],[RestDiff]]*8))</f>
        <v>8</v>
      </c>
      <c r="N194" s="1">
        <f>MAX(-16, MIN(16, Games[[#This Row],[OppRestDiff]]*8))</f>
        <v>-8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1475.8817524911062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1533.4058066188225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0.32682630389220324</v>
      </c>
      <c r="R194" s="1">
        <v>94</v>
      </c>
      <c r="S194" s="1">
        <v>83</v>
      </c>
      <c r="T194" s="1">
        <v>0</v>
      </c>
      <c r="U194" s="1">
        <f>Games[[#This Row],[PointsFor]]-Games[[#This Row],[PointsAgainst]]</f>
        <v>11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0.41971615777582022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4" s="9">
        <f>MAX(kmin, kmax - 0.15 * MIN(Games[[#This Row],[GamesPlayed]], 82))</f>
        <v>73.599999999999994</v>
      </c>
      <c r="Z194" s="4">
        <f>Games[[#This Row],[K]]*Games[[#This Row],[POMult]]</f>
        <v>73.599999999999994</v>
      </c>
      <c r="AA194" s="4">
        <f>(Games[[#This Row],[Keff]]*Games[[#This Row],[MOVMult]])*(Games[[#This Row],[Result]]-Games[[#This Row],[ExpectedWin%]])</f>
        <v>20.795082165313847</v>
      </c>
      <c r="AB194" s="4">
        <f>Games[[#This Row],[PreGmRate]]+Games[[#This Row],[RatingChange]]</f>
        <v>1496.6768346564202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45834</v>
      </c>
      <c r="B195" s="2">
        <v>2025</v>
      </c>
      <c r="C195" s="2">
        <f>COUNTIFS(Games[Team],Games[[#This Row],[Team]],Games[Season],Games[[#This Row],[Season]],Games[Date],"&lt;=" &amp; Games[[#This Row],[Date]])</f>
        <v>15</v>
      </c>
      <c r="D195" s="2" t="s">
        <v>79</v>
      </c>
      <c r="E195" s="2" t="s">
        <v>80</v>
      </c>
      <c r="F195" s="1" t="s">
        <v>86</v>
      </c>
      <c r="G195" s="1" t="s">
        <v>65</v>
      </c>
      <c r="H195" s="1" t="s">
        <v>82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-1</v>
      </c>
      <c r="L195" s="2">
        <f>Games[[#This Row],[OppDaysOff]]-Games[[#This Row],[DaysOff]]</f>
        <v>1</v>
      </c>
      <c r="M195" s="1">
        <f>MAX(-16, MIN(16, Games[[#This Row],[RestDiff]]*8))</f>
        <v>-8</v>
      </c>
      <c r="N195" s="1">
        <f>MAX(-16, MIN(16, Games[[#This Row],[OppRestDiff]]*8))</f>
        <v>8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1533.4058066188225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1475.8817524911062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0.67317369610779676</v>
      </c>
      <c r="R195" s="1">
        <v>83</v>
      </c>
      <c r="S195" s="1">
        <v>94</v>
      </c>
      <c r="T195" s="1">
        <v>0</v>
      </c>
      <c r="U195" s="1">
        <f>Games[[#This Row],[PointsFor]]-Games[[#This Row],[PointsAgainst]]</f>
        <v>-11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0.41971615777582022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5" s="9">
        <f>MAX(kmin, kmax - 0.15 * MIN(Games[[#This Row],[GamesPlayed]], 82))</f>
        <v>73.75</v>
      </c>
      <c r="Z195" s="4">
        <f>Games[[#This Row],[K]]*Games[[#This Row],[POMult]]</f>
        <v>73.75</v>
      </c>
      <c r="AA195" s="4">
        <f>(Games[[#This Row],[Keff]]*Games[[#This Row],[MOVMult]])*(Games[[#This Row],[Result]]-Games[[#This Row],[ExpectedWin%]])</f>
        <v>-20.837463446900763</v>
      </c>
      <c r="AB195" s="4">
        <f>Games[[#This Row],[PreGmRate]]+Games[[#This Row],[RatingChange]]</f>
        <v>1512.5683431719217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45835</v>
      </c>
      <c r="B196" s="2">
        <v>2025</v>
      </c>
      <c r="C196" s="2">
        <f>COUNTIFS(Games[Team],Games[[#This Row],[Team]],Games[Season],Games[[#This Row],[Season]],Games[Date],"&lt;=" &amp; Games[[#This Row],[Date]])</f>
        <v>15</v>
      </c>
      <c r="D196" s="2" t="s">
        <v>79</v>
      </c>
      <c r="E196" s="2" t="s">
        <v>80</v>
      </c>
      <c r="F196" s="1" t="s">
        <v>67</v>
      </c>
      <c r="G196" s="1" t="s">
        <v>77</v>
      </c>
      <c r="H196" s="1" t="s">
        <v>81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1646.6887646603329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1539.7826280734289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0.53291690142006387</v>
      </c>
      <c r="R196" s="1">
        <v>96</v>
      </c>
      <c r="S196" s="1">
        <v>92</v>
      </c>
      <c r="T196" s="1">
        <v>1</v>
      </c>
      <c r="U196" s="1">
        <f>Games[[#This Row],[PointsFor]]-Games[[#This Row],[PointsAgainst]]</f>
        <v>4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0.25736152297409004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6" s="9">
        <f>MAX(kmin, kmax - 0.15 * MIN(Games[[#This Row],[GamesPlayed]], 82))</f>
        <v>73.75</v>
      </c>
      <c r="Z196" s="4">
        <f>Games[[#This Row],[K]]*Games[[#This Row],[POMult]]</f>
        <v>73.75</v>
      </c>
      <c r="AA196" s="4">
        <f>(Games[[#This Row],[Keff]]*Games[[#This Row],[MOVMult]])*(Games[[#This Row],[Result]]-Games[[#This Row],[ExpectedWin%]])</f>
        <v>8.8654297984417187</v>
      </c>
      <c r="AB196" s="4">
        <f>Games[[#This Row],[PreGmRate]]+Games[[#This Row],[RatingChange]]</f>
        <v>1655.5541944587746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45835</v>
      </c>
      <c r="B197" s="2">
        <v>2025</v>
      </c>
      <c r="C197" s="2">
        <f>COUNTIFS(Games[Team],Games[[#This Row],[Team]],Games[Season],Games[[#This Row],[Season]],Games[Date],"&lt;=" &amp; Games[[#This Row],[Date]])</f>
        <v>16</v>
      </c>
      <c r="D197" s="2" t="s">
        <v>79</v>
      </c>
      <c r="E197" s="2" t="s">
        <v>80</v>
      </c>
      <c r="F197" s="1" t="s">
        <v>77</v>
      </c>
      <c r="G197" s="1" t="s">
        <v>67</v>
      </c>
      <c r="H197" s="1" t="s">
        <v>82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1539.7826280734289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1646.6887646603329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0.46708309857993613</v>
      </c>
      <c r="R197" s="1">
        <v>92</v>
      </c>
      <c r="S197" s="1">
        <v>96</v>
      </c>
      <c r="T197" s="1">
        <v>1</v>
      </c>
      <c r="U197" s="1">
        <f>Games[[#This Row],[PointsFor]]-Games[[#This Row],[PointsAgainst]]</f>
        <v>-4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0.25736152297409004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7" s="9">
        <f>MAX(kmin, kmax - 0.15 * MIN(Games[[#This Row],[GamesPlayed]], 82))</f>
        <v>73.599999999999994</v>
      </c>
      <c r="Z197" s="4">
        <f>Games[[#This Row],[K]]*Games[[#This Row],[POMult]]</f>
        <v>73.599999999999994</v>
      </c>
      <c r="AA197" s="4">
        <f>(Games[[#This Row],[Keff]]*Games[[#This Row],[MOVMult]])*(Games[[#This Row],[Result]]-Games[[#This Row],[ExpectedWin%]])</f>
        <v>-8.8473984158008196</v>
      </c>
      <c r="AB197" s="4">
        <f>Games[[#This Row],[PreGmRate]]+Games[[#This Row],[RatingChange]]</f>
        <v>1530.935229657628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45835</v>
      </c>
      <c r="B198" s="2">
        <v>2025</v>
      </c>
      <c r="C198" s="2">
        <f>COUNTIFS(Games[Team],Games[[#This Row],[Team]],Games[Season],Games[[#This Row],[Season]],Games[Date],"&lt;=" &amp; Games[[#This Row],[Date]])</f>
        <v>16</v>
      </c>
      <c r="D198" s="2" t="s">
        <v>79</v>
      </c>
      <c r="E198" s="2" t="s">
        <v>80</v>
      </c>
      <c r="F198" s="1" t="s">
        <v>69</v>
      </c>
      <c r="G198" s="1" t="s">
        <v>85</v>
      </c>
      <c r="H198" s="1" t="s">
        <v>81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8" s="2">
        <f>Games[[#This Row],[DaysOff]]-Games[[#This Row],[OppDaysOff]]</f>
        <v>-2</v>
      </c>
      <c r="L198" s="2">
        <f>Games[[#This Row],[OppDaysOff]]-Games[[#This Row],[DaysOff]]</f>
        <v>2</v>
      </c>
      <c r="M198" s="1">
        <f>MAX(-16, MIN(16, Games[[#This Row],[RestDiff]]*8))</f>
        <v>-16</v>
      </c>
      <c r="N198" s="1">
        <f>MAX(-16, MIN(16, Games[[#This Row],[OppRestDiff]]*8))</f>
        <v>16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1499.9822716484712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1380.9318693145456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0.50438976904514321</v>
      </c>
      <c r="R198" s="1">
        <v>94</v>
      </c>
      <c r="S198" s="1">
        <v>86</v>
      </c>
      <c r="T198" s="1">
        <v>0</v>
      </c>
      <c r="U198" s="1">
        <f>Games[[#This Row],[PointsFor]]-Games[[#This Row],[PointsAgainst]]</f>
        <v>8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0.35326826115143495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8" s="9">
        <f>MAX(kmin, kmax - 0.15 * MIN(Games[[#This Row],[GamesPlayed]], 82))</f>
        <v>73.599999999999994</v>
      </c>
      <c r="Z198" s="4">
        <f>Games[[#This Row],[K]]*Games[[#This Row],[POMult]]</f>
        <v>73.599999999999994</v>
      </c>
      <c r="AA198" s="4">
        <f>(Games[[#This Row],[Keff]]*Games[[#This Row],[MOVMult]])*(Games[[#This Row],[Result]]-Games[[#This Row],[ExpectedWin%]])</f>
        <v>12.886135627073653</v>
      </c>
      <c r="AB198" s="4">
        <f>Games[[#This Row],[PreGmRate]]+Games[[#This Row],[RatingChange]]</f>
        <v>1512.8684072755448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45835</v>
      </c>
      <c r="B199" s="2">
        <v>2025</v>
      </c>
      <c r="C199" s="2">
        <f>COUNTIFS(Games[Team],Games[[#This Row],[Team]],Games[Season],Games[[#This Row],[Season]],Games[Date],"&lt;=" &amp; Games[[#This Row],[Date]])</f>
        <v>17</v>
      </c>
      <c r="D199" s="2" t="s">
        <v>79</v>
      </c>
      <c r="E199" s="2" t="s">
        <v>80</v>
      </c>
      <c r="F199" s="1" t="s">
        <v>85</v>
      </c>
      <c r="G199" s="1" t="s">
        <v>69</v>
      </c>
      <c r="H199" s="1" t="s">
        <v>82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9" s="2">
        <f>Games[[#This Row],[DaysOff]]-Games[[#This Row],[OppDaysOff]]</f>
        <v>2</v>
      </c>
      <c r="L199" s="2">
        <f>Games[[#This Row],[OppDaysOff]]-Games[[#This Row],[DaysOff]]</f>
        <v>-2</v>
      </c>
      <c r="M199" s="1">
        <f>MAX(-16, MIN(16, Games[[#This Row],[RestDiff]]*8))</f>
        <v>16</v>
      </c>
      <c r="N199" s="1">
        <f>MAX(-16, MIN(16, Games[[#This Row],[OppRestDiff]]*8))</f>
        <v>-16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1380.9318693145456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1499.9822716484712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0.49561023095485679</v>
      </c>
      <c r="R199" s="1">
        <v>86</v>
      </c>
      <c r="S199" s="1">
        <v>94</v>
      </c>
      <c r="T199" s="1">
        <v>0</v>
      </c>
      <c r="U199" s="1">
        <f>Games[[#This Row],[PointsFor]]-Games[[#This Row],[PointsAgainst]]</f>
        <v>-8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0.35326826115143495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9" s="9">
        <f>MAX(kmin, kmax - 0.15 * MIN(Games[[#This Row],[GamesPlayed]], 82))</f>
        <v>73.45</v>
      </c>
      <c r="Z199" s="4">
        <f>Games[[#This Row],[K]]*Games[[#This Row],[POMult]]</f>
        <v>73.45</v>
      </c>
      <c r="AA199" s="4">
        <f>(Games[[#This Row],[Keff]]*Games[[#This Row],[MOVMult]])*(Games[[#This Row],[Result]]-Games[[#This Row],[ExpectedWin%]])</f>
        <v>-12.859873122398911</v>
      </c>
      <c r="AB199" s="4">
        <f>Games[[#This Row],[PreGmRate]]+Games[[#This Row],[RatingChange]]</f>
        <v>1368.0719961921466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45835</v>
      </c>
      <c r="B200" s="2">
        <v>2025</v>
      </c>
      <c r="C200" s="2">
        <f>COUNTIFS(Games[Team],Games[[#This Row],[Team]],Games[Season],Games[[#This Row],[Season]],Games[Date],"&lt;=" &amp; Games[[#This Row],[Date]])</f>
        <v>15</v>
      </c>
      <c r="D200" s="2" t="s">
        <v>79</v>
      </c>
      <c r="E200" s="2" t="s">
        <v>80</v>
      </c>
      <c r="F200" s="1" t="s">
        <v>75</v>
      </c>
      <c r="G200" s="1" t="s">
        <v>88</v>
      </c>
      <c r="H200" s="1" t="s">
        <v>81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1</v>
      </c>
      <c r="L200" s="2">
        <f>Games[[#This Row],[OppDaysOff]]-Games[[#This Row],[DaysOff]]</f>
        <v>-1</v>
      </c>
      <c r="M200" s="1">
        <f>MAX(-16, MIN(16, Games[[#This Row],[RestDiff]]*8))</f>
        <v>8</v>
      </c>
      <c r="N200" s="1">
        <f>MAX(-16, MIN(16, Games[[#This Row],[OppRestDiff]]*8))</f>
        <v>-8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1372.4325527642854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1506.9496711435454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0.23761820933855296</v>
      </c>
      <c r="R200" s="1">
        <v>78</v>
      </c>
      <c r="S200" s="1">
        <v>83</v>
      </c>
      <c r="T200" s="1">
        <v>0</v>
      </c>
      <c r="U200" s="1">
        <f>Games[[#This Row],[PointsFor]]-Games[[#This Row],[PointsAgainst]]</f>
        <v>-5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0.29831552182484494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0" s="9">
        <f>MAX(kmin, kmax - 0.15 * MIN(Games[[#This Row],[GamesPlayed]], 82))</f>
        <v>73.75</v>
      </c>
      <c r="Z200" s="4">
        <f>Games[[#This Row],[K]]*Games[[#This Row],[POMult]]</f>
        <v>73.75</v>
      </c>
      <c r="AA200" s="4">
        <f>(Games[[#This Row],[Keff]]*Games[[#This Row],[MOVMult]])*(Games[[#This Row],[Result]]-Games[[#This Row],[ExpectedWin%]])</f>
        <v>-5.2277835084012807</v>
      </c>
      <c r="AB200" s="4">
        <f>Games[[#This Row],[PreGmRate]]+Games[[#This Row],[RatingChange]]</f>
        <v>1367.2047692558842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45835</v>
      </c>
      <c r="B201" s="2">
        <v>2025</v>
      </c>
      <c r="C201" s="2">
        <f>COUNTIFS(Games[Team],Games[[#This Row],[Team]],Games[Season],Games[[#This Row],[Season]],Games[Date],"&lt;=" &amp; Games[[#This Row],[Date]])</f>
        <v>15</v>
      </c>
      <c r="D201" s="2" t="s">
        <v>79</v>
      </c>
      <c r="E201" s="2" t="s">
        <v>80</v>
      </c>
      <c r="F201" s="1" t="s">
        <v>88</v>
      </c>
      <c r="G201" s="1" t="s">
        <v>75</v>
      </c>
      <c r="H201" s="1" t="s">
        <v>82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1" s="2">
        <f>Games[[#This Row],[DaysOff]]-Games[[#This Row],[OppDaysOff]]</f>
        <v>-1</v>
      </c>
      <c r="L201" s="2">
        <f>Games[[#This Row],[OppDaysOff]]-Games[[#This Row],[DaysOff]]</f>
        <v>1</v>
      </c>
      <c r="M201" s="1">
        <f>MAX(-16, MIN(16, Games[[#This Row],[RestDiff]]*8))</f>
        <v>-8</v>
      </c>
      <c r="N201" s="1">
        <f>MAX(-16, MIN(16, Games[[#This Row],[OppRestDiff]]*8))</f>
        <v>8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1506.9496711435454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1372.4325527642854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0.76238179066144707</v>
      </c>
      <c r="R201" s="1">
        <v>83</v>
      </c>
      <c r="S201" s="1">
        <v>78</v>
      </c>
      <c r="T201" s="1">
        <v>0</v>
      </c>
      <c r="U201" s="1">
        <f>Games[[#This Row],[PointsFor]]-Games[[#This Row],[PointsAgainst]]</f>
        <v>5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0.29831552182484494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1" s="9">
        <f>MAX(kmin, kmax - 0.15 * MIN(Games[[#This Row],[GamesPlayed]], 82))</f>
        <v>73.75</v>
      </c>
      <c r="Z201" s="4">
        <f>Games[[#This Row],[K]]*Games[[#This Row],[POMult]]</f>
        <v>73.75</v>
      </c>
      <c r="AA201" s="4">
        <f>(Games[[#This Row],[Keff]]*Games[[#This Row],[MOVMult]])*(Games[[#This Row],[Result]]-Games[[#This Row],[ExpectedWin%]])</f>
        <v>5.2277835084012798</v>
      </c>
      <c r="AB201" s="4">
        <f>Games[[#This Row],[PreGmRate]]+Games[[#This Row],[RatingChange]]</f>
        <v>1512.1774546519466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45835</v>
      </c>
      <c r="B202" s="2">
        <v>2025</v>
      </c>
      <c r="C202" s="2">
        <f>COUNTIFS(Games[Team],Games[[#This Row],[Team]],Games[Season],Games[[#This Row],[Season]],Games[Date],"&lt;=" &amp; Games[[#This Row],[Date]])</f>
        <v>15</v>
      </c>
      <c r="D202" s="2" t="s">
        <v>79</v>
      </c>
      <c r="E202" s="2" t="s">
        <v>80</v>
      </c>
      <c r="F202" s="1" t="s">
        <v>60</v>
      </c>
      <c r="G202" s="1" t="s">
        <v>40</v>
      </c>
      <c r="H202" s="1" t="s">
        <v>81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02" s="2">
        <f>Games[[#This Row],[DaysOff]]-Games[[#This Row],[OppDaysOff]]</f>
        <v>-4</v>
      </c>
      <c r="L202" s="2">
        <f>Games[[#This Row],[OppDaysOff]]-Games[[#This Row],[DaysOff]]</f>
        <v>4</v>
      </c>
      <c r="M202" s="1">
        <f>MAX(-16, MIN(16, Games[[#This Row],[RestDiff]]*8))</f>
        <v>-16</v>
      </c>
      <c r="N202" s="1">
        <f>MAX(-16, MIN(16, Games[[#This Row],[OppRestDiff]]*8))</f>
        <v>16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1655.9573049877995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1552.4283893587899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0.48206037086902204</v>
      </c>
      <c r="R202" s="1">
        <v>91</v>
      </c>
      <c r="S202" s="1">
        <v>106</v>
      </c>
      <c r="T202" s="1">
        <v>0</v>
      </c>
      <c r="U202" s="1">
        <f>Games[[#This Row],[PointsFor]]-Games[[#This Row],[PointsAgainst]]</f>
        <v>-15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0.46291081572466758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2" s="9">
        <f>MAX(kmin, kmax - 0.15 * MIN(Games[[#This Row],[GamesPlayed]], 82))</f>
        <v>73.75</v>
      </c>
      <c r="Z202" s="4">
        <f>Games[[#This Row],[K]]*Games[[#This Row],[POMult]]</f>
        <v>73.75</v>
      </c>
      <c r="AA202" s="4">
        <f>(Games[[#This Row],[Keff]]*Games[[#This Row],[MOVMult]])*(Games[[#This Row],[Result]]-Games[[#This Row],[ExpectedWin%]])</f>
        <v>-16.457383263679215</v>
      </c>
      <c r="AB202" s="4">
        <f>Games[[#This Row],[PreGmRate]]+Games[[#This Row],[RatingChange]]</f>
        <v>1639.4999217241202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45835</v>
      </c>
      <c r="B203" s="2">
        <v>2025</v>
      </c>
      <c r="C203" s="2">
        <f>COUNTIFS(Games[Team],Games[[#This Row],[Team]],Games[Season],Games[[#This Row],[Season]],Games[Date],"&lt;=" &amp; Games[[#This Row],[Date]])</f>
        <v>16</v>
      </c>
      <c r="D203" s="2" t="s">
        <v>79</v>
      </c>
      <c r="E203" s="2" t="s">
        <v>80</v>
      </c>
      <c r="F203" s="1" t="s">
        <v>40</v>
      </c>
      <c r="G203" s="1" t="s">
        <v>60</v>
      </c>
      <c r="H203" s="1" t="s">
        <v>82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4</v>
      </c>
      <c r="L203" s="2">
        <f>Games[[#This Row],[OppDaysOff]]-Games[[#This Row],[DaysOff]]</f>
        <v>-4</v>
      </c>
      <c r="M203" s="1">
        <f>MAX(-16, MIN(16, Games[[#This Row],[RestDiff]]*8))</f>
        <v>16</v>
      </c>
      <c r="N203" s="1">
        <f>MAX(-16, MIN(16, Games[[#This Row],[OppRestDiff]]*8))</f>
        <v>-16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1552.4283893587899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1655.9573049877995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0.51793962913097791</v>
      </c>
      <c r="R203" s="1">
        <v>106</v>
      </c>
      <c r="S203" s="1">
        <v>91</v>
      </c>
      <c r="T203" s="1">
        <v>0</v>
      </c>
      <c r="U203" s="1">
        <f>Games[[#This Row],[PointsFor]]-Games[[#This Row],[PointsAgainst]]</f>
        <v>15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0.46291081572466758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3" s="9">
        <f>MAX(kmin, kmax - 0.15 * MIN(Games[[#This Row],[GamesPlayed]], 82))</f>
        <v>73.599999999999994</v>
      </c>
      <c r="Z203" s="4">
        <f>Games[[#This Row],[K]]*Games[[#This Row],[POMult]]</f>
        <v>73.599999999999994</v>
      </c>
      <c r="AA203" s="4">
        <f>(Games[[#This Row],[Keff]]*Games[[#This Row],[MOVMult]])*(Games[[#This Row],[Result]]-Games[[#This Row],[ExpectedWin%]])</f>
        <v>16.423910619753087</v>
      </c>
      <c r="AB203" s="4">
        <f>Games[[#This Row],[PreGmRate]]+Games[[#This Row],[RatingChange]]</f>
        <v>1568.852299978543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45835</v>
      </c>
      <c r="B204" s="2">
        <v>2025</v>
      </c>
      <c r="C204" s="2">
        <f>COUNTIFS(Games[Team],Games[[#This Row],[Team]],Games[Season],Games[[#This Row],[Season]],Games[Date],"&lt;=" &amp; Games[[#This Row],[Date]])</f>
        <v>16</v>
      </c>
      <c r="D204" s="2" t="s">
        <v>79</v>
      </c>
      <c r="E204" s="2" t="s">
        <v>80</v>
      </c>
      <c r="F204" s="1" t="s">
        <v>74</v>
      </c>
      <c r="G204" s="1" t="s">
        <v>71</v>
      </c>
      <c r="H204" s="1" t="s">
        <v>81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4" s="2">
        <f>Games[[#This Row],[DaysOff]]-Games[[#This Row],[OppDaysOff]]</f>
        <v>-1</v>
      </c>
      <c r="L204" s="2">
        <f>Games[[#This Row],[OppDaysOff]]-Games[[#This Row],[DaysOff]]</f>
        <v>1</v>
      </c>
      <c r="M204" s="1">
        <f>MAX(-16, MIN(16, Games[[#This Row],[RestDiff]]*8))</f>
        <v>-8</v>
      </c>
      <c r="N204" s="1">
        <f>MAX(-16, MIN(16, Games[[#This Row],[OppRestDiff]]*8))</f>
        <v>8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1374.0989095013142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1570.697564612876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0.15350656585530537</v>
      </c>
      <c r="R204" s="1">
        <v>81</v>
      </c>
      <c r="S204" s="1">
        <v>97</v>
      </c>
      <c r="T204" s="1">
        <v>0</v>
      </c>
      <c r="U204" s="1">
        <f>Games[[#This Row],[PointsFor]]-Games[[#This Row],[PointsAgainst]]</f>
        <v>-16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0.44489749181839267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4" s="9">
        <f>MAX(kmin, kmax - 0.15 * MIN(Games[[#This Row],[GamesPlayed]], 82))</f>
        <v>73.599999999999994</v>
      </c>
      <c r="Z204" s="4">
        <f>Games[[#This Row],[K]]*Games[[#This Row],[POMult]]</f>
        <v>73.599999999999994</v>
      </c>
      <c r="AA204" s="4">
        <f>(Games[[#This Row],[Keff]]*Games[[#This Row],[MOVMult]])*(Games[[#This Row],[Result]]-Games[[#This Row],[ExpectedWin%]])</f>
        <v>-5.0264888989236676</v>
      </c>
      <c r="AB204" s="4">
        <f>Games[[#This Row],[PreGmRate]]+Games[[#This Row],[RatingChange]]</f>
        <v>1369.0724206023906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45835</v>
      </c>
      <c r="B205" s="2">
        <v>2025</v>
      </c>
      <c r="C205" s="2">
        <f>COUNTIFS(Games[Team],Games[[#This Row],[Team]],Games[Season],Games[[#This Row],[Season]],Games[Date],"&lt;=" &amp; Games[[#This Row],[Date]])</f>
        <v>16</v>
      </c>
      <c r="D205" s="2" t="s">
        <v>79</v>
      </c>
      <c r="E205" s="2" t="s">
        <v>80</v>
      </c>
      <c r="F205" s="1" t="s">
        <v>71</v>
      </c>
      <c r="G205" s="1" t="s">
        <v>74</v>
      </c>
      <c r="H205" s="1" t="s">
        <v>82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1</v>
      </c>
      <c r="L205" s="2">
        <f>Games[[#This Row],[OppDaysOff]]-Games[[#This Row],[DaysOff]]</f>
        <v>-1</v>
      </c>
      <c r="M205" s="1">
        <f>MAX(-16, MIN(16, Games[[#This Row],[RestDiff]]*8))</f>
        <v>8</v>
      </c>
      <c r="N205" s="1">
        <f>MAX(-16, MIN(16, Games[[#This Row],[OppRestDiff]]*8))</f>
        <v>-8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1570.697564612876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1374.0989095013142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0.84649343414469458</v>
      </c>
      <c r="R205" s="1">
        <v>97</v>
      </c>
      <c r="S205" s="1">
        <v>81</v>
      </c>
      <c r="T205" s="1">
        <v>0</v>
      </c>
      <c r="U205" s="1">
        <f>Games[[#This Row],[PointsFor]]-Games[[#This Row],[PointsAgainst]]</f>
        <v>16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0.44489749181839267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5" s="9">
        <f>MAX(kmin, kmax - 0.15 * MIN(Games[[#This Row],[GamesPlayed]], 82))</f>
        <v>73.599999999999994</v>
      </c>
      <c r="Z205" s="4">
        <f>Games[[#This Row],[K]]*Games[[#This Row],[POMult]]</f>
        <v>73.599999999999994</v>
      </c>
      <c r="AA205" s="4">
        <f>(Games[[#This Row],[Keff]]*Games[[#This Row],[MOVMult]])*(Games[[#This Row],[Result]]-Games[[#This Row],[ExpectedWin%]])</f>
        <v>5.0264888989236693</v>
      </c>
      <c r="AB205" s="4">
        <f>Games[[#This Row],[PreGmRate]]+Games[[#This Row],[RatingChange]]</f>
        <v>1575.7240535117996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45836</v>
      </c>
      <c r="B206" s="2">
        <v>2025</v>
      </c>
      <c r="C206" s="2">
        <f>COUNTIFS(Games[Team],Games[[#This Row],[Team]],Games[Season],Games[[#This Row],[Season]],Games[Date],"&lt;=" &amp; Games[[#This Row],[Date]])</f>
        <v>17</v>
      </c>
      <c r="D206" s="2" t="s">
        <v>79</v>
      </c>
      <c r="E206" s="2" t="s">
        <v>80</v>
      </c>
      <c r="F206" s="1" t="s">
        <v>65</v>
      </c>
      <c r="G206" s="1" t="s">
        <v>85</v>
      </c>
      <c r="H206" s="1" t="s">
        <v>81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6" s="2">
        <f>Games[[#This Row],[DaysOff]]-Games[[#This Row],[OppDaysOff]]</f>
        <v>1</v>
      </c>
      <c r="L206" s="2">
        <f>Games[[#This Row],[OppDaysOff]]-Games[[#This Row],[DaysOff]]</f>
        <v>-1</v>
      </c>
      <c r="M206" s="1">
        <f>MAX(-16, MIN(16, Games[[#This Row],[RestDiff]]*8))</f>
        <v>8</v>
      </c>
      <c r="N206" s="1">
        <f>MAX(-16, MIN(16, Games[[#This Row],[OppRestDiff]]*8))</f>
        <v>-8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1496.6768346564202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1368.0719961921466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0.58634340734588808</v>
      </c>
      <c r="R206" s="1">
        <v>71</v>
      </c>
      <c r="S206" s="1">
        <v>79</v>
      </c>
      <c r="T206" s="1">
        <v>0</v>
      </c>
      <c r="U206" s="1">
        <f>Games[[#This Row],[PointsFor]]-Games[[#This Row],[PointsAgainst]]</f>
        <v>-8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0.35072779242790392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6" s="9">
        <f>MAX(kmin, kmax - 0.15 * MIN(Games[[#This Row],[GamesPlayed]], 82))</f>
        <v>73.45</v>
      </c>
      <c r="Z206" s="4">
        <f>Games[[#This Row],[K]]*Games[[#This Row],[POMult]]</f>
        <v>73.45</v>
      </c>
      <c r="AA206" s="4">
        <f>(Games[[#This Row],[Keff]]*Games[[#This Row],[MOVMult]])*(Games[[#This Row],[Result]]-Games[[#This Row],[ExpectedWin%]])</f>
        <v>-15.10476692499312</v>
      </c>
      <c r="AB206" s="4">
        <f>Games[[#This Row],[PreGmRate]]+Games[[#This Row],[RatingChange]]</f>
        <v>1481.5720677314271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45836</v>
      </c>
      <c r="B207" s="2">
        <v>2025</v>
      </c>
      <c r="C207" s="2">
        <f>COUNTIFS(Games[Team],Games[[#This Row],[Team]],Games[Season],Games[[#This Row],[Season]],Games[Date],"&lt;=" &amp; Games[[#This Row],[Date]])</f>
        <v>18</v>
      </c>
      <c r="D207" s="2" t="s">
        <v>79</v>
      </c>
      <c r="E207" s="2" t="s">
        <v>80</v>
      </c>
      <c r="F207" s="1" t="s">
        <v>85</v>
      </c>
      <c r="G207" s="1" t="s">
        <v>65</v>
      </c>
      <c r="H207" s="1" t="s">
        <v>82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-1</v>
      </c>
      <c r="L207" s="2">
        <f>Games[[#This Row],[OppDaysOff]]-Games[[#This Row],[DaysOff]]</f>
        <v>1</v>
      </c>
      <c r="M207" s="1">
        <f>MAX(-16, MIN(16, Games[[#This Row],[RestDiff]]*8))</f>
        <v>-8</v>
      </c>
      <c r="N207" s="1">
        <f>MAX(-16, MIN(16, Games[[#This Row],[OppRestDiff]]*8))</f>
        <v>8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1368.0719961921466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1496.6768346564202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0.41365659265411192</v>
      </c>
      <c r="R207" s="1">
        <v>79</v>
      </c>
      <c r="S207" s="1">
        <v>71</v>
      </c>
      <c r="T207" s="1">
        <v>0</v>
      </c>
      <c r="U207" s="1">
        <f>Games[[#This Row],[PointsFor]]-Games[[#This Row],[PointsAgainst]]</f>
        <v>8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0.35072779242790392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7" s="9">
        <f>MAX(kmin, kmax - 0.15 * MIN(Games[[#This Row],[GamesPlayed]], 82))</f>
        <v>73.3</v>
      </c>
      <c r="Z207" s="4">
        <f>Games[[#This Row],[K]]*Games[[#This Row],[POMult]]</f>
        <v>73.3</v>
      </c>
      <c r="AA207" s="4">
        <f>(Games[[#This Row],[Keff]]*Games[[#This Row],[MOVMult]])*(Games[[#This Row],[Result]]-Games[[#This Row],[ExpectedWin%]])</f>
        <v>15.073919885663656</v>
      </c>
      <c r="AB207" s="4">
        <f>Games[[#This Row],[PreGmRate]]+Games[[#This Row],[RatingChange]]</f>
        <v>1383.1459160778102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45837</v>
      </c>
      <c r="B208" s="2">
        <v>2025</v>
      </c>
      <c r="C208" s="2">
        <f>COUNTIFS(Games[Team],Games[[#This Row],[Team]],Games[Season],Games[[#This Row],[Season]],Games[Date],"&lt;=" &amp; Games[[#This Row],[Date]])</f>
        <v>16</v>
      </c>
      <c r="D208" s="2" t="s">
        <v>79</v>
      </c>
      <c r="E208" s="2" t="s">
        <v>80</v>
      </c>
      <c r="F208" s="1" t="s">
        <v>60</v>
      </c>
      <c r="G208" s="1" t="s">
        <v>77</v>
      </c>
      <c r="H208" s="1" t="s">
        <v>81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1639.4999217241202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1530.935229657628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0.53529264511216645</v>
      </c>
      <c r="R208" s="1">
        <v>81</v>
      </c>
      <c r="S208" s="1">
        <v>90</v>
      </c>
      <c r="T208" s="1">
        <v>0</v>
      </c>
      <c r="U208" s="1">
        <f>Games[[#This Row],[PointsFor]]-Games[[#This Row],[PointsAgainst]]</f>
        <v>-9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0.37229021654814531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8" s="9">
        <f>MAX(kmin, kmax - 0.15 * MIN(Games[[#This Row],[GamesPlayed]], 82))</f>
        <v>73.599999999999994</v>
      </c>
      <c r="Z208" s="4">
        <f>Games[[#This Row],[K]]*Games[[#This Row],[POMult]]</f>
        <v>73.599999999999994</v>
      </c>
      <c r="AA208" s="4">
        <f>(Games[[#This Row],[Keff]]*Games[[#This Row],[MOVMult]])*(Games[[#This Row],[Result]]-Games[[#This Row],[ExpectedWin%]])</f>
        <v>-14.667318206736233</v>
      </c>
      <c r="AB208" s="4">
        <f>Games[[#This Row],[PreGmRate]]+Games[[#This Row],[RatingChange]]</f>
        <v>1624.8326035173841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45837</v>
      </c>
      <c r="B209" s="2">
        <v>2025</v>
      </c>
      <c r="C209" s="2">
        <f>COUNTIFS(Games[Team],Games[[#This Row],[Team]],Games[Season],Games[[#This Row],[Season]],Games[Date],"&lt;=" &amp; Games[[#This Row],[Date]])</f>
        <v>17</v>
      </c>
      <c r="D209" s="2" t="s">
        <v>79</v>
      </c>
      <c r="E209" s="2" t="s">
        <v>80</v>
      </c>
      <c r="F209" s="1" t="s">
        <v>77</v>
      </c>
      <c r="G209" s="1" t="s">
        <v>60</v>
      </c>
      <c r="H209" s="1" t="s">
        <v>82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1530.935229657628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1639.4999217241202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0.46470735488783355</v>
      </c>
      <c r="R209" s="1">
        <v>90</v>
      </c>
      <c r="S209" s="1">
        <v>81</v>
      </c>
      <c r="T209" s="1">
        <v>0</v>
      </c>
      <c r="U209" s="1">
        <f>Games[[#This Row],[PointsFor]]-Games[[#This Row],[PointsAgainst]]</f>
        <v>9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0.37229021654814531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9" s="9">
        <f>MAX(kmin, kmax - 0.15 * MIN(Games[[#This Row],[GamesPlayed]], 82))</f>
        <v>73.45</v>
      </c>
      <c r="Z209" s="4">
        <f>Games[[#This Row],[K]]*Games[[#This Row],[POMult]]</f>
        <v>73.45</v>
      </c>
      <c r="AA209" s="4">
        <f>(Games[[#This Row],[Keff]]*Games[[#This Row],[MOVMult]])*(Games[[#This Row],[Result]]-Games[[#This Row],[ExpectedWin%]])</f>
        <v>14.637425574521417</v>
      </c>
      <c r="AB209" s="4">
        <f>Games[[#This Row],[PreGmRate]]+Games[[#This Row],[RatingChange]]</f>
        <v>1545.5726552321494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45837</v>
      </c>
      <c r="B210" s="2">
        <v>2025</v>
      </c>
      <c r="C210" s="2">
        <f>COUNTIFS(Games[Team],Games[[#This Row],[Team]],Games[Season],Games[[#This Row],[Season]],Games[Date],"&lt;=" &amp; Games[[#This Row],[Date]])</f>
        <v>17</v>
      </c>
      <c r="D210" s="2" t="s">
        <v>79</v>
      </c>
      <c r="E210" s="2" t="s">
        <v>80</v>
      </c>
      <c r="F210" s="1" t="s">
        <v>71</v>
      </c>
      <c r="G210" s="1" t="s">
        <v>88</v>
      </c>
      <c r="H210" s="1" t="s">
        <v>81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1575.7240535117996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1512.1774546519466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0.4705991459840182</v>
      </c>
      <c r="R210" s="1">
        <v>57</v>
      </c>
      <c r="S210" s="1">
        <v>84</v>
      </c>
      <c r="T210" s="1">
        <v>0</v>
      </c>
      <c r="U210" s="1">
        <f>Games[[#This Row],[PointsFor]]-Games[[#This Row],[PointsAgainst]]</f>
        <v>-27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0.63313850135948346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0" s="9">
        <f>MAX(kmin, kmax - 0.15 * MIN(Games[[#This Row],[GamesPlayed]], 82))</f>
        <v>73.45</v>
      </c>
      <c r="Z210" s="4">
        <f>Games[[#This Row],[K]]*Games[[#This Row],[POMult]]</f>
        <v>73.45</v>
      </c>
      <c r="AA210" s="4">
        <f>(Games[[#This Row],[Keff]]*Games[[#This Row],[MOVMult]])*(Games[[#This Row],[Result]]-Games[[#This Row],[ExpectedWin%]])</f>
        <v>-21.884753473257526</v>
      </c>
      <c r="AB210" s="4">
        <f>Games[[#This Row],[PreGmRate]]+Games[[#This Row],[RatingChange]]</f>
        <v>1553.8393000385422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45837</v>
      </c>
      <c r="B211" s="2">
        <v>2025</v>
      </c>
      <c r="C211" s="2">
        <f>COUNTIFS(Games[Team],Games[[#This Row],[Team]],Games[Season],Games[[#This Row],[Season]],Games[Date],"&lt;=" &amp; Games[[#This Row],[Date]])</f>
        <v>16</v>
      </c>
      <c r="D211" s="2" t="s">
        <v>79</v>
      </c>
      <c r="E211" s="2" t="s">
        <v>80</v>
      </c>
      <c r="F211" s="1" t="s">
        <v>88</v>
      </c>
      <c r="G211" s="1" t="s">
        <v>71</v>
      </c>
      <c r="H211" s="1" t="s">
        <v>82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1512.1774546519466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1575.7240535117996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0.5294008540159818</v>
      </c>
      <c r="R211" s="1">
        <v>84</v>
      </c>
      <c r="S211" s="1">
        <v>57</v>
      </c>
      <c r="T211" s="1">
        <v>0</v>
      </c>
      <c r="U211" s="1">
        <f>Games[[#This Row],[PointsFor]]-Games[[#This Row],[PointsAgainst]]</f>
        <v>27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0.63313850135948346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1" s="9">
        <f>MAX(kmin, kmax - 0.15 * MIN(Games[[#This Row],[GamesPlayed]], 82))</f>
        <v>73.599999999999994</v>
      </c>
      <c r="Z211" s="4">
        <f>Games[[#This Row],[K]]*Games[[#This Row],[POMult]]</f>
        <v>73.599999999999994</v>
      </c>
      <c r="AA211" s="4">
        <f>(Games[[#This Row],[Keff]]*Games[[#This Row],[MOVMult]])*(Games[[#This Row],[Result]]-Games[[#This Row],[ExpectedWin%]])</f>
        <v>21.929446638961931</v>
      </c>
      <c r="AB211" s="4">
        <f>Games[[#This Row],[PreGmRate]]+Games[[#This Row],[RatingChange]]</f>
        <v>1534.1069012909086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45837</v>
      </c>
      <c r="B212" s="2">
        <v>2025</v>
      </c>
      <c r="C212" s="2">
        <f>COUNTIFS(Games[Team],Games[[#This Row],[Team]],Games[Season],Games[[#This Row],[Season]],Games[Date],"&lt;=" &amp; Games[[#This Row],[Date]])</f>
        <v>16</v>
      </c>
      <c r="D212" s="2" t="s">
        <v>79</v>
      </c>
      <c r="E212" s="2" t="s">
        <v>80</v>
      </c>
      <c r="F212" s="1" t="s">
        <v>75</v>
      </c>
      <c r="G212" s="1" t="s">
        <v>63</v>
      </c>
      <c r="H212" s="1" t="s">
        <v>81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2" s="2">
        <f>Games[[#This Row],[DaysOff]]-Games[[#This Row],[OppDaysOff]]</f>
        <v>-1</v>
      </c>
      <c r="L212" s="2">
        <f>Games[[#This Row],[OppDaysOff]]-Games[[#This Row],[DaysOff]]</f>
        <v>1</v>
      </c>
      <c r="M212" s="1">
        <f>MAX(-16, MIN(16, Games[[#This Row],[RestDiff]]*8))</f>
        <v>-8</v>
      </c>
      <c r="N212" s="1">
        <f>MAX(-16, MIN(16, Games[[#This Row],[OppRestDiff]]*8))</f>
        <v>8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1367.2047692558842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1389.7158518945287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0.33065358464748296</v>
      </c>
      <c r="R212" s="1">
        <v>92</v>
      </c>
      <c r="S212" s="1">
        <v>85</v>
      </c>
      <c r="T212" s="1">
        <v>0</v>
      </c>
      <c r="U212" s="1">
        <f>Games[[#This Row],[PointsFor]]-Games[[#This Row],[PointsAgainst]]</f>
        <v>7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0.36329209059273748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2" s="9">
        <f>MAX(kmin, kmax - 0.15 * MIN(Games[[#This Row],[GamesPlayed]], 82))</f>
        <v>73.599999999999994</v>
      </c>
      <c r="Z212" s="4">
        <f>Games[[#This Row],[K]]*Games[[#This Row],[POMult]]</f>
        <v>73.599999999999994</v>
      </c>
      <c r="AA212" s="4">
        <f>(Games[[#This Row],[Keff]]*Games[[#This Row],[MOVMult]])*(Games[[#This Row],[Result]]-Games[[#This Row],[ExpectedWin%]])</f>
        <v>17.897183830322962</v>
      </c>
      <c r="AB212" s="4">
        <f>Games[[#This Row],[PreGmRate]]+Games[[#This Row],[RatingChange]]</f>
        <v>1385.1019530862072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45837</v>
      </c>
      <c r="B213" s="2">
        <v>2025</v>
      </c>
      <c r="C213" s="2">
        <f>COUNTIFS(Games[Team],Games[[#This Row],[Team]],Games[Season],Games[[#This Row],[Season]],Games[Date],"&lt;=" &amp; Games[[#This Row],[Date]])</f>
        <v>17</v>
      </c>
      <c r="D213" s="2" t="s">
        <v>79</v>
      </c>
      <c r="E213" s="2" t="s">
        <v>80</v>
      </c>
      <c r="F213" s="1" t="s">
        <v>63</v>
      </c>
      <c r="G213" s="1" t="s">
        <v>75</v>
      </c>
      <c r="H213" s="1" t="s">
        <v>82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1</v>
      </c>
      <c r="L213" s="2">
        <f>Games[[#This Row],[OppDaysOff]]-Games[[#This Row],[DaysOff]]</f>
        <v>-1</v>
      </c>
      <c r="M213" s="1">
        <f>MAX(-16, MIN(16, Games[[#This Row],[RestDiff]]*8))</f>
        <v>8</v>
      </c>
      <c r="N213" s="1">
        <f>MAX(-16, MIN(16, Games[[#This Row],[OppRestDiff]]*8))</f>
        <v>-8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1389.7158518945287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1367.2047692558842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0.66934641535251704</v>
      </c>
      <c r="R213" s="1">
        <v>85</v>
      </c>
      <c r="S213" s="1">
        <v>92</v>
      </c>
      <c r="T213" s="1">
        <v>0</v>
      </c>
      <c r="U213" s="1">
        <f>Games[[#This Row],[PointsFor]]-Games[[#This Row],[PointsAgainst]]</f>
        <v>-7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0.36329209059273748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3" s="9">
        <f>MAX(kmin, kmax - 0.15 * MIN(Games[[#This Row],[GamesPlayed]], 82))</f>
        <v>73.45</v>
      </c>
      <c r="Z213" s="4">
        <f>Games[[#This Row],[K]]*Games[[#This Row],[POMult]]</f>
        <v>73.45</v>
      </c>
      <c r="AA213" s="4">
        <f>(Games[[#This Row],[Keff]]*Games[[#This Row],[MOVMult]])*(Games[[#This Row],[Result]]-Games[[#This Row],[ExpectedWin%]])</f>
        <v>-17.860708591538337</v>
      </c>
      <c r="AB213" s="4">
        <f>Games[[#This Row],[PreGmRate]]+Games[[#This Row],[RatingChange]]</f>
        <v>1371.8551433029904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45837</v>
      </c>
      <c r="B214" s="2">
        <v>2025</v>
      </c>
      <c r="C214" s="2">
        <f>COUNTIFS(Games[Team],Games[[#This Row],[Team]],Games[Season],Games[[#This Row],[Season]],Games[Date],"&lt;=" &amp; Games[[#This Row],[Date]])</f>
        <v>17</v>
      </c>
      <c r="D214" s="2" t="s">
        <v>79</v>
      </c>
      <c r="E214" s="2" t="s">
        <v>80</v>
      </c>
      <c r="F214" s="1" t="s">
        <v>74</v>
      </c>
      <c r="G214" s="1" t="s">
        <v>67</v>
      </c>
      <c r="H214" s="1" t="s">
        <v>81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1369.0724206023906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1655.5541944587746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0.1059623046955001</v>
      </c>
      <c r="R214" s="1">
        <v>63</v>
      </c>
      <c r="S214" s="1">
        <v>102</v>
      </c>
      <c r="T214" s="1">
        <v>0</v>
      </c>
      <c r="U214" s="1">
        <f>Games[[#This Row],[PointsFor]]-Games[[#This Row],[PointsAgainst]]</f>
        <v>-39</v>
      </c>
      <c r="V214" s="1">
        <f>IF(Games[[#This Row],[MOV]]&gt;0,1,IF(Games[[#This Row],[MOV]]=0,0.5,0))</f>
        <v>0</v>
      </c>
      <c r="W214" s="4">
        <f>((ABS(Games[[#This Row],[MOV]])+5)^0.6)/(12+0.01*(ABS(Games[[#This Row],[PreGmRate]]-Games[[#This Row],[OppPreGmRate]])))*IF(Games[[#This Row],[OT]]=1,0.9,1)</f>
        <v>0.65149639558994932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4" s="9">
        <f>MAX(kmin, kmax - 0.15 * MIN(Games[[#This Row],[GamesPlayed]], 82))</f>
        <v>73.45</v>
      </c>
      <c r="Z214" s="4">
        <f>Games[[#This Row],[K]]*Games[[#This Row],[POMult]]</f>
        <v>73.45</v>
      </c>
      <c r="AA214" s="4">
        <f>(Games[[#This Row],[Keff]]*Games[[#This Row],[MOVMult]])*(Games[[#This Row],[Result]]-Games[[#This Row],[ExpectedWin%]])</f>
        <v>-5.0705516759690115</v>
      </c>
      <c r="AB214" s="4">
        <f>Games[[#This Row],[PreGmRate]]+Games[[#This Row],[RatingChange]]</f>
        <v>1364.0018689264216</v>
      </c>
      <c r="AC214" s="2">
        <f>IF(Games[[#This Row],[Type]]="R",IF(Games[[#This Row],[Result]]&gt;0.5,1,0),0)</f>
        <v>0</v>
      </c>
      <c r="AD214" s="2">
        <f>IF(Games[[#This Row],[Type]]="R",IF(Games[[#This Row],[Result]]&lt;0.5,1,0),0)</f>
        <v>1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45837</v>
      </c>
      <c r="B215" s="2">
        <v>2025</v>
      </c>
      <c r="C215" s="2">
        <f>COUNTIFS(Games[Team],Games[[#This Row],[Team]],Games[Season],Games[[#This Row],[Season]],Games[Date],"&lt;=" &amp; Games[[#This Row],[Date]])</f>
        <v>16</v>
      </c>
      <c r="D215" s="2" t="s">
        <v>79</v>
      </c>
      <c r="E215" s="2" t="s">
        <v>80</v>
      </c>
      <c r="F215" s="1" t="s">
        <v>67</v>
      </c>
      <c r="G215" s="1" t="s">
        <v>74</v>
      </c>
      <c r="H215" s="1" t="s">
        <v>82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1655.5541944587746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1369.0724206023906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0.89403769530449995</v>
      </c>
      <c r="R215" s="1">
        <v>102</v>
      </c>
      <c r="S215" s="1">
        <v>63</v>
      </c>
      <c r="T215" s="1">
        <v>0</v>
      </c>
      <c r="U215" s="1">
        <f>Games[[#This Row],[PointsFor]]-Games[[#This Row],[PointsAgainst]]</f>
        <v>39</v>
      </c>
      <c r="V215" s="1">
        <f>IF(Games[[#This Row],[MOV]]&gt;0,1,IF(Games[[#This Row],[MOV]]=0,0.5,0))</f>
        <v>1</v>
      </c>
      <c r="W215" s="4">
        <f>((ABS(Games[[#This Row],[MOV]])+5)^0.6)/(12+0.01*(ABS(Games[[#This Row],[PreGmRate]]-Games[[#This Row],[OppPreGmRate]])))*IF(Games[[#This Row],[OT]]=1,0.9,1)</f>
        <v>0.65149639558994932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5" s="9">
        <f>MAX(kmin, kmax - 0.15 * MIN(Games[[#This Row],[GamesPlayed]], 82))</f>
        <v>73.599999999999994</v>
      </c>
      <c r="Z215" s="4">
        <f>Games[[#This Row],[K]]*Games[[#This Row],[POMult]]</f>
        <v>73.599999999999994</v>
      </c>
      <c r="AA215" s="4">
        <f>(Games[[#This Row],[Keff]]*Games[[#This Row],[MOVMult]])*(Games[[#This Row],[Result]]-Games[[#This Row],[ExpectedWin%]])</f>
        <v>5.0809067849056371</v>
      </c>
      <c r="AB215" s="4">
        <f>Games[[#This Row],[PreGmRate]]+Games[[#This Row],[RatingChange]]</f>
        <v>1660.6351012436803</v>
      </c>
      <c r="AC215" s="2">
        <f>IF(Games[[#This Row],[Type]]="R",IF(Games[[#This Row],[Result]]&gt;0.5,1,0),0)</f>
        <v>1</v>
      </c>
      <c r="AD215" s="2">
        <f>IF(Games[[#This Row],[Type]]="R",IF(Games[[#This Row],[Result]]&lt;0.5,1,0),0)</f>
        <v>0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45837</v>
      </c>
      <c r="B216" s="2">
        <v>2025</v>
      </c>
      <c r="C216" s="2">
        <f>COUNTIFS(Games[Team],Games[[#This Row],[Team]],Games[Season],Games[[#This Row],[Season]],Games[Date],"&lt;=" &amp; Games[[#This Row],[Date]])</f>
        <v>16</v>
      </c>
      <c r="D216" s="2" t="s">
        <v>79</v>
      </c>
      <c r="E216" s="2" t="s">
        <v>80</v>
      </c>
      <c r="F216" s="1" t="s">
        <v>86</v>
      </c>
      <c r="G216" s="1" t="s">
        <v>40</v>
      </c>
      <c r="H216" s="1" t="s">
        <v>81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1</v>
      </c>
      <c r="L216" s="2">
        <f>Games[[#This Row],[OppDaysOff]]-Games[[#This Row],[DaysOff]]</f>
        <v>-1</v>
      </c>
      <c r="M216" s="1">
        <f>MAX(-16, MIN(16, Games[[#This Row],[RestDiff]]*8))</f>
        <v>8</v>
      </c>
      <c r="N216" s="1">
        <f>MAX(-16, MIN(16, Games[[#This Row],[OppRestDiff]]*8))</f>
        <v>-8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1512.5683431719217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1568.852299978543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0.32839880504742686</v>
      </c>
      <c r="R216" s="1">
        <v>84</v>
      </c>
      <c r="S216" s="1">
        <v>81</v>
      </c>
      <c r="T216" s="1">
        <v>0</v>
      </c>
      <c r="U216" s="1">
        <f>Games[[#This Row],[PointsFor]]-Games[[#This Row],[PointsAgainst]]</f>
        <v>3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0.2771827367783945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6" s="9">
        <f>MAX(kmin, kmax - 0.15 * MIN(Games[[#This Row],[GamesPlayed]], 82))</f>
        <v>73.599999999999994</v>
      </c>
      <c r="Z216" s="4">
        <f>Games[[#This Row],[K]]*Games[[#This Row],[POMult]]</f>
        <v>73.599999999999994</v>
      </c>
      <c r="AA216" s="4">
        <f>(Games[[#This Row],[Keff]]*Games[[#This Row],[MOVMult]])*(Games[[#This Row],[Result]]-Games[[#This Row],[ExpectedWin%]])</f>
        <v>13.701100532907738</v>
      </c>
      <c r="AB216" s="4">
        <f>Games[[#This Row],[PreGmRate]]+Games[[#This Row],[RatingChange]]</f>
        <v>1526.2694437048294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45837</v>
      </c>
      <c r="B217" s="2">
        <v>2025</v>
      </c>
      <c r="C217" s="2">
        <f>COUNTIFS(Games[Team],Games[[#This Row],[Team]],Games[Season],Games[[#This Row],[Season]],Games[Date],"&lt;=" &amp; Games[[#This Row],[Date]])</f>
        <v>17</v>
      </c>
      <c r="D217" s="2" t="s">
        <v>79</v>
      </c>
      <c r="E217" s="2" t="s">
        <v>80</v>
      </c>
      <c r="F217" s="1" t="s">
        <v>40</v>
      </c>
      <c r="G217" s="1" t="s">
        <v>86</v>
      </c>
      <c r="H217" s="1" t="s">
        <v>82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7" s="2">
        <f>Games[[#This Row],[DaysOff]]-Games[[#This Row],[OppDaysOff]]</f>
        <v>-1</v>
      </c>
      <c r="L217" s="2">
        <f>Games[[#This Row],[OppDaysOff]]-Games[[#This Row],[DaysOff]]</f>
        <v>1</v>
      </c>
      <c r="M217" s="1">
        <f>MAX(-16, MIN(16, Games[[#This Row],[RestDiff]]*8))</f>
        <v>-8</v>
      </c>
      <c r="N217" s="1">
        <f>MAX(-16, MIN(16, Games[[#This Row],[OppRestDiff]]*8))</f>
        <v>8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1568.852299978543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1512.5683431719217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0.6716011949525732</v>
      </c>
      <c r="R217" s="1">
        <v>81</v>
      </c>
      <c r="S217" s="1">
        <v>84</v>
      </c>
      <c r="T217" s="1">
        <v>0</v>
      </c>
      <c r="U217" s="1">
        <f>Games[[#This Row],[PointsFor]]-Games[[#This Row],[PointsAgainst]]</f>
        <v>-3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0.2771827367783945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-13.673177094321652</v>
      </c>
      <c r="AB217" s="4">
        <f>Games[[#This Row],[PreGmRate]]+Games[[#This Row],[RatingChange]]</f>
        <v>1555.1791228842214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45839</v>
      </c>
      <c r="B218" s="2">
        <v>2025</v>
      </c>
      <c r="C218" s="2">
        <f>COUNTIFS(Games[Team],Games[[#This Row],[Team]],Games[Season],Games[[#This Row],[Season]],Games[Date],"&lt;=" &amp; Games[[#This Row],[Date]])</f>
        <v>17</v>
      </c>
      <c r="D218" s="2" t="s">
        <v>83</v>
      </c>
      <c r="E218" s="7">
        <v>0.1</v>
      </c>
      <c r="F218" s="1" t="s">
        <v>69</v>
      </c>
      <c r="G218" s="1" t="s">
        <v>67</v>
      </c>
      <c r="H218" s="1" t="s">
        <v>81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2</v>
      </c>
      <c r="L218" s="2">
        <f>Games[[#This Row],[OppDaysOff]]-Games[[#This Row],[DaysOff]]</f>
        <v>-2</v>
      </c>
      <c r="M218" s="1">
        <f>MAX(-16, MIN(16, Games[[#This Row],[RestDiff]]*8))</f>
        <v>16</v>
      </c>
      <c r="N218" s="1">
        <f>MAX(-16, MIN(16, Games[[#This Row],[OppRestDiff]]*8))</f>
        <v>-16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1512.8684072755448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1660.6351012436803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0.24049830190237526</v>
      </c>
      <c r="R218" s="1">
        <v>74</v>
      </c>
      <c r="S218" s="1">
        <v>59</v>
      </c>
      <c r="T218" s="1">
        <v>0</v>
      </c>
      <c r="U218" s="1">
        <f>Games[[#This Row],[PointsFor]]-Games[[#This Row],[PointsAgainst]]</f>
        <v>15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0.44771668298013484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1.02</v>
      </c>
      <c r="Y218" s="9">
        <f>MAX(kmin, kmax - 0.15 * MIN(Games[[#This Row],[GamesPlayed]], 82))</f>
        <v>73.45</v>
      </c>
      <c r="Z218" s="4">
        <f>Games[[#This Row],[K]]*Games[[#This Row],[POMult]]</f>
        <v>74.919000000000011</v>
      </c>
      <c r="AA218" s="4">
        <f>(Games[[#This Row],[Keff]]*Games[[#This Row],[MOVMult]])*(Games[[#This Row],[Result]]-Games[[#This Row],[ExpectedWin%]])</f>
        <v>25.475575206193433</v>
      </c>
      <c r="AB218" s="4">
        <f>Games[[#This Row],[PreGmRate]]+Games[[#This Row],[RatingChange]]</f>
        <v>1538.3439824817383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45839</v>
      </c>
      <c r="B219" s="2">
        <v>2025</v>
      </c>
      <c r="C219" s="2">
        <f>COUNTIFS(Games[Team],Games[[#This Row],[Team]],Games[Season],Games[[#This Row],[Season]],Games[Date],"&lt;=" &amp; Games[[#This Row],[Date]])</f>
        <v>17</v>
      </c>
      <c r="D219" s="2" t="s">
        <v>83</v>
      </c>
      <c r="E219" s="7">
        <v>0.1</v>
      </c>
      <c r="F219" s="1" t="s">
        <v>67</v>
      </c>
      <c r="G219" s="1" t="s">
        <v>69</v>
      </c>
      <c r="H219" s="1" t="s">
        <v>82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9" s="2">
        <f>Games[[#This Row],[DaysOff]]-Games[[#This Row],[OppDaysOff]]</f>
        <v>-2</v>
      </c>
      <c r="L219" s="2">
        <f>Games[[#This Row],[OppDaysOff]]-Games[[#This Row],[DaysOff]]</f>
        <v>2</v>
      </c>
      <c r="M219" s="1">
        <f>MAX(-16, MIN(16, Games[[#This Row],[RestDiff]]*8))</f>
        <v>-16</v>
      </c>
      <c r="N219" s="1">
        <f>MAX(-16, MIN(16, Games[[#This Row],[OppRestDiff]]*8))</f>
        <v>16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1660.6351012436803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1512.8684072755448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0.75950169809762469</v>
      </c>
      <c r="R219" s="1">
        <v>59</v>
      </c>
      <c r="S219" s="1">
        <v>74</v>
      </c>
      <c r="T219" s="1">
        <v>0</v>
      </c>
      <c r="U219" s="1">
        <f>Games[[#This Row],[PointsFor]]-Games[[#This Row],[PointsAgainst]]</f>
        <v>-15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0.44771668298013484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1.02</v>
      </c>
      <c r="Y219" s="9">
        <f>MAX(kmin, kmax - 0.15 * MIN(Games[[#This Row],[GamesPlayed]], 82))</f>
        <v>73.45</v>
      </c>
      <c r="Z219" s="4">
        <f>Games[[#This Row],[K]]*Games[[#This Row],[POMult]]</f>
        <v>74.919000000000011</v>
      </c>
      <c r="AA219" s="4">
        <f>(Games[[#This Row],[Keff]]*Games[[#This Row],[MOVMult]])*(Games[[#This Row],[Result]]-Games[[#This Row],[ExpectedWin%]])</f>
        <v>-25.47557520619343</v>
      </c>
      <c r="AB219" s="4">
        <f>Games[[#This Row],[PreGmRate]]+Games[[#This Row],[RatingChange]]</f>
        <v>1635.1595260374868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45841</v>
      </c>
      <c r="B220" s="2">
        <v>2025</v>
      </c>
      <c r="C220" s="2">
        <f>COUNTIFS(Games[Team],Games[[#This Row],[Team]],Games[Season],Games[[#This Row],[Season]],Games[Date],"&lt;=" &amp; Games[[#This Row],[Date]])</f>
        <v>18</v>
      </c>
      <c r="D220" s="2" t="s">
        <v>79</v>
      </c>
      <c r="E220" s="2" t="s">
        <v>80</v>
      </c>
      <c r="F220" s="1" t="s">
        <v>71</v>
      </c>
      <c r="G220" s="1" t="s">
        <v>77</v>
      </c>
      <c r="H220" s="1" t="s">
        <v>81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0" s="2">
        <f>Games[[#This Row],[DaysOff]]-Games[[#This Row],[OppDaysOff]]</f>
        <v>0</v>
      </c>
      <c r="L220" s="2">
        <f>Games[[#This Row],[OppDaysOff]]-Games[[#This Row],[DaysOff]]</f>
        <v>0</v>
      </c>
      <c r="M220" s="1">
        <f>MAX(-16, MIN(16, Games[[#This Row],[RestDiff]]*8))</f>
        <v>0</v>
      </c>
      <c r="N220" s="1">
        <f>MAX(-16, MIN(16, Games[[#This Row],[OppRestDiff]]*8))</f>
        <v>0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1553.8393000385422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1545.5726552321494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0.39270493776895593</v>
      </c>
      <c r="R220" s="1">
        <v>80</v>
      </c>
      <c r="S220" s="1">
        <v>79</v>
      </c>
      <c r="T220" s="1">
        <v>0</v>
      </c>
      <c r="U220" s="1">
        <f>Games[[#This Row],[PointsFor]]-Games[[#This Row],[PointsAgainst]]</f>
        <v>1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0.24250905743185819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0" s="9">
        <f>MAX(kmin, kmax - 0.15 * MIN(Games[[#This Row],[GamesPlayed]], 82))</f>
        <v>73.3</v>
      </c>
      <c r="Z220" s="4">
        <f>Games[[#This Row],[K]]*Games[[#This Row],[POMult]]</f>
        <v>73.3</v>
      </c>
      <c r="AA220" s="4">
        <f>(Games[[#This Row],[Keff]]*Games[[#This Row],[MOVMult]])*(Games[[#This Row],[Result]]-Games[[#This Row],[ExpectedWin%]])</f>
        <v>10.795224744038467</v>
      </c>
      <c r="AB220" s="4">
        <f>Games[[#This Row],[PreGmRate]]+Games[[#This Row],[RatingChange]]</f>
        <v>1564.6345247825807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45841</v>
      </c>
      <c r="B221" s="2">
        <v>2025</v>
      </c>
      <c r="C221" s="2">
        <f>COUNTIFS(Games[Team],Games[[#This Row],[Team]],Games[Season],Games[[#This Row],[Season]],Games[Date],"&lt;=" &amp; Games[[#This Row],[Date]])</f>
        <v>18</v>
      </c>
      <c r="D221" s="2" t="s">
        <v>79</v>
      </c>
      <c r="E221" s="2" t="s">
        <v>80</v>
      </c>
      <c r="F221" s="1" t="s">
        <v>77</v>
      </c>
      <c r="G221" s="1" t="s">
        <v>71</v>
      </c>
      <c r="H221" s="1" t="s">
        <v>82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1" s="2">
        <f>Games[[#This Row],[DaysOff]]-Games[[#This Row],[OppDaysOff]]</f>
        <v>0</v>
      </c>
      <c r="L221" s="2">
        <f>Games[[#This Row],[OppDaysOff]]-Games[[#This Row],[DaysOff]]</f>
        <v>0</v>
      </c>
      <c r="M221" s="1">
        <f>MAX(-16, MIN(16, Games[[#This Row],[RestDiff]]*8))</f>
        <v>0</v>
      </c>
      <c r="N221" s="1">
        <f>MAX(-16, MIN(16, Games[[#This Row],[OppRestDiff]]*8))</f>
        <v>0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1545.5726552321494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1553.8393000385422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0.60729506223104412</v>
      </c>
      <c r="R221" s="1">
        <v>79</v>
      </c>
      <c r="S221" s="1">
        <v>80</v>
      </c>
      <c r="T221" s="1">
        <v>0</v>
      </c>
      <c r="U221" s="1">
        <f>Games[[#This Row],[PointsFor]]-Games[[#This Row],[PointsAgainst]]</f>
        <v>-1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0.24250905743185819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1" s="9">
        <f>MAX(kmin, kmax - 0.15 * MIN(Games[[#This Row],[GamesPlayed]], 82))</f>
        <v>73.3</v>
      </c>
      <c r="Z221" s="4">
        <f>Games[[#This Row],[K]]*Games[[#This Row],[POMult]]</f>
        <v>73.3</v>
      </c>
      <c r="AA221" s="4">
        <f>(Games[[#This Row],[Keff]]*Games[[#This Row],[MOVMult]])*(Games[[#This Row],[Result]]-Games[[#This Row],[ExpectedWin%]])</f>
        <v>-10.795224744038469</v>
      </c>
      <c r="AB221" s="4">
        <f>Games[[#This Row],[PreGmRate]]+Games[[#This Row],[RatingChange]]</f>
        <v>1534.7774304881109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45841</v>
      </c>
      <c r="B222" s="2">
        <v>2025</v>
      </c>
      <c r="C222" s="2">
        <f>COUNTIFS(Games[Team],Games[[#This Row],[Team]],Games[Season],Games[[#This Row],[Season]],Games[Date],"&lt;=" &amp; Games[[#This Row],[Date]])</f>
        <v>18</v>
      </c>
      <c r="D222" s="2" t="s">
        <v>79</v>
      </c>
      <c r="E222" s="2" t="s">
        <v>80</v>
      </c>
      <c r="F222" s="1" t="s">
        <v>40</v>
      </c>
      <c r="G222" s="1" t="s">
        <v>85</v>
      </c>
      <c r="H222" s="1" t="s">
        <v>81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22" s="2">
        <f>Games[[#This Row],[DaysOff]]-Games[[#This Row],[OppDaysOff]]</f>
        <v>-1</v>
      </c>
      <c r="L222" s="2">
        <f>Games[[#This Row],[OppDaysOff]]-Games[[#This Row],[DaysOff]]</f>
        <v>1</v>
      </c>
      <c r="M222" s="1">
        <f>MAX(-16, MIN(16, Games[[#This Row],[RestDiff]]*8))</f>
        <v>-8</v>
      </c>
      <c r="N222" s="1">
        <f>MAX(-16, MIN(16, Games[[#This Row],[OppRestDiff]]*8))</f>
        <v>8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1555.1791228842214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1383.1459160778102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0.60220388578301032</v>
      </c>
      <c r="R222" s="1">
        <v>89</v>
      </c>
      <c r="S222" s="1">
        <v>98</v>
      </c>
      <c r="T222" s="1">
        <v>0</v>
      </c>
      <c r="U222" s="1">
        <f>Games[[#This Row],[PointsFor]]-Games[[#This Row],[PointsAgainst]]</f>
        <v>-9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0.35506854364744878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2" s="9">
        <f>MAX(kmin, kmax - 0.15 * MIN(Games[[#This Row],[GamesPlayed]], 82))</f>
        <v>73.3</v>
      </c>
      <c r="Z222" s="4">
        <f>Games[[#This Row],[K]]*Games[[#This Row],[POMult]]</f>
        <v>73.3</v>
      </c>
      <c r="AA222" s="4">
        <f>(Games[[#This Row],[Keff]]*Games[[#This Row],[MOVMult]])*(Games[[#This Row],[Result]]-Games[[#This Row],[ExpectedWin%]])</f>
        <v>-15.673274036389129</v>
      </c>
      <c r="AB222" s="4">
        <f>Games[[#This Row],[PreGmRate]]+Games[[#This Row],[RatingChange]]</f>
        <v>1539.5058488478323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45841</v>
      </c>
      <c r="B223" s="2">
        <v>2025</v>
      </c>
      <c r="C223" s="2">
        <f>COUNTIFS(Games[Team],Games[[#This Row],[Team]],Games[Season],Games[[#This Row],[Season]],Games[Date],"&lt;=" &amp; Games[[#This Row],[Date]])</f>
        <v>19</v>
      </c>
      <c r="D223" s="2" t="s">
        <v>79</v>
      </c>
      <c r="E223" s="2" t="s">
        <v>80</v>
      </c>
      <c r="F223" s="1" t="s">
        <v>85</v>
      </c>
      <c r="G223" s="1" t="s">
        <v>40</v>
      </c>
      <c r="H223" s="1" t="s">
        <v>82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3" s="2">
        <f>Games[[#This Row],[DaysOff]]-Games[[#This Row],[OppDaysOff]]</f>
        <v>1</v>
      </c>
      <c r="L223" s="2">
        <f>Games[[#This Row],[OppDaysOff]]-Games[[#This Row],[DaysOff]]</f>
        <v>-1</v>
      </c>
      <c r="M223" s="1">
        <f>MAX(-16, MIN(16, Games[[#This Row],[RestDiff]]*8))</f>
        <v>8</v>
      </c>
      <c r="N223" s="1">
        <f>MAX(-16, MIN(16, Games[[#This Row],[OppRestDiff]]*8))</f>
        <v>-8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1383.1459160778102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1555.1791228842214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0.39779611421698968</v>
      </c>
      <c r="R223" s="1">
        <v>98</v>
      </c>
      <c r="S223" s="1">
        <v>89</v>
      </c>
      <c r="T223" s="1">
        <v>0</v>
      </c>
      <c r="U223" s="1">
        <f>Games[[#This Row],[PointsFor]]-Games[[#This Row],[PointsAgainst]]</f>
        <v>9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0.35506854364744878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3" s="9">
        <f>MAX(kmin, kmax - 0.15 * MIN(Games[[#This Row],[GamesPlayed]], 82))</f>
        <v>73.150000000000006</v>
      </c>
      <c r="Z223" s="4">
        <f>Games[[#This Row],[K]]*Games[[#This Row],[POMult]]</f>
        <v>73.150000000000006</v>
      </c>
      <c r="AA223" s="4">
        <f>(Games[[#This Row],[Keff]]*Games[[#This Row],[MOVMult]])*(Games[[#This Row],[Result]]-Games[[#This Row],[ExpectedWin%]])</f>
        <v>15.641200487883561</v>
      </c>
      <c r="AB223" s="4">
        <f>Games[[#This Row],[PreGmRate]]+Games[[#This Row],[RatingChange]]</f>
        <v>1398.7871165656936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45841</v>
      </c>
      <c r="B224" s="2">
        <v>2025</v>
      </c>
      <c r="C224" s="2">
        <f>COUNTIFS(Games[Team],Games[[#This Row],[Team]],Games[Season],Games[[#This Row],[Season]],Games[Date],"&lt;=" &amp; Games[[#This Row],[Date]])</f>
        <v>17</v>
      </c>
      <c r="D224" s="2" t="s">
        <v>79</v>
      </c>
      <c r="E224" s="2" t="s">
        <v>80</v>
      </c>
      <c r="F224" s="1" t="s">
        <v>86</v>
      </c>
      <c r="G224" s="1" t="s">
        <v>69</v>
      </c>
      <c r="H224" s="1" t="s">
        <v>81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2</v>
      </c>
      <c r="L224" s="2">
        <f>Games[[#This Row],[OppDaysOff]]-Games[[#This Row],[DaysOff]]</f>
        <v>-2</v>
      </c>
      <c r="M224" s="1">
        <f>MAX(-16, MIN(16, Games[[#This Row],[RestDiff]]*8))</f>
        <v>16</v>
      </c>
      <c r="N224" s="1">
        <f>MAX(-16, MIN(16, Games[[#This Row],[OppRestDiff]]*8))</f>
        <v>-16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1526.2694437048294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1538.3439824817383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0.4088206969314036</v>
      </c>
      <c r="R224" s="1">
        <v>54</v>
      </c>
      <c r="S224" s="1">
        <v>81</v>
      </c>
      <c r="T224" s="1">
        <v>0</v>
      </c>
      <c r="U224" s="1">
        <f>Games[[#This Row],[PointsFor]]-Games[[#This Row],[PointsAgainst]]</f>
        <v>-27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0.66002541461457565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4" s="9">
        <f>MAX(kmin, kmax - 0.15 * MIN(Games[[#This Row],[GamesPlayed]], 82))</f>
        <v>73.45</v>
      </c>
      <c r="Z224" s="4">
        <f>Games[[#This Row],[K]]*Games[[#This Row],[POMult]]</f>
        <v>73.45</v>
      </c>
      <c r="AA224" s="4">
        <f>(Games[[#This Row],[Keff]]*Games[[#This Row],[MOVMult]])*(Games[[#This Row],[Result]]-Games[[#This Row],[ExpectedWin%]])</f>
        <v>-19.819164072145195</v>
      </c>
      <c r="AB224" s="4">
        <f>Games[[#This Row],[PreGmRate]]+Games[[#This Row],[RatingChange]]</f>
        <v>1506.4502796326842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45841</v>
      </c>
      <c r="B225" s="2">
        <v>2025</v>
      </c>
      <c r="C225" s="2">
        <f>COUNTIFS(Games[Team],Games[[#This Row],[Team]],Games[Season],Games[[#This Row],[Season]],Games[Date],"&lt;=" &amp; Games[[#This Row],[Date]])</f>
        <v>18</v>
      </c>
      <c r="D225" s="2" t="s">
        <v>79</v>
      </c>
      <c r="E225" s="2" t="s">
        <v>80</v>
      </c>
      <c r="F225" s="1" t="s">
        <v>69</v>
      </c>
      <c r="G225" s="1" t="s">
        <v>86</v>
      </c>
      <c r="H225" s="1" t="s">
        <v>82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5" s="2">
        <f>Games[[#This Row],[DaysOff]]-Games[[#This Row],[OppDaysOff]]</f>
        <v>-2</v>
      </c>
      <c r="L225" s="2">
        <f>Games[[#This Row],[OppDaysOff]]-Games[[#This Row],[DaysOff]]</f>
        <v>2</v>
      </c>
      <c r="M225" s="1">
        <f>MAX(-16, MIN(16, Games[[#This Row],[RestDiff]]*8))</f>
        <v>-16</v>
      </c>
      <c r="N225" s="1">
        <f>MAX(-16, MIN(16, Games[[#This Row],[OppRestDiff]]*8))</f>
        <v>16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1538.3439824817383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1526.2694437048294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0.59117930306859645</v>
      </c>
      <c r="R225" s="1">
        <v>81</v>
      </c>
      <c r="S225" s="1">
        <v>54</v>
      </c>
      <c r="T225" s="1">
        <v>0</v>
      </c>
      <c r="U225" s="1">
        <f>Games[[#This Row],[PointsFor]]-Games[[#This Row],[PointsAgainst]]</f>
        <v>27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0.66002541461457565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5" s="9">
        <f>MAX(kmin, kmax - 0.15 * MIN(Games[[#This Row],[GamesPlayed]], 82))</f>
        <v>73.3</v>
      </c>
      <c r="Z225" s="4">
        <f>Games[[#This Row],[K]]*Games[[#This Row],[POMult]]</f>
        <v>73.3</v>
      </c>
      <c r="AA225" s="4">
        <f>(Games[[#This Row],[Keff]]*Games[[#This Row],[MOVMult]])*(Games[[#This Row],[Result]]-Games[[#This Row],[ExpectedWin%]])</f>
        <v>19.778689264645916</v>
      </c>
      <c r="AB225" s="4">
        <f>Games[[#This Row],[PreGmRate]]+Games[[#This Row],[RatingChange]]</f>
        <v>1558.1226717463842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45841</v>
      </c>
      <c r="B226" s="2">
        <v>2025</v>
      </c>
      <c r="C226" s="2">
        <f>COUNTIFS(Games[Team],Games[[#This Row],[Team]],Games[Season],Games[[#This Row],[Season]],Games[Date],"&lt;=" &amp; Games[[#This Row],[Date]])</f>
        <v>18</v>
      </c>
      <c r="D226" s="2" t="s">
        <v>79</v>
      </c>
      <c r="E226" s="2" t="s">
        <v>80</v>
      </c>
      <c r="F226" s="1" t="s">
        <v>65</v>
      </c>
      <c r="G226" s="1" t="s">
        <v>67</v>
      </c>
      <c r="H226" s="1" t="s">
        <v>81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3</v>
      </c>
      <c r="L226" s="2">
        <f>Games[[#This Row],[OppDaysOff]]-Games[[#This Row],[DaysOff]]</f>
        <v>-3</v>
      </c>
      <c r="M226" s="1">
        <f>MAX(-16, MIN(16, Games[[#This Row],[RestDiff]]*8))</f>
        <v>16</v>
      </c>
      <c r="N226" s="1">
        <f>MAX(-16, MIN(16, Games[[#This Row],[OppRestDiff]]*8))</f>
        <v>-16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1481.5720677314271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1635.1595260374868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0.2344312700492929</v>
      </c>
      <c r="R226" s="1">
        <v>75</v>
      </c>
      <c r="S226" s="1">
        <v>92</v>
      </c>
      <c r="T226" s="1">
        <v>0</v>
      </c>
      <c r="U226" s="1">
        <f>Games[[#This Row],[PointsFor]]-Games[[#This Row],[PointsAgainst]]</f>
        <v>-17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0.47202748442866277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6" s="9">
        <f>MAX(kmin, kmax - 0.15 * MIN(Games[[#This Row],[GamesPlayed]], 82))</f>
        <v>73.3</v>
      </c>
      <c r="Z226" s="4">
        <f>Games[[#This Row],[K]]*Games[[#This Row],[POMult]]</f>
        <v>73.3</v>
      </c>
      <c r="AA226" s="4">
        <f>(Games[[#This Row],[Keff]]*Games[[#This Row],[MOVMult]])*(Games[[#This Row],[Result]]-Games[[#This Row],[ExpectedWin%]])</f>
        <v>-8.1112315959150845</v>
      </c>
      <c r="AB226" s="4">
        <f>Games[[#This Row],[PreGmRate]]+Games[[#This Row],[RatingChange]]</f>
        <v>1473.460836135512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45841</v>
      </c>
      <c r="B227" s="2">
        <v>2025</v>
      </c>
      <c r="C227" s="2">
        <f>COUNTIFS(Games[Team],Games[[#This Row],[Team]],Games[Season],Games[[#This Row],[Season]],Games[Date],"&lt;=" &amp; Games[[#This Row],[Date]])</f>
        <v>18</v>
      </c>
      <c r="D227" s="2" t="s">
        <v>79</v>
      </c>
      <c r="E227" s="2" t="s">
        <v>80</v>
      </c>
      <c r="F227" s="1" t="s">
        <v>67</v>
      </c>
      <c r="G227" s="1" t="s">
        <v>65</v>
      </c>
      <c r="H227" s="1" t="s">
        <v>82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27" s="2">
        <f>Games[[#This Row],[DaysOff]]-Games[[#This Row],[OppDaysOff]]</f>
        <v>-3</v>
      </c>
      <c r="L227" s="2">
        <f>Games[[#This Row],[OppDaysOff]]-Games[[#This Row],[DaysOff]]</f>
        <v>3</v>
      </c>
      <c r="M227" s="1">
        <f>MAX(-16, MIN(16, Games[[#This Row],[RestDiff]]*8))</f>
        <v>-16</v>
      </c>
      <c r="N227" s="1">
        <f>MAX(-16, MIN(16, Games[[#This Row],[OppRestDiff]]*8))</f>
        <v>16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1635.1595260374868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1481.5720677314271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0.76556872995070713</v>
      </c>
      <c r="R227" s="1">
        <v>92</v>
      </c>
      <c r="S227" s="1">
        <v>75</v>
      </c>
      <c r="T227" s="1">
        <v>0</v>
      </c>
      <c r="U227" s="1">
        <f>Games[[#This Row],[PointsFor]]-Games[[#This Row],[PointsAgainst]]</f>
        <v>17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0.47202748442866277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7" s="9">
        <f>MAX(kmin, kmax - 0.15 * MIN(Games[[#This Row],[GamesPlayed]], 82))</f>
        <v>73.3</v>
      </c>
      <c r="Z227" s="4">
        <f>Games[[#This Row],[K]]*Games[[#This Row],[POMult]]</f>
        <v>73.3</v>
      </c>
      <c r="AA227" s="4">
        <f>(Games[[#This Row],[Keff]]*Games[[#This Row],[MOVMult]])*(Games[[#This Row],[Result]]-Games[[#This Row],[ExpectedWin%]])</f>
        <v>8.1112315959150845</v>
      </c>
      <c r="AB227" s="4">
        <f>Games[[#This Row],[PreGmRate]]+Games[[#This Row],[RatingChange]]</f>
        <v>1643.2707576334019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45841</v>
      </c>
      <c r="B228" s="2">
        <v>2025</v>
      </c>
      <c r="C228" s="2">
        <f>COUNTIFS(Games[Team],Games[[#This Row],[Team]],Games[Season],Games[[#This Row],[Season]],Games[Date],"&lt;=" &amp; Games[[#This Row],[Date]])</f>
        <v>18</v>
      </c>
      <c r="D228" s="2" t="s">
        <v>79</v>
      </c>
      <c r="E228" s="2" t="s">
        <v>80</v>
      </c>
      <c r="F228" s="1" t="s">
        <v>63</v>
      </c>
      <c r="G228" s="1" t="s">
        <v>60</v>
      </c>
      <c r="H228" s="1" t="s">
        <v>81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8" s="2">
        <f>Games[[#This Row],[DaysOff]]-Games[[#This Row],[OppDaysOff]]</f>
        <v>0</v>
      </c>
      <c r="L228" s="2">
        <f>Games[[#This Row],[OppDaysOff]]-Games[[#This Row],[DaysOff]]</f>
        <v>0</v>
      </c>
      <c r="M228" s="1">
        <f>MAX(-16, MIN(16, Games[[#This Row],[RestDiff]]*8))</f>
        <v>0</v>
      </c>
      <c r="N228" s="1">
        <f>MAX(-16, MIN(16, Games[[#This Row],[OppRestDiff]]*8))</f>
        <v>0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1371.8551433029904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1624.8326035173841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0.12567002897724949</v>
      </c>
      <c r="R228" s="1">
        <v>79</v>
      </c>
      <c r="S228" s="1">
        <v>89</v>
      </c>
      <c r="T228" s="1">
        <v>0</v>
      </c>
      <c r="U228" s="1">
        <f>Games[[#This Row],[PointsFor]]-Games[[#This Row],[PointsAgainst]]</f>
        <v>-10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0.34945871708417214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8" s="9">
        <f>MAX(kmin, kmax - 0.15 * MIN(Games[[#This Row],[GamesPlayed]], 82))</f>
        <v>73.3</v>
      </c>
      <c r="Z228" s="4">
        <f>Games[[#This Row],[K]]*Games[[#This Row],[POMult]]</f>
        <v>73.3</v>
      </c>
      <c r="AA228" s="4">
        <f>(Games[[#This Row],[Keff]]*Games[[#This Row],[MOVMult]])*(Games[[#This Row],[Result]]-Games[[#This Row],[ExpectedWin%]])</f>
        <v>-3.2190785046000809</v>
      </c>
      <c r="AB228" s="4">
        <f>Games[[#This Row],[PreGmRate]]+Games[[#This Row],[RatingChange]]</f>
        <v>1368.6360647983904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45841</v>
      </c>
      <c r="B229" s="2">
        <v>2025</v>
      </c>
      <c r="C229" s="2">
        <f>COUNTIFS(Games[Team],Games[[#This Row],[Team]],Games[Season],Games[[#This Row],[Season]],Games[Date],"&lt;=" &amp; Games[[#This Row],[Date]])</f>
        <v>17</v>
      </c>
      <c r="D229" s="2" t="s">
        <v>79</v>
      </c>
      <c r="E229" s="2" t="s">
        <v>80</v>
      </c>
      <c r="F229" s="1" t="s">
        <v>60</v>
      </c>
      <c r="G229" s="1" t="s">
        <v>63</v>
      </c>
      <c r="H229" s="1" t="s">
        <v>82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9" s="2">
        <f>Games[[#This Row],[DaysOff]]-Games[[#This Row],[OppDaysOff]]</f>
        <v>0</v>
      </c>
      <c r="L229" s="2">
        <f>Games[[#This Row],[OppDaysOff]]-Games[[#This Row],[DaysOff]]</f>
        <v>0</v>
      </c>
      <c r="M229" s="1">
        <f>MAX(-16, MIN(16, Games[[#This Row],[RestDiff]]*8))</f>
        <v>0</v>
      </c>
      <c r="N229" s="1">
        <f>MAX(-16, MIN(16, Games[[#This Row],[OppRestDiff]]*8))</f>
        <v>0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1624.8326035173841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1371.8551433029904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0.87432997102275045</v>
      </c>
      <c r="R229" s="1">
        <v>89</v>
      </c>
      <c r="S229" s="1">
        <v>79</v>
      </c>
      <c r="T229" s="1">
        <v>0</v>
      </c>
      <c r="U229" s="1">
        <f>Games[[#This Row],[PointsFor]]-Games[[#This Row],[PointsAgainst]]</f>
        <v>10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0.34945871708417214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9" s="9">
        <f>MAX(kmin, kmax - 0.15 * MIN(Games[[#This Row],[GamesPlayed]], 82))</f>
        <v>73.45</v>
      </c>
      <c r="Z229" s="4">
        <f>Games[[#This Row],[K]]*Games[[#This Row],[POMult]]</f>
        <v>73.45</v>
      </c>
      <c r="AA229" s="4">
        <f>(Games[[#This Row],[Keff]]*Games[[#This Row],[MOVMult]])*(Games[[#This Row],[Result]]-Games[[#This Row],[ExpectedWin%]])</f>
        <v>3.2256659776654306</v>
      </c>
      <c r="AB229" s="4">
        <f>Games[[#This Row],[PreGmRate]]+Games[[#This Row],[RatingChange]]</f>
        <v>1628.0582694950494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45843</v>
      </c>
      <c r="B230" s="2">
        <v>2025</v>
      </c>
      <c r="C230" s="2">
        <f>COUNTIFS(Games[Team],Games[[#This Row],[Team]],Games[Season],Games[[#This Row],[Season]],Games[Date],"&lt;=" &amp; Games[[#This Row],[Date]])</f>
        <v>19</v>
      </c>
      <c r="D230" s="2" t="s">
        <v>79</v>
      </c>
      <c r="E230" s="2" t="s">
        <v>80</v>
      </c>
      <c r="F230" s="1" t="s">
        <v>63</v>
      </c>
      <c r="G230" s="1" t="s">
        <v>69</v>
      </c>
      <c r="H230" s="1" t="s">
        <v>81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0</v>
      </c>
      <c r="L230" s="2">
        <f>Games[[#This Row],[OppDaysOff]]-Games[[#This Row],[DaysOff]]</f>
        <v>0</v>
      </c>
      <c r="M230" s="1">
        <f>MAX(-16, MIN(16, Games[[#This Row],[RestDiff]]*8))</f>
        <v>0</v>
      </c>
      <c r="N230" s="1">
        <f>MAX(-16, MIN(16, Games[[#This Row],[OppRestDiff]]*8))</f>
        <v>0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1368.6360647983904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1558.1226717463842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0.17160205863861264</v>
      </c>
      <c r="R230" s="1">
        <v>89</v>
      </c>
      <c r="S230" s="1">
        <v>87</v>
      </c>
      <c r="T230" s="1">
        <v>0</v>
      </c>
      <c r="U230" s="1">
        <f>Games[[#This Row],[PointsFor]]-Games[[#This Row],[PointsAgainst]]</f>
        <v>2</v>
      </c>
      <c r="V230" s="1">
        <f>IF(Games[[#This Row],[MOV]]&gt;0,1,IF(Games[[#This Row],[MOV]]=0,0.5,0))</f>
        <v>1</v>
      </c>
      <c r="W230" s="4">
        <f>((ABS(Games[[#This Row],[MOV]])+5)^0.6)/(12+0.01*(ABS(Games[[#This Row],[PreGmRate]]-Games[[#This Row],[OppPreGmRate]])))*IF(Games[[#This Row],[OT]]=1,0.9,1)</f>
        <v>0.23131535299759362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0" s="9">
        <f>MAX(kmin, kmax - 0.15 * MIN(Games[[#This Row],[GamesPlayed]], 82))</f>
        <v>73.150000000000006</v>
      </c>
      <c r="Z230" s="4">
        <f>Games[[#This Row],[K]]*Games[[#This Row],[POMult]]</f>
        <v>73.150000000000006</v>
      </c>
      <c r="AA230" s="4">
        <f>(Games[[#This Row],[Keff]]*Games[[#This Row],[MOVMult]])*(Games[[#This Row],[Result]]-Games[[#This Row],[ExpectedWin%]])</f>
        <v>14.017088017013986</v>
      </c>
      <c r="AB230" s="4">
        <f>Games[[#This Row],[PreGmRate]]+Games[[#This Row],[RatingChange]]</f>
        <v>1382.6531528154044</v>
      </c>
      <c r="AC230" s="2">
        <f>IF(Games[[#This Row],[Type]]="R",IF(Games[[#This Row],[Result]]&gt;0.5,1,0),0)</f>
        <v>1</v>
      </c>
      <c r="AD230" s="2">
        <f>IF(Games[[#This Row],[Type]]="R",IF(Games[[#This Row],[Result]]&lt;0.5,1,0),0)</f>
        <v>0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45843</v>
      </c>
      <c r="B231" s="2">
        <v>2025</v>
      </c>
      <c r="C231" s="2">
        <f>COUNTIFS(Games[Team],Games[[#This Row],[Team]],Games[Season],Games[[#This Row],[Season]],Games[Date],"&lt;=" &amp; Games[[#This Row],[Date]])</f>
        <v>19</v>
      </c>
      <c r="D231" s="2" t="s">
        <v>79</v>
      </c>
      <c r="E231" s="2" t="s">
        <v>80</v>
      </c>
      <c r="F231" s="1" t="s">
        <v>69</v>
      </c>
      <c r="G231" s="1" t="s">
        <v>63</v>
      </c>
      <c r="H231" s="1" t="s">
        <v>82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0</v>
      </c>
      <c r="L231" s="2">
        <f>Games[[#This Row],[OppDaysOff]]-Games[[#This Row],[DaysOff]]</f>
        <v>0</v>
      </c>
      <c r="M231" s="1">
        <f>MAX(-16, MIN(16, Games[[#This Row],[RestDiff]]*8))</f>
        <v>0</v>
      </c>
      <c r="N231" s="1">
        <f>MAX(-16, MIN(16, Games[[#This Row],[OppRestDiff]]*8))</f>
        <v>0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1558.1226717463842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1368.6360647983904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0.82839794136138745</v>
      </c>
      <c r="R231" s="1">
        <v>87</v>
      </c>
      <c r="S231" s="1">
        <v>89</v>
      </c>
      <c r="T231" s="1">
        <v>0</v>
      </c>
      <c r="U231" s="1">
        <f>Games[[#This Row],[PointsFor]]-Games[[#This Row],[PointsAgainst]]</f>
        <v>-2</v>
      </c>
      <c r="V231" s="1">
        <f>IF(Games[[#This Row],[MOV]]&gt;0,1,IF(Games[[#This Row],[MOV]]=0,0.5,0))</f>
        <v>0</v>
      </c>
      <c r="W231" s="4">
        <f>((ABS(Games[[#This Row],[MOV]])+5)^0.6)/(12+0.01*(ABS(Games[[#This Row],[PreGmRate]]-Games[[#This Row],[OppPreGmRate]])))*IF(Games[[#This Row],[OT]]=1,0.9,1)</f>
        <v>0.23131535299759362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1" s="9">
        <f>MAX(kmin, kmax - 0.15 * MIN(Games[[#This Row],[GamesPlayed]], 82))</f>
        <v>73.150000000000006</v>
      </c>
      <c r="Z231" s="4">
        <f>Games[[#This Row],[K]]*Games[[#This Row],[POMult]]</f>
        <v>73.150000000000006</v>
      </c>
      <c r="AA231" s="4">
        <f>(Games[[#This Row],[Keff]]*Games[[#This Row],[MOVMult]])*(Games[[#This Row],[Result]]-Games[[#This Row],[ExpectedWin%]])</f>
        <v>-14.017088017013988</v>
      </c>
      <c r="AB231" s="4">
        <f>Games[[#This Row],[PreGmRate]]+Games[[#This Row],[RatingChange]]</f>
        <v>1544.1055837293702</v>
      </c>
      <c r="AC231" s="2">
        <f>IF(Games[[#This Row],[Type]]="R",IF(Games[[#This Row],[Result]]&gt;0.5,1,0),0)</f>
        <v>0</v>
      </c>
      <c r="AD231" s="2">
        <f>IF(Games[[#This Row],[Type]]="R",IF(Games[[#This Row],[Result]]&lt;0.5,1,0),0)</f>
        <v>1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45843</v>
      </c>
      <c r="B232" s="2">
        <v>2025</v>
      </c>
      <c r="C232" s="2">
        <f>COUNTIFS(Games[Team],Games[[#This Row],[Team]],Games[Season],Games[[#This Row],[Season]],Games[Date],"&lt;=" &amp; Games[[#This Row],[Date]])</f>
        <v>17</v>
      </c>
      <c r="D232" s="2" t="s">
        <v>79</v>
      </c>
      <c r="E232" s="2" t="s">
        <v>80</v>
      </c>
      <c r="F232" s="1" t="s">
        <v>88</v>
      </c>
      <c r="G232" s="1" t="s">
        <v>67</v>
      </c>
      <c r="H232" s="1" t="s">
        <v>81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5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2" s="2">
        <f>Games[[#This Row],[DaysOff]]-Games[[#This Row],[OppDaysOff]]</f>
        <v>4</v>
      </c>
      <c r="L232" s="2">
        <f>Games[[#This Row],[OppDaysOff]]-Games[[#This Row],[DaysOff]]</f>
        <v>-4</v>
      </c>
      <c r="M232" s="1">
        <f>MAX(-16, MIN(16, Games[[#This Row],[RestDiff]]*8))</f>
        <v>16</v>
      </c>
      <c r="N232" s="1">
        <f>MAX(-16, MIN(16, Games[[#This Row],[OppRestDiff]]*8))</f>
        <v>-16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1534.1069012909086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1643.2707576334019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0.28338471707986085</v>
      </c>
      <c r="R232" s="1">
        <v>71</v>
      </c>
      <c r="S232" s="1">
        <v>82</v>
      </c>
      <c r="T232" s="1">
        <v>0</v>
      </c>
      <c r="U232" s="1">
        <f>Games[[#This Row],[PointsFor]]-Games[[#This Row],[PointsAgainst]]</f>
        <v>-11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0.40316050718335589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2" s="9">
        <f>MAX(kmin, kmax - 0.15 * MIN(Games[[#This Row],[GamesPlayed]], 82))</f>
        <v>73.45</v>
      </c>
      <c r="Z232" s="4">
        <f>Games[[#This Row],[K]]*Games[[#This Row],[POMult]]</f>
        <v>73.45</v>
      </c>
      <c r="AA232" s="4">
        <f>(Games[[#This Row],[Keff]]*Games[[#This Row],[MOVMult]])*(Games[[#This Row],[Result]]-Games[[#This Row],[ExpectedWin%]])</f>
        <v>-8.3916277042324499</v>
      </c>
      <c r="AB232" s="4">
        <f>Games[[#This Row],[PreGmRate]]+Games[[#This Row],[RatingChange]]</f>
        <v>1525.7152735866762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45843</v>
      </c>
      <c r="B233" s="2">
        <v>2025</v>
      </c>
      <c r="C233" s="2">
        <f>COUNTIFS(Games[Team],Games[[#This Row],[Team]],Games[Season],Games[[#This Row],[Season]],Games[Date],"&lt;=" &amp; Games[[#This Row],[Date]])</f>
        <v>19</v>
      </c>
      <c r="D233" s="2" t="s">
        <v>79</v>
      </c>
      <c r="E233" s="2" t="s">
        <v>80</v>
      </c>
      <c r="F233" s="1" t="s">
        <v>67</v>
      </c>
      <c r="G233" s="1" t="s">
        <v>88</v>
      </c>
      <c r="H233" s="1" t="s">
        <v>82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33" s="2">
        <f>Games[[#This Row],[DaysOff]]-Games[[#This Row],[OppDaysOff]]</f>
        <v>-4</v>
      </c>
      <c r="L233" s="2">
        <f>Games[[#This Row],[OppDaysOff]]-Games[[#This Row],[DaysOff]]</f>
        <v>4</v>
      </c>
      <c r="M233" s="1">
        <f>MAX(-16, MIN(16, Games[[#This Row],[RestDiff]]*8))</f>
        <v>-16</v>
      </c>
      <c r="N233" s="1">
        <f>MAX(-16, MIN(16, Games[[#This Row],[OppRestDiff]]*8))</f>
        <v>16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1643.2707576334019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1534.1069012909086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0.71661528292013921</v>
      </c>
      <c r="R233" s="1">
        <v>82</v>
      </c>
      <c r="S233" s="1">
        <v>71</v>
      </c>
      <c r="T233" s="1">
        <v>0</v>
      </c>
      <c r="U233" s="1">
        <f>Games[[#This Row],[PointsFor]]-Games[[#This Row],[PointsAgainst]]</f>
        <v>11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0.40316050718335589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3" s="9">
        <f>MAX(kmin, kmax - 0.15 * MIN(Games[[#This Row],[GamesPlayed]], 82))</f>
        <v>73.150000000000006</v>
      </c>
      <c r="Z233" s="4">
        <f>Games[[#This Row],[K]]*Games[[#This Row],[POMult]]</f>
        <v>73.150000000000006</v>
      </c>
      <c r="AA233" s="4">
        <f>(Games[[#This Row],[Keff]]*Games[[#This Row],[MOVMult]])*(Games[[#This Row],[Result]]-Games[[#This Row],[ExpectedWin%]])</f>
        <v>8.3573528463526703</v>
      </c>
      <c r="AB233" s="4">
        <f>Games[[#This Row],[PreGmRate]]+Games[[#This Row],[RatingChange]]</f>
        <v>1651.6281104797545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45844</v>
      </c>
      <c r="B234" s="2">
        <v>2025</v>
      </c>
      <c r="C234" s="2">
        <f>COUNTIFS(Games[Team],Games[[#This Row],[Team]],Games[Season],Games[[#This Row],[Season]],Games[Date],"&lt;=" &amp; Games[[#This Row],[Date]])</f>
        <v>18</v>
      </c>
      <c r="D234" s="2" t="s">
        <v>79</v>
      </c>
      <c r="E234" s="2" t="s">
        <v>80</v>
      </c>
      <c r="F234" s="1" t="s">
        <v>86</v>
      </c>
      <c r="G234" s="1" t="s">
        <v>74</v>
      </c>
      <c r="H234" s="1" t="s">
        <v>81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34" s="2">
        <f>Games[[#This Row],[DaysOff]]-Games[[#This Row],[OppDaysOff]]</f>
        <v>-4</v>
      </c>
      <c r="L234" s="2">
        <f>Games[[#This Row],[OppDaysOff]]-Games[[#This Row],[DaysOff]]</f>
        <v>4</v>
      </c>
      <c r="M234" s="1">
        <f>MAX(-16, MIN(16, Games[[#This Row],[RestDiff]]*8))</f>
        <v>-16</v>
      </c>
      <c r="N234" s="1">
        <f>MAX(-16, MIN(16, Games[[#This Row],[OppRestDiff]]*8))</f>
        <v>16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1506.4502796326842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1364.0018689264216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0.53798896943498098</v>
      </c>
      <c r="R234" s="1">
        <v>86</v>
      </c>
      <c r="S234" s="1">
        <v>68</v>
      </c>
      <c r="T234" s="1">
        <v>0</v>
      </c>
      <c r="U234" s="1">
        <f>Games[[#This Row],[PointsFor]]-Games[[#This Row],[PointsAgainst]]</f>
        <v>18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0.48880889076873946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4" s="9">
        <f>MAX(kmin, kmax - 0.15 * MIN(Games[[#This Row],[GamesPlayed]], 82))</f>
        <v>73.3</v>
      </c>
      <c r="Z234" s="4">
        <f>Games[[#This Row],[K]]*Games[[#This Row],[POMult]]</f>
        <v>73.3</v>
      </c>
      <c r="AA234" s="4">
        <f>(Games[[#This Row],[Keff]]*Games[[#This Row],[MOVMult]])*(Games[[#This Row],[Result]]-Games[[#This Row],[ExpectedWin%]])</f>
        <v>16.553712784070889</v>
      </c>
      <c r="AB234" s="4">
        <f>Games[[#This Row],[PreGmRate]]+Games[[#This Row],[RatingChange]]</f>
        <v>1523.0039924167552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45844</v>
      </c>
      <c r="B235" s="2">
        <v>2025</v>
      </c>
      <c r="C235" s="2">
        <f>COUNTIFS(Games[Team],Games[[#This Row],[Team]],Games[Season],Games[[#This Row],[Season]],Games[Date],"&lt;=" &amp; Games[[#This Row],[Date]])</f>
        <v>18</v>
      </c>
      <c r="D235" s="2" t="s">
        <v>79</v>
      </c>
      <c r="E235" s="2" t="s">
        <v>80</v>
      </c>
      <c r="F235" s="1" t="s">
        <v>74</v>
      </c>
      <c r="G235" s="1" t="s">
        <v>86</v>
      </c>
      <c r="H235" s="1" t="s">
        <v>82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6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5" s="2">
        <f>Games[[#This Row],[DaysOff]]-Games[[#This Row],[OppDaysOff]]</f>
        <v>4</v>
      </c>
      <c r="L235" s="2">
        <f>Games[[#This Row],[OppDaysOff]]-Games[[#This Row],[DaysOff]]</f>
        <v>-4</v>
      </c>
      <c r="M235" s="1">
        <f>MAX(-16, MIN(16, Games[[#This Row],[RestDiff]]*8))</f>
        <v>16</v>
      </c>
      <c r="N235" s="1">
        <f>MAX(-16, MIN(16, Games[[#This Row],[OppRestDiff]]*8))</f>
        <v>-16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1364.0018689264216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1506.4502796326842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0.46201103056501897</v>
      </c>
      <c r="R235" s="1">
        <v>68</v>
      </c>
      <c r="S235" s="1">
        <v>86</v>
      </c>
      <c r="T235" s="1">
        <v>0</v>
      </c>
      <c r="U235" s="1">
        <f>Games[[#This Row],[PointsFor]]-Games[[#This Row],[PointsAgainst]]</f>
        <v>-18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0.48880889076873946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5" s="9">
        <f>MAX(kmin, kmax - 0.15 * MIN(Games[[#This Row],[GamesPlayed]], 82))</f>
        <v>73.3</v>
      </c>
      <c r="Z235" s="4">
        <f>Games[[#This Row],[K]]*Games[[#This Row],[POMult]]</f>
        <v>73.3</v>
      </c>
      <c r="AA235" s="4">
        <f>(Games[[#This Row],[Keff]]*Games[[#This Row],[MOVMult]])*(Games[[#This Row],[Result]]-Games[[#This Row],[ExpectedWin%]])</f>
        <v>-16.553712784070886</v>
      </c>
      <c r="AB235" s="4">
        <f>Games[[#This Row],[PreGmRate]]+Games[[#This Row],[RatingChange]]</f>
        <v>1347.4481561423506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45844</v>
      </c>
      <c r="B236" s="2">
        <v>2025</v>
      </c>
      <c r="C236" s="2">
        <f>COUNTIFS(Games[Team],Games[[#This Row],[Team]],Games[Season],Games[[#This Row],[Season]],Games[Date],"&lt;=" &amp; Games[[#This Row],[Date]])</f>
        <v>17</v>
      </c>
      <c r="D236" s="2" t="s">
        <v>79</v>
      </c>
      <c r="E236" s="2" t="s">
        <v>80</v>
      </c>
      <c r="F236" s="1" t="s">
        <v>75</v>
      </c>
      <c r="G236" s="1" t="s">
        <v>67</v>
      </c>
      <c r="H236" s="1" t="s">
        <v>81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6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6" s="2">
        <f>Games[[#This Row],[DaysOff]]-Games[[#This Row],[OppDaysOff]]</f>
        <v>6</v>
      </c>
      <c r="L236" s="2">
        <f>Games[[#This Row],[OppDaysOff]]-Games[[#This Row],[DaysOff]]</f>
        <v>-6</v>
      </c>
      <c r="M236" s="1">
        <f>MAX(-16, MIN(16, Games[[#This Row],[RestDiff]]*8))</f>
        <v>16</v>
      </c>
      <c r="N236" s="1">
        <f>MAX(-16, MIN(16, Games[[#This Row],[OppRestDiff]]*8))</f>
        <v>-16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1385.1019530862072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1651.6281104797545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0.13781187553118818</v>
      </c>
      <c r="R236" s="1">
        <v>75</v>
      </c>
      <c r="S236" s="1">
        <v>80</v>
      </c>
      <c r="T236" s="1">
        <v>0</v>
      </c>
      <c r="U236" s="1">
        <f>Games[[#This Row],[PointsFor]]-Games[[#This Row],[PointsAgainst]]</f>
        <v>-5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0.27146271380597259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6" s="9">
        <f>MAX(kmin, kmax - 0.15 * MIN(Games[[#This Row],[GamesPlayed]], 82))</f>
        <v>73.45</v>
      </c>
      <c r="Z236" s="4">
        <f>Games[[#This Row],[K]]*Games[[#This Row],[POMult]]</f>
        <v>73.45</v>
      </c>
      <c r="AA236" s="4">
        <f>(Games[[#This Row],[Keff]]*Games[[#This Row],[MOVMult]])*(Games[[#This Row],[Result]]-Games[[#This Row],[ExpectedWin%]])</f>
        <v>-2.7478222116031437</v>
      </c>
      <c r="AB236" s="4">
        <f>Games[[#This Row],[PreGmRate]]+Games[[#This Row],[RatingChange]]</f>
        <v>1382.3541308746042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45844</v>
      </c>
      <c r="B237" s="2">
        <v>2025</v>
      </c>
      <c r="C237" s="2">
        <f>COUNTIFS(Games[Team],Games[[#This Row],[Team]],Games[Season],Games[[#This Row],[Season]],Games[Date],"&lt;=" &amp; Games[[#This Row],[Date]])</f>
        <v>20</v>
      </c>
      <c r="D237" s="2" t="s">
        <v>79</v>
      </c>
      <c r="E237" s="2" t="s">
        <v>80</v>
      </c>
      <c r="F237" s="1" t="s">
        <v>67</v>
      </c>
      <c r="G237" s="1" t="s">
        <v>75</v>
      </c>
      <c r="H237" s="1" t="s">
        <v>82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37" s="2">
        <f>Games[[#This Row],[DaysOff]]-Games[[#This Row],[OppDaysOff]]</f>
        <v>-6</v>
      </c>
      <c r="L237" s="2">
        <f>Games[[#This Row],[OppDaysOff]]-Games[[#This Row],[DaysOff]]</f>
        <v>6</v>
      </c>
      <c r="M237" s="1">
        <f>MAX(-16, MIN(16, Games[[#This Row],[RestDiff]]*8))</f>
        <v>-16</v>
      </c>
      <c r="N237" s="1">
        <f>MAX(-16, MIN(16, Games[[#This Row],[OppRestDiff]]*8))</f>
        <v>16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1651.6281104797545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1385.1019530862072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0.86218812446881188</v>
      </c>
      <c r="R237" s="1">
        <v>80</v>
      </c>
      <c r="S237" s="1">
        <v>75</v>
      </c>
      <c r="T237" s="1">
        <v>0</v>
      </c>
      <c r="U237" s="1">
        <f>Games[[#This Row],[PointsFor]]-Games[[#This Row],[PointsAgainst]]</f>
        <v>5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0.27146271380597259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7" s="9">
        <f>MAX(kmin, kmax - 0.15 * MIN(Games[[#This Row],[GamesPlayed]], 82))</f>
        <v>73</v>
      </c>
      <c r="Z237" s="4">
        <f>Games[[#This Row],[K]]*Games[[#This Row],[POMult]]</f>
        <v>73</v>
      </c>
      <c r="AA237" s="4">
        <f>(Games[[#This Row],[Keff]]*Games[[#This Row],[MOVMult]])*(Games[[#This Row],[Result]]-Games[[#This Row],[ExpectedWin%]])</f>
        <v>2.730987358026268</v>
      </c>
      <c r="AB237" s="4">
        <f>Games[[#This Row],[PreGmRate]]+Games[[#This Row],[RatingChange]]</f>
        <v>1654.3590978377808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45844</v>
      </c>
      <c r="B238" s="2">
        <v>2025</v>
      </c>
      <c r="C238" s="2">
        <f>COUNTIFS(Games[Team],Games[[#This Row],[Team]],Games[Season],Games[[#This Row],[Season]],Games[Date],"&lt;=" &amp; Games[[#This Row],[Date]])</f>
        <v>19</v>
      </c>
      <c r="D238" s="2" t="s">
        <v>79</v>
      </c>
      <c r="E238" s="2" t="s">
        <v>80</v>
      </c>
      <c r="F238" s="1" t="s">
        <v>71</v>
      </c>
      <c r="G238" s="1" t="s">
        <v>60</v>
      </c>
      <c r="H238" s="1" t="s">
        <v>81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1564.6345247825807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1628.0582694950494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0.29971837489237346</v>
      </c>
      <c r="R238" s="1">
        <v>79</v>
      </c>
      <c r="S238" s="1">
        <v>70</v>
      </c>
      <c r="T238" s="1">
        <v>0</v>
      </c>
      <c r="U238" s="1">
        <f>Games[[#This Row],[PointsFor]]-Games[[#This Row],[PointsAgainst]]</f>
        <v>9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0.38559179738034849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8" s="9">
        <f>MAX(kmin, kmax - 0.15 * MIN(Games[[#This Row],[GamesPlayed]], 82))</f>
        <v>73.150000000000006</v>
      </c>
      <c r="Z238" s="4">
        <f>Games[[#This Row],[K]]*Games[[#This Row],[POMult]]</f>
        <v>73.150000000000006</v>
      </c>
      <c r="AA238" s="4">
        <f>(Games[[#This Row],[Keff]]*Games[[#This Row],[MOVMult]])*(Games[[#This Row],[Result]]-Games[[#This Row],[ExpectedWin%]])</f>
        <v>19.752171513905374</v>
      </c>
      <c r="AB238" s="4">
        <f>Games[[#This Row],[PreGmRate]]+Games[[#This Row],[RatingChange]]</f>
        <v>1584.386696296486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45844</v>
      </c>
      <c r="B239" s="2">
        <v>2025</v>
      </c>
      <c r="C239" s="2">
        <f>COUNTIFS(Games[Team],Games[[#This Row],[Team]],Games[Season],Games[[#This Row],[Season]],Games[Date],"&lt;=" &amp; Games[[#This Row],[Date]])</f>
        <v>18</v>
      </c>
      <c r="D239" s="2" t="s">
        <v>79</v>
      </c>
      <c r="E239" s="2" t="s">
        <v>80</v>
      </c>
      <c r="F239" s="1" t="s">
        <v>60</v>
      </c>
      <c r="G239" s="1" t="s">
        <v>71</v>
      </c>
      <c r="H239" s="1" t="s">
        <v>82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1628.0582694950494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1564.6345247825807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0.70028162510762659</v>
      </c>
      <c r="R239" s="1">
        <v>70</v>
      </c>
      <c r="S239" s="1">
        <v>79</v>
      </c>
      <c r="T239" s="1">
        <v>0</v>
      </c>
      <c r="U239" s="1">
        <f>Games[[#This Row],[PointsFor]]-Games[[#This Row],[PointsAgainst]]</f>
        <v>-9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0.38559179738034849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9" s="9">
        <f>MAX(kmin, kmax - 0.15 * MIN(Games[[#This Row],[GamesPlayed]], 82))</f>
        <v>73.3</v>
      </c>
      <c r="Z239" s="4">
        <f>Games[[#This Row],[K]]*Games[[#This Row],[POMult]]</f>
        <v>73.3</v>
      </c>
      <c r="AA239" s="4">
        <f>(Games[[#This Row],[Keff]]*Games[[#This Row],[MOVMult]])*(Games[[#This Row],[Result]]-Games[[#This Row],[ExpectedWin%]])</f>
        <v>-19.792674941480026</v>
      </c>
      <c r="AB239" s="4">
        <f>Games[[#This Row],[PreGmRate]]+Games[[#This Row],[RatingChange]]</f>
        <v>1608.2655945535694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45845</v>
      </c>
      <c r="B240" s="2">
        <v>2025</v>
      </c>
      <c r="C240" s="2">
        <f>COUNTIFS(Games[Team],Games[[#This Row],[Team]],Games[Season],Games[[#This Row],[Season]],Games[Date],"&lt;=" &amp; Games[[#This Row],[Date]])</f>
        <v>18</v>
      </c>
      <c r="D240" s="2" t="s">
        <v>79</v>
      </c>
      <c r="E240" s="2" t="s">
        <v>80</v>
      </c>
      <c r="F240" s="1" t="s">
        <v>88</v>
      </c>
      <c r="G240" s="1" t="s">
        <v>77</v>
      </c>
      <c r="H240" s="1" t="s">
        <v>81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0" s="2">
        <f>Games[[#This Row],[DaysOff]]-Games[[#This Row],[OppDaysOff]]</f>
        <v>-2</v>
      </c>
      <c r="L240" s="2">
        <f>Games[[#This Row],[OppDaysOff]]-Games[[#This Row],[DaysOff]]</f>
        <v>2</v>
      </c>
      <c r="M240" s="1">
        <f>MAX(-16, MIN(16, Games[[#This Row],[RestDiff]]*8))</f>
        <v>-16</v>
      </c>
      <c r="N240" s="1">
        <f>MAX(-16, MIN(16, Games[[#This Row],[OppRestDiff]]*8))</f>
        <v>16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1525.7152735866762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1534.7774304881109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0.32741155865029631</v>
      </c>
      <c r="R240" s="1">
        <v>81</v>
      </c>
      <c r="S240" s="1">
        <v>90</v>
      </c>
      <c r="T240" s="1">
        <v>0</v>
      </c>
      <c r="U240" s="1">
        <f>Games[[#This Row],[PointsFor]]-Games[[#This Row],[PointsAgainst]]</f>
        <v>-9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0.40292869129672559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0" s="9">
        <f>MAX(kmin, kmax - 0.15 * MIN(Games[[#This Row],[GamesPlayed]], 82))</f>
        <v>73.3</v>
      </c>
      <c r="Z240" s="4">
        <f>Games[[#This Row],[K]]*Games[[#This Row],[POMult]]</f>
        <v>73.3</v>
      </c>
      <c r="AA240" s="4">
        <f>(Games[[#This Row],[Keff]]*Games[[#This Row],[MOVMult]])*(Games[[#This Row],[Result]]-Games[[#This Row],[ExpectedWin%]])</f>
        <v>-9.6699933447468194</v>
      </c>
      <c r="AB240" s="4">
        <f>Games[[#This Row],[PreGmRate]]+Games[[#This Row],[RatingChange]]</f>
        <v>1516.0452802419293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45845</v>
      </c>
      <c r="B241" s="2">
        <v>2025</v>
      </c>
      <c r="C241" s="2">
        <f>COUNTIFS(Games[Team],Games[[#This Row],[Team]],Games[Season],Games[[#This Row],[Season]],Games[Date],"&lt;=" &amp; Games[[#This Row],[Date]])</f>
        <v>19</v>
      </c>
      <c r="D241" s="2" t="s">
        <v>79</v>
      </c>
      <c r="E241" s="2" t="s">
        <v>80</v>
      </c>
      <c r="F241" s="1" t="s">
        <v>77</v>
      </c>
      <c r="G241" s="1" t="s">
        <v>88</v>
      </c>
      <c r="H241" s="1" t="s">
        <v>82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1" s="2">
        <f>Games[[#This Row],[DaysOff]]-Games[[#This Row],[OppDaysOff]]</f>
        <v>2</v>
      </c>
      <c r="L241" s="2">
        <f>Games[[#This Row],[OppDaysOff]]-Games[[#This Row],[DaysOff]]</f>
        <v>-2</v>
      </c>
      <c r="M241" s="1">
        <f>MAX(-16, MIN(16, Games[[#This Row],[RestDiff]]*8))</f>
        <v>16</v>
      </c>
      <c r="N241" s="1">
        <f>MAX(-16, MIN(16, Games[[#This Row],[OppRestDiff]]*8))</f>
        <v>-16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1534.7774304881109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1525.7152735866762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0.67258844134970375</v>
      </c>
      <c r="R241" s="1">
        <v>90</v>
      </c>
      <c r="S241" s="1">
        <v>81</v>
      </c>
      <c r="T241" s="1">
        <v>0</v>
      </c>
      <c r="U241" s="1">
        <f>Games[[#This Row],[PointsFor]]-Games[[#This Row],[PointsAgainst]]</f>
        <v>9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0.40292869129672559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1" s="9">
        <f>MAX(kmin, kmax - 0.15 * MIN(Games[[#This Row],[GamesPlayed]], 82))</f>
        <v>73.150000000000006</v>
      </c>
      <c r="Z241" s="4">
        <f>Games[[#This Row],[K]]*Games[[#This Row],[POMult]]</f>
        <v>73.150000000000006</v>
      </c>
      <c r="AA241" s="4">
        <f>(Games[[#This Row],[Keff]]*Games[[#This Row],[MOVMult]])*(Games[[#This Row],[Result]]-Games[[#This Row],[ExpectedWin%]])</f>
        <v>9.6502048181204625</v>
      </c>
      <c r="AB241" s="4">
        <f>Games[[#This Row],[PreGmRate]]+Games[[#This Row],[RatingChange]]</f>
        <v>1544.4276353062314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45845</v>
      </c>
      <c r="B242" s="2">
        <v>2025</v>
      </c>
      <c r="C242" s="2">
        <f>COUNTIFS(Games[Team],Games[[#This Row],[Team]],Games[Season],Games[[#This Row],[Season]],Games[Date],"&lt;=" &amp; Games[[#This Row],[Date]])</f>
        <v>20</v>
      </c>
      <c r="D242" s="2" t="s">
        <v>79</v>
      </c>
      <c r="E242" s="2" t="s">
        <v>80</v>
      </c>
      <c r="F242" s="1" t="s">
        <v>85</v>
      </c>
      <c r="G242" s="1" t="s">
        <v>40</v>
      </c>
      <c r="H242" s="1" t="s">
        <v>81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2" s="2">
        <f>Games[[#This Row],[DaysOff]]-Games[[#This Row],[OppDaysOff]]</f>
        <v>0</v>
      </c>
      <c r="L242" s="2">
        <f>Games[[#This Row],[OppDaysOff]]-Games[[#This Row],[DaysOff]]</f>
        <v>0</v>
      </c>
      <c r="M242" s="1">
        <f>MAX(-16, MIN(16, Games[[#This Row],[RestDiff]]*8))</f>
        <v>0</v>
      </c>
      <c r="N242" s="1">
        <f>MAX(-16, MIN(16, Games[[#This Row],[OppRestDiff]]*8))</f>
        <v>0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1398.7871165656936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1539.5058488478323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0.21524662922790361</v>
      </c>
      <c r="R242" s="1">
        <v>72</v>
      </c>
      <c r="S242" s="1">
        <v>102</v>
      </c>
      <c r="T242" s="1">
        <v>0</v>
      </c>
      <c r="U242" s="1">
        <f>Games[[#This Row],[PointsFor]]-Games[[#This Row],[PointsAgainst]]</f>
        <v>-30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0.62965571465748871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2" s="9">
        <f>MAX(kmin, kmax - 0.15 * MIN(Games[[#This Row],[GamesPlayed]], 82))</f>
        <v>73</v>
      </c>
      <c r="Z242" s="4">
        <f>Games[[#This Row],[K]]*Games[[#This Row],[POMult]]</f>
        <v>73</v>
      </c>
      <c r="AA242" s="4">
        <f>(Games[[#This Row],[Keff]]*Games[[#This Row],[MOVMult]])*(Games[[#This Row],[Result]]-Games[[#This Row],[ExpectedWin%]])</f>
        <v>-9.8937827212501119</v>
      </c>
      <c r="AB242" s="4">
        <f>Games[[#This Row],[PreGmRate]]+Games[[#This Row],[RatingChange]]</f>
        <v>1388.8933338444435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45845</v>
      </c>
      <c r="B243" s="2">
        <v>2025</v>
      </c>
      <c r="C243" s="2">
        <f>COUNTIFS(Games[Team],Games[[#This Row],[Team]],Games[Season],Games[[#This Row],[Season]],Games[Date],"&lt;=" &amp; Games[[#This Row],[Date]])</f>
        <v>19</v>
      </c>
      <c r="D243" s="2" t="s">
        <v>79</v>
      </c>
      <c r="E243" s="2" t="s">
        <v>80</v>
      </c>
      <c r="F243" s="1" t="s">
        <v>40</v>
      </c>
      <c r="G243" s="1" t="s">
        <v>85</v>
      </c>
      <c r="H243" s="1" t="s">
        <v>82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3" s="2">
        <f>Games[[#This Row],[DaysOff]]-Games[[#This Row],[OppDaysOff]]</f>
        <v>0</v>
      </c>
      <c r="L243" s="2">
        <f>Games[[#This Row],[OppDaysOff]]-Games[[#This Row],[DaysOff]]</f>
        <v>0</v>
      </c>
      <c r="M243" s="1">
        <f>MAX(-16, MIN(16, Games[[#This Row],[RestDiff]]*8))</f>
        <v>0</v>
      </c>
      <c r="N243" s="1">
        <f>MAX(-16, MIN(16, Games[[#This Row],[OppRestDiff]]*8))</f>
        <v>0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1539.5058488478323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1398.7871165656936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0.78475337077209639</v>
      </c>
      <c r="R243" s="1">
        <v>102</v>
      </c>
      <c r="S243" s="1">
        <v>72</v>
      </c>
      <c r="T243" s="1">
        <v>0</v>
      </c>
      <c r="U243" s="1">
        <f>Games[[#This Row],[PointsFor]]-Games[[#This Row],[PointsAgainst]]</f>
        <v>30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0.62965571465748871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3" s="9">
        <f>MAX(kmin, kmax - 0.15 * MIN(Games[[#This Row],[GamesPlayed]], 82))</f>
        <v>73.150000000000006</v>
      </c>
      <c r="Z243" s="4">
        <f>Games[[#This Row],[K]]*Games[[#This Row],[POMult]]</f>
        <v>73.150000000000006</v>
      </c>
      <c r="AA243" s="4">
        <f>(Games[[#This Row],[Keff]]*Games[[#This Row],[MOVMult]])*(Games[[#This Row],[Result]]-Games[[#This Row],[ExpectedWin%]])</f>
        <v>9.91411241177323</v>
      </c>
      <c r="AB243" s="4">
        <f>Games[[#This Row],[PreGmRate]]+Games[[#This Row],[RatingChange]]</f>
        <v>1549.4199612596055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45846</v>
      </c>
      <c r="B244" s="2">
        <v>2025</v>
      </c>
      <c r="C244" s="2">
        <f>COUNTIFS(Games[Team],Games[[#This Row],[Team]],Games[Season],Games[[#This Row],[Season]],Games[Date],"&lt;=" &amp; Games[[#This Row],[Date]])</f>
        <v>19</v>
      </c>
      <c r="D244" s="2" t="s">
        <v>79</v>
      </c>
      <c r="E244" s="2" t="s">
        <v>80</v>
      </c>
      <c r="F244" s="1" t="s">
        <v>86</v>
      </c>
      <c r="G244" s="1" t="s">
        <v>60</v>
      </c>
      <c r="H244" s="1" t="s">
        <v>81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1523.0039924167552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1608.2655945535694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0.27401468157118675</v>
      </c>
      <c r="R244" s="1">
        <v>78</v>
      </c>
      <c r="S244" s="1">
        <v>87</v>
      </c>
      <c r="T244" s="1">
        <v>0</v>
      </c>
      <c r="U244" s="1">
        <f>Games[[#This Row],[PointsFor]]-Games[[#This Row],[PointsAgainst]]</f>
        <v>-9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0.37904021388856002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4" s="9">
        <f>MAX(kmin, kmax - 0.15 * MIN(Games[[#This Row],[GamesPlayed]], 82))</f>
        <v>73.150000000000006</v>
      </c>
      <c r="Z244" s="4">
        <f>Games[[#This Row],[K]]*Games[[#This Row],[POMult]]</f>
        <v>73.150000000000006</v>
      </c>
      <c r="AA244" s="4">
        <f>(Games[[#This Row],[Keff]]*Games[[#This Row],[MOVMult]])*(Games[[#This Row],[Result]]-Games[[#This Row],[ExpectedWin%]])</f>
        <v>-7.5975479838551285</v>
      </c>
      <c r="AB244" s="4">
        <f>Games[[#This Row],[PreGmRate]]+Games[[#This Row],[RatingChange]]</f>
        <v>1515.4064444329001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45846</v>
      </c>
      <c r="B245" s="2">
        <v>2025</v>
      </c>
      <c r="C245" s="2">
        <f>COUNTIFS(Games[Team],Games[[#This Row],[Team]],Games[Season],Games[[#This Row],[Season]],Games[Date],"&lt;=" &amp; Games[[#This Row],[Date]])</f>
        <v>19</v>
      </c>
      <c r="D245" s="2" t="s">
        <v>79</v>
      </c>
      <c r="E245" s="2" t="s">
        <v>80</v>
      </c>
      <c r="F245" s="1" t="s">
        <v>60</v>
      </c>
      <c r="G245" s="1" t="s">
        <v>86</v>
      </c>
      <c r="H245" s="1" t="s">
        <v>82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1608.2655945535694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1523.0039924167552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0.72598531842881331</v>
      </c>
      <c r="R245" s="1">
        <v>87</v>
      </c>
      <c r="S245" s="1">
        <v>78</v>
      </c>
      <c r="T245" s="1">
        <v>0</v>
      </c>
      <c r="U245" s="1">
        <f>Games[[#This Row],[PointsFor]]-Games[[#This Row],[PointsAgainst]]</f>
        <v>9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0.37904021388856002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5" s="9">
        <f>MAX(kmin, kmax - 0.15 * MIN(Games[[#This Row],[GamesPlayed]], 82))</f>
        <v>73.150000000000006</v>
      </c>
      <c r="Z245" s="4">
        <f>Games[[#This Row],[K]]*Games[[#This Row],[POMult]]</f>
        <v>73.150000000000006</v>
      </c>
      <c r="AA245" s="4">
        <f>(Games[[#This Row],[Keff]]*Games[[#This Row],[MOVMult]])*(Games[[#This Row],[Result]]-Games[[#This Row],[ExpectedWin%]])</f>
        <v>7.5975479838551268</v>
      </c>
      <c r="AB245" s="4">
        <f>Games[[#This Row],[PreGmRate]]+Games[[#This Row],[RatingChange]]</f>
        <v>1615.8631425374244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45846</v>
      </c>
      <c r="B246" s="2">
        <v>2025</v>
      </c>
      <c r="C246" s="2">
        <f>COUNTIFS(Games[Team],Games[[#This Row],[Team]],Games[Season],Games[[#This Row],[Season]],Games[Date],"&lt;=" &amp; Games[[#This Row],[Date]])</f>
        <v>18</v>
      </c>
      <c r="D246" s="2" t="s">
        <v>79</v>
      </c>
      <c r="E246" s="2" t="s">
        <v>80</v>
      </c>
      <c r="F246" s="1" t="s">
        <v>75</v>
      </c>
      <c r="G246" s="1" t="s">
        <v>65</v>
      </c>
      <c r="H246" s="1" t="s">
        <v>81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6" s="2">
        <f>Games[[#This Row],[DaysOff]]-Games[[#This Row],[OppDaysOff]]</f>
        <v>-3</v>
      </c>
      <c r="L246" s="2">
        <f>Games[[#This Row],[OppDaysOff]]-Games[[#This Row],[DaysOff]]</f>
        <v>3</v>
      </c>
      <c r="M246" s="1">
        <f>MAX(-16, MIN(16, Games[[#This Row],[RestDiff]]*8))</f>
        <v>-16</v>
      </c>
      <c r="N246" s="1">
        <f>MAX(-16, MIN(16, Games[[#This Row],[OppRestDiff]]*8))</f>
        <v>16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1382.3541308746042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1473.460836135512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0.23286533571976911</v>
      </c>
      <c r="R246" s="1">
        <v>79</v>
      </c>
      <c r="S246" s="1">
        <v>81</v>
      </c>
      <c r="T246" s="1">
        <v>0</v>
      </c>
      <c r="U246" s="1">
        <f>Games[[#This Row],[PointsFor]]-Games[[#This Row],[PointsAgainst]]</f>
        <v>-2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0.24894114766962902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6" s="9">
        <f>MAX(kmin, kmax - 0.15 * MIN(Games[[#This Row],[GamesPlayed]], 82))</f>
        <v>73.3</v>
      </c>
      <c r="Z246" s="4">
        <f>Games[[#This Row],[K]]*Games[[#This Row],[POMult]]</f>
        <v>73.3</v>
      </c>
      <c r="AA246" s="4">
        <f>(Games[[#This Row],[Keff]]*Games[[#This Row],[MOVMult]])*(Games[[#This Row],[Result]]-Games[[#This Row],[ExpectedWin%]])</f>
        <v>-4.2491836958163187</v>
      </c>
      <c r="AB246" s="4">
        <f>Games[[#This Row],[PreGmRate]]+Games[[#This Row],[RatingChange]]</f>
        <v>1378.1049471787878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45846</v>
      </c>
      <c r="B247" s="2">
        <v>2025</v>
      </c>
      <c r="C247" s="2">
        <f>COUNTIFS(Games[Team],Games[[#This Row],[Team]],Games[Season],Games[[#This Row],[Season]],Games[Date],"&lt;=" &amp; Games[[#This Row],[Date]])</f>
        <v>19</v>
      </c>
      <c r="D247" s="2" t="s">
        <v>79</v>
      </c>
      <c r="E247" s="2" t="s">
        <v>80</v>
      </c>
      <c r="F247" s="1" t="s">
        <v>65</v>
      </c>
      <c r="G247" s="1" t="s">
        <v>75</v>
      </c>
      <c r="H247" s="1" t="s">
        <v>82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3</v>
      </c>
      <c r="L247" s="2">
        <f>Games[[#This Row],[OppDaysOff]]-Games[[#This Row],[DaysOff]]</f>
        <v>-3</v>
      </c>
      <c r="M247" s="1">
        <f>MAX(-16, MIN(16, Games[[#This Row],[RestDiff]]*8))</f>
        <v>16</v>
      </c>
      <c r="N247" s="1">
        <f>MAX(-16, MIN(16, Games[[#This Row],[OppRestDiff]]*8))</f>
        <v>-16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1473.460836135512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1382.3541308746042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0.76713466428023092</v>
      </c>
      <c r="R247" s="1">
        <v>81</v>
      </c>
      <c r="S247" s="1">
        <v>79</v>
      </c>
      <c r="T247" s="1">
        <v>0</v>
      </c>
      <c r="U247" s="1">
        <f>Games[[#This Row],[PointsFor]]-Games[[#This Row],[PointsAgainst]]</f>
        <v>2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0.24894114766962902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7" s="9">
        <f>MAX(kmin, kmax - 0.15 * MIN(Games[[#This Row],[GamesPlayed]], 82))</f>
        <v>73.150000000000006</v>
      </c>
      <c r="Z247" s="4">
        <f>Games[[#This Row],[K]]*Games[[#This Row],[POMult]]</f>
        <v>73.150000000000006</v>
      </c>
      <c r="AA247" s="4">
        <f>(Games[[#This Row],[Keff]]*Games[[#This Row],[MOVMult]])*(Games[[#This Row],[Result]]-Games[[#This Row],[ExpectedWin%]])</f>
        <v>4.240488231227336</v>
      </c>
      <c r="AB247" s="4">
        <f>Games[[#This Row],[PreGmRate]]+Games[[#This Row],[RatingChange]]</f>
        <v>1477.7013243667393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45847</v>
      </c>
      <c r="B248" s="2">
        <v>2025</v>
      </c>
      <c r="C248" s="2">
        <f>COUNTIFS(Games[Team],Games[[#This Row],[Team]],Games[Season],Games[[#This Row],[Season]],Games[Date],"&lt;=" &amp; Games[[#This Row],[Date]])</f>
        <v>21</v>
      </c>
      <c r="D248" s="2" t="s">
        <v>79</v>
      </c>
      <c r="E248" s="2" t="s">
        <v>80</v>
      </c>
      <c r="F248" s="1" t="s">
        <v>85</v>
      </c>
      <c r="G248" s="1" t="s">
        <v>75</v>
      </c>
      <c r="H248" s="1" t="s">
        <v>81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8" s="2">
        <f>Games[[#This Row],[DaysOff]]-Games[[#This Row],[OppDaysOff]]</f>
        <v>1</v>
      </c>
      <c r="L248" s="2">
        <f>Games[[#This Row],[OppDaysOff]]-Games[[#This Row],[DaysOff]]</f>
        <v>-1</v>
      </c>
      <c r="M248" s="1">
        <f>MAX(-16, MIN(16, Games[[#This Row],[RestDiff]]*8))</f>
        <v>8</v>
      </c>
      <c r="N248" s="1">
        <f>MAX(-16, MIN(16, Games[[#This Row],[OppRestDiff]]*8))</f>
        <v>-8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1388.8933338444435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1378.1049471787878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0.41840206680834907</v>
      </c>
      <c r="R248" s="1">
        <v>76</v>
      </c>
      <c r="S248" s="1">
        <v>87</v>
      </c>
      <c r="T248" s="1">
        <v>0</v>
      </c>
      <c r="U248" s="1">
        <f>Games[[#This Row],[PointsFor]]-Games[[#This Row],[PointsAgainst]]</f>
        <v>-11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0.43591693653641228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8" s="9">
        <f>MAX(kmin, kmax - 0.15 * MIN(Games[[#This Row],[GamesPlayed]], 82))</f>
        <v>72.849999999999994</v>
      </c>
      <c r="Z248" s="4">
        <f>Games[[#This Row],[K]]*Games[[#This Row],[POMult]]</f>
        <v>72.849999999999994</v>
      </c>
      <c r="AA248" s="4">
        <f>(Games[[#This Row],[Keff]]*Games[[#This Row],[MOVMult]])*(Games[[#This Row],[Result]]-Games[[#This Row],[ExpectedWin%]])</f>
        <v>-13.287005663782175</v>
      </c>
      <c r="AB248" s="4">
        <f>Games[[#This Row],[PreGmRate]]+Games[[#This Row],[RatingChange]]</f>
        <v>1375.6063281806614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45847</v>
      </c>
      <c r="B249" s="2">
        <v>2025</v>
      </c>
      <c r="C249" s="2">
        <f>COUNTIFS(Games[Team],Games[[#This Row],[Team]],Games[Season],Games[[#This Row],[Season]],Games[Date],"&lt;=" &amp; Games[[#This Row],[Date]])</f>
        <v>19</v>
      </c>
      <c r="D249" s="2" t="s">
        <v>79</v>
      </c>
      <c r="E249" s="2" t="s">
        <v>80</v>
      </c>
      <c r="F249" s="1" t="s">
        <v>75</v>
      </c>
      <c r="G249" s="1" t="s">
        <v>85</v>
      </c>
      <c r="H249" s="1" t="s">
        <v>82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9" s="2">
        <f>Games[[#This Row],[DaysOff]]-Games[[#This Row],[OppDaysOff]]</f>
        <v>-1</v>
      </c>
      <c r="L249" s="2">
        <f>Games[[#This Row],[OppDaysOff]]-Games[[#This Row],[DaysOff]]</f>
        <v>1</v>
      </c>
      <c r="M249" s="1">
        <f>MAX(-16, MIN(16, Games[[#This Row],[RestDiff]]*8))</f>
        <v>-8</v>
      </c>
      <c r="N249" s="1">
        <f>MAX(-16, MIN(16, Games[[#This Row],[OppRestDiff]]*8))</f>
        <v>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1378.1049471787878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1388.8933338444435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0.58159793319165087</v>
      </c>
      <c r="R249" s="1">
        <v>87</v>
      </c>
      <c r="S249" s="1">
        <v>76</v>
      </c>
      <c r="T249" s="1">
        <v>0</v>
      </c>
      <c r="U249" s="1">
        <f>Games[[#This Row],[PointsFor]]-Games[[#This Row],[PointsAgainst]]</f>
        <v>11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0.43591693653641228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9" s="9">
        <f>MAX(kmin, kmax - 0.15 * MIN(Games[[#This Row],[GamesPlayed]], 82))</f>
        <v>73.150000000000006</v>
      </c>
      <c r="Z249" s="4">
        <f>Games[[#This Row],[K]]*Games[[#This Row],[POMult]]</f>
        <v>73.150000000000006</v>
      </c>
      <c r="AA249" s="4">
        <f>(Games[[#This Row],[Keff]]*Games[[#This Row],[MOVMult]])*(Games[[#This Row],[Result]]-Games[[#This Row],[ExpectedWin%]])</f>
        <v>13.341722227943258</v>
      </c>
      <c r="AB249" s="4">
        <f>Games[[#This Row],[PreGmRate]]+Games[[#This Row],[RatingChange]]</f>
        <v>1391.4466694067312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45847</v>
      </c>
      <c r="B250" s="2">
        <v>2025</v>
      </c>
      <c r="C250" s="2">
        <f>COUNTIFS(Games[Team],Games[[#This Row],[Team]],Games[Season],Games[[#This Row],[Season]],Games[Date],"&lt;=" &amp; Games[[#This Row],[Date]])</f>
        <v>20</v>
      </c>
      <c r="D250" s="2" t="s">
        <v>79</v>
      </c>
      <c r="E250" s="2" t="s">
        <v>80</v>
      </c>
      <c r="F250" s="1" t="s">
        <v>71</v>
      </c>
      <c r="G250" s="1" t="s">
        <v>74</v>
      </c>
      <c r="H250" s="1" t="s">
        <v>81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1584.386696296486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1347.4481561423506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0.70690199759956907</v>
      </c>
      <c r="R250" s="1">
        <v>83</v>
      </c>
      <c r="S250" s="1">
        <v>93</v>
      </c>
      <c r="T250" s="1">
        <v>0</v>
      </c>
      <c r="U250" s="1">
        <f>Games[[#This Row],[PointsFor]]-Games[[#This Row],[PointsAgainst]]</f>
        <v>-10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0.35335932958153904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0" s="9">
        <f>MAX(kmin, kmax - 0.15 * MIN(Games[[#This Row],[GamesPlayed]], 82))</f>
        <v>73</v>
      </c>
      <c r="Z250" s="4">
        <f>Games[[#This Row],[K]]*Games[[#This Row],[POMult]]</f>
        <v>73</v>
      </c>
      <c r="AA250" s="4">
        <f>(Games[[#This Row],[Keff]]*Games[[#This Row],[MOVMult]])*(Games[[#This Row],[Result]]-Games[[#This Row],[ExpectedWin%]])</f>
        <v>-18.234700364469312</v>
      </c>
      <c r="AB250" s="4">
        <f>Games[[#This Row],[PreGmRate]]+Games[[#This Row],[RatingChange]]</f>
        <v>1566.1519959320167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45847</v>
      </c>
      <c r="B251" s="2">
        <v>2025</v>
      </c>
      <c r="C251" s="2">
        <f>COUNTIFS(Games[Team],Games[[#This Row],[Team]],Games[Season],Games[[#This Row],[Season]],Games[Date],"&lt;=" &amp; Games[[#This Row],[Date]])</f>
        <v>19</v>
      </c>
      <c r="D251" s="2" t="s">
        <v>79</v>
      </c>
      <c r="E251" s="2" t="s">
        <v>80</v>
      </c>
      <c r="F251" s="1" t="s">
        <v>74</v>
      </c>
      <c r="G251" s="1" t="s">
        <v>71</v>
      </c>
      <c r="H251" s="1" t="s">
        <v>82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1347.4481561423506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1584.386696296486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0.29309800240043088</v>
      </c>
      <c r="R251" s="1">
        <v>93</v>
      </c>
      <c r="S251" s="1">
        <v>83</v>
      </c>
      <c r="T251" s="1">
        <v>0</v>
      </c>
      <c r="U251" s="1">
        <f>Games[[#This Row],[PointsFor]]-Games[[#This Row],[PointsAgainst]]</f>
        <v>10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0.35335932958153904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1" s="9">
        <f>MAX(kmin, kmax - 0.15 * MIN(Games[[#This Row],[GamesPlayed]], 82))</f>
        <v>73.150000000000006</v>
      </c>
      <c r="Z251" s="4">
        <f>Games[[#This Row],[K]]*Games[[#This Row],[POMult]]</f>
        <v>73.150000000000006</v>
      </c>
      <c r="AA251" s="4">
        <f>(Games[[#This Row],[Keff]]*Games[[#This Row],[MOVMult]])*(Games[[#This Row],[Result]]-Games[[#This Row],[ExpectedWin%]])</f>
        <v>18.272168926862065</v>
      </c>
      <c r="AB251" s="4">
        <f>Games[[#This Row],[PreGmRate]]+Games[[#This Row],[RatingChange]]</f>
        <v>1365.7203250692128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45847</v>
      </c>
      <c r="B252" s="2">
        <v>2025</v>
      </c>
      <c r="C252" s="2">
        <f>COUNTIFS(Games[Team],Games[[#This Row],[Team]],Games[Season],Games[[#This Row],[Season]],Games[Date],"&lt;=" &amp; Games[[#This Row],[Date]])</f>
        <v>19</v>
      </c>
      <c r="D252" s="2" t="s">
        <v>79</v>
      </c>
      <c r="E252" s="2" t="s">
        <v>80</v>
      </c>
      <c r="F252" s="1" t="s">
        <v>88</v>
      </c>
      <c r="G252" s="1" t="s">
        <v>69</v>
      </c>
      <c r="H252" s="1" t="s">
        <v>81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2" s="2">
        <f>Games[[#This Row],[DaysOff]]-Games[[#This Row],[OppDaysOff]]</f>
        <v>-2</v>
      </c>
      <c r="L252" s="2">
        <f>Games[[#This Row],[OppDaysOff]]-Games[[#This Row],[DaysOff]]</f>
        <v>2</v>
      </c>
      <c r="M252" s="1">
        <f>MAX(-16, MIN(16, Games[[#This Row],[RestDiff]]*8))</f>
        <v>-16</v>
      </c>
      <c r="N252" s="1">
        <f>MAX(-16, MIN(16, Games[[#This Row],[OppRestDiff]]*8))</f>
        <v>16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1516.0452802419293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1544.1055837293702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0.30379780393372413</v>
      </c>
      <c r="R252" s="1">
        <v>80</v>
      </c>
      <c r="S252" s="1">
        <v>61</v>
      </c>
      <c r="T252" s="1">
        <v>0</v>
      </c>
      <c r="U252" s="1">
        <f>Games[[#This Row],[PointsFor]]-Games[[#This Row],[PointsAgainst]]</f>
        <v>19</v>
      </c>
      <c r="V252" s="1">
        <f>IF(Games[[#This Row],[MOV]]&gt;0,1,IF(Games[[#This Row],[MOV]]=0,0.5,0))</f>
        <v>1</v>
      </c>
      <c r="W252" s="4">
        <f>((ABS(Games[[#This Row],[MOV]])+5)^0.6)/(12+0.01*(ABS(Games[[#This Row],[PreGmRate]]-Games[[#This Row],[OppPreGmRate]])))*IF(Games[[#This Row],[OT]]=1,0.9,1)</f>
        <v>0.54815963463361306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2" s="9">
        <f>MAX(kmin, kmax - 0.15 * MIN(Games[[#This Row],[GamesPlayed]], 82))</f>
        <v>73.150000000000006</v>
      </c>
      <c r="Z252" s="4">
        <f>Games[[#This Row],[K]]*Games[[#This Row],[POMult]]</f>
        <v>73.150000000000006</v>
      </c>
      <c r="AA252" s="4">
        <f>(Games[[#This Row],[Keff]]*Games[[#This Row],[MOVMult]])*(Games[[#This Row],[Result]]-Games[[#This Row],[ExpectedWin%]])</f>
        <v>27.916230215371069</v>
      </c>
      <c r="AB252" s="4">
        <f>Games[[#This Row],[PreGmRate]]+Games[[#This Row],[RatingChange]]</f>
        <v>1543.9615104573004</v>
      </c>
      <c r="AC252" s="2">
        <f>IF(Games[[#This Row],[Type]]="R",IF(Games[[#This Row],[Result]]&gt;0.5,1,0),0)</f>
        <v>1</v>
      </c>
      <c r="AD252" s="2">
        <f>IF(Games[[#This Row],[Type]]="R",IF(Games[[#This Row],[Result]]&lt;0.5,1,0),0)</f>
        <v>0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45847</v>
      </c>
      <c r="B253" s="2">
        <v>2025</v>
      </c>
      <c r="C253" s="2">
        <f>COUNTIFS(Games[Team],Games[[#This Row],[Team]],Games[Season],Games[[#This Row],[Season]],Games[Date],"&lt;=" &amp; Games[[#This Row],[Date]])</f>
        <v>20</v>
      </c>
      <c r="D253" s="2" t="s">
        <v>79</v>
      </c>
      <c r="E253" s="2" t="s">
        <v>80</v>
      </c>
      <c r="F253" s="1" t="s">
        <v>69</v>
      </c>
      <c r="G253" s="1" t="s">
        <v>88</v>
      </c>
      <c r="H253" s="1" t="s">
        <v>82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2</v>
      </c>
      <c r="L253" s="2">
        <f>Games[[#This Row],[OppDaysOff]]-Games[[#This Row],[DaysOff]]</f>
        <v>-2</v>
      </c>
      <c r="M253" s="1">
        <f>MAX(-16, MIN(16, Games[[#This Row],[RestDiff]]*8))</f>
        <v>16</v>
      </c>
      <c r="N253" s="1">
        <f>MAX(-16, MIN(16, Games[[#This Row],[OppRestDiff]]*8))</f>
        <v>-16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1544.1055837293702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1516.0452802419293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0.69620219606627587</v>
      </c>
      <c r="R253" s="1">
        <v>61</v>
      </c>
      <c r="S253" s="1">
        <v>80</v>
      </c>
      <c r="T253" s="1">
        <v>0</v>
      </c>
      <c r="U253" s="1">
        <f>Games[[#This Row],[PointsFor]]-Games[[#This Row],[PointsAgainst]]</f>
        <v>-19</v>
      </c>
      <c r="V253" s="1">
        <f>IF(Games[[#This Row],[MOV]]&gt;0,1,IF(Games[[#This Row],[MOV]]=0,0.5,0))</f>
        <v>0</v>
      </c>
      <c r="W253" s="4">
        <f>((ABS(Games[[#This Row],[MOV]])+5)^0.6)/(12+0.01*(ABS(Games[[#This Row],[PreGmRate]]-Games[[#This Row],[OppPreGmRate]])))*IF(Games[[#This Row],[OT]]=1,0.9,1)</f>
        <v>0.54815963463361306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3" s="9">
        <f>MAX(kmin, kmax - 0.15 * MIN(Games[[#This Row],[GamesPlayed]], 82))</f>
        <v>73</v>
      </c>
      <c r="Z253" s="4">
        <f>Games[[#This Row],[K]]*Games[[#This Row],[POMult]]</f>
        <v>73</v>
      </c>
      <c r="AA253" s="4">
        <f>(Games[[#This Row],[Keff]]*Games[[#This Row],[MOVMult]])*(Games[[#This Row],[Result]]-Games[[#This Row],[ExpectedWin%]])</f>
        <v>-27.858985724157044</v>
      </c>
      <c r="AB253" s="4">
        <f>Games[[#This Row],[PreGmRate]]+Games[[#This Row],[RatingChange]]</f>
        <v>1516.2465980052132</v>
      </c>
      <c r="AC253" s="2">
        <f>IF(Games[[#This Row],[Type]]="R",IF(Games[[#This Row],[Result]]&gt;0.5,1,0),0)</f>
        <v>0</v>
      </c>
      <c r="AD253" s="2">
        <f>IF(Games[[#This Row],[Type]]="R",IF(Games[[#This Row],[Result]]&lt;0.5,1,0),0)</f>
        <v>1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45847</v>
      </c>
      <c r="B254" s="2">
        <v>2025</v>
      </c>
      <c r="C254" s="2">
        <f>COUNTIFS(Games[Team],Games[[#This Row],[Team]],Games[Season],Games[[#This Row],[Season]],Games[Date],"&lt;=" &amp; Games[[#This Row],[Date]])</f>
        <v>21</v>
      </c>
      <c r="D254" s="2" t="s">
        <v>79</v>
      </c>
      <c r="E254" s="2" t="s">
        <v>80</v>
      </c>
      <c r="F254" s="1" t="s">
        <v>67</v>
      </c>
      <c r="G254" s="1" t="s">
        <v>40</v>
      </c>
      <c r="H254" s="1" t="s">
        <v>81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1</v>
      </c>
      <c r="L254" s="2">
        <f>Games[[#This Row],[OppDaysOff]]-Games[[#This Row],[DaysOff]]</f>
        <v>-1</v>
      </c>
      <c r="M254" s="1">
        <f>MAX(-16, MIN(16, Games[[#This Row],[RestDiff]]*8))</f>
        <v>8</v>
      </c>
      <c r="N254" s="1">
        <f>MAX(-16, MIN(16, Games[[#This Row],[OppRestDiff]]*8))</f>
        <v>-8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1654.3590978377808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1549.4199612596055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0.55296028995391677</v>
      </c>
      <c r="R254" s="1">
        <v>71</v>
      </c>
      <c r="S254" s="1">
        <v>79</v>
      </c>
      <c r="T254" s="1">
        <v>0</v>
      </c>
      <c r="U254" s="1">
        <f>Games[[#This Row],[PointsFor]]-Games[[#This Row],[PointsAgainst]]</f>
        <v>-8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0.35708841044150191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4" s="9">
        <f>MAX(kmin, kmax - 0.15 * MIN(Games[[#This Row],[GamesPlayed]], 82))</f>
        <v>72.849999999999994</v>
      </c>
      <c r="Z254" s="4">
        <f>Games[[#This Row],[K]]*Games[[#This Row],[POMult]]</f>
        <v>72.849999999999994</v>
      </c>
      <c r="AA254" s="4">
        <f>(Games[[#This Row],[Keff]]*Games[[#This Row],[MOVMult]])*(Games[[#This Row],[Result]]-Games[[#This Row],[ExpectedWin%]])</f>
        <v>-14.384648544668341</v>
      </c>
      <c r="AB254" s="4">
        <f>Games[[#This Row],[PreGmRate]]+Games[[#This Row],[RatingChange]]</f>
        <v>1639.9744492931125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45847</v>
      </c>
      <c r="B255" s="2">
        <v>2025</v>
      </c>
      <c r="C255" s="2">
        <f>COUNTIFS(Games[Team],Games[[#This Row],[Team]],Games[Season],Games[[#This Row],[Season]],Games[Date],"&lt;=" &amp; Games[[#This Row],[Date]])</f>
        <v>20</v>
      </c>
      <c r="D255" s="2" t="s">
        <v>79</v>
      </c>
      <c r="E255" s="2" t="s">
        <v>80</v>
      </c>
      <c r="F255" s="1" t="s">
        <v>40</v>
      </c>
      <c r="G255" s="1" t="s">
        <v>67</v>
      </c>
      <c r="H255" s="1" t="s">
        <v>82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5" s="2">
        <f>Games[[#This Row],[DaysOff]]-Games[[#This Row],[OppDaysOff]]</f>
        <v>-1</v>
      </c>
      <c r="L255" s="2">
        <f>Games[[#This Row],[OppDaysOff]]-Games[[#This Row],[DaysOff]]</f>
        <v>1</v>
      </c>
      <c r="M255" s="1">
        <f>MAX(-16, MIN(16, Games[[#This Row],[RestDiff]]*8))</f>
        <v>-8</v>
      </c>
      <c r="N255" s="1">
        <f>MAX(-16, MIN(16, Games[[#This Row],[OppRestDiff]]*8))</f>
        <v>8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1549.4199612596055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1654.3590978377808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0.44703971004608323</v>
      </c>
      <c r="R255" s="1">
        <v>79</v>
      </c>
      <c r="S255" s="1">
        <v>71</v>
      </c>
      <c r="T255" s="1">
        <v>0</v>
      </c>
      <c r="U255" s="1">
        <f>Games[[#This Row],[PointsFor]]-Games[[#This Row],[PointsAgainst]]</f>
        <v>8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0.35708841044150191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5" s="9">
        <f>MAX(kmin, kmax - 0.15 * MIN(Games[[#This Row],[GamesPlayed]], 82))</f>
        <v>73</v>
      </c>
      <c r="Z255" s="4">
        <f>Games[[#This Row],[K]]*Games[[#This Row],[POMult]]</f>
        <v>73</v>
      </c>
      <c r="AA255" s="4">
        <f>(Games[[#This Row],[Keff]]*Games[[#This Row],[MOVMult]])*(Games[[#This Row],[Result]]-Games[[#This Row],[ExpectedWin%]])</f>
        <v>14.414266901314878</v>
      </c>
      <c r="AB255" s="4">
        <f>Games[[#This Row],[PreGmRate]]+Games[[#This Row],[RatingChange]]</f>
        <v>1563.8342281609205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45848</v>
      </c>
      <c r="B256" s="2">
        <v>2025</v>
      </c>
      <c r="C256" s="2">
        <f>COUNTIFS(Games[Team],Games[[#This Row],[Team]],Games[Season],Games[[#This Row],[Season]],Games[Date],"&lt;=" &amp; Games[[#This Row],[Date]])</f>
        <v>22</v>
      </c>
      <c r="D256" s="2" t="s">
        <v>79</v>
      </c>
      <c r="E256" s="2" t="s">
        <v>80</v>
      </c>
      <c r="F256" s="1" t="s">
        <v>67</v>
      </c>
      <c r="G256" s="1" t="s">
        <v>63</v>
      </c>
      <c r="H256" s="1" t="s">
        <v>81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6" s="2">
        <f>Games[[#This Row],[DaysOff]]-Games[[#This Row],[OppDaysOff]]</f>
        <v>-4</v>
      </c>
      <c r="L256" s="2">
        <f>Games[[#This Row],[OppDaysOff]]-Games[[#This Row],[DaysOff]]</f>
        <v>4</v>
      </c>
      <c r="M256" s="1">
        <f>MAX(-16, MIN(16, Games[[#This Row],[RestDiff]]*8))</f>
        <v>-16</v>
      </c>
      <c r="N256" s="1">
        <f>MAX(-16, MIN(16, Games[[#This Row],[OppRestDiff]]*8))</f>
        <v>16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1639.9744492931125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1382.6531528154044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0.69285712448571479</v>
      </c>
      <c r="R256" s="1">
        <v>91</v>
      </c>
      <c r="S256" s="1">
        <v>82</v>
      </c>
      <c r="T256" s="1">
        <v>0</v>
      </c>
      <c r="U256" s="1">
        <f>Games[[#This Row],[PointsFor]]-Games[[#This Row],[PointsAgainst]]</f>
        <v>9</v>
      </c>
      <c r="V256" s="1">
        <f>IF(Games[[#This Row],[MOV]]&gt;0,1,IF(Games[[#This Row],[MOV]]=0,0.5,0))</f>
        <v>1</v>
      </c>
      <c r="W256" s="4">
        <f>((ABS(Games[[#This Row],[MOV]])+5)^0.6)/(12+0.01*(ABS(Games[[#This Row],[PreGmRate]]-Games[[#This Row],[OppPreGmRate]])))*IF(Games[[#This Row],[OT]]=1,0.9,1)</f>
        <v>0.33428855651403244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6" s="9">
        <f>MAX(kmin, kmax - 0.15 * MIN(Games[[#This Row],[GamesPlayed]], 82))</f>
        <v>72.7</v>
      </c>
      <c r="Z256" s="4">
        <f>Games[[#This Row],[K]]*Games[[#This Row],[POMult]]</f>
        <v>72.7</v>
      </c>
      <c r="AA256" s="4">
        <f>(Games[[#This Row],[Keff]]*Games[[#This Row],[MOVMult]])*(Games[[#This Row],[Result]]-Games[[#This Row],[ExpectedWin%]])</f>
        <v>7.4644251358947162</v>
      </c>
      <c r="AB256" s="4">
        <f>Games[[#This Row],[PreGmRate]]+Games[[#This Row],[RatingChange]]</f>
        <v>1647.4388744290072</v>
      </c>
      <c r="AC256" s="2">
        <f>IF(Games[[#This Row],[Type]]="R",IF(Games[[#This Row],[Result]]&gt;0.5,1,0),0)</f>
        <v>1</v>
      </c>
      <c r="AD256" s="2">
        <f>IF(Games[[#This Row],[Type]]="R",IF(Games[[#This Row],[Result]]&lt;0.5,1,0),0)</f>
        <v>0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45848</v>
      </c>
      <c r="B257" s="2">
        <v>2025</v>
      </c>
      <c r="C257" s="2">
        <f>COUNTIFS(Games[Team],Games[[#This Row],[Team]],Games[Season],Games[[#This Row],[Season]],Games[Date],"&lt;=" &amp; Games[[#This Row],[Date]])</f>
        <v>20</v>
      </c>
      <c r="D257" s="2" t="s">
        <v>79</v>
      </c>
      <c r="E257" s="2" t="s">
        <v>80</v>
      </c>
      <c r="F257" s="1" t="s">
        <v>63</v>
      </c>
      <c r="G257" s="1" t="s">
        <v>67</v>
      </c>
      <c r="H257" s="1" t="s">
        <v>82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7" s="2">
        <f>Games[[#This Row],[DaysOff]]-Games[[#This Row],[OppDaysOff]]</f>
        <v>4</v>
      </c>
      <c r="L257" s="2">
        <f>Games[[#This Row],[OppDaysOff]]-Games[[#This Row],[DaysOff]]</f>
        <v>-4</v>
      </c>
      <c r="M257" s="1">
        <f>MAX(-16, MIN(16, Games[[#This Row],[RestDiff]]*8))</f>
        <v>16</v>
      </c>
      <c r="N257" s="1">
        <f>MAX(-16, MIN(16, Games[[#This Row],[OppRestDiff]]*8))</f>
        <v>-16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1382.6531528154044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1639.9744492931125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0.30714287551428532</v>
      </c>
      <c r="R257" s="1">
        <v>82</v>
      </c>
      <c r="S257" s="1">
        <v>91</v>
      </c>
      <c r="T257" s="1">
        <v>0</v>
      </c>
      <c r="U257" s="1">
        <f>Games[[#This Row],[PointsFor]]-Games[[#This Row],[PointsAgainst]]</f>
        <v>-9</v>
      </c>
      <c r="V257" s="1">
        <f>IF(Games[[#This Row],[MOV]]&gt;0,1,IF(Games[[#This Row],[MOV]]=0,0.5,0))</f>
        <v>0</v>
      </c>
      <c r="W257" s="4">
        <f>((ABS(Games[[#This Row],[MOV]])+5)^0.6)/(12+0.01*(ABS(Games[[#This Row],[PreGmRate]]-Games[[#This Row],[OppPreGmRate]])))*IF(Games[[#This Row],[OT]]=1,0.9,1)</f>
        <v>0.33428855651403244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7" s="9">
        <f>MAX(kmin, kmax - 0.15 * MIN(Games[[#This Row],[GamesPlayed]], 82))</f>
        <v>73</v>
      </c>
      <c r="Z257" s="4">
        <f>Games[[#This Row],[K]]*Games[[#This Row],[POMult]]</f>
        <v>73</v>
      </c>
      <c r="AA257" s="4">
        <f>(Games[[#This Row],[Keff]]*Games[[#This Row],[MOVMult]])*(Games[[#This Row],[Result]]-Games[[#This Row],[ExpectedWin%]])</f>
        <v>-7.4952274404444905</v>
      </c>
      <c r="AB257" s="4">
        <f>Games[[#This Row],[PreGmRate]]+Games[[#This Row],[RatingChange]]</f>
        <v>1375.1579253749599</v>
      </c>
      <c r="AC257" s="2">
        <f>IF(Games[[#This Row],[Type]]="R",IF(Games[[#This Row],[Result]]&gt;0.5,1,0),0)</f>
        <v>0</v>
      </c>
      <c r="AD257" s="2">
        <f>IF(Games[[#This Row],[Type]]="R",IF(Games[[#This Row],[Result]]&lt;0.5,1,0),0)</f>
        <v>1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45848</v>
      </c>
      <c r="B258" s="2">
        <v>2025</v>
      </c>
      <c r="C258" s="2">
        <f>COUNTIFS(Games[Team],Games[[#This Row],[Team]],Games[Season],Games[[#This Row],[Season]],Games[Date],"&lt;=" &amp; Games[[#This Row],[Date]])</f>
        <v>20</v>
      </c>
      <c r="D258" s="2" t="s">
        <v>79</v>
      </c>
      <c r="E258" s="2" t="s">
        <v>80</v>
      </c>
      <c r="F258" s="1" t="s">
        <v>86</v>
      </c>
      <c r="G258" s="1" t="s">
        <v>65</v>
      </c>
      <c r="H258" s="1" t="s">
        <v>81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1515.4064444329001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1477.7013243667393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0.43376783008701986</v>
      </c>
      <c r="R258" s="1">
        <v>68</v>
      </c>
      <c r="S258" s="1">
        <v>70</v>
      </c>
      <c r="T258" s="1">
        <v>0</v>
      </c>
      <c r="U258" s="1">
        <f>Games[[#This Row],[PointsFor]]-Games[[#This Row],[PointsAgainst]]</f>
        <v>-2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0.2596818739462135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8" s="9">
        <f>MAX(kmin, kmax - 0.15 * MIN(Games[[#This Row],[GamesPlayed]], 82))</f>
        <v>73</v>
      </c>
      <c r="Z258" s="4">
        <f>Games[[#This Row],[K]]*Games[[#This Row],[POMult]]</f>
        <v>73</v>
      </c>
      <c r="AA258" s="4">
        <f>(Games[[#This Row],[Keff]]*Games[[#This Row],[MOVMult]])*(Games[[#This Row],[Result]]-Games[[#This Row],[ExpectedWin%]])</f>
        <v>-8.2228399371443448</v>
      </c>
      <c r="AB258" s="4">
        <f>Games[[#This Row],[PreGmRate]]+Games[[#This Row],[RatingChange]]</f>
        <v>1507.1836044957558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45848</v>
      </c>
      <c r="B259" s="2">
        <v>2025</v>
      </c>
      <c r="C259" s="2">
        <f>COUNTIFS(Games[Team],Games[[#This Row],[Team]],Games[Season],Games[[#This Row],[Season]],Games[Date],"&lt;=" &amp; Games[[#This Row],[Date]])</f>
        <v>20</v>
      </c>
      <c r="D259" s="2" t="s">
        <v>79</v>
      </c>
      <c r="E259" s="2" t="s">
        <v>80</v>
      </c>
      <c r="F259" s="1" t="s">
        <v>65</v>
      </c>
      <c r="G259" s="1" t="s">
        <v>86</v>
      </c>
      <c r="H259" s="1" t="s">
        <v>82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1477.7013243667393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1515.4064444329001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0.5662321699129802</v>
      </c>
      <c r="R259" s="1">
        <v>70</v>
      </c>
      <c r="S259" s="1">
        <v>68</v>
      </c>
      <c r="T259" s="1">
        <v>0</v>
      </c>
      <c r="U259" s="1">
        <f>Games[[#This Row],[PointsFor]]-Games[[#This Row],[PointsAgainst]]</f>
        <v>2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0.2596818739462135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9" s="9">
        <f>MAX(kmin, kmax - 0.15 * MIN(Games[[#This Row],[GamesPlayed]], 82))</f>
        <v>73</v>
      </c>
      <c r="Z259" s="4">
        <f>Games[[#This Row],[K]]*Games[[#This Row],[POMult]]</f>
        <v>73</v>
      </c>
      <c r="AA259" s="4">
        <f>(Games[[#This Row],[Keff]]*Games[[#This Row],[MOVMult]])*(Games[[#This Row],[Result]]-Games[[#This Row],[ExpectedWin%]])</f>
        <v>8.222839937144343</v>
      </c>
      <c r="AB259" s="4">
        <f>Games[[#This Row],[PreGmRate]]+Games[[#This Row],[RatingChange]]</f>
        <v>1485.9241643038836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45849</v>
      </c>
      <c r="B260" s="2">
        <v>2025</v>
      </c>
      <c r="C260" s="2">
        <f>COUNTIFS(Games[Team],Games[[#This Row],[Team]],Games[Season],Games[[#This Row],[Season]],Games[Date],"&lt;=" &amp; Games[[#This Row],[Date]])</f>
        <v>20</v>
      </c>
      <c r="D260" s="2" t="s">
        <v>79</v>
      </c>
      <c r="E260" s="2" t="s">
        <v>80</v>
      </c>
      <c r="F260" s="1" t="s">
        <v>77</v>
      </c>
      <c r="G260" s="1" t="s">
        <v>69</v>
      </c>
      <c r="H260" s="1" t="s">
        <v>81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2</v>
      </c>
      <c r="L260" s="2">
        <f>Games[[#This Row],[OppDaysOff]]-Games[[#This Row],[DaysOff]]</f>
        <v>-2</v>
      </c>
      <c r="M260" s="1">
        <f>MAX(-16, MIN(16, Games[[#This Row],[RestDiff]]*8))</f>
        <v>16</v>
      </c>
      <c r="N260" s="1">
        <f>MAX(-16, MIN(16, Games[[#This Row],[OppRestDiff]]*8))</f>
        <v>-16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1544.4276353062314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1516.2465980052132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0.46577535894105959</v>
      </c>
      <c r="R260" s="1">
        <v>82</v>
      </c>
      <c r="S260" s="1">
        <v>99</v>
      </c>
      <c r="T260" s="1">
        <v>0</v>
      </c>
      <c r="U260" s="1">
        <f>Games[[#This Row],[PointsFor]]-Games[[#This Row],[PointsAgainst]]</f>
        <v>-17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0.52022500225412582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0" s="9">
        <f>MAX(kmin, kmax - 0.15 * MIN(Games[[#This Row],[GamesPlayed]], 82))</f>
        <v>73</v>
      </c>
      <c r="Z260" s="4">
        <f>Games[[#This Row],[K]]*Games[[#This Row],[POMult]]</f>
        <v>73</v>
      </c>
      <c r="AA260" s="4">
        <f>(Games[[#This Row],[Keff]]*Games[[#This Row],[MOVMult]])*(Games[[#This Row],[Result]]-Games[[#This Row],[ExpectedWin%]])</f>
        <v>-17.688483062317118</v>
      </c>
      <c r="AB260" s="4">
        <f>Games[[#This Row],[PreGmRate]]+Games[[#This Row],[RatingChange]]</f>
        <v>1526.7391522439143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45849</v>
      </c>
      <c r="B261" s="2">
        <v>2025</v>
      </c>
      <c r="C261" s="2">
        <f>COUNTIFS(Games[Team],Games[[#This Row],[Team]],Games[Season],Games[[#This Row],[Season]],Games[Date],"&lt;=" &amp; Games[[#This Row],[Date]])</f>
        <v>21</v>
      </c>
      <c r="D261" s="2" t="s">
        <v>79</v>
      </c>
      <c r="E261" s="2" t="s">
        <v>80</v>
      </c>
      <c r="F261" s="1" t="s">
        <v>69</v>
      </c>
      <c r="G261" s="1" t="s">
        <v>77</v>
      </c>
      <c r="H261" s="1" t="s">
        <v>82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1" s="2">
        <f>Games[[#This Row],[DaysOff]]-Games[[#This Row],[OppDaysOff]]</f>
        <v>-2</v>
      </c>
      <c r="L261" s="2">
        <f>Games[[#This Row],[OppDaysOff]]-Games[[#This Row],[DaysOff]]</f>
        <v>2</v>
      </c>
      <c r="M261" s="1">
        <f>MAX(-16, MIN(16, Games[[#This Row],[RestDiff]]*8))</f>
        <v>-16</v>
      </c>
      <c r="N261" s="1">
        <f>MAX(-16, MIN(16, Games[[#This Row],[OppRestDiff]]*8))</f>
        <v>16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1516.2465980052132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1544.4276353062314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0.53422464105894041</v>
      </c>
      <c r="R261" s="1">
        <v>99</v>
      </c>
      <c r="S261" s="1">
        <v>82</v>
      </c>
      <c r="T261" s="1">
        <v>0</v>
      </c>
      <c r="U261" s="1">
        <f>Games[[#This Row],[PointsFor]]-Games[[#This Row],[PointsAgainst]]</f>
        <v>17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0.52022500225412582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1" s="9">
        <f>MAX(kmin, kmax - 0.15 * MIN(Games[[#This Row],[GamesPlayed]], 82))</f>
        <v>72.849999999999994</v>
      </c>
      <c r="Z261" s="4">
        <f>Games[[#This Row],[K]]*Games[[#This Row],[POMult]]</f>
        <v>72.849999999999994</v>
      </c>
      <c r="AA261" s="4">
        <f>(Games[[#This Row],[Keff]]*Games[[#This Row],[MOVMult]])*(Games[[#This Row],[Result]]-Games[[#This Row],[ExpectedWin%]])</f>
        <v>17.652136864243861</v>
      </c>
      <c r="AB261" s="4">
        <f>Games[[#This Row],[PreGmRate]]+Games[[#This Row],[RatingChange]]</f>
        <v>1533.898734869457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45849</v>
      </c>
      <c r="B262" s="2">
        <v>2025</v>
      </c>
      <c r="C262" s="2">
        <f>COUNTIFS(Games[Team],Games[[#This Row],[Team]],Games[Season],Games[[#This Row],[Season]],Games[Date],"&lt;=" &amp; Games[[#This Row],[Date]])</f>
        <v>20</v>
      </c>
      <c r="D262" s="2" t="s">
        <v>79</v>
      </c>
      <c r="E262" s="2" t="s">
        <v>80</v>
      </c>
      <c r="F262" s="1" t="s">
        <v>74</v>
      </c>
      <c r="G262" s="1" t="s">
        <v>71</v>
      </c>
      <c r="H262" s="1" t="s">
        <v>81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1365.7203250692128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1566.1519959320167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0.162830017879529</v>
      </c>
      <c r="R262" s="1">
        <v>65</v>
      </c>
      <c r="S262" s="1">
        <v>79</v>
      </c>
      <c r="T262" s="1">
        <v>0</v>
      </c>
      <c r="U262" s="1">
        <f>Games[[#This Row],[PointsFor]]-Games[[#This Row],[PointsAgainst]]</f>
        <v>-14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0.4178209736433795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2" s="9">
        <f>MAX(kmin, kmax - 0.15 * MIN(Games[[#This Row],[GamesPlayed]], 82))</f>
        <v>73</v>
      </c>
      <c r="Z262" s="4">
        <f>Games[[#This Row],[K]]*Games[[#This Row],[POMult]]</f>
        <v>73</v>
      </c>
      <c r="AA262" s="4">
        <f>(Games[[#This Row],[Keff]]*Games[[#This Row],[MOVMult]])*(Games[[#This Row],[Result]]-Games[[#This Row],[ExpectedWin%]])</f>
        <v>-4.9664671524419406</v>
      </c>
      <c r="AB262" s="4">
        <f>Games[[#This Row],[PreGmRate]]+Games[[#This Row],[RatingChange]]</f>
        <v>1360.7538579167708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45849</v>
      </c>
      <c r="B263" s="2">
        <v>2025</v>
      </c>
      <c r="C263" s="2">
        <f>COUNTIFS(Games[Team],Games[[#This Row],[Team]],Games[Season],Games[[#This Row],[Season]],Games[Date],"&lt;=" &amp; Games[[#This Row],[Date]])</f>
        <v>21</v>
      </c>
      <c r="D263" s="2" t="s">
        <v>79</v>
      </c>
      <c r="E263" s="2" t="s">
        <v>80</v>
      </c>
      <c r="F263" s="1" t="s">
        <v>71</v>
      </c>
      <c r="G263" s="1" t="s">
        <v>74</v>
      </c>
      <c r="H263" s="1" t="s">
        <v>82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1566.1519959320167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1365.7203250692128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0.837169982120471</v>
      </c>
      <c r="R263" s="1">
        <v>79</v>
      </c>
      <c r="S263" s="1">
        <v>65</v>
      </c>
      <c r="T263" s="1">
        <v>0</v>
      </c>
      <c r="U263" s="1">
        <f>Games[[#This Row],[PointsFor]]-Games[[#This Row],[PointsAgainst]]</f>
        <v>14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0.4178209736433795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3" s="9">
        <f>MAX(kmin, kmax - 0.15 * MIN(Games[[#This Row],[GamesPlayed]], 82))</f>
        <v>72.849999999999994</v>
      </c>
      <c r="Z263" s="4">
        <f>Games[[#This Row],[K]]*Games[[#This Row],[POMult]]</f>
        <v>72.849999999999994</v>
      </c>
      <c r="AA263" s="4">
        <f>(Games[[#This Row],[Keff]]*Games[[#This Row],[MOVMult]])*(Games[[#This Row],[Result]]-Games[[#This Row],[ExpectedWin%]])</f>
        <v>4.9562620829506203</v>
      </c>
      <c r="AB263" s="4">
        <f>Games[[#This Row],[PreGmRate]]+Games[[#This Row],[RatingChange]]</f>
        <v>1571.1082580149673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45850</v>
      </c>
      <c r="B264" s="2">
        <v>2025</v>
      </c>
      <c r="C264" s="2">
        <f>COUNTIFS(Games[Team],Games[[#This Row],[Team]],Games[Season],Games[[#This Row],[Season]],Games[Date],"&lt;=" &amp; Games[[#This Row],[Date]])</f>
        <v>23</v>
      </c>
      <c r="D264" s="2" t="s">
        <v>79</v>
      </c>
      <c r="E264" s="2" t="s">
        <v>80</v>
      </c>
      <c r="F264" s="1" t="s">
        <v>67</v>
      </c>
      <c r="G264" s="1" t="s">
        <v>75</v>
      </c>
      <c r="H264" s="1" t="s">
        <v>81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4" s="2">
        <f>Games[[#This Row],[DaysOff]]-Games[[#This Row],[OppDaysOff]]</f>
        <v>-1</v>
      </c>
      <c r="L264" s="2">
        <f>Games[[#This Row],[OppDaysOff]]-Games[[#This Row],[DaysOff]]</f>
        <v>1</v>
      </c>
      <c r="M264" s="1">
        <f>MAX(-16, MIN(16, Games[[#This Row],[RestDiff]]*8))</f>
        <v>-8</v>
      </c>
      <c r="N264" s="1">
        <f>MAX(-16, MIN(16, Games[[#This Row],[OppRestDiff]]*8))</f>
        <v>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1647.4388744290072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1391.4466694067312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0.710530783431229</v>
      </c>
      <c r="R264" s="1">
        <v>81</v>
      </c>
      <c r="S264" s="1">
        <v>87</v>
      </c>
      <c r="T264" s="1">
        <v>0</v>
      </c>
      <c r="U264" s="1">
        <f>Games[[#This Row],[PointsFor]]-Games[[#This Row],[PointsAgainst]]</f>
        <v>-6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0.28951866078344884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4" s="9">
        <f>MAX(kmin, kmax - 0.15 * MIN(Games[[#This Row],[GamesPlayed]], 82))</f>
        <v>72.55</v>
      </c>
      <c r="Z264" s="4">
        <f>Games[[#This Row],[K]]*Games[[#This Row],[POMult]]</f>
        <v>72.55</v>
      </c>
      <c r="AA264" s="4">
        <f>(Games[[#This Row],[Keff]]*Games[[#This Row],[MOVMult]])*(Games[[#This Row],[Result]]-Games[[#This Row],[ExpectedWin%]])</f>
        <v>-14.92439985871397</v>
      </c>
      <c r="AB264" s="4">
        <f>Games[[#This Row],[PreGmRate]]+Games[[#This Row],[RatingChange]]</f>
        <v>1632.5144745702933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45850</v>
      </c>
      <c r="B265" s="2">
        <v>2025</v>
      </c>
      <c r="C265" s="2">
        <f>COUNTIFS(Games[Team],Games[[#This Row],[Team]],Games[Season],Games[[#This Row],[Season]],Games[Date],"&lt;=" &amp; Games[[#This Row],[Date]])</f>
        <v>20</v>
      </c>
      <c r="D265" s="2" t="s">
        <v>79</v>
      </c>
      <c r="E265" s="2" t="s">
        <v>80</v>
      </c>
      <c r="F265" s="1" t="s">
        <v>75</v>
      </c>
      <c r="G265" s="1" t="s">
        <v>67</v>
      </c>
      <c r="H265" s="1" t="s">
        <v>82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5" s="2">
        <f>Games[[#This Row],[DaysOff]]-Games[[#This Row],[OppDaysOff]]</f>
        <v>1</v>
      </c>
      <c r="L265" s="2">
        <f>Games[[#This Row],[OppDaysOff]]-Games[[#This Row],[DaysOff]]</f>
        <v>-1</v>
      </c>
      <c r="M265" s="1">
        <f>MAX(-16, MIN(16, Games[[#This Row],[RestDiff]]*8))</f>
        <v>8</v>
      </c>
      <c r="N265" s="1">
        <f>MAX(-16, MIN(16, Games[[#This Row],[OppRestDiff]]*8))</f>
        <v>-8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1391.4466694067312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1647.4388744290072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0.289469216568771</v>
      </c>
      <c r="R265" s="1">
        <v>87</v>
      </c>
      <c r="S265" s="1">
        <v>81</v>
      </c>
      <c r="T265" s="1">
        <v>0</v>
      </c>
      <c r="U265" s="1">
        <f>Games[[#This Row],[PointsFor]]-Games[[#This Row],[PointsAgainst]]</f>
        <v>6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0.28951866078344884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5" s="9">
        <f>MAX(kmin, kmax - 0.15 * MIN(Games[[#This Row],[GamesPlayed]], 82))</f>
        <v>73</v>
      </c>
      <c r="Z265" s="4">
        <f>Games[[#This Row],[K]]*Games[[#This Row],[POMult]]</f>
        <v>73</v>
      </c>
      <c r="AA265" s="4">
        <f>(Games[[#This Row],[Keff]]*Games[[#This Row],[MOVMult]])*(Games[[#This Row],[Result]]-Games[[#This Row],[ExpectedWin%]])</f>
        <v>15.016970223102962</v>
      </c>
      <c r="AB265" s="4">
        <f>Games[[#This Row],[PreGmRate]]+Games[[#This Row],[RatingChange]]</f>
        <v>1406.4636396298342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45850</v>
      </c>
      <c r="B266" s="2">
        <v>2025</v>
      </c>
      <c r="C266" s="2">
        <f>COUNTIFS(Games[Team],Games[[#This Row],[Team]],Games[Season],Games[[#This Row],[Season]],Games[Date],"&lt;=" &amp; Games[[#This Row],[Date]])</f>
        <v>20</v>
      </c>
      <c r="D266" s="2" t="s">
        <v>79</v>
      </c>
      <c r="E266" s="2" t="s">
        <v>80</v>
      </c>
      <c r="F266" s="1" t="s">
        <v>88</v>
      </c>
      <c r="G266" s="1" t="s">
        <v>86</v>
      </c>
      <c r="H266" s="1" t="s">
        <v>81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1</v>
      </c>
      <c r="L266" s="2">
        <f>Games[[#This Row],[OppDaysOff]]-Games[[#This Row],[DaysOff]]</f>
        <v>-1</v>
      </c>
      <c r="M266" s="1">
        <f>MAX(-16, MIN(16, Games[[#This Row],[RestDiff]]*8))</f>
        <v>8</v>
      </c>
      <c r="N266" s="1">
        <f>MAX(-16, MIN(16, Games[[#This Row],[OppRestDiff]]*8))</f>
        <v>-8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1543.9615104573004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1507.1836044957558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0.45518835706765526</v>
      </c>
      <c r="R266" s="1">
        <v>102</v>
      </c>
      <c r="S266" s="1">
        <v>104</v>
      </c>
      <c r="T266" s="1">
        <v>0</v>
      </c>
      <c r="U266" s="1">
        <f>Games[[#This Row],[PointsFor]]-Games[[#This Row],[PointsAgainst]]</f>
        <v>-2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0.25987655780584223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6" s="9">
        <f>MAX(kmin, kmax - 0.15 * MIN(Games[[#This Row],[GamesPlayed]], 82))</f>
        <v>73</v>
      </c>
      <c r="Z266" s="4">
        <f>Games[[#This Row],[K]]*Games[[#This Row],[POMult]]</f>
        <v>73</v>
      </c>
      <c r="AA266" s="4">
        <f>(Games[[#This Row],[Keff]]*Games[[#This Row],[MOVMult]])*(Games[[#This Row],[Result]]-Games[[#This Row],[ExpectedWin%]])</f>
        <v>-8.635373187326838</v>
      </c>
      <c r="AB266" s="4">
        <f>Games[[#This Row],[PreGmRate]]+Games[[#This Row],[RatingChange]]</f>
        <v>1535.3261372699735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45850</v>
      </c>
      <c r="B267" s="2">
        <v>2025</v>
      </c>
      <c r="C267" s="2">
        <f>COUNTIFS(Games[Team],Games[[#This Row],[Team]],Games[Season],Games[[#This Row],[Season]],Games[Date],"&lt;=" &amp; Games[[#This Row],[Date]])</f>
        <v>21</v>
      </c>
      <c r="D267" s="2" t="s">
        <v>79</v>
      </c>
      <c r="E267" s="2" t="s">
        <v>80</v>
      </c>
      <c r="F267" s="1" t="s">
        <v>86</v>
      </c>
      <c r="G267" s="1" t="s">
        <v>88</v>
      </c>
      <c r="H267" s="1" t="s">
        <v>82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7" s="2">
        <f>Games[[#This Row],[DaysOff]]-Games[[#This Row],[OppDaysOff]]</f>
        <v>-1</v>
      </c>
      <c r="L267" s="2">
        <f>Games[[#This Row],[OppDaysOff]]-Games[[#This Row],[DaysOff]]</f>
        <v>1</v>
      </c>
      <c r="M267" s="1">
        <f>MAX(-16, MIN(16, Games[[#This Row],[RestDiff]]*8))</f>
        <v>-8</v>
      </c>
      <c r="N267" s="1">
        <f>MAX(-16, MIN(16, Games[[#This Row],[OppRestDiff]]*8))</f>
        <v>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1507.1836044957558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1543.9615104573004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0.54481164293234474</v>
      </c>
      <c r="R267" s="1">
        <v>104</v>
      </c>
      <c r="S267" s="1">
        <v>102</v>
      </c>
      <c r="T267" s="1">
        <v>0</v>
      </c>
      <c r="U267" s="1">
        <f>Games[[#This Row],[PointsFor]]-Games[[#This Row],[PointsAgainst]]</f>
        <v>2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0.25987655780584223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7" s="9">
        <f>MAX(kmin, kmax - 0.15 * MIN(Games[[#This Row],[GamesPlayed]], 82))</f>
        <v>72.849999999999994</v>
      </c>
      <c r="Z267" s="4">
        <f>Games[[#This Row],[K]]*Games[[#This Row],[POMult]]</f>
        <v>72.849999999999994</v>
      </c>
      <c r="AA267" s="4">
        <f>(Games[[#This Row],[Keff]]*Games[[#This Row],[MOVMult]])*(Games[[#This Row],[Result]]-Games[[#This Row],[ExpectedWin%]])</f>
        <v>8.6176292698186305</v>
      </c>
      <c r="AB267" s="4">
        <f>Games[[#This Row],[PreGmRate]]+Games[[#This Row],[RatingChange]]</f>
        <v>1515.8012337655746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45851</v>
      </c>
      <c r="B268" s="2">
        <v>2025</v>
      </c>
      <c r="C268" s="2">
        <f>COUNTIFS(Games[Team],Games[[#This Row],[Team]],Games[Season],Games[[#This Row],[Season]],Games[Date],"&lt;=" &amp; Games[[#This Row],[Date]])</f>
        <v>22</v>
      </c>
      <c r="D268" s="2" t="s">
        <v>79</v>
      </c>
      <c r="E268" s="2" t="s">
        <v>80</v>
      </c>
      <c r="F268" s="1" t="s">
        <v>85</v>
      </c>
      <c r="G268" s="1" t="s">
        <v>69</v>
      </c>
      <c r="H268" s="1" t="s">
        <v>81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8" s="2">
        <f>Games[[#This Row],[DaysOff]]-Games[[#This Row],[OppDaysOff]]</f>
        <v>2</v>
      </c>
      <c r="L268" s="2">
        <f>Games[[#This Row],[OppDaysOff]]-Games[[#This Row],[DaysOff]]</f>
        <v>-2</v>
      </c>
      <c r="M268" s="1">
        <f>MAX(-16, MIN(16, Games[[#This Row],[RestDiff]]*8))</f>
        <v>16</v>
      </c>
      <c r="N268" s="1">
        <f>MAX(-16, MIN(16, Games[[#This Row],[OppRestDiff]]*8))</f>
        <v>-16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1375.6063281806614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1533.898734869457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0.22960544700806626</v>
      </c>
      <c r="R268" s="1">
        <v>83</v>
      </c>
      <c r="S268" s="1">
        <v>102</v>
      </c>
      <c r="T268" s="1">
        <v>0</v>
      </c>
      <c r="U268" s="1">
        <f>Games[[#This Row],[PointsFor]]-Games[[#This Row],[PointsAgainst]]</f>
        <v>-19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0.49560248143384733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8" s="9">
        <f>MAX(kmin, kmax - 0.15 * MIN(Games[[#This Row],[GamesPlayed]], 82))</f>
        <v>72.7</v>
      </c>
      <c r="Z268" s="4">
        <f>Games[[#This Row],[K]]*Games[[#This Row],[POMult]]</f>
        <v>72.7</v>
      </c>
      <c r="AA268" s="4">
        <f>(Games[[#This Row],[Keff]]*Games[[#This Row],[MOVMult]])*(Games[[#This Row],[Result]]-Games[[#This Row],[ExpectedWin%]])</f>
        <v>-8.2727532292321762</v>
      </c>
      <c r="AB268" s="4">
        <f>Games[[#This Row],[PreGmRate]]+Games[[#This Row],[RatingChange]]</f>
        <v>1367.3335749514292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45851</v>
      </c>
      <c r="B269" s="2">
        <v>2025</v>
      </c>
      <c r="C269" s="2">
        <f>COUNTIFS(Games[Team],Games[[#This Row],[Team]],Games[Season],Games[[#This Row],[Season]],Games[Date],"&lt;=" &amp; Games[[#This Row],[Date]])</f>
        <v>22</v>
      </c>
      <c r="D269" s="2" t="s">
        <v>79</v>
      </c>
      <c r="E269" s="2" t="s">
        <v>80</v>
      </c>
      <c r="F269" s="1" t="s">
        <v>69</v>
      </c>
      <c r="G269" s="1" t="s">
        <v>85</v>
      </c>
      <c r="H269" s="1" t="s">
        <v>82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9" s="2">
        <f>Games[[#This Row],[DaysOff]]-Games[[#This Row],[OppDaysOff]]</f>
        <v>-2</v>
      </c>
      <c r="L269" s="2">
        <f>Games[[#This Row],[OppDaysOff]]-Games[[#This Row],[DaysOff]]</f>
        <v>2</v>
      </c>
      <c r="M269" s="1">
        <f>MAX(-16, MIN(16, Games[[#This Row],[RestDiff]]*8))</f>
        <v>-16</v>
      </c>
      <c r="N269" s="1">
        <f>MAX(-16, MIN(16, Games[[#This Row],[OppRestDiff]]*8))</f>
        <v>16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1533.898734869457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1375.6063281806614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0.77039455299193371</v>
      </c>
      <c r="R269" s="1">
        <v>102</v>
      </c>
      <c r="S269" s="1">
        <v>83</v>
      </c>
      <c r="T269" s="1">
        <v>0</v>
      </c>
      <c r="U269" s="1">
        <f>Games[[#This Row],[PointsFor]]-Games[[#This Row],[PointsAgainst]]</f>
        <v>19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0.49560248143384733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9" s="9">
        <f>MAX(kmin, kmax - 0.15 * MIN(Games[[#This Row],[GamesPlayed]], 82))</f>
        <v>72.7</v>
      </c>
      <c r="Z269" s="4">
        <f>Games[[#This Row],[K]]*Games[[#This Row],[POMult]]</f>
        <v>72.7</v>
      </c>
      <c r="AA269" s="4">
        <f>(Games[[#This Row],[Keff]]*Games[[#This Row],[MOVMult]])*(Games[[#This Row],[Result]]-Games[[#This Row],[ExpectedWin%]])</f>
        <v>8.2727532292321762</v>
      </c>
      <c r="AB269" s="4">
        <f>Games[[#This Row],[PreGmRate]]+Games[[#This Row],[RatingChange]]</f>
        <v>1542.1714880986892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45851</v>
      </c>
      <c r="B270" s="2">
        <v>2025</v>
      </c>
      <c r="C270" s="2">
        <f>COUNTIFS(Games[Team],Games[[#This Row],[Team]],Games[Season],Games[[#This Row],[Season]],Games[Date],"&lt;=" &amp; Games[[#This Row],[Date]])</f>
        <v>21</v>
      </c>
      <c r="D270" s="2" t="s">
        <v>79</v>
      </c>
      <c r="E270" s="2" t="s">
        <v>80</v>
      </c>
      <c r="F270" s="1" t="s">
        <v>74</v>
      </c>
      <c r="G270" s="1" t="s">
        <v>63</v>
      </c>
      <c r="H270" s="1" t="s">
        <v>81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0" s="2">
        <f>Games[[#This Row],[DaysOff]]-Games[[#This Row],[OppDaysOff]]</f>
        <v>-1</v>
      </c>
      <c r="L270" s="2">
        <f>Games[[#This Row],[OppDaysOff]]-Games[[#This Row],[DaysOff]]</f>
        <v>1</v>
      </c>
      <c r="M270" s="1">
        <f>MAX(-16, MIN(16, Games[[#This Row],[RestDiff]]*8))</f>
        <v>-8</v>
      </c>
      <c r="N270" s="1">
        <f>MAX(-16, MIN(16, Games[[#This Row],[OppRestDiff]]*8))</f>
        <v>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1360.7538579167708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1375.1579253749599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0.34106254351460213</v>
      </c>
      <c r="R270" s="1">
        <v>88</v>
      </c>
      <c r="S270" s="1">
        <v>92</v>
      </c>
      <c r="T270" s="1">
        <v>0</v>
      </c>
      <c r="U270" s="1">
        <f>Games[[#This Row],[PointsFor]]-Games[[#This Row],[PointsAgainst]]</f>
        <v>-4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0.30773882589743717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0" s="9">
        <f>MAX(kmin, kmax - 0.15 * MIN(Games[[#This Row],[GamesPlayed]], 82))</f>
        <v>72.849999999999994</v>
      </c>
      <c r="Z270" s="4">
        <f>Games[[#This Row],[K]]*Games[[#This Row],[POMult]]</f>
        <v>72.849999999999994</v>
      </c>
      <c r="AA270" s="4">
        <f>(Games[[#This Row],[Keff]]*Games[[#This Row],[MOVMult]])*(Games[[#This Row],[Result]]-Games[[#This Row],[ExpectedWin%]])</f>
        <v>-7.6462039010059204</v>
      </c>
      <c r="AB270" s="4">
        <f>Games[[#This Row],[PreGmRate]]+Games[[#This Row],[RatingChange]]</f>
        <v>1353.1076540157649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45851</v>
      </c>
      <c r="B271" s="2">
        <v>2025</v>
      </c>
      <c r="C271" s="2">
        <f>COUNTIFS(Games[Team],Games[[#This Row],[Team]],Games[Season],Games[[#This Row],[Season]],Games[Date],"&lt;=" &amp; Games[[#This Row],[Date]])</f>
        <v>21</v>
      </c>
      <c r="D271" s="2" t="s">
        <v>79</v>
      </c>
      <c r="E271" s="2" t="s">
        <v>80</v>
      </c>
      <c r="F271" s="1" t="s">
        <v>63</v>
      </c>
      <c r="G271" s="1" t="s">
        <v>74</v>
      </c>
      <c r="H271" s="1" t="s">
        <v>82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1</v>
      </c>
      <c r="L271" s="2">
        <f>Games[[#This Row],[OppDaysOff]]-Games[[#This Row],[DaysOff]]</f>
        <v>-1</v>
      </c>
      <c r="M271" s="1">
        <f>MAX(-16, MIN(16, Games[[#This Row],[RestDiff]]*8))</f>
        <v>8</v>
      </c>
      <c r="N271" s="1">
        <f>MAX(-16, MIN(16, Games[[#This Row],[OppRestDiff]]*8))</f>
        <v>-8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1375.1579253749599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1360.7538579167708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0.65893745648539781</v>
      </c>
      <c r="R271" s="1">
        <v>92</v>
      </c>
      <c r="S271" s="1">
        <v>88</v>
      </c>
      <c r="T271" s="1">
        <v>0</v>
      </c>
      <c r="U271" s="1">
        <f>Games[[#This Row],[PointsFor]]-Games[[#This Row],[PointsAgainst]]</f>
        <v>4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0.30773882589743717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1" s="9">
        <f>MAX(kmin, kmax - 0.15 * MIN(Games[[#This Row],[GamesPlayed]], 82))</f>
        <v>72.849999999999994</v>
      </c>
      <c r="Z271" s="4">
        <f>Games[[#This Row],[K]]*Games[[#This Row],[POMult]]</f>
        <v>72.849999999999994</v>
      </c>
      <c r="AA271" s="4">
        <f>(Games[[#This Row],[Keff]]*Games[[#This Row],[MOVMult]])*(Games[[#This Row],[Result]]-Games[[#This Row],[ExpectedWin%]])</f>
        <v>7.6462039010059222</v>
      </c>
      <c r="AB271" s="4">
        <f>Games[[#This Row],[PreGmRate]]+Games[[#This Row],[RatingChange]]</f>
        <v>1382.8041292759658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45851</v>
      </c>
      <c r="B272" s="2">
        <v>2025</v>
      </c>
      <c r="C272" s="2">
        <f>COUNTIFS(Games[Team],Games[[#This Row],[Team]],Games[Season],Games[[#This Row],[Season]],Games[Date],"&lt;=" &amp; Games[[#This Row],[Date]])</f>
        <v>21</v>
      </c>
      <c r="D272" s="2" t="s">
        <v>79</v>
      </c>
      <c r="E272" s="2" t="s">
        <v>80</v>
      </c>
      <c r="F272" s="1" t="s">
        <v>77</v>
      </c>
      <c r="G272" s="1" t="s">
        <v>60</v>
      </c>
      <c r="H272" s="1" t="s">
        <v>81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2" s="2">
        <f>Games[[#This Row],[DaysOff]]-Games[[#This Row],[OppDaysOff]]</f>
        <v>-3</v>
      </c>
      <c r="L272" s="2">
        <f>Games[[#This Row],[OppDaysOff]]-Games[[#This Row],[DaysOff]]</f>
        <v>3</v>
      </c>
      <c r="M272" s="1">
        <f>MAX(-16, MIN(16, Games[[#This Row],[RestDiff]]*8))</f>
        <v>-16</v>
      </c>
      <c r="N272" s="1">
        <f>MAX(-16, MIN(16, Games[[#This Row],[OppRestDiff]]*8))</f>
        <v>16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1526.7391522439143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1615.8631425374244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0.23491043246666074</v>
      </c>
      <c r="R272" s="1">
        <v>72</v>
      </c>
      <c r="S272" s="1">
        <v>79</v>
      </c>
      <c r="T272" s="1">
        <v>0</v>
      </c>
      <c r="U272" s="1">
        <f>Games[[#This Row],[PointsFor]]-Games[[#This Row],[PointsAgainst]]</f>
        <v>-7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0.34451969735158211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2" s="9">
        <f>MAX(kmin, kmax - 0.15 * MIN(Games[[#This Row],[GamesPlayed]], 82))</f>
        <v>72.849999999999994</v>
      </c>
      <c r="Z272" s="4">
        <f>Games[[#This Row],[K]]*Games[[#This Row],[POMult]]</f>
        <v>72.849999999999994</v>
      </c>
      <c r="AA272" s="4">
        <f>(Games[[#This Row],[Keff]]*Games[[#This Row],[MOVMult]])*(Games[[#This Row],[Result]]-Games[[#This Row],[ExpectedWin%]])</f>
        <v>-5.895843099499734</v>
      </c>
      <c r="AB272" s="4">
        <f>Games[[#This Row],[PreGmRate]]+Games[[#This Row],[RatingChange]]</f>
        <v>1520.8433091444147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45851</v>
      </c>
      <c r="B273" s="2">
        <v>2025</v>
      </c>
      <c r="C273" s="2">
        <f>COUNTIFS(Games[Team],Games[[#This Row],[Team]],Games[Season],Games[[#This Row],[Season]],Games[Date],"&lt;=" &amp; Games[[#This Row],[Date]])</f>
        <v>20</v>
      </c>
      <c r="D273" s="2" t="s">
        <v>79</v>
      </c>
      <c r="E273" s="2" t="s">
        <v>80</v>
      </c>
      <c r="F273" s="1" t="s">
        <v>60</v>
      </c>
      <c r="G273" s="1" t="s">
        <v>77</v>
      </c>
      <c r="H273" s="1" t="s">
        <v>82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3</v>
      </c>
      <c r="L273" s="2">
        <f>Games[[#This Row],[OppDaysOff]]-Games[[#This Row],[DaysOff]]</f>
        <v>-3</v>
      </c>
      <c r="M273" s="1">
        <f>MAX(-16, MIN(16, Games[[#This Row],[RestDiff]]*8))</f>
        <v>16</v>
      </c>
      <c r="N273" s="1">
        <f>MAX(-16, MIN(16, Games[[#This Row],[OppRestDiff]]*8))</f>
        <v>-16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1615.8631425374244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1526.7391522439143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0.76508956753333923</v>
      </c>
      <c r="R273" s="1">
        <v>79</v>
      </c>
      <c r="S273" s="1">
        <v>72</v>
      </c>
      <c r="T273" s="1">
        <v>0</v>
      </c>
      <c r="U273" s="1">
        <f>Games[[#This Row],[PointsFor]]-Games[[#This Row],[PointsAgainst]]</f>
        <v>7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0.34451969735158211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3" s="9">
        <f>MAX(kmin, kmax - 0.15 * MIN(Games[[#This Row],[GamesPlayed]], 82))</f>
        <v>73</v>
      </c>
      <c r="Z273" s="4">
        <f>Games[[#This Row],[K]]*Games[[#This Row],[POMult]]</f>
        <v>73</v>
      </c>
      <c r="AA273" s="4">
        <f>(Games[[#This Row],[Keff]]*Games[[#This Row],[MOVMult]])*(Games[[#This Row],[Result]]-Games[[#This Row],[ExpectedWin%]])</f>
        <v>5.9079827901644562</v>
      </c>
      <c r="AB273" s="4">
        <f>Games[[#This Row],[PreGmRate]]+Games[[#This Row],[RatingChange]]</f>
        <v>1621.7711253275888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45851</v>
      </c>
      <c r="B274" s="2">
        <v>2025</v>
      </c>
      <c r="C274" s="2">
        <f>COUNTIFS(Games[Team],Games[[#This Row],[Team]],Games[Season],Games[[#This Row],[Season]],Games[Date],"&lt;=" &amp; Games[[#This Row],[Date]])</f>
        <v>21</v>
      </c>
      <c r="D274" s="2" t="s">
        <v>79</v>
      </c>
      <c r="E274" s="2" t="s">
        <v>80</v>
      </c>
      <c r="F274" s="1" t="s">
        <v>65</v>
      </c>
      <c r="G274" s="1" t="s">
        <v>71</v>
      </c>
      <c r="H274" s="1" t="s">
        <v>81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1</v>
      </c>
      <c r="L274" s="2">
        <f>Games[[#This Row],[OppDaysOff]]-Games[[#This Row],[DaysOff]]</f>
        <v>-1</v>
      </c>
      <c r="M274" s="1">
        <f>MAX(-16, MIN(16, Games[[#This Row],[RestDiff]]*8))</f>
        <v>8</v>
      </c>
      <c r="N274" s="1">
        <f>MAX(-16, MIN(16, Games[[#This Row],[OppRestDiff]]*8))</f>
        <v>-8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1485.9241643038836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1571.1082580149673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0.29280521867889497</v>
      </c>
      <c r="R274" s="1">
        <v>74</v>
      </c>
      <c r="S274" s="1">
        <v>69</v>
      </c>
      <c r="T274" s="1">
        <v>0</v>
      </c>
      <c r="U274" s="1">
        <f>Games[[#This Row],[PointsFor]]-Games[[#This Row],[PointsAgainst]]</f>
        <v>5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0.30976664938633597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4" s="9">
        <f>MAX(kmin, kmax - 0.15 * MIN(Games[[#This Row],[GamesPlayed]], 82))</f>
        <v>72.849999999999994</v>
      </c>
      <c r="Z274" s="4">
        <f>Games[[#This Row],[K]]*Games[[#This Row],[POMult]]</f>
        <v>72.849999999999994</v>
      </c>
      <c r="AA274" s="4">
        <f>(Games[[#This Row],[Keff]]*Games[[#This Row],[MOVMult]])*(Games[[#This Row],[Result]]-Games[[#This Row],[ExpectedWin%]])</f>
        <v>15.958911321072911</v>
      </c>
      <c r="AB274" s="4">
        <f>Games[[#This Row],[PreGmRate]]+Games[[#This Row],[RatingChange]]</f>
        <v>1501.8830756249565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45851</v>
      </c>
      <c r="B275" s="2">
        <v>2025</v>
      </c>
      <c r="C275" s="2">
        <f>COUNTIFS(Games[Team],Games[[#This Row],[Team]],Games[Season],Games[[#This Row],[Season]],Games[Date],"&lt;=" &amp; Games[[#This Row],[Date]])</f>
        <v>22</v>
      </c>
      <c r="D275" s="2" t="s">
        <v>79</v>
      </c>
      <c r="E275" s="2" t="s">
        <v>80</v>
      </c>
      <c r="F275" s="1" t="s">
        <v>71</v>
      </c>
      <c r="G275" s="1" t="s">
        <v>65</v>
      </c>
      <c r="H275" s="1" t="s">
        <v>82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5" s="2">
        <f>Games[[#This Row],[DaysOff]]-Games[[#This Row],[OppDaysOff]]</f>
        <v>-1</v>
      </c>
      <c r="L275" s="2">
        <f>Games[[#This Row],[OppDaysOff]]-Games[[#This Row],[DaysOff]]</f>
        <v>1</v>
      </c>
      <c r="M275" s="1">
        <f>MAX(-16, MIN(16, Games[[#This Row],[RestDiff]]*8))</f>
        <v>-8</v>
      </c>
      <c r="N275" s="1">
        <f>MAX(-16, MIN(16, Games[[#This Row],[OppRestDiff]]*8))</f>
        <v>8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1571.1082580149673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1485.9241643038836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0.70719478132110503</v>
      </c>
      <c r="R275" s="1">
        <v>69</v>
      </c>
      <c r="S275" s="1">
        <v>74</v>
      </c>
      <c r="T275" s="1">
        <v>0</v>
      </c>
      <c r="U275" s="1">
        <f>Games[[#This Row],[PointsFor]]-Games[[#This Row],[PointsAgainst]]</f>
        <v>-5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0.30976664938633597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5" s="9">
        <f>MAX(kmin, kmax - 0.15 * MIN(Games[[#This Row],[GamesPlayed]], 82))</f>
        <v>72.7</v>
      </c>
      <c r="Z275" s="4">
        <f>Games[[#This Row],[K]]*Games[[#This Row],[POMult]]</f>
        <v>72.7</v>
      </c>
      <c r="AA275" s="4">
        <f>(Games[[#This Row],[Keff]]*Games[[#This Row],[MOVMult]])*(Games[[#This Row],[Result]]-Games[[#This Row],[ExpectedWin%]])</f>
        <v>-15.926051517391912</v>
      </c>
      <c r="AB275" s="4">
        <f>Games[[#This Row],[PreGmRate]]+Games[[#This Row],[RatingChange]]</f>
        <v>1555.1822064975754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45852</v>
      </c>
      <c r="B276" s="2">
        <v>2025</v>
      </c>
      <c r="C276" s="2">
        <f>COUNTIFS(Games[Team],Games[[#This Row],[Team]],Games[Season],Games[[#This Row],[Season]],Games[Date],"&lt;=" &amp; Games[[#This Row],[Date]])</f>
        <v>24</v>
      </c>
      <c r="D276" s="2" t="s">
        <v>79</v>
      </c>
      <c r="E276" s="2" t="s">
        <v>80</v>
      </c>
      <c r="F276" s="1" t="s">
        <v>67</v>
      </c>
      <c r="G276" s="1" t="s">
        <v>75</v>
      </c>
      <c r="H276" s="1" t="s">
        <v>81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">
        <f>MAX(-16, MIN(16, Games[[#This Row],[RestDiff]]*8))</f>
        <v>0</v>
      </c>
      <c r="N276" s="1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1632.5144745702933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1406.4636396298342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0.69375009226146012</v>
      </c>
      <c r="R276" s="1">
        <v>91</v>
      </c>
      <c r="S276" s="1">
        <v>78</v>
      </c>
      <c r="T276" s="1">
        <v>0</v>
      </c>
      <c r="U276" s="1">
        <f>Games[[#This Row],[PointsFor]]-Games[[#This Row],[PointsAgainst]]</f>
        <v>13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0.39721761167132014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6" s="9">
        <f>MAX(kmin, kmax - 0.15 * MIN(Games[[#This Row],[GamesPlayed]], 82))</f>
        <v>72.400000000000006</v>
      </c>
      <c r="Z276" s="4">
        <f>Games[[#This Row],[K]]*Games[[#This Row],[POMult]]</f>
        <v>72.400000000000006</v>
      </c>
      <c r="AA276" s="4">
        <f>(Games[[#This Row],[Keff]]*Games[[#This Row],[MOVMult]])*(Games[[#This Row],[Result]]-Games[[#This Row],[ExpectedWin%]])</f>
        <v>8.8073048414760624</v>
      </c>
      <c r="AB276" s="4">
        <f>Games[[#This Row],[PreGmRate]]+Games[[#This Row],[RatingChange]]</f>
        <v>1641.3217794117693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45852</v>
      </c>
      <c r="B277" s="2">
        <v>2025</v>
      </c>
      <c r="C277" s="2">
        <f>COUNTIFS(Games[Team],Games[[#This Row],[Team]],Games[Season],Games[[#This Row],[Season]],Games[Date],"&lt;=" &amp; Games[[#This Row],[Date]])</f>
        <v>21</v>
      </c>
      <c r="D277" s="2" t="s">
        <v>79</v>
      </c>
      <c r="E277" s="2" t="s">
        <v>80</v>
      </c>
      <c r="F277" s="1" t="s">
        <v>75</v>
      </c>
      <c r="G277" s="1" t="s">
        <v>67</v>
      </c>
      <c r="H277" s="1" t="s">
        <v>82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">
        <f>MAX(-16, MIN(16, Games[[#This Row],[RestDiff]]*8))</f>
        <v>0</v>
      </c>
      <c r="N277" s="1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1406.4636396298342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1632.5144745702933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0.30624990773853988</v>
      </c>
      <c r="R277" s="1">
        <v>78</v>
      </c>
      <c r="S277" s="1">
        <v>91</v>
      </c>
      <c r="T277" s="1">
        <v>0</v>
      </c>
      <c r="U277" s="1">
        <f>Games[[#This Row],[PointsFor]]-Games[[#This Row],[PointsAgainst]]</f>
        <v>-13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0.39721761167132014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7" s="9">
        <f>MAX(kmin, kmax - 0.15 * MIN(Games[[#This Row],[GamesPlayed]], 82))</f>
        <v>72.849999999999994</v>
      </c>
      <c r="Z277" s="4">
        <f>Games[[#This Row],[K]]*Games[[#This Row],[POMult]]</f>
        <v>72.849999999999994</v>
      </c>
      <c r="AA277" s="4">
        <f>(Games[[#This Row],[Keff]]*Games[[#This Row],[MOVMult]])*(Games[[#This Row],[Result]]-Games[[#This Row],[ExpectedWin%]])</f>
        <v>-8.8620463770929714</v>
      </c>
      <c r="AB277" s="4">
        <f>Games[[#This Row],[PreGmRate]]+Games[[#This Row],[RatingChange]]</f>
        <v>1397.6015932527412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45852</v>
      </c>
      <c r="B278" s="2">
        <v>2025</v>
      </c>
      <c r="C278" s="2">
        <f>COUNTIFS(Games[Team],Games[[#This Row],[Team]],Games[Season],Games[[#This Row],[Season]],Games[Date],"&lt;=" &amp; Games[[#This Row],[Date]])</f>
        <v>21</v>
      </c>
      <c r="D278" s="2" t="s">
        <v>79</v>
      </c>
      <c r="E278" s="2" t="s">
        <v>80</v>
      </c>
      <c r="F278" s="1" t="s">
        <v>40</v>
      </c>
      <c r="G278" s="1" t="s">
        <v>88</v>
      </c>
      <c r="H278" s="1" t="s">
        <v>81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8" s="2">
        <f>Games[[#This Row],[DaysOff]]-Games[[#This Row],[OppDaysOff]]</f>
        <v>3</v>
      </c>
      <c r="L278" s="2">
        <f>Games[[#This Row],[OppDaysOff]]-Games[[#This Row],[DaysOff]]</f>
        <v>-3</v>
      </c>
      <c r="M278" s="1">
        <f>MAX(-16, MIN(16, Games[[#This Row],[RestDiff]]*8))</f>
        <v>16</v>
      </c>
      <c r="N278" s="1">
        <f>MAX(-16, MIN(16, Games[[#This Row],[OppRestDiff]]*8))</f>
        <v>-16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1563.8342281609205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1535.3261372699735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0.46624385171738636</v>
      </c>
      <c r="R278" s="1">
        <v>78</v>
      </c>
      <c r="S278" s="1">
        <v>77</v>
      </c>
      <c r="T278" s="1">
        <v>0</v>
      </c>
      <c r="U278" s="1">
        <f>Games[[#This Row],[PointsFor]]-Games[[#This Row],[PointsAgainst]]</f>
        <v>1</v>
      </c>
      <c r="V278" s="1">
        <f>IF(Games[[#This Row],[MOV]]&gt;0,1,IF(Games[[#This Row],[MOV]]=0,0.5,0))</f>
        <v>1</v>
      </c>
      <c r="W278" s="4">
        <f>((ABS(Games[[#This Row],[MOV]])+5)^0.6)/(12+0.01*(ABS(Games[[#This Row],[PreGmRate]]-Games[[#This Row],[OppPreGmRate]])))*IF(Games[[#This Row],[OT]]=1,0.9,1)</f>
        <v>0.23851337026673497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8" s="9">
        <f>MAX(kmin, kmax - 0.15 * MIN(Games[[#This Row],[GamesPlayed]], 82))</f>
        <v>72.849999999999994</v>
      </c>
      <c r="Z278" s="4">
        <f>Games[[#This Row],[K]]*Games[[#This Row],[POMult]]</f>
        <v>72.849999999999994</v>
      </c>
      <c r="AA278" s="4">
        <f>(Games[[#This Row],[Keff]]*Games[[#This Row],[MOVMult]])*(Games[[#This Row],[Result]]-Games[[#This Row],[ExpectedWin%]])</f>
        <v>9.274386184731723</v>
      </c>
      <c r="AB278" s="4">
        <f>Games[[#This Row],[PreGmRate]]+Games[[#This Row],[RatingChange]]</f>
        <v>1573.1086143456521</v>
      </c>
      <c r="AC278" s="2">
        <f>IF(Games[[#This Row],[Type]]="R",IF(Games[[#This Row],[Result]]&gt;0.5,1,0),0)</f>
        <v>1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45852</v>
      </c>
      <c r="B279" s="2">
        <v>2025</v>
      </c>
      <c r="C279" s="2">
        <f>COUNTIFS(Games[Team],Games[[#This Row],[Team]],Games[Season],Games[[#This Row],[Season]],Games[Date],"&lt;=" &amp; Games[[#This Row],[Date]])</f>
        <v>21</v>
      </c>
      <c r="D279" s="2" t="s">
        <v>79</v>
      </c>
      <c r="E279" s="2" t="s">
        <v>80</v>
      </c>
      <c r="F279" s="1" t="s">
        <v>88</v>
      </c>
      <c r="G279" s="1" t="s">
        <v>40</v>
      </c>
      <c r="H279" s="1" t="s">
        <v>82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9" s="2">
        <f>Games[[#This Row],[DaysOff]]-Games[[#This Row],[OppDaysOff]]</f>
        <v>-3</v>
      </c>
      <c r="L279" s="2">
        <f>Games[[#This Row],[OppDaysOff]]-Games[[#This Row],[DaysOff]]</f>
        <v>3</v>
      </c>
      <c r="M279" s="1">
        <f>MAX(-16, MIN(16, Games[[#This Row],[RestDiff]]*8))</f>
        <v>-16</v>
      </c>
      <c r="N279" s="1">
        <f>MAX(-16, MIN(16, Games[[#This Row],[OppRestDiff]]*8))</f>
        <v>16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1535.3261372699735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1563.8342281609205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0.53375614828261364</v>
      </c>
      <c r="R279" s="1">
        <v>77</v>
      </c>
      <c r="S279" s="1">
        <v>78</v>
      </c>
      <c r="T279" s="1">
        <v>0</v>
      </c>
      <c r="U279" s="1">
        <f>Games[[#This Row],[PointsFor]]-Games[[#This Row],[PointsAgainst]]</f>
        <v>-1</v>
      </c>
      <c r="V279" s="1">
        <f>IF(Games[[#This Row],[MOV]]&gt;0,1,IF(Games[[#This Row],[MOV]]=0,0.5,0))</f>
        <v>0</v>
      </c>
      <c r="W279" s="4">
        <f>((ABS(Games[[#This Row],[MOV]])+5)^0.6)/(12+0.01*(ABS(Games[[#This Row],[PreGmRate]]-Games[[#This Row],[OppPreGmRate]])))*IF(Games[[#This Row],[OT]]=1,0.9,1)</f>
        <v>0.23851337026673497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9" s="9">
        <f>MAX(kmin, kmax - 0.15 * MIN(Games[[#This Row],[GamesPlayed]], 82))</f>
        <v>72.849999999999994</v>
      </c>
      <c r="Z279" s="4">
        <f>Games[[#This Row],[K]]*Games[[#This Row],[POMult]]</f>
        <v>72.849999999999994</v>
      </c>
      <c r="AA279" s="4">
        <f>(Games[[#This Row],[Keff]]*Games[[#This Row],[MOVMult]])*(Games[[#This Row],[Result]]-Games[[#This Row],[ExpectedWin%]])</f>
        <v>-9.274386184731723</v>
      </c>
      <c r="AB279" s="4">
        <f>Games[[#This Row],[PreGmRate]]+Games[[#This Row],[RatingChange]]</f>
        <v>1526.0517510852419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1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45853</v>
      </c>
      <c r="B280" s="2">
        <v>2025</v>
      </c>
      <c r="C280" s="2">
        <f>COUNTIFS(Games[Team],Games[[#This Row],[Team]],Games[Season],Games[[#This Row],[Season]],Games[Date],"&lt;=" &amp; Games[[#This Row],[Date]])</f>
        <v>23</v>
      </c>
      <c r="D280" s="2" t="s">
        <v>79</v>
      </c>
      <c r="E280" s="2" t="s">
        <v>80</v>
      </c>
      <c r="F280" s="1" t="s">
        <v>69</v>
      </c>
      <c r="G280" s="1" t="s">
        <v>74</v>
      </c>
      <c r="H280" s="1" t="s">
        <v>81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0</v>
      </c>
      <c r="L280" s="2">
        <f>Games[[#This Row],[OppDaysOff]]-Games[[#This Row],[DaysOff]]</f>
        <v>0</v>
      </c>
      <c r="M280" s="1">
        <f>MAX(-16, MIN(16, Games[[#This Row],[RestDiff]]*8))</f>
        <v>0</v>
      </c>
      <c r="N280" s="1">
        <f>MAX(-16, MIN(16, Games[[#This Row],[OppRestDiff]]*8))</f>
        <v>0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1542.1714880986892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1353.1076540157649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0.6467527977542189</v>
      </c>
      <c r="R280" s="1">
        <v>85</v>
      </c>
      <c r="S280" s="1">
        <v>77</v>
      </c>
      <c r="T280" s="1">
        <v>0</v>
      </c>
      <c r="U280" s="1">
        <f>Games[[#This Row],[PointsFor]]-Games[[#This Row],[PointsAgainst]]</f>
        <v>8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0.33546236722177059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0" s="9">
        <f>MAX(kmin, kmax - 0.15 * MIN(Games[[#This Row],[GamesPlayed]], 82))</f>
        <v>72.55</v>
      </c>
      <c r="Z280" s="4">
        <f>Games[[#This Row],[K]]*Games[[#This Row],[POMult]]</f>
        <v>72.55</v>
      </c>
      <c r="AA280" s="4">
        <f>(Games[[#This Row],[Keff]]*Games[[#This Row],[MOVMult]])*(Games[[#This Row],[Result]]-Games[[#This Row],[ExpectedWin%]])</f>
        <v>8.5972579014221946</v>
      </c>
      <c r="AB280" s="4">
        <f>Games[[#This Row],[PreGmRate]]+Games[[#This Row],[RatingChange]]</f>
        <v>1550.7687460001114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45853</v>
      </c>
      <c r="B281" s="2">
        <v>2025</v>
      </c>
      <c r="C281" s="2">
        <f>COUNTIFS(Games[Team],Games[[#This Row],[Team]],Games[Season],Games[[#This Row],[Season]],Games[Date],"&lt;=" &amp; Games[[#This Row],[Date]])</f>
        <v>22</v>
      </c>
      <c r="D281" s="2" t="s">
        <v>79</v>
      </c>
      <c r="E281" s="2" t="s">
        <v>80</v>
      </c>
      <c r="F281" s="1" t="s">
        <v>74</v>
      </c>
      <c r="G281" s="1" t="s">
        <v>69</v>
      </c>
      <c r="H281" s="1" t="s">
        <v>82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0</v>
      </c>
      <c r="L281" s="2">
        <f>Games[[#This Row],[OppDaysOff]]-Games[[#This Row],[DaysOff]]</f>
        <v>0</v>
      </c>
      <c r="M281" s="1">
        <f>MAX(-16, MIN(16, Games[[#This Row],[RestDiff]]*8))</f>
        <v>0</v>
      </c>
      <c r="N281" s="1">
        <f>MAX(-16, MIN(16, Games[[#This Row],[OppRestDiff]]*8))</f>
        <v>0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1353.1076540157649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1542.1714880986892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0.35324720224578104</v>
      </c>
      <c r="R281" s="1">
        <v>77</v>
      </c>
      <c r="S281" s="1">
        <v>85</v>
      </c>
      <c r="T281" s="1">
        <v>0</v>
      </c>
      <c r="U281" s="1">
        <f>Games[[#This Row],[PointsFor]]-Games[[#This Row],[PointsAgainst]]</f>
        <v>-8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0.33546236722177059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1" s="9">
        <f>MAX(kmin, kmax - 0.15 * MIN(Games[[#This Row],[GamesPlayed]], 82))</f>
        <v>72.7</v>
      </c>
      <c r="Z281" s="4">
        <f>Games[[#This Row],[K]]*Games[[#This Row],[POMult]]</f>
        <v>72.7</v>
      </c>
      <c r="AA281" s="4">
        <f>(Games[[#This Row],[Keff]]*Games[[#This Row],[MOVMult]])*(Games[[#This Row],[Result]]-Games[[#This Row],[ExpectedWin%]])</f>
        <v>-8.6150330728241684</v>
      </c>
      <c r="AB281" s="4">
        <f>Games[[#This Row],[PreGmRate]]+Games[[#This Row],[RatingChange]]</f>
        <v>1344.4926209429407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45853</v>
      </c>
      <c r="B282" s="2">
        <v>2025</v>
      </c>
      <c r="C282" s="2">
        <f>COUNTIFS(Games[Team],Games[[#This Row],[Team]],Games[Season],Games[[#This Row],[Season]],Games[Date],"&lt;=" &amp; Games[[#This Row],[Date]])</f>
        <v>22</v>
      </c>
      <c r="D282" s="2" t="s">
        <v>79</v>
      </c>
      <c r="E282" s="2" t="s">
        <v>80</v>
      </c>
      <c r="F282" s="1" t="s">
        <v>65</v>
      </c>
      <c r="G282" s="1" t="s">
        <v>63</v>
      </c>
      <c r="H282" s="1" t="s">
        <v>81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1501.8830756249565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1382.8041292759658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0.55031181840787802</v>
      </c>
      <c r="R282" s="1">
        <v>80</v>
      </c>
      <c r="S282" s="1">
        <v>99</v>
      </c>
      <c r="T282" s="1">
        <v>0</v>
      </c>
      <c r="U282" s="1">
        <f>Games[[#This Row],[PointsFor]]-Games[[#This Row],[PointsAgainst]]</f>
        <v>-19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0.51033570745023271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2" s="9">
        <f>MAX(kmin, kmax - 0.15 * MIN(Games[[#This Row],[GamesPlayed]], 82))</f>
        <v>72.7</v>
      </c>
      <c r="Z282" s="4">
        <f>Games[[#This Row],[K]]*Games[[#This Row],[POMult]]</f>
        <v>72.7</v>
      </c>
      <c r="AA282" s="4">
        <f>(Games[[#This Row],[Keff]]*Games[[#This Row],[MOVMult]])*(Games[[#This Row],[Result]]-Games[[#This Row],[ExpectedWin%]])</f>
        <v>-20.417342163725191</v>
      </c>
      <c r="AB282" s="4">
        <f>Games[[#This Row],[PreGmRate]]+Games[[#This Row],[RatingChange]]</f>
        <v>1481.4657334612314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45853</v>
      </c>
      <c r="B283" s="2">
        <v>2025</v>
      </c>
      <c r="C283" s="2">
        <f>COUNTIFS(Games[Team],Games[[#This Row],[Team]],Games[Season],Games[[#This Row],[Season]],Games[Date],"&lt;=" &amp; Games[[#This Row],[Date]])</f>
        <v>22</v>
      </c>
      <c r="D283" s="2" t="s">
        <v>79</v>
      </c>
      <c r="E283" s="2" t="s">
        <v>80</v>
      </c>
      <c r="F283" s="1" t="s">
        <v>63</v>
      </c>
      <c r="G283" s="1" t="s">
        <v>65</v>
      </c>
      <c r="H283" s="1" t="s">
        <v>82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1382.8041292759658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1501.8830756249565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0.44968818159212198</v>
      </c>
      <c r="R283" s="1">
        <v>99</v>
      </c>
      <c r="S283" s="1">
        <v>80</v>
      </c>
      <c r="T283" s="1">
        <v>0</v>
      </c>
      <c r="U283" s="1">
        <f>Games[[#This Row],[PointsFor]]-Games[[#This Row],[PointsAgainst]]</f>
        <v>19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0.51033570745023271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3" s="9">
        <f>MAX(kmin, kmax - 0.15 * MIN(Games[[#This Row],[GamesPlayed]], 82))</f>
        <v>72.7</v>
      </c>
      <c r="Z283" s="4">
        <f>Games[[#This Row],[K]]*Games[[#This Row],[POMult]]</f>
        <v>72.7</v>
      </c>
      <c r="AA283" s="4">
        <f>(Games[[#This Row],[Keff]]*Games[[#This Row],[MOVMult]])*(Games[[#This Row],[Result]]-Games[[#This Row],[ExpectedWin%]])</f>
        <v>20.417342163725191</v>
      </c>
      <c r="AB283" s="4">
        <f>Games[[#This Row],[PreGmRate]]+Games[[#This Row],[RatingChange]]</f>
        <v>1403.221471439691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45854</v>
      </c>
      <c r="B284" s="2">
        <v>2025</v>
      </c>
      <c r="C284" s="2">
        <f>COUNTIFS(Games[Team],Games[[#This Row],[Team]],Games[Season],Games[[#This Row],[Season]],Games[Date],"&lt;=" &amp; Games[[#This Row],[Date]])</f>
        <v>22</v>
      </c>
      <c r="D284" s="2" t="s">
        <v>79</v>
      </c>
      <c r="E284" s="2" t="s">
        <v>80</v>
      </c>
      <c r="F284" s="1" t="s">
        <v>77</v>
      </c>
      <c r="G284" s="1" t="s">
        <v>75</v>
      </c>
      <c r="H284" s="1" t="s">
        <v>81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1</v>
      </c>
      <c r="L284" s="2">
        <f>Games[[#This Row],[OppDaysOff]]-Games[[#This Row],[DaysOff]]</f>
        <v>-1</v>
      </c>
      <c r="M284" s="1">
        <f>MAX(-16, MIN(16, Games[[#This Row],[RestDiff]]*8))</f>
        <v>8</v>
      </c>
      <c r="N284" s="1">
        <f>MAX(-16, MIN(16, Games[[#This Row],[OppRestDiff]]*8))</f>
        <v>-8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1520.8433091444147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1397.6015932527412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0.57883599874623326</v>
      </c>
      <c r="R284" s="1">
        <v>86</v>
      </c>
      <c r="S284" s="1">
        <v>49</v>
      </c>
      <c r="T284" s="1">
        <v>0</v>
      </c>
      <c r="U284" s="1">
        <f>Games[[#This Row],[PointsFor]]-Games[[#This Row],[PointsAgainst]]</f>
        <v>37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0.71172199994229268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4" s="9">
        <f>MAX(kmin, kmax - 0.15 * MIN(Games[[#This Row],[GamesPlayed]], 82))</f>
        <v>72.7</v>
      </c>
      <c r="Z284" s="4">
        <f>Games[[#This Row],[K]]*Games[[#This Row],[POMult]]</f>
        <v>72.7</v>
      </c>
      <c r="AA284" s="4">
        <f>(Games[[#This Row],[Keff]]*Games[[#This Row],[MOVMult]])*(Games[[#This Row],[Result]]-Games[[#This Row],[ExpectedWin%]])</f>
        <v>21.791947519567319</v>
      </c>
      <c r="AB284" s="4">
        <f>Games[[#This Row],[PreGmRate]]+Games[[#This Row],[RatingChange]]</f>
        <v>1542.6352566639821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45854</v>
      </c>
      <c r="B285" s="2">
        <v>2025</v>
      </c>
      <c r="C285" s="2">
        <f>COUNTIFS(Games[Team],Games[[#This Row],[Team]],Games[Season],Games[[#This Row],[Season]],Games[Date],"&lt;=" &amp; Games[[#This Row],[Date]])</f>
        <v>22</v>
      </c>
      <c r="D285" s="2" t="s">
        <v>79</v>
      </c>
      <c r="E285" s="2" t="s">
        <v>80</v>
      </c>
      <c r="F285" s="1" t="s">
        <v>75</v>
      </c>
      <c r="G285" s="1" t="s">
        <v>77</v>
      </c>
      <c r="H285" s="1" t="s">
        <v>82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5" s="2">
        <f>Games[[#This Row],[DaysOff]]-Games[[#This Row],[OppDaysOff]]</f>
        <v>-1</v>
      </c>
      <c r="L285" s="2">
        <f>Games[[#This Row],[OppDaysOff]]-Games[[#This Row],[DaysOff]]</f>
        <v>1</v>
      </c>
      <c r="M285" s="1">
        <f>MAX(-16, MIN(16, Games[[#This Row],[RestDiff]]*8))</f>
        <v>-8</v>
      </c>
      <c r="N285" s="1">
        <f>MAX(-16, MIN(16, Games[[#This Row],[OppRestDiff]]*8))</f>
        <v>8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1397.6015932527412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1520.8433091444147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0.4211640012537668</v>
      </c>
      <c r="R285" s="1">
        <v>49</v>
      </c>
      <c r="S285" s="1">
        <v>86</v>
      </c>
      <c r="T285" s="1">
        <v>0</v>
      </c>
      <c r="U285" s="1">
        <f>Games[[#This Row],[PointsFor]]-Games[[#This Row],[PointsAgainst]]</f>
        <v>-37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0.71172199994229268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5" s="9">
        <f>MAX(kmin, kmax - 0.15 * MIN(Games[[#This Row],[GamesPlayed]], 82))</f>
        <v>72.7</v>
      </c>
      <c r="Z285" s="4">
        <f>Games[[#This Row],[K]]*Games[[#This Row],[POMult]]</f>
        <v>72.7</v>
      </c>
      <c r="AA285" s="4">
        <f>(Games[[#This Row],[Keff]]*Games[[#This Row],[MOVMult]])*(Games[[#This Row],[Result]]-Games[[#This Row],[ExpectedWin%]])</f>
        <v>-21.791947519567319</v>
      </c>
      <c r="AB285" s="4">
        <f>Games[[#This Row],[PreGmRate]]+Games[[#This Row],[RatingChange]]</f>
        <v>1375.8096457331737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45854</v>
      </c>
      <c r="B286" s="2">
        <v>2025</v>
      </c>
      <c r="C286" s="2">
        <f>COUNTIFS(Games[Team],Games[[#This Row],[Team]],Games[Season],Games[[#This Row],[Season]],Games[Date],"&lt;=" &amp; Games[[#This Row],[Date]])</f>
        <v>22</v>
      </c>
      <c r="D286" s="2" t="s">
        <v>79</v>
      </c>
      <c r="E286" s="2" t="s">
        <v>80</v>
      </c>
      <c r="F286" s="1" t="s">
        <v>86</v>
      </c>
      <c r="G286" s="1" t="s">
        <v>85</v>
      </c>
      <c r="H286" s="1" t="s">
        <v>81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6" s="2">
        <f>Games[[#This Row],[DaysOff]]-Games[[#This Row],[OppDaysOff]]</f>
        <v>1</v>
      </c>
      <c r="L286" s="2">
        <f>Games[[#This Row],[OppDaysOff]]-Games[[#This Row],[DaysOff]]</f>
        <v>-1</v>
      </c>
      <c r="M286" s="1">
        <f>MAX(-16, MIN(16, Games[[#This Row],[RestDiff]]*8))</f>
        <v>8</v>
      </c>
      <c r="N286" s="1">
        <f>MAX(-16, MIN(16, Games[[#This Row],[OppRestDiff]]*8))</f>
        <v>-8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1515.8012337655746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1367.3335749514292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0.61377518226118222</v>
      </c>
      <c r="R286" s="1">
        <v>90</v>
      </c>
      <c r="S286" s="1">
        <v>86</v>
      </c>
      <c r="T286" s="1">
        <v>0</v>
      </c>
      <c r="U286" s="1">
        <f>Games[[#This Row],[PointsFor]]-Games[[#This Row],[PointsAgainst]]</f>
        <v>4</v>
      </c>
      <c r="V286" s="1">
        <f>IF(Games[[#This Row],[MOV]]&gt;0,1,IF(Games[[#This Row],[MOV]]=0,0.5,0))</f>
        <v>1</v>
      </c>
      <c r="W286" s="4">
        <f>((ABS(Games[[#This Row],[MOV]])+5)^0.6)/(12+0.01*(ABS(Games[[#This Row],[PreGmRate]]-Games[[#This Row],[OppPreGmRate]])))*IF(Games[[#This Row],[OT]]=1,0.9,1)</f>
        <v>0.27714367448256588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6" s="9">
        <f>MAX(kmin, kmax - 0.15 * MIN(Games[[#This Row],[GamesPlayed]], 82))</f>
        <v>72.7</v>
      </c>
      <c r="Z286" s="4">
        <f>Games[[#This Row],[K]]*Games[[#This Row],[POMult]]</f>
        <v>72.7</v>
      </c>
      <c r="AA286" s="4">
        <f>(Games[[#This Row],[Keff]]*Games[[#This Row],[MOVMult]])*(Games[[#This Row],[Result]]-Games[[#This Row],[ExpectedWin%]])</f>
        <v>7.7817909274588049</v>
      </c>
      <c r="AB286" s="4">
        <f>Games[[#This Row],[PreGmRate]]+Games[[#This Row],[RatingChange]]</f>
        <v>1523.5830246930334</v>
      </c>
      <c r="AC286" s="2">
        <f>IF(Games[[#This Row],[Type]]="R",IF(Games[[#This Row],[Result]]&gt;0.5,1,0),0)</f>
        <v>1</v>
      </c>
      <c r="AD286" s="2">
        <f>IF(Games[[#This Row],[Type]]="R",IF(Games[[#This Row],[Result]]&lt;0.5,1,0),0)</f>
        <v>0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45854</v>
      </c>
      <c r="B287" s="2">
        <v>2025</v>
      </c>
      <c r="C287" s="2">
        <f>COUNTIFS(Games[Team],Games[[#This Row],[Team]],Games[Season],Games[[#This Row],[Season]],Games[Date],"&lt;=" &amp; Games[[#This Row],[Date]])</f>
        <v>23</v>
      </c>
      <c r="D287" s="2" t="s">
        <v>79</v>
      </c>
      <c r="E287" s="2" t="s">
        <v>80</v>
      </c>
      <c r="F287" s="1" t="s">
        <v>85</v>
      </c>
      <c r="G287" s="1" t="s">
        <v>86</v>
      </c>
      <c r="H287" s="1" t="s">
        <v>82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7" s="2">
        <f>Games[[#This Row],[DaysOff]]-Games[[#This Row],[OppDaysOff]]</f>
        <v>-1</v>
      </c>
      <c r="L287" s="2">
        <f>Games[[#This Row],[OppDaysOff]]-Games[[#This Row],[DaysOff]]</f>
        <v>1</v>
      </c>
      <c r="M287" s="1">
        <f>MAX(-16, MIN(16, Games[[#This Row],[RestDiff]]*8))</f>
        <v>-8</v>
      </c>
      <c r="N287" s="1">
        <f>MAX(-16, MIN(16, Games[[#This Row],[OppRestDiff]]*8))</f>
        <v>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1367.3335749514292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1515.8012337655746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0.38622481773881773</v>
      </c>
      <c r="R287" s="1">
        <v>86</v>
      </c>
      <c r="S287" s="1">
        <v>90</v>
      </c>
      <c r="T287" s="1">
        <v>0</v>
      </c>
      <c r="U287" s="1">
        <f>Games[[#This Row],[PointsFor]]-Games[[#This Row],[PointsAgainst]]</f>
        <v>-4</v>
      </c>
      <c r="V287" s="1">
        <f>IF(Games[[#This Row],[MOV]]&gt;0,1,IF(Games[[#This Row],[MOV]]=0,0.5,0))</f>
        <v>0</v>
      </c>
      <c r="W287" s="4">
        <f>((ABS(Games[[#This Row],[MOV]])+5)^0.6)/(12+0.01*(ABS(Games[[#This Row],[PreGmRate]]-Games[[#This Row],[OppPreGmRate]])))*IF(Games[[#This Row],[OT]]=1,0.9,1)</f>
        <v>0.27714367448256588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7" s="9">
        <f>MAX(kmin, kmax - 0.15 * MIN(Games[[#This Row],[GamesPlayed]], 82))</f>
        <v>72.55</v>
      </c>
      <c r="Z287" s="4">
        <f>Games[[#This Row],[K]]*Games[[#This Row],[POMult]]</f>
        <v>72.55</v>
      </c>
      <c r="AA287" s="4">
        <f>(Games[[#This Row],[Keff]]*Games[[#This Row],[MOVMult]])*(Games[[#This Row],[Result]]-Games[[#This Row],[ExpectedWin%]])</f>
        <v>-7.765734962684129</v>
      </c>
      <c r="AB287" s="4">
        <f>Games[[#This Row],[PreGmRate]]+Games[[#This Row],[RatingChange]]</f>
        <v>1359.5678399887452</v>
      </c>
      <c r="AC287" s="2">
        <f>IF(Games[[#This Row],[Type]]="R",IF(Games[[#This Row],[Result]]&gt;0.5,1,0),0)</f>
        <v>0</v>
      </c>
      <c r="AD287" s="2">
        <f>IF(Games[[#This Row],[Type]]="R",IF(Games[[#This Row],[Result]]&lt;0.5,1,0),0)</f>
        <v>1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45854</v>
      </c>
      <c r="B288" s="2">
        <v>2025</v>
      </c>
      <c r="C288" s="2">
        <f>COUNTIFS(Games[Team],Games[[#This Row],[Team]],Games[Season],Games[[#This Row],[Season]],Games[Date],"&lt;=" &amp; Games[[#This Row],[Date]])</f>
        <v>22</v>
      </c>
      <c r="D288" s="2" t="s">
        <v>79</v>
      </c>
      <c r="E288" s="2" t="s">
        <v>80</v>
      </c>
      <c r="F288" s="1" t="s">
        <v>40</v>
      </c>
      <c r="G288" s="1" t="s">
        <v>67</v>
      </c>
      <c r="H288" s="1" t="s">
        <v>81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">
        <f>MAX(-16, MIN(16, Games[[#This Row],[RestDiff]]*8))</f>
        <v>0</v>
      </c>
      <c r="N288" s="1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1573.1086143456521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1641.3217794117693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0.29396389720844762</v>
      </c>
      <c r="R288" s="1">
        <v>66</v>
      </c>
      <c r="S288" s="1">
        <v>79</v>
      </c>
      <c r="T288" s="1">
        <v>0</v>
      </c>
      <c r="U288" s="1">
        <f>Games[[#This Row],[PointsFor]]-Games[[#This Row],[PointsAgainst]]</f>
        <v>-13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0.44665401872516408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8" s="9">
        <f>MAX(kmin, kmax - 0.15 * MIN(Games[[#This Row],[GamesPlayed]], 82))</f>
        <v>72.7</v>
      </c>
      <c r="Z288" s="4">
        <f>Games[[#This Row],[K]]*Games[[#This Row],[POMult]]</f>
        <v>72.7</v>
      </c>
      <c r="AA288" s="4">
        <f>(Games[[#This Row],[Keff]]*Games[[#This Row],[MOVMult]])*(Games[[#This Row],[Result]]-Games[[#This Row],[ExpectedWin%]])</f>
        <v>-9.5455213447088045</v>
      </c>
      <c r="AB288" s="4">
        <f>Games[[#This Row],[PreGmRate]]+Games[[#This Row],[RatingChange]]</f>
        <v>1563.5630930009434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45854</v>
      </c>
      <c r="B289" s="2">
        <v>2025</v>
      </c>
      <c r="C289" s="2">
        <f>COUNTIFS(Games[Team],Games[[#This Row],[Team]],Games[Season],Games[[#This Row],[Season]],Games[Date],"&lt;=" &amp; Games[[#This Row],[Date]])</f>
        <v>25</v>
      </c>
      <c r="D289" s="2" t="s">
        <v>79</v>
      </c>
      <c r="E289" s="2" t="s">
        <v>80</v>
      </c>
      <c r="F289" s="1" t="s">
        <v>67</v>
      </c>
      <c r="G289" s="1" t="s">
        <v>40</v>
      </c>
      <c r="H289" s="1" t="s">
        <v>82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">
        <f>MAX(-16, MIN(16, Games[[#This Row],[RestDiff]]*8))</f>
        <v>0</v>
      </c>
      <c r="N289" s="1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1641.3217794117693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1573.1086143456521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0.70603610279155238</v>
      </c>
      <c r="R289" s="1">
        <v>79</v>
      </c>
      <c r="S289" s="1">
        <v>66</v>
      </c>
      <c r="T289" s="1">
        <v>0</v>
      </c>
      <c r="U289" s="1">
        <f>Games[[#This Row],[PointsFor]]-Games[[#This Row],[PointsAgainst]]</f>
        <v>13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0.44665401872516408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9" s="9">
        <f>MAX(kmin, kmax - 0.15 * MIN(Games[[#This Row],[GamesPlayed]], 82))</f>
        <v>72.25</v>
      </c>
      <c r="Z289" s="4">
        <f>Games[[#This Row],[K]]*Games[[#This Row],[POMult]]</f>
        <v>72.25</v>
      </c>
      <c r="AA289" s="4">
        <f>(Games[[#This Row],[Keff]]*Games[[#This Row],[MOVMult]])*(Games[[#This Row],[Result]]-Games[[#This Row],[ExpectedWin%]])</f>
        <v>9.4864362744870867</v>
      </c>
      <c r="AB289" s="4">
        <f>Games[[#This Row],[PreGmRate]]+Games[[#This Row],[RatingChange]]</f>
        <v>1650.8082156862563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45854</v>
      </c>
      <c r="B290" s="2">
        <v>2025</v>
      </c>
      <c r="C290" s="2">
        <f>COUNTIFS(Games[Team],Games[[#This Row],[Team]],Games[Season],Games[[#This Row],[Season]],Games[Date],"&lt;=" &amp; Games[[#This Row],[Date]])</f>
        <v>24</v>
      </c>
      <c r="D290" s="2" t="s">
        <v>79</v>
      </c>
      <c r="E290" s="2" t="s">
        <v>80</v>
      </c>
      <c r="F290" s="1" t="s">
        <v>69</v>
      </c>
      <c r="G290" s="1" t="s">
        <v>60</v>
      </c>
      <c r="H290" s="1" t="s">
        <v>81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0" s="2">
        <f>Games[[#This Row],[DaysOff]]-Games[[#This Row],[OppDaysOff]]</f>
        <v>-2</v>
      </c>
      <c r="L290" s="2">
        <f>Games[[#This Row],[OppDaysOff]]-Games[[#This Row],[DaysOff]]</f>
        <v>2</v>
      </c>
      <c r="M290" s="1">
        <f>MAX(-16, MIN(16, Games[[#This Row],[RestDiff]]*8))</f>
        <v>-16</v>
      </c>
      <c r="N290" s="1">
        <f>MAX(-16, MIN(16, Games[[#This Row],[OppRestDiff]]*8))</f>
        <v>16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1550.7687460001114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1621.7711253275888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0.25417419519783602</v>
      </c>
      <c r="R290" s="1">
        <v>77</v>
      </c>
      <c r="S290" s="1">
        <v>98</v>
      </c>
      <c r="T290" s="1">
        <v>0</v>
      </c>
      <c r="U290" s="1">
        <f>Games[[#This Row],[PointsFor]]-Games[[#This Row],[PointsAgainst]]</f>
        <v>-21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0.5556964792611977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0" s="9">
        <f>MAX(kmin, kmax - 0.15 * MIN(Games[[#This Row],[GamesPlayed]], 82))</f>
        <v>72.400000000000006</v>
      </c>
      <c r="Z290" s="4">
        <f>Games[[#This Row],[K]]*Games[[#This Row],[POMult]]</f>
        <v>72.400000000000006</v>
      </c>
      <c r="AA290" s="4">
        <f>(Games[[#This Row],[Keff]]*Games[[#This Row],[MOVMult]])*(Games[[#This Row],[Result]]-Games[[#This Row],[ExpectedWin%]])</f>
        <v>-10.22604427027118</v>
      </c>
      <c r="AB290" s="4">
        <f>Games[[#This Row],[PreGmRate]]+Games[[#This Row],[RatingChange]]</f>
        <v>1540.5427017298402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45854</v>
      </c>
      <c r="B291" s="2">
        <v>2025</v>
      </c>
      <c r="C291" s="2">
        <f>COUNTIFS(Games[Team],Games[[#This Row],[Team]],Games[Season],Games[[#This Row],[Season]],Games[Date],"&lt;=" &amp; Games[[#This Row],[Date]])</f>
        <v>21</v>
      </c>
      <c r="D291" s="2" t="s">
        <v>79</v>
      </c>
      <c r="E291" s="2" t="s">
        <v>80</v>
      </c>
      <c r="F291" s="1" t="s">
        <v>60</v>
      </c>
      <c r="G291" s="1" t="s">
        <v>69</v>
      </c>
      <c r="H291" s="1" t="s">
        <v>82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1" s="2">
        <f>Games[[#This Row],[DaysOff]]-Games[[#This Row],[OppDaysOff]]</f>
        <v>2</v>
      </c>
      <c r="L291" s="2">
        <f>Games[[#This Row],[OppDaysOff]]-Games[[#This Row],[DaysOff]]</f>
        <v>-2</v>
      </c>
      <c r="M291" s="1">
        <f>MAX(-16, MIN(16, Games[[#This Row],[RestDiff]]*8))</f>
        <v>16</v>
      </c>
      <c r="N291" s="1">
        <f>MAX(-16, MIN(16, Games[[#This Row],[OppRestDiff]]*8))</f>
        <v>-16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1621.7711253275888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1550.7687460001114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0.74582580480216398</v>
      </c>
      <c r="R291" s="1">
        <v>98</v>
      </c>
      <c r="S291" s="1">
        <v>77</v>
      </c>
      <c r="T291" s="1">
        <v>0</v>
      </c>
      <c r="U291" s="1">
        <f>Games[[#This Row],[PointsFor]]-Games[[#This Row],[PointsAgainst]]</f>
        <v>21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0.5556964792611977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1" s="9">
        <f>MAX(kmin, kmax - 0.15 * MIN(Games[[#This Row],[GamesPlayed]], 82))</f>
        <v>72.849999999999994</v>
      </c>
      <c r="Z291" s="4">
        <f>Games[[#This Row],[K]]*Games[[#This Row],[POMult]]</f>
        <v>72.849999999999994</v>
      </c>
      <c r="AA291" s="4">
        <f>(Games[[#This Row],[Keff]]*Games[[#This Row],[MOVMult]])*(Games[[#This Row],[Result]]-Games[[#This Row],[ExpectedWin%]])</f>
        <v>10.289603937696898</v>
      </c>
      <c r="AB291" s="4">
        <f>Games[[#This Row],[PreGmRate]]+Games[[#This Row],[RatingChange]]</f>
        <v>1632.0607292652858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45854</v>
      </c>
      <c r="B292" s="2">
        <v>2025</v>
      </c>
      <c r="C292" s="2">
        <f>COUNTIFS(Games[Team],Games[[#This Row],[Team]],Games[Season],Games[[#This Row],[Season]],Games[Date],"&lt;=" &amp; Games[[#This Row],[Date]])</f>
        <v>22</v>
      </c>
      <c r="D292" s="2" t="s">
        <v>79</v>
      </c>
      <c r="E292" s="2" t="s">
        <v>80</v>
      </c>
      <c r="F292" s="1" t="s">
        <v>88</v>
      </c>
      <c r="G292" s="1" t="s">
        <v>71</v>
      </c>
      <c r="H292" s="1" t="s">
        <v>81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2" s="2">
        <f>Games[[#This Row],[DaysOff]]-Games[[#This Row],[OppDaysOff]]</f>
        <v>-1</v>
      </c>
      <c r="L292" s="2">
        <f>Games[[#This Row],[OppDaysOff]]-Games[[#This Row],[DaysOff]]</f>
        <v>1</v>
      </c>
      <c r="M292" s="1">
        <f>MAX(-16, MIN(16, Games[[#This Row],[RestDiff]]*8))</f>
        <v>-8</v>
      </c>
      <c r="N292" s="1">
        <f>MAX(-16, MIN(16, Games[[#This Row],[OppRestDiff]]*8))</f>
        <v>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1526.0517510852419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1555.1822064975754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0.3222753775069393</v>
      </c>
      <c r="R292" s="1">
        <v>58</v>
      </c>
      <c r="S292" s="1">
        <v>67</v>
      </c>
      <c r="T292" s="1">
        <v>0</v>
      </c>
      <c r="U292" s="1">
        <f>Games[[#This Row],[PointsFor]]-Games[[#This Row],[PointsAgainst]]</f>
        <v>-9</v>
      </c>
      <c r="V292" s="1">
        <f>IF(Games[[#This Row],[MOV]]&gt;0,1,IF(Games[[#This Row],[MOV]]=0,0.5,0))</f>
        <v>0</v>
      </c>
      <c r="W292" s="4">
        <f>((ABS(Games[[#This Row],[MOV]])+5)^0.6)/(12+0.01*(ABS(Games[[#This Row],[PreGmRate]]-Games[[#This Row],[OppPreGmRate]])))*IF(Games[[#This Row],[OT]]=1,0.9,1)</f>
        <v>0.39634998094100837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2" s="9">
        <f>MAX(kmin, kmax - 0.15 * MIN(Games[[#This Row],[GamesPlayed]], 82))</f>
        <v>72.7</v>
      </c>
      <c r="Z292" s="4">
        <f>Games[[#This Row],[K]]*Games[[#This Row],[POMult]]</f>
        <v>72.7</v>
      </c>
      <c r="AA292" s="4">
        <f>(Games[[#This Row],[Keff]]*Games[[#This Row],[MOVMult]])*(Games[[#This Row],[Result]]-Games[[#This Row],[ExpectedWin%]])</f>
        <v>-9.2862501485623223</v>
      </c>
      <c r="AB292" s="4">
        <f>Games[[#This Row],[PreGmRate]]+Games[[#This Row],[RatingChange]]</f>
        <v>1516.7655009366795</v>
      </c>
      <c r="AC292" s="2">
        <f>IF(Games[[#This Row],[Type]]="R",IF(Games[[#This Row],[Result]]&gt;0.5,1,0),0)</f>
        <v>0</v>
      </c>
      <c r="AD292" s="2">
        <f>IF(Games[[#This Row],[Type]]="R",IF(Games[[#This Row],[Result]]&lt;0.5,1,0),0)</f>
        <v>1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45854</v>
      </c>
      <c r="B293" s="2">
        <v>2025</v>
      </c>
      <c r="C293" s="2">
        <f>COUNTIFS(Games[Team],Games[[#This Row],[Team]],Games[Season],Games[[#This Row],[Season]],Games[Date],"&lt;=" &amp; Games[[#This Row],[Date]])</f>
        <v>23</v>
      </c>
      <c r="D293" s="2" t="s">
        <v>79</v>
      </c>
      <c r="E293" s="2" t="s">
        <v>80</v>
      </c>
      <c r="F293" s="1" t="s">
        <v>71</v>
      </c>
      <c r="G293" s="1" t="s">
        <v>88</v>
      </c>
      <c r="H293" s="1" t="s">
        <v>82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1</v>
      </c>
      <c r="L293" s="2">
        <f>Games[[#This Row],[OppDaysOff]]-Games[[#This Row],[DaysOff]]</f>
        <v>-1</v>
      </c>
      <c r="M293" s="1">
        <f>MAX(-16, MIN(16, Games[[#This Row],[RestDiff]]*8))</f>
        <v>8</v>
      </c>
      <c r="N293" s="1">
        <f>MAX(-16, MIN(16, Games[[#This Row],[OppRestDiff]]*8))</f>
        <v>-8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1555.1822064975754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1526.0517510852419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0.67772462249306076</v>
      </c>
      <c r="R293" s="1">
        <v>67</v>
      </c>
      <c r="S293" s="1">
        <v>58</v>
      </c>
      <c r="T293" s="1">
        <v>0</v>
      </c>
      <c r="U293" s="1">
        <f>Games[[#This Row],[PointsFor]]-Games[[#This Row],[PointsAgainst]]</f>
        <v>9</v>
      </c>
      <c r="V293" s="1">
        <f>IF(Games[[#This Row],[MOV]]&gt;0,1,IF(Games[[#This Row],[MOV]]=0,0.5,0))</f>
        <v>1</v>
      </c>
      <c r="W293" s="4">
        <f>((ABS(Games[[#This Row],[MOV]])+5)^0.6)/(12+0.01*(ABS(Games[[#This Row],[PreGmRate]]-Games[[#This Row],[OppPreGmRate]])))*IF(Games[[#This Row],[OT]]=1,0.9,1)</f>
        <v>0.39634998094100837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3" s="9">
        <f>MAX(kmin, kmax - 0.15 * MIN(Games[[#This Row],[GamesPlayed]], 82))</f>
        <v>72.55</v>
      </c>
      <c r="Z293" s="4">
        <f>Games[[#This Row],[K]]*Games[[#This Row],[POMult]]</f>
        <v>72.55</v>
      </c>
      <c r="AA293" s="4">
        <f>(Games[[#This Row],[Keff]]*Games[[#This Row],[MOVMult]])*(Games[[#This Row],[Result]]-Games[[#This Row],[ExpectedWin%]])</f>
        <v>9.2670900726024268</v>
      </c>
      <c r="AB293" s="4">
        <f>Games[[#This Row],[PreGmRate]]+Games[[#This Row],[RatingChange]]</f>
        <v>1564.4492965701779</v>
      </c>
      <c r="AC293" s="2">
        <f>IF(Games[[#This Row],[Type]]="R",IF(Games[[#This Row],[Result]]&gt;0.5,1,0),0)</f>
        <v>1</v>
      </c>
      <c r="AD293" s="2">
        <f>IF(Games[[#This Row],[Type]]="R",IF(Games[[#This Row],[Result]]&lt;0.5,1,0),0)</f>
        <v>0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45860</v>
      </c>
      <c r="B294" s="2">
        <v>2025</v>
      </c>
      <c r="C294" s="2">
        <f>COUNTIFS(Games[Team],Games[[#This Row],[Team]],Games[Season],Games[[#This Row],[Season]],Games[Date],"&lt;=" &amp; Games[[#This Row],[Date]])</f>
        <v>23</v>
      </c>
      <c r="D294" s="2" t="s">
        <v>79</v>
      </c>
      <c r="E294" s="2" t="s">
        <v>80</v>
      </c>
      <c r="F294" s="1" t="s">
        <v>77</v>
      </c>
      <c r="G294" s="1" t="s">
        <v>86</v>
      </c>
      <c r="H294" s="1" t="s">
        <v>81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1542.6352566639821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1523.5830246930334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0.40760636854050858</v>
      </c>
      <c r="R294" s="1">
        <v>72</v>
      </c>
      <c r="S294" s="1">
        <v>87</v>
      </c>
      <c r="T294" s="1">
        <v>0</v>
      </c>
      <c r="U294" s="1">
        <f>Games[[#This Row],[PointsFor]]-Games[[#This Row],[PointsAgainst]]</f>
        <v>-15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0.49498915454911885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4" s="9">
        <f>MAX(kmin, kmax - 0.15 * MIN(Games[[#This Row],[GamesPlayed]], 82))</f>
        <v>72.55</v>
      </c>
      <c r="Z294" s="4">
        <f>Games[[#This Row],[K]]*Games[[#This Row],[POMult]]</f>
        <v>72.55</v>
      </c>
      <c r="AA294" s="4">
        <f>(Games[[#This Row],[Keff]]*Games[[#This Row],[MOVMult]])*(Games[[#This Row],[Result]]-Games[[#This Row],[ExpectedWin%]])</f>
        <v>-14.637741088658595</v>
      </c>
      <c r="AB294" s="4">
        <f>Games[[#This Row],[PreGmRate]]+Games[[#This Row],[RatingChange]]</f>
        <v>1527.9975155753234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45860</v>
      </c>
      <c r="B295" s="2">
        <v>2025</v>
      </c>
      <c r="C295" s="2">
        <f>COUNTIFS(Games[Team],Games[[#This Row],[Team]],Games[Season],Games[[#This Row],[Season]],Games[Date],"&lt;=" &amp; Games[[#This Row],[Date]])</f>
        <v>23</v>
      </c>
      <c r="D295" s="2" t="s">
        <v>79</v>
      </c>
      <c r="E295" s="2" t="s">
        <v>80</v>
      </c>
      <c r="F295" s="1" t="s">
        <v>86</v>
      </c>
      <c r="G295" s="1" t="s">
        <v>77</v>
      </c>
      <c r="H295" s="1" t="s">
        <v>82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1523.5830246930334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1542.6352566639821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0.59239363145949142</v>
      </c>
      <c r="R295" s="1">
        <v>87</v>
      </c>
      <c r="S295" s="1">
        <v>72</v>
      </c>
      <c r="T295" s="1">
        <v>0</v>
      </c>
      <c r="U295" s="1">
        <f>Games[[#This Row],[PointsFor]]-Games[[#This Row],[PointsAgainst]]</f>
        <v>15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0.49498915454911885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5" s="9">
        <f>MAX(kmin, kmax - 0.15 * MIN(Games[[#This Row],[GamesPlayed]], 82))</f>
        <v>72.55</v>
      </c>
      <c r="Z295" s="4">
        <f>Games[[#This Row],[K]]*Games[[#This Row],[POMult]]</f>
        <v>72.55</v>
      </c>
      <c r="AA295" s="4">
        <f>(Games[[#This Row],[Keff]]*Games[[#This Row],[MOVMult]])*(Games[[#This Row],[Result]]-Games[[#This Row],[ExpectedWin%]])</f>
        <v>14.637741088658595</v>
      </c>
      <c r="AB295" s="4">
        <f>Games[[#This Row],[PreGmRate]]+Games[[#This Row],[RatingChange]]</f>
        <v>1538.2207657816921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45860</v>
      </c>
      <c r="B296" s="2">
        <v>2025</v>
      </c>
      <c r="C296" s="2">
        <f>COUNTIFS(Games[Team],Games[[#This Row],[Team]],Games[Season],Games[[#This Row],[Season]],Games[Date],"&lt;=" &amp; Games[[#This Row],[Date]])</f>
        <v>23</v>
      </c>
      <c r="D296" s="2" t="s">
        <v>79</v>
      </c>
      <c r="E296" s="2" t="s">
        <v>80</v>
      </c>
      <c r="F296" s="1" t="s">
        <v>75</v>
      </c>
      <c r="G296" s="1" t="s">
        <v>67</v>
      </c>
      <c r="H296" s="1" t="s">
        <v>81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1375.8096457331737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1650.8082156862563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0.11238956134777398</v>
      </c>
      <c r="R296" s="1">
        <v>68</v>
      </c>
      <c r="S296" s="1">
        <v>91</v>
      </c>
      <c r="T296" s="1">
        <v>0</v>
      </c>
      <c r="U296" s="1">
        <f>Games[[#This Row],[PointsFor]]-Games[[#This Row],[PointsAgainst]]</f>
        <v>-23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0.50061426371268258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6" s="9">
        <f>MAX(kmin, kmax - 0.15 * MIN(Games[[#This Row],[GamesPlayed]], 82))</f>
        <v>72.55</v>
      </c>
      <c r="Z296" s="4">
        <f>Games[[#This Row],[K]]*Games[[#This Row],[POMult]]</f>
        <v>72.55</v>
      </c>
      <c r="AA296" s="4">
        <f>(Games[[#This Row],[Keff]]*Games[[#This Row],[MOVMult]])*(Games[[#This Row],[Result]]-Games[[#This Row],[ExpectedWin%]])</f>
        <v>-4.0819399598504296</v>
      </c>
      <c r="AB296" s="4">
        <f>Games[[#This Row],[PreGmRate]]+Games[[#This Row],[RatingChange]]</f>
        <v>1371.7277057733234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45860</v>
      </c>
      <c r="B297" s="2">
        <v>2025</v>
      </c>
      <c r="C297" s="2">
        <f>COUNTIFS(Games[Team],Games[[#This Row],[Team]],Games[Season],Games[[#This Row],[Season]],Games[Date],"&lt;=" &amp; Games[[#This Row],[Date]])</f>
        <v>26</v>
      </c>
      <c r="D297" s="2" t="s">
        <v>79</v>
      </c>
      <c r="E297" s="2" t="s">
        <v>80</v>
      </c>
      <c r="F297" s="1" t="s">
        <v>67</v>
      </c>
      <c r="G297" s="1" t="s">
        <v>75</v>
      </c>
      <c r="H297" s="1" t="s">
        <v>82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1650.8082156862563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1375.8096457331737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0.887610438652226</v>
      </c>
      <c r="R297" s="1">
        <v>91</v>
      </c>
      <c r="S297" s="1">
        <v>68</v>
      </c>
      <c r="T297" s="1">
        <v>0</v>
      </c>
      <c r="U297" s="1">
        <f>Games[[#This Row],[PointsFor]]-Games[[#This Row],[PointsAgainst]]</f>
        <v>23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0.50061426371268258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7" s="9">
        <f>MAX(kmin, kmax - 0.15 * MIN(Games[[#This Row],[GamesPlayed]], 82))</f>
        <v>72.099999999999994</v>
      </c>
      <c r="Z297" s="4">
        <f>Games[[#This Row],[K]]*Games[[#This Row],[POMult]]</f>
        <v>72.099999999999994</v>
      </c>
      <c r="AA297" s="4">
        <f>(Games[[#This Row],[Keff]]*Games[[#This Row],[MOVMult]])*(Games[[#This Row],[Result]]-Games[[#This Row],[ExpectedWin%]])</f>
        <v>4.0566212419740326</v>
      </c>
      <c r="AB297" s="4">
        <f>Games[[#This Row],[PreGmRate]]+Games[[#This Row],[RatingChange]]</f>
        <v>1654.8648369282303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45860</v>
      </c>
      <c r="B298" s="2">
        <v>2025</v>
      </c>
      <c r="C298" s="2">
        <f>COUNTIFS(Games[Team],Games[[#This Row],[Team]],Games[Season],Games[[#This Row],[Season]],Games[Date],"&lt;=" &amp; Games[[#This Row],[Date]])</f>
        <v>25</v>
      </c>
      <c r="D298" s="2" t="s">
        <v>79</v>
      </c>
      <c r="E298" s="2" t="s">
        <v>80</v>
      </c>
      <c r="F298" s="1" t="s">
        <v>69</v>
      </c>
      <c r="G298" s="1" t="s">
        <v>60</v>
      </c>
      <c r="H298" s="1" t="s">
        <v>81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1540.5427017298402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1632.0607292652858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0.26690882014090656</v>
      </c>
      <c r="R298" s="1">
        <v>84</v>
      </c>
      <c r="S298" s="1">
        <v>98</v>
      </c>
      <c r="T298" s="1">
        <v>0</v>
      </c>
      <c r="U298" s="1">
        <f>Games[[#This Row],[PointsFor]]-Games[[#This Row],[PointsAgainst]]</f>
        <v>-14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0.45305579307901894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8" s="9">
        <f>MAX(kmin, kmax - 0.15 * MIN(Games[[#This Row],[GamesPlayed]], 82))</f>
        <v>72.25</v>
      </c>
      <c r="Z298" s="4">
        <f>Games[[#This Row],[K]]*Games[[#This Row],[POMult]]</f>
        <v>72.25</v>
      </c>
      <c r="AA298" s="4">
        <f>(Games[[#This Row],[Keff]]*Games[[#This Row],[MOVMult]])*(Games[[#This Row],[Result]]-Games[[#This Row],[ExpectedWin%]])</f>
        <v>-8.7368014243852823</v>
      </c>
      <c r="AB298" s="4">
        <f>Games[[#This Row],[PreGmRate]]+Games[[#This Row],[RatingChange]]</f>
        <v>1531.805900305455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45860</v>
      </c>
      <c r="B299" s="2">
        <v>2025</v>
      </c>
      <c r="C299" s="2">
        <f>COUNTIFS(Games[Team],Games[[#This Row],[Team]],Games[Season],Games[[#This Row],[Season]],Games[Date],"&lt;=" &amp; Games[[#This Row],[Date]])</f>
        <v>22</v>
      </c>
      <c r="D299" s="2" t="s">
        <v>79</v>
      </c>
      <c r="E299" s="2" t="s">
        <v>80</v>
      </c>
      <c r="F299" s="1" t="s">
        <v>60</v>
      </c>
      <c r="G299" s="1" t="s">
        <v>69</v>
      </c>
      <c r="H299" s="1" t="s">
        <v>82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1632.0607292652858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1540.5427017298402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0.73309117985909344</v>
      </c>
      <c r="R299" s="1">
        <v>98</v>
      </c>
      <c r="S299" s="1">
        <v>84</v>
      </c>
      <c r="T299" s="1">
        <v>0</v>
      </c>
      <c r="U299" s="1">
        <f>Games[[#This Row],[PointsFor]]-Games[[#This Row],[PointsAgainst]]</f>
        <v>14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0.45305579307901894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9" s="9">
        <f>MAX(kmin, kmax - 0.15 * MIN(Games[[#This Row],[GamesPlayed]], 82))</f>
        <v>72.7</v>
      </c>
      <c r="Z299" s="4">
        <f>Games[[#This Row],[K]]*Games[[#This Row],[POMult]]</f>
        <v>72.7</v>
      </c>
      <c r="AA299" s="4">
        <f>(Games[[#This Row],[Keff]]*Games[[#This Row],[MOVMult]])*(Games[[#This Row],[Result]]-Games[[#This Row],[ExpectedWin%]])</f>
        <v>8.7912174886202088</v>
      </c>
      <c r="AB299" s="4">
        <f>Games[[#This Row],[PreGmRate]]+Games[[#This Row],[RatingChange]]</f>
        <v>1640.8519467539061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45860</v>
      </c>
      <c r="B300" s="2">
        <v>2025</v>
      </c>
      <c r="C300" s="2">
        <f>COUNTIFS(Games[Team],Games[[#This Row],[Team]],Games[Season],Games[[#This Row],[Season]],Games[Date],"&lt;=" &amp; Games[[#This Row],[Date]])</f>
        <v>24</v>
      </c>
      <c r="D300" s="2" t="s">
        <v>79</v>
      </c>
      <c r="E300" s="2" t="s">
        <v>80</v>
      </c>
      <c r="F300" s="1" t="s">
        <v>85</v>
      </c>
      <c r="G300" s="1" t="s">
        <v>71</v>
      </c>
      <c r="H300" s="1" t="s">
        <v>81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5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1359.5678399887452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1564.4492965701779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0.15936835603811014</v>
      </c>
      <c r="R300" s="1">
        <v>87</v>
      </c>
      <c r="S300" s="1">
        <v>63</v>
      </c>
      <c r="T300" s="1">
        <v>0</v>
      </c>
      <c r="U300" s="1">
        <f>Games[[#This Row],[PointsFor]]-Games[[#This Row],[PointsAgainst]]</f>
        <v>24</v>
      </c>
      <c r="V300" s="1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0.53678345158942764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0" s="9">
        <f>MAX(kmin, kmax - 0.15 * MIN(Games[[#This Row],[GamesPlayed]], 82))</f>
        <v>72.400000000000006</v>
      </c>
      <c r="Z300" s="4">
        <f>Games[[#This Row],[K]]*Games[[#This Row],[POMult]]</f>
        <v>72.400000000000006</v>
      </c>
      <c r="AA300" s="4">
        <f>(Games[[#This Row],[Keff]]*Games[[#This Row],[MOVMult]])*(Games[[#This Row],[Result]]-Games[[#This Row],[ExpectedWin%]])</f>
        <v>32.669570048147847</v>
      </c>
      <c r="AB300" s="4">
        <f>Games[[#This Row],[PreGmRate]]+Games[[#This Row],[RatingChange]]</f>
        <v>1392.2374100368929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45860</v>
      </c>
      <c r="B301" s="2">
        <v>2025</v>
      </c>
      <c r="C301" s="2">
        <f>COUNTIFS(Games[Team],Games[[#This Row],[Team]],Games[Season],Games[[#This Row],[Season]],Games[Date],"&lt;=" &amp; Games[[#This Row],[Date]])</f>
        <v>24</v>
      </c>
      <c r="D301" s="2" t="s">
        <v>79</v>
      </c>
      <c r="E301" s="2" t="s">
        <v>80</v>
      </c>
      <c r="F301" s="1" t="s">
        <v>71</v>
      </c>
      <c r="G301" s="1" t="s">
        <v>85</v>
      </c>
      <c r="H301" s="1" t="s">
        <v>82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5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1564.4492965701779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1359.5678399887452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0.84063164396188983</v>
      </c>
      <c r="R301" s="1">
        <v>63</v>
      </c>
      <c r="S301" s="1">
        <v>87</v>
      </c>
      <c r="T301" s="1">
        <v>0</v>
      </c>
      <c r="U301" s="1">
        <f>Games[[#This Row],[PointsFor]]-Games[[#This Row],[PointsAgainst]]</f>
        <v>-24</v>
      </c>
      <c r="V301" s="1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0.53678345158942764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1" s="9">
        <f>MAX(kmin, kmax - 0.15 * MIN(Games[[#This Row],[GamesPlayed]], 82))</f>
        <v>72.400000000000006</v>
      </c>
      <c r="Z301" s="4">
        <f>Games[[#This Row],[K]]*Games[[#This Row],[POMult]]</f>
        <v>72.400000000000006</v>
      </c>
      <c r="AA301" s="4">
        <f>(Games[[#This Row],[Keff]]*Games[[#This Row],[MOVMult]])*(Games[[#This Row],[Result]]-Games[[#This Row],[ExpectedWin%]])</f>
        <v>-32.669570048147847</v>
      </c>
      <c r="AB301" s="4">
        <f>Games[[#This Row],[PreGmRate]]+Games[[#This Row],[RatingChange]]</f>
        <v>1531.7797265220302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45860</v>
      </c>
      <c r="B302" s="2">
        <v>2025</v>
      </c>
      <c r="C302" s="2">
        <f>COUNTIFS(Games[Team],Games[[#This Row],[Team]],Games[Season],Games[[#This Row],[Season]],Games[Date],"&lt;=" &amp; Games[[#This Row],[Date]])</f>
        <v>23</v>
      </c>
      <c r="D302" s="2" t="s">
        <v>79</v>
      </c>
      <c r="E302" s="2" t="s">
        <v>80</v>
      </c>
      <c r="F302" s="1" t="s">
        <v>63</v>
      </c>
      <c r="G302" s="1" t="s">
        <v>65</v>
      </c>
      <c r="H302" s="1" t="s">
        <v>81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6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1403.221471439691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1481.4657334612314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0.28212341543663944</v>
      </c>
      <c r="R302" s="1">
        <v>93</v>
      </c>
      <c r="S302" s="1">
        <v>86</v>
      </c>
      <c r="T302" s="1">
        <v>0</v>
      </c>
      <c r="U302" s="1">
        <f>Games[[#This Row],[PointsFor]]-Games[[#This Row],[PointsAgainst]]</f>
        <v>7</v>
      </c>
      <c r="V302" s="1">
        <f>IF(Games[[#This Row],[MOV]]&gt;0,1,IF(Games[[#This Row],[MOV]]=0,0.5,0))</f>
        <v>1</v>
      </c>
      <c r="W302" s="4">
        <f>((ABS(Games[[#This Row],[MOV]])+5)^0.6)/(12+0.01*(ABS(Games[[#This Row],[PreGmRate]]-Games[[#This Row],[OppPreGmRate]])))*IF(Games[[#This Row],[OT]]=1,0.9,1)</f>
        <v>0.34745206388190286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2" s="9">
        <f>MAX(kmin, kmax - 0.15 * MIN(Games[[#This Row],[GamesPlayed]], 82))</f>
        <v>72.55</v>
      </c>
      <c r="Z302" s="4">
        <f>Games[[#This Row],[K]]*Games[[#This Row],[POMult]]</f>
        <v>72.55</v>
      </c>
      <c r="AA302" s="4">
        <f>(Games[[#This Row],[Keff]]*Games[[#This Row],[MOVMult]])*(Games[[#This Row],[Result]]-Games[[#This Row],[ExpectedWin%]])</f>
        <v>18.095979701675699</v>
      </c>
      <c r="AB302" s="4">
        <f>Games[[#This Row],[PreGmRate]]+Games[[#This Row],[RatingChange]]</f>
        <v>1421.3174511413667</v>
      </c>
      <c r="AC302" s="2">
        <f>IF(Games[[#This Row],[Type]]="R",IF(Games[[#This Row],[Result]]&gt;0.5,1,0),0)</f>
        <v>1</v>
      </c>
      <c r="AD302" s="2">
        <f>IF(Games[[#This Row],[Type]]="R",IF(Games[[#This Row],[Result]]&lt;0.5,1,0),0)</f>
        <v>0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45860</v>
      </c>
      <c r="B303" s="2">
        <v>2025</v>
      </c>
      <c r="C303" s="2">
        <f>COUNTIFS(Games[Team],Games[[#This Row],[Team]],Games[Season],Games[[#This Row],[Season]],Games[Date],"&lt;=" &amp; Games[[#This Row],[Date]])</f>
        <v>23</v>
      </c>
      <c r="D303" s="2" t="s">
        <v>79</v>
      </c>
      <c r="E303" s="2" t="s">
        <v>80</v>
      </c>
      <c r="F303" s="1" t="s">
        <v>65</v>
      </c>
      <c r="G303" s="1" t="s">
        <v>63</v>
      </c>
      <c r="H303" s="1" t="s">
        <v>82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6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1481.4657334612314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1403.221471439691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0.71787658456336056</v>
      </c>
      <c r="R303" s="1">
        <v>86</v>
      </c>
      <c r="S303" s="1">
        <v>93</v>
      </c>
      <c r="T303" s="1">
        <v>0</v>
      </c>
      <c r="U303" s="1">
        <f>Games[[#This Row],[PointsFor]]-Games[[#This Row],[PointsAgainst]]</f>
        <v>-7</v>
      </c>
      <c r="V303" s="1">
        <f>IF(Games[[#This Row],[MOV]]&gt;0,1,IF(Games[[#This Row],[MOV]]=0,0.5,0))</f>
        <v>0</v>
      </c>
      <c r="W303" s="4">
        <f>((ABS(Games[[#This Row],[MOV]])+5)^0.6)/(12+0.01*(ABS(Games[[#This Row],[PreGmRate]]-Games[[#This Row],[OppPreGmRate]])))*IF(Games[[#This Row],[OT]]=1,0.9,1)</f>
        <v>0.34745206388190286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3" s="9">
        <f>MAX(kmin, kmax - 0.15 * MIN(Games[[#This Row],[GamesPlayed]], 82))</f>
        <v>72.55</v>
      </c>
      <c r="Z303" s="4">
        <f>Games[[#This Row],[K]]*Games[[#This Row],[POMult]]</f>
        <v>72.55</v>
      </c>
      <c r="AA303" s="4">
        <f>(Games[[#This Row],[Keff]]*Games[[#This Row],[MOVMult]])*(Games[[#This Row],[Result]]-Games[[#This Row],[ExpectedWin%]])</f>
        <v>-18.095979701675699</v>
      </c>
      <c r="AB303" s="4">
        <f>Games[[#This Row],[PreGmRate]]+Games[[#This Row],[RatingChange]]</f>
        <v>1463.3697537595556</v>
      </c>
      <c r="AC303" s="2">
        <f>IF(Games[[#This Row],[Type]]="R",IF(Games[[#This Row],[Result]]&gt;0.5,1,0),0)</f>
        <v>0</v>
      </c>
      <c r="AD303" s="2">
        <f>IF(Games[[#This Row],[Type]]="R",IF(Games[[#This Row],[Result]]&lt;0.5,1,0),0)</f>
        <v>1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45861</v>
      </c>
      <c r="B304" s="2">
        <v>2025</v>
      </c>
      <c r="C304" s="2">
        <f>COUNTIFS(Games[Team],Games[[#This Row],[Team]],Games[Season],Games[[#This Row],[Season]],Games[Date],"&lt;=" &amp; Games[[#This Row],[Date]])</f>
        <v>24</v>
      </c>
      <c r="D304" s="2" t="s">
        <v>79</v>
      </c>
      <c r="E304" s="2" t="s">
        <v>80</v>
      </c>
      <c r="F304" s="1" t="s">
        <v>77</v>
      </c>
      <c r="G304" s="1" t="s">
        <v>40</v>
      </c>
      <c r="H304" s="1" t="s">
        <v>81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04" s="2">
        <f>Games[[#This Row],[DaysOff]]-Games[[#This Row],[OppDaysOff]]</f>
        <v>-6</v>
      </c>
      <c r="L304" s="2">
        <f>Games[[#This Row],[OppDaysOff]]-Games[[#This Row],[DaysOff]]</f>
        <v>6</v>
      </c>
      <c r="M304" s="1">
        <f>MAX(-16, MIN(16, Games[[#This Row],[RestDiff]]*8))</f>
        <v>-16</v>
      </c>
      <c r="N304" s="1">
        <f>MAX(-16, MIN(16, Games[[#This Row],[OppRestDiff]]*8))</f>
        <v>16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1527.9975155753234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1563.5630930009434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0.29473819557873143</v>
      </c>
      <c r="R304" s="1">
        <v>90</v>
      </c>
      <c r="S304" s="1">
        <v>79</v>
      </c>
      <c r="T304" s="1">
        <v>0</v>
      </c>
      <c r="U304" s="1">
        <f>Games[[#This Row],[PointsFor]]-Games[[#This Row],[PointsAgainst]]</f>
        <v>11</v>
      </c>
      <c r="V304" s="1">
        <f>IF(Games[[#This Row],[MOV]]&gt;0,1,IF(Games[[#This Row],[MOV]]=0,0.5,0))</f>
        <v>1</v>
      </c>
      <c r="W304" s="4">
        <f>((ABS(Games[[#This Row],[MOV]])+5)^0.6)/(12+0.01*(ABS(Games[[#This Row],[PreGmRate]]-Games[[#This Row],[OppPreGmRate]])))*IF(Games[[#This Row],[OT]]=1,0.9,1)</f>
        <v>0.4271753551186408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4" s="9">
        <f>MAX(kmin, kmax - 0.15 * MIN(Games[[#This Row],[GamesPlayed]], 82))</f>
        <v>72.400000000000006</v>
      </c>
      <c r="Z304" s="4">
        <f>Games[[#This Row],[K]]*Games[[#This Row],[POMult]]</f>
        <v>72.400000000000006</v>
      </c>
      <c r="AA304" s="4">
        <f>(Games[[#This Row],[Keff]]*Games[[#This Row],[MOVMult]])*(Games[[#This Row],[Result]]-Games[[#This Row],[ExpectedWin%]])</f>
        <v>21.811981431081463</v>
      </c>
      <c r="AB304" s="4">
        <f>Games[[#This Row],[PreGmRate]]+Games[[#This Row],[RatingChange]]</f>
        <v>1549.8094970064049</v>
      </c>
      <c r="AC304" s="2">
        <f>IF(Games[[#This Row],[Type]]="R",IF(Games[[#This Row],[Result]]&gt;0.5,1,0),0)</f>
        <v>1</v>
      </c>
      <c r="AD304" s="2">
        <f>IF(Games[[#This Row],[Type]]="R",IF(Games[[#This Row],[Result]]&lt;0.5,1,0),0)</f>
        <v>0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45861</v>
      </c>
      <c r="B305" s="2">
        <v>2025</v>
      </c>
      <c r="C305" s="2">
        <f>COUNTIFS(Games[Team],Games[[#This Row],[Team]],Games[Season],Games[[#This Row],[Season]],Games[Date],"&lt;=" &amp; Games[[#This Row],[Date]])</f>
        <v>23</v>
      </c>
      <c r="D305" s="2" t="s">
        <v>79</v>
      </c>
      <c r="E305" s="2" t="s">
        <v>80</v>
      </c>
      <c r="F305" s="1" t="s">
        <v>40</v>
      </c>
      <c r="G305" s="1" t="s">
        <v>77</v>
      </c>
      <c r="H305" s="1" t="s">
        <v>82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6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5" s="2">
        <f>Games[[#This Row],[DaysOff]]-Games[[#This Row],[OppDaysOff]]</f>
        <v>6</v>
      </c>
      <c r="L305" s="2">
        <f>Games[[#This Row],[OppDaysOff]]-Games[[#This Row],[DaysOff]]</f>
        <v>-6</v>
      </c>
      <c r="M305" s="1">
        <f>MAX(-16, MIN(16, Games[[#This Row],[RestDiff]]*8))</f>
        <v>16</v>
      </c>
      <c r="N305" s="1">
        <f>MAX(-16, MIN(16, Games[[#This Row],[OppRestDiff]]*8))</f>
        <v>-16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1563.5630930009434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1527.9975155753234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0.70526180442126851</v>
      </c>
      <c r="R305" s="1">
        <v>79</v>
      </c>
      <c r="S305" s="1">
        <v>90</v>
      </c>
      <c r="T305" s="1">
        <v>0</v>
      </c>
      <c r="U305" s="1">
        <f>Games[[#This Row],[PointsFor]]-Games[[#This Row],[PointsAgainst]]</f>
        <v>-11</v>
      </c>
      <c r="V305" s="1">
        <f>IF(Games[[#This Row],[MOV]]&gt;0,1,IF(Games[[#This Row],[MOV]]=0,0.5,0))</f>
        <v>0</v>
      </c>
      <c r="W305" s="4">
        <f>((ABS(Games[[#This Row],[MOV]])+5)^0.6)/(12+0.01*(ABS(Games[[#This Row],[PreGmRate]]-Games[[#This Row],[OppPreGmRate]])))*IF(Games[[#This Row],[OT]]=1,0.9,1)</f>
        <v>0.4271753551186408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5" s="9">
        <f>MAX(kmin, kmax - 0.15 * MIN(Games[[#This Row],[GamesPlayed]], 82))</f>
        <v>72.55</v>
      </c>
      <c r="Z305" s="4">
        <f>Games[[#This Row],[K]]*Games[[#This Row],[POMult]]</f>
        <v>72.55</v>
      </c>
      <c r="AA305" s="4">
        <f>(Games[[#This Row],[Keff]]*Games[[#This Row],[MOVMult]])*(Games[[#This Row],[Result]]-Games[[#This Row],[ExpectedWin%]])</f>
        <v>-21.85717200034475</v>
      </c>
      <c r="AB305" s="4">
        <f>Games[[#This Row],[PreGmRate]]+Games[[#This Row],[RatingChange]]</f>
        <v>1541.7059210005987</v>
      </c>
      <c r="AC305" s="2">
        <f>IF(Games[[#This Row],[Type]]="R",IF(Games[[#This Row],[Result]]&gt;0.5,1,0),0)</f>
        <v>0</v>
      </c>
      <c r="AD305" s="2">
        <f>IF(Games[[#This Row],[Type]]="R",IF(Games[[#This Row],[Result]]&lt;0.5,1,0),0)</f>
        <v>1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45862</v>
      </c>
      <c r="B306" s="2">
        <v>2025</v>
      </c>
      <c r="C306" s="2">
        <f>COUNTIFS(Games[Team],Games[[#This Row],[Team]],Games[Season],Games[[#This Row],[Season]],Games[Date],"&lt;=" &amp; Games[[#This Row],[Date]])</f>
        <v>25</v>
      </c>
      <c r="D306" s="2" t="s">
        <v>79</v>
      </c>
      <c r="E306" s="2" t="s">
        <v>80</v>
      </c>
      <c r="F306" s="1" t="s">
        <v>71</v>
      </c>
      <c r="G306" s="1" t="s">
        <v>75</v>
      </c>
      <c r="H306" s="1" t="s">
        <v>81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1531.7797265220302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1371.7277057733234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0.60773245473980064</v>
      </c>
      <c r="R306" s="1">
        <v>95</v>
      </c>
      <c r="S306" s="1">
        <v>57</v>
      </c>
      <c r="T306" s="1">
        <v>0</v>
      </c>
      <c r="U306" s="1">
        <f>Games[[#This Row],[PointsFor]]-Games[[#This Row],[PointsAgainst]]</f>
        <v>38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0.70230466516425583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6" s="9">
        <f>MAX(kmin, kmax - 0.15 * MIN(Games[[#This Row],[GamesPlayed]], 82))</f>
        <v>72.25</v>
      </c>
      <c r="Z306" s="4">
        <f>Games[[#This Row],[K]]*Games[[#This Row],[POMult]]</f>
        <v>72.25</v>
      </c>
      <c r="AA306" s="4">
        <f>(Games[[#This Row],[Keff]]*Games[[#This Row],[MOVMult]])*(Games[[#This Row],[Result]]-Games[[#This Row],[ExpectedWin%]])</f>
        <v>19.904248377828551</v>
      </c>
      <c r="AB306" s="4">
        <f>Games[[#This Row],[PreGmRate]]+Games[[#This Row],[RatingChange]]</f>
        <v>1551.6839748998586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45862</v>
      </c>
      <c r="B307" s="2">
        <v>2025</v>
      </c>
      <c r="C307" s="2">
        <f>COUNTIFS(Games[Team],Games[[#This Row],[Team]],Games[Season],Games[[#This Row],[Season]],Games[Date],"&lt;=" &amp; Games[[#This Row],[Date]])</f>
        <v>24</v>
      </c>
      <c r="D307" s="2" t="s">
        <v>79</v>
      </c>
      <c r="E307" s="2" t="s">
        <v>80</v>
      </c>
      <c r="F307" s="1" t="s">
        <v>75</v>
      </c>
      <c r="G307" s="1" t="s">
        <v>71</v>
      </c>
      <c r="H307" s="1" t="s">
        <v>82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1371.7277057733234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1531.7797265220302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0.3922675452601993</v>
      </c>
      <c r="R307" s="1">
        <v>57</v>
      </c>
      <c r="S307" s="1">
        <v>95</v>
      </c>
      <c r="T307" s="1">
        <v>0</v>
      </c>
      <c r="U307" s="1">
        <f>Games[[#This Row],[PointsFor]]-Games[[#This Row],[PointsAgainst]]</f>
        <v>-38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0.70230466516425583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7" s="9">
        <f>MAX(kmin, kmax - 0.15 * MIN(Games[[#This Row],[GamesPlayed]], 82))</f>
        <v>72.400000000000006</v>
      </c>
      <c r="Z307" s="4">
        <f>Games[[#This Row],[K]]*Games[[#This Row],[POMult]]</f>
        <v>72.400000000000006</v>
      </c>
      <c r="AA307" s="4">
        <f>(Games[[#This Row],[Keff]]*Games[[#This Row],[MOVMult]])*(Games[[#This Row],[Result]]-Games[[#This Row],[ExpectedWin%]])</f>
        <v>-19.945572076882865</v>
      </c>
      <c r="AB307" s="4">
        <f>Games[[#This Row],[PreGmRate]]+Games[[#This Row],[RatingChange]]</f>
        <v>1351.7821336964405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45862</v>
      </c>
      <c r="B308" s="2">
        <v>2025</v>
      </c>
      <c r="C308" s="2">
        <f>COUNTIFS(Games[Team],Games[[#This Row],[Team]],Games[Season],Games[[#This Row],[Season]],Games[Date],"&lt;=" &amp; Games[[#This Row],[Date]])</f>
        <v>24</v>
      </c>
      <c r="D308" s="2" t="s">
        <v>79</v>
      </c>
      <c r="E308" s="2" t="s">
        <v>80</v>
      </c>
      <c r="F308" s="1" t="s">
        <v>63</v>
      </c>
      <c r="G308" s="1" t="s">
        <v>74</v>
      </c>
      <c r="H308" s="1" t="s">
        <v>81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08" s="2">
        <f>Games[[#This Row],[DaysOff]]-Games[[#This Row],[OppDaysOff]]</f>
        <v>-7</v>
      </c>
      <c r="L308" s="2">
        <f>Games[[#This Row],[OppDaysOff]]-Games[[#This Row],[DaysOff]]</f>
        <v>7</v>
      </c>
      <c r="M308" s="1">
        <f>MAX(-16, MIN(16, Games[[#This Row],[RestDiff]]*8))</f>
        <v>-16</v>
      </c>
      <c r="N308" s="1">
        <f>MAX(-16, MIN(16, Games[[#This Row],[OppRestDiff]]*8))</f>
        <v>16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1421.3174511413667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1344.4926209429407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0.4438601132341754</v>
      </c>
      <c r="R308" s="1">
        <v>101</v>
      </c>
      <c r="S308" s="1">
        <v>86</v>
      </c>
      <c r="T308" s="1">
        <v>0</v>
      </c>
      <c r="U308" s="1">
        <f>Games[[#This Row],[PointsFor]]-Games[[#This Row],[PointsAgainst]]</f>
        <v>15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0.47259233951515611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8" s="9">
        <f>MAX(kmin, kmax - 0.15 * MIN(Games[[#This Row],[GamesPlayed]], 82))</f>
        <v>72.400000000000006</v>
      </c>
      <c r="Z308" s="4">
        <f>Games[[#This Row],[K]]*Games[[#This Row],[POMult]]</f>
        <v>72.400000000000006</v>
      </c>
      <c r="AA308" s="4">
        <f>(Games[[#This Row],[Keff]]*Games[[#This Row],[MOVMult]])*(Games[[#This Row],[Result]]-Games[[#This Row],[ExpectedWin%]])</f>
        <v>19.028707393347307</v>
      </c>
      <c r="AB308" s="4">
        <f>Games[[#This Row],[PreGmRate]]+Games[[#This Row],[RatingChange]]</f>
        <v>1440.346158534714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45862</v>
      </c>
      <c r="B309" s="2">
        <v>2025</v>
      </c>
      <c r="C309" s="2">
        <f>COUNTIFS(Games[Team],Games[[#This Row],[Team]],Games[Season],Games[[#This Row],[Season]],Games[Date],"&lt;=" &amp; Games[[#This Row],[Date]])</f>
        <v>23</v>
      </c>
      <c r="D309" s="2" t="s">
        <v>79</v>
      </c>
      <c r="E309" s="2" t="s">
        <v>80</v>
      </c>
      <c r="F309" s="1" t="s">
        <v>74</v>
      </c>
      <c r="G309" s="1" t="s">
        <v>63</v>
      </c>
      <c r="H309" s="1" t="s">
        <v>82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8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7</v>
      </c>
      <c r="L309" s="2">
        <f>Games[[#This Row],[OppDaysOff]]-Games[[#This Row],[DaysOff]]</f>
        <v>-7</v>
      </c>
      <c r="M309" s="1">
        <f>MAX(-16, MIN(16, Games[[#This Row],[RestDiff]]*8))</f>
        <v>16</v>
      </c>
      <c r="N309" s="1">
        <f>MAX(-16, MIN(16, Games[[#This Row],[OppRestDiff]]*8))</f>
        <v>-16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1344.4926209429407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1421.3174511413667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0.5561398867658246</v>
      </c>
      <c r="R309" s="1">
        <v>86</v>
      </c>
      <c r="S309" s="1">
        <v>101</v>
      </c>
      <c r="T309" s="1">
        <v>0</v>
      </c>
      <c r="U309" s="1">
        <f>Games[[#This Row],[PointsFor]]-Games[[#This Row],[PointsAgainst]]</f>
        <v>-15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0.47259233951515611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9" s="9">
        <f>MAX(kmin, kmax - 0.15 * MIN(Games[[#This Row],[GamesPlayed]], 82))</f>
        <v>72.55</v>
      </c>
      <c r="Z309" s="4">
        <f>Games[[#This Row],[K]]*Games[[#This Row],[POMult]]</f>
        <v>72.55</v>
      </c>
      <c r="AA309" s="4">
        <f>(Games[[#This Row],[Keff]]*Games[[#This Row],[MOVMult]])*(Games[[#This Row],[Result]]-Games[[#This Row],[ExpectedWin%]])</f>
        <v>-19.068131510874959</v>
      </c>
      <c r="AB309" s="4">
        <f>Games[[#This Row],[PreGmRate]]+Games[[#This Row],[RatingChange]]</f>
        <v>1325.4244894320657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45862</v>
      </c>
      <c r="B310" s="2">
        <v>2025</v>
      </c>
      <c r="C310" s="2">
        <f>COUNTIFS(Games[Team],Games[[#This Row],[Team]],Games[Season],Games[[#This Row],[Season]],Games[Date],"&lt;=" &amp; Games[[#This Row],[Date]])</f>
        <v>24</v>
      </c>
      <c r="D310" s="2" t="s">
        <v>79</v>
      </c>
      <c r="E310" s="2" t="s">
        <v>80</v>
      </c>
      <c r="F310" s="1" t="s">
        <v>86</v>
      </c>
      <c r="G310" s="1" t="s">
        <v>69</v>
      </c>
      <c r="H310" s="1" t="s">
        <v>81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">
        <f>MAX(-16, MIN(16, Games[[#This Row],[RestDiff]]*8))</f>
        <v>0</v>
      </c>
      <c r="N310" s="1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1538.2207657816921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1531.805900305455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0.39016565830294114</v>
      </c>
      <c r="R310" s="1">
        <v>70</v>
      </c>
      <c r="S310" s="1">
        <v>80</v>
      </c>
      <c r="T310" s="1">
        <v>0</v>
      </c>
      <c r="U310" s="1">
        <f>Games[[#This Row],[PointsFor]]-Games[[#This Row],[PointsAgainst]]</f>
        <v>-10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0.4208797932859541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0" s="9">
        <f>MAX(kmin, kmax - 0.15 * MIN(Games[[#This Row],[GamesPlayed]], 82))</f>
        <v>72.400000000000006</v>
      </c>
      <c r="Z310" s="4">
        <f>Games[[#This Row],[K]]*Games[[#This Row],[POMult]]</f>
        <v>72.400000000000006</v>
      </c>
      <c r="AA310" s="4">
        <f>(Games[[#This Row],[Keff]]*Games[[#This Row],[MOVMult]])*(Games[[#This Row],[Result]]-Games[[#This Row],[ExpectedWin%]])</f>
        <v>-11.889009732840574</v>
      </c>
      <c r="AB310" s="4">
        <f>Games[[#This Row],[PreGmRate]]+Games[[#This Row],[RatingChange]]</f>
        <v>1526.3317560488515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45862</v>
      </c>
      <c r="B311" s="2">
        <v>2025</v>
      </c>
      <c r="C311" s="2">
        <f>COUNTIFS(Games[Team],Games[[#This Row],[Team]],Games[Season],Games[[#This Row],[Season]],Games[Date],"&lt;=" &amp; Games[[#This Row],[Date]])</f>
        <v>26</v>
      </c>
      <c r="D311" s="2" t="s">
        <v>79</v>
      </c>
      <c r="E311" s="2" t="s">
        <v>80</v>
      </c>
      <c r="F311" s="1" t="s">
        <v>69</v>
      </c>
      <c r="G311" s="1" t="s">
        <v>86</v>
      </c>
      <c r="H311" s="1" t="s">
        <v>82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">
        <f>MAX(-16, MIN(16, Games[[#This Row],[RestDiff]]*8))</f>
        <v>0</v>
      </c>
      <c r="N311" s="1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1531.805900305455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1538.2207657816921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0.60983434169705886</v>
      </c>
      <c r="R311" s="1">
        <v>80</v>
      </c>
      <c r="S311" s="1">
        <v>70</v>
      </c>
      <c r="T311" s="1">
        <v>0</v>
      </c>
      <c r="U311" s="1">
        <f>Games[[#This Row],[PointsFor]]-Games[[#This Row],[PointsAgainst]]</f>
        <v>10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0.4208797932859541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1" s="9">
        <f>MAX(kmin, kmax - 0.15 * MIN(Games[[#This Row],[GamesPlayed]], 82))</f>
        <v>72.099999999999994</v>
      </c>
      <c r="Z311" s="4">
        <f>Games[[#This Row],[K]]*Games[[#This Row],[POMult]]</f>
        <v>72.099999999999994</v>
      </c>
      <c r="AA311" s="4">
        <f>(Games[[#This Row],[Keff]]*Games[[#This Row],[MOVMult]])*(Games[[#This Row],[Result]]-Games[[#This Row],[ExpectedWin%]])</f>
        <v>11.839745880356425</v>
      </c>
      <c r="AB311" s="4">
        <f>Games[[#This Row],[PreGmRate]]+Games[[#This Row],[RatingChange]]</f>
        <v>1543.6456461858115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45863</v>
      </c>
      <c r="B312" s="2">
        <v>2025</v>
      </c>
      <c r="C312" s="2">
        <f>COUNTIFS(Games[Team],Games[[#This Row],[Team]],Games[Season],Games[[#This Row],[Season]],Games[Date],"&lt;=" &amp; Games[[#This Row],[Date]])</f>
        <v>25</v>
      </c>
      <c r="D312" s="2" t="s">
        <v>79</v>
      </c>
      <c r="E312" s="2" t="s">
        <v>80</v>
      </c>
      <c r="F312" s="1" t="s">
        <v>85</v>
      </c>
      <c r="G312" s="1" t="s">
        <v>88</v>
      </c>
      <c r="H312" s="1" t="s">
        <v>81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12" s="2">
        <f>Games[[#This Row],[DaysOff]]-Games[[#This Row],[OppDaysOff]]</f>
        <v>-6</v>
      </c>
      <c r="L312" s="2">
        <f>Games[[#This Row],[OppDaysOff]]-Games[[#This Row],[DaysOff]]</f>
        <v>6</v>
      </c>
      <c r="M312" s="1">
        <f>MAX(-16, MIN(16, Games[[#This Row],[RestDiff]]*8))</f>
        <v>-16</v>
      </c>
      <c r="N312" s="1">
        <f>MAX(-16, MIN(16, Games[[#This Row],[OppRestDiff]]*8))</f>
        <v>16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1392.2374100368929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1516.7655009366795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0.20027267843404364</v>
      </c>
      <c r="R312" s="1">
        <v>76</v>
      </c>
      <c r="S312" s="1">
        <v>86</v>
      </c>
      <c r="T312" s="1">
        <v>0</v>
      </c>
      <c r="U312" s="1">
        <f>Games[[#This Row],[PointsFor]]-Games[[#This Row],[PointsAgainst]]</f>
        <v>-10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0.38334833567312948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2" s="9">
        <f>MAX(kmin, kmax - 0.15 * MIN(Games[[#This Row],[GamesPlayed]], 82))</f>
        <v>72.25</v>
      </c>
      <c r="Z312" s="4">
        <f>Games[[#This Row],[K]]*Games[[#This Row],[POMult]]</f>
        <v>72.25</v>
      </c>
      <c r="AA312" s="4">
        <f>(Games[[#This Row],[Keff]]*Games[[#This Row],[MOVMult]])*(Games[[#This Row],[Result]]-Games[[#This Row],[ExpectedWin%]])</f>
        <v>-5.5469358025009372</v>
      </c>
      <c r="AB312" s="4">
        <f>Games[[#This Row],[PreGmRate]]+Games[[#This Row],[RatingChange]]</f>
        <v>1386.690474234392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45863</v>
      </c>
      <c r="B313" s="2">
        <v>2025</v>
      </c>
      <c r="C313" s="2">
        <f>COUNTIFS(Games[Team],Games[[#This Row],[Team]],Games[Season],Games[[#This Row],[Season]],Games[Date],"&lt;=" &amp; Games[[#This Row],[Date]])</f>
        <v>23</v>
      </c>
      <c r="D313" s="2" t="s">
        <v>79</v>
      </c>
      <c r="E313" s="2" t="s">
        <v>80</v>
      </c>
      <c r="F313" s="1" t="s">
        <v>88</v>
      </c>
      <c r="G313" s="1" t="s">
        <v>85</v>
      </c>
      <c r="H313" s="1" t="s">
        <v>82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8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3" s="2">
        <f>Games[[#This Row],[DaysOff]]-Games[[#This Row],[OppDaysOff]]</f>
        <v>6</v>
      </c>
      <c r="L313" s="2">
        <f>Games[[#This Row],[OppDaysOff]]-Games[[#This Row],[DaysOff]]</f>
        <v>-6</v>
      </c>
      <c r="M313" s="1">
        <f>MAX(-16, MIN(16, Games[[#This Row],[RestDiff]]*8))</f>
        <v>16</v>
      </c>
      <c r="N313" s="1">
        <f>MAX(-16, MIN(16, Games[[#This Row],[OppRestDiff]]*8))</f>
        <v>-16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1516.7655009366795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1392.2374100368929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0.79972732156595638</v>
      </c>
      <c r="R313" s="1">
        <v>86</v>
      </c>
      <c r="S313" s="1">
        <v>76</v>
      </c>
      <c r="T313" s="1">
        <v>0</v>
      </c>
      <c r="U313" s="1">
        <f>Games[[#This Row],[PointsFor]]-Games[[#This Row],[PointsAgainst]]</f>
        <v>10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0.38334833567312948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3" s="9">
        <f>MAX(kmin, kmax - 0.15 * MIN(Games[[#This Row],[GamesPlayed]], 82))</f>
        <v>72.55</v>
      </c>
      <c r="Z313" s="4">
        <f>Games[[#This Row],[K]]*Games[[#This Row],[POMult]]</f>
        <v>72.55</v>
      </c>
      <c r="AA313" s="4">
        <f>(Games[[#This Row],[Keff]]*Games[[#This Row],[MOVMult]])*(Games[[#This Row],[Result]]-Games[[#This Row],[ExpectedWin%]])</f>
        <v>5.569968061888483</v>
      </c>
      <c r="AB313" s="4">
        <f>Games[[#This Row],[PreGmRate]]+Games[[#This Row],[RatingChange]]</f>
        <v>1522.3354689985679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45863</v>
      </c>
      <c r="B314" s="2">
        <v>2025</v>
      </c>
      <c r="C314" s="2">
        <f>COUNTIFS(Games[Team],Games[[#This Row],[Team]],Games[Season],Games[[#This Row],[Season]],Games[Date],"&lt;=" &amp; Games[[#This Row],[Date]])</f>
        <v>25</v>
      </c>
      <c r="D314" s="2" t="s">
        <v>79</v>
      </c>
      <c r="E314" s="2" t="s">
        <v>80</v>
      </c>
      <c r="F314" s="1" t="s">
        <v>86</v>
      </c>
      <c r="G314" s="1" t="s">
        <v>67</v>
      </c>
      <c r="H314" s="1" t="s">
        <v>81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4" s="2">
        <f>Games[[#This Row],[DaysOff]]-Games[[#This Row],[OppDaysOff]]</f>
        <v>-2</v>
      </c>
      <c r="L314" s="2">
        <f>Games[[#This Row],[OppDaysOff]]-Games[[#This Row],[DaysOff]]</f>
        <v>2</v>
      </c>
      <c r="M314" s="1">
        <f>MAX(-16, MIN(16, Games[[#This Row],[RestDiff]]*8))</f>
        <v>-16</v>
      </c>
      <c r="N314" s="1">
        <f>MAX(-16, MIN(16, Games[[#This Row],[OppRestDiff]]*8))</f>
        <v>16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1526.3317560488515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1654.8648369282303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0.19660567787717548</v>
      </c>
      <c r="R314" s="1">
        <v>78</v>
      </c>
      <c r="S314" s="1">
        <v>109</v>
      </c>
      <c r="T314" s="1">
        <v>0</v>
      </c>
      <c r="U314" s="1">
        <f>Games[[#This Row],[PointsFor]]-Games[[#This Row],[PointsAgainst]]</f>
        <v>-31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0.64626275477825768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4" s="9">
        <f>MAX(kmin, kmax - 0.15 * MIN(Games[[#This Row],[GamesPlayed]], 82))</f>
        <v>72.25</v>
      </c>
      <c r="Z314" s="4">
        <f>Games[[#This Row],[K]]*Games[[#This Row],[POMult]]</f>
        <v>72.25</v>
      </c>
      <c r="AA314" s="4">
        <f>(Games[[#This Row],[Keff]]*Games[[#This Row],[MOVMult]])*(Games[[#This Row],[Result]]-Games[[#This Row],[ExpectedWin%]])</f>
        <v>-9.1800074750239009</v>
      </c>
      <c r="AB314" s="4">
        <f>Games[[#This Row],[PreGmRate]]+Games[[#This Row],[RatingChange]]</f>
        <v>1517.1517485738275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45863</v>
      </c>
      <c r="B315" s="2">
        <v>2025</v>
      </c>
      <c r="C315" s="2">
        <f>COUNTIFS(Games[Team],Games[[#This Row],[Team]],Games[Season],Games[[#This Row],[Season]],Games[Date],"&lt;=" &amp; Games[[#This Row],[Date]])</f>
        <v>27</v>
      </c>
      <c r="D315" s="2" t="s">
        <v>79</v>
      </c>
      <c r="E315" s="2" t="s">
        <v>80</v>
      </c>
      <c r="F315" s="1" t="s">
        <v>67</v>
      </c>
      <c r="G315" s="1" t="s">
        <v>86</v>
      </c>
      <c r="H315" s="1" t="s">
        <v>82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5" s="2">
        <f>Games[[#This Row],[DaysOff]]-Games[[#This Row],[OppDaysOff]]</f>
        <v>2</v>
      </c>
      <c r="L315" s="2">
        <f>Games[[#This Row],[OppDaysOff]]-Games[[#This Row],[DaysOff]]</f>
        <v>-2</v>
      </c>
      <c r="M315" s="1">
        <f>MAX(-16, MIN(16, Games[[#This Row],[RestDiff]]*8))</f>
        <v>16</v>
      </c>
      <c r="N315" s="1">
        <f>MAX(-16, MIN(16, Games[[#This Row],[OppRestDiff]]*8))</f>
        <v>-16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1654.8648369282303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1526.3317560488515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0.80339432212282458</v>
      </c>
      <c r="R315" s="1">
        <v>109</v>
      </c>
      <c r="S315" s="1">
        <v>78</v>
      </c>
      <c r="T315" s="1">
        <v>0</v>
      </c>
      <c r="U315" s="1">
        <f>Games[[#This Row],[PointsFor]]-Games[[#This Row],[PointsAgainst]]</f>
        <v>31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0.64626275477825768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5" s="9">
        <f>MAX(kmin, kmax - 0.15 * MIN(Games[[#This Row],[GamesPlayed]], 82))</f>
        <v>71.95</v>
      </c>
      <c r="Z315" s="4">
        <f>Games[[#This Row],[K]]*Games[[#This Row],[POMult]]</f>
        <v>71.95</v>
      </c>
      <c r="AA315" s="4">
        <f>(Games[[#This Row],[Keff]]*Games[[#This Row],[MOVMult]])*(Games[[#This Row],[Result]]-Games[[#This Row],[ExpectedWin%]])</f>
        <v>9.1418897969269128</v>
      </c>
      <c r="AB315" s="4">
        <f>Games[[#This Row],[PreGmRate]]+Games[[#This Row],[RatingChange]]</f>
        <v>1664.0067267251573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45863</v>
      </c>
      <c r="B316" s="2">
        <v>2025</v>
      </c>
      <c r="C316" s="2">
        <f>COUNTIFS(Games[Team],Games[[#This Row],[Team]],Games[Season],Games[[#This Row],[Season]],Games[Date],"&lt;=" &amp; Games[[#This Row],[Date]])</f>
        <v>24</v>
      </c>
      <c r="D316" s="2" t="s">
        <v>79</v>
      </c>
      <c r="E316" s="2" t="s">
        <v>80</v>
      </c>
      <c r="F316" s="1" t="s">
        <v>40</v>
      </c>
      <c r="G316" s="1" t="s">
        <v>60</v>
      </c>
      <c r="H316" s="1" t="s">
        <v>81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6" s="2">
        <f>Games[[#This Row],[DaysOff]]-Games[[#This Row],[OppDaysOff]]</f>
        <v>-1</v>
      </c>
      <c r="L316" s="2">
        <f>Games[[#This Row],[OppDaysOff]]-Games[[#This Row],[DaysOff]]</f>
        <v>1</v>
      </c>
      <c r="M316" s="1">
        <f>MAX(-16, MIN(16, Games[[#This Row],[RestDiff]]*8))</f>
        <v>-8</v>
      </c>
      <c r="N316" s="1">
        <f>MAX(-16, MIN(16, Games[[#This Row],[OppRestDiff]]*8))</f>
        <v>8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1541.7059210005987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1640.8519467539061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0.24115152021516181</v>
      </c>
      <c r="R316" s="1">
        <v>76</v>
      </c>
      <c r="S316" s="1">
        <v>89</v>
      </c>
      <c r="T316" s="1">
        <v>0</v>
      </c>
      <c r="U316" s="1">
        <f>Games[[#This Row],[PointsFor]]-Games[[#This Row],[PointsAgainst]]</f>
        <v>-13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0.43601911990492725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6" s="9">
        <f>MAX(kmin, kmax - 0.15 * MIN(Games[[#This Row],[GamesPlayed]], 82))</f>
        <v>72.400000000000006</v>
      </c>
      <c r="Z316" s="4">
        <f>Games[[#This Row],[K]]*Games[[#This Row],[POMult]]</f>
        <v>72.400000000000006</v>
      </c>
      <c r="AA316" s="4">
        <f>(Games[[#This Row],[Keff]]*Games[[#This Row],[MOVMult]])*(Games[[#This Row],[Result]]-Games[[#This Row],[ExpectedWin%]])</f>
        <v>-7.6126191692155905</v>
      </c>
      <c r="AB316" s="4">
        <f>Games[[#This Row],[PreGmRate]]+Games[[#This Row],[RatingChange]]</f>
        <v>1534.0933018313831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45863</v>
      </c>
      <c r="B317" s="2">
        <v>2025</v>
      </c>
      <c r="C317" s="2">
        <f>COUNTIFS(Games[Team],Games[[#This Row],[Team]],Games[Season],Games[[#This Row],[Season]],Games[Date],"&lt;=" &amp; Games[[#This Row],[Date]])</f>
        <v>23</v>
      </c>
      <c r="D317" s="2" t="s">
        <v>79</v>
      </c>
      <c r="E317" s="2" t="s">
        <v>80</v>
      </c>
      <c r="F317" s="1" t="s">
        <v>60</v>
      </c>
      <c r="G317" s="1" t="s">
        <v>40</v>
      </c>
      <c r="H317" s="1" t="s">
        <v>82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1</v>
      </c>
      <c r="L317" s="2">
        <f>Games[[#This Row],[OppDaysOff]]-Games[[#This Row],[DaysOff]]</f>
        <v>-1</v>
      </c>
      <c r="M317" s="1">
        <f>MAX(-16, MIN(16, Games[[#This Row],[RestDiff]]*8))</f>
        <v>8</v>
      </c>
      <c r="N317" s="1">
        <f>MAX(-16, MIN(16, Games[[#This Row],[OppRestDiff]]*8))</f>
        <v>-8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1640.8519467539061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1541.7059210005987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0.75884847978483816</v>
      </c>
      <c r="R317" s="1">
        <v>89</v>
      </c>
      <c r="S317" s="1">
        <v>76</v>
      </c>
      <c r="T317" s="1">
        <v>0</v>
      </c>
      <c r="U317" s="1">
        <f>Games[[#This Row],[PointsFor]]-Games[[#This Row],[PointsAgainst]]</f>
        <v>13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0.43601911990492725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7" s="9">
        <f>MAX(kmin, kmax - 0.15 * MIN(Games[[#This Row],[GamesPlayed]], 82))</f>
        <v>72.55</v>
      </c>
      <c r="Z317" s="4">
        <f>Games[[#This Row],[K]]*Games[[#This Row],[POMult]]</f>
        <v>72.55</v>
      </c>
      <c r="AA317" s="4">
        <f>(Games[[#This Row],[Keff]]*Games[[#This Row],[MOVMult]])*(Games[[#This Row],[Result]]-Games[[#This Row],[ExpectedWin%]])</f>
        <v>7.6283911702567826</v>
      </c>
      <c r="AB317" s="4">
        <f>Games[[#This Row],[PreGmRate]]+Games[[#This Row],[RatingChange]]</f>
        <v>1648.4803379241628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45864</v>
      </c>
      <c r="B318" s="2">
        <v>2025</v>
      </c>
      <c r="C318" s="2">
        <f>COUNTIFS(Games[Team],Games[[#This Row],[Team]],Games[Season],Games[[#This Row],[Season]],Games[Date],"&lt;=" &amp; Games[[#This Row],[Date]])</f>
        <v>25</v>
      </c>
      <c r="D318" s="2" t="s">
        <v>79</v>
      </c>
      <c r="E318" s="2" t="s">
        <v>80</v>
      </c>
      <c r="F318" s="1" t="s">
        <v>63</v>
      </c>
      <c r="G318" s="1" t="s">
        <v>60</v>
      </c>
      <c r="H318" s="1" t="s">
        <v>81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8" s="2">
        <f>Games[[#This Row],[DaysOff]]-Games[[#This Row],[OppDaysOff]]</f>
        <v>1</v>
      </c>
      <c r="L318" s="2">
        <f>Games[[#This Row],[OppDaysOff]]-Games[[#This Row],[DaysOff]]</f>
        <v>-1</v>
      </c>
      <c r="M318" s="1">
        <f>MAX(-16, MIN(16, Games[[#This Row],[RestDiff]]*8))</f>
        <v>8</v>
      </c>
      <c r="N318" s="1">
        <f>MAX(-16, MIN(16, Games[[#This Row],[OppRestDiff]]*8))</f>
        <v>-8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1440.346158534714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1648.4803379241628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0.16944635791507032</v>
      </c>
      <c r="R318" s="1">
        <v>101</v>
      </c>
      <c r="S318" s="1">
        <v>99</v>
      </c>
      <c r="T318" s="1">
        <v>0</v>
      </c>
      <c r="U318" s="1">
        <f>Games[[#This Row],[PointsFor]]-Games[[#This Row],[PointsAgainst]]</f>
        <v>2</v>
      </c>
      <c r="V318" s="1">
        <f>IF(Games[[#This Row],[MOV]]&gt;0,1,IF(Games[[#This Row],[MOV]]=0,0.5,0))</f>
        <v>1</v>
      </c>
      <c r="W318" s="4">
        <f>((ABS(Games[[#This Row],[MOV]])+5)^0.6)/(12+0.01*(ABS(Games[[#This Row],[PreGmRate]]-Games[[#This Row],[OppPreGmRate]])))*IF(Games[[#This Row],[OT]]=1,0.9,1)</f>
        <v>0.22825210102560214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8" s="9">
        <f>MAX(kmin, kmax - 0.15 * MIN(Games[[#This Row],[GamesPlayed]], 82))</f>
        <v>72.25</v>
      </c>
      <c r="Z318" s="4">
        <f>Games[[#This Row],[K]]*Games[[#This Row],[POMult]]</f>
        <v>72.25</v>
      </c>
      <c r="AA318" s="4">
        <f>(Games[[#This Row],[Keff]]*Games[[#This Row],[MOVMult]])*(Games[[#This Row],[Result]]-Games[[#This Row],[ExpectedWin%]])</f>
        <v>13.696838098520372</v>
      </c>
      <c r="AB318" s="4">
        <f>Games[[#This Row],[PreGmRate]]+Games[[#This Row],[RatingChange]]</f>
        <v>1454.0429966332345</v>
      </c>
      <c r="AC318" s="2">
        <f>IF(Games[[#This Row],[Type]]="R",IF(Games[[#This Row],[Result]]&gt;0.5,1,0),0)</f>
        <v>1</v>
      </c>
      <c r="AD318" s="2">
        <f>IF(Games[[#This Row],[Type]]="R",IF(Games[[#This Row],[Result]]&lt;0.5,1,0),0)</f>
        <v>0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45864</v>
      </c>
      <c r="B319" s="2">
        <v>2025</v>
      </c>
      <c r="C319" s="2">
        <f>COUNTIFS(Games[Team],Games[[#This Row],[Team]],Games[Season],Games[[#This Row],[Season]],Games[Date],"&lt;=" &amp; Games[[#This Row],[Date]])</f>
        <v>24</v>
      </c>
      <c r="D319" s="2" t="s">
        <v>79</v>
      </c>
      <c r="E319" s="2" t="s">
        <v>80</v>
      </c>
      <c r="F319" s="1" t="s">
        <v>60</v>
      </c>
      <c r="G319" s="1" t="s">
        <v>63</v>
      </c>
      <c r="H319" s="1" t="s">
        <v>82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-1</v>
      </c>
      <c r="L319" s="2">
        <f>Games[[#This Row],[OppDaysOff]]-Games[[#This Row],[DaysOff]]</f>
        <v>1</v>
      </c>
      <c r="M319" s="1">
        <f>MAX(-16, MIN(16, Games[[#This Row],[RestDiff]]*8))</f>
        <v>-8</v>
      </c>
      <c r="N319" s="1">
        <f>MAX(-16, MIN(16, Games[[#This Row],[OppRestDiff]]*8))</f>
        <v>8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1648.4803379241628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1440.346158534714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0.83055364208492966</v>
      </c>
      <c r="R319" s="1">
        <v>99</v>
      </c>
      <c r="S319" s="1">
        <v>101</v>
      </c>
      <c r="T319" s="1">
        <v>0</v>
      </c>
      <c r="U319" s="1">
        <f>Games[[#This Row],[PointsFor]]-Games[[#This Row],[PointsAgainst]]</f>
        <v>-2</v>
      </c>
      <c r="V319" s="1">
        <f>IF(Games[[#This Row],[MOV]]&gt;0,1,IF(Games[[#This Row],[MOV]]=0,0.5,0))</f>
        <v>0</v>
      </c>
      <c r="W319" s="4">
        <f>((ABS(Games[[#This Row],[MOV]])+5)^0.6)/(12+0.01*(ABS(Games[[#This Row],[PreGmRate]]-Games[[#This Row],[OppPreGmRate]])))*IF(Games[[#This Row],[OT]]=1,0.9,1)</f>
        <v>0.22825210102560214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9" s="9">
        <f>MAX(kmin, kmax - 0.15 * MIN(Games[[#This Row],[GamesPlayed]], 82))</f>
        <v>72.400000000000006</v>
      </c>
      <c r="Z319" s="4">
        <f>Games[[#This Row],[K]]*Games[[#This Row],[POMult]]</f>
        <v>72.400000000000006</v>
      </c>
      <c r="AA319" s="4">
        <f>(Games[[#This Row],[Keff]]*Games[[#This Row],[MOVMult]])*(Games[[#This Row],[Result]]-Games[[#This Row],[ExpectedWin%]])</f>
        <v>-13.725274440593425</v>
      </c>
      <c r="AB319" s="4">
        <f>Games[[#This Row],[PreGmRate]]+Games[[#This Row],[RatingChange]]</f>
        <v>1634.7550634835693</v>
      </c>
      <c r="AC319" s="2">
        <f>IF(Games[[#This Row],[Type]]="R",IF(Games[[#This Row],[Result]]&gt;0.5,1,0),0)</f>
        <v>0</v>
      </c>
      <c r="AD319" s="2">
        <f>IF(Games[[#This Row],[Type]]="R",IF(Games[[#This Row],[Result]]&lt;0.5,1,0),0)</f>
        <v>1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45864</v>
      </c>
      <c r="B320" s="2">
        <v>2025</v>
      </c>
      <c r="C320" s="2">
        <f>COUNTIFS(Games[Team],Games[[#This Row],[Team]],Games[Season],Games[[#This Row],[Season]],Games[Date],"&lt;=" &amp; Games[[#This Row],[Date]])</f>
        <v>26</v>
      </c>
      <c r="D320" s="2" t="s">
        <v>79</v>
      </c>
      <c r="E320" s="2" t="s">
        <v>80</v>
      </c>
      <c r="F320" s="1" t="s">
        <v>71</v>
      </c>
      <c r="G320" s="1" t="s">
        <v>65</v>
      </c>
      <c r="H320" s="1" t="s">
        <v>81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0" s="2">
        <f>Games[[#This Row],[DaysOff]]-Games[[#This Row],[OppDaysOff]]</f>
        <v>-2</v>
      </c>
      <c r="L320" s="2">
        <f>Games[[#This Row],[OppDaysOff]]-Games[[#This Row],[DaysOff]]</f>
        <v>2</v>
      </c>
      <c r="M320" s="1">
        <f>MAX(-16, MIN(16, Games[[#This Row],[RestDiff]]*8))</f>
        <v>-16</v>
      </c>
      <c r="N320" s="1">
        <f>MAX(-16, MIN(16, Games[[#This Row],[OppRestDiff]]*8))</f>
        <v>16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1551.6839748998586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1463.3697537595556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0.46024108050880141</v>
      </c>
      <c r="R320" s="1">
        <v>58</v>
      </c>
      <c r="S320" s="1">
        <v>69</v>
      </c>
      <c r="T320" s="1">
        <v>0</v>
      </c>
      <c r="U320" s="1">
        <f>Games[[#This Row],[PointsFor]]-Games[[#This Row],[PointsAgainst]]</f>
        <v>-11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0.4096851184658914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0" s="9">
        <f>MAX(kmin, kmax - 0.15 * MIN(Games[[#This Row],[GamesPlayed]], 82))</f>
        <v>72.099999999999994</v>
      </c>
      <c r="Z320" s="4">
        <f>Games[[#This Row],[K]]*Games[[#This Row],[POMult]]</f>
        <v>72.099999999999994</v>
      </c>
      <c r="AA320" s="4">
        <f>(Games[[#This Row],[Keff]]*Games[[#This Row],[MOVMult]])*(Games[[#This Row],[Result]]-Games[[#This Row],[ExpectedWin%]])</f>
        <v>-13.594737746719618</v>
      </c>
      <c r="AB320" s="4">
        <f>Games[[#This Row],[PreGmRate]]+Games[[#This Row],[RatingChange]]</f>
        <v>1538.089237153139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45864</v>
      </c>
      <c r="B321" s="2">
        <v>2025</v>
      </c>
      <c r="C321" s="2">
        <f>COUNTIFS(Games[Team],Games[[#This Row],[Team]],Games[Season],Games[[#This Row],[Season]],Games[Date],"&lt;=" &amp; Games[[#This Row],[Date]])</f>
        <v>24</v>
      </c>
      <c r="D321" s="2" t="s">
        <v>79</v>
      </c>
      <c r="E321" s="2" t="s">
        <v>80</v>
      </c>
      <c r="F321" s="1" t="s">
        <v>65</v>
      </c>
      <c r="G321" s="1" t="s">
        <v>71</v>
      </c>
      <c r="H321" s="1" t="s">
        <v>82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2</v>
      </c>
      <c r="L321" s="2">
        <f>Games[[#This Row],[OppDaysOff]]-Games[[#This Row],[DaysOff]]</f>
        <v>-2</v>
      </c>
      <c r="M321" s="1">
        <f>MAX(-16, MIN(16, Games[[#This Row],[RestDiff]]*8))</f>
        <v>16</v>
      </c>
      <c r="N321" s="1">
        <f>MAX(-16, MIN(16, Games[[#This Row],[OppRestDiff]]*8))</f>
        <v>-16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1463.3697537595556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1551.6839748998586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0.53975891949119847</v>
      </c>
      <c r="R321" s="1">
        <v>69</v>
      </c>
      <c r="S321" s="1">
        <v>58</v>
      </c>
      <c r="T321" s="1">
        <v>0</v>
      </c>
      <c r="U321" s="1">
        <f>Games[[#This Row],[PointsFor]]-Games[[#This Row],[PointsAgainst]]</f>
        <v>11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0.4096851184658914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1" s="9">
        <f>MAX(kmin, kmax - 0.15 * MIN(Games[[#This Row],[GamesPlayed]], 82))</f>
        <v>72.400000000000006</v>
      </c>
      <c r="Z321" s="4">
        <f>Games[[#This Row],[K]]*Games[[#This Row],[POMult]]</f>
        <v>72.400000000000006</v>
      </c>
      <c r="AA321" s="4">
        <f>(Games[[#This Row],[Keff]]*Games[[#This Row],[MOVMult]])*(Games[[#This Row],[Result]]-Games[[#This Row],[ExpectedWin%]])</f>
        <v>13.651303923196959</v>
      </c>
      <c r="AB321" s="4">
        <f>Games[[#This Row],[PreGmRate]]+Games[[#This Row],[RatingChange]]</f>
        <v>1477.0210576827526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45865</v>
      </c>
      <c r="B322" s="2">
        <v>2025</v>
      </c>
      <c r="C322" s="2">
        <f>COUNTIFS(Games[Team],Games[[#This Row],[Team]],Games[Season],Games[[#This Row],[Season]],Games[Date],"&lt;=" &amp; Games[[#This Row],[Date]])</f>
        <v>27</v>
      </c>
      <c r="D322" s="2" t="s">
        <v>79</v>
      </c>
      <c r="E322" s="2" t="s">
        <v>80</v>
      </c>
      <c r="F322" s="1" t="s">
        <v>69</v>
      </c>
      <c r="G322" s="1" t="s">
        <v>75</v>
      </c>
      <c r="H322" s="1" t="s">
        <v>81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2" s="2">
        <f>Games[[#This Row],[DaysOff]]-Games[[#This Row],[OppDaysOff]]</f>
        <v>0</v>
      </c>
      <c r="L322" s="2">
        <f>Games[[#This Row],[OppDaysOff]]-Games[[#This Row],[DaysOff]]</f>
        <v>0</v>
      </c>
      <c r="M322" s="1">
        <f>MAX(-16, MIN(16, Games[[#This Row],[RestDiff]]*8))</f>
        <v>0</v>
      </c>
      <c r="N322" s="1">
        <f>MAX(-16, MIN(16, Games[[#This Row],[OppRestDiff]]*8))</f>
        <v>0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1543.6456461858115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1351.7821336964405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0.65042600620998614</v>
      </c>
      <c r="R322" s="1">
        <v>93</v>
      </c>
      <c r="S322" s="1">
        <v>78</v>
      </c>
      <c r="T322" s="1">
        <v>0</v>
      </c>
      <c r="U322" s="1">
        <f>Games[[#This Row],[PointsFor]]-Games[[#This Row],[PointsAgainst]]</f>
        <v>15</v>
      </c>
      <c r="V322" s="1">
        <f>IF(Games[[#This Row],[MOV]]&gt;0,1,IF(Games[[#This Row],[MOV]]=0,0.5,0))</f>
        <v>1</v>
      </c>
      <c r="W322" s="4">
        <f>((ABS(Games[[#This Row],[MOV]])+5)^0.6)/(12+0.01*(ABS(Games[[#This Row],[PreGmRate]]-Games[[#This Row],[OppPreGmRate]])))*IF(Games[[#This Row],[OT]]=1,0.9,1)</f>
        <v>0.43353218777557706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2" s="9">
        <f>MAX(kmin, kmax - 0.15 * MIN(Games[[#This Row],[GamesPlayed]], 82))</f>
        <v>71.95</v>
      </c>
      <c r="Z322" s="4">
        <f>Games[[#This Row],[K]]*Games[[#This Row],[POMult]]</f>
        <v>71.95</v>
      </c>
      <c r="AA322" s="4">
        <f>(Games[[#This Row],[Keff]]*Games[[#This Row],[MOVMult]])*(Games[[#This Row],[Result]]-Games[[#This Row],[ExpectedWin%]])</f>
        <v>10.904136059924749</v>
      </c>
      <c r="AB322" s="4">
        <f>Games[[#This Row],[PreGmRate]]+Games[[#This Row],[RatingChange]]</f>
        <v>1554.5497822457362</v>
      </c>
      <c r="AC322" s="2">
        <f>IF(Games[[#This Row],[Type]]="R",IF(Games[[#This Row],[Result]]&gt;0.5,1,0),0)</f>
        <v>1</v>
      </c>
      <c r="AD322" s="2">
        <f>IF(Games[[#This Row],[Type]]="R",IF(Games[[#This Row],[Result]]&lt;0.5,1,0),0)</f>
        <v>0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45865</v>
      </c>
      <c r="B323" s="2">
        <v>2025</v>
      </c>
      <c r="C323" s="2">
        <f>COUNTIFS(Games[Team],Games[[#This Row],[Team]],Games[Season],Games[[#This Row],[Season]],Games[Date],"&lt;=" &amp; Games[[#This Row],[Date]])</f>
        <v>25</v>
      </c>
      <c r="D323" s="2" t="s">
        <v>79</v>
      </c>
      <c r="E323" s="2" t="s">
        <v>80</v>
      </c>
      <c r="F323" s="1" t="s">
        <v>75</v>
      </c>
      <c r="G323" s="1" t="s">
        <v>69</v>
      </c>
      <c r="H323" s="1" t="s">
        <v>82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3" s="2">
        <f>Games[[#This Row],[DaysOff]]-Games[[#This Row],[OppDaysOff]]</f>
        <v>0</v>
      </c>
      <c r="L323" s="2">
        <f>Games[[#This Row],[OppDaysOff]]-Games[[#This Row],[DaysOff]]</f>
        <v>0</v>
      </c>
      <c r="M323" s="1">
        <f>MAX(-16, MIN(16, Games[[#This Row],[RestDiff]]*8))</f>
        <v>0</v>
      </c>
      <c r="N323" s="1">
        <f>MAX(-16, MIN(16, Games[[#This Row],[OppRestDiff]]*8))</f>
        <v>0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1351.7821336964405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1543.6456461858115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0.34957399379001386</v>
      </c>
      <c r="R323" s="1">
        <v>78</v>
      </c>
      <c r="S323" s="1">
        <v>93</v>
      </c>
      <c r="T323" s="1">
        <v>0</v>
      </c>
      <c r="U323" s="1">
        <f>Games[[#This Row],[PointsFor]]-Games[[#This Row],[PointsAgainst]]</f>
        <v>-15</v>
      </c>
      <c r="V323" s="1">
        <f>IF(Games[[#This Row],[MOV]]&gt;0,1,IF(Games[[#This Row],[MOV]]=0,0.5,0))</f>
        <v>0</v>
      </c>
      <c r="W323" s="4">
        <f>((ABS(Games[[#This Row],[MOV]])+5)^0.6)/(12+0.01*(ABS(Games[[#This Row],[PreGmRate]]-Games[[#This Row],[OppPreGmRate]])))*IF(Games[[#This Row],[OT]]=1,0.9,1)</f>
        <v>0.43353218777557706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3" s="9">
        <f>MAX(kmin, kmax - 0.15 * MIN(Games[[#This Row],[GamesPlayed]], 82))</f>
        <v>72.25</v>
      </c>
      <c r="Z323" s="4">
        <f>Games[[#This Row],[K]]*Games[[#This Row],[POMult]]</f>
        <v>72.25</v>
      </c>
      <c r="AA323" s="4">
        <f>(Games[[#This Row],[Keff]]*Games[[#This Row],[MOVMult]])*(Games[[#This Row],[Result]]-Games[[#This Row],[ExpectedWin%]])</f>
        <v>-10.949601533419917</v>
      </c>
      <c r="AB323" s="4">
        <f>Games[[#This Row],[PreGmRate]]+Games[[#This Row],[RatingChange]]</f>
        <v>1340.8325321630207</v>
      </c>
      <c r="AC323" s="2">
        <f>IF(Games[[#This Row],[Type]]="R",IF(Games[[#This Row],[Result]]&gt;0.5,1,0),0)</f>
        <v>0</v>
      </c>
      <c r="AD323" s="2">
        <f>IF(Games[[#This Row],[Type]]="R",IF(Games[[#This Row],[Result]]&lt;0.5,1,0),0)</f>
        <v>1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45865</v>
      </c>
      <c r="B324" s="2">
        <v>2025</v>
      </c>
      <c r="C324" s="2">
        <f>COUNTIFS(Games[Team],Games[[#This Row],[Team]],Games[Season],Games[[#This Row],[Season]],Games[Date],"&lt;=" &amp; Games[[#This Row],[Date]])</f>
        <v>24</v>
      </c>
      <c r="D324" s="2" t="s">
        <v>79</v>
      </c>
      <c r="E324" s="2" t="s">
        <v>80</v>
      </c>
      <c r="F324" s="1" t="s">
        <v>88</v>
      </c>
      <c r="G324" s="1" t="s">
        <v>74</v>
      </c>
      <c r="H324" s="1" t="s">
        <v>81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4" s="2">
        <f>Games[[#This Row],[DaysOff]]-Games[[#This Row],[OppDaysOff]]</f>
        <v>-1</v>
      </c>
      <c r="L324" s="2">
        <f>Games[[#This Row],[OppDaysOff]]-Games[[#This Row],[DaysOff]]</f>
        <v>1</v>
      </c>
      <c r="M324" s="1">
        <f>MAX(-16, MIN(16, Games[[#This Row],[RestDiff]]*8))</f>
        <v>-8</v>
      </c>
      <c r="N324" s="1">
        <f>MAX(-16, MIN(16, Games[[#This Row],[OppRestDiff]]*8))</f>
        <v>8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1522.3354689985679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1325.4244894320657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0.63595826958006718</v>
      </c>
      <c r="R324" s="1">
        <v>64</v>
      </c>
      <c r="S324" s="1">
        <v>95</v>
      </c>
      <c r="T324" s="1">
        <v>0</v>
      </c>
      <c r="U324" s="1">
        <f>Games[[#This Row],[PointsFor]]-Games[[#This Row],[PointsAgainst]]</f>
        <v>-31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0.61462860641956818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4" s="9">
        <f>MAX(kmin, kmax - 0.15 * MIN(Games[[#This Row],[GamesPlayed]], 82))</f>
        <v>72.400000000000006</v>
      </c>
      <c r="Z324" s="4">
        <f>Games[[#This Row],[K]]*Games[[#This Row],[POMult]]</f>
        <v>72.400000000000006</v>
      </c>
      <c r="AA324" s="4">
        <f>(Games[[#This Row],[Keff]]*Games[[#This Row],[MOVMult]])*(Games[[#This Row],[Result]]-Games[[#This Row],[ExpectedWin%]])</f>
        <v>-28.299577696044967</v>
      </c>
      <c r="AB324" s="4">
        <f>Games[[#This Row],[PreGmRate]]+Games[[#This Row],[RatingChange]]</f>
        <v>1494.0358913025229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45865</v>
      </c>
      <c r="B325" s="2">
        <v>2025</v>
      </c>
      <c r="C325" s="2">
        <f>COUNTIFS(Games[Team],Games[[#This Row],[Team]],Games[Season],Games[[#This Row],[Season]],Games[Date],"&lt;=" &amp; Games[[#This Row],[Date]])</f>
        <v>24</v>
      </c>
      <c r="D325" s="2" t="s">
        <v>79</v>
      </c>
      <c r="E325" s="2" t="s">
        <v>80</v>
      </c>
      <c r="F325" s="1" t="s">
        <v>74</v>
      </c>
      <c r="G325" s="1" t="s">
        <v>88</v>
      </c>
      <c r="H325" s="1" t="s">
        <v>82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1</v>
      </c>
      <c r="L325" s="2">
        <f>Games[[#This Row],[OppDaysOff]]-Games[[#This Row],[DaysOff]]</f>
        <v>-1</v>
      </c>
      <c r="M325" s="1">
        <f>MAX(-16, MIN(16, Games[[#This Row],[RestDiff]]*8))</f>
        <v>8</v>
      </c>
      <c r="N325" s="1">
        <f>MAX(-16, MIN(16, Games[[#This Row],[OppRestDiff]]*8))</f>
        <v>-8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1325.4244894320657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1522.3354689985679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0.36404173041993282</v>
      </c>
      <c r="R325" s="1">
        <v>95</v>
      </c>
      <c r="S325" s="1">
        <v>64</v>
      </c>
      <c r="T325" s="1">
        <v>0</v>
      </c>
      <c r="U325" s="1">
        <f>Games[[#This Row],[PointsFor]]-Games[[#This Row],[PointsAgainst]]</f>
        <v>31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0.61462860641956818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5" s="9">
        <f>MAX(kmin, kmax - 0.15 * MIN(Games[[#This Row],[GamesPlayed]], 82))</f>
        <v>72.400000000000006</v>
      </c>
      <c r="Z325" s="4">
        <f>Games[[#This Row],[K]]*Games[[#This Row],[POMult]]</f>
        <v>72.400000000000006</v>
      </c>
      <c r="AA325" s="4">
        <f>(Games[[#This Row],[Keff]]*Games[[#This Row],[MOVMult]])*(Games[[#This Row],[Result]]-Games[[#This Row],[ExpectedWin%]])</f>
        <v>28.299577696044967</v>
      </c>
      <c r="AB325" s="4">
        <f>Games[[#This Row],[PreGmRate]]+Games[[#This Row],[RatingChange]]</f>
        <v>1353.7240671281106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45865</v>
      </c>
      <c r="B326" s="2">
        <v>2025</v>
      </c>
      <c r="C326" s="2">
        <f>COUNTIFS(Games[Team],Games[[#This Row],[Team]],Games[Season],Games[[#This Row],[Season]],Games[Date],"&lt;=" &amp; Games[[#This Row],[Date]])</f>
        <v>26</v>
      </c>
      <c r="D326" s="2" t="s">
        <v>79</v>
      </c>
      <c r="E326" s="2" t="s">
        <v>80</v>
      </c>
      <c r="F326" s="1" t="s">
        <v>86</v>
      </c>
      <c r="G326" s="1" t="s">
        <v>85</v>
      </c>
      <c r="H326" s="1" t="s">
        <v>81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0</v>
      </c>
      <c r="L326" s="2">
        <f>Games[[#This Row],[OppDaysOff]]-Games[[#This Row],[DaysOff]]</f>
        <v>0</v>
      </c>
      <c r="M326" s="1">
        <f>MAX(-16, MIN(16, Games[[#This Row],[RestDiff]]*8))</f>
        <v>0</v>
      </c>
      <c r="N326" s="1">
        <f>MAX(-16, MIN(16, Games[[#This Row],[OppRestDiff]]*8))</f>
        <v>0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1517.1517485738275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1386.690474234392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0.56646741399871947</v>
      </c>
      <c r="R326" s="1">
        <v>106</v>
      </c>
      <c r="S326" s="1">
        <v>80</v>
      </c>
      <c r="T326" s="1">
        <v>0</v>
      </c>
      <c r="U326" s="1">
        <f>Games[[#This Row],[PointsFor]]-Games[[#This Row],[PointsAgainst]]</f>
        <v>26</v>
      </c>
      <c r="V326" s="1">
        <f>IF(Games[[#This Row],[MOV]]&gt;0,1,IF(Games[[#This Row],[MOV]]=0,0.5,0))</f>
        <v>1</v>
      </c>
      <c r="W326" s="4">
        <f>((ABS(Games[[#This Row],[MOV]])+5)^0.6)/(12+0.01*(ABS(Games[[#This Row],[PreGmRate]]-Games[[#This Row],[OppPreGmRate]])))*IF(Games[[#This Row],[OT]]=1,0.9,1)</f>
        <v>0.58994941961757064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6" s="9">
        <f>MAX(kmin, kmax - 0.15 * MIN(Games[[#This Row],[GamesPlayed]], 82))</f>
        <v>72.099999999999994</v>
      </c>
      <c r="Z326" s="4">
        <f>Games[[#This Row],[K]]*Games[[#This Row],[POMult]]</f>
        <v>72.099999999999994</v>
      </c>
      <c r="AA326" s="4">
        <f>(Games[[#This Row],[Keff]]*Games[[#This Row],[MOVMult]])*(Games[[#This Row],[Result]]-Games[[#This Row],[ExpectedWin%]])</f>
        <v>18.44046164951639</v>
      </c>
      <c r="AB326" s="4">
        <f>Games[[#This Row],[PreGmRate]]+Games[[#This Row],[RatingChange]]</f>
        <v>1535.592210223344</v>
      </c>
      <c r="AC326" s="2">
        <f>IF(Games[[#This Row],[Type]]="R",IF(Games[[#This Row],[Result]]&gt;0.5,1,0),0)</f>
        <v>1</v>
      </c>
      <c r="AD326" s="2">
        <f>IF(Games[[#This Row],[Type]]="R",IF(Games[[#This Row],[Result]]&lt;0.5,1,0),0)</f>
        <v>0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45865</v>
      </c>
      <c r="B327" s="2">
        <v>2025</v>
      </c>
      <c r="C327" s="2">
        <f>COUNTIFS(Games[Team],Games[[#This Row],[Team]],Games[Season],Games[[#This Row],[Season]],Games[Date],"&lt;=" &amp; Games[[#This Row],[Date]])</f>
        <v>26</v>
      </c>
      <c r="D327" s="2" t="s">
        <v>79</v>
      </c>
      <c r="E327" s="2" t="s">
        <v>80</v>
      </c>
      <c r="F327" s="1" t="s">
        <v>85</v>
      </c>
      <c r="G327" s="1" t="s">
        <v>86</v>
      </c>
      <c r="H327" s="1" t="s">
        <v>82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0</v>
      </c>
      <c r="L327" s="2">
        <f>Games[[#This Row],[OppDaysOff]]-Games[[#This Row],[DaysOff]]</f>
        <v>0</v>
      </c>
      <c r="M327" s="1">
        <f>MAX(-16, MIN(16, Games[[#This Row],[RestDiff]]*8))</f>
        <v>0</v>
      </c>
      <c r="N327" s="1">
        <f>MAX(-16, MIN(16, Games[[#This Row],[OppRestDiff]]*8))</f>
        <v>0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1386.690474234392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1517.1517485738275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0.43353258600128047</v>
      </c>
      <c r="R327" s="1">
        <v>80</v>
      </c>
      <c r="S327" s="1">
        <v>106</v>
      </c>
      <c r="T327" s="1">
        <v>0</v>
      </c>
      <c r="U327" s="1">
        <f>Games[[#This Row],[PointsFor]]-Games[[#This Row],[PointsAgainst]]</f>
        <v>-26</v>
      </c>
      <c r="V327" s="1">
        <f>IF(Games[[#This Row],[MOV]]&gt;0,1,IF(Games[[#This Row],[MOV]]=0,0.5,0))</f>
        <v>0</v>
      </c>
      <c r="W327" s="4">
        <f>((ABS(Games[[#This Row],[MOV]])+5)^0.6)/(12+0.01*(ABS(Games[[#This Row],[PreGmRate]]-Games[[#This Row],[OppPreGmRate]])))*IF(Games[[#This Row],[OT]]=1,0.9,1)</f>
        <v>0.58994941961757064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7" s="9">
        <f>MAX(kmin, kmax - 0.15 * MIN(Games[[#This Row],[GamesPlayed]], 82))</f>
        <v>72.099999999999994</v>
      </c>
      <c r="Z327" s="4">
        <f>Games[[#This Row],[K]]*Games[[#This Row],[POMult]]</f>
        <v>72.099999999999994</v>
      </c>
      <c r="AA327" s="4">
        <f>(Games[[#This Row],[Keff]]*Games[[#This Row],[MOVMult]])*(Games[[#This Row],[Result]]-Games[[#This Row],[ExpectedWin%]])</f>
        <v>-18.44046164951639</v>
      </c>
      <c r="AB327" s="4">
        <f>Games[[#This Row],[PreGmRate]]+Games[[#This Row],[RatingChange]]</f>
        <v>1368.2500125848755</v>
      </c>
      <c r="AC327" s="2">
        <f>IF(Games[[#This Row],[Type]]="R",IF(Games[[#This Row],[Result]]&gt;0.5,1,0),0)</f>
        <v>0</v>
      </c>
      <c r="AD327" s="2">
        <f>IF(Games[[#This Row],[Type]]="R",IF(Games[[#This Row],[Result]]&lt;0.5,1,0),0)</f>
        <v>1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45865</v>
      </c>
      <c r="B328" s="2">
        <v>2025</v>
      </c>
      <c r="C328" s="2">
        <f>COUNTIFS(Games[Team],Games[[#This Row],[Team]],Games[Season],Games[[#This Row],[Season]],Games[Date],"&lt;=" &amp; Games[[#This Row],[Date]])</f>
        <v>25</v>
      </c>
      <c r="D328" s="2" t="s">
        <v>79</v>
      </c>
      <c r="E328" s="2" t="s">
        <v>80</v>
      </c>
      <c r="F328" s="1" t="s">
        <v>77</v>
      </c>
      <c r="G328" s="1" t="s">
        <v>67</v>
      </c>
      <c r="H328" s="1" t="s">
        <v>81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2</v>
      </c>
      <c r="L328" s="2">
        <f>Games[[#This Row],[OppDaysOff]]-Games[[#This Row],[DaysOff]]</f>
        <v>-2</v>
      </c>
      <c r="M328" s="1">
        <f>MAX(-16, MIN(16, Games[[#This Row],[RestDiff]]*8))</f>
        <v>16</v>
      </c>
      <c r="N328" s="1">
        <f>MAX(-16, MIN(16, Games[[#This Row],[OppRestDiff]]*8))</f>
        <v>-16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1549.8094970064049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1664.0067267251573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0.27753776010530601</v>
      </c>
      <c r="R328" s="1">
        <v>90</v>
      </c>
      <c r="S328" s="1">
        <v>86</v>
      </c>
      <c r="T328" s="1">
        <v>0</v>
      </c>
      <c r="U328" s="1">
        <f>Games[[#This Row],[PointsFor]]-Games[[#This Row],[PointsAgainst]]</f>
        <v>4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0.28437077284406836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8" s="9">
        <f>MAX(kmin, kmax - 0.15 * MIN(Games[[#This Row],[GamesPlayed]], 82))</f>
        <v>72.25</v>
      </c>
      <c r="Z328" s="4">
        <f>Games[[#This Row],[K]]*Games[[#This Row],[POMult]]</f>
        <v>72.25</v>
      </c>
      <c r="AA328" s="4">
        <f>(Games[[#This Row],[Keff]]*Games[[#This Row],[MOVMult]])*(Games[[#This Row],[Result]]-Games[[#This Row],[ExpectedWin%]])</f>
        <v>14.84355626306216</v>
      </c>
      <c r="AB328" s="4">
        <f>Games[[#This Row],[PreGmRate]]+Games[[#This Row],[RatingChange]]</f>
        <v>1564.6530532694669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45865</v>
      </c>
      <c r="B329" s="2">
        <v>2025</v>
      </c>
      <c r="C329" s="2">
        <f>COUNTIFS(Games[Team],Games[[#This Row],[Team]],Games[Season],Games[[#This Row],[Season]],Games[Date],"&lt;=" &amp; Games[[#This Row],[Date]])</f>
        <v>28</v>
      </c>
      <c r="D329" s="2" t="s">
        <v>79</v>
      </c>
      <c r="E329" s="2" t="s">
        <v>80</v>
      </c>
      <c r="F329" s="1" t="s">
        <v>67</v>
      </c>
      <c r="G329" s="1" t="s">
        <v>77</v>
      </c>
      <c r="H329" s="1" t="s">
        <v>82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9" s="2">
        <f>Games[[#This Row],[DaysOff]]-Games[[#This Row],[OppDaysOff]]</f>
        <v>-2</v>
      </c>
      <c r="L329" s="2">
        <f>Games[[#This Row],[OppDaysOff]]-Games[[#This Row],[DaysOff]]</f>
        <v>2</v>
      </c>
      <c r="M329" s="1">
        <f>MAX(-16, MIN(16, Games[[#This Row],[RestDiff]]*8))</f>
        <v>-16</v>
      </c>
      <c r="N329" s="1">
        <f>MAX(-16, MIN(16, Games[[#This Row],[OppRestDiff]]*8))</f>
        <v>16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1664.0067267251573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1549.8094970064049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0.72246223989469394</v>
      </c>
      <c r="R329" s="1">
        <v>86</v>
      </c>
      <c r="S329" s="1">
        <v>90</v>
      </c>
      <c r="T329" s="1">
        <v>0</v>
      </c>
      <c r="U329" s="1">
        <f>Games[[#This Row],[PointsFor]]-Games[[#This Row],[PointsAgainst]]</f>
        <v>-4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0.28437077284406836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9" s="9">
        <f>MAX(kmin, kmax - 0.15 * MIN(Games[[#This Row],[GamesPlayed]], 82))</f>
        <v>71.8</v>
      </c>
      <c r="Z329" s="4">
        <f>Games[[#This Row],[K]]*Games[[#This Row],[POMult]]</f>
        <v>71.8</v>
      </c>
      <c r="AA329" s="4">
        <f>(Games[[#This Row],[Keff]]*Games[[#This Row],[MOVMult]])*(Games[[#This Row],[Result]]-Games[[#This Row],[ExpectedWin%]])</f>
        <v>-14.751105047582877</v>
      </c>
      <c r="AB329" s="4">
        <f>Games[[#This Row],[PreGmRate]]+Games[[#This Row],[RatingChange]]</f>
        <v>1649.2556216775745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45865</v>
      </c>
      <c r="B330" s="2">
        <v>2025</v>
      </c>
      <c r="C330" s="2">
        <f>COUNTIFS(Games[Team],Games[[#This Row],[Team]],Games[Season],Games[[#This Row],[Season]],Games[Date],"&lt;=" &amp; Games[[#This Row],[Date]])</f>
        <v>25</v>
      </c>
      <c r="D330" s="2" t="s">
        <v>79</v>
      </c>
      <c r="E330" s="2" t="s">
        <v>80</v>
      </c>
      <c r="F330" s="1" t="s">
        <v>40</v>
      </c>
      <c r="G330" s="1" t="s">
        <v>65</v>
      </c>
      <c r="H330" s="1" t="s">
        <v>81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0" s="2">
        <f>Games[[#This Row],[DaysOff]]-Games[[#This Row],[OppDaysOff]]</f>
        <v>1</v>
      </c>
      <c r="L330" s="2">
        <f>Games[[#This Row],[OppDaysOff]]-Games[[#This Row],[DaysOff]]</f>
        <v>-1</v>
      </c>
      <c r="M330" s="1">
        <f>MAX(-16, MIN(16, Games[[#This Row],[RestDiff]]*8))</f>
        <v>8</v>
      </c>
      <c r="N330" s="1">
        <f>MAX(-16, MIN(16, Games[[#This Row],[OppRestDiff]]*8))</f>
        <v>-8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1534.0933018313831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1477.0210576827526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0.48427887895804422</v>
      </c>
      <c r="R330" s="1">
        <v>88</v>
      </c>
      <c r="S330" s="1">
        <v>72</v>
      </c>
      <c r="T330" s="1">
        <v>0</v>
      </c>
      <c r="U330" s="1">
        <f>Games[[#This Row],[PointsFor]]-Games[[#This Row],[PointsAgainst]]</f>
        <v>16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0.49427806685596459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0" s="9">
        <f>MAX(kmin, kmax - 0.15 * MIN(Games[[#This Row],[GamesPlayed]], 82))</f>
        <v>72.25</v>
      </c>
      <c r="Z330" s="4">
        <f>Games[[#This Row],[K]]*Games[[#This Row],[POMult]]</f>
        <v>72.25</v>
      </c>
      <c r="AA330" s="4">
        <f>(Games[[#This Row],[Keff]]*Games[[#This Row],[MOVMult]])*(Games[[#This Row],[Result]]-Games[[#This Row],[ExpectedWin%]])</f>
        <v>18.417221399355785</v>
      </c>
      <c r="AB330" s="4">
        <f>Games[[#This Row],[PreGmRate]]+Games[[#This Row],[RatingChange]]</f>
        <v>1552.510523230739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45865</v>
      </c>
      <c r="B331" s="2">
        <v>2025</v>
      </c>
      <c r="C331" s="2">
        <f>COUNTIFS(Games[Team],Games[[#This Row],[Team]],Games[Season],Games[[#This Row],[Season]],Games[Date],"&lt;=" &amp; Games[[#This Row],[Date]])</f>
        <v>25</v>
      </c>
      <c r="D331" s="2" t="s">
        <v>79</v>
      </c>
      <c r="E331" s="2" t="s">
        <v>80</v>
      </c>
      <c r="F331" s="1" t="s">
        <v>65</v>
      </c>
      <c r="G331" s="1" t="s">
        <v>40</v>
      </c>
      <c r="H331" s="1" t="s">
        <v>82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-1</v>
      </c>
      <c r="L331" s="2">
        <f>Games[[#This Row],[OppDaysOff]]-Games[[#This Row],[DaysOff]]</f>
        <v>1</v>
      </c>
      <c r="M331" s="1">
        <f>MAX(-16, MIN(16, Games[[#This Row],[RestDiff]]*8))</f>
        <v>-8</v>
      </c>
      <c r="N331" s="1">
        <f>MAX(-16, MIN(16, Games[[#This Row],[OppRestDiff]]*8))</f>
        <v>8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1477.0210576827526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1534.0933018313831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0.51572112104195589</v>
      </c>
      <c r="R331" s="1">
        <v>72</v>
      </c>
      <c r="S331" s="1">
        <v>88</v>
      </c>
      <c r="T331" s="1">
        <v>0</v>
      </c>
      <c r="U331" s="1">
        <f>Games[[#This Row],[PointsFor]]-Games[[#This Row],[PointsAgainst]]</f>
        <v>-16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0.49427806685596459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1" s="9">
        <f>MAX(kmin, kmax - 0.15 * MIN(Games[[#This Row],[GamesPlayed]], 82))</f>
        <v>72.25</v>
      </c>
      <c r="Z331" s="4">
        <f>Games[[#This Row],[K]]*Games[[#This Row],[POMult]]</f>
        <v>72.25</v>
      </c>
      <c r="AA331" s="4">
        <f>(Games[[#This Row],[Keff]]*Games[[#This Row],[MOVMult]])*(Games[[#This Row],[Result]]-Games[[#This Row],[ExpectedWin%]])</f>
        <v>-18.417221399355792</v>
      </c>
      <c r="AB331" s="4">
        <f>Games[[#This Row],[PreGmRate]]+Games[[#This Row],[RatingChange]]</f>
        <v>1458.6038362833967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45866</v>
      </c>
      <c r="B332" s="2">
        <v>2025</v>
      </c>
      <c r="C332" s="2">
        <f>COUNTIFS(Games[Team],Games[[#This Row],[Team]],Games[Season],Games[[#This Row],[Season]],Games[Date],"&lt;=" &amp; Games[[#This Row],[Date]])</f>
        <v>27</v>
      </c>
      <c r="D332" s="2" t="s">
        <v>79</v>
      </c>
      <c r="E332" s="2" t="s">
        <v>80</v>
      </c>
      <c r="F332" s="1" t="s">
        <v>71</v>
      </c>
      <c r="G332" s="1" t="s">
        <v>74</v>
      </c>
      <c r="H332" s="1" t="s">
        <v>81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2" s="2">
        <f>Games[[#This Row],[DaysOff]]-Games[[#This Row],[OppDaysOff]]</f>
        <v>1</v>
      </c>
      <c r="L332" s="2">
        <f>Games[[#This Row],[OppDaysOff]]-Games[[#This Row],[DaysOff]]</f>
        <v>-1</v>
      </c>
      <c r="M332" s="1">
        <f>MAX(-16, MIN(16, Games[[#This Row],[RestDiff]]*8))</f>
        <v>8</v>
      </c>
      <c r="N332" s="1">
        <f>MAX(-16, MIN(16, Games[[#This Row],[OppRestDiff]]*8))</f>
        <v>-8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1538.089237153139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1353.7240671281106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0.66146996602425256</v>
      </c>
      <c r="R332" s="1">
        <v>101</v>
      </c>
      <c r="S332" s="1">
        <v>85</v>
      </c>
      <c r="T332" s="1">
        <v>0</v>
      </c>
      <c r="U332" s="1">
        <f>Games[[#This Row],[PointsFor]]-Games[[#This Row],[PointsAgainst]]</f>
        <v>16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0.44882900277304782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2" s="9">
        <f>MAX(kmin, kmax - 0.15 * MIN(Games[[#This Row],[GamesPlayed]], 82))</f>
        <v>71.95</v>
      </c>
      <c r="Z332" s="4">
        <f>Games[[#This Row],[K]]*Games[[#This Row],[POMult]]</f>
        <v>71.95</v>
      </c>
      <c r="AA332" s="4">
        <f>(Games[[#This Row],[Keff]]*Games[[#This Row],[MOVMult]])*(Games[[#This Row],[Result]]-Games[[#This Row],[ExpectedWin%]])</f>
        <v>10.932233919302469</v>
      </c>
      <c r="AB332" s="4">
        <f>Games[[#This Row],[PreGmRate]]+Games[[#This Row],[RatingChange]]</f>
        <v>1549.0214710724415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45866</v>
      </c>
      <c r="B333" s="2">
        <v>2025</v>
      </c>
      <c r="C333" s="2">
        <f>COUNTIFS(Games[Team],Games[[#This Row],[Team]],Games[Season],Games[[#This Row],[Season]],Games[Date],"&lt;=" &amp; Games[[#This Row],[Date]])</f>
        <v>25</v>
      </c>
      <c r="D333" s="2" t="s">
        <v>79</v>
      </c>
      <c r="E333" s="2" t="s">
        <v>80</v>
      </c>
      <c r="F333" s="1" t="s">
        <v>74</v>
      </c>
      <c r="G333" s="1" t="s">
        <v>71</v>
      </c>
      <c r="H333" s="1" t="s">
        <v>82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3" s="2">
        <f>Games[[#This Row],[DaysOff]]-Games[[#This Row],[OppDaysOff]]</f>
        <v>-1</v>
      </c>
      <c r="L333" s="2">
        <f>Games[[#This Row],[OppDaysOff]]-Games[[#This Row],[DaysOff]]</f>
        <v>1</v>
      </c>
      <c r="M333" s="1">
        <f>MAX(-16, MIN(16, Games[[#This Row],[RestDiff]]*8))</f>
        <v>-8</v>
      </c>
      <c r="N333" s="1">
        <f>MAX(-16, MIN(16, Games[[#This Row],[OppRestDiff]]*8))</f>
        <v>8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1353.7240671281106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1538.089237153139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0.33853003397574755</v>
      </c>
      <c r="R333" s="1">
        <v>85</v>
      </c>
      <c r="S333" s="1">
        <v>101</v>
      </c>
      <c r="T333" s="1">
        <v>0</v>
      </c>
      <c r="U333" s="1">
        <f>Games[[#This Row],[PointsFor]]-Games[[#This Row],[PointsAgainst]]</f>
        <v>-16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0.44882900277304782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3" s="9">
        <f>MAX(kmin, kmax - 0.15 * MIN(Games[[#This Row],[GamesPlayed]], 82))</f>
        <v>72.25</v>
      </c>
      <c r="Z333" s="4">
        <f>Games[[#This Row],[K]]*Games[[#This Row],[POMult]]</f>
        <v>72.25</v>
      </c>
      <c r="AA333" s="4">
        <f>(Games[[#This Row],[Keff]]*Games[[#This Row],[MOVMult]])*(Games[[#This Row],[Result]]-Games[[#This Row],[ExpectedWin%]])</f>
        <v>-10.977816548569891</v>
      </c>
      <c r="AB333" s="4">
        <f>Games[[#This Row],[PreGmRate]]+Games[[#This Row],[RatingChange]]</f>
        <v>1342.7462505795406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45866</v>
      </c>
      <c r="B334" s="2">
        <v>2025</v>
      </c>
      <c r="C334" s="2">
        <f>COUNTIFS(Games[Team],Games[[#This Row],[Team]],Games[Season],Games[[#This Row],[Season]],Games[Date],"&lt;=" &amp; Games[[#This Row],[Date]])</f>
        <v>25</v>
      </c>
      <c r="D334" s="2" t="s">
        <v>79</v>
      </c>
      <c r="E334" s="2" t="s">
        <v>80</v>
      </c>
      <c r="F334" s="1" t="s">
        <v>60</v>
      </c>
      <c r="G334" s="1" t="s">
        <v>85</v>
      </c>
      <c r="H334" s="1" t="s">
        <v>81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4" s="2">
        <f>Games[[#This Row],[DaysOff]]-Games[[#This Row],[OppDaysOff]]</f>
        <v>1</v>
      </c>
      <c r="L334" s="2">
        <f>Games[[#This Row],[OppDaysOff]]-Games[[#This Row],[DaysOff]]</f>
        <v>-1</v>
      </c>
      <c r="M334" s="1">
        <f>MAX(-16, MIN(16, Games[[#This Row],[RestDiff]]*8))</f>
        <v>8</v>
      </c>
      <c r="N334" s="1">
        <f>MAX(-16, MIN(16, Games[[#This Row],[OppRestDiff]]*8))</f>
        <v>-8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1634.7550634835693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1368.2500125848755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0.75817262054453916</v>
      </c>
      <c r="R334" s="1">
        <v>82</v>
      </c>
      <c r="S334" s="1">
        <v>92</v>
      </c>
      <c r="T334" s="1">
        <v>0</v>
      </c>
      <c r="U334" s="1">
        <f>Games[[#This Row],[PointsFor]]-Games[[#This Row],[PointsAgainst]]</f>
        <v>-10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0.34623517927032121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4" s="9">
        <f>MAX(kmin, kmax - 0.15 * MIN(Games[[#This Row],[GamesPlayed]], 82))</f>
        <v>72.25</v>
      </c>
      <c r="Z334" s="4">
        <f>Games[[#This Row],[K]]*Games[[#This Row],[POMult]]</f>
        <v>72.25</v>
      </c>
      <c r="AA334" s="4">
        <f>(Games[[#This Row],[Keff]]*Games[[#This Row],[MOVMult]])*(Games[[#This Row],[Result]]-Games[[#This Row],[ExpectedWin%]])</f>
        <v>-18.96606089812834</v>
      </c>
      <c r="AB334" s="4">
        <f>Games[[#This Row],[PreGmRate]]+Games[[#This Row],[RatingChange]]</f>
        <v>1615.789002585441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45866</v>
      </c>
      <c r="B335" s="2">
        <v>2025</v>
      </c>
      <c r="C335" s="2">
        <f>COUNTIFS(Games[Team],Games[[#This Row],[Team]],Games[Season],Games[[#This Row],[Season]],Games[Date],"&lt;=" &amp; Games[[#This Row],[Date]])</f>
        <v>27</v>
      </c>
      <c r="D335" s="2" t="s">
        <v>79</v>
      </c>
      <c r="E335" s="2" t="s">
        <v>80</v>
      </c>
      <c r="F335" s="1" t="s">
        <v>85</v>
      </c>
      <c r="G335" s="1" t="s">
        <v>60</v>
      </c>
      <c r="H335" s="1" t="s">
        <v>82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5" s="2">
        <f>Games[[#This Row],[DaysOff]]-Games[[#This Row],[OppDaysOff]]</f>
        <v>-1</v>
      </c>
      <c r="L335" s="2">
        <f>Games[[#This Row],[OppDaysOff]]-Games[[#This Row],[DaysOff]]</f>
        <v>1</v>
      </c>
      <c r="M335" s="1">
        <f>MAX(-16, MIN(16, Games[[#This Row],[RestDiff]]*8))</f>
        <v>-8</v>
      </c>
      <c r="N335" s="1">
        <f>MAX(-16, MIN(16, Games[[#This Row],[OppRestDiff]]*8))</f>
        <v>8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1368.2500125848755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1634.7550634835693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0.24182737945546079</v>
      </c>
      <c r="R335" s="1">
        <v>92</v>
      </c>
      <c r="S335" s="1">
        <v>82</v>
      </c>
      <c r="T335" s="1">
        <v>0</v>
      </c>
      <c r="U335" s="1">
        <f>Games[[#This Row],[PointsFor]]-Games[[#This Row],[PointsAgainst]]</f>
        <v>10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0.34623517927032121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5" s="9">
        <f>MAX(kmin, kmax - 0.15 * MIN(Games[[#This Row],[GamesPlayed]], 82))</f>
        <v>71.95</v>
      </c>
      <c r="Z335" s="4">
        <f>Games[[#This Row],[K]]*Games[[#This Row],[POMult]]</f>
        <v>71.95</v>
      </c>
      <c r="AA335" s="4">
        <f>(Games[[#This Row],[Keff]]*Games[[#This Row],[MOVMult]])*(Games[[#This Row],[Result]]-Games[[#This Row],[ExpectedWin%]])</f>
        <v>18.887309088170714</v>
      </c>
      <c r="AB335" s="4">
        <f>Games[[#This Row],[PreGmRate]]+Games[[#This Row],[RatingChange]]</f>
        <v>1387.1373216730462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45867</v>
      </c>
      <c r="B336" s="2">
        <v>2025</v>
      </c>
      <c r="C336" s="2">
        <f>COUNTIFS(Games[Team],Games[[#This Row],[Team]],Games[Season],Games[[#This Row],[Season]],Games[Date],"&lt;=" &amp; Games[[#This Row],[Date]])</f>
        <v>25</v>
      </c>
      <c r="D336" s="2" t="s">
        <v>79</v>
      </c>
      <c r="E336" s="2" t="s">
        <v>80</v>
      </c>
      <c r="F336" s="1" t="s">
        <v>88</v>
      </c>
      <c r="G336" s="1" t="s">
        <v>77</v>
      </c>
      <c r="H336" s="1" t="s">
        <v>81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1494.0358913025229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1564.6530532694669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0.29109993632615788</v>
      </c>
      <c r="R336" s="1">
        <v>77</v>
      </c>
      <c r="S336" s="1">
        <v>75</v>
      </c>
      <c r="T336" s="1">
        <v>0</v>
      </c>
      <c r="U336" s="1">
        <f>Games[[#This Row],[PointsFor]]-Games[[#This Row],[PointsAgainst]]</f>
        <v>2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0.25295548855491179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6" s="9">
        <f>MAX(kmin, kmax - 0.15 * MIN(Games[[#This Row],[GamesPlayed]], 82))</f>
        <v>72.25</v>
      </c>
      <c r="Z336" s="4">
        <f>Games[[#This Row],[K]]*Games[[#This Row],[POMult]]</f>
        <v>72.25</v>
      </c>
      <c r="AA336" s="4">
        <f>(Games[[#This Row],[Keff]]*Games[[#This Row],[MOVMult]])*(Games[[#This Row],[Result]]-Games[[#This Row],[ExpectedWin%]])</f>
        <v>12.955881700397992</v>
      </c>
      <c r="AB336" s="4">
        <f>Games[[#This Row],[PreGmRate]]+Games[[#This Row],[RatingChange]]</f>
        <v>1506.991773002921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45867</v>
      </c>
      <c r="B337" s="2">
        <v>2025</v>
      </c>
      <c r="C337" s="2">
        <f>COUNTIFS(Games[Team],Games[[#This Row],[Team]],Games[Season],Games[[#This Row],[Season]],Games[Date],"&lt;=" &amp; Games[[#This Row],[Date]])</f>
        <v>26</v>
      </c>
      <c r="D337" s="2" t="s">
        <v>79</v>
      </c>
      <c r="E337" s="2" t="s">
        <v>80</v>
      </c>
      <c r="F337" s="1" t="s">
        <v>77</v>
      </c>
      <c r="G337" s="1" t="s">
        <v>88</v>
      </c>
      <c r="H337" s="1" t="s">
        <v>82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1564.6530532694669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1494.0358913025229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0.70890006367384206</v>
      </c>
      <c r="R337" s="1">
        <v>75</v>
      </c>
      <c r="S337" s="1">
        <v>77</v>
      </c>
      <c r="T337" s="1">
        <v>0</v>
      </c>
      <c r="U337" s="1">
        <f>Games[[#This Row],[PointsFor]]-Games[[#This Row],[PointsAgainst]]</f>
        <v>-2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0.25295548855491179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7" s="9">
        <f>MAX(kmin, kmax - 0.15 * MIN(Games[[#This Row],[GamesPlayed]], 82))</f>
        <v>72.099999999999994</v>
      </c>
      <c r="Z337" s="4">
        <f>Games[[#This Row],[K]]*Games[[#This Row],[POMult]]</f>
        <v>72.099999999999994</v>
      </c>
      <c r="AA337" s="4">
        <f>(Games[[#This Row],[Keff]]*Games[[#This Row],[MOVMult]])*(Games[[#This Row],[Result]]-Games[[#This Row],[ExpectedWin%]])</f>
        <v>-12.928983676106505</v>
      </c>
      <c r="AB337" s="4">
        <f>Games[[#This Row],[PreGmRate]]+Games[[#This Row],[RatingChange]]</f>
        <v>1551.7240695933604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45867</v>
      </c>
      <c r="B338" s="2">
        <v>2025</v>
      </c>
      <c r="C338" s="2">
        <f>COUNTIFS(Games[Team],Games[[#This Row],[Team]],Games[Season],Games[[#This Row],[Season]],Games[Date],"&lt;=" &amp; Games[[#This Row],[Date]])</f>
        <v>27</v>
      </c>
      <c r="D338" s="2" t="s">
        <v>79</v>
      </c>
      <c r="E338" s="2" t="s">
        <v>80</v>
      </c>
      <c r="F338" s="1" t="s">
        <v>86</v>
      </c>
      <c r="G338" s="1" t="s">
        <v>63</v>
      </c>
      <c r="H338" s="1" t="s">
        <v>81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8" s="2">
        <f>Games[[#This Row],[DaysOff]]-Games[[#This Row],[OppDaysOff]]</f>
        <v>-1</v>
      </c>
      <c r="L338" s="2">
        <f>Games[[#This Row],[OppDaysOff]]-Games[[#This Row],[DaysOff]]</f>
        <v>1</v>
      </c>
      <c r="M338" s="1">
        <f>MAX(-16, MIN(16, Games[[#This Row],[RestDiff]]*8))</f>
        <v>-8</v>
      </c>
      <c r="N338" s="1">
        <f>MAX(-16, MIN(16, Games[[#This Row],[OppRestDiff]]*8))</f>
        <v>8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1535.592210223344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1454.0429966332345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0.47347211727468685</v>
      </c>
      <c r="R338" s="1">
        <v>89</v>
      </c>
      <c r="S338" s="1">
        <v>74</v>
      </c>
      <c r="T338" s="1">
        <v>0</v>
      </c>
      <c r="U338" s="1">
        <f>Games[[#This Row],[PointsFor]]-Games[[#This Row],[PointsAgainst]]</f>
        <v>15</v>
      </c>
      <c r="V338" s="1">
        <f>IF(Games[[#This Row],[MOV]]&gt;0,1,IF(Games[[#This Row],[MOV]]=0,0.5,0))</f>
        <v>1</v>
      </c>
      <c r="W338" s="4">
        <f>((ABS(Games[[#This Row],[MOV]])+5)^0.6)/(12+0.01*(ABS(Games[[#This Row],[PreGmRate]]-Games[[#This Row],[OppPreGmRate]])))*IF(Games[[#This Row],[OT]]=1,0.9,1)</f>
        <v>0.47085014547674886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8" s="9">
        <f>MAX(kmin, kmax - 0.15 * MIN(Games[[#This Row],[GamesPlayed]], 82))</f>
        <v>71.95</v>
      </c>
      <c r="Z338" s="4">
        <f>Games[[#This Row],[K]]*Games[[#This Row],[POMult]]</f>
        <v>71.95</v>
      </c>
      <c r="AA338" s="4">
        <f>(Games[[#This Row],[Keff]]*Games[[#This Row],[MOVMult]])*(Games[[#This Row],[Result]]-Games[[#This Row],[ExpectedWin%]])</f>
        <v>17.837536786363096</v>
      </c>
      <c r="AB338" s="4">
        <f>Games[[#This Row],[PreGmRate]]+Games[[#This Row],[RatingChange]]</f>
        <v>1553.4297470097069</v>
      </c>
      <c r="AC338" s="2">
        <f>IF(Games[[#This Row],[Type]]="R",IF(Games[[#This Row],[Result]]&gt;0.5,1,0),0)</f>
        <v>1</v>
      </c>
      <c r="AD338" s="2">
        <f>IF(Games[[#This Row],[Type]]="R",IF(Games[[#This Row],[Result]]&lt;0.5,1,0),0)</f>
        <v>0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45867</v>
      </c>
      <c r="B339" s="2">
        <v>2025</v>
      </c>
      <c r="C339" s="2">
        <f>COUNTIFS(Games[Team],Games[[#This Row],[Team]],Games[Season],Games[[#This Row],[Season]],Games[Date],"&lt;=" &amp; Games[[#This Row],[Date]])</f>
        <v>26</v>
      </c>
      <c r="D339" s="2" t="s">
        <v>79</v>
      </c>
      <c r="E339" s="2" t="s">
        <v>80</v>
      </c>
      <c r="F339" s="1" t="s">
        <v>63</v>
      </c>
      <c r="G339" s="1" t="s">
        <v>86</v>
      </c>
      <c r="H339" s="1" t="s">
        <v>82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1</v>
      </c>
      <c r="L339" s="2">
        <f>Games[[#This Row],[OppDaysOff]]-Games[[#This Row],[DaysOff]]</f>
        <v>-1</v>
      </c>
      <c r="M339" s="1">
        <f>MAX(-16, MIN(16, Games[[#This Row],[RestDiff]]*8))</f>
        <v>8</v>
      </c>
      <c r="N339" s="1">
        <f>MAX(-16, MIN(16, Games[[#This Row],[OppRestDiff]]*8))</f>
        <v>-8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1454.0429966332345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1535.592210223344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0.52652788272531315</v>
      </c>
      <c r="R339" s="1">
        <v>74</v>
      </c>
      <c r="S339" s="1">
        <v>89</v>
      </c>
      <c r="T339" s="1">
        <v>0</v>
      </c>
      <c r="U339" s="1">
        <f>Games[[#This Row],[PointsFor]]-Games[[#This Row],[PointsAgainst]]</f>
        <v>-15</v>
      </c>
      <c r="V339" s="1">
        <f>IF(Games[[#This Row],[MOV]]&gt;0,1,IF(Games[[#This Row],[MOV]]=0,0.5,0))</f>
        <v>0</v>
      </c>
      <c r="W339" s="4">
        <f>((ABS(Games[[#This Row],[MOV]])+5)^0.6)/(12+0.01*(ABS(Games[[#This Row],[PreGmRate]]-Games[[#This Row],[OppPreGmRate]])))*IF(Games[[#This Row],[OT]]=1,0.9,1)</f>
        <v>0.47085014547674886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9" s="9">
        <f>MAX(kmin, kmax - 0.15 * MIN(Games[[#This Row],[GamesPlayed]], 82))</f>
        <v>72.099999999999994</v>
      </c>
      <c r="Z339" s="4">
        <f>Games[[#This Row],[K]]*Games[[#This Row],[POMult]]</f>
        <v>72.099999999999994</v>
      </c>
      <c r="AA339" s="4">
        <f>(Games[[#This Row],[Keff]]*Games[[#This Row],[MOVMult]])*(Games[[#This Row],[Result]]-Games[[#This Row],[ExpectedWin%]])</f>
        <v>-17.87472414588991</v>
      </c>
      <c r="AB339" s="4">
        <f>Games[[#This Row],[PreGmRate]]+Games[[#This Row],[RatingChange]]</f>
        <v>1436.1682724873444</v>
      </c>
      <c r="AC339" s="2">
        <f>IF(Games[[#This Row],[Type]]="R",IF(Games[[#This Row],[Result]]&gt;0.5,1,0),0)</f>
        <v>0</v>
      </c>
      <c r="AD339" s="2">
        <f>IF(Games[[#This Row],[Type]]="R",IF(Games[[#This Row],[Result]]&lt;0.5,1,0),0)</f>
        <v>1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45867</v>
      </c>
      <c r="B340" s="2">
        <v>2025</v>
      </c>
      <c r="C340" s="2">
        <f>COUNTIFS(Games[Team],Games[[#This Row],[Team]],Games[Season],Games[[#This Row],[Season]],Games[Date],"&lt;=" &amp; Games[[#This Row],[Date]])</f>
        <v>26</v>
      </c>
      <c r="D340" s="2" t="s">
        <v>79</v>
      </c>
      <c r="E340" s="2" t="s">
        <v>80</v>
      </c>
      <c r="F340" s="1" t="s">
        <v>75</v>
      </c>
      <c r="G340" s="1" t="s">
        <v>65</v>
      </c>
      <c r="H340" s="1" t="s">
        <v>81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1340.8325321630207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1458.6038362833967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0.2383968327201198</v>
      </c>
      <c r="R340" s="1">
        <v>86</v>
      </c>
      <c r="S340" s="1">
        <v>103</v>
      </c>
      <c r="T340" s="1">
        <v>0</v>
      </c>
      <c r="U340" s="1">
        <f>Games[[#This Row],[PointsFor]]-Games[[#This Row],[PointsAgainst]]</f>
        <v>-17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0.48485687987028103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0" s="9">
        <f>MAX(kmin, kmax - 0.15 * MIN(Games[[#This Row],[GamesPlayed]], 82))</f>
        <v>72.099999999999994</v>
      </c>
      <c r="Z340" s="4">
        <f>Games[[#This Row],[K]]*Games[[#This Row],[POMult]]</f>
        <v>72.099999999999994</v>
      </c>
      <c r="AA340" s="4">
        <f>(Games[[#This Row],[Keff]]*Games[[#This Row],[MOVMult]])*(Games[[#This Row],[Result]]-Games[[#This Row],[ExpectedWin%]])</f>
        <v>-8.3339196372700552</v>
      </c>
      <c r="AB340" s="4">
        <f>Games[[#This Row],[PreGmRate]]+Games[[#This Row],[RatingChange]]</f>
        <v>1332.4986125257506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45867</v>
      </c>
      <c r="B341" s="2">
        <v>2025</v>
      </c>
      <c r="C341" s="2">
        <f>COUNTIFS(Games[Team],Games[[#This Row],[Team]],Games[Season],Games[[#This Row],[Season]],Games[Date],"&lt;=" &amp; Games[[#This Row],[Date]])</f>
        <v>26</v>
      </c>
      <c r="D341" s="2" t="s">
        <v>79</v>
      </c>
      <c r="E341" s="2" t="s">
        <v>80</v>
      </c>
      <c r="F341" s="1" t="s">
        <v>65</v>
      </c>
      <c r="G341" s="1" t="s">
        <v>75</v>
      </c>
      <c r="H341" s="1" t="s">
        <v>82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1458.6038362833967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1340.8325321630207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0.7616031672798802</v>
      </c>
      <c r="R341" s="1">
        <v>103</v>
      </c>
      <c r="S341" s="1">
        <v>86</v>
      </c>
      <c r="T341" s="1">
        <v>0</v>
      </c>
      <c r="U341" s="1">
        <f>Games[[#This Row],[PointsFor]]-Games[[#This Row],[PointsAgainst]]</f>
        <v>17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0.48485687987028103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1" s="9">
        <f>MAX(kmin, kmax - 0.15 * MIN(Games[[#This Row],[GamesPlayed]], 82))</f>
        <v>72.099999999999994</v>
      </c>
      <c r="Z341" s="4">
        <f>Games[[#This Row],[K]]*Games[[#This Row],[POMult]]</f>
        <v>72.099999999999994</v>
      </c>
      <c r="AA341" s="4">
        <f>(Games[[#This Row],[Keff]]*Games[[#This Row],[MOVMult]])*(Games[[#This Row],[Result]]-Games[[#This Row],[ExpectedWin%]])</f>
        <v>8.3339196372700552</v>
      </c>
      <c r="AB341" s="4">
        <f>Games[[#This Row],[PreGmRate]]+Games[[#This Row],[RatingChange]]</f>
        <v>1466.9377559206669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45868</v>
      </c>
      <c r="B342" s="2">
        <v>2025</v>
      </c>
      <c r="C342" s="2">
        <f>COUNTIFS(Games[Team],Games[[#This Row],[Team]],Games[Season],Games[[#This Row],[Season]],Games[Date],"&lt;=" &amp; Games[[#This Row],[Date]])</f>
        <v>27</v>
      </c>
      <c r="D342" s="2" t="s">
        <v>79</v>
      </c>
      <c r="E342" s="2" t="s">
        <v>80</v>
      </c>
      <c r="F342" s="1" t="s">
        <v>77</v>
      </c>
      <c r="G342" s="1" t="s">
        <v>85</v>
      </c>
      <c r="H342" s="1" t="s">
        <v>81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-1</v>
      </c>
      <c r="L342" s="2">
        <f>Games[[#This Row],[OppDaysOff]]-Games[[#This Row],[DaysOff]]</f>
        <v>1</v>
      </c>
      <c r="M342" s="1">
        <f>MAX(-16, MIN(16, Games[[#This Row],[RestDiff]]*8))</f>
        <v>-8</v>
      </c>
      <c r="N342" s="1">
        <f>MAX(-16, MIN(16, Games[[#This Row],[OppRestDiff]]*8))</f>
        <v>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1551.7240695933604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1387.1373216730462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0.59189172628458131</v>
      </c>
      <c r="R342" s="1">
        <v>88</v>
      </c>
      <c r="S342" s="1">
        <v>85</v>
      </c>
      <c r="T342" s="1">
        <v>0</v>
      </c>
      <c r="U342" s="1">
        <f>Games[[#This Row],[PointsFor]]-Games[[#This Row],[PointsAgainst]]</f>
        <v>3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0.25518364871207455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2" s="9">
        <f>MAX(kmin, kmax - 0.15 * MIN(Games[[#This Row],[GamesPlayed]], 82))</f>
        <v>71.95</v>
      </c>
      <c r="Z342" s="4">
        <f>Games[[#This Row],[K]]*Games[[#This Row],[POMult]]</f>
        <v>71.95</v>
      </c>
      <c r="AA342" s="4">
        <f>(Games[[#This Row],[Keff]]*Games[[#This Row],[MOVMult]])*(Games[[#This Row],[Result]]-Games[[#This Row],[ExpectedWin%]])</f>
        <v>7.4930570737348194</v>
      </c>
      <c r="AB342" s="4">
        <f>Games[[#This Row],[PreGmRate]]+Games[[#This Row],[RatingChange]]</f>
        <v>1559.2171266670953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45868</v>
      </c>
      <c r="B343" s="2">
        <v>2025</v>
      </c>
      <c r="C343" s="2">
        <f>COUNTIFS(Games[Team],Games[[#This Row],[Team]],Games[Season],Games[[#This Row],[Season]],Games[Date],"&lt;=" &amp; Games[[#This Row],[Date]])</f>
        <v>28</v>
      </c>
      <c r="D343" s="2" t="s">
        <v>79</v>
      </c>
      <c r="E343" s="2" t="s">
        <v>80</v>
      </c>
      <c r="F343" s="1" t="s">
        <v>85</v>
      </c>
      <c r="G343" s="1" t="s">
        <v>77</v>
      </c>
      <c r="H343" s="1" t="s">
        <v>82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3" s="2">
        <f>Games[[#This Row],[DaysOff]]-Games[[#This Row],[OppDaysOff]]</f>
        <v>1</v>
      </c>
      <c r="L343" s="2">
        <f>Games[[#This Row],[OppDaysOff]]-Games[[#This Row],[DaysOff]]</f>
        <v>-1</v>
      </c>
      <c r="M343" s="1">
        <f>MAX(-16, MIN(16, Games[[#This Row],[RestDiff]]*8))</f>
        <v>8</v>
      </c>
      <c r="N343" s="1">
        <f>MAX(-16, MIN(16, Games[[#This Row],[OppRestDiff]]*8))</f>
        <v>-8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1387.1373216730462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1551.7240695933604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0.40810827371541863</v>
      </c>
      <c r="R343" s="1">
        <v>85</v>
      </c>
      <c r="S343" s="1">
        <v>88</v>
      </c>
      <c r="T343" s="1">
        <v>0</v>
      </c>
      <c r="U343" s="1">
        <f>Games[[#This Row],[PointsFor]]-Games[[#This Row],[PointsAgainst]]</f>
        <v>-3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0.25518364871207455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3" s="9">
        <f>MAX(kmin, kmax - 0.15 * MIN(Games[[#This Row],[GamesPlayed]], 82))</f>
        <v>71.8</v>
      </c>
      <c r="Z343" s="4">
        <f>Games[[#This Row],[K]]*Games[[#This Row],[POMult]]</f>
        <v>71.8</v>
      </c>
      <c r="AA343" s="4">
        <f>(Games[[#This Row],[Keff]]*Games[[#This Row],[MOVMult]])*(Games[[#This Row],[Result]]-Games[[#This Row],[ExpectedWin%]])</f>
        <v>-7.477435689981375</v>
      </c>
      <c r="AB343" s="4">
        <f>Games[[#This Row],[PreGmRate]]+Games[[#This Row],[RatingChange]]</f>
        <v>1379.6598859830649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45868</v>
      </c>
      <c r="B344" s="2">
        <v>2025</v>
      </c>
      <c r="C344" s="2">
        <f>COUNTIFS(Games[Team],Games[[#This Row],[Team]],Games[Season],Games[[#This Row],[Season]],Games[Date],"&lt;=" &amp; Games[[#This Row],[Date]])</f>
        <v>26</v>
      </c>
      <c r="D344" s="2" t="s">
        <v>79</v>
      </c>
      <c r="E344" s="2" t="s">
        <v>80</v>
      </c>
      <c r="F344" s="1" t="s">
        <v>40</v>
      </c>
      <c r="G344" s="1" t="s">
        <v>69</v>
      </c>
      <c r="H344" s="1" t="s">
        <v>81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4" s="2">
        <f>Games[[#This Row],[DaysOff]]-Games[[#This Row],[OppDaysOff]]</f>
        <v>0</v>
      </c>
      <c r="L344" s="2">
        <f>Games[[#This Row],[OppDaysOff]]-Games[[#This Row],[DaysOff]]</f>
        <v>0</v>
      </c>
      <c r="M344" s="1">
        <f>MAX(-16, MIN(16, Games[[#This Row],[RestDiff]]*8))</f>
        <v>0</v>
      </c>
      <c r="N344" s="1">
        <f>MAX(-16, MIN(16, Games[[#This Row],[OppRestDiff]]*8))</f>
        <v>0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1552.510523230739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1554.5497822457362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0.3786501050832658</v>
      </c>
      <c r="R344" s="1">
        <v>101</v>
      </c>
      <c r="S344" s="1">
        <v>107</v>
      </c>
      <c r="T344" s="1">
        <v>0</v>
      </c>
      <c r="U344" s="1">
        <f>Games[[#This Row],[PointsFor]]-Games[[#This Row],[PointsAgainst]]</f>
        <v>-6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0.35068481345161345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4" s="9">
        <f>MAX(kmin, kmax - 0.15 * MIN(Games[[#This Row],[GamesPlayed]], 82))</f>
        <v>72.099999999999994</v>
      </c>
      <c r="Z344" s="4">
        <f>Games[[#This Row],[K]]*Games[[#This Row],[POMult]]</f>
        <v>72.099999999999994</v>
      </c>
      <c r="AA344" s="4">
        <f>(Games[[#This Row],[Keff]]*Games[[#This Row],[MOVMult]])*(Games[[#This Row],[Result]]-Games[[#This Row],[ExpectedWin%]])</f>
        <v>-9.573931269594695</v>
      </c>
      <c r="AB344" s="4">
        <f>Games[[#This Row],[PreGmRate]]+Games[[#This Row],[RatingChange]]</f>
        <v>1542.9365919611444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45868</v>
      </c>
      <c r="B345" s="2">
        <v>2025</v>
      </c>
      <c r="C345" s="2">
        <f>COUNTIFS(Games[Team],Games[[#This Row],[Team]],Games[Season],Games[[#This Row],[Season]],Games[Date],"&lt;=" &amp; Games[[#This Row],[Date]])</f>
        <v>28</v>
      </c>
      <c r="D345" s="2" t="s">
        <v>79</v>
      </c>
      <c r="E345" s="2" t="s">
        <v>80</v>
      </c>
      <c r="F345" s="1" t="s">
        <v>69</v>
      </c>
      <c r="G345" s="1" t="s">
        <v>40</v>
      </c>
      <c r="H345" s="1" t="s">
        <v>82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5" s="2">
        <f>Games[[#This Row],[DaysOff]]-Games[[#This Row],[OppDaysOff]]</f>
        <v>0</v>
      </c>
      <c r="L345" s="2">
        <f>Games[[#This Row],[OppDaysOff]]-Games[[#This Row],[DaysOff]]</f>
        <v>0</v>
      </c>
      <c r="M345" s="1">
        <f>MAX(-16, MIN(16, Games[[#This Row],[RestDiff]]*8))</f>
        <v>0</v>
      </c>
      <c r="N345" s="1">
        <f>MAX(-16, MIN(16, Games[[#This Row],[OppRestDiff]]*8))</f>
        <v>0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1554.5497822457362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1552.510523230739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0.6213498949167342</v>
      </c>
      <c r="R345" s="1">
        <v>107</v>
      </c>
      <c r="S345" s="1">
        <v>101</v>
      </c>
      <c r="T345" s="1">
        <v>0</v>
      </c>
      <c r="U345" s="1">
        <f>Games[[#This Row],[PointsFor]]-Games[[#This Row],[PointsAgainst]]</f>
        <v>6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0.35068481345161345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5" s="9">
        <f>MAX(kmin, kmax - 0.15 * MIN(Games[[#This Row],[GamesPlayed]], 82))</f>
        <v>71.8</v>
      </c>
      <c r="Z345" s="4">
        <f>Games[[#This Row],[K]]*Games[[#This Row],[POMult]]</f>
        <v>71.8</v>
      </c>
      <c r="AA345" s="4">
        <f>(Games[[#This Row],[Keff]]*Games[[#This Row],[MOVMult]])*(Games[[#This Row],[Result]]-Games[[#This Row],[ExpectedWin%]])</f>
        <v>9.534095217155329</v>
      </c>
      <c r="AB345" s="4">
        <f>Games[[#This Row],[PreGmRate]]+Games[[#This Row],[RatingChange]]</f>
        <v>1564.0838774628915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45868</v>
      </c>
      <c r="B346" s="2">
        <v>2025</v>
      </c>
      <c r="C346" s="2">
        <f>COUNTIFS(Games[Team],Games[[#This Row],[Team]],Games[Season],Games[[#This Row],[Season]],Games[Date],"&lt;=" &amp; Games[[#This Row],[Date]])</f>
        <v>26</v>
      </c>
      <c r="D346" s="2" t="s">
        <v>79</v>
      </c>
      <c r="E346" s="2" t="s">
        <v>80</v>
      </c>
      <c r="F346" s="1" t="s">
        <v>60</v>
      </c>
      <c r="G346" s="1" t="s">
        <v>67</v>
      </c>
      <c r="H346" s="1" t="s">
        <v>81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6" s="2">
        <f>Games[[#This Row],[DaysOff]]-Games[[#This Row],[OppDaysOff]]</f>
        <v>-1</v>
      </c>
      <c r="L346" s="2">
        <f>Games[[#This Row],[OppDaysOff]]-Games[[#This Row],[DaysOff]]</f>
        <v>1</v>
      </c>
      <c r="M346" s="1">
        <f>MAX(-16, MIN(16, Games[[#This Row],[RestDiff]]*8))</f>
        <v>-8</v>
      </c>
      <c r="N346" s="1">
        <f>MAX(-16, MIN(16, Games[[#This Row],[OppRestDiff]]*8))</f>
        <v>8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1615.789002585441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1649.2556216775745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0.31684791340612789</v>
      </c>
      <c r="R346" s="1">
        <v>93</v>
      </c>
      <c r="S346" s="1">
        <v>100</v>
      </c>
      <c r="T346" s="1">
        <v>0</v>
      </c>
      <c r="U346" s="1">
        <f>Games[[#This Row],[PointsFor]]-Games[[#This Row],[PointsAgainst]]</f>
        <v>-7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0.36006536383730864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6" s="9">
        <f>MAX(kmin, kmax - 0.15 * MIN(Games[[#This Row],[GamesPlayed]], 82))</f>
        <v>72.099999999999994</v>
      </c>
      <c r="Z346" s="4">
        <f>Games[[#This Row],[K]]*Games[[#This Row],[POMult]]</f>
        <v>72.099999999999994</v>
      </c>
      <c r="AA346" s="4">
        <f>(Games[[#This Row],[Keff]]*Games[[#This Row],[MOVMult]])*(Games[[#This Row],[Result]]-Games[[#This Row],[ExpectedWin%]])</f>
        <v>-8.2255976598823697</v>
      </c>
      <c r="AB346" s="4">
        <f>Games[[#This Row],[PreGmRate]]+Games[[#This Row],[RatingChange]]</f>
        <v>1607.5634049255586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45868</v>
      </c>
      <c r="B347" s="2">
        <v>2025</v>
      </c>
      <c r="C347" s="2">
        <f>COUNTIFS(Games[Team],Games[[#This Row],[Team]],Games[Season],Games[[#This Row],[Season]],Games[Date],"&lt;=" &amp; Games[[#This Row],[Date]])</f>
        <v>29</v>
      </c>
      <c r="D347" s="2" t="s">
        <v>79</v>
      </c>
      <c r="E347" s="2" t="s">
        <v>80</v>
      </c>
      <c r="F347" s="1" t="s">
        <v>67</v>
      </c>
      <c r="G347" s="1" t="s">
        <v>60</v>
      </c>
      <c r="H347" s="1" t="s">
        <v>82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1</v>
      </c>
      <c r="L347" s="2">
        <f>Games[[#This Row],[OppDaysOff]]-Games[[#This Row],[DaysOff]]</f>
        <v>-1</v>
      </c>
      <c r="M347" s="1">
        <f>MAX(-16, MIN(16, Games[[#This Row],[RestDiff]]*8))</f>
        <v>8</v>
      </c>
      <c r="N347" s="1">
        <f>MAX(-16, MIN(16, Games[[#This Row],[OppRestDiff]]*8))</f>
        <v>-8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1649.2556216775745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1615.789002585441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0.68315208659387217</v>
      </c>
      <c r="R347" s="1">
        <v>100</v>
      </c>
      <c r="S347" s="1">
        <v>93</v>
      </c>
      <c r="T347" s="1">
        <v>0</v>
      </c>
      <c r="U347" s="1">
        <f>Games[[#This Row],[PointsFor]]-Games[[#This Row],[PointsAgainst]]</f>
        <v>7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0.36006536383730864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7" s="9">
        <f>MAX(kmin, kmax - 0.15 * MIN(Games[[#This Row],[GamesPlayed]], 82))</f>
        <v>71.650000000000006</v>
      </c>
      <c r="Z347" s="4">
        <f>Games[[#This Row],[K]]*Games[[#This Row],[POMult]]</f>
        <v>71.650000000000006</v>
      </c>
      <c r="AA347" s="4">
        <f>(Games[[#This Row],[Keff]]*Games[[#This Row],[MOVMult]])*(Games[[#This Row],[Result]]-Games[[#This Row],[ExpectedWin%]])</f>
        <v>8.1742589782326185</v>
      </c>
      <c r="AB347" s="4">
        <f>Games[[#This Row],[PreGmRate]]+Games[[#This Row],[RatingChange]]</f>
        <v>1657.4298806558072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45869</v>
      </c>
      <c r="B348" s="2">
        <v>2025</v>
      </c>
      <c r="C348" s="2">
        <f>COUNTIFS(Games[Team],Games[[#This Row],[Team]],Games[Season],Games[[#This Row],[Season]],Games[Date],"&lt;=" &amp; Games[[#This Row],[Date]])</f>
        <v>26</v>
      </c>
      <c r="D348" s="2" t="s">
        <v>79</v>
      </c>
      <c r="E348" s="2" t="s">
        <v>80</v>
      </c>
      <c r="F348" s="1" t="s">
        <v>88</v>
      </c>
      <c r="G348" s="1" t="s">
        <v>65</v>
      </c>
      <c r="H348" s="1" t="s">
        <v>81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1506.991773002921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1466.9377559206669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0.43709177667271104</v>
      </c>
      <c r="R348" s="1">
        <v>68</v>
      </c>
      <c r="S348" s="1">
        <v>67</v>
      </c>
      <c r="T348" s="1">
        <v>0</v>
      </c>
      <c r="U348" s="1">
        <f>Games[[#This Row],[PointsFor]]-Games[[#This Row],[PointsAgainst]]</f>
        <v>1</v>
      </c>
      <c r="V348" s="1">
        <f>IF(Games[[#This Row],[MOV]]&gt;0,1,IF(Games[[#This Row],[MOV]]=0,0.5,0))</f>
        <v>1</v>
      </c>
      <c r="W348" s="4">
        <f>((ABS(Games[[#This Row],[MOV]])+5)^0.6)/(12+0.01*(ABS(Games[[#This Row],[PreGmRate]]-Games[[#This Row],[OppPreGmRate]])))*IF(Games[[#This Row],[OT]]=1,0.9,1)</f>
        <v>0.23629261396837689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8" s="9">
        <f>MAX(kmin, kmax - 0.15 * MIN(Games[[#This Row],[GamesPlayed]], 82))</f>
        <v>72.099999999999994</v>
      </c>
      <c r="Z348" s="4">
        <f>Games[[#This Row],[K]]*Games[[#This Row],[POMult]]</f>
        <v>72.099999999999994</v>
      </c>
      <c r="AA348" s="4">
        <f>(Games[[#This Row],[Keff]]*Games[[#This Row],[MOVMult]])*(Games[[#This Row],[Result]]-Games[[#This Row],[ExpectedWin%]])</f>
        <v>9.5900971025810264</v>
      </c>
      <c r="AB348" s="4">
        <f>Games[[#This Row],[PreGmRate]]+Games[[#This Row],[RatingChange]]</f>
        <v>1516.581870105502</v>
      </c>
      <c r="AC348" s="2">
        <f>IF(Games[[#This Row],[Type]]="R",IF(Games[[#This Row],[Result]]&gt;0.5,1,0),0)</f>
        <v>1</v>
      </c>
      <c r="AD348" s="2">
        <f>IF(Games[[#This Row],[Type]]="R",IF(Games[[#This Row],[Result]]&lt;0.5,1,0),0)</f>
        <v>0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45869</v>
      </c>
      <c r="B349" s="2">
        <v>2025</v>
      </c>
      <c r="C349" s="2">
        <f>COUNTIFS(Games[Team],Games[[#This Row],[Team]],Games[Season],Games[[#This Row],[Season]],Games[Date],"&lt;=" &amp; Games[[#This Row],[Date]])</f>
        <v>27</v>
      </c>
      <c r="D349" s="2" t="s">
        <v>79</v>
      </c>
      <c r="E349" s="2" t="s">
        <v>80</v>
      </c>
      <c r="F349" s="1" t="s">
        <v>65</v>
      </c>
      <c r="G349" s="1" t="s">
        <v>88</v>
      </c>
      <c r="H349" s="1" t="s">
        <v>82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1466.9377559206669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1506.991773002921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0.56290822332728896</v>
      </c>
      <c r="R349" s="1">
        <v>67</v>
      </c>
      <c r="S349" s="1">
        <v>68</v>
      </c>
      <c r="T349" s="1">
        <v>0</v>
      </c>
      <c r="U349" s="1">
        <f>Games[[#This Row],[PointsFor]]-Games[[#This Row],[PointsAgainst]]</f>
        <v>-1</v>
      </c>
      <c r="V349" s="1">
        <f>IF(Games[[#This Row],[MOV]]&gt;0,1,IF(Games[[#This Row],[MOV]]=0,0.5,0))</f>
        <v>0</v>
      </c>
      <c r="W349" s="4">
        <f>((ABS(Games[[#This Row],[MOV]])+5)^0.6)/(12+0.01*(ABS(Games[[#This Row],[PreGmRate]]-Games[[#This Row],[OppPreGmRate]])))*IF(Games[[#This Row],[OT]]=1,0.9,1)</f>
        <v>0.23629261396837689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9" s="9">
        <f>MAX(kmin, kmax - 0.15 * MIN(Games[[#This Row],[GamesPlayed]], 82))</f>
        <v>71.95</v>
      </c>
      <c r="Z349" s="4">
        <f>Games[[#This Row],[K]]*Games[[#This Row],[POMult]]</f>
        <v>71.95</v>
      </c>
      <c r="AA349" s="4">
        <f>(Games[[#This Row],[Keff]]*Games[[#This Row],[MOVMult]])*(Games[[#This Row],[Result]]-Games[[#This Row],[ExpectedWin%]])</f>
        <v>-9.5701454442538854</v>
      </c>
      <c r="AB349" s="4">
        <f>Games[[#This Row],[PreGmRate]]+Games[[#This Row],[RatingChange]]</f>
        <v>1457.3676104764129</v>
      </c>
      <c r="AC349" s="2">
        <f>IF(Games[[#This Row],[Type]]="R",IF(Games[[#This Row],[Result]]&gt;0.5,1,0),0)</f>
        <v>0</v>
      </c>
      <c r="AD349" s="2">
        <f>IF(Games[[#This Row],[Type]]="R",IF(Games[[#This Row],[Result]]&lt;0.5,1,0),0)</f>
        <v>1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45870</v>
      </c>
      <c r="B350" s="2">
        <v>2025</v>
      </c>
      <c r="C350" s="2">
        <f>COUNTIFS(Games[Team],Games[[#This Row],[Team]],Games[Season],Games[[#This Row],[Season]],Games[Date],"&lt;=" &amp; Games[[#This Row],[Date]])</f>
        <v>27</v>
      </c>
      <c r="D350" s="2" t="s">
        <v>79</v>
      </c>
      <c r="E350" s="2" t="s">
        <v>80</v>
      </c>
      <c r="F350" s="1" t="s">
        <v>40</v>
      </c>
      <c r="G350" s="1" t="s">
        <v>77</v>
      </c>
      <c r="H350" s="1" t="s">
        <v>81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1542.9365919611444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1559.2171266670953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0.35956304370976155</v>
      </c>
      <c r="R350" s="1">
        <v>72</v>
      </c>
      <c r="S350" s="1">
        <v>95</v>
      </c>
      <c r="T350" s="1">
        <v>0</v>
      </c>
      <c r="U350" s="1">
        <f>Games[[#This Row],[PointsFor]]-Games[[#This Row],[PointsAgainst]]</f>
        <v>-23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0.60710115964557443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0" s="9">
        <f>MAX(kmin, kmax - 0.15 * MIN(Games[[#This Row],[GamesPlayed]], 82))</f>
        <v>71.95</v>
      </c>
      <c r="Z350" s="4">
        <f>Games[[#This Row],[K]]*Games[[#This Row],[POMult]]</f>
        <v>71.95</v>
      </c>
      <c r="AA350" s="4">
        <f>(Games[[#This Row],[Keff]]*Games[[#This Row],[MOVMult]])*(Games[[#This Row],[Result]]-Games[[#This Row],[ExpectedWin%]])</f>
        <v>-15.706047580695886</v>
      </c>
      <c r="AB350" s="4">
        <f>Games[[#This Row],[PreGmRate]]+Games[[#This Row],[RatingChange]]</f>
        <v>1527.2305443804485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45870</v>
      </c>
      <c r="B351" s="2">
        <v>2025</v>
      </c>
      <c r="C351" s="2">
        <f>COUNTIFS(Games[Team],Games[[#This Row],[Team]],Games[Season],Games[[#This Row],[Season]],Games[Date],"&lt;=" &amp; Games[[#This Row],[Date]])</f>
        <v>28</v>
      </c>
      <c r="D351" s="2" t="s">
        <v>79</v>
      </c>
      <c r="E351" s="2" t="s">
        <v>80</v>
      </c>
      <c r="F351" s="1" t="s">
        <v>77</v>
      </c>
      <c r="G351" s="1" t="s">
        <v>40</v>
      </c>
      <c r="H351" s="1" t="s">
        <v>82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1559.2171266670953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1542.9365919611444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0.64043695629023845</v>
      </c>
      <c r="R351" s="1">
        <v>95</v>
      </c>
      <c r="S351" s="1">
        <v>72</v>
      </c>
      <c r="T351" s="1">
        <v>0</v>
      </c>
      <c r="U351" s="1">
        <f>Games[[#This Row],[PointsFor]]-Games[[#This Row],[PointsAgainst]]</f>
        <v>23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0.60710115964557443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1" s="9">
        <f>MAX(kmin, kmax - 0.15 * MIN(Games[[#This Row],[GamesPlayed]], 82))</f>
        <v>71.8</v>
      </c>
      <c r="Z351" s="4">
        <f>Games[[#This Row],[K]]*Games[[#This Row],[POMult]]</f>
        <v>71.8</v>
      </c>
      <c r="AA351" s="4">
        <f>(Games[[#This Row],[Keff]]*Games[[#This Row],[MOVMult]])*(Games[[#This Row],[Result]]-Games[[#This Row],[ExpectedWin%]])</f>
        <v>15.673303909575601</v>
      </c>
      <c r="AB351" s="4">
        <f>Games[[#This Row],[PreGmRate]]+Games[[#This Row],[RatingChange]]</f>
        <v>1574.890430576671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45870</v>
      </c>
      <c r="B352" s="2">
        <v>2025</v>
      </c>
      <c r="C352" s="2">
        <f>COUNTIFS(Games[Team],Games[[#This Row],[Team]],Games[Season],Games[[#This Row],[Season]],Games[Date],"&lt;=" &amp; Games[[#This Row],[Date]])</f>
        <v>27</v>
      </c>
      <c r="D352" s="2" t="s">
        <v>79</v>
      </c>
      <c r="E352" s="2" t="s">
        <v>80</v>
      </c>
      <c r="F352" s="1" t="s">
        <v>88</v>
      </c>
      <c r="G352" s="1" t="s">
        <v>75</v>
      </c>
      <c r="H352" s="1" t="s">
        <v>81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2" s="2">
        <f>Games[[#This Row],[DaysOff]]-Games[[#This Row],[OppDaysOff]]</f>
        <v>-2</v>
      </c>
      <c r="L352" s="2">
        <f>Games[[#This Row],[OppDaysOff]]-Games[[#This Row],[DaysOff]]</f>
        <v>2</v>
      </c>
      <c r="M352" s="1">
        <f>MAX(-16, MIN(16, Games[[#This Row],[RestDiff]]*8))</f>
        <v>-16</v>
      </c>
      <c r="N352" s="1">
        <f>MAX(-16, MIN(16, Games[[#This Row],[OppRestDiff]]*8))</f>
        <v>16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1516.581870105502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1332.4986125257506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0.5967445102203327</v>
      </c>
      <c r="R352" s="1">
        <v>73</v>
      </c>
      <c r="S352" s="1">
        <v>66</v>
      </c>
      <c r="T352" s="1">
        <v>0</v>
      </c>
      <c r="U352" s="1">
        <f>Games[[#This Row],[PointsFor]]-Games[[#This Row],[PointsAgainst]]</f>
        <v>7</v>
      </c>
      <c r="V352" s="1">
        <f>IF(Games[[#This Row],[MOV]]&gt;0,1,IF(Games[[#This Row],[MOV]]=0,0.5,0))</f>
        <v>1</v>
      </c>
      <c r="W352" s="4">
        <f>((ABS(Games[[#This Row],[MOV]])+5)^0.6)/(12+0.01*(ABS(Games[[#This Row],[PreGmRate]]-Games[[#This Row],[OppPreGmRate]])))*IF(Games[[#This Row],[OT]]=1,0.9,1)</f>
        <v>0.32088286925831344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2" s="9">
        <f>MAX(kmin, kmax - 0.15 * MIN(Games[[#This Row],[GamesPlayed]], 82))</f>
        <v>71.95</v>
      </c>
      <c r="Z352" s="4">
        <f>Games[[#This Row],[K]]*Games[[#This Row],[POMult]]</f>
        <v>71.95</v>
      </c>
      <c r="AA352" s="4">
        <f>(Games[[#This Row],[Keff]]*Games[[#This Row],[MOVMult]])*(Games[[#This Row],[Result]]-Games[[#This Row],[ExpectedWin%]])</f>
        <v>9.3101701706057298</v>
      </c>
      <c r="AB352" s="4">
        <f>Games[[#This Row],[PreGmRate]]+Games[[#This Row],[RatingChange]]</f>
        <v>1525.8920402761078</v>
      </c>
      <c r="AC352" s="2">
        <f>IF(Games[[#This Row],[Type]]="R",IF(Games[[#This Row],[Result]]&gt;0.5,1,0),0)</f>
        <v>1</v>
      </c>
      <c r="AD352" s="2">
        <f>IF(Games[[#This Row],[Type]]="R",IF(Games[[#This Row],[Result]]&lt;0.5,1,0),0)</f>
        <v>0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45870</v>
      </c>
      <c r="B353" s="2">
        <v>2025</v>
      </c>
      <c r="C353" s="2">
        <f>COUNTIFS(Games[Team],Games[[#This Row],[Team]],Games[Season],Games[[#This Row],[Season]],Games[Date],"&lt;=" &amp; Games[[#This Row],[Date]])</f>
        <v>27</v>
      </c>
      <c r="D353" s="2" t="s">
        <v>79</v>
      </c>
      <c r="E353" s="2" t="s">
        <v>80</v>
      </c>
      <c r="F353" s="1" t="s">
        <v>75</v>
      </c>
      <c r="G353" s="1" t="s">
        <v>88</v>
      </c>
      <c r="H353" s="1" t="s">
        <v>82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3" s="2">
        <f>Games[[#This Row],[DaysOff]]-Games[[#This Row],[OppDaysOff]]</f>
        <v>2</v>
      </c>
      <c r="L353" s="2">
        <f>Games[[#This Row],[OppDaysOff]]-Games[[#This Row],[DaysOff]]</f>
        <v>-2</v>
      </c>
      <c r="M353" s="1">
        <f>MAX(-16, MIN(16, Games[[#This Row],[RestDiff]]*8))</f>
        <v>16</v>
      </c>
      <c r="N353" s="1">
        <f>MAX(-16, MIN(16, Games[[#This Row],[OppRestDiff]]*8))</f>
        <v>-16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1332.4986125257506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1516.581870105502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0.4032554897796673</v>
      </c>
      <c r="R353" s="1">
        <v>66</v>
      </c>
      <c r="S353" s="1">
        <v>73</v>
      </c>
      <c r="T353" s="1">
        <v>0</v>
      </c>
      <c r="U353" s="1">
        <f>Games[[#This Row],[PointsFor]]-Games[[#This Row],[PointsAgainst]]</f>
        <v>-7</v>
      </c>
      <c r="V353" s="1">
        <f>IF(Games[[#This Row],[MOV]]&gt;0,1,IF(Games[[#This Row],[MOV]]=0,0.5,0))</f>
        <v>0</v>
      </c>
      <c r="W353" s="4">
        <f>((ABS(Games[[#This Row],[MOV]])+5)^0.6)/(12+0.01*(ABS(Games[[#This Row],[PreGmRate]]-Games[[#This Row],[OppPreGmRate]])))*IF(Games[[#This Row],[OT]]=1,0.9,1)</f>
        <v>0.32088286925831344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3" s="9">
        <f>MAX(kmin, kmax - 0.15 * MIN(Games[[#This Row],[GamesPlayed]], 82))</f>
        <v>71.95</v>
      </c>
      <c r="Z353" s="4">
        <f>Games[[#This Row],[K]]*Games[[#This Row],[POMult]]</f>
        <v>71.95</v>
      </c>
      <c r="AA353" s="4">
        <f>(Games[[#This Row],[Keff]]*Games[[#This Row],[MOVMult]])*(Games[[#This Row],[Result]]-Games[[#This Row],[ExpectedWin%]])</f>
        <v>-9.3101701706057298</v>
      </c>
      <c r="AB353" s="4">
        <f>Games[[#This Row],[PreGmRate]]+Games[[#This Row],[RatingChange]]</f>
        <v>1323.1884423551448</v>
      </c>
      <c r="AC353" s="2">
        <f>IF(Games[[#This Row],[Type]]="R",IF(Games[[#This Row],[Result]]&gt;0.5,1,0),0)</f>
        <v>0</v>
      </c>
      <c r="AD353" s="2">
        <f>IF(Games[[#This Row],[Type]]="R",IF(Games[[#This Row],[Result]]&lt;0.5,1,0),0)</f>
        <v>1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45870</v>
      </c>
      <c r="B354" s="2">
        <v>2025</v>
      </c>
      <c r="C354" s="2">
        <f>COUNTIFS(Games[Team],Games[[#This Row],[Team]],Games[Season],Games[[#This Row],[Season]],Games[Date],"&lt;=" &amp; Games[[#This Row],[Date]])</f>
        <v>27</v>
      </c>
      <c r="D354" s="2" t="s">
        <v>79</v>
      </c>
      <c r="E354" s="2" t="s">
        <v>80</v>
      </c>
      <c r="F354" s="1" t="s">
        <v>60</v>
      </c>
      <c r="G354" s="1" t="s">
        <v>74</v>
      </c>
      <c r="H354" s="1" t="s">
        <v>81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4" s="2">
        <f>Games[[#This Row],[DaysOff]]-Games[[#This Row],[OppDaysOff]]</f>
        <v>-2</v>
      </c>
      <c r="L354" s="2">
        <f>Games[[#This Row],[OppDaysOff]]-Games[[#This Row],[DaysOff]]</f>
        <v>2</v>
      </c>
      <c r="M354" s="1">
        <f>MAX(-16, MIN(16, Games[[#This Row],[RestDiff]]*8))</f>
        <v>-16</v>
      </c>
      <c r="N354" s="1">
        <f>MAX(-16, MIN(16, Games[[#This Row],[OppRestDiff]]*8))</f>
        <v>16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1607.5634049255586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1342.7462505795406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0.70196244490765247</v>
      </c>
      <c r="R354" s="1">
        <v>62</v>
      </c>
      <c r="S354" s="1">
        <v>78</v>
      </c>
      <c r="T354" s="1">
        <v>0</v>
      </c>
      <c r="U354" s="1">
        <f>Games[[#This Row],[PointsFor]]-Games[[#This Row],[PointsAgainst]]</f>
        <v>-16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0.42417801900570934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4" s="9">
        <f>MAX(kmin, kmax - 0.15 * MIN(Games[[#This Row],[GamesPlayed]], 82))</f>
        <v>71.95</v>
      </c>
      <c r="Z354" s="4">
        <f>Games[[#This Row],[K]]*Games[[#This Row],[POMult]]</f>
        <v>71.95</v>
      </c>
      <c r="AA354" s="4">
        <f>(Games[[#This Row],[Keff]]*Games[[#This Row],[MOVMult]])*(Games[[#This Row],[Result]]-Games[[#This Row],[ExpectedWin%]])</f>
        <v>-21.423618977443066</v>
      </c>
      <c r="AB354" s="4">
        <f>Games[[#This Row],[PreGmRate]]+Games[[#This Row],[RatingChange]]</f>
        <v>1586.1397859481156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45870</v>
      </c>
      <c r="B355" s="2">
        <v>2025</v>
      </c>
      <c r="C355" s="2">
        <f>COUNTIFS(Games[Team],Games[[#This Row],[Team]],Games[Season],Games[[#This Row],[Season]],Games[Date],"&lt;=" &amp; Games[[#This Row],[Date]])</f>
        <v>26</v>
      </c>
      <c r="D355" s="2" t="s">
        <v>79</v>
      </c>
      <c r="E355" s="2" t="s">
        <v>80</v>
      </c>
      <c r="F355" s="1" t="s">
        <v>74</v>
      </c>
      <c r="G355" s="1" t="s">
        <v>60</v>
      </c>
      <c r="H355" s="1" t="s">
        <v>82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2</v>
      </c>
      <c r="L355" s="2">
        <f>Games[[#This Row],[OppDaysOff]]-Games[[#This Row],[DaysOff]]</f>
        <v>-2</v>
      </c>
      <c r="M355" s="1">
        <f>MAX(-16, MIN(16, Games[[#This Row],[RestDiff]]*8))</f>
        <v>16</v>
      </c>
      <c r="N355" s="1">
        <f>MAX(-16, MIN(16, Games[[#This Row],[OppRestDiff]]*8))</f>
        <v>-16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1342.7462505795406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1607.5634049255586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0.29803755509234747</v>
      </c>
      <c r="R355" s="1">
        <v>78</v>
      </c>
      <c r="S355" s="1">
        <v>62</v>
      </c>
      <c r="T355" s="1">
        <v>0</v>
      </c>
      <c r="U355" s="1">
        <f>Games[[#This Row],[PointsFor]]-Games[[#This Row],[PointsAgainst]]</f>
        <v>16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0.42417801900570934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5" s="9">
        <f>MAX(kmin, kmax - 0.15 * MIN(Games[[#This Row],[GamesPlayed]], 82))</f>
        <v>72.099999999999994</v>
      </c>
      <c r="Z355" s="4">
        <f>Games[[#This Row],[K]]*Games[[#This Row],[POMult]]</f>
        <v>72.099999999999994</v>
      </c>
      <c r="AA355" s="4">
        <f>(Games[[#This Row],[Keff]]*Games[[#This Row],[MOVMult]])*(Games[[#This Row],[Result]]-Games[[#This Row],[ExpectedWin%]])</f>
        <v>21.468282533337664</v>
      </c>
      <c r="AB355" s="4">
        <f>Games[[#This Row],[PreGmRate]]+Games[[#This Row],[RatingChange]]</f>
        <v>1364.2145331128784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45870</v>
      </c>
      <c r="B356" s="2">
        <v>2025</v>
      </c>
      <c r="C356" s="2">
        <f>COUNTIFS(Games[Team],Games[[#This Row],[Team]],Games[Season],Games[[#This Row],[Season]],Games[Date],"&lt;=" &amp; Games[[#This Row],[Date]])</f>
        <v>29</v>
      </c>
      <c r="D356" s="2" t="s">
        <v>79</v>
      </c>
      <c r="E356" s="2" t="s">
        <v>80</v>
      </c>
      <c r="F356" s="1" t="s">
        <v>69</v>
      </c>
      <c r="G356" s="1" t="s">
        <v>85</v>
      </c>
      <c r="H356" s="1" t="s">
        <v>81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1564.0838774628915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1379.6598859830649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0.64062709817826602</v>
      </c>
      <c r="R356" s="1">
        <v>88</v>
      </c>
      <c r="S356" s="1">
        <v>78</v>
      </c>
      <c r="T356" s="1">
        <v>0</v>
      </c>
      <c r="U356" s="1">
        <f>Games[[#This Row],[PointsFor]]-Games[[#This Row],[PointsAgainst]]</f>
        <v>10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0.36676310315598831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6" s="9">
        <f>MAX(kmin, kmax - 0.15 * MIN(Games[[#This Row],[GamesPlayed]], 82))</f>
        <v>71.650000000000006</v>
      </c>
      <c r="Z356" s="4">
        <f>Games[[#This Row],[K]]*Games[[#This Row],[POMult]]</f>
        <v>71.650000000000006</v>
      </c>
      <c r="AA356" s="4">
        <f>(Games[[#This Row],[Keff]]*Games[[#This Row],[MOVMult]])*(Games[[#This Row],[Result]]-Games[[#This Row],[ExpectedWin%]])</f>
        <v>9.4438082354546182</v>
      </c>
      <c r="AB356" s="4">
        <f>Games[[#This Row],[PreGmRate]]+Games[[#This Row],[RatingChange]]</f>
        <v>1573.527685698346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45870</v>
      </c>
      <c r="B357" s="2">
        <v>2025</v>
      </c>
      <c r="C357" s="2">
        <f>COUNTIFS(Games[Team],Games[[#This Row],[Team]],Games[Season],Games[[#This Row],[Season]],Games[Date],"&lt;=" &amp; Games[[#This Row],[Date]])</f>
        <v>29</v>
      </c>
      <c r="D357" s="2" t="s">
        <v>79</v>
      </c>
      <c r="E357" s="2" t="s">
        <v>80</v>
      </c>
      <c r="F357" s="1" t="s">
        <v>85</v>
      </c>
      <c r="G357" s="1" t="s">
        <v>69</v>
      </c>
      <c r="H357" s="1" t="s">
        <v>82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1379.6598859830649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1564.0838774628915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0.35937290182173404</v>
      </c>
      <c r="R357" s="1">
        <v>78</v>
      </c>
      <c r="S357" s="1">
        <v>88</v>
      </c>
      <c r="T357" s="1">
        <v>0</v>
      </c>
      <c r="U357" s="1">
        <f>Games[[#This Row],[PointsFor]]-Games[[#This Row],[PointsAgainst]]</f>
        <v>-10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0.36676310315598831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7" s="9">
        <f>MAX(kmin, kmax - 0.15 * MIN(Games[[#This Row],[GamesPlayed]], 82))</f>
        <v>71.650000000000006</v>
      </c>
      <c r="Z357" s="4">
        <f>Games[[#This Row],[K]]*Games[[#This Row],[POMult]]</f>
        <v>71.650000000000006</v>
      </c>
      <c r="AA357" s="4">
        <f>(Games[[#This Row],[Keff]]*Games[[#This Row],[MOVMult]])*(Games[[#This Row],[Result]]-Games[[#This Row],[ExpectedWin%]])</f>
        <v>-9.44380823545462</v>
      </c>
      <c r="AB357" s="4">
        <f>Games[[#This Row],[PreGmRate]]+Games[[#This Row],[RatingChange]]</f>
        <v>1370.2160777476104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45870</v>
      </c>
      <c r="B358" s="2">
        <v>2025</v>
      </c>
      <c r="C358" s="2">
        <f>COUNTIFS(Games[Team],Games[[#This Row],[Team]],Games[Season],Games[[#This Row],[Season]],Games[Date],"&lt;=" &amp; Games[[#This Row],[Date]])</f>
        <v>27</v>
      </c>
      <c r="D358" s="2" t="s">
        <v>79</v>
      </c>
      <c r="E358" s="2" t="s">
        <v>80</v>
      </c>
      <c r="F358" s="1" t="s">
        <v>63</v>
      </c>
      <c r="G358" s="1" t="s">
        <v>71</v>
      </c>
      <c r="H358" s="1" t="s">
        <v>81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8" s="2">
        <f>Games[[#This Row],[DaysOff]]-Games[[#This Row],[OppDaysOff]]</f>
        <v>-1</v>
      </c>
      <c r="L358" s="2">
        <f>Games[[#This Row],[OppDaysOff]]-Games[[#This Row],[DaysOff]]</f>
        <v>1</v>
      </c>
      <c r="M358" s="1">
        <f>MAX(-16, MIN(16, Games[[#This Row],[RestDiff]]*8))</f>
        <v>-8</v>
      </c>
      <c r="N358" s="1">
        <f>MAX(-16, MIN(16, Games[[#This Row],[OppRestDiff]]*8))</f>
        <v>8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1436.1682724873444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1549.0214710724415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0.22700833953604252</v>
      </c>
      <c r="R358" s="1">
        <v>108</v>
      </c>
      <c r="S358" s="1">
        <v>106</v>
      </c>
      <c r="T358" s="1">
        <v>1</v>
      </c>
      <c r="U358" s="1">
        <f>Games[[#This Row],[PointsFor]]-Games[[#This Row],[PointsAgainst]]</f>
        <v>2</v>
      </c>
      <c r="V358" s="1">
        <f>IF(Games[[#This Row],[MOV]]&gt;0,1,IF(Games[[#This Row],[MOV]]=0,0.5,0))</f>
        <v>1</v>
      </c>
      <c r="W358" s="4">
        <f>((ABS(Games[[#This Row],[MOV]])+5)^0.6)/(12+0.01*(ABS(Games[[#This Row],[PreGmRate]]-Games[[#This Row],[OppPreGmRate]])))*IF(Games[[#This Row],[OT]]=1,0.9,1)</f>
        <v>0.22033585079138879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8" s="9">
        <f>MAX(kmin, kmax - 0.15 * MIN(Games[[#This Row],[GamesPlayed]], 82))</f>
        <v>71.95</v>
      </c>
      <c r="Z358" s="4">
        <f>Games[[#This Row],[K]]*Games[[#This Row],[POMult]]</f>
        <v>71.95</v>
      </c>
      <c r="AA358" s="4">
        <f>(Games[[#This Row],[Keff]]*Games[[#This Row],[MOVMult]])*(Games[[#This Row],[Result]]-Games[[#This Row],[ExpectedWin%]])</f>
        <v>12.254363922976008</v>
      </c>
      <c r="AB358" s="4">
        <f>Games[[#This Row],[PreGmRate]]+Games[[#This Row],[RatingChange]]</f>
        <v>1448.4226364103204</v>
      </c>
      <c r="AC358" s="2">
        <f>IF(Games[[#This Row],[Type]]="R",IF(Games[[#This Row],[Result]]&gt;0.5,1,0),0)</f>
        <v>1</v>
      </c>
      <c r="AD358" s="2">
        <f>IF(Games[[#This Row],[Type]]="R",IF(Games[[#This Row],[Result]]&lt;0.5,1,0),0)</f>
        <v>0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45870</v>
      </c>
      <c r="B359" s="2">
        <v>2025</v>
      </c>
      <c r="C359" s="2">
        <f>COUNTIFS(Games[Team],Games[[#This Row],[Team]],Games[Season],Games[[#This Row],[Season]],Games[Date],"&lt;=" &amp; Games[[#This Row],[Date]])</f>
        <v>28</v>
      </c>
      <c r="D359" s="2" t="s">
        <v>79</v>
      </c>
      <c r="E359" s="2" t="s">
        <v>80</v>
      </c>
      <c r="F359" s="1" t="s">
        <v>71</v>
      </c>
      <c r="G359" s="1" t="s">
        <v>63</v>
      </c>
      <c r="H359" s="1" t="s">
        <v>82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9" s="2">
        <f>Games[[#This Row],[DaysOff]]-Games[[#This Row],[OppDaysOff]]</f>
        <v>1</v>
      </c>
      <c r="L359" s="2">
        <f>Games[[#This Row],[OppDaysOff]]-Games[[#This Row],[DaysOff]]</f>
        <v>-1</v>
      </c>
      <c r="M359" s="1">
        <f>MAX(-16, MIN(16, Games[[#This Row],[RestDiff]]*8))</f>
        <v>8</v>
      </c>
      <c r="N359" s="1">
        <f>MAX(-16, MIN(16, Games[[#This Row],[OppRestDiff]]*8))</f>
        <v>-8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1549.0214710724415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1436.1682724873444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0.77299166046395751</v>
      </c>
      <c r="R359" s="1">
        <v>106</v>
      </c>
      <c r="S359" s="1">
        <v>108</v>
      </c>
      <c r="T359" s="1">
        <v>1</v>
      </c>
      <c r="U359" s="1">
        <f>Games[[#This Row],[PointsFor]]-Games[[#This Row],[PointsAgainst]]</f>
        <v>-2</v>
      </c>
      <c r="V359" s="1">
        <f>IF(Games[[#This Row],[MOV]]&gt;0,1,IF(Games[[#This Row],[MOV]]=0,0.5,0))</f>
        <v>0</v>
      </c>
      <c r="W359" s="4">
        <f>((ABS(Games[[#This Row],[MOV]])+5)^0.6)/(12+0.01*(ABS(Games[[#This Row],[PreGmRate]]-Games[[#This Row],[OppPreGmRate]])))*IF(Games[[#This Row],[OT]]=1,0.9,1)</f>
        <v>0.22033585079138879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9" s="9">
        <f>MAX(kmin, kmax - 0.15 * MIN(Games[[#This Row],[GamesPlayed]], 82))</f>
        <v>71.8</v>
      </c>
      <c r="Z359" s="4">
        <f>Games[[#This Row],[K]]*Games[[#This Row],[POMult]]</f>
        <v>71.8</v>
      </c>
      <c r="AA359" s="4">
        <f>(Games[[#This Row],[Keff]]*Games[[#This Row],[MOVMult]])*(Games[[#This Row],[Result]]-Games[[#This Row],[ExpectedWin%]])</f>
        <v>-12.228816256701561</v>
      </c>
      <c r="AB359" s="4">
        <f>Games[[#This Row],[PreGmRate]]+Games[[#This Row],[RatingChange]]</f>
        <v>1536.79265481574</v>
      </c>
      <c r="AC359" s="2">
        <f>IF(Games[[#This Row],[Type]]="R",IF(Games[[#This Row],[Result]]&gt;0.5,1,0),0)</f>
        <v>0</v>
      </c>
      <c r="AD359" s="2">
        <f>IF(Games[[#This Row],[Type]]="R",IF(Games[[#This Row],[Result]]&lt;0.5,1,0),0)</f>
        <v>1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45871</v>
      </c>
      <c r="B360" s="2">
        <v>2025</v>
      </c>
      <c r="C360" s="2">
        <f>COUNTIFS(Games[Team],Games[[#This Row],[Team]],Games[Season],Games[[#This Row],[Season]],Games[Date],"&lt;=" &amp; Games[[#This Row],[Date]])</f>
        <v>30</v>
      </c>
      <c r="D360" s="2" t="s">
        <v>79</v>
      </c>
      <c r="E360" s="2" t="s">
        <v>80</v>
      </c>
      <c r="F360" s="1" t="s">
        <v>67</v>
      </c>
      <c r="G360" s="1" t="s">
        <v>86</v>
      </c>
      <c r="H360" s="1" t="s">
        <v>81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0" s="2">
        <f>Games[[#This Row],[DaysOff]]-Games[[#This Row],[OppDaysOff]]</f>
        <v>-1</v>
      </c>
      <c r="L360" s="2">
        <f>Games[[#This Row],[OppDaysOff]]-Games[[#This Row],[DaysOff]]</f>
        <v>1</v>
      </c>
      <c r="M360" s="1">
        <f>MAX(-16, MIN(16, Games[[#This Row],[RestDiff]]*8))</f>
        <v>-8</v>
      </c>
      <c r="N360" s="1">
        <f>MAX(-16, MIN(16, Games[[#This Row],[OppRestDiff]]*8))</f>
        <v>8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1657.4298806558072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1553.4297470097069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0.50575640071785211</v>
      </c>
      <c r="R360" s="1">
        <v>111</v>
      </c>
      <c r="S360" s="1">
        <v>58</v>
      </c>
      <c r="T360" s="1">
        <v>0</v>
      </c>
      <c r="U360" s="1">
        <f>Games[[#This Row],[PointsFor]]-Games[[#This Row],[PointsAgainst]]</f>
        <v>53</v>
      </c>
      <c r="V360" s="1">
        <f>IF(Games[[#This Row],[MOV]]&gt;0,1,IF(Games[[#This Row],[MOV]]=0,0.5,0))</f>
        <v>1</v>
      </c>
      <c r="W360" s="4">
        <f>((ABS(Games[[#This Row],[MOV]])+5)^0.6)/(12+0.01*(ABS(Games[[#This Row],[PreGmRate]]-Games[[#This Row],[OppPreGmRate]])))*IF(Games[[#This Row],[OT]]=1,0.9,1)</f>
        <v>0.87655497752282197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0" s="9">
        <f>MAX(kmin, kmax - 0.15 * MIN(Games[[#This Row],[GamesPlayed]], 82))</f>
        <v>71.5</v>
      </c>
      <c r="Z360" s="4">
        <f>Games[[#This Row],[K]]*Games[[#This Row],[POMult]]</f>
        <v>71.5</v>
      </c>
      <c r="AA360" s="4">
        <f>(Games[[#This Row],[Keff]]*Games[[#This Row],[MOVMult]])*(Games[[#This Row],[Result]]-Games[[#This Row],[ExpectedWin%]])</f>
        <v>30.976065624758665</v>
      </c>
      <c r="AB360" s="4">
        <f>Games[[#This Row],[PreGmRate]]+Games[[#This Row],[RatingChange]]</f>
        <v>1688.4059462805658</v>
      </c>
      <c r="AC360" s="2">
        <f>IF(Games[[#This Row],[Type]]="R",IF(Games[[#This Row],[Result]]&gt;0.5,1,0),0)</f>
        <v>1</v>
      </c>
      <c r="AD360" s="2">
        <f>IF(Games[[#This Row],[Type]]="R",IF(Games[[#This Row],[Result]]&lt;0.5,1,0),0)</f>
        <v>0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45871</v>
      </c>
      <c r="B361" s="2">
        <v>2025</v>
      </c>
      <c r="C361" s="2">
        <f>COUNTIFS(Games[Team],Games[[#This Row],[Team]],Games[Season],Games[[#This Row],[Season]],Games[Date],"&lt;=" &amp; Games[[#This Row],[Date]])</f>
        <v>28</v>
      </c>
      <c r="D361" s="2" t="s">
        <v>79</v>
      </c>
      <c r="E361" s="2" t="s">
        <v>80</v>
      </c>
      <c r="F361" s="1" t="s">
        <v>86</v>
      </c>
      <c r="G361" s="1" t="s">
        <v>67</v>
      </c>
      <c r="H361" s="1" t="s">
        <v>82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1" s="2">
        <f>Games[[#This Row],[DaysOff]]-Games[[#This Row],[OppDaysOff]]</f>
        <v>1</v>
      </c>
      <c r="L361" s="2">
        <f>Games[[#This Row],[OppDaysOff]]-Games[[#This Row],[DaysOff]]</f>
        <v>-1</v>
      </c>
      <c r="M361" s="1">
        <f>MAX(-16, MIN(16, Games[[#This Row],[RestDiff]]*8))</f>
        <v>8</v>
      </c>
      <c r="N361" s="1">
        <f>MAX(-16, MIN(16, Games[[#This Row],[OppRestDiff]]*8))</f>
        <v>-8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1553.4297470097069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1657.4298806558072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0.49424359928214789</v>
      </c>
      <c r="R361" s="1">
        <v>58</v>
      </c>
      <c r="S361" s="1">
        <v>111</v>
      </c>
      <c r="T361" s="1">
        <v>0</v>
      </c>
      <c r="U361" s="1">
        <f>Games[[#This Row],[PointsFor]]-Games[[#This Row],[PointsAgainst]]</f>
        <v>-53</v>
      </c>
      <c r="V361" s="1">
        <f>IF(Games[[#This Row],[MOV]]&gt;0,1,IF(Games[[#This Row],[MOV]]=0,0.5,0))</f>
        <v>0</v>
      </c>
      <c r="W361" s="4">
        <f>((ABS(Games[[#This Row],[MOV]])+5)^0.6)/(12+0.01*(ABS(Games[[#This Row],[PreGmRate]]-Games[[#This Row],[OppPreGmRate]])))*IF(Games[[#This Row],[OT]]=1,0.9,1)</f>
        <v>0.87655497752282197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1" s="9">
        <f>MAX(kmin, kmax - 0.15 * MIN(Games[[#This Row],[GamesPlayed]], 82))</f>
        <v>71.8</v>
      </c>
      <c r="Z361" s="4">
        <f>Games[[#This Row],[K]]*Games[[#This Row],[POMult]]</f>
        <v>71.8</v>
      </c>
      <c r="AA361" s="4">
        <f>(Games[[#This Row],[Keff]]*Games[[#This Row],[MOVMult]])*(Games[[#This Row],[Result]]-Games[[#This Row],[ExpectedWin%]])</f>
        <v>-31.106035130876535</v>
      </c>
      <c r="AB361" s="4">
        <f>Games[[#This Row],[PreGmRate]]+Games[[#This Row],[RatingChange]]</f>
        <v>1522.3237118788304</v>
      </c>
      <c r="AC361" s="2">
        <f>IF(Games[[#This Row],[Type]]="R",IF(Games[[#This Row],[Result]]&gt;0.5,1,0),0)</f>
        <v>0</v>
      </c>
      <c r="AD361" s="2">
        <f>IF(Games[[#This Row],[Type]]="R",IF(Games[[#This Row],[Result]]&lt;0.5,1,0),0)</f>
        <v>1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45872</v>
      </c>
      <c r="B362" s="2">
        <v>2025</v>
      </c>
      <c r="C362" s="2">
        <f>COUNTIFS(Games[Team],Games[[#This Row],[Team]],Games[Season],Games[[#This Row],[Season]],Games[Date],"&lt;=" &amp; Games[[#This Row],[Date]])</f>
        <v>28</v>
      </c>
      <c r="D362" s="2" t="s">
        <v>79</v>
      </c>
      <c r="E362" s="2" t="s">
        <v>80</v>
      </c>
      <c r="F362" s="1" t="s">
        <v>65</v>
      </c>
      <c r="G362" s="1" t="s">
        <v>77</v>
      </c>
      <c r="H362" s="1" t="s">
        <v>81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1</v>
      </c>
      <c r="L362" s="2">
        <f>Games[[#This Row],[OppDaysOff]]-Games[[#This Row],[DaysOff]]</f>
        <v>-1</v>
      </c>
      <c r="M362" s="1">
        <f>MAX(-16, MIN(16, Games[[#This Row],[RestDiff]]*8))</f>
        <v>8</v>
      </c>
      <c r="N362" s="1">
        <f>MAX(-16, MIN(16, Games[[#This Row],[OppRestDiff]]*8))</f>
        <v>-8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1457.3676104764129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1574.890430576671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0.25579214305702358</v>
      </c>
      <c r="R362" s="1">
        <v>83</v>
      </c>
      <c r="S362" s="1">
        <v>99</v>
      </c>
      <c r="T362" s="1">
        <v>0</v>
      </c>
      <c r="U362" s="1">
        <f>Games[[#This Row],[PointsFor]]-Games[[#This Row],[PointsAgainst]]</f>
        <v>-16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0.47159960287351427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2" s="9">
        <f>MAX(kmin, kmax - 0.15 * MIN(Games[[#This Row],[GamesPlayed]], 82))</f>
        <v>71.8</v>
      </c>
      <c r="Z362" s="4">
        <f>Games[[#This Row],[K]]*Games[[#This Row],[POMult]]</f>
        <v>71.8</v>
      </c>
      <c r="AA362" s="4">
        <f>(Games[[#This Row],[Keff]]*Games[[#This Row],[MOVMult]])*(Games[[#This Row],[Result]]-Games[[#This Row],[ExpectedWin%]])</f>
        <v>-8.6613397674209658</v>
      </c>
      <c r="AB362" s="4">
        <f>Games[[#This Row],[PreGmRate]]+Games[[#This Row],[RatingChange]]</f>
        <v>1448.706270708992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45872</v>
      </c>
      <c r="B363" s="2">
        <v>2025</v>
      </c>
      <c r="C363" s="2">
        <f>COUNTIFS(Games[Team],Games[[#This Row],[Team]],Games[Season],Games[[#This Row],[Season]],Games[Date],"&lt;=" &amp; Games[[#This Row],[Date]])</f>
        <v>29</v>
      </c>
      <c r="D363" s="2" t="s">
        <v>79</v>
      </c>
      <c r="E363" s="2" t="s">
        <v>80</v>
      </c>
      <c r="F363" s="1" t="s">
        <v>77</v>
      </c>
      <c r="G363" s="1" t="s">
        <v>65</v>
      </c>
      <c r="H363" s="1" t="s">
        <v>82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3" s="2">
        <f>Games[[#This Row],[DaysOff]]-Games[[#This Row],[OppDaysOff]]</f>
        <v>-1</v>
      </c>
      <c r="L363" s="2">
        <f>Games[[#This Row],[OppDaysOff]]-Games[[#This Row],[DaysOff]]</f>
        <v>1</v>
      </c>
      <c r="M363" s="1">
        <f>MAX(-16, MIN(16, Games[[#This Row],[RestDiff]]*8))</f>
        <v>-8</v>
      </c>
      <c r="N363" s="1">
        <f>MAX(-16, MIN(16, Games[[#This Row],[OppRestDiff]]*8))</f>
        <v>8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1574.890430576671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1457.3676104764129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0.74420785694297642</v>
      </c>
      <c r="R363" s="1">
        <v>99</v>
      </c>
      <c r="S363" s="1">
        <v>83</v>
      </c>
      <c r="T363" s="1">
        <v>0</v>
      </c>
      <c r="U363" s="1">
        <f>Games[[#This Row],[PointsFor]]-Games[[#This Row],[PointsAgainst]]</f>
        <v>16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0.47159960287351427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3" s="9">
        <f>MAX(kmin, kmax - 0.15 * MIN(Games[[#This Row],[GamesPlayed]], 82))</f>
        <v>71.650000000000006</v>
      </c>
      <c r="Z363" s="4">
        <f>Games[[#This Row],[K]]*Games[[#This Row],[POMult]]</f>
        <v>71.650000000000006</v>
      </c>
      <c r="AA363" s="4">
        <f>(Games[[#This Row],[Keff]]*Games[[#This Row],[MOVMult]])*(Games[[#This Row],[Result]]-Games[[#This Row],[ExpectedWin%]])</f>
        <v>8.6432450464583876</v>
      </c>
      <c r="AB363" s="4">
        <f>Games[[#This Row],[PreGmRate]]+Games[[#This Row],[RatingChange]]</f>
        <v>1583.5336756231293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45872</v>
      </c>
      <c r="B364" s="2">
        <v>2025</v>
      </c>
      <c r="C364" s="2">
        <f>COUNTIFS(Games[Team],Games[[#This Row],[Team]],Games[Season],Games[[#This Row],[Season]],Games[Date],"&lt;=" &amp; Games[[#This Row],[Date]])</f>
        <v>28</v>
      </c>
      <c r="D364" s="2" t="s">
        <v>79</v>
      </c>
      <c r="E364" s="2" t="s">
        <v>80</v>
      </c>
      <c r="F364" s="1" t="s">
        <v>40</v>
      </c>
      <c r="G364" s="1" t="s">
        <v>75</v>
      </c>
      <c r="H364" s="1" t="s">
        <v>81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1527.2305443804485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1323.1884423551448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0.66619332243687368</v>
      </c>
      <c r="R364" s="1">
        <v>83</v>
      </c>
      <c r="S364" s="1">
        <v>67</v>
      </c>
      <c r="T364" s="1">
        <v>0</v>
      </c>
      <c r="U364" s="1">
        <f>Games[[#This Row],[PointsFor]]-Games[[#This Row],[PointsAgainst]]</f>
        <v>16</v>
      </c>
      <c r="V364" s="1">
        <f>IF(Games[[#This Row],[MOV]]&gt;0,1,IF(Games[[#This Row],[MOV]]=0,0.5,0))</f>
        <v>1</v>
      </c>
      <c r="W364" s="4">
        <f>((ABS(Games[[#This Row],[MOV]])+5)^0.6)/(12+0.01*(ABS(Games[[#This Row],[PreGmRate]]-Games[[#This Row],[OppPreGmRate]])))*IF(Games[[#This Row],[OT]]=1,0.9,1)</f>
        <v>0.44253889384071787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4" s="9">
        <f>MAX(kmin, kmax - 0.15 * MIN(Games[[#This Row],[GamesPlayed]], 82))</f>
        <v>71.8</v>
      </c>
      <c r="Z364" s="4">
        <f>Games[[#This Row],[K]]*Games[[#This Row],[POMult]]</f>
        <v>71.8</v>
      </c>
      <c r="AA364" s="4">
        <f>(Games[[#This Row],[Keff]]*Games[[#This Row],[MOVMult]])*(Games[[#This Row],[Result]]-Games[[#This Row],[ExpectedWin%]])</f>
        <v>10.606471037301953</v>
      </c>
      <c r="AB364" s="4">
        <f>Games[[#This Row],[PreGmRate]]+Games[[#This Row],[RatingChange]]</f>
        <v>1537.8370154177503</v>
      </c>
      <c r="AC364" s="2">
        <f>IF(Games[[#This Row],[Type]]="R",IF(Games[[#This Row],[Result]]&gt;0.5,1,0),0)</f>
        <v>1</v>
      </c>
      <c r="AD364" s="2">
        <f>IF(Games[[#This Row],[Type]]="R",IF(Games[[#This Row],[Result]]&lt;0.5,1,0),0)</f>
        <v>0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45872</v>
      </c>
      <c r="B365" s="2">
        <v>2025</v>
      </c>
      <c r="C365" s="2">
        <f>COUNTIFS(Games[Team],Games[[#This Row],[Team]],Games[Season],Games[[#This Row],[Season]],Games[Date],"&lt;=" &amp; Games[[#This Row],[Date]])</f>
        <v>28</v>
      </c>
      <c r="D365" s="2" t="s">
        <v>79</v>
      </c>
      <c r="E365" s="2" t="s">
        <v>80</v>
      </c>
      <c r="F365" s="1" t="s">
        <v>75</v>
      </c>
      <c r="G365" s="1" t="s">
        <v>40</v>
      </c>
      <c r="H365" s="1" t="s">
        <v>82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1323.1884423551448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1527.2305443804485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0.33380667756312632</v>
      </c>
      <c r="R365" s="1">
        <v>67</v>
      </c>
      <c r="S365" s="1">
        <v>83</v>
      </c>
      <c r="T365" s="1">
        <v>0</v>
      </c>
      <c r="U365" s="1">
        <f>Games[[#This Row],[PointsFor]]-Games[[#This Row],[PointsAgainst]]</f>
        <v>-16</v>
      </c>
      <c r="V365" s="1">
        <f>IF(Games[[#This Row],[MOV]]&gt;0,1,IF(Games[[#This Row],[MOV]]=0,0.5,0))</f>
        <v>0</v>
      </c>
      <c r="W365" s="4">
        <f>((ABS(Games[[#This Row],[MOV]])+5)^0.6)/(12+0.01*(ABS(Games[[#This Row],[PreGmRate]]-Games[[#This Row],[OppPreGmRate]])))*IF(Games[[#This Row],[OT]]=1,0.9,1)</f>
        <v>0.44253889384071787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5" s="9">
        <f>MAX(kmin, kmax - 0.15 * MIN(Games[[#This Row],[GamesPlayed]], 82))</f>
        <v>71.8</v>
      </c>
      <c r="Z365" s="4">
        <f>Games[[#This Row],[K]]*Games[[#This Row],[POMult]]</f>
        <v>71.8</v>
      </c>
      <c r="AA365" s="4">
        <f>(Games[[#This Row],[Keff]]*Games[[#This Row],[MOVMult]])*(Games[[#This Row],[Result]]-Games[[#This Row],[ExpectedWin%]])</f>
        <v>-10.606471037301953</v>
      </c>
      <c r="AB365" s="4">
        <f>Games[[#This Row],[PreGmRate]]+Games[[#This Row],[RatingChange]]</f>
        <v>1312.581971317843</v>
      </c>
      <c r="AC365" s="2">
        <f>IF(Games[[#This Row],[Type]]="R",IF(Games[[#This Row],[Result]]&gt;0.5,1,0),0)</f>
        <v>0</v>
      </c>
      <c r="AD365" s="2">
        <f>IF(Games[[#This Row],[Type]]="R",IF(Games[[#This Row],[Result]]&lt;0.5,1,0),0)</f>
        <v>1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45872</v>
      </c>
      <c r="B366" s="2">
        <v>2025</v>
      </c>
      <c r="C366" s="2">
        <f>COUNTIFS(Games[Team],Games[[#This Row],[Team]],Games[Season],Games[[#This Row],[Season]],Games[Date],"&lt;=" &amp; Games[[#This Row],[Date]])</f>
        <v>28</v>
      </c>
      <c r="D366" s="2" t="s">
        <v>79</v>
      </c>
      <c r="E366" s="2" t="s">
        <v>80</v>
      </c>
      <c r="F366" s="1" t="s">
        <v>60</v>
      </c>
      <c r="G366" s="1" t="s">
        <v>74</v>
      </c>
      <c r="H366" s="1" t="s">
        <v>81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1586.1397859481156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1364.2145331128784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0.68868132456025</v>
      </c>
      <c r="R366" s="1">
        <v>87</v>
      </c>
      <c r="S366" s="1">
        <v>78</v>
      </c>
      <c r="T366" s="1">
        <v>0</v>
      </c>
      <c r="U366" s="1">
        <f>Games[[#This Row],[PointsFor]]-Games[[#This Row],[PointsAgainst]]</f>
        <v>9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0.3426100152629758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6" s="9">
        <f>MAX(kmin, kmax - 0.15 * MIN(Games[[#This Row],[GamesPlayed]], 82))</f>
        <v>71.8</v>
      </c>
      <c r="Z366" s="4">
        <f>Games[[#This Row],[K]]*Games[[#This Row],[POMult]]</f>
        <v>71.8</v>
      </c>
      <c r="AA366" s="4">
        <f>(Games[[#This Row],[Keff]]*Games[[#This Row],[MOVMult]])*(Games[[#This Row],[Result]]-Games[[#This Row],[ExpectedWin%]])</f>
        <v>7.6582523431436629</v>
      </c>
      <c r="AB366" s="4">
        <f>Games[[#This Row],[PreGmRate]]+Games[[#This Row],[RatingChange]]</f>
        <v>1593.7980382912592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45872</v>
      </c>
      <c r="B367" s="2">
        <v>2025</v>
      </c>
      <c r="C367" s="2">
        <f>COUNTIFS(Games[Team],Games[[#This Row],[Team]],Games[Season],Games[[#This Row],[Season]],Games[Date],"&lt;=" &amp; Games[[#This Row],[Date]])</f>
        <v>27</v>
      </c>
      <c r="D367" s="2" t="s">
        <v>79</v>
      </c>
      <c r="E367" s="2" t="s">
        <v>80</v>
      </c>
      <c r="F367" s="1" t="s">
        <v>74</v>
      </c>
      <c r="G367" s="1" t="s">
        <v>60</v>
      </c>
      <c r="H367" s="1" t="s">
        <v>82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1364.2145331128784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1586.1397859481156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0.31131867543974995</v>
      </c>
      <c r="R367" s="1">
        <v>78</v>
      </c>
      <c r="S367" s="1">
        <v>87</v>
      </c>
      <c r="T367" s="1">
        <v>0</v>
      </c>
      <c r="U367" s="1">
        <f>Games[[#This Row],[PointsFor]]-Games[[#This Row],[PointsAgainst]]</f>
        <v>-9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0.3426100152629758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7" s="9">
        <f>MAX(kmin, kmax - 0.15 * MIN(Games[[#This Row],[GamesPlayed]], 82))</f>
        <v>71.95</v>
      </c>
      <c r="Z367" s="4">
        <f>Games[[#This Row],[K]]*Games[[#This Row],[POMult]]</f>
        <v>71.95</v>
      </c>
      <c r="AA367" s="4">
        <f>(Games[[#This Row],[Keff]]*Games[[#This Row],[MOVMult]])*(Games[[#This Row],[Result]]-Games[[#This Row],[ExpectedWin%]])</f>
        <v>-7.6742514775652708</v>
      </c>
      <c r="AB367" s="4">
        <f>Games[[#This Row],[PreGmRate]]+Games[[#This Row],[RatingChange]]</f>
        <v>1356.540281635313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45872</v>
      </c>
      <c r="B368" s="2">
        <v>2025</v>
      </c>
      <c r="C368" s="2">
        <f>COUNTIFS(Games[Team],Games[[#This Row],[Team]],Games[Season],Games[[#This Row],[Season]],Games[Date],"&lt;=" &amp; Games[[#This Row],[Date]])</f>
        <v>28</v>
      </c>
      <c r="D368" s="2" t="s">
        <v>79</v>
      </c>
      <c r="E368" s="2" t="s">
        <v>80</v>
      </c>
      <c r="F368" s="1" t="s">
        <v>88</v>
      </c>
      <c r="G368" s="1" t="s">
        <v>86</v>
      </c>
      <c r="H368" s="1" t="s">
        <v>81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8" s="2">
        <f>Games[[#This Row],[DaysOff]]-Games[[#This Row],[OppDaysOff]]</f>
        <v>1</v>
      </c>
      <c r="L368" s="2">
        <f>Games[[#This Row],[OppDaysOff]]-Games[[#This Row],[DaysOff]]</f>
        <v>-1</v>
      </c>
      <c r="M368" s="1">
        <f>MAX(-16, MIN(16, Games[[#This Row],[RestDiff]]*8))</f>
        <v>8</v>
      </c>
      <c r="N368" s="1">
        <f>MAX(-16, MIN(16, Games[[#This Row],[OppRestDiff]]*8))</f>
        <v>-8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1525.8920402761078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1522.3237118788304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0.40832392618905844</v>
      </c>
      <c r="R368" s="1">
        <v>77</v>
      </c>
      <c r="S368" s="1">
        <v>101</v>
      </c>
      <c r="T368" s="1">
        <v>0</v>
      </c>
      <c r="U368" s="1">
        <f>Games[[#This Row],[PointsFor]]-Games[[#This Row],[PointsAgainst]]</f>
        <v>-24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0.62656776482476773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8" s="9">
        <f>MAX(kmin, kmax - 0.15 * MIN(Games[[#This Row],[GamesPlayed]], 82))</f>
        <v>71.8</v>
      </c>
      <c r="Z368" s="4">
        <f>Games[[#This Row],[K]]*Games[[#This Row],[POMult]]</f>
        <v>71.8</v>
      </c>
      <c r="AA368" s="4">
        <f>(Games[[#This Row],[Keff]]*Games[[#This Row],[MOVMult]])*(Games[[#This Row],[Result]]-Games[[#This Row],[ExpectedWin%]])</f>
        <v>-18.369499380534776</v>
      </c>
      <c r="AB368" s="4">
        <f>Games[[#This Row],[PreGmRate]]+Games[[#This Row],[RatingChange]]</f>
        <v>1507.522540895573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45872</v>
      </c>
      <c r="B369" s="2">
        <v>2025</v>
      </c>
      <c r="C369" s="2">
        <f>COUNTIFS(Games[Team],Games[[#This Row],[Team]],Games[Season],Games[[#This Row],[Season]],Games[Date],"&lt;=" &amp; Games[[#This Row],[Date]])</f>
        <v>29</v>
      </c>
      <c r="D369" s="2" t="s">
        <v>79</v>
      </c>
      <c r="E369" s="2" t="s">
        <v>80</v>
      </c>
      <c r="F369" s="1" t="s">
        <v>86</v>
      </c>
      <c r="G369" s="1" t="s">
        <v>88</v>
      </c>
      <c r="H369" s="1" t="s">
        <v>82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-1</v>
      </c>
      <c r="L369" s="2">
        <f>Games[[#This Row],[OppDaysOff]]-Games[[#This Row],[DaysOff]]</f>
        <v>1</v>
      </c>
      <c r="M369" s="1">
        <f>MAX(-16, MIN(16, Games[[#This Row],[RestDiff]]*8))</f>
        <v>-8</v>
      </c>
      <c r="N369" s="1">
        <f>MAX(-16, MIN(16, Games[[#This Row],[OppRestDiff]]*8))</f>
        <v>8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1522.3237118788304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1525.8920402761078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0.59167607381094156</v>
      </c>
      <c r="R369" s="1">
        <v>101</v>
      </c>
      <c r="S369" s="1">
        <v>77</v>
      </c>
      <c r="T369" s="1">
        <v>0</v>
      </c>
      <c r="U369" s="1">
        <f>Games[[#This Row],[PointsFor]]-Games[[#This Row],[PointsAgainst]]</f>
        <v>24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0.62656776482476773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9" s="9">
        <f>MAX(kmin, kmax - 0.15 * MIN(Games[[#This Row],[GamesPlayed]], 82))</f>
        <v>71.650000000000006</v>
      </c>
      <c r="Z369" s="4">
        <f>Games[[#This Row],[K]]*Games[[#This Row],[POMult]]</f>
        <v>71.650000000000006</v>
      </c>
      <c r="AA369" s="4">
        <f>(Games[[#This Row],[Keff]]*Games[[#This Row],[MOVMult]])*(Games[[#This Row],[Result]]-Games[[#This Row],[ExpectedWin%]])</f>
        <v>18.331122989071265</v>
      </c>
      <c r="AB369" s="4">
        <f>Games[[#This Row],[PreGmRate]]+Games[[#This Row],[RatingChange]]</f>
        <v>1540.6548348679016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45872</v>
      </c>
      <c r="B370" s="2">
        <v>2025</v>
      </c>
      <c r="C370" s="2">
        <f>COUNTIFS(Games[Team],Games[[#This Row],[Team]],Games[Season],Games[[#This Row],[Season]],Games[Date],"&lt;=" &amp; Games[[#This Row],[Date]])</f>
        <v>30</v>
      </c>
      <c r="D370" s="2" t="s">
        <v>79</v>
      </c>
      <c r="E370" s="2" t="s">
        <v>80</v>
      </c>
      <c r="F370" s="1" t="s">
        <v>69</v>
      </c>
      <c r="G370" s="1" t="s">
        <v>71</v>
      </c>
      <c r="H370" s="1" t="s">
        <v>81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1573.527685698346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1536.79265481574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0.43239676676490435</v>
      </c>
      <c r="R370" s="1">
        <v>78</v>
      </c>
      <c r="S370" s="1">
        <v>74</v>
      </c>
      <c r="T370" s="1">
        <v>0</v>
      </c>
      <c r="U370" s="1">
        <f>Games[[#This Row],[PointsFor]]-Games[[#This Row],[PointsAgainst]]</f>
        <v>4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0.30218217528612207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0" s="9">
        <f>MAX(kmin, kmax - 0.15 * MIN(Games[[#This Row],[GamesPlayed]], 82))</f>
        <v>71.5</v>
      </c>
      <c r="Z370" s="4">
        <f>Games[[#This Row],[K]]*Games[[#This Row],[POMult]]</f>
        <v>71.5</v>
      </c>
      <c r="AA370" s="4">
        <f>(Games[[#This Row],[Keff]]*Games[[#This Row],[MOVMult]])*(Games[[#This Row],[Result]]-Games[[#This Row],[ExpectedWin%]])</f>
        <v>12.263649949866837</v>
      </c>
      <c r="AB370" s="4">
        <f>Games[[#This Row],[PreGmRate]]+Games[[#This Row],[RatingChange]]</f>
        <v>1585.7913356482129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45872</v>
      </c>
      <c r="B371" s="2">
        <v>2025</v>
      </c>
      <c r="C371" s="2">
        <f>COUNTIFS(Games[Team],Games[[#This Row],[Team]],Games[Season],Games[[#This Row],[Season]],Games[Date],"&lt;=" &amp; Games[[#This Row],[Date]])</f>
        <v>29</v>
      </c>
      <c r="D371" s="2" t="s">
        <v>79</v>
      </c>
      <c r="E371" s="2" t="s">
        <v>80</v>
      </c>
      <c r="F371" s="1" t="s">
        <v>71</v>
      </c>
      <c r="G371" s="1" t="s">
        <v>69</v>
      </c>
      <c r="H371" s="1" t="s">
        <v>82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1536.79265481574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1573.527685698346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0.56760323323509565</v>
      </c>
      <c r="R371" s="1">
        <v>74</v>
      </c>
      <c r="S371" s="1">
        <v>78</v>
      </c>
      <c r="T371" s="1">
        <v>0</v>
      </c>
      <c r="U371" s="1">
        <f>Games[[#This Row],[PointsFor]]-Games[[#This Row],[PointsAgainst]]</f>
        <v>-4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0.30218217528612207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1" s="9">
        <f>MAX(kmin, kmax - 0.15 * MIN(Games[[#This Row],[GamesPlayed]], 82))</f>
        <v>71.650000000000006</v>
      </c>
      <c r="Z371" s="4">
        <f>Games[[#This Row],[K]]*Games[[#This Row],[POMult]]</f>
        <v>71.650000000000006</v>
      </c>
      <c r="AA371" s="4">
        <f>(Games[[#This Row],[Keff]]*Games[[#This Row],[MOVMult]])*(Games[[#This Row],[Result]]-Games[[#This Row],[ExpectedWin%]])</f>
        <v>-12.2893778868246</v>
      </c>
      <c r="AB371" s="4">
        <f>Games[[#This Row],[PreGmRate]]+Games[[#This Row],[RatingChange]]</f>
        <v>1524.5032769289153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45874</v>
      </c>
      <c r="B372" s="2">
        <v>2025</v>
      </c>
      <c r="C372" s="2">
        <f>COUNTIFS(Games[Team],Games[[#This Row],[Team]],Games[Season],Games[[#This Row],[Season]],Games[Date],"&lt;=" &amp; Games[[#This Row],[Date]])</f>
        <v>29</v>
      </c>
      <c r="D372" s="2" t="s">
        <v>79</v>
      </c>
      <c r="E372" s="2" t="s">
        <v>80</v>
      </c>
      <c r="F372" s="1" t="s">
        <v>65</v>
      </c>
      <c r="G372" s="1" t="s">
        <v>75</v>
      </c>
      <c r="H372" s="1" t="s">
        <v>81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1448.706270708992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1312.581971317843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0.57445512761020689</v>
      </c>
      <c r="R372" s="1">
        <v>64</v>
      </c>
      <c r="S372" s="1">
        <v>78</v>
      </c>
      <c r="T372" s="1">
        <v>0</v>
      </c>
      <c r="U372" s="1">
        <f>Games[[#This Row],[PointsFor]]-Games[[#This Row],[PointsAgainst]]</f>
        <v>-14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0.43793060608773904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2" s="9">
        <f>MAX(kmin, kmax - 0.15 * MIN(Games[[#This Row],[GamesPlayed]], 82))</f>
        <v>71.650000000000006</v>
      </c>
      <c r="Z372" s="4">
        <f>Games[[#This Row],[K]]*Games[[#This Row],[POMult]]</f>
        <v>71.650000000000006</v>
      </c>
      <c r="AA372" s="4">
        <f>(Games[[#This Row],[Keff]]*Games[[#This Row],[MOVMult]])*(Games[[#This Row],[Result]]-Games[[#This Row],[ExpectedWin%]])</f>
        <v>-18.025096699955821</v>
      </c>
      <c r="AB372" s="4">
        <f>Games[[#This Row],[PreGmRate]]+Games[[#This Row],[RatingChange]]</f>
        <v>1430.6811740090361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45874</v>
      </c>
      <c r="B373" s="2">
        <v>2025</v>
      </c>
      <c r="C373" s="2">
        <f>COUNTIFS(Games[Team],Games[[#This Row],[Team]],Games[Season],Games[[#This Row],[Season]],Games[Date],"&lt;=" &amp; Games[[#This Row],[Date]])</f>
        <v>29</v>
      </c>
      <c r="D373" s="2" t="s">
        <v>79</v>
      </c>
      <c r="E373" s="2" t="s">
        <v>80</v>
      </c>
      <c r="F373" s="1" t="s">
        <v>75</v>
      </c>
      <c r="G373" s="1" t="s">
        <v>65</v>
      </c>
      <c r="H373" s="1" t="s">
        <v>82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1312.581971317843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1448.706270708992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0.42554487238979311</v>
      </c>
      <c r="R373" s="1">
        <v>78</v>
      </c>
      <c r="S373" s="1">
        <v>64</v>
      </c>
      <c r="T373" s="1">
        <v>0</v>
      </c>
      <c r="U373" s="1">
        <f>Games[[#This Row],[PointsFor]]-Games[[#This Row],[PointsAgainst]]</f>
        <v>14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0.43793060608773904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3" s="9">
        <f>MAX(kmin, kmax - 0.15 * MIN(Games[[#This Row],[GamesPlayed]], 82))</f>
        <v>71.650000000000006</v>
      </c>
      <c r="Z373" s="4">
        <f>Games[[#This Row],[K]]*Games[[#This Row],[POMult]]</f>
        <v>71.650000000000006</v>
      </c>
      <c r="AA373" s="4">
        <f>(Games[[#This Row],[Keff]]*Games[[#This Row],[MOVMult]])*(Games[[#This Row],[Result]]-Games[[#This Row],[ExpectedWin%]])</f>
        <v>18.025096699955821</v>
      </c>
      <c r="AB373" s="4">
        <f>Games[[#This Row],[PreGmRate]]+Games[[#This Row],[RatingChange]]</f>
        <v>1330.6070680177988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45874</v>
      </c>
      <c r="B374" s="2">
        <v>2025</v>
      </c>
      <c r="C374" s="2">
        <f>COUNTIFS(Games[Team],Games[[#This Row],[Team]],Games[Season],Games[[#This Row],[Season]],Games[Date],"&lt;=" &amp; Games[[#This Row],[Date]])</f>
        <v>31</v>
      </c>
      <c r="D374" s="2" t="s">
        <v>79</v>
      </c>
      <c r="E374" s="2" t="s">
        <v>80</v>
      </c>
      <c r="F374" s="1" t="s">
        <v>69</v>
      </c>
      <c r="G374" s="1" t="s">
        <v>63</v>
      </c>
      <c r="H374" s="1" t="s">
        <v>81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4" s="2">
        <f>Games[[#This Row],[DaysOff]]-Games[[#This Row],[OppDaysOff]]</f>
        <v>-2</v>
      </c>
      <c r="L374" s="2">
        <f>Games[[#This Row],[OppDaysOff]]-Games[[#This Row],[DaysOff]]</f>
        <v>2</v>
      </c>
      <c r="M374" s="1">
        <f>MAX(-16, MIN(16, Games[[#This Row],[RestDiff]]*8))</f>
        <v>-16</v>
      </c>
      <c r="N374" s="1">
        <f>MAX(-16, MIN(16, Games[[#This Row],[OppRestDiff]]*8))</f>
        <v>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1585.7913356482129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1448.4226364103204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0.53071331304128855</v>
      </c>
      <c r="R374" s="1">
        <v>91</v>
      </c>
      <c r="S374" s="1">
        <v>100</v>
      </c>
      <c r="T374" s="1">
        <v>0</v>
      </c>
      <c r="U374" s="1">
        <f>Games[[#This Row],[PointsFor]]-Games[[#This Row],[PointsAgainst]]</f>
        <v>-9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0.3642718966387547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4" s="9">
        <f>MAX(kmin, kmax - 0.15 * MIN(Games[[#This Row],[GamesPlayed]], 82))</f>
        <v>71.349999999999994</v>
      </c>
      <c r="Z374" s="4">
        <f>Games[[#This Row],[K]]*Games[[#This Row],[POMult]]</f>
        <v>71.349999999999994</v>
      </c>
      <c r="AA374" s="4">
        <f>(Games[[#This Row],[Keff]]*Games[[#This Row],[MOVMult]])*(Games[[#This Row],[Result]]-Games[[#This Row],[ExpectedWin%]])</f>
        <v>-13.793663483811644</v>
      </c>
      <c r="AB374" s="4">
        <f>Games[[#This Row],[PreGmRate]]+Games[[#This Row],[RatingChange]]</f>
        <v>1571.9976721644014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45874</v>
      </c>
      <c r="B375" s="2">
        <v>2025</v>
      </c>
      <c r="C375" s="2">
        <f>COUNTIFS(Games[Team],Games[[#This Row],[Team]],Games[Season],Games[[#This Row],[Season]],Games[Date],"&lt;=" &amp; Games[[#This Row],[Date]])</f>
        <v>28</v>
      </c>
      <c r="D375" s="2" t="s">
        <v>79</v>
      </c>
      <c r="E375" s="2" t="s">
        <v>80</v>
      </c>
      <c r="F375" s="1" t="s">
        <v>63</v>
      </c>
      <c r="G375" s="1" t="s">
        <v>69</v>
      </c>
      <c r="H375" s="1" t="s">
        <v>82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5" s="2">
        <f>Games[[#This Row],[DaysOff]]-Games[[#This Row],[OppDaysOff]]</f>
        <v>2</v>
      </c>
      <c r="L375" s="2">
        <f>Games[[#This Row],[OppDaysOff]]-Games[[#This Row],[DaysOff]]</f>
        <v>-2</v>
      </c>
      <c r="M375" s="1">
        <f>MAX(-16, MIN(16, Games[[#This Row],[RestDiff]]*8))</f>
        <v>16</v>
      </c>
      <c r="N375" s="1">
        <f>MAX(-16, MIN(16, Games[[#This Row],[OppRestDiff]]*8))</f>
        <v>-16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1448.4226364103204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1585.7913356482129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0.46928668695871145</v>
      </c>
      <c r="R375" s="1">
        <v>100</v>
      </c>
      <c r="S375" s="1">
        <v>91</v>
      </c>
      <c r="T375" s="1">
        <v>0</v>
      </c>
      <c r="U375" s="1">
        <f>Games[[#This Row],[PointsFor]]-Games[[#This Row],[PointsAgainst]]</f>
        <v>9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0.3642718966387547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5" s="9">
        <f>MAX(kmin, kmax - 0.15 * MIN(Games[[#This Row],[GamesPlayed]], 82))</f>
        <v>71.8</v>
      </c>
      <c r="Z375" s="4">
        <f>Games[[#This Row],[K]]*Games[[#This Row],[POMult]]</f>
        <v>71.8</v>
      </c>
      <c r="AA375" s="4">
        <f>(Games[[#This Row],[Keff]]*Games[[#This Row],[MOVMult]])*(Games[[#This Row],[Result]]-Games[[#This Row],[ExpectedWin%]])</f>
        <v>13.880659259112489</v>
      </c>
      <c r="AB375" s="4">
        <f>Games[[#This Row],[PreGmRate]]+Games[[#This Row],[RatingChange]]</f>
        <v>1462.3032956694328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45874</v>
      </c>
      <c r="B376" s="2">
        <v>2025</v>
      </c>
      <c r="C376" s="2">
        <f>COUNTIFS(Games[Team],Games[[#This Row],[Team]],Games[Season],Games[[#This Row],[Season]],Games[Date],"&lt;=" &amp; Games[[#This Row],[Date]])</f>
        <v>30</v>
      </c>
      <c r="D376" s="2" t="s">
        <v>79</v>
      </c>
      <c r="E376" s="2" t="s">
        <v>80</v>
      </c>
      <c r="F376" s="1" t="s">
        <v>85</v>
      </c>
      <c r="G376" s="1" t="s">
        <v>60</v>
      </c>
      <c r="H376" s="1" t="s">
        <v>81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6" s="2">
        <f>Games[[#This Row],[DaysOff]]-Games[[#This Row],[OppDaysOff]]</f>
        <v>2</v>
      </c>
      <c r="L376" s="2">
        <f>Games[[#This Row],[OppDaysOff]]-Games[[#This Row],[DaysOff]]</f>
        <v>-2</v>
      </c>
      <c r="M376" s="1">
        <f>MAX(-16, MIN(16, Games[[#This Row],[RestDiff]]*8))</f>
        <v>16</v>
      </c>
      <c r="N376" s="1">
        <f>MAX(-16, MIN(16, Games[[#This Row],[OppRestDiff]]*8))</f>
        <v>-16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1370.2160777476104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1593.7980382912592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0.16989419810522646</v>
      </c>
      <c r="R376" s="1">
        <v>76</v>
      </c>
      <c r="S376" s="1">
        <v>85</v>
      </c>
      <c r="T376" s="1">
        <v>0</v>
      </c>
      <c r="U376" s="1">
        <f>Games[[#This Row],[PointsFor]]-Games[[#This Row],[PointsAgainst]]</f>
        <v>-9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0.34221129943979384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6" s="9">
        <f>MAX(kmin, kmax - 0.15 * MIN(Games[[#This Row],[GamesPlayed]], 82))</f>
        <v>71.5</v>
      </c>
      <c r="Z376" s="4">
        <f>Games[[#This Row],[K]]*Games[[#This Row],[POMult]]</f>
        <v>71.5</v>
      </c>
      <c r="AA376" s="4">
        <f>(Games[[#This Row],[Keff]]*Games[[#This Row],[MOVMult]])*(Games[[#This Row],[Result]]-Games[[#This Row],[ExpectedWin%]])</f>
        <v>-4.1569895725122983</v>
      </c>
      <c r="AB376" s="4">
        <f>Games[[#This Row],[PreGmRate]]+Games[[#This Row],[RatingChange]]</f>
        <v>1366.0590881750982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45874</v>
      </c>
      <c r="B377" s="2">
        <v>2025</v>
      </c>
      <c r="C377" s="2">
        <f>COUNTIFS(Games[Team],Games[[#This Row],[Team]],Games[Season],Games[[#This Row],[Season]],Games[Date],"&lt;=" &amp; Games[[#This Row],[Date]])</f>
        <v>29</v>
      </c>
      <c r="D377" s="2" t="s">
        <v>79</v>
      </c>
      <c r="E377" s="2" t="s">
        <v>80</v>
      </c>
      <c r="F377" s="1" t="s">
        <v>60</v>
      </c>
      <c r="G377" s="1" t="s">
        <v>85</v>
      </c>
      <c r="H377" s="1" t="s">
        <v>82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7" s="2">
        <f>Games[[#This Row],[DaysOff]]-Games[[#This Row],[OppDaysOff]]</f>
        <v>-2</v>
      </c>
      <c r="L377" s="2">
        <f>Games[[#This Row],[OppDaysOff]]-Games[[#This Row],[DaysOff]]</f>
        <v>2</v>
      </c>
      <c r="M377" s="1">
        <f>MAX(-16, MIN(16, Games[[#This Row],[RestDiff]]*8))</f>
        <v>-16</v>
      </c>
      <c r="N377" s="1">
        <f>MAX(-16, MIN(16, Games[[#This Row],[OppRestDiff]]*8))</f>
        <v>16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1593.7980382912592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1370.2160777476104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0.83010580189477345</v>
      </c>
      <c r="R377" s="1">
        <v>85</v>
      </c>
      <c r="S377" s="1">
        <v>76</v>
      </c>
      <c r="T377" s="1">
        <v>0</v>
      </c>
      <c r="U377" s="1">
        <f>Games[[#This Row],[PointsFor]]-Games[[#This Row],[PointsAgainst]]</f>
        <v>9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0.34221129943979384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7" s="9">
        <f>MAX(kmin, kmax - 0.15 * MIN(Games[[#This Row],[GamesPlayed]], 82))</f>
        <v>71.650000000000006</v>
      </c>
      <c r="Z377" s="4">
        <f>Games[[#This Row],[K]]*Games[[#This Row],[POMult]]</f>
        <v>71.650000000000006</v>
      </c>
      <c r="AA377" s="4">
        <f>(Games[[#This Row],[Keff]]*Games[[#This Row],[MOVMult]])*(Games[[#This Row],[Result]]-Games[[#This Row],[ExpectedWin%]])</f>
        <v>4.1657105296574315</v>
      </c>
      <c r="AB377" s="4">
        <f>Games[[#This Row],[PreGmRate]]+Games[[#This Row],[RatingChange]]</f>
        <v>1597.9637488209166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45874</v>
      </c>
      <c r="B378" s="2">
        <v>2025</v>
      </c>
      <c r="C378" s="2">
        <f>COUNTIFS(Games[Team],Games[[#This Row],[Team]],Games[Season],Games[[#This Row],[Season]],Games[Date],"&lt;=" &amp; Games[[#This Row],[Date]])</f>
        <v>28</v>
      </c>
      <c r="D378" s="2" t="s">
        <v>79</v>
      </c>
      <c r="E378" s="2" t="s">
        <v>80</v>
      </c>
      <c r="F378" s="1" t="s">
        <v>74</v>
      </c>
      <c r="G378" s="1" t="s">
        <v>40</v>
      </c>
      <c r="H378" s="1" t="s">
        <v>81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1356.540281635313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1537.8370154177503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0.17840801439550621</v>
      </c>
      <c r="R378" s="1">
        <v>66</v>
      </c>
      <c r="S378" s="1">
        <v>82</v>
      </c>
      <c r="T378" s="1">
        <v>0</v>
      </c>
      <c r="U378" s="1">
        <f>Games[[#This Row],[PointsFor]]-Games[[#This Row],[PointsAgainst]]</f>
        <v>-16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0.44982603921362752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8" s="9">
        <f>MAX(kmin, kmax - 0.15 * MIN(Games[[#This Row],[GamesPlayed]], 82))</f>
        <v>71.8</v>
      </c>
      <c r="Z378" s="4">
        <f>Games[[#This Row],[K]]*Games[[#This Row],[POMult]]</f>
        <v>71.8</v>
      </c>
      <c r="AA378" s="4">
        <f>(Games[[#This Row],[Keff]]*Games[[#This Row],[MOVMult]])*(Games[[#This Row],[Result]]-Games[[#This Row],[ExpectedWin%]])</f>
        <v>-5.7621345604279846</v>
      </c>
      <c r="AB378" s="4">
        <f>Games[[#This Row],[PreGmRate]]+Games[[#This Row],[RatingChange]]</f>
        <v>1350.7781470748851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45874</v>
      </c>
      <c r="B379" s="2">
        <v>2025</v>
      </c>
      <c r="C379" s="2">
        <f>COUNTIFS(Games[Team],Games[[#This Row],[Team]],Games[Season],Games[[#This Row],[Season]],Games[Date],"&lt;=" &amp; Games[[#This Row],[Date]])</f>
        <v>29</v>
      </c>
      <c r="D379" s="2" t="s">
        <v>79</v>
      </c>
      <c r="E379" s="2" t="s">
        <v>80</v>
      </c>
      <c r="F379" s="1" t="s">
        <v>40</v>
      </c>
      <c r="G379" s="1" t="s">
        <v>74</v>
      </c>
      <c r="H379" s="1" t="s">
        <v>82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1537.8370154177503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1356.540281635313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0.82159198560449376</v>
      </c>
      <c r="R379" s="1">
        <v>82</v>
      </c>
      <c r="S379" s="1">
        <v>66</v>
      </c>
      <c r="T379" s="1">
        <v>0</v>
      </c>
      <c r="U379" s="1">
        <f>Games[[#This Row],[PointsFor]]-Games[[#This Row],[PointsAgainst]]</f>
        <v>16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0.44982603921362752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9" s="9">
        <f>MAX(kmin, kmax - 0.15 * MIN(Games[[#This Row],[GamesPlayed]], 82))</f>
        <v>71.650000000000006</v>
      </c>
      <c r="Z379" s="4">
        <f>Games[[#This Row],[K]]*Games[[#This Row],[POMult]]</f>
        <v>71.650000000000006</v>
      </c>
      <c r="AA379" s="4">
        <f>(Games[[#This Row],[Keff]]*Games[[#This Row],[MOVMult]])*(Games[[#This Row],[Result]]-Games[[#This Row],[ExpectedWin%]])</f>
        <v>5.7500966748560618</v>
      </c>
      <c r="AB379" s="4">
        <f>Games[[#This Row],[PreGmRate]]+Games[[#This Row],[RatingChange]]</f>
        <v>1543.5871120926063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45874</v>
      </c>
      <c r="B380" s="2">
        <v>2025</v>
      </c>
      <c r="C380" s="2">
        <f>COUNTIFS(Games[Team],Games[[#This Row],[Team]],Games[Season],Games[[#This Row],[Season]],Games[Date],"&lt;=" &amp; Games[[#This Row],[Date]])</f>
        <v>31</v>
      </c>
      <c r="D380" s="2" t="s">
        <v>79</v>
      </c>
      <c r="E380" s="2" t="s">
        <v>80</v>
      </c>
      <c r="F380" s="1" t="s">
        <v>67</v>
      </c>
      <c r="G380" s="1" t="s">
        <v>71</v>
      </c>
      <c r="H380" s="1" t="s">
        <v>81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1</v>
      </c>
      <c r="L380" s="2">
        <f>Games[[#This Row],[OppDaysOff]]-Games[[#This Row],[DaysOff]]</f>
        <v>-1</v>
      </c>
      <c r="M380" s="1">
        <f>MAX(-16, MIN(16, Games[[#This Row],[RestDiff]]*8))</f>
        <v>8</v>
      </c>
      <c r="N380" s="1">
        <f>MAX(-16, MIN(16, Games[[#This Row],[OppRestDiff]]*8))</f>
        <v>-8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1688.4059462805658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1524.5032769289153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0.63461342750328631</v>
      </c>
      <c r="R380" s="1">
        <v>91</v>
      </c>
      <c r="S380" s="1">
        <v>87</v>
      </c>
      <c r="T380" s="1">
        <v>0</v>
      </c>
      <c r="U380" s="1">
        <f>Games[[#This Row],[PointsFor]]-Games[[#This Row],[PointsAgainst]]</f>
        <v>4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0.27400729559559239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0" s="9">
        <f>MAX(kmin, kmax - 0.15 * MIN(Games[[#This Row],[GamesPlayed]], 82))</f>
        <v>71.349999999999994</v>
      </c>
      <c r="Z380" s="4">
        <f>Games[[#This Row],[K]]*Games[[#This Row],[POMult]]</f>
        <v>71.349999999999994</v>
      </c>
      <c r="AA380" s="4">
        <f>(Games[[#This Row],[Keff]]*Games[[#This Row],[MOVMult]])*(Games[[#This Row],[Result]]-Games[[#This Row],[ExpectedWin%]])</f>
        <v>7.1434611522523523</v>
      </c>
      <c r="AB380" s="4">
        <f>Games[[#This Row],[PreGmRate]]+Games[[#This Row],[RatingChange]]</f>
        <v>1695.549407432818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45874</v>
      </c>
      <c r="B381" s="2">
        <v>2025</v>
      </c>
      <c r="C381" s="2">
        <f>COUNTIFS(Games[Team],Games[[#This Row],[Team]],Games[Season],Games[[#This Row],[Season]],Games[Date],"&lt;=" &amp; Games[[#This Row],[Date]])</f>
        <v>30</v>
      </c>
      <c r="D381" s="2" t="s">
        <v>79</v>
      </c>
      <c r="E381" s="2" t="s">
        <v>80</v>
      </c>
      <c r="F381" s="1" t="s">
        <v>71</v>
      </c>
      <c r="G381" s="1" t="s">
        <v>67</v>
      </c>
      <c r="H381" s="1" t="s">
        <v>82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1" s="2">
        <f>Games[[#This Row],[DaysOff]]-Games[[#This Row],[OppDaysOff]]</f>
        <v>-1</v>
      </c>
      <c r="L381" s="2">
        <f>Games[[#This Row],[OppDaysOff]]-Games[[#This Row],[DaysOff]]</f>
        <v>1</v>
      </c>
      <c r="M381" s="1">
        <f>MAX(-16, MIN(16, Games[[#This Row],[RestDiff]]*8))</f>
        <v>-8</v>
      </c>
      <c r="N381" s="1">
        <f>MAX(-16, MIN(16, Games[[#This Row],[OppRestDiff]]*8))</f>
        <v>8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1524.5032769289153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1688.4059462805658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0.36538657249671369</v>
      </c>
      <c r="R381" s="1">
        <v>87</v>
      </c>
      <c r="S381" s="1">
        <v>91</v>
      </c>
      <c r="T381" s="1">
        <v>0</v>
      </c>
      <c r="U381" s="1">
        <f>Games[[#This Row],[PointsFor]]-Games[[#This Row],[PointsAgainst]]</f>
        <v>-4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0.27400729559559239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1" s="9">
        <f>MAX(kmin, kmax - 0.15 * MIN(Games[[#This Row],[GamesPlayed]], 82))</f>
        <v>71.5</v>
      </c>
      <c r="Z381" s="4">
        <f>Games[[#This Row],[K]]*Games[[#This Row],[POMult]]</f>
        <v>71.5</v>
      </c>
      <c r="AA381" s="4">
        <f>(Games[[#This Row],[Keff]]*Games[[#This Row],[MOVMult]])*(Games[[#This Row],[Result]]-Games[[#This Row],[ExpectedWin%]])</f>
        <v>-7.1584789402388678</v>
      </c>
      <c r="AB381" s="4">
        <f>Games[[#This Row],[PreGmRate]]+Games[[#This Row],[RatingChange]]</f>
        <v>1517.3447979886764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45875</v>
      </c>
      <c r="B382" s="2">
        <v>2025</v>
      </c>
      <c r="C382" s="2">
        <f>COUNTIFS(Games[Team],Games[[#This Row],[Team]],Games[Season],Games[[#This Row],[Season]],Games[Date],"&lt;=" &amp; Games[[#This Row],[Date]])</f>
        <v>30</v>
      </c>
      <c r="D382" s="2" t="s">
        <v>79</v>
      </c>
      <c r="E382" s="2" t="s">
        <v>80</v>
      </c>
      <c r="F382" s="1" t="s">
        <v>86</v>
      </c>
      <c r="G382" s="1" t="s">
        <v>88</v>
      </c>
      <c r="H382" s="1" t="s">
        <v>81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1540.6548348679016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1507.522540895573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0.42731410118494484</v>
      </c>
      <c r="R382" s="1">
        <v>78</v>
      </c>
      <c r="S382" s="1">
        <v>72</v>
      </c>
      <c r="T382" s="1">
        <v>0</v>
      </c>
      <c r="U382" s="1">
        <f>Games[[#This Row],[PointsFor]]-Games[[#This Row],[PointsAgainst]]</f>
        <v>6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0.34184240845017499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2" s="9">
        <f>MAX(kmin, kmax - 0.15 * MIN(Games[[#This Row],[GamesPlayed]], 82))</f>
        <v>71.5</v>
      </c>
      <c r="Z382" s="4">
        <f>Games[[#This Row],[K]]*Games[[#This Row],[POMult]]</f>
        <v>71.5</v>
      </c>
      <c r="AA382" s="4">
        <f>(Games[[#This Row],[Keff]]*Games[[#This Row],[MOVMult]])*(Games[[#This Row],[Result]]-Games[[#This Row],[ExpectedWin%]])</f>
        <v>13.997435375952005</v>
      </c>
      <c r="AB382" s="4">
        <f>Games[[#This Row],[PreGmRate]]+Games[[#This Row],[RatingChange]]</f>
        <v>1554.6522702438535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45875</v>
      </c>
      <c r="B383" s="2">
        <v>2025</v>
      </c>
      <c r="C383" s="2">
        <f>COUNTIFS(Games[Team],Games[[#This Row],[Team]],Games[Season],Games[[#This Row],[Season]],Games[Date],"&lt;=" &amp; Games[[#This Row],[Date]])</f>
        <v>29</v>
      </c>
      <c r="D383" s="2" t="s">
        <v>79</v>
      </c>
      <c r="E383" s="2" t="s">
        <v>80</v>
      </c>
      <c r="F383" s="1" t="s">
        <v>88</v>
      </c>
      <c r="G383" s="1" t="s">
        <v>86</v>
      </c>
      <c r="H383" s="1" t="s">
        <v>82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1507.522540895573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1540.6548348679016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0.57268589881505505</v>
      </c>
      <c r="R383" s="1">
        <v>72</v>
      </c>
      <c r="S383" s="1">
        <v>78</v>
      </c>
      <c r="T383" s="1">
        <v>0</v>
      </c>
      <c r="U383" s="1">
        <f>Games[[#This Row],[PointsFor]]-Games[[#This Row],[PointsAgainst]]</f>
        <v>-6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0.34184240845017499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3" s="9">
        <f>MAX(kmin, kmax - 0.15 * MIN(Games[[#This Row],[GamesPlayed]], 82))</f>
        <v>71.650000000000006</v>
      </c>
      <c r="Z383" s="4">
        <f>Games[[#This Row],[K]]*Games[[#This Row],[POMult]]</f>
        <v>71.650000000000006</v>
      </c>
      <c r="AA383" s="4">
        <f>(Games[[#This Row],[Keff]]*Games[[#This Row],[MOVMult]])*(Games[[#This Row],[Result]]-Games[[#This Row],[ExpectedWin%]])</f>
        <v>-14.026800624992461</v>
      </c>
      <c r="AB383" s="4">
        <f>Games[[#This Row],[PreGmRate]]+Games[[#This Row],[RatingChange]]</f>
        <v>1493.4957402705804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45876</v>
      </c>
      <c r="B384" s="2">
        <v>2025</v>
      </c>
      <c r="C384" s="2">
        <f>COUNTIFS(Games[Team],Games[[#This Row],[Team]],Games[Season],Games[[#This Row],[Season]],Games[Date],"&lt;=" &amp; Games[[#This Row],[Date]])</f>
        <v>30</v>
      </c>
      <c r="D384" s="2" t="s">
        <v>79</v>
      </c>
      <c r="E384" s="2" t="s">
        <v>80</v>
      </c>
      <c r="F384" s="1" t="s">
        <v>77</v>
      </c>
      <c r="G384" s="1" t="s">
        <v>75</v>
      </c>
      <c r="H384" s="1" t="s">
        <v>81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2</v>
      </c>
      <c r="L384" s="2">
        <f>Games[[#This Row],[OppDaysOff]]-Games[[#This Row],[DaysOff]]</f>
        <v>-2</v>
      </c>
      <c r="M384" s="1">
        <f>MAX(-16, MIN(16, Games[[#This Row],[RestDiff]]*8))</f>
        <v>16</v>
      </c>
      <c r="N384" s="1">
        <f>MAX(-16, MIN(16, Games[[#This Row],[OppRestDiff]]*8))</f>
        <v>-16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1583.5336756231293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1330.6070680177988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0.76071919722027559</v>
      </c>
      <c r="R384" s="1">
        <v>86</v>
      </c>
      <c r="S384" s="1">
        <v>65</v>
      </c>
      <c r="T384" s="1">
        <v>0</v>
      </c>
      <c r="U384" s="1">
        <f>Games[[#This Row],[PointsFor]]-Games[[#This Row],[PointsAgainst]]</f>
        <v>21</v>
      </c>
      <c r="V384" s="1">
        <f>IF(Games[[#This Row],[MOV]]&gt;0,1,IF(Games[[#This Row],[MOV]]=0,0.5,0))</f>
        <v>1</v>
      </c>
      <c r="W384" s="4">
        <f>((ABS(Games[[#This Row],[MOV]])+5)^0.6)/(12+0.01*(ABS(Games[[#This Row],[PreGmRate]]-Games[[#This Row],[OppPreGmRate]])))*IF(Games[[#This Row],[OT]]=1,0.9,1)</f>
        <v>0.48611646564100913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4" s="9">
        <f>MAX(kmin, kmax - 0.15 * MIN(Games[[#This Row],[GamesPlayed]], 82))</f>
        <v>71.5</v>
      </c>
      <c r="Z384" s="4">
        <f>Games[[#This Row],[K]]*Games[[#This Row],[POMult]]</f>
        <v>71.5</v>
      </c>
      <c r="AA384" s="4">
        <f>(Games[[#This Row],[Keff]]*Games[[#This Row],[MOVMult]])*(Games[[#This Row],[Result]]-Games[[#This Row],[ExpectedWin%]])</f>
        <v>8.3167611772261427</v>
      </c>
      <c r="AB384" s="4">
        <f>Games[[#This Row],[PreGmRate]]+Games[[#This Row],[RatingChange]]</f>
        <v>1591.8504368003555</v>
      </c>
      <c r="AC384" s="2">
        <f>IF(Games[[#This Row],[Type]]="R",IF(Games[[#This Row],[Result]]&gt;0.5,1,0),0)</f>
        <v>1</v>
      </c>
      <c r="AD384" s="2">
        <f>IF(Games[[#This Row],[Type]]="R",IF(Games[[#This Row],[Result]]&lt;0.5,1,0),0)</f>
        <v>0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45876</v>
      </c>
      <c r="B385" s="2">
        <v>2025</v>
      </c>
      <c r="C385" s="2">
        <f>COUNTIFS(Games[Team],Games[[#This Row],[Team]],Games[Season],Games[[#This Row],[Season]],Games[Date],"&lt;=" &amp; Games[[#This Row],[Date]])</f>
        <v>30</v>
      </c>
      <c r="D385" s="2" t="s">
        <v>79</v>
      </c>
      <c r="E385" s="2" t="s">
        <v>80</v>
      </c>
      <c r="F385" s="1" t="s">
        <v>75</v>
      </c>
      <c r="G385" s="1" t="s">
        <v>77</v>
      </c>
      <c r="H385" s="1" t="s">
        <v>82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5" s="2">
        <f>Games[[#This Row],[DaysOff]]-Games[[#This Row],[OppDaysOff]]</f>
        <v>-2</v>
      </c>
      <c r="L385" s="2">
        <f>Games[[#This Row],[OppDaysOff]]-Games[[#This Row],[DaysOff]]</f>
        <v>2</v>
      </c>
      <c r="M385" s="1">
        <f>MAX(-16, MIN(16, Games[[#This Row],[RestDiff]]*8))</f>
        <v>-16</v>
      </c>
      <c r="N385" s="1">
        <f>MAX(-16, MIN(16, Games[[#This Row],[OppRestDiff]]*8))</f>
        <v>16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1330.6070680177988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1583.5336756231293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0.23928080277972433</v>
      </c>
      <c r="R385" s="1">
        <v>65</v>
      </c>
      <c r="S385" s="1">
        <v>86</v>
      </c>
      <c r="T385" s="1">
        <v>0</v>
      </c>
      <c r="U385" s="1">
        <f>Games[[#This Row],[PointsFor]]-Games[[#This Row],[PointsAgainst]]</f>
        <v>-21</v>
      </c>
      <c r="V385" s="1">
        <f>IF(Games[[#This Row],[MOV]]&gt;0,1,IF(Games[[#This Row],[MOV]]=0,0.5,0))</f>
        <v>0</v>
      </c>
      <c r="W385" s="4">
        <f>((ABS(Games[[#This Row],[MOV]])+5)^0.6)/(12+0.01*(ABS(Games[[#This Row],[PreGmRate]]-Games[[#This Row],[OppPreGmRate]])))*IF(Games[[#This Row],[OT]]=1,0.9,1)</f>
        <v>0.48611646564100913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5" s="9">
        <f>MAX(kmin, kmax - 0.15 * MIN(Games[[#This Row],[GamesPlayed]], 82))</f>
        <v>71.5</v>
      </c>
      <c r="Z385" s="4">
        <f>Games[[#This Row],[K]]*Games[[#This Row],[POMult]]</f>
        <v>71.5</v>
      </c>
      <c r="AA385" s="4">
        <f>(Games[[#This Row],[Keff]]*Games[[#This Row],[MOVMult]])*(Games[[#This Row],[Result]]-Games[[#This Row],[ExpectedWin%]])</f>
        <v>-8.3167611772261409</v>
      </c>
      <c r="AB385" s="4">
        <f>Games[[#This Row],[PreGmRate]]+Games[[#This Row],[RatingChange]]</f>
        <v>1322.2903068405726</v>
      </c>
      <c r="AC385" s="2">
        <f>IF(Games[[#This Row],[Type]]="R",IF(Games[[#This Row],[Result]]&gt;0.5,1,0),0)</f>
        <v>0</v>
      </c>
      <c r="AD385" s="2">
        <f>IF(Games[[#This Row],[Type]]="R",IF(Games[[#This Row],[Result]]&lt;0.5,1,0),0)</f>
        <v>1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45876</v>
      </c>
      <c r="B386" s="2">
        <v>2025</v>
      </c>
      <c r="C386" s="2">
        <f>COUNTIFS(Games[Team],Games[[#This Row],[Team]],Games[Season],Games[[#This Row],[Season]],Games[Date],"&lt;=" &amp; Games[[#This Row],[Date]])</f>
        <v>29</v>
      </c>
      <c r="D386" s="2" t="s">
        <v>79</v>
      </c>
      <c r="E386" s="2" t="s">
        <v>80</v>
      </c>
      <c r="F386" s="1" t="s">
        <v>74</v>
      </c>
      <c r="G386" s="1" t="s">
        <v>63</v>
      </c>
      <c r="H386" s="1" t="s">
        <v>81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0</v>
      </c>
      <c r="L386" s="2">
        <f>Games[[#This Row],[OppDaysOff]]-Games[[#This Row],[DaysOff]]</f>
        <v>0</v>
      </c>
      <c r="M386" s="1">
        <f>MAX(-16, MIN(16, Games[[#This Row],[RestDiff]]*8))</f>
        <v>0</v>
      </c>
      <c r="N386" s="1">
        <f>MAX(-16, MIN(16, Games[[#This Row],[OppRestDiff]]*8))</f>
        <v>0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1350.7781470748851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1462.3032956694328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0.24498636899635659</v>
      </c>
      <c r="R386" s="1">
        <v>91</v>
      </c>
      <c r="S386" s="1">
        <v>102</v>
      </c>
      <c r="T386" s="1">
        <v>0</v>
      </c>
      <c r="U386" s="1">
        <f>Games[[#This Row],[PointsFor]]-Games[[#This Row],[PointsAgainst]]</f>
        <v>-11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0.40243465012833368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6" s="9">
        <f>MAX(kmin, kmax - 0.15 * MIN(Games[[#This Row],[GamesPlayed]], 82))</f>
        <v>71.650000000000006</v>
      </c>
      <c r="Z386" s="4">
        <f>Games[[#This Row],[K]]*Games[[#This Row],[POMult]]</f>
        <v>71.650000000000006</v>
      </c>
      <c r="AA386" s="4">
        <f>(Games[[#This Row],[Keff]]*Games[[#This Row],[MOVMult]])*(Games[[#This Row],[Result]]-Games[[#This Row],[ExpectedWin%]])</f>
        <v>-7.0640454146220524</v>
      </c>
      <c r="AB386" s="4">
        <f>Games[[#This Row],[PreGmRate]]+Games[[#This Row],[RatingChange]]</f>
        <v>1343.7141016602629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45876</v>
      </c>
      <c r="B387" s="2">
        <v>2025</v>
      </c>
      <c r="C387" s="2">
        <f>COUNTIFS(Games[Team],Games[[#This Row],[Team]],Games[Season],Games[[#This Row],[Season]],Games[Date],"&lt;=" &amp; Games[[#This Row],[Date]])</f>
        <v>29</v>
      </c>
      <c r="D387" s="2" t="s">
        <v>79</v>
      </c>
      <c r="E387" s="2" t="s">
        <v>80</v>
      </c>
      <c r="F387" s="1" t="s">
        <v>63</v>
      </c>
      <c r="G387" s="1" t="s">
        <v>74</v>
      </c>
      <c r="H387" s="1" t="s">
        <v>82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0</v>
      </c>
      <c r="L387" s="2">
        <f>Games[[#This Row],[OppDaysOff]]-Games[[#This Row],[DaysOff]]</f>
        <v>0</v>
      </c>
      <c r="M387" s="1">
        <f>MAX(-16, MIN(16, Games[[#This Row],[RestDiff]]*8))</f>
        <v>0</v>
      </c>
      <c r="N387" s="1">
        <f>MAX(-16, MIN(16, Games[[#This Row],[OppRestDiff]]*8))</f>
        <v>0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1462.3032956694328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1350.7781470748851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0.75501363100364349</v>
      </c>
      <c r="R387" s="1">
        <v>102</v>
      </c>
      <c r="S387" s="1">
        <v>91</v>
      </c>
      <c r="T387" s="1">
        <v>0</v>
      </c>
      <c r="U387" s="1">
        <f>Games[[#This Row],[PointsFor]]-Games[[#This Row],[PointsAgainst]]</f>
        <v>11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0.40243465012833368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7" s="9">
        <f>MAX(kmin, kmax - 0.15 * MIN(Games[[#This Row],[GamesPlayed]], 82))</f>
        <v>71.650000000000006</v>
      </c>
      <c r="Z387" s="4">
        <f>Games[[#This Row],[K]]*Games[[#This Row],[POMult]]</f>
        <v>71.650000000000006</v>
      </c>
      <c r="AA387" s="4">
        <f>(Games[[#This Row],[Keff]]*Games[[#This Row],[MOVMult]])*(Games[[#This Row],[Result]]-Games[[#This Row],[ExpectedWin%]])</f>
        <v>7.0640454146220506</v>
      </c>
      <c r="AB387" s="4">
        <f>Games[[#This Row],[PreGmRate]]+Games[[#This Row],[RatingChange]]</f>
        <v>1469.3673410840549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45876</v>
      </c>
      <c r="B388" s="2">
        <v>2025</v>
      </c>
      <c r="C388" s="2">
        <f>COUNTIFS(Games[Team],Games[[#This Row],[Team]],Games[Season],Games[[#This Row],[Season]],Games[Date],"&lt;=" &amp; Games[[#This Row],[Date]])</f>
        <v>32</v>
      </c>
      <c r="D388" s="2" t="s">
        <v>79</v>
      </c>
      <c r="E388" s="2" t="s">
        <v>80</v>
      </c>
      <c r="F388" s="1" t="s">
        <v>69</v>
      </c>
      <c r="G388" s="1" t="s">
        <v>40</v>
      </c>
      <c r="H388" s="1" t="s">
        <v>81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1571.9976721644014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1543.5871120926063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0.42067610384325604</v>
      </c>
      <c r="R388" s="1">
        <v>60</v>
      </c>
      <c r="S388" s="1">
        <v>95</v>
      </c>
      <c r="T388" s="1">
        <v>0</v>
      </c>
      <c r="U388" s="1">
        <f>Games[[#This Row],[PointsFor]]-Games[[#This Row],[PointsAgainst]]</f>
        <v>-35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0.74454757520254267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8" s="9">
        <f>MAX(kmin, kmax - 0.15 * MIN(Games[[#This Row],[GamesPlayed]], 82))</f>
        <v>71.2</v>
      </c>
      <c r="Z388" s="4">
        <f>Games[[#This Row],[K]]*Games[[#This Row],[POMult]]</f>
        <v>71.2</v>
      </c>
      <c r="AA388" s="4">
        <f>(Games[[#This Row],[Keff]]*Games[[#This Row],[MOVMult]])*(Games[[#This Row],[Result]]-Games[[#This Row],[ExpectedWin%]])</f>
        <v>-22.300792162025033</v>
      </c>
      <c r="AB388" s="4">
        <f>Games[[#This Row],[PreGmRate]]+Games[[#This Row],[RatingChange]]</f>
        <v>1549.6968800023762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45876</v>
      </c>
      <c r="B389" s="2">
        <v>2025</v>
      </c>
      <c r="C389" s="2">
        <f>COUNTIFS(Games[Team],Games[[#This Row],[Team]],Games[Season],Games[[#This Row],[Season]],Games[Date],"&lt;=" &amp; Games[[#This Row],[Date]])</f>
        <v>30</v>
      </c>
      <c r="D389" s="2" t="s">
        <v>79</v>
      </c>
      <c r="E389" s="2" t="s">
        <v>80</v>
      </c>
      <c r="F389" s="1" t="s">
        <v>40</v>
      </c>
      <c r="G389" s="1" t="s">
        <v>69</v>
      </c>
      <c r="H389" s="1" t="s">
        <v>82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1543.5871120926063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1571.9976721644014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0.57932389615674384</v>
      </c>
      <c r="R389" s="1">
        <v>95</v>
      </c>
      <c r="S389" s="1">
        <v>60</v>
      </c>
      <c r="T389" s="1">
        <v>0</v>
      </c>
      <c r="U389" s="1">
        <f>Games[[#This Row],[PointsFor]]-Games[[#This Row],[PointsAgainst]]</f>
        <v>35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0.74454757520254267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9" s="9">
        <f>MAX(kmin, kmax - 0.15 * MIN(Games[[#This Row],[GamesPlayed]], 82))</f>
        <v>71.5</v>
      </c>
      <c r="Z389" s="4">
        <f>Games[[#This Row],[K]]*Games[[#This Row],[POMult]]</f>
        <v>71.5</v>
      </c>
      <c r="AA389" s="4">
        <f>(Games[[#This Row],[Keff]]*Games[[#This Row],[MOVMult]])*(Games[[#This Row],[Result]]-Games[[#This Row],[ExpectedWin%]])</f>
        <v>22.394756173943684</v>
      </c>
      <c r="AB389" s="4">
        <f>Games[[#This Row],[PreGmRate]]+Games[[#This Row],[RatingChange]]</f>
        <v>1565.98186826655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45877</v>
      </c>
      <c r="B390" s="2">
        <v>2025</v>
      </c>
      <c r="C390" s="2">
        <f>COUNTIFS(Games[Team],Games[[#This Row],[Team]],Games[Season],Games[[#This Row],[Season]],Games[Date],"&lt;=" &amp; Games[[#This Row],[Date]])</f>
        <v>30</v>
      </c>
      <c r="D390" s="2" t="s">
        <v>79</v>
      </c>
      <c r="E390" s="2" t="s">
        <v>80</v>
      </c>
      <c r="F390" s="1" t="s">
        <v>60</v>
      </c>
      <c r="G390" s="1" t="s">
        <v>85</v>
      </c>
      <c r="H390" s="1" t="s">
        <v>81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0" s="2">
        <f>Games[[#This Row],[DaysOff]]-Games[[#This Row],[OppDaysOff]]</f>
        <v>0</v>
      </c>
      <c r="L390" s="2">
        <f>Games[[#This Row],[OppDaysOff]]-Games[[#This Row],[DaysOff]]</f>
        <v>0</v>
      </c>
      <c r="M390" s="1">
        <f>MAX(-16, MIN(16, Games[[#This Row],[RestDiff]]*8))</f>
        <v>0</v>
      </c>
      <c r="N390" s="1">
        <f>MAX(-16, MIN(16, Games[[#This Row],[OppRestDiff]]*8))</f>
        <v>0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1597.9637488209166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1366.0590881750982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0.70086234935047453</v>
      </c>
      <c r="R390" s="1">
        <v>88</v>
      </c>
      <c r="S390" s="1">
        <v>77</v>
      </c>
      <c r="T390" s="1">
        <v>0</v>
      </c>
      <c r="U390" s="1">
        <f>Games[[#This Row],[PointsFor]]-Games[[#This Row],[PointsAgainst]]</f>
        <v>11</v>
      </c>
      <c r="V390" s="1">
        <f>IF(Games[[#This Row],[MOV]]&gt;0,1,IF(Games[[#This Row],[MOV]]=0,0.5,0))</f>
        <v>1</v>
      </c>
      <c r="W390" s="4">
        <f>((ABS(Games[[#This Row],[MOV]])+5)^0.6)/(12+0.01*(ABS(Games[[#This Row],[PreGmRate]]-Games[[#This Row],[OppPreGmRate]])))*IF(Games[[#This Row],[OT]]=1,0.9,1)</f>
        <v>0.36860216941476226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0" s="9">
        <f>MAX(kmin, kmax - 0.15 * MIN(Games[[#This Row],[GamesPlayed]], 82))</f>
        <v>71.5</v>
      </c>
      <c r="Z390" s="4">
        <f>Games[[#This Row],[K]]*Games[[#This Row],[POMult]]</f>
        <v>71.5</v>
      </c>
      <c r="AA390" s="4">
        <f>(Games[[#This Row],[Keff]]*Games[[#This Row],[MOVMult]])*(Games[[#This Row],[Result]]-Games[[#This Row],[ExpectedWin%]])</f>
        <v>7.8837892692881004</v>
      </c>
      <c r="AB390" s="4">
        <f>Games[[#This Row],[PreGmRate]]+Games[[#This Row],[RatingChange]]</f>
        <v>1605.8475380902048</v>
      </c>
      <c r="AC390" s="2">
        <f>IF(Games[[#This Row],[Type]]="R",IF(Games[[#This Row],[Result]]&gt;0.5,1,0),0)</f>
        <v>1</v>
      </c>
      <c r="AD390" s="2">
        <f>IF(Games[[#This Row],[Type]]="R",IF(Games[[#This Row],[Result]]&lt;0.5,1,0),0)</f>
        <v>0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45877</v>
      </c>
      <c r="B391" s="2">
        <v>2025</v>
      </c>
      <c r="C391" s="2">
        <f>COUNTIFS(Games[Team],Games[[#This Row],[Team]],Games[Season],Games[[#This Row],[Season]],Games[Date],"&lt;=" &amp; Games[[#This Row],[Date]])</f>
        <v>31</v>
      </c>
      <c r="D391" s="2" t="s">
        <v>79</v>
      </c>
      <c r="E391" s="2" t="s">
        <v>80</v>
      </c>
      <c r="F391" s="1" t="s">
        <v>85</v>
      </c>
      <c r="G391" s="1" t="s">
        <v>60</v>
      </c>
      <c r="H391" s="1" t="s">
        <v>82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1" s="2">
        <f>Games[[#This Row],[DaysOff]]-Games[[#This Row],[OppDaysOff]]</f>
        <v>0</v>
      </c>
      <c r="L391" s="2">
        <f>Games[[#This Row],[OppDaysOff]]-Games[[#This Row],[DaysOff]]</f>
        <v>0</v>
      </c>
      <c r="M391" s="1">
        <f>MAX(-16, MIN(16, Games[[#This Row],[RestDiff]]*8))</f>
        <v>0</v>
      </c>
      <c r="N391" s="1">
        <f>MAX(-16, MIN(16, Games[[#This Row],[OppRestDiff]]*8))</f>
        <v>0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1366.0590881750982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1597.9637488209166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0.29913765064952552</v>
      </c>
      <c r="R391" s="1">
        <v>77</v>
      </c>
      <c r="S391" s="1">
        <v>88</v>
      </c>
      <c r="T391" s="1">
        <v>0</v>
      </c>
      <c r="U391" s="1">
        <f>Games[[#This Row],[PointsFor]]-Games[[#This Row],[PointsAgainst]]</f>
        <v>-11</v>
      </c>
      <c r="V391" s="1">
        <f>IF(Games[[#This Row],[MOV]]&gt;0,1,IF(Games[[#This Row],[MOV]]=0,0.5,0))</f>
        <v>0</v>
      </c>
      <c r="W391" s="4">
        <f>((ABS(Games[[#This Row],[MOV]])+5)^0.6)/(12+0.01*(ABS(Games[[#This Row],[PreGmRate]]-Games[[#This Row],[OppPreGmRate]])))*IF(Games[[#This Row],[OT]]=1,0.9,1)</f>
        <v>0.36860216941476226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1" s="9">
        <f>MAX(kmin, kmax - 0.15 * MIN(Games[[#This Row],[GamesPlayed]], 82))</f>
        <v>71.349999999999994</v>
      </c>
      <c r="Z391" s="4">
        <f>Games[[#This Row],[K]]*Games[[#This Row],[POMult]]</f>
        <v>71.349999999999994</v>
      </c>
      <c r="AA391" s="4">
        <f>(Games[[#This Row],[Keff]]*Games[[#This Row],[MOVMult]])*(Games[[#This Row],[Result]]-Games[[#This Row],[ExpectedWin%]])</f>
        <v>-7.8672498512406435</v>
      </c>
      <c r="AB391" s="4">
        <f>Games[[#This Row],[PreGmRate]]+Games[[#This Row],[RatingChange]]</f>
        <v>1358.1918383238576</v>
      </c>
      <c r="AC391" s="2">
        <f>IF(Games[[#This Row],[Type]]="R",IF(Games[[#This Row],[Result]]&gt;0.5,1,0),0)</f>
        <v>0</v>
      </c>
      <c r="AD391" s="2">
        <f>IF(Games[[#This Row],[Type]]="R",IF(Games[[#This Row],[Result]]&lt;0.5,1,0),0)</f>
        <v>1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45877</v>
      </c>
      <c r="B392" s="2">
        <v>2025</v>
      </c>
      <c r="C392" s="2">
        <f>COUNTIFS(Games[Team],Games[[#This Row],[Team]],Games[Season],Games[[#This Row],[Season]],Games[Date],"&lt;=" &amp; Games[[#This Row],[Date]])</f>
        <v>31</v>
      </c>
      <c r="D392" s="2" t="s">
        <v>79</v>
      </c>
      <c r="E392" s="2" t="s">
        <v>80</v>
      </c>
      <c r="F392" s="1" t="s">
        <v>71</v>
      </c>
      <c r="G392" s="1" t="s">
        <v>86</v>
      </c>
      <c r="H392" s="1" t="s">
        <v>81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2" s="2">
        <f>Games[[#This Row],[DaysOff]]-Games[[#This Row],[OppDaysOff]]</f>
        <v>1</v>
      </c>
      <c r="L392" s="2">
        <f>Games[[#This Row],[OppDaysOff]]-Games[[#This Row],[DaysOff]]</f>
        <v>-1</v>
      </c>
      <c r="M392" s="1">
        <f>MAX(-16, MIN(16, Games[[#This Row],[RestDiff]]*8))</f>
        <v>8</v>
      </c>
      <c r="N392" s="1">
        <f>MAX(-16, MIN(16, Games[[#This Row],[OppRestDiff]]*8))</f>
        <v>-8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1517.3447979886764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1554.6522702438535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0.35292684936871671</v>
      </c>
      <c r="R392" s="1">
        <v>86</v>
      </c>
      <c r="S392" s="1">
        <v>90</v>
      </c>
      <c r="T392" s="1">
        <v>0</v>
      </c>
      <c r="U392" s="1">
        <f>Games[[#This Row],[PointsFor]]-Games[[#This Row],[PointsAgainst]]</f>
        <v>-4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0.30204237044127458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2" s="9">
        <f>MAX(kmin, kmax - 0.15 * MIN(Games[[#This Row],[GamesPlayed]], 82))</f>
        <v>71.349999999999994</v>
      </c>
      <c r="Z392" s="4">
        <f>Games[[#This Row],[K]]*Games[[#This Row],[POMult]]</f>
        <v>71.349999999999994</v>
      </c>
      <c r="AA392" s="4">
        <f>(Games[[#This Row],[Keff]]*Games[[#This Row],[MOVMult]])*(Games[[#This Row],[Result]]-Games[[#This Row],[ExpectedWin%]])</f>
        <v>-7.6058288162360403</v>
      </c>
      <c r="AB392" s="4">
        <f>Games[[#This Row],[PreGmRate]]+Games[[#This Row],[RatingChange]]</f>
        <v>1509.7389691724404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45877</v>
      </c>
      <c r="B393" s="2">
        <v>2025</v>
      </c>
      <c r="C393" s="2">
        <f>COUNTIFS(Games[Team],Games[[#This Row],[Team]],Games[Season],Games[[#This Row],[Season]],Games[Date],"&lt;=" &amp; Games[[#This Row],[Date]])</f>
        <v>31</v>
      </c>
      <c r="D393" s="2" t="s">
        <v>79</v>
      </c>
      <c r="E393" s="2" t="s">
        <v>80</v>
      </c>
      <c r="F393" s="1" t="s">
        <v>86</v>
      </c>
      <c r="G393" s="1" t="s">
        <v>71</v>
      </c>
      <c r="H393" s="1" t="s">
        <v>82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3" s="2">
        <f>Games[[#This Row],[DaysOff]]-Games[[#This Row],[OppDaysOff]]</f>
        <v>-1</v>
      </c>
      <c r="L393" s="2">
        <f>Games[[#This Row],[OppDaysOff]]-Games[[#This Row],[DaysOff]]</f>
        <v>1</v>
      </c>
      <c r="M393" s="1">
        <f>MAX(-16, MIN(16, Games[[#This Row],[RestDiff]]*8))</f>
        <v>-8</v>
      </c>
      <c r="N393" s="1">
        <f>MAX(-16, MIN(16, Games[[#This Row],[OppRestDiff]]*8))</f>
        <v>8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1554.6522702438535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1517.3447979886764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0.64707315063128334</v>
      </c>
      <c r="R393" s="1">
        <v>90</v>
      </c>
      <c r="S393" s="1">
        <v>86</v>
      </c>
      <c r="T393" s="1">
        <v>0</v>
      </c>
      <c r="U393" s="1">
        <f>Games[[#This Row],[PointsFor]]-Games[[#This Row],[PointsAgainst]]</f>
        <v>4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0.30204237044127458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3" s="9">
        <f>MAX(kmin, kmax - 0.15 * MIN(Games[[#This Row],[GamesPlayed]], 82))</f>
        <v>71.349999999999994</v>
      </c>
      <c r="Z393" s="4">
        <f>Games[[#This Row],[K]]*Games[[#This Row],[POMult]]</f>
        <v>71.349999999999994</v>
      </c>
      <c r="AA393" s="4">
        <f>(Games[[#This Row],[Keff]]*Games[[#This Row],[MOVMult]])*(Games[[#This Row],[Result]]-Games[[#This Row],[ExpectedWin%]])</f>
        <v>7.6058288162360395</v>
      </c>
      <c r="AB393" s="4">
        <f>Games[[#This Row],[PreGmRate]]+Games[[#This Row],[RatingChange]]</f>
        <v>1562.2580990600895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45877</v>
      </c>
      <c r="B394" s="2">
        <v>2025</v>
      </c>
      <c r="C394" s="2">
        <f>COUNTIFS(Games[Team],Games[[#This Row],[Team]],Games[Season],Games[[#This Row],[Season]],Games[Date],"&lt;=" &amp; Games[[#This Row],[Date]])</f>
        <v>30</v>
      </c>
      <c r="D394" s="2" t="s">
        <v>79</v>
      </c>
      <c r="E394" s="2" t="s">
        <v>80</v>
      </c>
      <c r="F394" s="1" t="s">
        <v>65</v>
      </c>
      <c r="G394" s="1" t="s">
        <v>67</v>
      </c>
      <c r="H394" s="1" t="s">
        <v>81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4" s="2">
        <f>Games[[#This Row],[DaysOff]]-Games[[#This Row],[OppDaysOff]]</f>
        <v>0</v>
      </c>
      <c r="L394" s="2">
        <f>Games[[#This Row],[OppDaysOff]]-Games[[#This Row],[DaysOff]]</f>
        <v>0</v>
      </c>
      <c r="M394" s="1">
        <f>MAX(-16, MIN(16, Games[[#This Row],[RestDiff]]*8))</f>
        <v>0</v>
      </c>
      <c r="N394" s="1">
        <f>MAX(-16, MIN(16, Games[[#This Row],[OppRestDiff]]*8))</f>
        <v>0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1430.6811740090361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1695.549407432818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0.11833975717554707</v>
      </c>
      <c r="R394" s="1">
        <v>76</v>
      </c>
      <c r="S394" s="1">
        <v>80</v>
      </c>
      <c r="T394" s="1">
        <v>0</v>
      </c>
      <c r="U394" s="1">
        <f>Games[[#This Row],[PointsFor]]-Games[[#This Row],[PointsAgainst]]</f>
        <v>-4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0.25512143232922396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4" s="9">
        <f>MAX(kmin, kmax - 0.15 * MIN(Games[[#This Row],[GamesPlayed]], 82))</f>
        <v>71.5</v>
      </c>
      <c r="Z394" s="4">
        <f>Games[[#This Row],[K]]*Games[[#This Row],[POMult]]</f>
        <v>71.5</v>
      </c>
      <c r="AA394" s="4">
        <f>(Games[[#This Row],[Keff]]*Games[[#This Row],[MOVMult]])*(Games[[#This Row],[Result]]-Games[[#This Row],[ExpectedWin%]])</f>
        <v>-2.1586570971764458</v>
      </c>
      <c r="AB394" s="4">
        <f>Games[[#This Row],[PreGmRate]]+Games[[#This Row],[RatingChange]]</f>
        <v>1428.5225169118596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45877</v>
      </c>
      <c r="B395" s="2">
        <v>2025</v>
      </c>
      <c r="C395" s="2">
        <f>COUNTIFS(Games[Team],Games[[#This Row],[Team]],Games[Season],Games[[#This Row],[Season]],Games[Date],"&lt;=" &amp; Games[[#This Row],[Date]])</f>
        <v>32</v>
      </c>
      <c r="D395" s="2" t="s">
        <v>79</v>
      </c>
      <c r="E395" s="2" t="s">
        <v>80</v>
      </c>
      <c r="F395" s="1" t="s">
        <v>67</v>
      </c>
      <c r="G395" s="1" t="s">
        <v>65</v>
      </c>
      <c r="H395" s="1" t="s">
        <v>82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0</v>
      </c>
      <c r="L395" s="2">
        <f>Games[[#This Row],[OppDaysOff]]-Games[[#This Row],[DaysOff]]</f>
        <v>0</v>
      </c>
      <c r="M395" s="1">
        <f>MAX(-16, MIN(16, Games[[#This Row],[RestDiff]]*8))</f>
        <v>0</v>
      </c>
      <c r="N395" s="1">
        <f>MAX(-16, MIN(16, Games[[#This Row],[OppRestDiff]]*8))</f>
        <v>0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1695.549407432818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1430.6811740090361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0.88166024282445288</v>
      </c>
      <c r="R395" s="1">
        <v>80</v>
      </c>
      <c r="S395" s="1">
        <v>76</v>
      </c>
      <c r="T395" s="1">
        <v>0</v>
      </c>
      <c r="U395" s="1">
        <f>Games[[#This Row],[PointsFor]]-Games[[#This Row],[PointsAgainst]]</f>
        <v>4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0.25512143232922396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5" s="9">
        <f>MAX(kmin, kmax - 0.15 * MIN(Games[[#This Row],[GamesPlayed]], 82))</f>
        <v>71.2</v>
      </c>
      <c r="Z395" s="4">
        <f>Games[[#This Row],[K]]*Games[[#This Row],[POMult]]</f>
        <v>71.2</v>
      </c>
      <c r="AA395" s="4">
        <f>(Games[[#This Row],[Keff]]*Games[[#This Row],[MOVMult]])*(Games[[#This Row],[Result]]-Games[[#This Row],[ExpectedWin%]])</f>
        <v>2.1495997946708116</v>
      </c>
      <c r="AB395" s="4">
        <f>Games[[#This Row],[PreGmRate]]+Games[[#This Row],[RatingChange]]</f>
        <v>1697.6990072274889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45878</v>
      </c>
      <c r="B396" s="2">
        <v>2025</v>
      </c>
      <c r="C396" s="2">
        <f>COUNTIFS(Games[Team],Games[[#This Row],[Team]],Games[Season],Games[[#This Row],[Season]],Games[Date],"&lt;=" &amp; Games[[#This Row],[Date]])</f>
        <v>30</v>
      </c>
      <c r="D396" s="2" t="s">
        <v>79</v>
      </c>
      <c r="E396" s="2" t="s">
        <v>80</v>
      </c>
      <c r="F396" s="1" t="s">
        <v>63</v>
      </c>
      <c r="G396" s="1" t="s">
        <v>88</v>
      </c>
      <c r="H396" s="1" t="s">
        <v>81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6" s="2">
        <f>Games[[#This Row],[DaysOff]]-Games[[#This Row],[OppDaysOff]]</f>
        <v>-1</v>
      </c>
      <c r="L396" s="2">
        <f>Games[[#This Row],[OppDaysOff]]-Games[[#This Row],[DaysOff]]</f>
        <v>1</v>
      </c>
      <c r="M396" s="1">
        <f>MAX(-16, MIN(16, Games[[#This Row],[RestDiff]]*8))</f>
        <v>-8</v>
      </c>
      <c r="N396" s="1">
        <f>MAX(-16, MIN(16, Games[[#This Row],[OppRestDiff]]*8))</f>
        <v>8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1469.3673410840549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1493.4957402705804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0.32859633216517514</v>
      </c>
      <c r="R396" s="1">
        <v>59</v>
      </c>
      <c r="S396" s="1">
        <v>72</v>
      </c>
      <c r="T396" s="1">
        <v>0</v>
      </c>
      <c r="U396" s="1">
        <f>Games[[#This Row],[PointsFor]]-Games[[#This Row],[PointsAgainst]]</f>
        <v>-13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0.46273945376430109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6" s="9">
        <f>MAX(kmin, kmax - 0.15 * MIN(Games[[#This Row],[GamesPlayed]], 82))</f>
        <v>71.5</v>
      </c>
      <c r="Z396" s="4">
        <f>Games[[#This Row],[K]]*Games[[#This Row],[POMult]]</f>
        <v>71.5</v>
      </c>
      <c r="AA396" s="4">
        <f>(Games[[#This Row],[Keff]]*Games[[#This Row],[MOVMult]])*(Games[[#This Row],[Result]]-Games[[#This Row],[ExpectedWin%]])</f>
        <v>-10.871895838737219</v>
      </c>
      <c r="AB396" s="4">
        <f>Games[[#This Row],[PreGmRate]]+Games[[#This Row],[RatingChange]]</f>
        <v>1458.4954452453178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45878</v>
      </c>
      <c r="B397" s="2">
        <v>2025</v>
      </c>
      <c r="C397" s="2">
        <f>COUNTIFS(Games[Team],Games[[#This Row],[Team]],Games[Season],Games[[#This Row],[Season]],Games[Date],"&lt;=" &amp; Games[[#This Row],[Date]])</f>
        <v>30</v>
      </c>
      <c r="D397" s="2" t="s">
        <v>79</v>
      </c>
      <c r="E397" s="2" t="s">
        <v>80</v>
      </c>
      <c r="F397" s="1" t="s">
        <v>88</v>
      </c>
      <c r="G397" s="1" t="s">
        <v>63</v>
      </c>
      <c r="H397" s="1" t="s">
        <v>82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1</v>
      </c>
      <c r="L397" s="2">
        <f>Games[[#This Row],[OppDaysOff]]-Games[[#This Row],[DaysOff]]</f>
        <v>-1</v>
      </c>
      <c r="M397" s="1">
        <f>MAX(-16, MIN(16, Games[[#This Row],[RestDiff]]*8))</f>
        <v>8</v>
      </c>
      <c r="N397" s="1">
        <f>MAX(-16, MIN(16, Games[[#This Row],[OppRestDiff]]*8))</f>
        <v>-8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1493.4957402705804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1469.3673410840549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0.67140366783482486</v>
      </c>
      <c r="R397" s="1">
        <v>72</v>
      </c>
      <c r="S397" s="1">
        <v>59</v>
      </c>
      <c r="T397" s="1">
        <v>0</v>
      </c>
      <c r="U397" s="1">
        <f>Games[[#This Row],[PointsFor]]-Games[[#This Row],[PointsAgainst]]</f>
        <v>13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0.46273945376430109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7" s="9">
        <f>MAX(kmin, kmax - 0.15 * MIN(Games[[#This Row],[GamesPlayed]], 82))</f>
        <v>71.5</v>
      </c>
      <c r="Z397" s="4">
        <f>Games[[#This Row],[K]]*Games[[#This Row],[POMult]]</f>
        <v>71.5</v>
      </c>
      <c r="AA397" s="4">
        <f>(Games[[#This Row],[Keff]]*Games[[#This Row],[MOVMult]])*(Games[[#This Row],[Result]]-Games[[#This Row],[ExpectedWin%]])</f>
        <v>10.871895838737219</v>
      </c>
      <c r="AB397" s="4">
        <f>Games[[#This Row],[PreGmRate]]+Games[[#This Row],[RatingChange]]</f>
        <v>1504.3676361093176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45878</v>
      </c>
      <c r="B398" s="2">
        <v>2025</v>
      </c>
      <c r="C398" s="2">
        <f>COUNTIFS(Games[Team],Games[[#This Row],[Team]],Games[Season],Games[[#This Row],[Season]],Games[Date],"&lt;=" &amp; Games[[#This Row],[Date]])</f>
        <v>31</v>
      </c>
      <c r="D398" s="2" t="s">
        <v>79</v>
      </c>
      <c r="E398" s="2" t="s">
        <v>80</v>
      </c>
      <c r="F398" s="1" t="s">
        <v>75</v>
      </c>
      <c r="G398" s="1" t="s">
        <v>69</v>
      </c>
      <c r="H398" s="1" t="s">
        <v>81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1322.2903068405726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1549.6968800023762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0.14275421085675521</v>
      </c>
      <c r="R398" s="1">
        <v>70</v>
      </c>
      <c r="S398" s="1">
        <v>92</v>
      </c>
      <c r="T398" s="1">
        <v>0</v>
      </c>
      <c r="U398" s="1">
        <f>Games[[#This Row],[PointsFor]]-Games[[#This Row],[PointsAgainst]]</f>
        <v>-22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0.50613988976097579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8" s="9">
        <f>MAX(kmin, kmax - 0.15 * MIN(Games[[#This Row],[GamesPlayed]], 82))</f>
        <v>71.349999999999994</v>
      </c>
      <c r="Z398" s="4">
        <f>Games[[#This Row],[K]]*Games[[#This Row],[POMult]]</f>
        <v>71.349999999999994</v>
      </c>
      <c r="AA398" s="4">
        <f>(Games[[#This Row],[Keff]]*Games[[#This Row],[MOVMult]])*(Games[[#This Row],[Result]]-Games[[#This Row],[ExpectedWin%]])</f>
        <v>-5.1552943989537594</v>
      </c>
      <c r="AB398" s="4">
        <f>Games[[#This Row],[PreGmRate]]+Games[[#This Row],[RatingChange]]</f>
        <v>1317.1350124416188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45878</v>
      </c>
      <c r="B399" s="2">
        <v>2025</v>
      </c>
      <c r="C399" s="2">
        <f>COUNTIFS(Games[Team],Games[[#This Row],[Team]],Games[Season],Games[[#This Row],[Season]],Games[Date],"&lt;=" &amp; Games[[#This Row],[Date]])</f>
        <v>33</v>
      </c>
      <c r="D399" s="2" t="s">
        <v>79</v>
      </c>
      <c r="E399" s="2" t="s">
        <v>80</v>
      </c>
      <c r="F399" s="1" t="s">
        <v>69</v>
      </c>
      <c r="G399" s="1" t="s">
        <v>75</v>
      </c>
      <c r="H399" s="1" t="s">
        <v>82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1549.6968800023762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1322.2903068405726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0.85724578914324479</v>
      </c>
      <c r="R399" s="1">
        <v>92</v>
      </c>
      <c r="S399" s="1">
        <v>70</v>
      </c>
      <c r="T399" s="1">
        <v>0</v>
      </c>
      <c r="U399" s="1">
        <f>Games[[#This Row],[PointsFor]]-Games[[#This Row],[PointsAgainst]]</f>
        <v>22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0.50613988976097579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9" s="9">
        <f>MAX(kmin, kmax - 0.15 * MIN(Games[[#This Row],[GamesPlayed]], 82))</f>
        <v>71.05</v>
      </c>
      <c r="Z399" s="4">
        <f>Games[[#This Row],[K]]*Games[[#This Row],[POMult]]</f>
        <v>71.05</v>
      </c>
      <c r="AA399" s="4">
        <f>(Games[[#This Row],[Keff]]*Games[[#This Row],[MOVMult]])*(Games[[#This Row],[Result]]-Games[[#This Row],[ExpectedWin%]])</f>
        <v>5.1336183187899724</v>
      </c>
      <c r="AB399" s="4">
        <f>Games[[#This Row],[PreGmRate]]+Games[[#This Row],[RatingChange]]</f>
        <v>1554.8304983211663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45879</v>
      </c>
      <c r="B400" s="2">
        <v>2025</v>
      </c>
      <c r="C400" s="2">
        <f>COUNTIFS(Games[Team],Games[[#This Row],[Team]],Games[Season],Games[[#This Row],[Season]],Games[Date],"&lt;=" &amp; Games[[#This Row],[Date]])</f>
        <v>31</v>
      </c>
      <c r="D400" s="2" t="s">
        <v>79</v>
      </c>
      <c r="E400" s="2" t="s">
        <v>80</v>
      </c>
      <c r="F400" s="1" t="s">
        <v>65</v>
      </c>
      <c r="G400" s="1" t="s">
        <v>85</v>
      </c>
      <c r="H400" s="1" t="s">
        <v>81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1428.5225169118596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1358.1918383238576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0.4803384089136436</v>
      </c>
      <c r="R400" s="1">
        <v>91</v>
      </c>
      <c r="S400" s="1">
        <v>78</v>
      </c>
      <c r="T400" s="1">
        <v>0</v>
      </c>
      <c r="U400" s="1">
        <f>Games[[#This Row],[PointsFor]]-Games[[#This Row],[PointsAgainst]]</f>
        <v>13</v>
      </c>
      <c r="V400" s="1">
        <f>IF(Games[[#This Row],[MOV]]&gt;0,1,IF(Games[[#This Row],[MOV]]=0,0.5,0))</f>
        <v>1</v>
      </c>
      <c r="W400" s="4">
        <f>((ABS(Games[[#This Row],[MOV]])+5)^0.6)/(12+0.01*(ABS(Games[[#This Row],[PreGmRate]]-Games[[#This Row],[OppPreGmRate]])))*IF(Games[[#This Row],[OT]]=1,0.9,1)</f>
        <v>0.44590949138264091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0" s="9">
        <f>MAX(kmin, kmax - 0.15 * MIN(Games[[#This Row],[GamesPlayed]], 82))</f>
        <v>71.349999999999994</v>
      </c>
      <c r="Z400" s="4">
        <f>Games[[#This Row],[K]]*Games[[#This Row],[POMult]]</f>
        <v>71.349999999999994</v>
      </c>
      <c r="AA400" s="4">
        <f>(Games[[#This Row],[Keff]]*Games[[#This Row],[MOVMult]])*(Games[[#This Row],[Result]]-Games[[#This Row],[ExpectedWin%]])</f>
        <v>16.533367252361533</v>
      </c>
      <c r="AB400" s="4">
        <f>Games[[#This Row],[PreGmRate]]+Games[[#This Row],[RatingChange]]</f>
        <v>1445.0558841642212</v>
      </c>
      <c r="AC400" s="2">
        <f>IF(Games[[#This Row],[Type]]="R",IF(Games[[#This Row],[Result]]&gt;0.5,1,0),0)</f>
        <v>1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45879</v>
      </c>
      <c r="B401" s="2">
        <v>2025</v>
      </c>
      <c r="C401" s="2">
        <f>COUNTIFS(Games[Team],Games[[#This Row],[Team]],Games[Season],Games[[#This Row],[Season]],Games[Date],"&lt;=" &amp; Games[[#This Row],[Date]])</f>
        <v>32</v>
      </c>
      <c r="D401" s="2" t="s">
        <v>79</v>
      </c>
      <c r="E401" s="2" t="s">
        <v>80</v>
      </c>
      <c r="F401" s="1" t="s">
        <v>85</v>
      </c>
      <c r="G401" s="1" t="s">
        <v>65</v>
      </c>
      <c r="H401" s="1" t="s">
        <v>82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1358.1918383238576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1428.5225169118596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0.51966159108635634</v>
      </c>
      <c r="R401" s="1">
        <v>78</v>
      </c>
      <c r="S401" s="1">
        <v>91</v>
      </c>
      <c r="T401" s="1">
        <v>0</v>
      </c>
      <c r="U401" s="1">
        <f>Games[[#This Row],[PointsFor]]-Games[[#This Row],[PointsAgainst]]</f>
        <v>-13</v>
      </c>
      <c r="V401" s="1">
        <f>IF(Games[[#This Row],[MOV]]&gt;0,1,IF(Games[[#This Row],[MOV]]=0,0.5,0))</f>
        <v>0</v>
      </c>
      <c r="W401" s="4">
        <f>((ABS(Games[[#This Row],[MOV]])+5)^0.6)/(12+0.01*(ABS(Games[[#This Row],[PreGmRate]]-Games[[#This Row],[OppPreGmRate]])))*IF(Games[[#This Row],[OT]]=1,0.9,1)</f>
        <v>0.44590949138264091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1" s="9">
        <f>MAX(kmin, kmax - 0.15 * MIN(Games[[#This Row],[GamesPlayed]], 82))</f>
        <v>71.2</v>
      </c>
      <c r="Z401" s="4">
        <f>Games[[#This Row],[K]]*Games[[#This Row],[POMult]]</f>
        <v>71.2</v>
      </c>
      <c r="AA401" s="4">
        <f>(Games[[#This Row],[Keff]]*Games[[#This Row],[MOVMult]])*(Games[[#This Row],[Result]]-Games[[#This Row],[ExpectedWin%]])</f>
        <v>-16.49860894699567</v>
      </c>
      <c r="AB401" s="4">
        <f>Games[[#This Row],[PreGmRate]]+Games[[#This Row],[RatingChange]]</f>
        <v>1341.6932293768618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1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45879</v>
      </c>
      <c r="B402" s="2">
        <v>2025</v>
      </c>
      <c r="C402" s="2">
        <f>COUNTIFS(Games[Team],Games[[#This Row],[Team]],Games[Season],Games[[#This Row],[Season]],Games[Date],"&lt;=" &amp; Games[[#This Row],[Date]])</f>
        <v>32</v>
      </c>
      <c r="D402" s="2" t="s">
        <v>79</v>
      </c>
      <c r="E402" s="2" t="s">
        <v>80</v>
      </c>
      <c r="F402" s="1" t="s">
        <v>71</v>
      </c>
      <c r="G402" s="1" t="s">
        <v>63</v>
      </c>
      <c r="H402" s="1" t="s">
        <v>81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2" s="2">
        <f>Games[[#This Row],[DaysOff]]-Games[[#This Row],[OppDaysOff]]</f>
        <v>1</v>
      </c>
      <c r="L402" s="2">
        <f>Games[[#This Row],[OppDaysOff]]-Games[[#This Row],[DaysOff]]</f>
        <v>-1</v>
      </c>
      <c r="M402" s="1">
        <f>MAX(-16, MIN(16, Games[[#This Row],[RestDiff]]*8))</f>
        <v>8</v>
      </c>
      <c r="N402" s="1">
        <f>MAX(-16, MIN(16, Games[[#This Row],[OppRestDiff]]*8))</f>
        <v>-8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1509.7389691724404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1458.4954452453178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0.47590417219604109</v>
      </c>
      <c r="R402" s="1">
        <v>91</v>
      </c>
      <c r="S402" s="1">
        <v>94</v>
      </c>
      <c r="T402" s="1">
        <v>0</v>
      </c>
      <c r="U402" s="1">
        <f>Games[[#This Row],[PointsFor]]-Games[[#This Row],[PointsAgainst]]</f>
        <v>-3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0.27829932276135511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2" s="9">
        <f>MAX(kmin, kmax - 0.15 * MIN(Games[[#This Row],[GamesPlayed]], 82))</f>
        <v>71.2</v>
      </c>
      <c r="Z402" s="4">
        <f>Games[[#This Row],[K]]*Games[[#This Row],[POMult]]</f>
        <v>71.2</v>
      </c>
      <c r="AA402" s="4">
        <f>(Games[[#This Row],[Keff]]*Games[[#This Row],[MOVMult]])*(Games[[#This Row],[Result]]-Games[[#This Row],[ExpectedWin%]])</f>
        <v>-9.4299991880880629</v>
      </c>
      <c r="AB402" s="4">
        <f>Games[[#This Row],[PreGmRate]]+Games[[#This Row],[RatingChange]]</f>
        <v>1500.3089699843524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45879</v>
      </c>
      <c r="B403" s="2">
        <v>2025</v>
      </c>
      <c r="C403" s="2">
        <f>COUNTIFS(Games[Team],Games[[#This Row],[Team]],Games[Season],Games[[#This Row],[Season]],Games[Date],"&lt;=" &amp; Games[[#This Row],[Date]])</f>
        <v>31</v>
      </c>
      <c r="D403" s="2" t="s">
        <v>79</v>
      </c>
      <c r="E403" s="2" t="s">
        <v>80</v>
      </c>
      <c r="F403" s="1" t="s">
        <v>63</v>
      </c>
      <c r="G403" s="1" t="s">
        <v>71</v>
      </c>
      <c r="H403" s="1" t="s">
        <v>82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-1</v>
      </c>
      <c r="L403" s="2">
        <f>Games[[#This Row],[OppDaysOff]]-Games[[#This Row],[DaysOff]]</f>
        <v>1</v>
      </c>
      <c r="M403" s="1">
        <f>MAX(-16, MIN(16, Games[[#This Row],[RestDiff]]*8))</f>
        <v>-8</v>
      </c>
      <c r="N403" s="1">
        <f>MAX(-16, MIN(16, Games[[#This Row],[OppRestDiff]]*8))</f>
        <v>8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1458.4954452453178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1509.7389691724404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0.52409582780395891</v>
      </c>
      <c r="R403" s="1">
        <v>94</v>
      </c>
      <c r="S403" s="1">
        <v>91</v>
      </c>
      <c r="T403" s="1">
        <v>0</v>
      </c>
      <c r="U403" s="1">
        <f>Games[[#This Row],[PointsFor]]-Games[[#This Row],[PointsAgainst]]</f>
        <v>3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0.27829932276135511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3" s="9">
        <f>MAX(kmin, kmax - 0.15 * MIN(Games[[#This Row],[GamesPlayed]], 82))</f>
        <v>71.349999999999994</v>
      </c>
      <c r="Z403" s="4">
        <f>Games[[#This Row],[K]]*Games[[#This Row],[POMult]]</f>
        <v>71.349999999999994</v>
      </c>
      <c r="AA403" s="4">
        <f>(Games[[#This Row],[Keff]]*Games[[#This Row],[MOVMult]])*(Games[[#This Row],[Result]]-Games[[#This Row],[ExpectedWin%]])</f>
        <v>9.4498657594112814</v>
      </c>
      <c r="AB403" s="4">
        <f>Games[[#This Row],[PreGmRate]]+Games[[#This Row],[RatingChange]]</f>
        <v>1467.9453110047291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45879</v>
      </c>
      <c r="B404" s="2">
        <v>2025</v>
      </c>
      <c r="C404" s="2">
        <f>COUNTIFS(Games[Team],Games[[#This Row],[Team]],Games[Season],Games[[#This Row],[Season]],Games[Date],"&lt;=" &amp; Games[[#This Row],[Date]])</f>
        <v>30</v>
      </c>
      <c r="D404" s="2" t="s">
        <v>79</v>
      </c>
      <c r="E404" s="2" t="s">
        <v>80</v>
      </c>
      <c r="F404" s="1" t="s">
        <v>74</v>
      </c>
      <c r="G404" s="1" t="s">
        <v>86</v>
      </c>
      <c r="H404" s="1" t="s">
        <v>81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1</v>
      </c>
      <c r="L404" s="2">
        <f>Games[[#This Row],[OppDaysOff]]-Games[[#This Row],[DaysOff]]</f>
        <v>-1</v>
      </c>
      <c r="M404" s="1">
        <f>MAX(-16, MIN(16, Games[[#This Row],[RestDiff]]*8))</f>
        <v>8</v>
      </c>
      <c r="N404" s="1">
        <f>MAX(-16, MIN(16, Games[[#This Row],[OppRestDiff]]*8))</f>
        <v>-8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1343.7141016602629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1562.2580990600895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0.16117926277511857</v>
      </c>
      <c r="R404" s="1">
        <v>86</v>
      </c>
      <c r="S404" s="1">
        <v>94</v>
      </c>
      <c r="T404" s="1">
        <v>0</v>
      </c>
      <c r="U404" s="1">
        <f>Games[[#This Row],[PointsFor]]-Games[[#This Row],[PointsAgainst]]</f>
        <v>-8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0.32849079257163655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4" s="9">
        <f>MAX(kmin, kmax - 0.15 * MIN(Games[[#This Row],[GamesPlayed]], 82))</f>
        <v>71.5</v>
      </c>
      <c r="Z404" s="4">
        <f>Games[[#This Row],[K]]*Games[[#This Row],[POMult]]</f>
        <v>71.5</v>
      </c>
      <c r="AA404" s="4">
        <f>(Games[[#This Row],[Keff]]*Games[[#This Row],[MOVMult]])*(Games[[#This Row],[Result]]-Games[[#This Row],[ExpectedWin%]])</f>
        <v>-3.7856321199204199</v>
      </c>
      <c r="AB404" s="4">
        <f>Games[[#This Row],[PreGmRate]]+Games[[#This Row],[RatingChange]]</f>
        <v>1339.9284695403426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45879</v>
      </c>
      <c r="B405" s="2">
        <v>2025</v>
      </c>
      <c r="C405" s="2">
        <f>COUNTIFS(Games[Team],Games[[#This Row],[Team]],Games[Season],Games[[#This Row],[Season]],Games[Date],"&lt;=" &amp; Games[[#This Row],[Date]])</f>
        <v>32</v>
      </c>
      <c r="D405" s="2" t="s">
        <v>79</v>
      </c>
      <c r="E405" s="2" t="s">
        <v>80</v>
      </c>
      <c r="F405" s="1" t="s">
        <v>86</v>
      </c>
      <c r="G405" s="1" t="s">
        <v>74</v>
      </c>
      <c r="H405" s="1" t="s">
        <v>82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5" s="2">
        <f>Games[[#This Row],[DaysOff]]-Games[[#This Row],[OppDaysOff]]</f>
        <v>-1</v>
      </c>
      <c r="L405" s="2">
        <f>Games[[#This Row],[OppDaysOff]]-Games[[#This Row],[DaysOff]]</f>
        <v>1</v>
      </c>
      <c r="M405" s="1">
        <f>MAX(-16, MIN(16, Games[[#This Row],[RestDiff]]*8))</f>
        <v>-8</v>
      </c>
      <c r="N405" s="1">
        <f>MAX(-16, MIN(16, Games[[#This Row],[OppRestDiff]]*8))</f>
        <v>8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1562.2580990600895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1343.7141016602629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0.83882073722488137</v>
      </c>
      <c r="R405" s="1">
        <v>94</v>
      </c>
      <c r="S405" s="1">
        <v>86</v>
      </c>
      <c r="T405" s="1">
        <v>0</v>
      </c>
      <c r="U405" s="1">
        <f>Games[[#This Row],[PointsFor]]-Games[[#This Row],[PointsAgainst]]</f>
        <v>8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0.32849079257163655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5" s="9">
        <f>MAX(kmin, kmax - 0.15 * MIN(Games[[#This Row],[GamesPlayed]], 82))</f>
        <v>71.2</v>
      </c>
      <c r="Z405" s="4">
        <f>Games[[#This Row],[K]]*Games[[#This Row],[POMult]]</f>
        <v>71.2</v>
      </c>
      <c r="AA405" s="4">
        <f>(Games[[#This Row],[Keff]]*Games[[#This Row],[MOVMult]])*(Games[[#This Row],[Result]]-Games[[#This Row],[ExpectedWin%]])</f>
        <v>3.7697483487878887</v>
      </c>
      <c r="AB405" s="4">
        <f>Games[[#This Row],[PreGmRate]]+Games[[#This Row],[RatingChange]]</f>
        <v>1566.0278474088775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45879</v>
      </c>
      <c r="B406" s="2">
        <v>2025</v>
      </c>
      <c r="C406" s="2">
        <f>COUNTIFS(Games[Team],Games[[#This Row],[Team]],Games[Season],Games[[#This Row],[Season]],Games[Date],"&lt;=" &amp; Games[[#This Row],[Date]])</f>
        <v>33</v>
      </c>
      <c r="D406" s="2" t="s">
        <v>79</v>
      </c>
      <c r="E406" s="2" t="s">
        <v>80</v>
      </c>
      <c r="F406" s="1" t="s">
        <v>67</v>
      </c>
      <c r="G406" s="1" t="s">
        <v>60</v>
      </c>
      <c r="H406" s="1" t="s">
        <v>81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1697.6990072274889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1605.8475380902048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0.51129724932385812</v>
      </c>
      <c r="R406" s="1">
        <v>83</v>
      </c>
      <c r="S406" s="1">
        <v>71</v>
      </c>
      <c r="T406" s="1">
        <v>0</v>
      </c>
      <c r="U406" s="1">
        <f>Games[[#This Row],[PointsFor]]-Games[[#This Row],[PointsAgainst]]</f>
        <v>12</v>
      </c>
      <c r="V406" s="1">
        <f>IF(Games[[#This Row],[MOV]]&gt;0,1,IF(Games[[#This Row],[MOV]]=0,0.5,0))</f>
        <v>1</v>
      </c>
      <c r="W406" s="4">
        <f>((ABS(Games[[#This Row],[MOV]])+5)^0.6)/(12+0.01*(ABS(Games[[#This Row],[PreGmRate]]-Games[[#This Row],[OppPreGmRate]])))*IF(Games[[#This Row],[OT]]=1,0.9,1)</f>
        <v>0.42369834672818862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6" s="9">
        <f>MAX(kmin, kmax - 0.15 * MIN(Games[[#This Row],[GamesPlayed]], 82))</f>
        <v>71.05</v>
      </c>
      <c r="Z406" s="4">
        <f>Games[[#This Row],[K]]*Games[[#This Row],[POMult]]</f>
        <v>71.05</v>
      </c>
      <c r="AA406" s="4">
        <f>(Games[[#This Row],[Keff]]*Games[[#This Row],[MOVMult]])*(Games[[#This Row],[Result]]-Games[[#This Row],[ExpectedWin%]])</f>
        <v>14.711794000088112</v>
      </c>
      <c r="AB406" s="4">
        <f>Games[[#This Row],[PreGmRate]]+Games[[#This Row],[RatingChange]]</f>
        <v>1712.4108012275769</v>
      </c>
      <c r="AC406" s="2">
        <f>IF(Games[[#This Row],[Type]]="R",IF(Games[[#This Row],[Result]]&gt;0.5,1,0),0)</f>
        <v>1</v>
      </c>
      <c r="AD406" s="2">
        <f>IF(Games[[#This Row],[Type]]="R",IF(Games[[#This Row],[Result]]&lt;0.5,1,0),0)</f>
        <v>0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45879</v>
      </c>
      <c r="B407" s="2">
        <v>2025</v>
      </c>
      <c r="C407" s="2">
        <f>COUNTIFS(Games[Team],Games[[#This Row],[Team]],Games[Season],Games[[#This Row],[Season]],Games[Date],"&lt;=" &amp; Games[[#This Row],[Date]])</f>
        <v>31</v>
      </c>
      <c r="D407" s="2" t="s">
        <v>79</v>
      </c>
      <c r="E407" s="2" t="s">
        <v>80</v>
      </c>
      <c r="F407" s="1" t="s">
        <v>60</v>
      </c>
      <c r="G407" s="1" t="s">
        <v>67</v>
      </c>
      <c r="H407" s="1" t="s">
        <v>82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1605.8475380902048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1697.6990072274889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0.48870275067614183</v>
      </c>
      <c r="R407" s="1">
        <v>71</v>
      </c>
      <c r="S407" s="1">
        <v>83</v>
      </c>
      <c r="T407" s="1">
        <v>0</v>
      </c>
      <c r="U407" s="1">
        <f>Games[[#This Row],[PointsFor]]-Games[[#This Row],[PointsAgainst]]</f>
        <v>-12</v>
      </c>
      <c r="V407" s="1">
        <f>IF(Games[[#This Row],[MOV]]&gt;0,1,IF(Games[[#This Row],[MOV]]=0,0.5,0))</f>
        <v>0</v>
      </c>
      <c r="W407" s="4">
        <f>((ABS(Games[[#This Row],[MOV]])+5)^0.6)/(12+0.01*(ABS(Games[[#This Row],[PreGmRate]]-Games[[#This Row],[OppPreGmRate]])))*IF(Games[[#This Row],[OT]]=1,0.9,1)</f>
        <v>0.42369834672818862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7" s="9">
        <f>MAX(kmin, kmax - 0.15 * MIN(Games[[#This Row],[GamesPlayed]], 82))</f>
        <v>71.349999999999994</v>
      </c>
      <c r="Z407" s="4">
        <f>Games[[#This Row],[K]]*Games[[#This Row],[POMult]]</f>
        <v>71.349999999999994</v>
      </c>
      <c r="AA407" s="4">
        <f>(Games[[#This Row],[Keff]]*Games[[#This Row],[MOVMult]])*(Games[[#This Row],[Result]]-Games[[#This Row],[ExpectedWin%]])</f>
        <v>-14.773912764339011</v>
      </c>
      <c r="AB407" s="4">
        <f>Games[[#This Row],[PreGmRate]]+Games[[#This Row],[RatingChange]]</f>
        <v>1591.0736253258658</v>
      </c>
      <c r="AC407" s="2">
        <f>IF(Games[[#This Row],[Type]]="R",IF(Games[[#This Row],[Result]]&gt;0.5,1,0),0)</f>
        <v>0</v>
      </c>
      <c r="AD407" s="2">
        <f>IF(Games[[#This Row],[Type]]="R",IF(Games[[#This Row],[Result]]&lt;0.5,1,0),0)</f>
        <v>1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45879</v>
      </c>
      <c r="B408" s="2">
        <v>2025</v>
      </c>
      <c r="C408" s="2">
        <f>COUNTIFS(Games[Team],Games[[#This Row],[Team]],Games[Season],Games[[#This Row],[Season]],Games[Date],"&lt;=" &amp; Games[[#This Row],[Date]])</f>
        <v>31</v>
      </c>
      <c r="D408" s="2" t="s">
        <v>79</v>
      </c>
      <c r="E408" s="2" t="s">
        <v>80</v>
      </c>
      <c r="F408" s="1" t="s">
        <v>77</v>
      </c>
      <c r="G408" s="1" t="s">
        <v>40</v>
      </c>
      <c r="H408" s="1" t="s">
        <v>81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1591.8504368003555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1565.98186826655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0.41711415617892583</v>
      </c>
      <c r="R408" s="1">
        <v>74</v>
      </c>
      <c r="S408" s="1">
        <v>66</v>
      </c>
      <c r="T408" s="1">
        <v>0</v>
      </c>
      <c r="U408" s="1">
        <f>Games[[#This Row],[PointsFor]]-Games[[#This Row],[PointsAgainst]]</f>
        <v>8</v>
      </c>
      <c r="V408" s="1">
        <f>IF(Games[[#This Row],[MOV]]&gt;0,1,IF(Games[[#This Row],[MOV]]=0,0.5,0))</f>
        <v>1</v>
      </c>
      <c r="W408" s="4">
        <f>((ABS(Games[[#This Row],[MOV]])+5)^0.6)/(12+0.01*(ABS(Games[[#This Row],[PreGmRate]]-Games[[#This Row],[OppPreGmRate]])))*IF(Games[[#This Row],[OT]]=1,0.9,1)</f>
        <v>0.38012120872055494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8" s="9">
        <f>MAX(kmin, kmax - 0.15 * MIN(Games[[#This Row],[GamesPlayed]], 82))</f>
        <v>71.349999999999994</v>
      </c>
      <c r="Z408" s="4">
        <f>Games[[#This Row],[K]]*Games[[#This Row],[POMult]]</f>
        <v>71.349999999999994</v>
      </c>
      <c r="AA408" s="4">
        <f>(Games[[#This Row],[Keff]]*Games[[#This Row],[MOVMult]])*(Games[[#This Row],[Result]]-Games[[#This Row],[ExpectedWin%]])</f>
        <v>15.808824821479858</v>
      </c>
      <c r="AB408" s="4">
        <f>Games[[#This Row],[PreGmRate]]+Games[[#This Row],[RatingChange]]</f>
        <v>1607.6592616218354</v>
      </c>
      <c r="AC408" s="2">
        <f>IF(Games[[#This Row],[Type]]="R",IF(Games[[#This Row],[Result]]&gt;0.5,1,0),0)</f>
        <v>1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45879</v>
      </c>
      <c r="B409" s="2">
        <v>2025</v>
      </c>
      <c r="C409" s="2">
        <f>COUNTIFS(Games[Team],Games[[#This Row],[Team]],Games[Season],Games[[#This Row],[Season]],Games[Date],"&lt;=" &amp; Games[[#This Row],[Date]])</f>
        <v>31</v>
      </c>
      <c r="D409" s="2" t="s">
        <v>79</v>
      </c>
      <c r="E409" s="2" t="s">
        <v>80</v>
      </c>
      <c r="F409" s="1" t="s">
        <v>40</v>
      </c>
      <c r="G409" s="1" t="s">
        <v>77</v>
      </c>
      <c r="H409" s="1" t="s">
        <v>82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1565.98186826655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1591.8504368003555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0.58288584382107411</v>
      </c>
      <c r="R409" s="1">
        <v>66</v>
      </c>
      <c r="S409" s="1">
        <v>74</v>
      </c>
      <c r="T409" s="1">
        <v>0</v>
      </c>
      <c r="U409" s="1">
        <f>Games[[#This Row],[PointsFor]]-Games[[#This Row],[PointsAgainst]]</f>
        <v>-8</v>
      </c>
      <c r="V409" s="1">
        <f>IF(Games[[#This Row],[MOV]]&gt;0,1,IF(Games[[#This Row],[MOV]]=0,0.5,0))</f>
        <v>0</v>
      </c>
      <c r="W409" s="4">
        <f>((ABS(Games[[#This Row],[MOV]])+5)^0.6)/(12+0.01*(ABS(Games[[#This Row],[PreGmRate]]-Games[[#This Row],[OppPreGmRate]])))*IF(Games[[#This Row],[OT]]=1,0.9,1)</f>
        <v>0.38012120872055494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9" s="9">
        <f>MAX(kmin, kmax - 0.15 * MIN(Games[[#This Row],[GamesPlayed]], 82))</f>
        <v>71.349999999999994</v>
      </c>
      <c r="Z409" s="4">
        <f>Games[[#This Row],[K]]*Games[[#This Row],[POMult]]</f>
        <v>71.349999999999994</v>
      </c>
      <c r="AA409" s="4">
        <f>(Games[[#This Row],[Keff]]*Games[[#This Row],[MOVMult]])*(Games[[#This Row],[Result]]-Games[[#This Row],[ExpectedWin%]])</f>
        <v>-15.808824821479854</v>
      </c>
      <c r="AB409" s="4">
        <f>Games[[#This Row],[PreGmRate]]+Games[[#This Row],[RatingChange]]</f>
        <v>1550.1730434450701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1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45880</v>
      </c>
      <c r="B410" s="2">
        <v>2025</v>
      </c>
      <c r="C410" s="2">
        <f>COUNTIFS(Games[Team],Games[[#This Row],[Team]],Games[Season],Games[[#This Row],[Season]],Games[Date],"&lt;=" &amp; Games[[#This Row],[Date]])</f>
        <v>31</v>
      </c>
      <c r="D410" s="2" t="s">
        <v>79</v>
      </c>
      <c r="E410" s="2" t="s">
        <v>80</v>
      </c>
      <c r="F410" s="1" t="s">
        <v>74</v>
      </c>
      <c r="G410" s="1" t="s">
        <v>88</v>
      </c>
      <c r="H410" s="1" t="s">
        <v>81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0" s="2">
        <f>Games[[#This Row],[DaysOff]]-Games[[#This Row],[OppDaysOff]]</f>
        <v>-1</v>
      </c>
      <c r="L410" s="2">
        <f>Games[[#This Row],[OppDaysOff]]-Games[[#This Row],[DaysOff]]</f>
        <v>1</v>
      </c>
      <c r="M410" s="1">
        <f>MAX(-16, MIN(16, Games[[#This Row],[RestDiff]]*8))</f>
        <v>-8</v>
      </c>
      <c r="N410" s="1">
        <f>MAX(-16, MIN(16, Games[[#This Row],[OppRestDiff]]*8))</f>
        <v>8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1339.9284695403426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1504.3676361093176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0.17913275659780623</v>
      </c>
      <c r="R410" s="1">
        <v>57</v>
      </c>
      <c r="S410" s="1">
        <v>74</v>
      </c>
      <c r="T410" s="1">
        <v>0</v>
      </c>
      <c r="U410" s="1">
        <f>Games[[#This Row],[PointsFor]]-Games[[#This Row],[PointsAgainst]]</f>
        <v>-17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0.46827333790560582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0" s="9">
        <f>MAX(kmin, kmax - 0.15 * MIN(Games[[#This Row],[GamesPlayed]], 82))</f>
        <v>71.349999999999994</v>
      </c>
      <c r="Z410" s="4">
        <f>Games[[#This Row],[K]]*Games[[#This Row],[POMult]]</f>
        <v>71.349999999999994</v>
      </c>
      <c r="AA410" s="4">
        <f>(Games[[#This Row],[Keff]]*Games[[#This Row],[MOVMult]])*(Games[[#This Row],[Result]]-Games[[#This Row],[ExpectedWin%]])</f>
        <v>-5.9850587469314886</v>
      </c>
      <c r="AB410" s="4">
        <f>Games[[#This Row],[PreGmRate]]+Games[[#This Row],[RatingChange]]</f>
        <v>1333.943410793411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1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45880</v>
      </c>
      <c r="B411" s="2">
        <v>2025</v>
      </c>
      <c r="C411" s="2">
        <f>COUNTIFS(Games[Team],Games[[#This Row],[Team]],Games[Season],Games[[#This Row],[Season]],Games[Date],"&lt;=" &amp; Games[[#This Row],[Date]])</f>
        <v>31</v>
      </c>
      <c r="D411" s="2" t="s">
        <v>79</v>
      </c>
      <c r="E411" s="2" t="s">
        <v>80</v>
      </c>
      <c r="F411" s="1" t="s">
        <v>88</v>
      </c>
      <c r="G411" s="1" t="s">
        <v>74</v>
      </c>
      <c r="H411" s="1" t="s">
        <v>82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1" s="2">
        <f>Games[[#This Row],[DaysOff]]-Games[[#This Row],[OppDaysOff]]</f>
        <v>1</v>
      </c>
      <c r="L411" s="2">
        <f>Games[[#This Row],[OppDaysOff]]-Games[[#This Row],[DaysOff]]</f>
        <v>-1</v>
      </c>
      <c r="M411" s="1">
        <f>MAX(-16, MIN(16, Games[[#This Row],[RestDiff]]*8))</f>
        <v>8</v>
      </c>
      <c r="N411" s="1">
        <f>MAX(-16, MIN(16, Games[[#This Row],[OppRestDiff]]*8))</f>
        <v>-8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1504.3676361093176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1339.9284695403426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0.82086724340219375</v>
      </c>
      <c r="R411" s="1">
        <v>74</v>
      </c>
      <c r="S411" s="1">
        <v>57</v>
      </c>
      <c r="T411" s="1">
        <v>0</v>
      </c>
      <c r="U411" s="1">
        <f>Games[[#This Row],[PointsFor]]-Games[[#This Row],[PointsAgainst]]</f>
        <v>17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0.46827333790560582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1" s="9">
        <f>MAX(kmin, kmax - 0.15 * MIN(Games[[#This Row],[GamesPlayed]], 82))</f>
        <v>71.349999999999994</v>
      </c>
      <c r="Z411" s="4">
        <f>Games[[#This Row],[K]]*Games[[#This Row],[POMult]]</f>
        <v>71.349999999999994</v>
      </c>
      <c r="AA411" s="4">
        <f>(Games[[#This Row],[Keff]]*Games[[#This Row],[MOVMult]])*(Games[[#This Row],[Result]]-Games[[#This Row],[ExpectedWin%]])</f>
        <v>5.9850587469314895</v>
      </c>
      <c r="AB411" s="4">
        <f>Games[[#This Row],[PreGmRate]]+Games[[#This Row],[RatingChange]]</f>
        <v>1510.3526948562492</v>
      </c>
      <c r="AC411" s="2">
        <f>IF(Games[[#This Row],[Type]]="R",IF(Games[[#This Row],[Result]]&gt;0.5,1,0),0)</f>
        <v>1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45881</v>
      </c>
      <c r="B412" s="2">
        <v>2025</v>
      </c>
      <c r="C412" s="2">
        <f>COUNTIFS(Games[Team],Games[[#This Row],[Team]],Games[Season],Games[[#This Row],[Season]],Games[Date],"&lt;=" &amp; Games[[#This Row],[Date]])</f>
        <v>33</v>
      </c>
      <c r="D412" s="2" t="s">
        <v>79</v>
      </c>
      <c r="E412" s="2" t="s">
        <v>80</v>
      </c>
      <c r="F412" s="1" t="s">
        <v>85</v>
      </c>
      <c r="G412" s="1" t="s">
        <v>69</v>
      </c>
      <c r="H412" s="1" t="s">
        <v>81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2" s="2">
        <f>Games[[#This Row],[DaysOff]]-Games[[#This Row],[OppDaysOff]]</f>
        <v>-1</v>
      </c>
      <c r="L412" s="2">
        <f>Games[[#This Row],[OppDaysOff]]-Games[[#This Row],[DaysOff]]</f>
        <v>1</v>
      </c>
      <c r="M412" s="1">
        <f>MAX(-16, MIN(16, Games[[#This Row],[RestDiff]]*8))</f>
        <v>-8</v>
      </c>
      <c r="N412" s="1">
        <f>MAX(-16, MIN(16, Games[[#This Row],[OppRestDiff]]*8))</f>
        <v>8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1341.6932293768618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1554.8304983211663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0.14153935661007391</v>
      </c>
      <c r="R412" s="1">
        <v>81</v>
      </c>
      <c r="S412" s="1">
        <v>80</v>
      </c>
      <c r="T412" s="1">
        <v>0</v>
      </c>
      <c r="U412" s="1">
        <f>Games[[#This Row],[PointsFor]]-Games[[#This Row],[PointsAgainst]]</f>
        <v>1</v>
      </c>
      <c r="V412" s="1">
        <f>IF(Games[[#This Row],[MOV]]&gt;0,1,IF(Games[[#This Row],[MOV]]=0,0.5,0))</f>
        <v>1</v>
      </c>
      <c r="W412" s="4">
        <f>((ABS(Games[[#This Row],[MOV]])+5)^0.6)/(12+0.01*(ABS(Games[[#This Row],[PreGmRate]]-Games[[#This Row],[OppPreGmRate]])))*IF(Games[[#This Row],[OT]]=1,0.9,1)</f>
        <v>0.20735112688468813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2" s="9">
        <f>MAX(kmin, kmax - 0.15 * MIN(Games[[#This Row],[GamesPlayed]], 82))</f>
        <v>71.05</v>
      </c>
      <c r="Z412" s="4">
        <f>Games[[#This Row],[K]]*Games[[#This Row],[POMult]]</f>
        <v>71.05</v>
      </c>
      <c r="AA412" s="4">
        <f>(Games[[#This Row],[Keff]]*Games[[#This Row],[MOVMult]])*(Games[[#This Row],[Result]]-Games[[#This Row],[ExpectedWin%]])</f>
        <v>12.647097646396597</v>
      </c>
      <c r="AB412" s="4">
        <f>Games[[#This Row],[PreGmRate]]+Games[[#This Row],[RatingChange]]</f>
        <v>1354.3403270232584</v>
      </c>
      <c r="AC412" s="2">
        <f>IF(Games[[#This Row],[Type]]="R",IF(Games[[#This Row],[Result]]&gt;0.5,1,0),0)</f>
        <v>1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45881</v>
      </c>
      <c r="B413" s="2">
        <v>2025</v>
      </c>
      <c r="C413" s="2">
        <f>COUNTIFS(Games[Team],Games[[#This Row],[Team]],Games[Season],Games[[#This Row],[Season]],Games[Date],"&lt;=" &amp; Games[[#This Row],[Date]])</f>
        <v>34</v>
      </c>
      <c r="D413" s="2" t="s">
        <v>79</v>
      </c>
      <c r="E413" s="2" t="s">
        <v>80</v>
      </c>
      <c r="F413" s="1" t="s">
        <v>69</v>
      </c>
      <c r="G413" s="1" t="s">
        <v>85</v>
      </c>
      <c r="H413" s="1" t="s">
        <v>82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3" s="2">
        <f>Games[[#This Row],[DaysOff]]-Games[[#This Row],[OppDaysOff]]</f>
        <v>1</v>
      </c>
      <c r="L413" s="2">
        <f>Games[[#This Row],[OppDaysOff]]-Games[[#This Row],[DaysOff]]</f>
        <v>-1</v>
      </c>
      <c r="M413" s="1">
        <f>MAX(-16, MIN(16, Games[[#This Row],[RestDiff]]*8))</f>
        <v>8</v>
      </c>
      <c r="N413" s="1">
        <f>MAX(-16, MIN(16, Games[[#This Row],[OppRestDiff]]*8))</f>
        <v>-8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1554.8304983211663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1341.6932293768618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0.85846064338992611</v>
      </c>
      <c r="R413" s="1">
        <v>80</v>
      </c>
      <c r="S413" s="1">
        <v>81</v>
      </c>
      <c r="T413" s="1">
        <v>0</v>
      </c>
      <c r="U413" s="1">
        <f>Games[[#This Row],[PointsFor]]-Games[[#This Row],[PointsAgainst]]</f>
        <v>-1</v>
      </c>
      <c r="V413" s="1">
        <f>IF(Games[[#This Row],[MOV]]&gt;0,1,IF(Games[[#This Row],[MOV]]=0,0.5,0))</f>
        <v>0</v>
      </c>
      <c r="W413" s="4">
        <f>((ABS(Games[[#This Row],[MOV]])+5)^0.6)/(12+0.01*(ABS(Games[[#This Row],[PreGmRate]]-Games[[#This Row],[OppPreGmRate]])))*IF(Games[[#This Row],[OT]]=1,0.9,1)</f>
        <v>0.20735112688468813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3" s="9">
        <f>MAX(kmin, kmax - 0.15 * MIN(Games[[#This Row],[GamesPlayed]], 82))</f>
        <v>70.900000000000006</v>
      </c>
      <c r="Z413" s="4">
        <f>Games[[#This Row],[K]]*Games[[#This Row],[POMult]]</f>
        <v>70.900000000000006</v>
      </c>
      <c r="AA413" s="4">
        <f>(Games[[#This Row],[Keff]]*Games[[#This Row],[MOVMult]])*(Games[[#This Row],[Result]]-Games[[#This Row],[ExpectedWin%]])</f>
        <v>-12.620397229127642</v>
      </c>
      <c r="AB413" s="4">
        <f>Games[[#This Row],[PreGmRate]]+Games[[#This Row],[RatingChange]]</f>
        <v>1542.2101010920387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1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45881</v>
      </c>
      <c r="B414" s="2">
        <v>2025</v>
      </c>
      <c r="C414" s="2">
        <f>COUNTIFS(Games[Team],Games[[#This Row],[Team]],Games[Season],Games[[#This Row],[Season]],Games[Date],"&lt;=" &amp; Games[[#This Row],[Date]])</f>
        <v>32</v>
      </c>
      <c r="D414" s="2" t="s">
        <v>79</v>
      </c>
      <c r="E414" s="2" t="s">
        <v>80</v>
      </c>
      <c r="F414" s="1" t="s">
        <v>60</v>
      </c>
      <c r="G414" s="1" t="s">
        <v>63</v>
      </c>
      <c r="H414" s="1" t="s">
        <v>81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">
        <f>MAX(-16, MIN(16, Games[[#This Row],[RestDiff]]*8))</f>
        <v>0</v>
      </c>
      <c r="N414" s="1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1591.0736253258658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1467.9453110047291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0.55607330538005018</v>
      </c>
      <c r="R414" s="1">
        <v>105</v>
      </c>
      <c r="S414" s="1">
        <v>97</v>
      </c>
      <c r="T414" s="1">
        <v>0</v>
      </c>
      <c r="U414" s="1">
        <f>Games[[#This Row],[PointsFor]]-Games[[#This Row],[PointsAgainst]]</f>
        <v>8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0.3521794802212273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4" s="9">
        <f>MAX(kmin, kmax - 0.15 * MIN(Games[[#This Row],[GamesPlayed]], 82))</f>
        <v>71.2</v>
      </c>
      <c r="Z414" s="4">
        <f>Games[[#This Row],[K]]*Games[[#This Row],[POMult]]</f>
        <v>71.2</v>
      </c>
      <c r="AA414" s="4">
        <f>(Games[[#This Row],[Keff]]*Games[[#This Row],[MOVMult]])*(Games[[#This Row],[Result]]-Games[[#This Row],[ExpectedWin%]])</f>
        <v>11.131541326811799</v>
      </c>
      <c r="AB414" s="4">
        <f>Games[[#This Row],[PreGmRate]]+Games[[#This Row],[RatingChange]]</f>
        <v>1602.2051666526777</v>
      </c>
      <c r="AC414" s="2">
        <f>IF(Games[[#This Row],[Type]]="R",IF(Games[[#This Row],[Result]]&gt;0.5,1,0),0)</f>
        <v>1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45881</v>
      </c>
      <c r="B415" s="2">
        <v>2025</v>
      </c>
      <c r="C415" s="2">
        <f>COUNTIFS(Games[Team],Games[[#This Row],[Team]],Games[Season],Games[[#This Row],[Season]],Games[Date],"&lt;=" &amp; Games[[#This Row],[Date]])</f>
        <v>32</v>
      </c>
      <c r="D415" s="2" t="s">
        <v>79</v>
      </c>
      <c r="E415" s="2" t="s">
        <v>80</v>
      </c>
      <c r="F415" s="1" t="s">
        <v>63</v>
      </c>
      <c r="G415" s="1" t="s">
        <v>60</v>
      </c>
      <c r="H415" s="1" t="s">
        <v>82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">
        <f>MAX(-16, MIN(16, Games[[#This Row],[RestDiff]]*8))</f>
        <v>0</v>
      </c>
      <c r="N415" s="1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1467.9453110047291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1591.0736253258658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0.44392669461994977</v>
      </c>
      <c r="R415" s="1">
        <v>97</v>
      </c>
      <c r="S415" s="1">
        <v>105</v>
      </c>
      <c r="T415" s="1">
        <v>0</v>
      </c>
      <c r="U415" s="1">
        <f>Games[[#This Row],[PointsFor]]-Games[[#This Row],[PointsAgainst]]</f>
        <v>-8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0.3521794802212273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5" s="9">
        <f>MAX(kmin, kmax - 0.15 * MIN(Games[[#This Row],[GamesPlayed]], 82))</f>
        <v>71.2</v>
      </c>
      <c r="Z415" s="4">
        <f>Games[[#This Row],[K]]*Games[[#This Row],[POMult]]</f>
        <v>71.2</v>
      </c>
      <c r="AA415" s="4">
        <f>(Games[[#This Row],[Keff]]*Games[[#This Row],[MOVMult]])*(Games[[#This Row],[Result]]-Games[[#This Row],[ExpectedWin%]])</f>
        <v>-11.131541326811798</v>
      </c>
      <c r="AB415" s="4">
        <f>Games[[#This Row],[PreGmRate]]+Games[[#This Row],[RatingChange]]</f>
        <v>1456.8137696779172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1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45882</v>
      </c>
      <c r="B416" s="2">
        <v>2025</v>
      </c>
      <c r="C416" s="2">
        <f>COUNTIFS(Games[Team],Games[[#This Row],[Team]],Games[Season],Games[[#This Row],[Season]],Games[Date],"&lt;=" &amp; Games[[#This Row],[Date]])</f>
        <v>32</v>
      </c>
      <c r="D416" s="2" t="s">
        <v>79</v>
      </c>
      <c r="E416" s="2" t="s">
        <v>80</v>
      </c>
      <c r="F416" s="1" t="s">
        <v>75</v>
      </c>
      <c r="G416" s="1" t="s">
        <v>74</v>
      </c>
      <c r="H416" s="1" t="s">
        <v>81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6" s="2">
        <f>Games[[#This Row],[DaysOff]]-Games[[#This Row],[OppDaysOff]]</f>
        <v>2</v>
      </c>
      <c r="L416" s="2">
        <f>Games[[#This Row],[OppDaysOff]]-Games[[#This Row],[DaysOff]]</f>
        <v>-2</v>
      </c>
      <c r="M416" s="1">
        <f>MAX(-16, MIN(16, Games[[#This Row],[RestDiff]]*8))</f>
        <v>16</v>
      </c>
      <c r="N416" s="1">
        <f>MAX(-16, MIN(16, Games[[#This Row],[OppRestDiff]]*8))</f>
        <v>-16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1317.1350124416188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1333.943410793411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0.40225140412033672</v>
      </c>
      <c r="R416" s="1">
        <v>62</v>
      </c>
      <c r="S416" s="1">
        <v>71</v>
      </c>
      <c r="T416" s="1">
        <v>0</v>
      </c>
      <c r="U416" s="1">
        <f>Games[[#This Row],[PointsFor]]-Games[[#This Row],[PointsAgainst]]</f>
        <v>-9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0.40036363427189836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6" s="9">
        <f>MAX(kmin, kmax - 0.15 * MIN(Games[[#This Row],[GamesPlayed]], 82))</f>
        <v>71.2</v>
      </c>
      <c r="Z416" s="4">
        <f>Games[[#This Row],[K]]*Games[[#This Row],[POMult]]</f>
        <v>71.2</v>
      </c>
      <c r="AA416" s="4">
        <f>(Games[[#This Row],[Keff]]*Games[[#This Row],[MOVMult]])*(Games[[#This Row],[Result]]-Games[[#This Row],[ExpectedWin%]])</f>
        <v>-11.466534583974957</v>
      </c>
      <c r="AB416" s="4">
        <f>Games[[#This Row],[PreGmRate]]+Games[[#This Row],[RatingChange]]</f>
        <v>1305.6684778576439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1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45882</v>
      </c>
      <c r="B417" s="2">
        <v>2025</v>
      </c>
      <c r="C417" s="2">
        <f>COUNTIFS(Games[Team],Games[[#This Row],[Team]],Games[Season],Games[[#This Row],[Season]],Games[Date],"&lt;=" &amp; Games[[#This Row],[Date]])</f>
        <v>32</v>
      </c>
      <c r="D417" s="2" t="s">
        <v>79</v>
      </c>
      <c r="E417" s="2" t="s">
        <v>80</v>
      </c>
      <c r="F417" s="1" t="s">
        <v>74</v>
      </c>
      <c r="G417" s="1" t="s">
        <v>75</v>
      </c>
      <c r="H417" s="1" t="s">
        <v>82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7" s="2">
        <f>Games[[#This Row],[DaysOff]]-Games[[#This Row],[OppDaysOff]]</f>
        <v>-2</v>
      </c>
      <c r="L417" s="2">
        <f>Games[[#This Row],[OppDaysOff]]-Games[[#This Row],[DaysOff]]</f>
        <v>2</v>
      </c>
      <c r="M417" s="1">
        <f>MAX(-16, MIN(16, Games[[#This Row],[RestDiff]]*8))</f>
        <v>-16</v>
      </c>
      <c r="N417" s="1">
        <f>MAX(-16, MIN(16, Games[[#This Row],[OppRestDiff]]*8))</f>
        <v>16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1333.943410793411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1317.1350124416188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0.59774859587966322</v>
      </c>
      <c r="R417" s="1">
        <v>71</v>
      </c>
      <c r="S417" s="1">
        <v>62</v>
      </c>
      <c r="T417" s="1">
        <v>0</v>
      </c>
      <c r="U417" s="1">
        <f>Games[[#This Row],[PointsFor]]-Games[[#This Row],[PointsAgainst]]</f>
        <v>9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0.40036363427189836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7" s="9">
        <f>MAX(kmin, kmax - 0.15 * MIN(Games[[#This Row],[GamesPlayed]], 82))</f>
        <v>71.2</v>
      </c>
      <c r="Z417" s="4">
        <f>Games[[#This Row],[K]]*Games[[#This Row],[POMult]]</f>
        <v>71.2</v>
      </c>
      <c r="AA417" s="4">
        <f>(Games[[#This Row],[Keff]]*Games[[#This Row],[MOVMult]])*(Games[[#This Row],[Result]]-Games[[#This Row],[ExpectedWin%]])</f>
        <v>11.466534583974958</v>
      </c>
      <c r="AB417" s="4">
        <f>Games[[#This Row],[PreGmRate]]+Games[[#This Row],[RatingChange]]</f>
        <v>1345.4099453773858</v>
      </c>
      <c r="AC417" s="2">
        <f>IF(Games[[#This Row],[Type]]="R",IF(Games[[#This Row],[Result]]&gt;0.5,1,0),0)</f>
        <v>1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45882</v>
      </c>
      <c r="B418" s="2">
        <v>2025</v>
      </c>
      <c r="C418" s="2">
        <f>COUNTIFS(Games[Team],Games[[#This Row],[Team]],Games[Season],Games[[#This Row],[Season]],Games[Date],"&lt;=" &amp; Games[[#This Row],[Date]])</f>
        <v>33</v>
      </c>
      <c r="D418" s="2" t="s">
        <v>79</v>
      </c>
      <c r="E418" s="2" t="s">
        <v>80</v>
      </c>
      <c r="F418" s="1" t="s">
        <v>60</v>
      </c>
      <c r="G418" s="1" t="s">
        <v>86</v>
      </c>
      <c r="H418" s="1" t="s">
        <v>81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8" s="2">
        <f>Games[[#This Row],[DaysOff]]-Games[[#This Row],[OppDaysOff]]</f>
        <v>-2</v>
      </c>
      <c r="L418" s="2">
        <f>Games[[#This Row],[OppDaysOff]]-Games[[#This Row],[DaysOff]]</f>
        <v>2</v>
      </c>
      <c r="M418" s="1">
        <f>MAX(-16, MIN(16, Games[[#This Row],[RestDiff]]*8))</f>
        <v>-16</v>
      </c>
      <c r="N418" s="1">
        <f>MAX(-16, MIN(16, Games[[#This Row],[OppRestDiff]]*8))</f>
        <v>16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1602.2051666526777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1566.0278474088775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0.38710532539048509</v>
      </c>
      <c r="R418" s="1">
        <v>77</v>
      </c>
      <c r="S418" s="1">
        <v>83</v>
      </c>
      <c r="T418" s="1">
        <v>0</v>
      </c>
      <c r="U418" s="1">
        <f>Games[[#This Row],[PointsFor]]-Games[[#This Row],[PointsAgainst]]</f>
        <v>-6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0.34100036196025213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8" s="9">
        <f>MAX(kmin, kmax - 0.15 * MIN(Games[[#This Row],[GamesPlayed]], 82))</f>
        <v>71.05</v>
      </c>
      <c r="Z418" s="4">
        <f>Games[[#This Row],[K]]*Games[[#This Row],[POMult]]</f>
        <v>71.05</v>
      </c>
      <c r="AA418" s="4">
        <f>(Games[[#This Row],[Keff]]*Games[[#This Row],[MOVMult]])*(Games[[#This Row],[Result]]-Games[[#This Row],[ExpectedWin%]])</f>
        <v>-9.3788171341214035</v>
      </c>
      <c r="AB418" s="4">
        <f>Games[[#This Row],[PreGmRate]]+Games[[#This Row],[RatingChange]]</f>
        <v>1592.8263495185563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1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45882</v>
      </c>
      <c r="B419" s="2">
        <v>2025</v>
      </c>
      <c r="C419" s="2">
        <f>COUNTIFS(Games[Team],Games[[#This Row],[Team]],Games[Season],Games[[#This Row],[Season]],Games[Date],"&lt;=" &amp; Games[[#This Row],[Date]])</f>
        <v>33</v>
      </c>
      <c r="D419" s="2" t="s">
        <v>79</v>
      </c>
      <c r="E419" s="2" t="s">
        <v>80</v>
      </c>
      <c r="F419" s="1" t="s">
        <v>86</v>
      </c>
      <c r="G419" s="1" t="s">
        <v>60</v>
      </c>
      <c r="H419" s="1" t="s">
        <v>82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9" s="2">
        <f>Games[[#This Row],[DaysOff]]-Games[[#This Row],[OppDaysOff]]</f>
        <v>2</v>
      </c>
      <c r="L419" s="2">
        <f>Games[[#This Row],[OppDaysOff]]-Games[[#This Row],[DaysOff]]</f>
        <v>-2</v>
      </c>
      <c r="M419" s="1">
        <f>MAX(-16, MIN(16, Games[[#This Row],[RestDiff]]*8))</f>
        <v>16</v>
      </c>
      <c r="N419" s="1">
        <f>MAX(-16, MIN(16, Games[[#This Row],[OppRestDiff]]*8))</f>
        <v>-16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1566.0278474088775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1602.2051666526777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0.61289467460951486</v>
      </c>
      <c r="R419" s="1">
        <v>83</v>
      </c>
      <c r="S419" s="1">
        <v>77</v>
      </c>
      <c r="T419" s="1">
        <v>0</v>
      </c>
      <c r="U419" s="1">
        <f>Games[[#This Row],[PointsFor]]-Games[[#This Row],[PointsAgainst]]</f>
        <v>6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0.34100036196025213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9" s="9">
        <f>MAX(kmin, kmax - 0.15 * MIN(Games[[#This Row],[GamesPlayed]], 82))</f>
        <v>71.05</v>
      </c>
      <c r="Z419" s="4">
        <f>Games[[#This Row],[K]]*Games[[#This Row],[POMult]]</f>
        <v>71.05</v>
      </c>
      <c r="AA419" s="4">
        <f>(Games[[#This Row],[Keff]]*Games[[#This Row],[MOVMult]])*(Games[[#This Row],[Result]]-Games[[#This Row],[ExpectedWin%]])</f>
        <v>9.3788171341214035</v>
      </c>
      <c r="AB419" s="4">
        <f>Games[[#This Row],[PreGmRate]]+Games[[#This Row],[RatingChange]]</f>
        <v>1575.4066645429989</v>
      </c>
      <c r="AC419" s="2">
        <f>IF(Games[[#This Row],[Type]]="R",IF(Games[[#This Row],[Result]]&gt;0.5,1,0),0)</f>
        <v>1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45882</v>
      </c>
      <c r="B420" s="2">
        <v>2025</v>
      </c>
      <c r="C420" s="2">
        <f>COUNTIFS(Games[Team],Games[[#This Row],[Team]],Games[Season],Games[[#This Row],[Season]],Games[Date],"&lt;=" &amp; Games[[#This Row],[Date]])</f>
        <v>32</v>
      </c>
      <c r="D420" s="2" t="s">
        <v>79</v>
      </c>
      <c r="E420" s="2" t="s">
        <v>80</v>
      </c>
      <c r="F420" s="1" t="s">
        <v>77</v>
      </c>
      <c r="G420" s="1" t="s">
        <v>71</v>
      </c>
      <c r="H420" s="1" t="s">
        <v>81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1607.6592616218354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1500.3089699843524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0.53355326770651446</v>
      </c>
      <c r="R420" s="1">
        <v>85</v>
      </c>
      <c r="S420" s="1">
        <v>75</v>
      </c>
      <c r="T420" s="1">
        <v>0</v>
      </c>
      <c r="U420" s="1">
        <f>Games[[#This Row],[PointsFor]]-Games[[#This Row],[PointsAgainst]]</f>
        <v>10</v>
      </c>
      <c r="V420" s="1">
        <f>IF(Games[[#This Row],[MOV]]&gt;0,1,IF(Games[[#This Row],[MOV]]=0,0.5,0))</f>
        <v>1</v>
      </c>
      <c r="W420" s="4">
        <f>((ABS(Games[[#This Row],[MOV]])+5)^0.6)/(12+0.01*(ABS(Games[[#This Row],[PreGmRate]]-Games[[#This Row],[OppPreGmRate]])))*IF(Games[[#This Row],[OT]]=1,0.9,1)</f>
        <v>0.38838530304128849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0" s="9">
        <f>MAX(kmin, kmax - 0.15 * MIN(Games[[#This Row],[GamesPlayed]], 82))</f>
        <v>71.2</v>
      </c>
      <c r="Z420" s="4">
        <f>Games[[#This Row],[K]]*Games[[#This Row],[POMult]]</f>
        <v>71.2</v>
      </c>
      <c r="AA420" s="4">
        <f>(Games[[#This Row],[Keff]]*Games[[#This Row],[MOVMult]])*(Games[[#This Row],[Result]]-Games[[#This Row],[ExpectedWin%]])</f>
        <v>12.898667149779</v>
      </c>
      <c r="AB420" s="4">
        <f>Games[[#This Row],[PreGmRate]]+Games[[#This Row],[RatingChange]]</f>
        <v>1620.5579287716143</v>
      </c>
      <c r="AC420" s="2">
        <f>IF(Games[[#This Row],[Type]]="R",IF(Games[[#This Row],[Result]]&gt;0.5,1,0),0)</f>
        <v>1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45882</v>
      </c>
      <c r="B421" s="2">
        <v>2025</v>
      </c>
      <c r="C421" s="2">
        <f>COUNTIFS(Games[Team],Games[[#This Row],[Team]],Games[Season],Games[[#This Row],[Season]],Games[Date],"&lt;=" &amp; Games[[#This Row],[Date]])</f>
        <v>33</v>
      </c>
      <c r="D421" s="2" t="s">
        <v>79</v>
      </c>
      <c r="E421" s="2" t="s">
        <v>80</v>
      </c>
      <c r="F421" s="1" t="s">
        <v>71</v>
      </c>
      <c r="G421" s="1" t="s">
        <v>77</v>
      </c>
      <c r="H421" s="1" t="s">
        <v>82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1500.3089699843524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1607.6592616218354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0.46644673229348554</v>
      </c>
      <c r="R421" s="1">
        <v>75</v>
      </c>
      <c r="S421" s="1">
        <v>85</v>
      </c>
      <c r="T421" s="1">
        <v>0</v>
      </c>
      <c r="U421" s="1">
        <f>Games[[#This Row],[PointsFor]]-Games[[#This Row],[PointsAgainst]]</f>
        <v>-10</v>
      </c>
      <c r="V421" s="1">
        <f>IF(Games[[#This Row],[MOV]]&gt;0,1,IF(Games[[#This Row],[MOV]]=0,0.5,0))</f>
        <v>0</v>
      </c>
      <c r="W421" s="4">
        <f>((ABS(Games[[#This Row],[MOV]])+5)^0.6)/(12+0.01*(ABS(Games[[#This Row],[PreGmRate]]-Games[[#This Row],[OppPreGmRate]])))*IF(Games[[#This Row],[OT]]=1,0.9,1)</f>
        <v>0.38838530304128849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1" s="9">
        <f>MAX(kmin, kmax - 0.15 * MIN(Games[[#This Row],[GamesPlayed]], 82))</f>
        <v>71.05</v>
      </c>
      <c r="Z421" s="4">
        <f>Games[[#This Row],[K]]*Games[[#This Row],[POMult]]</f>
        <v>71.05</v>
      </c>
      <c r="AA421" s="4">
        <f>(Games[[#This Row],[Keff]]*Games[[#This Row],[MOVMult]])*(Games[[#This Row],[Result]]-Games[[#This Row],[ExpectedWin%]])</f>
        <v>-12.871492991457835</v>
      </c>
      <c r="AB421" s="4">
        <f>Games[[#This Row],[PreGmRate]]+Games[[#This Row],[RatingChange]]</f>
        <v>1487.4374769928945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1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45882</v>
      </c>
      <c r="B422" s="2">
        <v>2025</v>
      </c>
      <c r="C422" s="2">
        <f>COUNTIFS(Games[Team],Games[[#This Row],[Team]],Games[Season],Games[[#This Row],[Season]],Games[Date],"&lt;=" &amp; Games[[#This Row],[Date]])</f>
        <v>32</v>
      </c>
      <c r="D422" s="2" t="s">
        <v>79</v>
      </c>
      <c r="E422" s="2" t="s">
        <v>80</v>
      </c>
      <c r="F422" s="1" t="s">
        <v>88</v>
      </c>
      <c r="G422" s="1" t="s">
        <v>65</v>
      </c>
      <c r="H422" s="1" t="s">
        <v>81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2" s="2">
        <f>Games[[#This Row],[DaysOff]]-Games[[#This Row],[OppDaysOff]]</f>
        <v>-1</v>
      </c>
      <c r="L422" s="2">
        <f>Games[[#This Row],[OppDaysOff]]-Games[[#This Row],[DaysOff]]</f>
        <v>1</v>
      </c>
      <c r="M422" s="1">
        <f>MAX(-16, MIN(16, Games[[#This Row],[RestDiff]]*8))</f>
        <v>-8</v>
      </c>
      <c r="N422" s="1">
        <f>MAX(-16, MIN(16, Games[[#This Row],[OppRestDiff]]*8))</f>
        <v>8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1510.3526948562492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1445.0558841642212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0.45022352225705486</v>
      </c>
      <c r="R422" s="1">
        <v>88</v>
      </c>
      <c r="S422" s="1">
        <v>83</v>
      </c>
      <c r="T422" s="1">
        <v>0</v>
      </c>
      <c r="U422" s="1">
        <f>Games[[#This Row],[PointsFor]]-Games[[#This Row],[PointsAgainst]]</f>
        <v>5</v>
      </c>
      <c r="V422" s="1">
        <f>IF(Games[[#This Row],[MOV]]&gt;0,1,IF(Games[[#This Row],[MOV]]=0,0.5,0))</f>
        <v>1</v>
      </c>
      <c r="W422" s="4">
        <f>((ABS(Games[[#This Row],[MOV]])+5)^0.6)/(12+0.01*(ABS(Games[[#This Row],[PreGmRate]]-Games[[#This Row],[OppPreGmRate]])))*IF(Games[[#This Row],[OT]]=1,0.9,1)</f>
        <v>0.31463540189891159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2" s="9">
        <f>MAX(kmin, kmax - 0.15 * MIN(Games[[#This Row],[GamesPlayed]], 82))</f>
        <v>71.2</v>
      </c>
      <c r="Z422" s="4">
        <f>Games[[#This Row],[K]]*Games[[#This Row],[POMult]]</f>
        <v>71.2</v>
      </c>
      <c r="AA422" s="4">
        <f>(Games[[#This Row],[Keff]]*Games[[#This Row],[MOVMult]])*(Games[[#This Row],[Result]]-Games[[#This Row],[ExpectedWin%]])</f>
        <v>12.316114983680434</v>
      </c>
      <c r="AB422" s="4">
        <f>Games[[#This Row],[PreGmRate]]+Games[[#This Row],[RatingChange]]</f>
        <v>1522.6688098399295</v>
      </c>
      <c r="AC422" s="2">
        <f>IF(Games[[#This Row],[Type]]="R",IF(Games[[#This Row],[Result]]&gt;0.5,1,0),0)</f>
        <v>1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45882</v>
      </c>
      <c r="B423" s="2">
        <v>2025</v>
      </c>
      <c r="C423" s="2">
        <f>COUNTIFS(Games[Team],Games[[#This Row],[Team]],Games[Season],Games[[#This Row],[Season]],Games[Date],"&lt;=" &amp; Games[[#This Row],[Date]])</f>
        <v>32</v>
      </c>
      <c r="D423" s="2" t="s">
        <v>79</v>
      </c>
      <c r="E423" s="2" t="s">
        <v>80</v>
      </c>
      <c r="F423" s="1" t="s">
        <v>65</v>
      </c>
      <c r="G423" s="1" t="s">
        <v>88</v>
      </c>
      <c r="H423" s="1" t="s">
        <v>82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1</v>
      </c>
      <c r="L423" s="2">
        <f>Games[[#This Row],[OppDaysOff]]-Games[[#This Row],[DaysOff]]</f>
        <v>-1</v>
      </c>
      <c r="M423" s="1">
        <f>MAX(-16, MIN(16, Games[[#This Row],[RestDiff]]*8))</f>
        <v>8</v>
      </c>
      <c r="N423" s="1">
        <f>MAX(-16, MIN(16, Games[[#This Row],[OppRestDiff]]*8))</f>
        <v>-8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1445.0558841642212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1510.3526948562492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0.54977647774294514</v>
      </c>
      <c r="R423" s="1">
        <v>83</v>
      </c>
      <c r="S423" s="1">
        <v>88</v>
      </c>
      <c r="T423" s="1">
        <v>0</v>
      </c>
      <c r="U423" s="1">
        <f>Games[[#This Row],[PointsFor]]-Games[[#This Row],[PointsAgainst]]</f>
        <v>-5</v>
      </c>
      <c r="V423" s="1">
        <f>IF(Games[[#This Row],[MOV]]&gt;0,1,IF(Games[[#This Row],[MOV]]=0,0.5,0))</f>
        <v>0</v>
      </c>
      <c r="W423" s="4">
        <f>((ABS(Games[[#This Row],[MOV]])+5)^0.6)/(12+0.01*(ABS(Games[[#This Row],[PreGmRate]]-Games[[#This Row],[OppPreGmRate]])))*IF(Games[[#This Row],[OT]]=1,0.9,1)</f>
        <v>0.31463540189891159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3" s="9">
        <f>MAX(kmin, kmax - 0.15 * MIN(Games[[#This Row],[GamesPlayed]], 82))</f>
        <v>71.2</v>
      </c>
      <c r="Z423" s="4">
        <f>Games[[#This Row],[K]]*Games[[#This Row],[POMult]]</f>
        <v>71.2</v>
      </c>
      <c r="AA423" s="4">
        <f>(Games[[#This Row],[Keff]]*Games[[#This Row],[MOVMult]])*(Games[[#This Row],[Result]]-Games[[#This Row],[ExpectedWin%]])</f>
        <v>-12.316114983680434</v>
      </c>
      <c r="AB423" s="4">
        <f>Games[[#This Row],[PreGmRate]]+Games[[#This Row],[RatingChange]]</f>
        <v>1432.7397691805409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1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45884</v>
      </c>
      <c r="B424" s="2">
        <v>2025</v>
      </c>
      <c r="C424" s="2">
        <f>COUNTIFS(Games[Team],Games[[#This Row],[Team]],Games[Season],Games[[#This Row],[Season]],Games[Date],"&lt;=" &amp; Games[[#This Row],[Date]])</f>
        <v>34</v>
      </c>
      <c r="D424" s="2" t="s">
        <v>79</v>
      </c>
      <c r="E424" s="2" t="s">
        <v>80</v>
      </c>
      <c r="F424" s="1" t="s">
        <v>71</v>
      </c>
      <c r="G424" s="1" t="s">
        <v>77</v>
      </c>
      <c r="H424" s="1" t="s">
        <v>81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">
        <f>MAX(-16, MIN(16, Games[[#This Row],[RestDiff]]*8))</f>
        <v>0</v>
      </c>
      <c r="N424" s="1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1487.4374769928945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1620.5579287716143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0.22272683460758821</v>
      </c>
      <c r="R424" s="1">
        <v>80</v>
      </c>
      <c r="S424" s="1">
        <v>78</v>
      </c>
      <c r="T424" s="1">
        <v>0</v>
      </c>
      <c r="U424" s="1">
        <f>Games[[#This Row],[PointsFor]]-Games[[#This Row],[PointsAgainst]]</f>
        <v>2</v>
      </c>
      <c r="V424" s="1">
        <f>IF(Games[[#This Row],[MOV]]&gt;0,1,IF(Games[[#This Row],[MOV]]=0,0.5,0))</f>
        <v>1</v>
      </c>
      <c r="W424" s="4">
        <f>((ABS(Games[[#This Row],[MOV]])+5)^0.6)/(12+0.01*(ABS(Games[[#This Row],[PreGmRate]]-Games[[#This Row],[OppPreGmRate]])))*IF(Games[[#This Row],[OT]]=1,0.9,1)</f>
        <v>0.24109568234645429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4" s="9">
        <f>MAX(kmin, kmax - 0.15 * MIN(Games[[#This Row],[GamesPlayed]], 82))</f>
        <v>70.900000000000006</v>
      </c>
      <c r="Z424" s="4">
        <f>Games[[#This Row],[K]]*Games[[#This Row],[POMult]]</f>
        <v>70.900000000000006</v>
      </c>
      <c r="AA424" s="4">
        <f>(Games[[#This Row],[Keff]]*Games[[#This Row],[MOVMult]])*(Games[[#This Row],[Result]]-Games[[#This Row],[ExpectedWin%]])</f>
        <v>13.286461776352921</v>
      </c>
      <c r="AB424" s="4">
        <f>Games[[#This Row],[PreGmRate]]+Games[[#This Row],[RatingChange]]</f>
        <v>1500.7239387692475</v>
      </c>
      <c r="AC424" s="2">
        <f>IF(Games[[#This Row],[Type]]="R",IF(Games[[#This Row],[Result]]&gt;0.5,1,0),0)</f>
        <v>1</v>
      </c>
      <c r="AD424" s="2">
        <f>IF(Games[[#This Row],[Type]]="R",IF(Games[[#This Row],[Result]]&lt;0.5,1,0),0)</f>
        <v>0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45884</v>
      </c>
      <c r="B425" s="2">
        <v>2025</v>
      </c>
      <c r="C425" s="2">
        <f>COUNTIFS(Games[Team],Games[[#This Row],[Team]],Games[Season],Games[[#This Row],[Season]],Games[Date],"&lt;=" &amp; Games[[#This Row],[Date]])</f>
        <v>33</v>
      </c>
      <c r="D425" s="2" t="s">
        <v>79</v>
      </c>
      <c r="E425" s="2" t="s">
        <v>80</v>
      </c>
      <c r="F425" s="1" t="s">
        <v>77</v>
      </c>
      <c r="G425" s="1" t="s">
        <v>71</v>
      </c>
      <c r="H425" s="1" t="s">
        <v>82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">
        <f>MAX(-16, MIN(16, Games[[#This Row],[RestDiff]]*8))</f>
        <v>0</v>
      </c>
      <c r="N425" s="1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1620.5579287716143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1487.4374769928945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0.77727316539241187</v>
      </c>
      <c r="R425" s="1">
        <v>78</v>
      </c>
      <c r="S425" s="1">
        <v>80</v>
      </c>
      <c r="T425" s="1">
        <v>0</v>
      </c>
      <c r="U425" s="1">
        <f>Games[[#This Row],[PointsFor]]-Games[[#This Row],[PointsAgainst]]</f>
        <v>-2</v>
      </c>
      <c r="V425" s="1">
        <f>IF(Games[[#This Row],[MOV]]&gt;0,1,IF(Games[[#This Row],[MOV]]=0,0.5,0))</f>
        <v>0</v>
      </c>
      <c r="W425" s="4">
        <f>((ABS(Games[[#This Row],[MOV]])+5)^0.6)/(12+0.01*(ABS(Games[[#This Row],[PreGmRate]]-Games[[#This Row],[OppPreGmRate]])))*IF(Games[[#This Row],[OT]]=1,0.9,1)</f>
        <v>0.24109568234645429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5" s="9">
        <f>MAX(kmin, kmax - 0.15 * MIN(Games[[#This Row],[GamesPlayed]], 82))</f>
        <v>71.05</v>
      </c>
      <c r="Z425" s="4">
        <f>Games[[#This Row],[K]]*Games[[#This Row],[POMult]]</f>
        <v>71.05</v>
      </c>
      <c r="AA425" s="4">
        <f>(Games[[#This Row],[Keff]]*Games[[#This Row],[MOVMult]])*(Games[[#This Row],[Result]]-Games[[#This Row],[ExpectedWin%]])</f>
        <v>-13.314571356979902</v>
      </c>
      <c r="AB425" s="4">
        <f>Games[[#This Row],[PreGmRate]]+Games[[#This Row],[RatingChange]]</f>
        <v>1607.2433574146344</v>
      </c>
      <c r="AC425" s="2">
        <f>IF(Games[[#This Row],[Type]]="R",IF(Games[[#This Row],[Result]]&gt;0.5,1,0),0)</f>
        <v>0</v>
      </c>
      <c r="AD425" s="2">
        <f>IF(Games[[#This Row],[Type]]="R",IF(Games[[#This Row],[Result]]&lt;0.5,1,0),0)</f>
        <v>1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45884</v>
      </c>
      <c r="B426" s="2">
        <v>2025</v>
      </c>
      <c r="C426" s="2">
        <f>COUNTIFS(Games[Team],Games[[#This Row],[Team]],Games[Season],Games[[#This Row],[Season]],Games[Date],"&lt;=" &amp; Games[[#This Row],[Date]])</f>
        <v>33</v>
      </c>
      <c r="D426" s="2" t="s">
        <v>79</v>
      </c>
      <c r="E426" s="2" t="s">
        <v>80</v>
      </c>
      <c r="F426" s="1" t="s">
        <v>88</v>
      </c>
      <c r="G426" s="1" t="s">
        <v>75</v>
      </c>
      <c r="H426" s="1" t="s">
        <v>81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">
        <f>MAX(-16, MIN(16, Games[[#This Row],[RestDiff]]*8))</f>
        <v>0</v>
      </c>
      <c r="N426" s="1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1522.6688098399295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1305.6684778576439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0.68257079953673794</v>
      </c>
      <c r="R426" s="1">
        <v>90</v>
      </c>
      <c r="S426" s="1">
        <v>59</v>
      </c>
      <c r="T426" s="1">
        <v>0</v>
      </c>
      <c r="U426" s="1">
        <f>Games[[#This Row],[PointsFor]]-Games[[#This Row],[PointsAgainst]]</f>
        <v>31</v>
      </c>
      <c r="V426" s="1">
        <f>IF(Games[[#This Row],[MOV]]&gt;0,1,IF(Games[[#This Row],[MOV]]=0,0.5,0))</f>
        <v>1</v>
      </c>
      <c r="W426" s="4">
        <f>((ABS(Games[[#This Row],[MOV]])+5)^0.6)/(12+0.01*(ABS(Games[[#This Row],[PreGmRate]]-Games[[#This Row],[OppPreGmRate]])))*IF(Games[[#This Row],[OT]]=1,0.9,1)</f>
        <v>0.60591478299942025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6" s="9">
        <f>MAX(kmin, kmax - 0.15 * MIN(Games[[#This Row],[GamesPlayed]], 82))</f>
        <v>71.05</v>
      </c>
      <c r="Z426" s="4">
        <f>Games[[#This Row],[K]]*Games[[#This Row],[POMult]]</f>
        <v>71.05</v>
      </c>
      <c r="AA426" s="4">
        <f>(Games[[#This Row],[Keff]]*Games[[#This Row],[MOVMult]])*(Games[[#This Row],[Result]]-Games[[#This Row],[ExpectedWin%]])</f>
        <v>13.665404955518579</v>
      </c>
      <c r="AB426" s="4">
        <f>Games[[#This Row],[PreGmRate]]+Games[[#This Row],[RatingChange]]</f>
        <v>1536.3342147954481</v>
      </c>
      <c r="AC426" s="2">
        <f>IF(Games[[#This Row],[Type]]="R",IF(Games[[#This Row],[Result]]&gt;0.5,1,0),0)</f>
        <v>1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45884</v>
      </c>
      <c r="B427" s="2">
        <v>2025</v>
      </c>
      <c r="C427" s="2">
        <f>COUNTIFS(Games[Team],Games[[#This Row],[Team]],Games[Season],Games[[#This Row],[Season]],Games[Date],"&lt;=" &amp; Games[[#This Row],[Date]])</f>
        <v>33</v>
      </c>
      <c r="D427" s="2" t="s">
        <v>79</v>
      </c>
      <c r="E427" s="2" t="s">
        <v>80</v>
      </c>
      <c r="F427" s="1" t="s">
        <v>75</v>
      </c>
      <c r="G427" s="1" t="s">
        <v>88</v>
      </c>
      <c r="H427" s="1" t="s">
        <v>82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">
        <f>MAX(-16, MIN(16, Games[[#This Row],[RestDiff]]*8))</f>
        <v>0</v>
      </c>
      <c r="N427" s="1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1305.6684778576439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1522.6688098399295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0.31742920046326206</v>
      </c>
      <c r="R427" s="1">
        <v>59</v>
      </c>
      <c r="S427" s="1">
        <v>90</v>
      </c>
      <c r="T427" s="1">
        <v>0</v>
      </c>
      <c r="U427" s="1">
        <f>Games[[#This Row],[PointsFor]]-Games[[#This Row],[PointsAgainst]]</f>
        <v>-31</v>
      </c>
      <c r="V427" s="1">
        <f>IF(Games[[#This Row],[MOV]]&gt;0,1,IF(Games[[#This Row],[MOV]]=0,0.5,0))</f>
        <v>0</v>
      </c>
      <c r="W427" s="4">
        <f>((ABS(Games[[#This Row],[MOV]])+5)^0.6)/(12+0.01*(ABS(Games[[#This Row],[PreGmRate]]-Games[[#This Row],[OppPreGmRate]])))*IF(Games[[#This Row],[OT]]=1,0.9,1)</f>
        <v>0.60591478299942025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7" s="9">
        <f>MAX(kmin, kmax - 0.15 * MIN(Games[[#This Row],[GamesPlayed]], 82))</f>
        <v>71.05</v>
      </c>
      <c r="Z427" s="4">
        <f>Games[[#This Row],[K]]*Games[[#This Row],[POMult]]</f>
        <v>71.05</v>
      </c>
      <c r="AA427" s="4">
        <f>(Games[[#This Row],[Keff]]*Games[[#This Row],[MOVMult]])*(Games[[#This Row],[Result]]-Games[[#This Row],[ExpectedWin%]])</f>
        <v>-13.665404955518579</v>
      </c>
      <c r="AB427" s="4">
        <f>Games[[#This Row],[PreGmRate]]+Games[[#This Row],[RatingChange]]</f>
        <v>1292.0030729021253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1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45884</v>
      </c>
      <c r="B428" s="2">
        <v>2025</v>
      </c>
      <c r="C428" s="2">
        <f>COUNTIFS(Games[Team],Games[[#This Row],[Team]],Games[Season],Games[[#This Row],[Season]],Games[Date],"&lt;=" &amp; Games[[#This Row],[Date]])</f>
        <v>33</v>
      </c>
      <c r="D428" s="2" t="s">
        <v>79</v>
      </c>
      <c r="E428" s="2" t="s">
        <v>80</v>
      </c>
      <c r="F428" s="1" t="s">
        <v>63</v>
      </c>
      <c r="G428" s="1" t="s">
        <v>85</v>
      </c>
      <c r="H428" s="1" t="s">
        <v>81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1456.8137696779172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1354.3403270232584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0.52656039578978786</v>
      </c>
      <c r="R428" s="1">
        <v>97</v>
      </c>
      <c r="S428" s="1">
        <v>96</v>
      </c>
      <c r="T428" s="1">
        <v>0</v>
      </c>
      <c r="U428" s="1">
        <f>Games[[#This Row],[PointsFor]]-Games[[#This Row],[PointsAgainst]]</f>
        <v>1</v>
      </c>
      <c r="V428" s="1">
        <f>IF(Games[[#This Row],[MOV]]&gt;0,1,IF(Games[[#This Row],[MOV]]=0,0.5,0))</f>
        <v>1</v>
      </c>
      <c r="W428" s="4">
        <f>((ABS(Games[[#This Row],[MOV]])+5)^0.6)/(12+0.01*(ABS(Games[[#This Row],[PreGmRate]]-Games[[#This Row],[OppPreGmRate]])))*IF(Games[[#This Row],[OT]]=1,0.9,1)</f>
        <v>0.22496858328346203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8" s="9">
        <f>MAX(kmin, kmax - 0.15 * MIN(Games[[#This Row],[GamesPlayed]], 82))</f>
        <v>71.05</v>
      </c>
      <c r="Z428" s="4">
        <f>Games[[#This Row],[K]]*Games[[#This Row],[POMult]]</f>
        <v>71.05</v>
      </c>
      <c r="AA428" s="4">
        <f>(Games[[#This Row],[Keff]]*Games[[#This Row],[MOVMult]])*(Games[[#This Row],[Result]]-Games[[#This Row],[ExpectedWin%]])</f>
        <v>7.5674670809427349</v>
      </c>
      <c r="AB428" s="4">
        <f>Games[[#This Row],[PreGmRate]]+Games[[#This Row],[RatingChange]]</f>
        <v>1464.38123675886</v>
      </c>
      <c r="AC428" s="2">
        <f>IF(Games[[#This Row],[Type]]="R",IF(Games[[#This Row],[Result]]&gt;0.5,1,0),0)</f>
        <v>1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45884</v>
      </c>
      <c r="B429" s="2">
        <v>2025</v>
      </c>
      <c r="C429" s="2">
        <f>COUNTIFS(Games[Team],Games[[#This Row],[Team]],Games[Season],Games[[#This Row],[Season]],Games[Date],"&lt;=" &amp; Games[[#This Row],[Date]])</f>
        <v>34</v>
      </c>
      <c r="D429" s="2" t="s">
        <v>79</v>
      </c>
      <c r="E429" s="2" t="s">
        <v>80</v>
      </c>
      <c r="F429" s="1" t="s">
        <v>85</v>
      </c>
      <c r="G429" s="1" t="s">
        <v>63</v>
      </c>
      <c r="H429" s="1" t="s">
        <v>82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1354.3403270232584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1456.8137696779172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0.47343960421021214</v>
      </c>
      <c r="R429" s="1">
        <v>96</v>
      </c>
      <c r="S429" s="1">
        <v>97</v>
      </c>
      <c r="T429" s="1">
        <v>0</v>
      </c>
      <c r="U429" s="1">
        <f>Games[[#This Row],[PointsFor]]-Games[[#This Row],[PointsAgainst]]</f>
        <v>-1</v>
      </c>
      <c r="V429" s="1">
        <f>IF(Games[[#This Row],[MOV]]&gt;0,1,IF(Games[[#This Row],[MOV]]=0,0.5,0))</f>
        <v>0</v>
      </c>
      <c r="W429" s="4">
        <f>((ABS(Games[[#This Row],[MOV]])+5)^0.6)/(12+0.01*(ABS(Games[[#This Row],[PreGmRate]]-Games[[#This Row],[OppPreGmRate]])))*IF(Games[[#This Row],[OT]]=1,0.9,1)</f>
        <v>0.22496858328346203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9" s="9">
        <f>MAX(kmin, kmax - 0.15 * MIN(Games[[#This Row],[GamesPlayed]], 82))</f>
        <v>70.900000000000006</v>
      </c>
      <c r="Z429" s="4">
        <f>Games[[#This Row],[K]]*Games[[#This Row],[POMult]]</f>
        <v>70.900000000000006</v>
      </c>
      <c r="AA429" s="4">
        <f>(Games[[#This Row],[Keff]]*Games[[#This Row],[MOVMult]])*(Games[[#This Row],[Result]]-Games[[#This Row],[ExpectedWin%]])</f>
        <v>-7.5514907253883186</v>
      </c>
      <c r="AB429" s="4">
        <f>Games[[#This Row],[PreGmRate]]+Games[[#This Row],[RatingChange]]</f>
        <v>1346.7888362978701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1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45884</v>
      </c>
      <c r="B430" s="2">
        <v>2025</v>
      </c>
      <c r="C430" s="2">
        <f>COUNTIFS(Games[Team],Games[[#This Row],[Team]],Games[Season],Games[[#This Row],[Season]],Games[Date],"&lt;=" &amp; Games[[#This Row],[Date]])</f>
        <v>33</v>
      </c>
      <c r="D430" s="2" t="s">
        <v>79</v>
      </c>
      <c r="E430" s="2" t="s">
        <v>80</v>
      </c>
      <c r="F430" s="1" t="s">
        <v>65</v>
      </c>
      <c r="G430" s="1" t="s">
        <v>69</v>
      </c>
      <c r="H430" s="1" t="s">
        <v>81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0" s="2">
        <f>Games[[#This Row],[DaysOff]]-Games[[#This Row],[OppDaysOff]]</f>
        <v>-1</v>
      </c>
      <c r="L430" s="2">
        <f>Games[[#This Row],[OppDaysOff]]-Games[[#This Row],[DaysOff]]</f>
        <v>1</v>
      </c>
      <c r="M430" s="1">
        <f>MAX(-16, MIN(16, Games[[#This Row],[RestDiff]]*8))</f>
        <v>-8</v>
      </c>
      <c r="N430" s="1">
        <f>MAX(-16, MIN(16, Games[[#This Row],[OppRestDiff]]*8))</f>
        <v>8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1432.7397691805409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1542.2101010920387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0.2304435891291399</v>
      </c>
      <c r="R430" s="1">
        <v>88</v>
      </c>
      <c r="S430" s="1">
        <v>84</v>
      </c>
      <c r="T430" s="1">
        <v>0</v>
      </c>
      <c r="U430" s="1">
        <f>Games[[#This Row],[PointsFor]]-Games[[#This Row],[PointsAgainst]]</f>
        <v>4</v>
      </c>
      <c r="V430" s="1">
        <f>IF(Games[[#This Row],[MOV]]&gt;0,1,IF(Games[[#This Row],[MOV]]=0,0.5,0))</f>
        <v>1</v>
      </c>
      <c r="W430" s="4">
        <f>((ABS(Games[[#This Row],[MOV]])+5)^0.6)/(12+0.01*(ABS(Games[[#This Row],[PreGmRate]]-Games[[#This Row],[OppPreGmRate]])))*IF(Games[[#This Row],[OT]]=1,0.9,1)</f>
        <v>0.28539728833651307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0" s="9">
        <f>MAX(kmin, kmax - 0.15 * MIN(Games[[#This Row],[GamesPlayed]], 82))</f>
        <v>71.05</v>
      </c>
      <c r="Z430" s="4">
        <f>Games[[#This Row],[K]]*Games[[#This Row],[POMult]]</f>
        <v>71.05</v>
      </c>
      <c r="AA430" s="4">
        <f>(Games[[#This Row],[Keff]]*Games[[#This Row],[MOVMult]])*(Games[[#This Row],[Result]]-Games[[#This Row],[ExpectedWin%]])</f>
        <v>15.604662680445358</v>
      </c>
      <c r="AB430" s="4">
        <f>Games[[#This Row],[PreGmRate]]+Games[[#This Row],[RatingChange]]</f>
        <v>1448.3444318609863</v>
      </c>
      <c r="AC430" s="2">
        <f>IF(Games[[#This Row],[Type]]="R",IF(Games[[#This Row],[Result]]&gt;0.5,1,0),0)</f>
        <v>1</v>
      </c>
      <c r="AD430" s="2">
        <f>IF(Games[[#This Row],[Type]]="R",IF(Games[[#This Row],[Result]]&lt;0.5,1,0),0)</f>
        <v>0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45884</v>
      </c>
      <c r="B431" s="2">
        <v>2025</v>
      </c>
      <c r="C431" s="2">
        <f>COUNTIFS(Games[Team],Games[[#This Row],[Team]],Games[Season],Games[[#This Row],[Season]],Games[Date],"&lt;=" &amp; Games[[#This Row],[Date]])</f>
        <v>35</v>
      </c>
      <c r="D431" s="2" t="s">
        <v>79</v>
      </c>
      <c r="E431" s="2" t="s">
        <v>80</v>
      </c>
      <c r="F431" s="1" t="s">
        <v>69</v>
      </c>
      <c r="G431" s="1" t="s">
        <v>65</v>
      </c>
      <c r="H431" s="1" t="s">
        <v>82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1" s="2">
        <f>Games[[#This Row],[DaysOff]]-Games[[#This Row],[OppDaysOff]]</f>
        <v>1</v>
      </c>
      <c r="L431" s="2">
        <f>Games[[#This Row],[OppDaysOff]]-Games[[#This Row],[DaysOff]]</f>
        <v>-1</v>
      </c>
      <c r="M431" s="1">
        <f>MAX(-16, MIN(16, Games[[#This Row],[RestDiff]]*8))</f>
        <v>8</v>
      </c>
      <c r="N431" s="1">
        <f>MAX(-16, MIN(16, Games[[#This Row],[OppRestDiff]]*8))</f>
        <v>-8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1542.2101010920387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1432.7397691805409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0.76955641087086013</v>
      </c>
      <c r="R431" s="1">
        <v>84</v>
      </c>
      <c r="S431" s="1">
        <v>88</v>
      </c>
      <c r="T431" s="1">
        <v>0</v>
      </c>
      <c r="U431" s="1">
        <f>Games[[#This Row],[PointsFor]]-Games[[#This Row],[PointsAgainst]]</f>
        <v>-4</v>
      </c>
      <c r="V431" s="1">
        <f>IF(Games[[#This Row],[MOV]]&gt;0,1,IF(Games[[#This Row],[MOV]]=0,0.5,0))</f>
        <v>0</v>
      </c>
      <c r="W431" s="4">
        <f>((ABS(Games[[#This Row],[MOV]])+5)^0.6)/(12+0.01*(ABS(Games[[#This Row],[PreGmRate]]-Games[[#This Row],[OppPreGmRate]])))*IF(Games[[#This Row],[OT]]=1,0.9,1)</f>
        <v>0.28539728833651307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1" s="9">
        <f>MAX(kmin, kmax - 0.15 * MIN(Games[[#This Row],[GamesPlayed]], 82))</f>
        <v>70.75</v>
      </c>
      <c r="Z431" s="4">
        <f>Games[[#This Row],[K]]*Games[[#This Row],[POMult]]</f>
        <v>70.75</v>
      </c>
      <c r="AA431" s="4">
        <f>(Games[[#This Row],[Keff]]*Games[[#This Row],[MOVMult]])*(Games[[#This Row],[Result]]-Games[[#This Row],[ExpectedWin%]])</f>
        <v>-15.538773886580003</v>
      </c>
      <c r="AB431" s="4">
        <f>Games[[#This Row],[PreGmRate]]+Games[[#This Row],[RatingChange]]</f>
        <v>1526.6713272054587</v>
      </c>
      <c r="AC431" s="2">
        <f>IF(Games[[#This Row],[Type]]="R",IF(Games[[#This Row],[Result]]&gt;0.5,1,0),0)</f>
        <v>0</v>
      </c>
      <c r="AD431" s="2">
        <f>IF(Games[[#This Row],[Type]]="R",IF(Games[[#This Row],[Result]]&lt;0.5,1,0),0)</f>
        <v>1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45884</v>
      </c>
      <c r="B432" s="2">
        <v>2025</v>
      </c>
      <c r="C432" s="2">
        <f>COUNTIFS(Games[Team],Games[[#This Row],[Team]],Games[Season],Games[[#This Row],[Season]],Games[Date],"&lt;=" &amp; Games[[#This Row],[Date]])</f>
        <v>34</v>
      </c>
      <c r="D432" s="2" t="s">
        <v>79</v>
      </c>
      <c r="E432" s="2" t="s">
        <v>80</v>
      </c>
      <c r="F432" s="1" t="s">
        <v>86</v>
      </c>
      <c r="G432" s="1" t="s">
        <v>40</v>
      </c>
      <c r="H432" s="1" t="s">
        <v>81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2" s="2">
        <f>Games[[#This Row],[DaysOff]]-Games[[#This Row],[OppDaysOff]]</f>
        <v>-3</v>
      </c>
      <c r="L432" s="2">
        <f>Games[[#This Row],[OppDaysOff]]-Games[[#This Row],[DaysOff]]</f>
        <v>3</v>
      </c>
      <c r="M432" s="1">
        <f>MAX(-16, MIN(16, Games[[#This Row],[RestDiff]]*8))</f>
        <v>-16</v>
      </c>
      <c r="N432" s="1">
        <f>MAX(-16, MIN(16, Games[[#This Row],[OppRestDiff]]*8))</f>
        <v>16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1575.4066645429989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1550.1730434450701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0.37226940708194634</v>
      </c>
      <c r="R432" s="1">
        <v>86</v>
      </c>
      <c r="S432" s="1">
        <v>83</v>
      </c>
      <c r="T432" s="1">
        <v>0</v>
      </c>
      <c r="U432" s="1">
        <f>Games[[#This Row],[PointsFor]]-Games[[#This Row],[PointsAgainst]]</f>
        <v>3</v>
      </c>
      <c r="V432" s="1">
        <f>IF(Games[[#This Row],[MOV]]&gt;0,1,IF(Games[[#This Row],[MOV]]=0,0.5,0))</f>
        <v>1</v>
      </c>
      <c r="W432" s="4">
        <f>((ABS(Games[[#This Row],[MOV]])+5)^0.6)/(12+0.01*(ABS(Games[[#This Row],[PreGmRate]]-Games[[#This Row],[OppPreGmRate]])))*IF(Games[[#This Row],[OT]]=1,0.9,1)</f>
        <v>0.2842072069540586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2" s="9">
        <f>MAX(kmin, kmax - 0.15 * MIN(Games[[#This Row],[GamesPlayed]], 82))</f>
        <v>70.900000000000006</v>
      </c>
      <c r="Z432" s="4">
        <f>Games[[#This Row],[K]]*Games[[#This Row],[POMult]]</f>
        <v>70.900000000000006</v>
      </c>
      <c r="AA432" s="4">
        <f>(Games[[#This Row],[Keff]]*Games[[#This Row],[MOVMult]])*(Games[[#This Row],[Result]]-Games[[#This Row],[ExpectedWin%]])</f>
        <v>12.648954099979434</v>
      </c>
      <c r="AB432" s="4">
        <f>Games[[#This Row],[PreGmRate]]+Games[[#This Row],[RatingChange]]</f>
        <v>1588.0556186429783</v>
      </c>
      <c r="AC432" s="2">
        <f>IF(Games[[#This Row],[Type]]="R",IF(Games[[#This Row],[Result]]&gt;0.5,1,0),0)</f>
        <v>1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45884</v>
      </c>
      <c r="B433" s="2">
        <v>2025</v>
      </c>
      <c r="C433" s="2">
        <f>COUNTIFS(Games[Team],Games[[#This Row],[Team]],Games[Season],Games[[#This Row],[Season]],Games[Date],"&lt;=" &amp; Games[[#This Row],[Date]])</f>
        <v>32</v>
      </c>
      <c r="D433" s="2" t="s">
        <v>79</v>
      </c>
      <c r="E433" s="2" t="s">
        <v>80</v>
      </c>
      <c r="F433" s="1" t="s">
        <v>40</v>
      </c>
      <c r="G433" s="1" t="s">
        <v>86</v>
      </c>
      <c r="H433" s="1" t="s">
        <v>82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3</v>
      </c>
      <c r="L433" s="2">
        <f>Games[[#This Row],[OppDaysOff]]-Games[[#This Row],[DaysOff]]</f>
        <v>-3</v>
      </c>
      <c r="M433" s="1">
        <f>MAX(-16, MIN(16, Games[[#This Row],[RestDiff]]*8))</f>
        <v>16</v>
      </c>
      <c r="N433" s="1">
        <f>MAX(-16, MIN(16, Games[[#This Row],[OppRestDiff]]*8))</f>
        <v>-16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1550.1730434450701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1575.4066645429989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0.62773059291805366</v>
      </c>
      <c r="R433" s="1">
        <v>83</v>
      </c>
      <c r="S433" s="1">
        <v>86</v>
      </c>
      <c r="T433" s="1">
        <v>0</v>
      </c>
      <c r="U433" s="1">
        <f>Games[[#This Row],[PointsFor]]-Games[[#This Row],[PointsAgainst]]</f>
        <v>-3</v>
      </c>
      <c r="V433" s="1">
        <f>IF(Games[[#This Row],[MOV]]&gt;0,1,IF(Games[[#This Row],[MOV]]=0,0.5,0))</f>
        <v>0</v>
      </c>
      <c r="W433" s="4">
        <f>((ABS(Games[[#This Row],[MOV]])+5)^0.6)/(12+0.01*(ABS(Games[[#This Row],[PreGmRate]]-Games[[#This Row],[OppPreGmRate]])))*IF(Games[[#This Row],[OT]]=1,0.9,1)</f>
        <v>0.2842072069540586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3" s="9">
        <f>MAX(kmin, kmax - 0.15 * MIN(Games[[#This Row],[GamesPlayed]], 82))</f>
        <v>71.2</v>
      </c>
      <c r="Z433" s="4">
        <f>Games[[#This Row],[K]]*Games[[#This Row],[POMult]]</f>
        <v>71.2</v>
      </c>
      <c r="AA433" s="4">
        <f>(Games[[#This Row],[Keff]]*Games[[#This Row],[MOVMult]])*(Games[[#This Row],[Result]]-Games[[#This Row],[ExpectedWin%]])</f>
        <v>-12.702475767539291</v>
      </c>
      <c r="AB433" s="4">
        <f>Games[[#This Row],[PreGmRate]]+Games[[#This Row],[RatingChange]]</f>
        <v>1537.4705676775309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1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45885</v>
      </c>
      <c r="B434" s="2">
        <v>2025</v>
      </c>
      <c r="C434" s="2">
        <f>COUNTIFS(Games[Team],Games[[#This Row],[Team]],Games[Season],Games[[#This Row],[Season]],Games[Date],"&lt;=" &amp; Games[[#This Row],[Date]])</f>
        <v>34</v>
      </c>
      <c r="D434" s="2" t="s">
        <v>79</v>
      </c>
      <c r="E434" s="2" t="s">
        <v>80</v>
      </c>
      <c r="F434" s="1" t="s">
        <v>60</v>
      </c>
      <c r="G434" s="1" t="s">
        <v>67</v>
      </c>
      <c r="H434" s="1" t="s">
        <v>81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34" s="2">
        <f>Games[[#This Row],[DaysOff]]-Games[[#This Row],[OppDaysOff]]</f>
        <v>-3</v>
      </c>
      <c r="L434" s="2">
        <f>Games[[#This Row],[OppDaysOff]]-Games[[#This Row],[DaysOff]]</f>
        <v>3</v>
      </c>
      <c r="M434" s="1">
        <f>MAX(-16, MIN(16, Games[[#This Row],[RestDiff]]*8))</f>
        <v>-16</v>
      </c>
      <c r="N434" s="1">
        <f>MAX(-16, MIN(16, Games[[#This Row],[OppRestDiff]]*8))</f>
        <v>16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1592.8263495185563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1712.4108012275769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0.2048694909501145</v>
      </c>
      <c r="R434" s="1">
        <v>80</v>
      </c>
      <c r="S434" s="1">
        <v>86</v>
      </c>
      <c r="T434" s="1">
        <v>0</v>
      </c>
      <c r="U434" s="1">
        <f>Games[[#This Row],[PointsFor]]-Games[[#This Row],[PointsAgainst]]</f>
        <v>-6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0.31944671124553564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4" s="9">
        <f>MAX(kmin, kmax - 0.15 * MIN(Games[[#This Row],[GamesPlayed]], 82))</f>
        <v>70.900000000000006</v>
      </c>
      <c r="Z434" s="4">
        <f>Games[[#This Row],[K]]*Games[[#This Row],[POMult]]</f>
        <v>70.900000000000006</v>
      </c>
      <c r="AA434" s="4">
        <f>(Games[[#This Row],[Keff]]*Games[[#This Row],[MOVMult]])*(Games[[#This Row],[Result]]-Games[[#This Row],[ExpectedWin%]])</f>
        <v>-4.640042354905983</v>
      </c>
      <c r="AB434" s="4">
        <f>Games[[#This Row],[PreGmRate]]+Games[[#This Row],[RatingChange]]</f>
        <v>1588.1863071636503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1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45885</v>
      </c>
      <c r="B435" s="2">
        <v>2025</v>
      </c>
      <c r="C435" s="2">
        <f>COUNTIFS(Games[Team],Games[[#This Row],[Team]],Games[Season],Games[[#This Row],[Season]],Games[Date],"&lt;=" &amp; Games[[#This Row],[Date]])</f>
        <v>34</v>
      </c>
      <c r="D435" s="2" t="s">
        <v>79</v>
      </c>
      <c r="E435" s="2" t="s">
        <v>80</v>
      </c>
      <c r="F435" s="1" t="s">
        <v>67</v>
      </c>
      <c r="G435" s="1" t="s">
        <v>60</v>
      </c>
      <c r="H435" s="1" t="s">
        <v>82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5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5" s="2">
        <f>Games[[#This Row],[DaysOff]]-Games[[#This Row],[OppDaysOff]]</f>
        <v>3</v>
      </c>
      <c r="L435" s="2">
        <f>Games[[#This Row],[OppDaysOff]]-Games[[#This Row],[DaysOff]]</f>
        <v>-3</v>
      </c>
      <c r="M435" s="1">
        <f>MAX(-16, MIN(16, Games[[#This Row],[RestDiff]]*8))</f>
        <v>16</v>
      </c>
      <c r="N435" s="1">
        <f>MAX(-16, MIN(16, Games[[#This Row],[OppRestDiff]]*8))</f>
        <v>-16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1712.4108012275769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1592.8263495185563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0.79513050904988547</v>
      </c>
      <c r="R435" s="1">
        <v>86</v>
      </c>
      <c r="S435" s="1">
        <v>80</v>
      </c>
      <c r="T435" s="1">
        <v>0</v>
      </c>
      <c r="U435" s="1">
        <f>Games[[#This Row],[PointsFor]]-Games[[#This Row],[PointsAgainst]]</f>
        <v>6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0.31944671124553564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5" s="9">
        <f>MAX(kmin, kmax - 0.15 * MIN(Games[[#This Row],[GamesPlayed]], 82))</f>
        <v>70.900000000000006</v>
      </c>
      <c r="Z435" s="4">
        <f>Games[[#This Row],[K]]*Games[[#This Row],[POMult]]</f>
        <v>70.900000000000006</v>
      </c>
      <c r="AA435" s="4">
        <f>(Games[[#This Row],[Keff]]*Games[[#This Row],[MOVMult]])*(Games[[#This Row],[Result]]-Games[[#This Row],[ExpectedWin%]])</f>
        <v>4.640042354905983</v>
      </c>
      <c r="AB435" s="4">
        <f>Games[[#This Row],[PreGmRate]]+Games[[#This Row],[RatingChange]]</f>
        <v>1717.0508435824829</v>
      </c>
      <c r="AC435" s="2">
        <f>IF(Games[[#This Row],[Type]]="R",IF(Games[[#This Row],[Result]]&gt;0.5,1,0),0)</f>
        <v>1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45886</v>
      </c>
      <c r="B436" s="2">
        <v>2025</v>
      </c>
      <c r="C436" s="2">
        <f>COUNTIFS(Games[Team],Games[[#This Row],[Team]],Games[Season],Games[[#This Row],[Season]],Games[Date],"&lt;=" &amp; Games[[#This Row],[Date]])</f>
        <v>36</v>
      </c>
      <c r="D436" s="2" t="s">
        <v>79</v>
      </c>
      <c r="E436" s="2" t="s">
        <v>80</v>
      </c>
      <c r="F436" s="1" t="s">
        <v>69</v>
      </c>
      <c r="G436" s="1" t="s">
        <v>74</v>
      </c>
      <c r="H436" s="1" t="s">
        <v>81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6" s="2">
        <f>Games[[#This Row],[DaysOff]]-Games[[#This Row],[OppDaysOff]]</f>
        <v>-2</v>
      </c>
      <c r="L436" s="2">
        <f>Games[[#This Row],[OppDaysOff]]-Games[[#This Row],[DaysOff]]</f>
        <v>2</v>
      </c>
      <c r="M436" s="1">
        <f>MAX(-16, MIN(16, Games[[#This Row],[RestDiff]]*8))</f>
        <v>-16</v>
      </c>
      <c r="N436" s="1">
        <f>MAX(-16, MIN(16, Games[[#This Row],[OppRestDiff]]*8))</f>
        <v>16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1526.6713272054587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1345.4099453773858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0.59282947403371788</v>
      </c>
      <c r="R436" s="1">
        <v>99</v>
      </c>
      <c r="S436" s="1">
        <v>93</v>
      </c>
      <c r="T436" s="1">
        <v>1</v>
      </c>
      <c r="U436" s="1">
        <f>Games[[#This Row],[PointsFor]]-Games[[#This Row],[PointsAgainst]]</f>
        <v>6</v>
      </c>
      <c r="V436" s="1">
        <f>IF(Games[[#This Row],[MOV]]&gt;0,1,IF(Games[[#This Row],[MOV]]=0,0.5,0))</f>
        <v>1</v>
      </c>
      <c r="W436" s="4">
        <f>((ABS(Games[[#This Row],[MOV]])+5)^0.6)/(12+0.01*(ABS(Games[[#This Row],[PreGmRate]]-Games[[#This Row],[OppPreGmRate]])))*IF(Games[[#This Row],[OT]]=1,0.9,1)</f>
        <v>0.27466432274835961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6" s="9">
        <f>MAX(kmin, kmax - 0.15 * MIN(Games[[#This Row],[GamesPlayed]], 82))</f>
        <v>70.599999999999994</v>
      </c>
      <c r="Z436" s="4">
        <f>Games[[#This Row],[K]]*Games[[#This Row],[POMult]]</f>
        <v>70.599999999999994</v>
      </c>
      <c r="AA436" s="4">
        <f>(Games[[#This Row],[Keff]]*Games[[#This Row],[MOVMult]])*(Games[[#This Row],[Result]]-Games[[#This Row],[ExpectedWin%]])</f>
        <v>7.8955663030881302</v>
      </c>
      <c r="AB436" s="4">
        <f>Games[[#This Row],[PreGmRate]]+Games[[#This Row],[RatingChange]]</f>
        <v>1534.5668935085469</v>
      </c>
      <c r="AC436" s="2">
        <f>IF(Games[[#This Row],[Type]]="R",IF(Games[[#This Row],[Result]]&gt;0.5,1,0),0)</f>
        <v>1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45886</v>
      </c>
      <c r="B437" s="2">
        <v>2025</v>
      </c>
      <c r="C437" s="2">
        <f>COUNTIFS(Games[Team],Games[[#This Row],[Team]],Games[Season],Games[[#This Row],[Season]],Games[Date],"&lt;=" &amp; Games[[#This Row],[Date]])</f>
        <v>33</v>
      </c>
      <c r="D437" s="2" t="s">
        <v>79</v>
      </c>
      <c r="E437" s="2" t="s">
        <v>80</v>
      </c>
      <c r="F437" s="1" t="s">
        <v>74</v>
      </c>
      <c r="G437" s="1" t="s">
        <v>69</v>
      </c>
      <c r="H437" s="1" t="s">
        <v>82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7" s="2">
        <f>Games[[#This Row],[DaysOff]]-Games[[#This Row],[OppDaysOff]]</f>
        <v>2</v>
      </c>
      <c r="L437" s="2">
        <f>Games[[#This Row],[OppDaysOff]]-Games[[#This Row],[DaysOff]]</f>
        <v>-2</v>
      </c>
      <c r="M437" s="1">
        <f>MAX(-16, MIN(16, Games[[#This Row],[RestDiff]]*8))</f>
        <v>16</v>
      </c>
      <c r="N437" s="1">
        <f>MAX(-16, MIN(16, Games[[#This Row],[OppRestDiff]]*8))</f>
        <v>-16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1345.4099453773858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1526.6713272054587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0.40717052596628212</v>
      </c>
      <c r="R437" s="1">
        <v>93</v>
      </c>
      <c r="S437" s="1">
        <v>99</v>
      </c>
      <c r="T437" s="1">
        <v>1</v>
      </c>
      <c r="U437" s="1">
        <f>Games[[#This Row],[PointsFor]]-Games[[#This Row],[PointsAgainst]]</f>
        <v>-6</v>
      </c>
      <c r="V437" s="1">
        <f>IF(Games[[#This Row],[MOV]]&gt;0,1,IF(Games[[#This Row],[MOV]]=0,0.5,0))</f>
        <v>0</v>
      </c>
      <c r="W437" s="4">
        <f>((ABS(Games[[#This Row],[MOV]])+5)^0.6)/(12+0.01*(ABS(Games[[#This Row],[PreGmRate]]-Games[[#This Row],[OppPreGmRate]])))*IF(Games[[#This Row],[OT]]=1,0.9,1)</f>
        <v>0.27466432274835961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7" s="9">
        <f>MAX(kmin, kmax - 0.15 * MIN(Games[[#This Row],[GamesPlayed]], 82))</f>
        <v>71.05</v>
      </c>
      <c r="Z437" s="4">
        <f>Games[[#This Row],[K]]*Games[[#This Row],[POMult]]</f>
        <v>71.05</v>
      </c>
      <c r="AA437" s="4">
        <f>(Games[[#This Row],[Keff]]*Games[[#This Row],[MOVMult]])*(Games[[#This Row],[Result]]-Games[[#This Row],[ExpectedWin%]])</f>
        <v>-7.9458921506290601</v>
      </c>
      <c r="AB437" s="4">
        <f>Games[[#This Row],[PreGmRate]]+Games[[#This Row],[RatingChange]]</f>
        <v>1337.4640532267567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1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45886</v>
      </c>
      <c r="B438" s="2">
        <v>2025</v>
      </c>
      <c r="C438" s="2">
        <f>COUNTIFS(Games[Team],Games[[#This Row],[Team]],Games[Season],Games[[#This Row],[Season]],Games[Date],"&lt;=" &amp; Games[[#This Row],[Date]])</f>
        <v>34</v>
      </c>
      <c r="D438" s="2" t="s">
        <v>79</v>
      </c>
      <c r="E438" s="2" t="s">
        <v>80</v>
      </c>
      <c r="F438" s="1" t="s">
        <v>77</v>
      </c>
      <c r="G438" s="1" t="s">
        <v>88</v>
      </c>
      <c r="H438" s="1" t="s">
        <v>81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">
        <f>MAX(-16, MIN(16, Games[[#This Row],[RestDiff]]*8))</f>
        <v>0</v>
      </c>
      <c r="N438" s="1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1607.2433574146344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1536.3342147954481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0.48116965195829203</v>
      </c>
      <c r="R438" s="1">
        <v>79</v>
      </c>
      <c r="S438" s="1">
        <v>63</v>
      </c>
      <c r="T438" s="1">
        <v>0</v>
      </c>
      <c r="U438" s="1">
        <f>Games[[#This Row],[PointsFor]]-Games[[#This Row],[PointsAgainst]]</f>
        <v>16</v>
      </c>
      <c r="V438" s="1">
        <f>IF(Games[[#This Row],[MOV]]&gt;0,1,IF(Games[[#This Row],[MOV]]=0,0.5,0))</f>
        <v>1</v>
      </c>
      <c r="W438" s="4">
        <f>((ABS(Games[[#This Row],[MOV]])+5)^0.6)/(12+0.01*(ABS(Games[[#This Row],[PreGmRate]]-Games[[#This Row],[OppPreGmRate]])))*IF(Games[[#This Row],[OT]]=1,0.9,1)</f>
        <v>0.48889666294756745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8" s="9">
        <f>MAX(kmin, kmax - 0.15 * MIN(Games[[#This Row],[GamesPlayed]], 82))</f>
        <v>70.900000000000006</v>
      </c>
      <c r="Z438" s="4">
        <f>Games[[#This Row],[K]]*Games[[#This Row],[POMult]]</f>
        <v>70.900000000000006</v>
      </c>
      <c r="AA438" s="4">
        <f>(Games[[#This Row],[Keff]]*Games[[#This Row],[MOVMult]])*(Games[[#This Row],[Result]]-Games[[#This Row],[ExpectedWin%]])</f>
        <v>17.984098788760289</v>
      </c>
      <c r="AB438" s="4">
        <f>Games[[#This Row],[PreGmRate]]+Games[[#This Row],[RatingChange]]</f>
        <v>1625.2274562033947</v>
      </c>
      <c r="AC438" s="2">
        <f>IF(Games[[#This Row],[Type]]="R",IF(Games[[#This Row],[Result]]&gt;0.5,1,0),0)</f>
        <v>1</v>
      </c>
      <c r="AD438" s="2">
        <f>IF(Games[[#This Row],[Type]]="R",IF(Games[[#This Row],[Result]]&lt;0.5,1,0),0)</f>
        <v>0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45886</v>
      </c>
      <c r="B439" s="2">
        <v>2025</v>
      </c>
      <c r="C439" s="2">
        <f>COUNTIFS(Games[Team],Games[[#This Row],[Team]],Games[Season],Games[[#This Row],[Season]],Games[Date],"&lt;=" &amp; Games[[#This Row],[Date]])</f>
        <v>34</v>
      </c>
      <c r="D439" s="2" t="s">
        <v>79</v>
      </c>
      <c r="E439" s="2" t="s">
        <v>80</v>
      </c>
      <c r="F439" s="1" t="s">
        <v>88</v>
      </c>
      <c r="G439" s="1" t="s">
        <v>77</v>
      </c>
      <c r="H439" s="1" t="s">
        <v>82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">
        <f>MAX(-16, MIN(16, Games[[#This Row],[RestDiff]]*8))</f>
        <v>0</v>
      </c>
      <c r="N439" s="1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1536.3342147954481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1607.2433574146344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0.51883034804170802</v>
      </c>
      <c r="R439" s="1">
        <v>63</v>
      </c>
      <c r="S439" s="1">
        <v>79</v>
      </c>
      <c r="T439" s="1">
        <v>0</v>
      </c>
      <c r="U439" s="1">
        <f>Games[[#This Row],[PointsFor]]-Games[[#This Row],[PointsAgainst]]</f>
        <v>-16</v>
      </c>
      <c r="V439" s="1">
        <f>IF(Games[[#This Row],[MOV]]&gt;0,1,IF(Games[[#This Row],[MOV]]=0,0.5,0))</f>
        <v>0</v>
      </c>
      <c r="W439" s="4">
        <f>((ABS(Games[[#This Row],[MOV]])+5)^0.6)/(12+0.01*(ABS(Games[[#This Row],[PreGmRate]]-Games[[#This Row],[OppPreGmRate]])))*IF(Games[[#This Row],[OT]]=1,0.9,1)</f>
        <v>0.48889666294756745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9" s="9">
        <f>MAX(kmin, kmax - 0.15 * MIN(Games[[#This Row],[GamesPlayed]], 82))</f>
        <v>70.900000000000006</v>
      </c>
      <c r="Z439" s="4">
        <f>Games[[#This Row],[K]]*Games[[#This Row],[POMult]]</f>
        <v>70.900000000000006</v>
      </c>
      <c r="AA439" s="4">
        <f>(Games[[#This Row],[Keff]]*Games[[#This Row],[MOVMult]])*(Games[[#This Row],[Result]]-Games[[#This Row],[ExpectedWin%]])</f>
        <v>-17.984098788760289</v>
      </c>
      <c r="AB439" s="4">
        <f>Games[[#This Row],[PreGmRate]]+Games[[#This Row],[RatingChange]]</f>
        <v>1518.3501160066878</v>
      </c>
      <c r="AC439" s="2">
        <f>IF(Games[[#This Row],[Type]]="R",IF(Games[[#This Row],[Result]]&gt;0.5,1,0),0)</f>
        <v>0</v>
      </c>
      <c r="AD439" s="2">
        <f>IF(Games[[#This Row],[Type]]="R",IF(Games[[#This Row],[Result]]&lt;0.5,1,0),0)</f>
        <v>1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45886</v>
      </c>
      <c r="B440" s="2">
        <v>2025</v>
      </c>
      <c r="C440" s="2">
        <f>COUNTIFS(Games[Team],Games[[#This Row],[Team]],Games[Season],Games[[#This Row],[Season]],Games[Date],"&lt;=" &amp; Games[[#This Row],[Date]])</f>
        <v>35</v>
      </c>
      <c r="D440" s="2" t="s">
        <v>79</v>
      </c>
      <c r="E440" s="2" t="s">
        <v>80</v>
      </c>
      <c r="F440" s="1" t="s">
        <v>85</v>
      </c>
      <c r="G440" s="1" t="s">
        <v>86</v>
      </c>
      <c r="H440" s="1" t="s">
        <v>81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">
        <f>MAX(-16, MIN(16, Games[[#This Row],[RestDiff]]*8))</f>
        <v>0</v>
      </c>
      <c r="N440" s="1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1346.7888362978701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1588.0556186429783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0.1332658709868044</v>
      </c>
      <c r="R440" s="1">
        <v>87</v>
      </c>
      <c r="S440" s="1">
        <v>106</v>
      </c>
      <c r="T440" s="1">
        <v>0</v>
      </c>
      <c r="U440" s="1">
        <f>Games[[#This Row],[PointsFor]]-Games[[#This Row],[PointsAgainst]]</f>
        <v>-19</v>
      </c>
      <c r="V440" s="1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0.46707042409760469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0" s="9">
        <f>MAX(kmin, kmax - 0.15 * MIN(Games[[#This Row],[GamesPlayed]], 82))</f>
        <v>70.75</v>
      </c>
      <c r="Z440" s="4">
        <f>Games[[#This Row],[K]]*Games[[#This Row],[POMult]]</f>
        <v>70.75</v>
      </c>
      <c r="AA440" s="4">
        <f>(Games[[#This Row],[Keff]]*Games[[#This Row],[MOVMult]])*(Games[[#This Row],[Result]]-Games[[#This Row],[ExpectedWin%]])</f>
        <v>-4.4038016917276961</v>
      </c>
      <c r="AB440" s="4">
        <f>Games[[#This Row],[PreGmRate]]+Games[[#This Row],[RatingChange]]</f>
        <v>1342.3850346061424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1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45886</v>
      </c>
      <c r="B441" s="2">
        <v>2025</v>
      </c>
      <c r="C441" s="2">
        <f>COUNTIFS(Games[Team],Games[[#This Row],[Team]],Games[Season],Games[[#This Row],[Season]],Games[Date],"&lt;=" &amp; Games[[#This Row],[Date]])</f>
        <v>35</v>
      </c>
      <c r="D441" s="2" t="s">
        <v>79</v>
      </c>
      <c r="E441" s="2" t="s">
        <v>80</v>
      </c>
      <c r="F441" s="1" t="s">
        <v>86</v>
      </c>
      <c r="G441" s="1" t="s">
        <v>85</v>
      </c>
      <c r="H441" s="1" t="s">
        <v>82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">
        <f>MAX(-16, MIN(16, Games[[#This Row],[RestDiff]]*8))</f>
        <v>0</v>
      </c>
      <c r="N441" s="1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1588.0556186429783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1346.7888362978701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0.86673412901319558</v>
      </c>
      <c r="R441" s="1">
        <v>106</v>
      </c>
      <c r="S441" s="1">
        <v>87</v>
      </c>
      <c r="T441" s="1">
        <v>0</v>
      </c>
      <c r="U441" s="1">
        <f>Games[[#This Row],[PointsFor]]-Games[[#This Row],[PointsAgainst]]</f>
        <v>19</v>
      </c>
      <c r="V441" s="1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0.46707042409760469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1" s="9">
        <f>MAX(kmin, kmax - 0.15 * MIN(Games[[#This Row],[GamesPlayed]], 82))</f>
        <v>70.75</v>
      </c>
      <c r="Z441" s="4">
        <f>Games[[#This Row],[K]]*Games[[#This Row],[POMult]]</f>
        <v>70.75</v>
      </c>
      <c r="AA441" s="4">
        <f>(Games[[#This Row],[Keff]]*Games[[#This Row],[MOVMult]])*(Games[[#This Row],[Result]]-Games[[#This Row],[ExpectedWin%]])</f>
        <v>4.403801691727697</v>
      </c>
      <c r="AB441" s="4">
        <f>Games[[#This Row],[PreGmRate]]+Games[[#This Row],[RatingChange]]</f>
        <v>1592.459420334706</v>
      </c>
      <c r="AC441" s="2">
        <f>IF(Games[[#This Row],[Type]]="R",IF(Games[[#This Row],[Result]]&gt;0.5,1,0),0)</f>
        <v>1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45886</v>
      </c>
      <c r="B442" s="2">
        <v>2025</v>
      </c>
      <c r="C442" s="2">
        <f>COUNTIFS(Games[Team],Games[[#This Row],[Team]],Games[Season],Games[[#This Row],[Season]],Games[Date],"&lt;=" &amp; Games[[#This Row],[Date]])</f>
        <v>33</v>
      </c>
      <c r="D442" s="2" t="s">
        <v>79</v>
      </c>
      <c r="E442" s="2" t="s">
        <v>80</v>
      </c>
      <c r="F442" s="1" t="s">
        <v>40</v>
      </c>
      <c r="G442" s="1" t="s">
        <v>71</v>
      </c>
      <c r="H442" s="1" t="s">
        <v>81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2" s="2">
        <f>Games[[#This Row],[DaysOff]]-Games[[#This Row],[OppDaysOff]]</f>
        <v>0</v>
      </c>
      <c r="L442" s="2">
        <f>Games[[#This Row],[OppDaysOff]]-Games[[#This Row],[DaysOff]]</f>
        <v>0</v>
      </c>
      <c r="M442" s="1">
        <f>MAX(-16, MIN(16, Games[[#This Row],[RestDiff]]*8))</f>
        <v>0</v>
      </c>
      <c r="N442" s="1">
        <f>MAX(-16, MIN(16, Games[[#This Row],[OppRestDiff]]*8))</f>
        <v>0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1537.4705676775309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1500.7239387692475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0.4324131526166744</v>
      </c>
      <c r="R442" s="1">
        <v>85</v>
      </c>
      <c r="S442" s="1">
        <v>82</v>
      </c>
      <c r="T442" s="1">
        <v>0</v>
      </c>
      <c r="U442" s="1">
        <f>Games[[#This Row],[PointsFor]]-Games[[#This Row],[PointsAgainst]]</f>
        <v>3</v>
      </c>
      <c r="V442" s="1">
        <f>IF(Games[[#This Row],[MOV]]&gt;0,1,IF(Games[[#This Row],[MOV]]=0,0.5,0))</f>
        <v>1</v>
      </c>
      <c r="W442" s="4">
        <f>((ABS(Games[[#This Row],[MOV]])+5)^0.6)/(12+0.01*(ABS(Games[[#This Row],[PreGmRate]]-Games[[#This Row],[OppPreGmRate]])))*IF(Games[[#This Row],[OT]]=1,0.9,1)</f>
        <v>0.28156149139928116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2" s="9">
        <f>MAX(kmin, kmax - 0.15 * MIN(Games[[#This Row],[GamesPlayed]], 82))</f>
        <v>71.05</v>
      </c>
      <c r="Z442" s="4">
        <f>Games[[#This Row],[K]]*Games[[#This Row],[POMult]]</f>
        <v>71.05</v>
      </c>
      <c r="AA442" s="4">
        <f>(Games[[#This Row],[Keff]]*Games[[#This Row],[MOVMult]])*(Games[[#This Row],[Result]]-Games[[#This Row],[ExpectedWin%]])</f>
        <v>11.354543076560834</v>
      </c>
      <c r="AB442" s="4">
        <f>Games[[#This Row],[PreGmRate]]+Games[[#This Row],[RatingChange]]</f>
        <v>1548.8251107540916</v>
      </c>
      <c r="AC442" s="2">
        <f>IF(Games[[#This Row],[Type]]="R",IF(Games[[#This Row],[Result]]&gt;0.5,1,0),0)</f>
        <v>1</v>
      </c>
      <c r="AD442" s="2">
        <f>IF(Games[[#This Row],[Type]]="R",IF(Games[[#This Row],[Result]]&lt;0.5,1,0),0)</f>
        <v>0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45886</v>
      </c>
      <c r="B443" s="2">
        <v>2025</v>
      </c>
      <c r="C443" s="2">
        <f>COUNTIFS(Games[Team],Games[[#This Row],[Team]],Games[Season],Games[[#This Row],[Season]],Games[Date],"&lt;=" &amp; Games[[#This Row],[Date]])</f>
        <v>35</v>
      </c>
      <c r="D443" s="2" t="s">
        <v>79</v>
      </c>
      <c r="E443" s="2" t="s">
        <v>80</v>
      </c>
      <c r="F443" s="1" t="s">
        <v>71</v>
      </c>
      <c r="G443" s="1" t="s">
        <v>40</v>
      </c>
      <c r="H443" s="1" t="s">
        <v>82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3" s="2">
        <f>Games[[#This Row],[DaysOff]]-Games[[#This Row],[OppDaysOff]]</f>
        <v>0</v>
      </c>
      <c r="L443" s="2">
        <f>Games[[#This Row],[OppDaysOff]]-Games[[#This Row],[DaysOff]]</f>
        <v>0</v>
      </c>
      <c r="M443" s="1">
        <f>MAX(-16, MIN(16, Games[[#This Row],[RestDiff]]*8))</f>
        <v>0</v>
      </c>
      <c r="N443" s="1">
        <f>MAX(-16, MIN(16, Games[[#This Row],[OppRestDiff]]*8))</f>
        <v>0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1500.7239387692475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1537.4705676775309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0.56758684738332554</v>
      </c>
      <c r="R443" s="1">
        <v>82</v>
      </c>
      <c r="S443" s="1">
        <v>85</v>
      </c>
      <c r="T443" s="1">
        <v>0</v>
      </c>
      <c r="U443" s="1">
        <f>Games[[#This Row],[PointsFor]]-Games[[#This Row],[PointsAgainst]]</f>
        <v>-3</v>
      </c>
      <c r="V443" s="1">
        <f>IF(Games[[#This Row],[MOV]]&gt;0,1,IF(Games[[#This Row],[MOV]]=0,0.5,0))</f>
        <v>0</v>
      </c>
      <c r="W443" s="4">
        <f>((ABS(Games[[#This Row],[MOV]])+5)^0.6)/(12+0.01*(ABS(Games[[#This Row],[PreGmRate]]-Games[[#This Row],[OppPreGmRate]])))*IF(Games[[#This Row],[OT]]=1,0.9,1)</f>
        <v>0.28156149139928116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3" s="9">
        <f>MAX(kmin, kmax - 0.15 * MIN(Games[[#This Row],[GamesPlayed]], 82))</f>
        <v>70.75</v>
      </c>
      <c r="Z443" s="4">
        <f>Games[[#This Row],[K]]*Games[[#This Row],[POMult]]</f>
        <v>70.75</v>
      </c>
      <c r="AA443" s="4">
        <f>(Games[[#This Row],[Keff]]*Games[[#This Row],[MOVMult]])*(Games[[#This Row],[Result]]-Games[[#This Row],[ExpectedWin%]])</f>
        <v>-11.306599896786471</v>
      </c>
      <c r="AB443" s="4">
        <f>Games[[#This Row],[PreGmRate]]+Games[[#This Row],[RatingChange]]</f>
        <v>1489.417338872461</v>
      </c>
      <c r="AC443" s="2">
        <f>IF(Games[[#This Row],[Type]]="R",IF(Games[[#This Row],[Result]]&gt;0.5,1,0),0)</f>
        <v>0</v>
      </c>
      <c r="AD443" s="2">
        <f>IF(Games[[#This Row],[Type]]="R",IF(Games[[#This Row],[Result]]&lt;0.5,1,0),0)</f>
        <v>1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45886</v>
      </c>
      <c r="B444" s="2">
        <v>2025</v>
      </c>
      <c r="C444" s="2">
        <f>COUNTIFS(Games[Team],Games[[#This Row],[Team]],Games[Season],Games[[#This Row],[Season]],Games[Date],"&lt;=" &amp; Games[[#This Row],[Date]])</f>
        <v>34</v>
      </c>
      <c r="D444" s="2" t="s">
        <v>79</v>
      </c>
      <c r="E444" s="2" t="s">
        <v>80</v>
      </c>
      <c r="F444" s="1" t="s">
        <v>63</v>
      </c>
      <c r="G444" s="1" t="s">
        <v>65</v>
      </c>
      <c r="H444" s="1" t="s">
        <v>81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">
        <f>MAX(-16, MIN(16, Games[[#This Row],[RestDiff]]*8))</f>
        <v>0</v>
      </c>
      <c r="N444" s="1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1464.38123675886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1448.3444318609863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0.40342181600883409</v>
      </c>
      <c r="R444" s="1">
        <v>86</v>
      </c>
      <c r="S444" s="1">
        <v>95</v>
      </c>
      <c r="T444" s="1">
        <v>0</v>
      </c>
      <c r="U444" s="1">
        <f>Games[[#This Row],[PointsFor]]-Games[[#This Row],[PointsAgainst]]</f>
        <v>-9</v>
      </c>
      <c r="V444" s="1">
        <f>IF(Games[[#This Row],[MOV]]&gt;0,1,IF(Games[[#This Row],[MOV]]=0,0.5,0))</f>
        <v>0</v>
      </c>
      <c r="W444" s="4">
        <f>((ABS(Games[[#This Row],[MOV]])+5)^0.6)/(12+0.01*(ABS(Games[[#This Row],[PreGmRate]]-Games[[#This Row],[OppPreGmRate]])))*IF(Games[[#This Row],[OT]]=1,0.9,1)</f>
        <v>0.40061767095742218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4" s="9">
        <f>MAX(kmin, kmax - 0.15 * MIN(Games[[#This Row],[GamesPlayed]], 82))</f>
        <v>70.900000000000006</v>
      </c>
      <c r="Z444" s="4">
        <f>Games[[#This Row],[K]]*Games[[#This Row],[POMult]]</f>
        <v>70.900000000000006</v>
      </c>
      <c r="AA444" s="4">
        <f>(Games[[#This Row],[Keff]]*Games[[#This Row],[MOVMult]])*(Games[[#This Row],[Result]]-Games[[#This Row],[ExpectedWin%]])</f>
        <v>-11.458709701509683</v>
      </c>
      <c r="AB444" s="4">
        <f>Games[[#This Row],[PreGmRate]]+Games[[#This Row],[RatingChange]]</f>
        <v>1452.9225270573504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1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45886</v>
      </c>
      <c r="B445" s="2">
        <v>2025</v>
      </c>
      <c r="C445" s="2">
        <f>COUNTIFS(Games[Team],Games[[#This Row],[Team]],Games[Season],Games[[#This Row],[Season]],Games[Date],"&lt;=" &amp; Games[[#This Row],[Date]])</f>
        <v>34</v>
      </c>
      <c r="D445" s="2" t="s">
        <v>79</v>
      </c>
      <c r="E445" s="2" t="s">
        <v>80</v>
      </c>
      <c r="F445" s="1" t="s">
        <v>65</v>
      </c>
      <c r="G445" s="1" t="s">
        <v>63</v>
      </c>
      <c r="H445" s="1" t="s">
        <v>82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">
        <f>MAX(-16, MIN(16, Games[[#This Row],[RestDiff]]*8))</f>
        <v>0</v>
      </c>
      <c r="N445" s="1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1448.3444318609863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1464.38123675886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0.59657818399116591</v>
      </c>
      <c r="R445" s="1">
        <v>95</v>
      </c>
      <c r="S445" s="1">
        <v>86</v>
      </c>
      <c r="T445" s="1">
        <v>0</v>
      </c>
      <c r="U445" s="1">
        <f>Games[[#This Row],[PointsFor]]-Games[[#This Row],[PointsAgainst]]</f>
        <v>9</v>
      </c>
      <c r="V445" s="1">
        <f>IF(Games[[#This Row],[MOV]]&gt;0,1,IF(Games[[#This Row],[MOV]]=0,0.5,0))</f>
        <v>1</v>
      </c>
      <c r="W445" s="4">
        <f>((ABS(Games[[#This Row],[MOV]])+5)^0.6)/(12+0.01*(ABS(Games[[#This Row],[PreGmRate]]-Games[[#This Row],[OppPreGmRate]])))*IF(Games[[#This Row],[OT]]=1,0.9,1)</f>
        <v>0.40061767095742218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5" s="9">
        <f>MAX(kmin, kmax - 0.15 * MIN(Games[[#This Row],[GamesPlayed]], 82))</f>
        <v>70.900000000000006</v>
      </c>
      <c r="Z445" s="4">
        <f>Games[[#This Row],[K]]*Games[[#This Row],[POMult]]</f>
        <v>70.900000000000006</v>
      </c>
      <c r="AA445" s="4">
        <f>(Games[[#This Row],[Keff]]*Games[[#This Row],[MOVMult]])*(Games[[#This Row],[Result]]-Games[[#This Row],[ExpectedWin%]])</f>
        <v>11.458709701509683</v>
      </c>
      <c r="AB445" s="4">
        <f>Games[[#This Row],[PreGmRate]]+Games[[#This Row],[RatingChange]]</f>
        <v>1459.803141562496</v>
      </c>
      <c r="AC445" s="2">
        <f>IF(Games[[#This Row],[Type]]="R",IF(Games[[#This Row],[Result]]&gt;0.5,1,0),0)</f>
        <v>1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45888</v>
      </c>
      <c r="B446" s="2">
        <v>2025</v>
      </c>
      <c r="C446" s="2">
        <f>COUNTIFS(Games[Team],Games[[#This Row],[Team]],Games[Season],Games[[#This Row],[Season]],Games[Date],"&lt;=" &amp; Games[[#This Row],[Date]])</f>
        <v>36</v>
      </c>
      <c r="D446" s="2" t="s">
        <v>79</v>
      </c>
      <c r="E446" s="2" t="s">
        <v>80</v>
      </c>
      <c r="F446" s="1" t="s">
        <v>71</v>
      </c>
      <c r="G446" s="1" t="s">
        <v>75</v>
      </c>
      <c r="H446" s="1" t="s">
        <v>81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6" s="2">
        <f>Games[[#This Row],[DaysOff]]-Games[[#This Row],[OppDaysOff]]</f>
        <v>-2</v>
      </c>
      <c r="L446" s="2">
        <f>Games[[#This Row],[OppDaysOff]]-Games[[#This Row],[DaysOff]]</f>
        <v>2</v>
      </c>
      <c r="M446" s="1">
        <f>MAX(-16, MIN(16, Games[[#This Row],[RestDiff]]*8))</f>
        <v>-16</v>
      </c>
      <c r="N446" s="1">
        <f>MAX(-16, MIN(16, Games[[#This Row],[OppRestDiff]]*8))</f>
        <v>16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1489.417338872461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1292.0030729021253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0.61506611834439739</v>
      </c>
      <c r="R446" s="1">
        <v>94</v>
      </c>
      <c r="S446" s="1">
        <v>88</v>
      </c>
      <c r="T446" s="1">
        <v>0</v>
      </c>
      <c r="U446" s="1">
        <f>Games[[#This Row],[PointsFor]]-Games[[#This Row],[PointsAgainst]]</f>
        <v>6</v>
      </c>
      <c r="V446" s="1">
        <f>IF(Games[[#This Row],[MOV]]&gt;0,1,IF(Games[[#This Row],[MOV]]=0,0.5,0))</f>
        <v>1</v>
      </c>
      <c r="W446" s="4">
        <f>((ABS(Games[[#This Row],[MOV]])+5)^0.6)/(12+0.01*(ABS(Games[[#This Row],[PreGmRate]]-Games[[#This Row],[OppPreGmRate]])))*IF(Games[[#This Row],[OT]]=1,0.9,1)</f>
        <v>0.30165493767625412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6" s="9">
        <f>MAX(kmin, kmax - 0.15 * MIN(Games[[#This Row],[GamesPlayed]], 82))</f>
        <v>70.599999999999994</v>
      </c>
      <c r="Z446" s="4">
        <f>Games[[#This Row],[K]]*Games[[#This Row],[POMult]]</f>
        <v>70.599999999999994</v>
      </c>
      <c r="AA446" s="4">
        <f>(Games[[#This Row],[Keff]]*Games[[#This Row],[MOVMult]])*(Games[[#This Row],[Result]]-Games[[#This Row],[ExpectedWin%]])</f>
        <v>8.1978747492691344</v>
      </c>
      <c r="AB446" s="4">
        <f>Games[[#This Row],[PreGmRate]]+Games[[#This Row],[RatingChange]]</f>
        <v>1497.6152136217302</v>
      </c>
      <c r="AC446" s="2">
        <f>IF(Games[[#This Row],[Type]]="R",IF(Games[[#This Row],[Result]]&gt;0.5,1,0),0)</f>
        <v>1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45888</v>
      </c>
      <c r="B447" s="2">
        <v>2025</v>
      </c>
      <c r="C447" s="2">
        <f>COUNTIFS(Games[Team],Games[[#This Row],[Team]],Games[Season],Games[[#This Row],[Season]],Games[Date],"&lt;=" &amp; Games[[#This Row],[Date]])</f>
        <v>34</v>
      </c>
      <c r="D447" s="2" t="s">
        <v>79</v>
      </c>
      <c r="E447" s="2" t="s">
        <v>80</v>
      </c>
      <c r="F447" s="1" t="s">
        <v>75</v>
      </c>
      <c r="G447" s="1" t="s">
        <v>71</v>
      </c>
      <c r="H447" s="1" t="s">
        <v>82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7" s="2">
        <f>Games[[#This Row],[DaysOff]]-Games[[#This Row],[OppDaysOff]]</f>
        <v>2</v>
      </c>
      <c r="L447" s="2">
        <f>Games[[#This Row],[OppDaysOff]]-Games[[#This Row],[DaysOff]]</f>
        <v>-2</v>
      </c>
      <c r="M447" s="1">
        <f>MAX(-16, MIN(16, Games[[#This Row],[RestDiff]]*8))</f>
        <v>16</v>
      </c>
      <c r="N447" s="1">
        <f>MAX(-16, MIN(16, Games[[#This Row],[OppRestDiff]]*8))</f>
        <v>-16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1292.0030729021253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1489.417338872461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0.38493388165560261</v>
      </c>
      <c r="R447" s="1">
        <v>88</v>
      </c>
      <c r="S447" s="1">
        <v>94</v>
      </c>
      <c r="T447" s="1">
        <v>0</v>
      </c>
      <c r="U447" s="1">
        <f>Games[[#This Row],[PointsFor]]-Games[[#This Row],[PointsAgainst]]</f>
        <v>-6</v>
      </c>
      <c r="V447" s="1">
        <f>IF(Games[[#This Row],[MOV]]&gt;0,1,IF(Games[[#This Row],[MOV]]=0,0.5,0))</f>
        <v>0</v>
      </c>
      <c r="W447" s="4">
        <f>((ABS(Games[[#This Row],[MOV]])+5)^0.6)/(12+0.01*(ABS(Games[[#This Row],[PreGmRate]]-Games[[#This Row],[OppPreGmRate]])))*IF(Games[[#This Row],[OT]]=1,0.9,1)</f>
        <v>0.30165493767625412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7" s="9">
        <f>MAX(kmin, kmax - 0.15 * MIN(Games[[#This Row],[GamesPlayed]], 82))</f>
        <v>70.900000000000006</v>
      </c>
      <c r="Z447" s="4">
        <f>Games[[#This Row],[K]]*Games[[#This Row],[POMult]]</f>
        <v>70.900000000000006</v>
      </c>
      <c r="AA447" s="4">
        <f>(Games[[#This Row],[Keff]]*Games[[#This Row],[MOVMult]])*(Games[[#This Row],[Result]]-Games[[#This Row],[ExpectedWin%]])</f>
        <v>-8.2327099110932274</v>
      </c>
      <c r="AB447" s="4">
        <f>Games[[#This Row],[PreGmRate]]+Games[[#This Row],[RatingChange]]</f>
        <v>1283.770362991032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1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45888</v>
      </c>
      <c r="B448" s="2">
        <v>2025</v>
      </c>
      <c r="C448" s="2">
        <f>COUNTIFS(Games[Team],Games[[#This Row],[Team]],Games[Season],Games[[#This Row],[Season]],Games[Date],"&lt;=" &amp; Games[[#This Row],[Date]])</f>
        <v>34</v>
      </c>
      <c r="D448" s="2" t="s">
        <v>79</v>
      </c>
      <c r="E448" s="2" t="s">
        <v>80</v>
      </c>
      <c r="F448" s="1" t="s">
        <v>40</v>
      </c>
      <c r="G448" s="1" t="s">
        <v>88</v>
      </c>
      <c r="H448" s="1" t="s">
        <v>81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8" s="2">
        <f>Games[[#This Row],[DaysOff]]-Games[[#This Row],[OppDaysOff]]</f>
        <v>0</v>
      </c>
      <c r="L448" s="2">
        <f>Games[[#This Row],[OppDaysOff]]-Games[[#This Row],[DaysOff]]</f>
        <v>0</v>
      </c>
      <c r="M448" s="1">
        <f>MAX(-16, MIN(16, Games[[#This Row],[RestDiff]]*8))</f>
        <v>0</v>
      </c>
      <c r="N448" s="1">
        <f>MAX(-16, MIN(16, Games[[#This Row],[OppRestDiff]]*8))</f>
        <v>0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1548.8251107540916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1518.3501160066878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0.42357498627968437</v>
      </c>
      <c r="R448" s="1">
        <v>98</v>
      </c>
      <c r="S448" s="1">
        <v>91</v>
      </c>
      <c r="T448" s="1">
        <v>0</v>
      </c>
      <c r="U448" s="1">
        <f>Games[[#This Row],[PointsFor]]-Games[[#This Row],[PointsAgainst]]</f>
        <v>7</v>
      </c>
      <c r="V448" s="1">
        <f>IF(Games[[#This Row],[MOV]]&gt;0,1,IF(Games[[#This Row],[MOV]]=0,0.5,0))</f>
        <v>1</v>
      </c>
      <c r="W448" s="4">
        <f>((ABS(Games[[#This Row],[MOV]])+5)^0.6)/(12+0.01*(ABS(Games[[#This Row],[PreGmRate]]-Games[[#This Row],[OppPreGmRate]])))*IF(Games[[#This Row],[OT]]=1,0.9,1)</f>
        <v>0.3609407821210997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8" s="9">
        <f>MAX(kmin, kmax - 0.15 * MIN(Games[[#This Row],[GamesPlayed]], 82))</f>
        <v>70.900000000000006</v>
      </c>
      <c r="Z448" s="4">
        <f>Games[[#This Row],[K]]*Games[[#This Row],[POMult]]</f>
        <v>70.900000000000006</v>
      </c>
      <c r="AA448" s="4">
        <f>(Games[[#This Row],[Keff]]*Games[[#This Row],[MOVMult]])*(Games[[#This Row],[Result]]-Games[[#This Row],[ExpectedWin%]])</f>
        <v>14.751120435804085</v>
      </c>
      <c r="AB448" s="4">
        <f>Games[[#This Row],[PreGmRate]]+Games[[#This Row],[RatingChange]]</f>
        <v>1563.5762311898957</v>
      </c>
      <c r="AC448" s="2">
        <f>IF(Games[[#This Row],[Type]]="R",IF(Games[[#This Row],[Result]]&gt;0.5,1,0),0)</f>
        <v>1</v>
      </c>
      <c r="AD448" s="2">
        <f>IF(Games[[#This Row],[Type]]="R",IF(Games[[#This Row],[Result]]&lt;0.5,1,0),0)</f>
        <v>0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45888</v>
      </c>
      <c r="B449" s="2">
        <v>2025</v>
      </c>
      <c r="C449" s="2">
        <f>COUNTIFS(Games[Team],Games[[#This Row],[Team]],Games[Season],Games[[#This Row],[Season]],Games[Date],"&lt;=" &amp; Games[[#This Row],[Date]])</f>
        <v>35</v>
      </c>
      <c r="D449" s="2" t="s">
        <v>79</v>
      </c>
      <c r="E449" s="2" t="s">
        <v>80</v>
      </c>
      <c r="F449" s="1" t="s">
        <v>88</v>
      </c>
      <c r="G449" s="1" t="s">
        <v>40</v>
      </c>
      <c r="H449" s="1" t="s">
        <v>82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9" s="2">
        <f>Games[[#This Row],[DaysOff]]-Games[[#This Row],[OppDaysOff]]</f>
        <v>0</v>
      </c>
      <c r="L449" s="2">
        <f>Games[[#This Row],[OppDaysOff]]-Games[[#This Row],[DaysOff]]</f>
        <v>0</v>
      </c>
      <c r="M449" s="1">
        <f>MAX(-16, MIN(16, Games[[#This Row],[RestDiff]]*8))</f>
        <v>0</v>
      </c>
      <c r="N449" s="1">
        <f>MAX(-16, MIN(16, Games[[#This Row],[OppRestDiff]]*8))</f>
        <v>0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1518.3501160066878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1548.8251107540916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0.57642501372031552</v>
      </c>
      <c r="R449" s="1">
        <v>91</v>
      </c>
      <c r="S449" s="1">
        <v>98</v>
      </c>
      <c r="T449" s="1">
        <v>0</v>
      </c>
      <c r="U449" s="1">
        <f>Games[[#This Row],[PointsFor]]-Games[[#This Row],[PointsAgainst]]</f>
        <v>-7</v>
      </c>
      <c r="V449" s="1">
        <f>IF(Games[[#This Row],[MOV]]&gt;0,1,IF(Games[[#This Row],[MOV]]=0,0.5,0))</f>
        <v>0</v>
      </c>
      <c r="W449" s="4">
        <f>((ABS(Games[[#This Row],[MOV]])+5)^0.6)/(12+0.01*(ABS(Games[[#This Row],[PreGmRate]]-Games[[#This Row],[OppPreGmRate]])))*IF(Games[[#This Row],[OT]]=1,0.9,1)</f>
        <v>0.3609407821210997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9" s="9">
        <f>MAX(kmin, kmax - 0.15 * MIN(Games[[#This Row],[GamesPlayed]], 82))</f>
        <v>70.75</v>
      </c>
      <c r="Z449" s="4">
        <f>Games[[#This Row],[K]]*Games[[#This Row],[POMult]]</f>
        <v>70.75</v>
      </c>
      <c r="AA449" s="4">
        <f>(Games[[#This Row],[Keff]]*Games[[#This Row],[MOVMult]])*(Games[[#This Row],[Result]]-Games[[#This Row],[ExpectedWin%]])</f>
        <v>-14.719912141511124</v>
      </c>
      <c r="AB449" s="4">
        <f>Games[[#This Row],[PreGmRate]]+Games[[#This Row],[RatingChange]]</f>
        <v>1503.6302038651768</v>
      </c>
      <c r="AC449" s="2">
        <f>IF(Games[[#This Row],[Type]]="R",IF(Games[[#This Row],[Result]]&gt;0.5,1,0),0)</f>
        <v>0</v>
      </c>
      <c r="AD449" s="2">
        <f>IF(Games[[#This Row],[Type]]="R",IF(Games[[#This Row],[Result]]&lt;0.5,1,0),0)</f>
        <v>1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45888</v>
      </c>
      <c r="B450" s="2">
        <v>2025</v>
      </c>
      <c r="C450" s="2">
        <f>COUNTIFS(Games[Team],Games[[#This Row],[Team]],Games[Season],Games[[#This Row],[Season]],Games[Date],"&lt;=" &amp; Games[[#This Row],[Date]])</f>
        <v>35</v>
      </c>
      <c r="D450" s="2" t="s">
        <v>79</v>
      </c>
      <c r="E450" s="2" t="s">
        <v>80</v>
      </c>
      <c r="F450" s="1" t="s">
        <v>77</v>
      </c>
      <c r="G450" s="1" t="s">
        <v>86</v>
      </c>
      <c r="H450" s="1" t="s">
        <v>81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0" s="2">
        <f>Games[[#This Row],[DaysOff]]-Games[[#This Row],[OppDaysOff]]</f>
        <v>0</v>
      </c>
      <c r="L450" s="2">
        <f>Games[[#This Row],[OppDaysOff]]-Games[[#This Row],[DaysOff]]</f>
        <v>0</v>
      </c>
      <c r="M450" s="1">
        <f>MAX(-16, MIN(16, Games[[#This Row],[RestDiff]]*8))</f>
        <v>0</v>
      </c>
      <c r="N450" s="1">
        <f>MAX(-16, MIN(16, Games[[#This Row],[OppRestDiff]]*8))</f>
        <v>0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1625.2274562033947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1592.459420334706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0.42680104811718889</v>
      </c>
      <c r="R450" s="1">
        <v>72</v>
      </c>
      <c r="S450" s="1">
        <v>74</v>
      </c>
      <c r="T450" s="1">
        <v>0</v>
      </c>
      <c r="U450" s="1">
        <f>Games[[#This Row],[PointsFor]]-Games[[#This Row],[PointsAgainst]]</f>
        <v>-2</v>
      </c>
      <c r="V450" s="1">
        <f>IF(Games[[#This Row],[MOV]]&gt;0,1,IF(Games[[#This Row],[MOV]]=0,0.5,0))</f>
        <v>0</v>
      </c>
      <c r="W450" s="4">
        <f>((ABS(Games[[#This Row],[MOV]])+5)^0.6)/(12+0.01*(ABS(Games[[#This Row],[PreGmRate]]-Games[[#This Row],[OppPreGmRate]])))*IF(Games[[#This Row],[OT]]=1,0.9,1)</f>
        <v>0.26072186787769663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0" s="9">
        <f>MAX(kmin, kmax - 0.15 * MIN(Games[[#This Row],[GamesPlayed]], 82))</f>
        <v>70.75</v>
      </c>
      <c r="Z450" s="4">
        <f>Games[[#This Row],[K]]*Games[[#This Row],[POMult]]</f>
        <v>70.75</v>
      </c>
      <c r="AA450" s="4">
        <f>(Games[[#This Row],[Keff]]*Games[[#This Row],[MOVMult]])*(Games[[#This Row],[Result]]-Games[[#This Row],[ExpectedWin%]])</f>
        <v>-7.8728029282670047</v>
      </c>
      <c r="AB450" s="4">
        <f>Games[[#This Row],[PreGmRate]]+Games[[#This Row],[RatingChange]]</f>
        <v>1617.3546532751277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1</v>
      </c>
      <c r="AE450" s="2">
        <f>IF(AND(Games[[#This Row],[Type]]="P",Games[[#This Row],[Round]]=1),IF(Games[[#This Row],[Result]]&gt;0.5,1,0),0)</f>
        <v>0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45888</v>
      </c>
      <c r="B451" s="2">
        <v>2025</v>
      </c>
      <c r="C451" s="2">
        <f>COUNTIFS(Games[Team],Games[[#This Row],[Team]],Games[Season],Games[[#This Row],[Season]],Games[Date],"&lt;=" &amp; Games[[#This Row],[Date]])</f>
        <v>36</v>
      </c>
      <c r="D451" s="2" t="s">
        <v>79</v>
      </c>
      <c r="E451" s="2" t="s">
        <v>80</v>
      </c>
      <c r="F451" s="1" t="s">
        <v>86</v>
      </c>
      <c r="G451" s="1" t="s">
        <v>77</v>
      </c>
      <c r="H451" s="1" t="s">
        <v>82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1" s="2">
        <f>Games[[#This Row],[DaysOff]]-Games[[#This Row],[OppDaysOff]]</f>
        <v>0</v>
      </c>
      <c r="L451" s="2">
        <f>Games[[#This Row],[OppDaysOff]]-Games[[#This Row],[DaysOff]]</f>
        <v>0</v>
      </c>
      <c r="M451" s="1">
        <f>MAX(-16, MIN(16, Games[[#This Row],[RestDiff]]*8))</f>
        <v>0</v>
      </c>
      <c r="N451" s="1">
        <f>MAX(-16, MIN(16, Games[[#This Row],[OppRestDiff]]*8))</f>
        <v>0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1592.459420334706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1625.2274562033947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0.57319895188281111</v>
      </c>
      <c r="R451" s="1">
        <v>74</v>
      </c>
      <c r="S451" s="1">
        <v>72</v>
      </c>
      <c r="T451" s="1">
        <v>0</v>
      </c>
      <c r="U451" s="1">
        <f>Games[[#This Row],[PointsFor]]-Games[[#This Row],[PointsAgainst]]</f>
        <v>2</v>
      </c>
      <c r="V451" s="1">
        <f>IF(Games[[#This Row],[MOV]]&gt;0,1,IF(Games[[#This Row],[MOV]]=0,0.5,0))</f>
        <v>1</v>
      </c>
      <c r="W451" s="4">
        <f>((ABS(Games[[#This Row],[MOV]])+5)^0.6)/(12+0.01*(ABS(Games[[#This Row],[PreGmRate]]-Games[[#This Row],[OppPreGmRate]])))*IF(Games[[#This Row],[OT]]=1,0.9,1)</f>
        <v>0.26072186787769663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1" s="9">
        <f>MAX(kmin, kmax - 0.15 * MIN(Games[[#This Row],[GamesPlayed]], 82))</f>
        <v>70.599999999999994</v>
      </c>
      <c r="Z451" s="4">
        <f>Games[[#This Row],[K]]*Games[[#This Row],[POMult]]</f>
        <v>70.599999999999994</v>
      </c>
      <c r="AA451" s="4">
        <f>(Games[[#This Row],[Keff]]*Games[[#This Row],[MOVMult]])*(Games[[#This Row],[Result]]-Games[[#This Row],[ExpectedWin%]])</f>
        <v>7.8561114732954138</v>
      </c>
      <c r="AB451" s="4">
        <f>Games[[#This Row],[PreGmRate]]+Games[[#This Row],[RatingChange]]</f>
        <v>1600.3155318080014</v>
      </c>
      <c r="AC451" s="2">
        <f>IF(Games[[#This Row],[Type]]="R",IF(Games[[#This Row],[Result]]&gt;0.5,1,0),0)</f>
        <v>1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0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45888</v>
      </c>
      <c r="B452" s="2">
        <v>2025</v>
      </c>
      <c r="C452" s="2">
        <f>COUNTIFS(Games[Team],Games[[#This Row],[Team]],Games[Season],Games[[#This Row],[Season]],Games[Date],"&lt;=" &amp; Games[[#This Row],[Date]])</f>
        <v>35</v>
      </c>
      <c r="D452" s="2" t="s">
        <v>79</v>
      </c>
      <c r="E452" s="2" t="s">
        <v>80</v>
      </c>
      <c r="F452" s="1" t="s">
        <v>67</v>
      </c>
      <c r="G452" s="1" t="s">
        <v>60</v>
      </c>
      <c r="H452" s="1" t="s">
        <v>81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">
        <f>MAX(-16, MIN(16, Games[[#This Row],[RestDiff]]*8))</f>
        <v>0</v>
      </c>
      <c r="N452" s="1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1717.0508435824829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1588.1863071636503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0.56420876698132538</v>
      </c>
      <c r="R452" s="1">
        <v>75</v>
      </c>
      <c r="S452" s="1">
        <v>85</v>
      </c>
      <c r="T452" s="1">
        <v>0</v>
      </c>
      <c r="U452" s="1">
        <f>Games[[#This Row],[PointsFor]]-Games[[#This Row],[PointsAgainst]]</f>
        <v>-10</v>
      </c>
      <c r="V452" s="1">
        <f>IF(Games[[#This Row],[MOV]]&gt;0,1,IF(Games[[#This Row],[MOV]]=0,0.5,0))</f>
        <v>0</v>
      </c>
      <c r="W452" s="4">
        <f>((ABS(Games[[#This Row],[MOV]])+5)^0.6)/(12+0.01*(ABS(Games[[#This Row],[PreGmRate]]-Games[[#This Row],[OppPreGmRate]])))*IF(Games[[#This Row],[OT]]=1,0.9,1)</f>
        <v>0.38209736604687738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2" s="9">
        <f>MAX(kmin, kmax - 0.15 * MIN(Games[[#This Row],[GamesPlayed]], 82))</f>
        <v>70.75</v>
      </c>
      <c r="Z452" s="4">
        <f>Games[[#This Row],[K]]*Games[[#This Row],[POMult]]</f>
        <v>70.75</v>
      </c>
      <c r="AA452" s="4">
        <f>(Games[[#This Row],[Keff]]*Games[[#This Row],[MOVMult]])*(Games[[#This Row],[Result]]-Games[[#This Row],[ExpectedWin%]])</f>
        <v>-15.252474876311549</v>
      </c>
      <c r="AB452" s="4">
        <f>Games[[#This Row],[PreGmRate]]+Games[[#This Row],[RatingChange]]</f>
        <v>1701.7983687061715</v>
      </c>
      <c r="AC452" s="2">
        <f>IF(Games[[#This Row],[Type]]="R",IF(Games[[#This Row],[Result]]&gt;0.5,1,0),0)</f>
        <v>0</v>
      </c>
      <c r="AD452" s="2">
        <f>IF(Games[[#This Row],[Type]]="R",IF(Games[[#This Row],[Result]]&lt;0.5,1,0),0)</f>
        <v>1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0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45888</v>
      </c>
      <c r="B453" s="2">
        <v>2025</v>
      </c>
      <c r="C453" s="2">
        <f>COUNTIFS(Games[Team],Games[[#This Row],[Team]],Games[Season],Games[[#This Row],[Season]],Games[Date],"&lt;=" &amp; Games[[#This Row],[Date]])</f>
        <v>35</v>
      </c>
      <c r="D453" s="2" t="s">
        <v>79</v>
      </c>
      <c r="E453" s="2" t="s">
        <v>80</v>
      </c>
      <c r="F453" s="1" t="s">
        <v>60</v>
      </c>
      <c r="G453" s="1" t="s">
        <v>67</v>
      </c>
      <c r="H453" s="1" t="s">
        <v>82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">
        <f>MAX(-16, MIN(16, Games[[#This Row],[RestDiff]]*8))</f>
        <v>0</v>
      </c>
      <c r="N453" s="1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1588.1863071636503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1717.0508435824829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0.43579123301867456</v>
      </c>
      <c r="R453" s="1">
        <v>85</v>
      </c>
      <c r="S453" s="1">
        <v>75</v>
      </c>
      <c r="T453" s="1">
        <v>0</v>
      </c>
      <c r="U453" s="1">
        <f>Games[[#This Row],[PointsFor]]-Games[[#This Row],[PointsAgainst]]</f>
        <v>10</v>
      </c>
      <c r="V453" s="1">
        <f>IF(Games[[#This Row],[MOV]]&gt;0,1,IF(Games[[#This Row],[MOV]]=0,0.5,0))</f>
        <v>1</v>
      </c>
      <c r="W453" s="4">
        <f>((ABS(Games[[#This Row],[MOV]])+5)^0.6)/(12+0.01*(ABS(Games[[#This Row],[PreGmRate]]-Games[[#This Row],[OppPreGmRate]])))*IF(Games[[#This Row],[OT]]=1,0.9,1)</f>
        <v>0.38209736604687738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3" s="9">
        <f>MAX(kmin, kmax - 0.15 * MIN(Games[[#This Row],[GamesPlayed]], 82))</f>
        <v>70.75</v>
      </c>
      <c r="Z453" s="4">
        <f>Games[[#This Row],[K]]*Games[[#This Row],[POMult]]</f>
        <v>70.75</v>
      </c>
      <c r="AA453" s="4">
        <f>(Games[[#This Row],[Keff]]*Games[[#This Row],[MOVMult]])*(Games[[#This Row],[Result]]-Games[[#This Row],[ExpectedWin%]])</f>
        <v>15.252474876311549</v>
      </c>
      <c r="AB453" s="4">
        <f>Games[[#This Row],[PreGmRate]]+Games[[#This Row],[RatingChange]]</f>
        <v>1603.4387820399618</v>
      </c>
      <c r="AC453" s="2">
        <f>IF(Games[[#This Row],[Type]]="R",IF(Games[[#This Row],[Result]]&gt;0.5,1,0),0)</f>
        <v>1</v>
      </c>
      <c r="AD453" s="2">
        <f>IF(Games[[#This Row],[Type]]="R",IF(Games[[#This Row],[Result]]&lt;0.5,1,0),0)</f>
        <v>0</v>
      </c>
      <c r="AE453" s="2">
        <f>IF(AND(Games[[#This Row],[Type]]="P",Games[[#This Row],[Round]]=1),IF(Games[[#This Row],[Result]]&gt;0.5,1,0),0)</f>
        <v>0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45888</v>
      </c>
      <c r="B454" s="2">
        <v>2025</v>
      </c>
      <c r="C454" s="2">
        <f>COUNTIFS(Games[Team],Games[[#This Row],[Team]],Games[Season],Games[[#This Row],[Season]],Games[Date],"&lt;=" &amp; Games[[#This Row],[Date]])</f>
        <v>34</v>
      </c>
      <c r="D454" s="2" t="s">
        <v>79</v>
      </c>
      <c r="E454" s="2" t="s">
        <v>80</v>
      </c>
      <c r="F454" s="1" t="s">
        <v>74</v>
      </c>
      <c r="G454" s="1" t="s">
        <v>65</v>
      </c>
      <c r="H454" s="1" t="s">
        <v>81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">
        <f>MAX(-16, MIN(16, Games[[#This Row],[RestDiff]]*8))</f>
        <v>0</v>
      </c>
      <c r="N454" s="1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1337.4640532267567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1459.803141562496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0.23365563016466037</v>
      </c>
      <c r="R454" s="1">
        <v>80</v>
      </c>
      <c r="S454" s="1">
        <v>69</v>
      </c>
      <c r="T454" s="1">
        <v>0</v>
      </c>
      <c r="U454" s="1">
        <f>Games[[#This Row],[PointsFor]]-Games[[#This Row],[PointsAgainst]]</f>
        <v>11</v>
      </c>
      <c r="V454" s="1">
        <f>IF(Games[[#This Row],[MOV]]&gt;0,1,IF(Games[[#This Row],[MOV]]=0,0.5,0))</f>
        <v>1</v>
      </c>
      <c r="W454" s="4">
        <f>((ABS(Games[[#This Row],[MOV]])+5)^0.6)/(12+0.01*(ABS(Games[[#This Row],[PreGmRate]]-Games[[#This Row],[OppPreGmRate]])))*IF(Games[[#This Row],[OT]]=1,0.9,1)</f>
        <v>0.39914358500393171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4" s="9">
        <f>MAX(kmin, kmax - 0.15 * MIN(Games[[#This Row],[GamesPlayed]], 82))</f>
        <v>70.900000000000006</v>
      </c>
      <c r="Z454" s="4">
        <f>Games[[#This Row],[K]]*Games[[#This Row],[POMult]]</f>
        <v>70.900000000000006</v>
      </c>
      <c r="AA454" s="4">
        <f>(Games[[#This Row],[Keff]]*Games[[#This Row],[MOVMult]])*(Games[[#This Row],[Result]]-Games[[#This Row],[ExpectedWin%]])</f>
        <v>21.686994033867236</v>
      </c>
      <c r="AB454" s="4">
        <f>Games[[#This Row],[PreGmRate]]+Games[[#This Row],[RatingChange]]</f>
        <v>1359.151047260624</v>
      </c>
      <c r="AC454" s="2">
        <f>IF(Games[[#This Row],[Type]]="R",IF(Games[[#This Row],[Result]]&gt;0.5,1,0),0)</f>
        <v>1</v>
      </c>
      <c r="AD454" s="2">
        <f>IF(Games[[#This Row],[Type]]="R",IF(Games[[#This Row],[Result]]&lt;0.5,1,0),0)</f>
        <v>0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45888</v>
      </c>
      <c r="B455" s="2">
        <v>2025</v>
      </c>
      <c r="C455" s="2">
        <f>COUNTIFS(Games[Team],Games[[#This Row],[Team]],Games[Season],Games[[#This Row],[Season]],Games[Date],"&lt;=" &amp; Games[[#This Row],[Date]])</f>
        <v>35</v>
      </c>
      <c r="D455" s="2" t="s">
        <v>79</v>
      </c>
      <c r="E455" s="2" t="s">
        <v>80</v>
      </c>
      <c r="F455" s="1" t="s">
        <v>65</v>
      </c>
      <c r="G455" s="1" t="s">
        <v>74</v>
      </c>
      <c r="H455" s="1" t="s">
        <v>82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">
        <f>MAX(-16, MIN(16, Games[[#This Row],[RestDiff]]*8))</f>
        <v>0</v>
      </c>
      <c r="N455" s="1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1459.803141562496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1337.4640532267567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0.7663443698353396</v>
      </c>
      <c r="R455" s="1">
        <v>69</v>
      </c>
      <c r="S455" s="1">
        <v>80</v>
      </c>
      <c r="T455" s="1">
        <v>0</v>
      </c>
      <c r="U455" s="1">
        <f>Games[[#This Row],[PointsFor]]-Games[[#This Row],[PointsAgainst]]</f>
        <v>-11</v>
      </c>
      <c r="V455" s="1">
        <f>IF(Games[[#This Row],[MOV]]&gt;0,1,IF(Games[[#This Row],[MOV]]=0,0.5,0))</f>
        <v>0</v>
      </c>
      <c r="W455" s="4">
        <f>((ABS(Games[[#This Row],[MOV]])+5)^0.6)/(12+0.01*(ABS(Games[[#This Row],[PreGmRate]]-Games[[#This Row],[OppPreGmRate]])))*IF(Games[[#This Row],[OT]]=1,0.9,1)</f>
        <v>0.39914358500393171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5" s="9">
        <f>MAX(kmin, kmax - 0.15 * MIN(Games[[#This Row],[GamesPlayed]], 82))</f>
        <v>70.75</v>
      </c>
      <c r="Z455" s="4">
        <f>Games[[#This Row],[K]]*Games[[#This Row],[POMult]]</f>
        <v>70.75</v>
      </c>
      <c r="AA455" s="4">
        <f>(Games[[#This Row],[Keff]]*Games[[#This Row],[MOVMult]])*(Games[[#This Row],[Result]]-Games[[#This Row],[ExpectedWin%]])</f>
        <v>-21.641111817998688</v>
      </c>
      <c r="AB455" s="4">
        <f>Games[[#This Row],[PreGmRate]]+Games[[#This Row],[RatingChange]]</f>
        <v>1438.1620297444972</v>
      </c>
      <c r="AC455" s="2">
        <f>IF(Games[[#This Row],[Type]]="R",IF(Games[[#This Row],[Result]]&gt;0.5,1,0),0)</f>
        <v>0</v>
      </c>
      <c r="AD455" s="2">
        <f>IF(Games[[#This Row],[Type]]="R",IF(Games[[#This Row],[Result]]&lt;0.5,1,0),0)</f>
        <v>1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45889</v>
      </c>
      <c r="B456" s="2">
        <v>2025</v>
      </c>
      <c r="C456" s="2">
        <f>COUNTIFS(Games[Team],Games[[#This Row],[Team]],Games[Season],Games[[#This Row],[Season]],Games[Date],"&lt;=" &amp; Games[[#This Row],[Date]])</f>
        <v>36</v>
      </c>
      <c r="D456" s="2" t="s">
        <v>79</v>
      </c>
      <c r="E456" s="2" t="s">
        <v>80</v>
      </c>
      <c r="F456" s="1" t="s">
        <v>85</v>
      </c>
      <c r="G456" s="1" t="s">
        <v>63</v>
      </c>
      <c r="H456" s="1" t="s">
        <v>81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6" s="2">
        <f>Games[[#This Row],[DaysOff]]-Games[[#This Row],[OppDaysOff]]</f>
        <v>0</v>
      </c>
      <c r="L456" s="2">
        <f>Games[[#This Row],[OppDaysOff]]-Games[[#This Row],[DaysOff]]</f>
        <v>0</v>
      </c>
      <c r="M456" s="1">
        <f>MAX(-16, MIN(16, Games[[#This Row],[RestDiff]]*8))</f>
        <v>0</v>
      </c>
      <c r="N456" s="1">
        <f>MAX(-16, MIN(16, Games[[#This Row],[OppRestDiff]]*8))</f>
        <v>0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1342.3850346061424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1452.9225270573504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0.24603951147400033</v>
      </c>
      <c r="R456" s="1">
        <v>80</v>
      </c>
      <c r="S456" s="1">
        <v>81</v>
      </c>
      <c r="T456" s="1">
        <v>0</v>
      </c>
      <c r="U456" s="1">
        <f>Games[[#This Row],[PointsFor]]-Games[[#This Row],[PointsAgainst]]</f>
        <v>-1</v>
      </c>
      <c r="V456" s="1">
        <f>IF(Games[[#This Row],[MOV]]&gt;0,1,IF(Games[[#This Row],[MOV]]=0,0.5,0))</f>
        <v>0</v>
      </c>
      <c r="W456" s="4">
        <f>((ABS(Games[[#This Row],[MOV]])+5)^0.6)/(12+0.01*(ABS(Games[[#This Row],[PreGmRate]]-Games[[#This Row],[OppPreGmRate]])))*IF(Games[[#This Row],[OT]]=1,0.9,1)</f>
        <v>0.22358429792824966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6" s="9">
        <f>MAX(kmin, kmax - 0.15 * MIN(Games[[#This Row],[GamesPlayed]], 82))</f>
        <v>70.599999999999994</v>
      </c>
      <c r="Z456" s="4">
        <f>Games[[#This Row],[K]]*Games[[#This Row],[POMult]]</f>
        <v>70.599999999999994</v>
      </c>
      <c r="AA456" s="4">
        <f>(Games[[#This Row],[Keff]]*Games[[#This Row],[MOVMult]])*(Games[[#This Row],[Result]]-Games[[#This Row],[ExpectedWin%]])</f>
        <v>-3.8837463433479864</v>
      </c>
      <c r="AB456" s="4">
        <f>Games[[#This Row],[PreGmRate]]+Games[[#This Row],[RatingChange]]</f>
        <v>1338.5012882627943</v>
      </c>
      <c r="AC456" s="2">
        <f>IF(Games[[#This Row],[Type]]="R",IF(Games[[#This Row],[Result]]&gt;0.5,1,0),0)</f>
        <v>0</v>
      </c>
      <c r="AD456" s="2">
        <f>IF(Games[[#This Row],[Type]]="R",IF(Games[[#This Row],[Result]]&lt;0.5,1,0),0)</f>
        <v>1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0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45889</v>
      </c>
      <c r="B457" s="2">
        <v>2025</v>
      </c>
      <c r="C457" s="2">
        <f>COUNTIFS(Games[Team],Games[[#This Row],[Team]],Games[Season],Games[[#This Row],[Season]],Games[Date],"&lt;=" &amp; Games[[#This Row],[Date]])</f>
        <v>35</v>
      </c>
      <c r="D457" s="2" t="s">
        <v>79</v>
      </c>
      <c r="E457" s="2" t="s">
        <v>80</v>
      </c>
      <c r="F457" s="1" t="s">
        <v>63</v>
      </c>
      <c r="G457" s="1" t="s">
        <v>85</v>
      </c>
      <c r="H457" s="1" t="s">
        <v>82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7" s="2">
        <f>Games[[#This Row],[DaysOff]]-Games[[#This Row],[OppDaysOff]]</f>
        <v>0</v>
      </c>
      <c r="L457" s="2">
        <f>Games[[#This Row],[OppDaysOff]]-Games[[#This Row],[DaysOff]]</f>
        <v>0</v>
      </c>
      <c r="M457" s="1">
        <f>MAX(-16, MIN(16, Games[[#This Row],[RestDiff]]*8))</f>
        <v>0</v>
      </c>
      <c r="N457" s="1">
        <f>MAX(-16, MIN(16, Games[[#This Row],[OppRestDiff]]*8))</f>
        <v>0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1452.9225270573504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1342.3850346061424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0.75396048852599962</v>
      </c>
      <c r="R457" s="1">
        <v>81</v>
      </c>
      <c r="S457" s="1">
        <v>80</v>
      </c>
      <c r="T457" s="1">
        <v>0</v>
      </c>
      <c r="U457" s="1">
        <f>Games[[#This Row],[PointsFor]]-Games[[#This Row],[PointsAgainst]]</f>
        <v>1</v>
      </c>
      <c r="V457" s="1">
        <f>IF(Games[[#This Row],[MOV]]&gt;0,1,IF(Games[[#This Row],[MOV]]=0,0.5,0))</f>
        <v>1</v>
      </c>
      <c r="W457" s="4">
        <f>((ABS(Games[[#This Row],[MOV]])+5)^0.6)/(12+0.01*(ABS(Games[[#This Row],[PreGmRate]]-Games[[#This Row],[OppPreGmRate]])))*IF(Games[[#This Row],[OT]]=1,0.9,1)</f>
        <v>0.22358429792824966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7" s="9">
        <f>MAX(kmin, kmax - 0.15 * MIN(Games[[#This Row],[GamesPlayed]], 82))</f>
        <v>70.75</v>
      </c>
      <c r="Z457" s="4">
        <f>Games[[#This Row],[K]]*Games[[#This Row],[POMult]]</f>
        <v>70.75</v>
      </c>
      <c r="AA457" s="4">
        <f>(Games[[#This Row],[Keff]]*Games[[#This Row],[MOVMult]])*(Games[[#This Row],[Result]]-Games[[#This Row],[ExpectedWin%]])</f>
        <v>3.891997929063316</v>
      </c>
      <c r="AB457" s="4">
        <f>Games[[#This Row],[PreGmRate]]+Games[[#This Row],[RatingChange]]</f>
        <v>1456.8145249864137</v>
      </c>
      <c r="AC457" s="2">
        <f>IF(Games[[#This Row],[Type]]="R",IF(Games[[#This Row],[Result]]&gt;0.5,1,0),0)</f>
        <v>1</v>
      </c>
      <c r="AD457" s="2">
        <f>IF(Games[[#This Row],[Type]]="R",IF(Games[[#This Row],[Result]]&lt;0.5,1,0),0)</f>
        <v>0</v>
      </c>
      <c r="AE457" s="2">
        <f>IF(AND(Games[[#This Row],[Type]]="P",Games[[#This Row],[Round]]=1),IF(Games[[#This Row],[Result]]&gt;0.5,1,0),0)</f>
        <v>0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45890</v>
      </c>
      <c r="B458" s="2">
        <v>2025</v>
      </c>
      <c r="C458" s="2">
        <f>COUNTIFS(Games[Team],Games[[#This Row],[Team]],Games[Season],Games[[#This Row],[Season]],Games[Date],"&lt;=" &amp; Games[[#This Row],[Date]])</f>
        <v>36</v>
      </c>
      <c r="D458" s="2" t="s">
        <v>79</v>
      </c>
      <c r="E458" s="2" t="s">
        <v>80</v>
      </c>
      <c r="F458" s="1" t="s">
        <v>67</v>
      </c>
      <c r="G458" s="1" t="s">
        <v>77</v>
      </c>
      <c r="H458" s="1" t="s">
        <v>81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8" s="2">
        <f>Games[[#This Row],[DaysOff]]-Games[[#This Row],[OppDaysOff]]</f>
        <v>0</v>
      </c>
      <c r="L458" s="2">
        <f>Games[[#This Row],[OppDaysOff]]-Games[[#This Row],[DaysOff]]</f>
        <v>0</v>
      </c>
      <c r="M458" s="1">
        <f>MAX(-16, MIN(16, Games[[#This Row],[RestDiff]]*8))</f>
        <v>0</v>
      </c>
      <c r="N458" s="1">
        <f>MAX(-16, MIN(16, Games[[#This Row],[OppRestDiff]]*8))</f>
        <v>0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1701.7983687061715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1617.3546532751277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0.5006385574884904</v>
      </c>
      <c r="R458" s="1">
        <v>73</v>
      </c>
      <c r="S458" s="1">
        <v>75</v>
      </c>
      <c r="T458" s="1">
        <v>0</v>
      </c>
      <c r="U458" s="1">
        <f>Games[[#This Row],[PointsFor]]-Games[[#This Row],[PointsAgainst]]</f>
        <v>-2</v>
      </c>
      <c r="V458" s="1">
        <f>IF(Games[[#This Row],[MOV]]&gt;0,1,IF(Games[[#This Row],[MOV]]=0,0.5,0))</f>
        <v>0</v>
      </c>
      <c r="W458" s="4">
        <f>((ABS(Games[[#This Row],[MOV]])+5)^0.6)/(12+0.01*(ABS(Games[[#This Row],[PreGmRate]]-Games[[#This Row],[OppPreGmRate]])))*IF(Games[[#This Row],[OT]]=1,0.9,1)</f>
        <v>0.25023251786766121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8" s="9">
        <f>MAX(kmin, kmax - 0.15 * MIN(Games[[#This Row],[GamesPlayed]], 82))</f>
        <v>70.599999999999994</v>
      </c>
      <c r="Z458" s="4">
        <f>Games[[#This Row],[K]]*Games[[#This Row],[POMult]]</f>
        <v>70.599999999999994</v>
      </c>
      <c r="AA458" s="4">
        <f>(Games[[#This Row],[Keff]]*Games[[#This Row],[MOVMult]])*(Games[[#This Row],[Result]]-Games[[#This Row],[ExpectedWin%]])</f>
        <v>-8.8444889028077025</v>
      </c>
      <c r="AB458" s="4">
        <f>Games[[#This Row],[PreGmRate]]+Games[[#This Row],[RatingChange]]</f>
        <v>1692.9538798033639</v>
      </c>
      <c r="AC458" s="2">
        <f>IF(Games[[#This Row],[Type]]="R",IF(Games[[#This Row],[Result]]&gt;0.5,1,0),0)</f>
        <v>0</v>
      </c>
      <c r="AD458" s="2">
        <f>IF(Games[[#This Row],[Type]]="R",IF(Games[[#This Row],[Result]]&lt;0.5,1,0),0)</f>
        <v>1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0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45890</v>
      </c>
      <c r="B459" s="2">
        <v>2025</v>
      </c>
      <c r="C459" s="2">
        <f>COUNTIFS(Games[Team],Games[[#This Row],[Team]],Games[Season],Games[[#This Row],[Season]],Games[Date],"&lt;=" &amp; Games[[#This Row],[Date]])</f>
        <v>36</v>
      </c>
      <c r="D459" s="2" t="s">
        <v>79</v>
      </c>
      <c r="E459" s="2" t="s">
        <v>80</v>
      </c>
      <c r="F459" s="1" t="s">
        <v>77</v>
      </c>
      <c r="G459" s="1" t="s">
        <v>67</v>
      </c>
      <c r="H459" s="1" t="s">
        <v>82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9" s="2">
        <f>Games[[#This Row],[DaysOff]]-Games[[#This Row],[OppDaysOff]]</f>
        <v>0</v>
      </c>
      <c r="L459" s="2">
        <f>Games[[#This Row],[OppDaysOff]]-Games[[#This Row],[DaysOff]]</f>
        <v>0</v>
      </c>
      <c r="M459" s="1">
        <f>MAX(-16, MIN(16, Games[[#This Row],[RestDiff]]*8))</f>
        <v>0</v>
      </c>
      <c r="N459" s="1">
        <f>MAX(-16, MIN(16, Games[[#This Row],[OppRestDiff]]*8))</f>
        <v>0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1617.3546532751277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1701.7983687061715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0.49936144251150955</v>
      </c>
      <c r="R459" s="1">
        <v>75</v>
      </c>
      <c r="S459" s="1">
        <v>73</v>
      </c>
      <c r="T459" s="1">
        <v>0</v>
      </c>
      <c r="U459" s="1">
        <f>Games[[#This Row],[PointsFor]]-Games[[#This Row],[PointsAgainst]]</f>
        <v>2</v>
      </c>
      <c r="V459" s="1">
        <f>IF(Games[[#This Row],[MOV]]&gt;0,1,IF(Games[[#This Row],[MOV]]=0,0.5,0))</f>
        <v>1</v>
      </c>
      <c r="W459" s="4">
        <f>((ABS(Games[[#This Row],[MOV]])+5)^0.6)/(12+0.01*(ABS(Games[[#This Row],[PreGmRate]]-Games[[#This Row],[OppPreGmRate]])))*IF(Games[[#This Row],[OT]]=1,0.9,1)</f>
        <v>0.25023251786766121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9" s="9">
        <f>MAX(kmin, kmax - 0.15 * MIN(Games[[#This Row],[GamesPlayed]], 82))</f>
        <v>70.599999999999994</v>
      </c>
      <c r="Z459" s="4">
        <f>Games[[#This Row],[K]]*Games[[#This Row],[POMult]]</f>
        <v>70.599999999999994</v>
      </c>
      <c r="AA459" s="4">
        <f>(Games[[#This Row],[Keff]]*Games[[#This Row],[MOVMult]])*(Games[[#This Row],[Result]]-Games[[#This Row],[ExpectedWin%]])</f>
        <v>8.8444889028077025</v>
      </c>
      <c r="AB459" s="4">
        <f>Games[[#This Row],[PreGmRate]]+Games[[#This Row],[RatingChange]]</f>
        <v>1626.1991421779353</v>
      </c>
      <c r="AC459" s="2">
        <f>IF(Games[[#This Row],[Type]]="R",IF(Games[[#This Row],[Result]]&gt;0.5,1,0),0)</f>
        <v>1</v>
      </c>
      <c r="AD459" s="2">
        <f>IF(Games[[#This Row],[Type]]="R",IF(Games[[#This Row],[Result]]&lt;0.5,1,0),0)</f>
        <v>0</v>
      </c>
      <c r="AE459" s="2">
        <f>IF(AND(Games[[#This Row],[Type]]="P",Games[[#This Row],[Round]]=1),IF(Games[[#This Row],[Result]]&gt;0.5,1,0),0)</f>
        <v>0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45890</v>
      </c>
      <c r="B460" s="2">
        <v>2025</v>
      </c>
      <c r="C460" s="2">
        <f>COUNTIFS(Games[Team],Games[[#This Row],[Team]],Games[Season],Games[[#This Row],[Season]],Games[Date],"&lt;=" &amp; Games[[#This Row],[Date]])</f>
        <v>36</v>
      </c>
      <c r="D460" s="2" t="s">
        <v>79</v>
      </c>
      <c r="E460" s="2" t="s">
        <v>80</v>
      </c>
      <c r="F460" s="1" t="s">
        <v>65</v>
      </c>
      <c r="G460" s="1" t="s">
        <v>74</v>
      </c>
      <c r="H460" s="1" t="s">
        <v>81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0" s="2">
        <f>Games[[#This Row],[DaysOff]]-Games[[#This Row],[OppDaysOff]]</f>
        <v>0</v>
      </c>
      <c r="L460" s="2">
        <f>Games[[#This Row],[OppDaysOff]]-Games[[#This Row],[DaysOff]]</f>
        <v>0</v>
      </c>
      <c r="M460" s="1">
        <f>MAX(-16, MIN(16, Games[[#This Row],[RestDiff]]*8))</f>
        <v>0</v>
      </c>
      <c r="N460" s="1">
        <f>MAX(-16, MIN(16, Games[[#This Row],[OppRestDiff]]*8))</f>
        <v>0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1438.1620297444972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1359.151047260624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0.49282072009005057</v>
      </c>
      <c r="R460" s="1">
        <v>56</v>
      </c>
      <c r="S460" s="1">
        <v>67</v>
      </c>
      <c r="T460" s="1">
        <v>0</v>
      </c>
      <c r="U460" s="1">
        <f>Games[[#This Row],[PointsFor]]-Games[[#This Row],[PointsAgainst]]</f>
        <v>-11</v>
      </c>
      <c r="V460" s="1">
        <f>IF(Games[[#This Row],[MOV]]&gt;0,1,IF(Games[[#This Row],[MOV]]=0,0.5,0))</f>
        <v>0</v>
      </c>
      <c r="W460" s="4">
        <f>((ABS(Games[[#This Row],[MOV]])+5)^0.6)/(12+0.01*(ABS(Games[[#This Row],[PreGmRate]]-Games[[#This Row],[OppPreGmRate]])))*IF(Games[[#This Row],[OT]]=1,0.9,1)</f>
        <v>0.41266507601377272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0" s="9">
        <f>MAX(kmin, kmax - 0.15 * MIN(Games[[#This Row],[GamesPlayed]], 82))</f>
        <v>70.599999999999994</v>
      </c>
      <c r="Z460" s="4">
        <f>Games[[#This Row],[K]]*Games[[#This Row],[POMult]]</f>
        <v>70.599999999999994</v>
      </c>
      <c r="AA460" s="4">
        <f>(Games[[#This Row],[Keff]]*Games[[#This Row],[MOVMult]])*(Games[[#This Row],[Result]]-Games[[#This Row],[ExpectedWin%]])</f>
        <v>-14.357914934148878</v>
      </c>
      <c r="AB460" s="4">
        <f>Games[[#This Row],[PreGmRate]]+Games[[#This Row],[RatingChange]]</f>
        <v>1423.8041148103484</v>
      </c>
      <c r="AC460" s="2">
        <f>IF(Games[[#This Row],[Type]]="R",IF(Games[[#This Row],[Result]]&gt;0.5,1,0),0)</f>
        <v>0</v>
      </c>
      <c r="AD460" s="2">
        <f>IF(Games[[#This Row],[Type]]="R",IF(Games[[#This Row],[Result]]&lt;0.5,1,0),0)</f>
        <v>1</v>
      </c>
      <c r="AE460" s="2">
        <f>IF(AND(Games[[#This Row],[Type]]="P",Games[[#This Row],[Round]]=1),IF(Games[[#This Row],[Result]]&gt;0.5,1,0),0)</f>
        <v>0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45890</v>
      </c>
      <c r="B461" s="2">
        <v>2025</v>
      </c>
      <c r="C461" s="2">
        <f>COUNTIFS(Games[Team],Games[[#This Row],[Team]],Games[Season],Games[[#This Row],[Season]],Games[Date],"&lt;=" &amp; Games[[#This Row],[Date]])</f>
        <v>35</v>
      </c>
      <c r="D461" s="2" t="s">
        <v>79</v>
      </c>
      <c r="E461" s="2" t="s">
        <v>80</v>
      </c>
      <c r="F461" s="1" t="s">
        <v>74</v>
      </c>
      <c r="G461" s="1" t="s">
        <v>65</v>
      </c>
      <c r="H461" s="1" t="s">
        <v>82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1" s="2">
        <f>Games[[#This Row],[DaysOff]]-Games[[#This Row],[OppDaysOff]]</f>
        <v>0</v>
      </c>
      <c r="L461" s="2">
        <f>Games[[#This Row],[OppDaysOff]]-Games[[#This Row],[DaysOff]]</f>
        <v>0</v>
      </c>
      <c r="M461" s="1">
        <f>MAX(-16, MIN(16, Games[[#This Row],[RestDiff]]*8))</f>
        <v>0</v>
      </c>
      <c r="N461" s="1">
        <f>MAX(-16, MIN(16, Games[[#This Row],[OppRestDiff]]*8))</f>
        <v>0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1359.151047260624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1438.1620297444972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0.50717927990994949</v>
      </c>
      <c r="R461" s="1">
        <v>67</v>
      </c>
      <c r="S461" s="1">
        <v>56</v>
      </c>
      <c r="T461" s="1">
        <v>0</v>
      </c>
      <c r="U461" s="1">
        <f>Games[[#This Row],[PointsFor]]-Games[[#This Row],[PointsAgainst]]</f>
        <v>11</v>
      </c>
      <c r="V461" s="1">
        <f>IF(Games[[#This Row],[MOV]]&gt;0,1,IF(Games[[#This Row],[MOV]]=0,0.5,0))</f>
        <v>1</v>
      </c>
      <c r="W461" s="4">
        <f>((ABS(Games[[#This Row],[MOV]])+5)^0.6)/(12+0.01*(ABS(Games[[#This Row],[PreGmRate]]-Games[[#This Row],[OppPreGmRate]])))*IF(Games[[#This Row],[OT]]=1,0.9,1)</f>
        <v>0.41266507601377272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1" s="9">
        <f>MAX(kmin, kmax - 0.15 * MIN(Games[[#This Row],[GamesPlayed]], 82))</f>
        <v>70.75</v>
      </c>
      <c r="Z461" s="4">
        <f>Games[[#This Row],[K]]*Games[[#This Row],[POMult]]</f>
        <v>70.75</v>
      </c>
      <c r="AA461" s="4">
        <f>(Games[[#This Row],[Keff]]*Games[[#This Row],[MOVMult]])*(Games[[#This Row],[Result]]-Games[[#This Row],[ExpectedWin%]])</f>
        <v>14.388420419136446</v>
      </c>
      <c r="AB461" s="4">
        <f>Games[[#This Row],[PreGmRate]]+Games[[#This Row],[RatingChange]]</f>
        <v>1373.5394676797605</v>
      </c>
      <c r="AC461" s="2">
        <f>IF(Games[[#This Row],[Type]]="R",IF(Games[[#This Row],[Result]]&gt;0.5,1,0),0)</f>
        <v>1</v>
      </c>
      <c r="AD461" s="2">
        <f>IF(Games[[#This Row],[Type]]="R",IF(Games[[#This Row],[Result]]&lt;0.5,1,0),0)</f>
        <v>0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0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45890</v>
      </c>
      <c r="B462" s="2">
        <v>2025</v>
      </c>
      <c r="C462" s="2">
        <f>COUNTIFS(Games[Team],Games[[#This Row],[Team]],Games[Season],Games[[#This Row],[Season]],Games[Date],"&lt;=" &amp; Games[[#This Row],[Date]])</f>
        <v>35</v>
      </c>
      <c r="D462" s="2" t="s">
        <v>79</v>
      </c>
      <c r="E462" s="2" t="s">
        <v>80</v>
      </c>
      <c r="F462" s="1" t="s">
        <v>40</v>
      </c>
      <c r="G462" s="1" t="s">
        <v>86</v>
      </c>
      <c r="H462" s="1" t="s">
        <v>81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2" s="2">
        <f>Games[[#This Row],[DaysOff]]-Games[[#This Row],[OppDaysOff]]</f>
        <v>0</v>
      </c>
      <c r="L462" s="2">
        <f>Games[[#This Row],[OppDaysOff]]-Games[[#This Row],[DaysOff]]</f>
        <v>0</v>
      </c>
      <c r="M462" s="1">
        <f>MAX(-16, MIN(16, Games[[#This Row],[RestDiff]]*8))</f>
        <v>0</v>
      </c>
      <c r="N462" s="1">
        <f>MAX(-16, MIN(16, Games[[#This Row],[OppRestDiff]]*8))</f>
        <v>0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1563.5762311898957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1600.3155318080014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0.3329147751595482</v>
      </c>
      <c r="R462" s="1">
        <v>61</v>
      </c>
      <c r="S462" s="1">
        <v>83</v>
      </c>
      <c r="T462" s="1">
        <v>0</v>
      </c>
      <c r="U462" s="1">
        <f>Games[[#This Row],[PointsFor]]-Games[[#This Row],[PointsAgainst]]</f>
        <v>-22</v>
      </c>
      <c r="V462" s="1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0.5841711387542452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2" s="9">
        <f>MAX(kmin, kmax - 0.15 * MIN(Games[[#This Row],[GamesPlayed]], 82))</f>
        <v>70.75</v>
      </c>
      <c r="Z462" s="4">
        <f>Games[[#This Row],[K]]*Games[[#This Row],[POMult]]</f>
        <v>70.75</v>
      </c>
      <c r="AA462" s="4">
        <f>(Games[[#This Row],[Keff]]*Games[[#This Row],[MOVMult]])*(Games[[#This Row],[Result]]-Games[[#This Row],[ExpectedWin%]])</f>
        <v>-13.759403634399474</v>
      </c>
      <c r="AB462" s="4">
        <f>Games[[#This Row],[PreGmRate]]+Games[[#This Row],[RatingChange]]</f>
        <v>1549.8168275554963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1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0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45890</v>
      </c>
      <c r="B463" s="2">
        <v>2025</v>
      </c>
      <c r="C463" s="2">
        <f>COUNTIFS(Games[Team],Games[[#This Row],[Team]],Games[Season],Games[[#This Row],[Season]],Games[Date],"&lt;=" &amp; Games[[#This Row],[Date]])</f>
        <v>37</v>
      </c>
      <c r="D463" s="2" t="s">
        <v>79</v>
      </c>
      <c r="E463" s="2" t="s">
        <v>80</v>
      </c>
      <c r="F463" s="1" t="s">
        <v>86</v>
      </c>
      <c r="G463" s="1" t="s">
        <v>40</v>
      </c>
      <c r="H463" s="1" t="s">
        <v>82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3" s="2">
        <f>Games[[#This Row],[DaysOff]]-Games[[#This Row],[OppDaysOff]]</f>
        <v>0</v>
      </c>
      <c r="L463" s="2">
        <f>Games[[#This Row],[OppDaysOff]]-Games[[#This Row],[DaysOff]]</f>
        <v>0</v>
      </c>
      <c r="M463" s="1">
        <f>MAX(-16, MIN(16, Games[[#This Row],[RestDiff]]*8))</f>
        <v>0</v>
      </c>
      <c r="N463" s="1">
        <f>MAX(-16, MIN(16, Games[[#This Row],[OppRestDiff]]*8))</f>
        <v>0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1600.3155318080014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1563.5762311898957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0.66708522484045185</v>
      </c>
      <c r="R463" s="1">
        <v>83</v>
      </c>
      <c r="S463" s="1">
        <v>61</v>
      </c>
      <c r="T463" s="1">
        <v>0</v>
      </c>
      <c r="U463" s="1">
        <f>Games[[#This Row],[PointsFor]]-Games[[#This Row],[PointsAgainst]]</f>
        <v>22</v>
      </c>
      <c r="V463" s="1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0.5841711387542452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3" s="9">
        <f>MAX(kmin, kmax - 0.15 * MIN(Games[[#This Row],[GamesPlayed]], 82))</f>
        <v>70.45</v>
      </c>
      <c r="Z463" s="4">
        <f>Games[[#This Row],[K]]*Games[[#This Row],[POMult]]</f>
        <v>70.45</v>
      </c>
      <c r="AA463" s="4">
        <f>(Games[[#This Row],[Keff]]*Games[[#This Row],[MOVMult]])*(Games[[#This Row],[Result]]-Games[[#This Row],[ExpectedWin%]])</f>
        <v>13.701059873405553</v>
      </c>
      <c r="AB463" s="4">
        <f>Games[[#This Row],[PreGmRate]]+Games[[#This Row],[RatingChange]]</f>
        <v>1614.0165916814069</v>
      </c>
      <c r="AC463" s="2">
        <f>IF(Games[[#This Row],[Type]]="R",IF(Games[[#This Row],[Result]]&gt;0.5,1,0),0)</f>
        <v>1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0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45890</v>
      </c>
      <c r="B464" s="2">
        <v>2025</v>
      </c>
      <c r="C464" s="2">
        <f>COUNTIFS(Games[Team],Games[[#This Row],[Team]],Games[Season],Games[[#This Row],[Season]],Games[Date],"&lt;=" &amp; Games[[#This Row],[Date]])</f>
        <v>35</v>
      </c>
      <c r="D464" s="2" t="s">
        <v>79</v>
      </c>
      <c r="E464" s="2" t="s">
        <v>80</v>
      </c>
      <c r="F464" s="1" t="s">
        <v>75</v>
      </c>
      <c r="G464" s="1" t="s">
        <v>60</v>
      </c>
      <c r="H464" s="1" t="s">
        <v>81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4" s="2">
        <f>Games[[#This Row],[DaysOff]]-Games[[#This Row],[OppDaysOff]]</f>
        <v>0</v>
      </c>
      <c r="L464" s="2">
        <f>Games[[#This Row],[OppDaysOff]]-Games[[#This Row],[DaysOff]]</f>
        <v>0</v>
      </c>
      <c r="M464" s="1">
        <f>MAX(-16, MIN(16, Games[[#This Row],[RestDiff]]*8))</f>
        <v>0</v>
      </c>
      <c r="N464" s="1">
        <f>MAX(-16, MIN(16, Games[[#This Row],[OppRestDiff]]*8))</f>
        <v>0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1283.770362991032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1603.4387820399618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8.9178885810861697E-2</v>
      </c>
      <c r="R464" s="1">
        <v>91</v>
      </c>
      <c r="S464" s="1">
        <v>85</v>
      </c>
      <c r="T464" s="1">
        <v>0</v>
      </c>
      <c r="U464" s="1">
        <f>Games[[#This Row],[PointsFor]]-Games[[#This Row],[PointsAgainst]]</f>
        <v>6</v>
      </c>
      <c r="V464" s="1">
        <f>IF(Games[[#This Row],[MOV]]&gt;0,1,IF(Games[[#This Row],[MOV]]=0,0.5,0))</f>
        <v>1</v>
      </c>
      <c r="W464" s="4">
        <f>((ABS(Games[[#This Row],[MOV]])+5)^0.6)/(12+0.01*(ABS(Games[[#This Row],[PreGmRate]]-Games[[#This Row],[OppPreGmRate]])))*IF(Games[[#This Row],[OT]]=1,0.9,1)</f>
        <v>0.27738742743170575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4" s="9">
        <f>MAX(kmin, kmax - 0.15 * MIN(Games[[#This Row],[GamesPlayed]], 82))</f>
        <v>70.75</v>
      </c>
      <c r="Z464" s="4">
        <f>Games[[#This Row],[K]]*Games[[#This Row],[POMult]]</f>
        <v>70.75</v>
      </c>
      <c r="AA464" s="4">
        <f>(Games[[#This Row],[Keff]]*Games[[#This Row],[MOVMult]])*(Games[[#This Row],[Result]]-Games[[#This Row],[ExpectedWin%]])</f>
        <v>17.875010544364901</v>
      </c>
      <c r="AB464" s="4">
        <f>Games[[#This Row],[PreGmRate]]+Games[[#This Row],[RatingChange]]</f>
        <v>1301.6453735353969</v>
      </c>
      <c r="AC464" s="2">
        <f>IF(Games[[#This Row],[Type]]="R",IF(Games[[#This Row],[Result]]&gt;0.5,1,0),0)</f>
        <v>1</v>
      </c>
      <c r="AD464" s="2">
        <f>IF(Games[[#This Row],[Type]]="R",IF(Games[[#This Row],[Result]]&lt;0.5,1,0),0)</f>
        <v>0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45890</v>
      </c>
      <c r="B465" s="2">
        <v>2025</v>
      </c>
      <c r="C465" s="2">
        <f>COUNTIFS(Games[Team],Games[[#This Row],[Team]],Games[Season],Games[[#This Row],[Season]],Games[Date],"&lt;=" &amp; Games[[#This Row],[Date]])</f>
        <v>36</v>
      </c>
      <c r="D465" s="2" t="s">
        <v>79</v>
      </c>
      <c r="E465" s="2" t="s">
        <v>80</v>
      </c>
      <c r="F465" s="1" t="s">
        <v>60</v>
      </c>
      <c r="G465" s="1" t="s">
        <v>75</v>
      </c>
      <c r="H465" s="1" t="s">
        <v>82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5" s="2">
        <f>Games[[#This Row],[DaysOff]]-Games[[#This Row],[OppDaysOff]]</f>
        <v>0</v>
      </c>
      <c r="L465" s="2">
        <f>Games[[#This Row],[OppDaysOff]]-Games[[#This Row],[DaysOff]]</f>
        <v>0</v>
      </c>
      <c r="M465" s="1">
        <f>MAX(-16, MIN(16, Games[[#This Row],[RestDiff]]*8))</f>
        <v>0</v>
      </c>
      <c r="N465" s="1">
        <f>MAX(-16, MIN(16, Games[[#This Row],[OppRestDiff]]*8))</f>
        <v>0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1603.4387820399618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1283.770362991032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0.91082111418913836</v>
      </c>
      <c r="R465" s="1">
        <v>85</v>
      </c>
      <c r="S465" s="1">
        <v>91</v>
      </c>
      <c r="T465" s="1">
        <v>0</v>
      </c>
      <c r="U465" s="1">
        <f>Games[[#This Row],[PointsFor]]-Games[[#This Row],[PointsAgainst]]</f>
        <v>-6</v>
      </c>
      <c r="V465" s="1">
        <f>IF(Games[[#This Row],[MOV]]&gt;0,1,IF(Games[[#This Row],[MOV]]=0,0.5,0))</f>
        <v>0</v>
      </c>
      <c r="W465" s="4">
        <f>((ABS(Games[[#This Row],[MOV]])+5)^0.6)/(12+0.01*(ABS(Games[[#This Row],[PreGmRate]]-Games[[#This Row],[OppPreGmRate]])))*IF(Games[[#This Row],[OT]]=1,0.9,1)</f>
        <v>0.27738742743170575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5" s="9">
        <f>MAX(kmin, kmax - 0.15 * MIN(Games[[#This Row],[GamesPlayed]], 82))</f>
        <v>70.599999999999994</v>
      </c>
      <c r="Z465" s="4">
        <f>Games[[#This Row],[K]]*Games[[#This Row],[POMult]]</f>
        <v>70.599999999999994</v>
      </c>
      <c r="AA465" s="4">
        <f>(Games[[#This Row],[Keff]]*Games[[#This Row],[MOVMult]])*(Games[[#This Row],[Result]]-Games[[#This Row],[ExpectedWin%]])</f>
        <v>-17.837112995507589</v>
      </c>
      <c r="AB465" s="4">
        <f>Games[[#This Row],[PreGmRate]]+Games[[#This Row],[RatingChange]]</f>
        <v>1585.6016690444542</v>
      </c>
      <c r="AC465" s="2">
        <f>IF(Games[[#This Row],[Type]]="R",IF(Games[[#This Row],[Result]]&gt;0.5,1,0),0)</f>
        <v>0</v>
      </c>
      <c r="AD465" s="2">
        <f>IF(Games[[#This Row],[Type]]="R",IF(Games[[#This Row],[Result]]&lt;0.5,1,0),0)</f>
        <v>1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45891</v>
      </c>
      <c r="B466" s="2">
        <v>2025</v>
      </c>
      <c r="C466" s="2">
        <f>COUNTIFS(Games[Team],Games[[#This Row],[Team]],Games[Season],Games[[#This Row],[Season]],Games[Date],"&lt;=" &amp; Games[[#This Row],[Date]])</f>
        <v>37</v>
      </c>
      <c r="D466" s="2" t="s">
        <v>79</v>
      </c>
      <c r="E466" s="2" t="s">
        <v>80</v>
      </c>
      <c r="F466" s="1" t="s">
        <v>71</v>
      </c>
      <c r="G466" s="1" t="s">
        <v>85</v>
      </c>
      <c r="H466" s="1" t="s">
        <v>81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6" s="2">
        <f>Games[[#This Row],[DaysOff]]-Games[[#This Row],[OppDaysOff]]</f>
        <v>1</v>
      </c>
      <c r="L466" s="2">
        <f>Games[[#This Row],[OppDaysOff]]-Games[[#This Row],[DaysOff]]</f>
        <v>-1</v>
      </c>
      <c r="M466" s="1">
        <f>MAX(-16, MIN(16, Games[[#This Row],[RestDiff]]*8))</f>
        <v>8</v>
      </c>
      <c r="N466" s="1">
        <f>MAX(-16, MIN(16, Games[[#This Row],[OppRestDiff]]*8))</f>
        <v>-8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1497.6152136217302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1338.5012882627943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0.62819799225687889</v>
      </c>
      <c r="R466" s="1">
        <v>95</v>
      </c>
      <c r="S466" s="1">
        <v>60</v>
      </c>
      <c r="T466" s="1">
        <v>0</v>
      </c>
      <c r="U466" s="1">
        <f>Games[[#This Row],[PointsFor]]-Games[[#This Row],[PointsAgainst]]</f>
        <v>35</v>
      </c>
      <c r="V466" s="1">
        <f>IF(Games[[#This Row],[MOV]]&gt;0,1,IF(Games[[#This Row],[MOV]]=0,0.5,0))</f>
        <v>1</v>
      </c>
      <c r="W466" s="4">
        <f>((ABS(Games[[#This Row],[MOV]])+5)^0.6)/(12+0.01*(ABS(Games[[#This Row],[PreGmRate]]-Games[[#This Row],[OppPreGmRate]])))*IF(Games[[#This Row],[OT]]=1,0.9,1)</f>
        <v>0.67294587068049361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6" s="9">
        <f>MAX(kmin, kmax - 0.15 * MIN(Games[[#This Row],[GamesPlayed]], 82))</f>
        <v>70.45</v>
      </c>
      <c r="Z466" s="4">
        <f>Games[[#This Row],[K]]*Games[[#This Row],[POMult]]</f>
        <v>70.45</v>
      </c>
      <c r="AA466" s="4">
        <f>(Games[[#This Row],[Keff]]*Games[[#This Row],[MOVMult]])*(Games[[#This Row],[Result]]-Games[[#This Row],[ExpectedWin%]])</f>
        <v>17.62677498912117</v>
      </c>
      <c r="AB466" s="4">
        <f>Games[[#This Row],[PreGmRate]]+Games[[#This Row],[RatingChange]]</f>
        <v>1515.2419886108514</v>
      </c>
      <c r="AC466" s="2">
        <f>IF(Games[[#This Row],[Type]]="R",IF(Games[[#This Row],[Result]]&gt;0.5,1,0),0)</f>
        <v>1</v>
      </c>
      <c r="AD466" s="2">
        <f>IF(Games[[#This Row],[Type]]="R",IF(Games[[#This Row],[Result]]&lt;0.5,1,0),0)</f>
        <v>0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0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45891</v>
      </c>
      <c r="B467" s="2">
        <v>2025</v>
      </c>
      <c r="C467" s="2">
        <f>COUNTIFS(Games[Team],Games[[#This Row],[Team]],Games[Season],Games[[#This Row],[Season]],Games[Date],"&lt;=" &amp; Games[[#This Row],[Date]])</f>
        <v>37</v>
      </c>
      <c r="D467" s="2" t="s">
        <v>79</v>
      </c>
      <c r="E467" s="2" t="s">
        <v>80</v>
      </c>
      <c r="F467" s="1" t="s">
        <v>85</v>
      </c>
      <c r="G467" s="1" t="s">
        <v>71</v>
      </c>
      <c r="H467" s="1" t="s">
        <v>82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7" s="2">
        <f>Games[[#This Row],[DaysOff]]-Games[[#This Row],[OppDaysOff]]</f>
        <v>-1</v>
      </c>
      <c r="L467" s="2">
        <f>Games[[#This Row],[OppDaysOff]]-Games[[#This Row],[DaysOff]]</f>
        <v>1</v>
      </c>
      <c r="M467" s="1">
        <f>MAX(-16, MIN(16, Games[[#This Row],[RestDiff]]*8))</f>
        <v>-8</v>
      </c>
      <c r="N467" s="1">
        <f>MAX(-16, MIN(16, Games[[#This Row],[OppRestDiff]]*8))</f>
        <v>8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1338.5012882627943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1497.6152136217302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0.37180200774312117</v>
      </c>
      <c r="R467" s="1">
        <v>60</v>
      </c>
      <c r="S467" s="1">
        <v>95</v>
      </c>
      <c r="T467" s="1">
        <v>0</v>
      </c>
      <c r="U467" s="1">
        <f>Games[[#This Row],[PointsFor]]-Games[[#This Row],[PointsAgainst]]</f>
        <v>-35</v>
      </c>
      <c r="V467" s="1">
        <f>IF(Games[[#This Row],[MOV]]&gt;0,1,IF(Games[[#This Row],[MOV]]=0,0.5,0))</f>
        <v>0</v>
      </c>
      <c r="W467" s="4">
        <f>((ABS(Games[[#This Row],[MOV]])+5)^0.6)/(12+0.01*(ABS(Games[[#This Row],[PreGmRate]]-Games[[#This Row],[OppPreGmRate]])))*IF(Games[[#This Row],[OT]]=1,0.9,1)</f>
        <v>0.67294587068049361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7" s="9">
        <f>MAX(kmin, kmax - 0.15 * MIN(Games[[#This Row],[GamesPlayed]], 82))</f>
        <v>70.45</v>
      </c>
      <c r="Z467" s="4">
        <f>Games[[#This Row],[K]]*Games[[#This Row],[POMult]]</f>
        <v>70.45</v>
      </c>
      <c r="AA467" s="4">
        <f>(Games[[#This Row],[Keff]]*Games[[#This Row],[MOVMult]])*(Games[[#This Row],[Result]]-Games[[#This Row],[ExpectedWin%]])</f>
        <v>-17.626774989121174</v>
      </c>
      <c r="AB467" s="4">
        <f>Games[[#This Row],[PreGmRate]]+Games[[#This Row],[RatingChange]]</f>
        <v>1320.8745132736731</v>
      </c>
      <c r="AC467" s="2">
        <f>IF(Games[[#This Row],[Type]]="R",IF(Games[[#This Row],[Result]]&gt;0.5,1,0),0)</f>
        <v>0</v>
      </c>
      <c r="AD467" s="2">
        <f>IF(Games[[#This Row],[Type]]="R",IF(Games[[#This Row],[Result]]&lt;0.5,1,0),0)</f>
        <v>1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0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45891</v>
      </c>
      <c r="B468" s="2">
        <v>2025</v>
      </c>
      <c r="C468" s="2">
        <f>COUNTIFS(Games[Team],Games[[#This Row],[Team]],Games[Season],Games[[#This Row],[Season]],Games[Date],"&lt;=" &amp; Games[[#This Row],[Date]])</f>
        <v>37</v>
      </c>
      <c r="D468" s="2" t="s">
        <v>79</v>
      </c>
      <c r="E468" s="2" t="s">
        <v>80</v>
      </c>
      <c r="F468" s="1" t="s">
        <v>67</v>
      </c>
      <c r="G468" s="1" t="s">
        <v>69</v>
      </c>
      <c r="H468" s="1" t="s">
        <v>81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68" s="2">
        <f>Games[[#This Row],[DaysOff]]-Games[[#This Row],[OppDaysOff]]</f>
        <v>-4</v>
      </c>
      <c r="L468" s="2">
        <f>Games[[#This Row],[OppDaysOff]]-Games[[#This Row],[DaysOff]]</f>
        <v>4</v>
      </c>
      <c r="M468" s="1">
        <f>MAX(-16, MIN(16, Games[[#This Row],[RestDiff]]*8))</f>
        <v>-16</v>
      </c>
      <c r="N468" s="1">
        <f>MAX(-16, MIN(16, Games[[#This Row],[OppRestDiff]]*8))</f>
        <v>16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1692.9538798033639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1534.5668935085469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0.56069892970970614</v>
      </c>
      <c r="R468" s="1">
        <v>95</v>
      </c>
      <c r="S468" s="1">
        <v>90</v>
      </c>
      <c r="T468" s="1">
        <v>0</v>
      </c>
      <c r="U468" s="1">
        <f>Games[[#This Row],[PointsFor]]-Games[[#This Row],[PointsAgainst]]</f>
        <v>5</v>
      </c>
      <c r="V468" s="1">
        <f>IF(Games[[#This Row],[MOV]]&gt;0,1,IF(Games[[#This Row],[MOV]]=0,0.5,0))</f>
        <v>1</v>
      </c>
      <c r="W468" s="4">
        <f>((ABS(Games[[#This Row],[MOV]])+5)^0.6)/(12+0.01*(ABS(Games[[#This Row],[PreGmRate]]-Games[[#This Row],[OppPreGmRate]])))*IF(Games[[#This Row],[OT]]=1,0.9,1)</f>
        <v>0.29307345739477975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8" s="9">
        <f>MAX(kmin, kmax - 0.15 * MIN(Games[[#This Row],[GamesPlayed]], 82))</f>
        <v>70.45</v>
      </c>
      <c r="Z468" s="4">
        <f>Games[[#This Row],[K]]*Games[[#This Row],[POMult]]</f>
        <v>70.45</v>
      </c>
      <c r="AA468" s="4">
        <f>(Games[[#This Row],[Keff]]*Games[[#This Row],[MOVMult]])*(Games[[#This Row],[Result]]-Games[[#This Row],[ExpectedWin%]])</f>
        <v>9.0702602130824932</v>
      </c>
      <c r="AB468" s="4">
        <f>Games[[#This Row],[PreGmRate]]+Games[[#This Row],[RatingChange]]</f>
        <v>1702.0241400164464</v>
      </c>
      <c r="AC468" s="2">
        <f>IF(Games[[#This Row],[Type]]="R",IF(Games[[#This Row],[Result]]&gt;0.5,1,0),0)</f>
        <v>1</v>
      </c>
      <c r="AD468" s="2">
        <f>IF(Games[[#This Row],[Type]]="R",IF(Games[[#This Row],[Result]]&lt;0.5,1,0),0)</f>
        <v>0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0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45891</v>
      </c>
      <c r="B469" s="2">
        <v>2025</v>
      </c>
      <c r="C469" s="2">
        <f>COUNTIFS(Games[Team],Games[[#This Row],[Team]],Games[Season],Games[[#This Row],[Season]],Games[Date],"&lt;=" &amp; Games[[#This Row],[Date]])</f>
        <v>37</v>
      </c>
      <c r="D469" s="2" t="s">
        <v>79</v>
      </c>
      <c r="E469" s="2" t="s">
        <v>80</v>
      </c>
      <c r="F469" s="1" t="s">
        <v>69</v>
      </c>
      <c r="G469" s="1" t="s">
        <v>67</v>
      </c>
      <c r="H469" s="1" t="s">
        <v>82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4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9" s="2">
        <f>Games[[#This Row],[DaysOff]]-Games[[#This Row],[OppDaysOff]]</f>
        <v>4</v>
      </c>
      <c r="L469" s="2">
        <f>Games[[#This Row],[OppDaysOff]]-Games[[#This Row],[DaysOff]]</f>
        <v>-4</v>
      </c>
      <c r="M469" s="1">
        <f>MAX(-16, MIN(16, Games[[#This Row],[RestDiff]]*8))</f>
        <v>16</v>
      </c>
      <c r="N469" s="1">
        <f>MAX(-16, MIN(16, Games[[#This Row],[OppRestDiff]]*8))</f>
        <v>-16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1534.5668935085469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1692.9538798033639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0.43930107029029386</v>
      </c>
      <c r="R469" s="1">
        <v>90</v>
      </c>
      <c r="S469" s="1">
        <v>95</v>
      </c>
      <c r="T469" s="1">
        <v>0</v>
      </c>
      <c r="U469" s="1">
        <f>Games[[#This Row],[PointsFor]]-Games[[#This Row],[PointsAgainst]]</f>
        <v>-5</v>
      </c>
      <c r="V469" s="1">
        <f>IF(Games[[#This Row],[MOV]]&gt;0,1,IF(Games[[#This Row],[MOV]]=0,0.5,0))</f>
        <v>0</v>
      </c>
      <c r="W469" s="4">
        <f>((ABS(Games[[#This Row],[MOV]])+5)^0.6)/(12+0.01*(ABS(Games[[#This Row],[PreGmRate]]-Games[[#This Row],[OppPreGmRate]])))*IF(Games[[#This Row],[OT]]=1,0.9,1)</f>
        <v>0.29307345739477975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9" s="9">
        <f>MAX(kmin, kmax - 0.15 * MIN(Games[[#This Row],[GamesPlayed]], 82))</f>
        <v>70.45</v>
      </c>
      <c r="Z469" s="4">
        <f>Games[[#This Row],[K]]*Games[[#This Row],[POMult]]</f>
        <v>70.45</v>
      </c>
      <c r="AA469" s="4">
        <f>(Games[[#This Row],[Keff]]*Games[[#This Row],[MOVMult]])*(Games[[#This Row],[Result]]-Games[[#This Row],[ExpectedWin%]])</f>
        <v>-9.0702602130824932</v>
      </c>
      <c r="AB469" s="4">
        <f>Games[[#This Row],[PreGmRate]]+Games[[#This Row],[RatingChange]]</f>
        <v>1525.4966332954643</v>
      </c>
      <c r="AC469" s="2">
        <f>IF(Games[[#This Row],[Type]]="R",IF(Games[[#This Row],[Result]]&gt;0.5,1,0),0)</f>
        <v>0</v>
      </c>
      <c r="AD469" s="2">
        <f>IF(Games[[#This Row],[Type]]="R",IF(Games[[#This Row],[Result]]&lt;0.5,1,0),0)</f>
        <v>1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0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45891</v>
      </c>
      <c r="B470" s="2">
        <v>2025</v>
      </c>
      <c r="C470" s="2">
        <f>COUNTIFS(Games[Team],Games[[#This Row],[Team]],Games[Season],Games[[#This Row],[Season]],Games[Date],"&lt;=" &amp; Games[[#This Row],[Date]])</f>
        <v>36</v>
      </c>
      <c r="D470" s="2" t="s">
        <v>79</v>
      </c>
      <c r="E470" s="2" t="s">
        <v>80</v>
      </c>
      <c r="F470" s="1" t="s">
        <v>88</v>
      </c>
      <c r="G470" s="1" t="s">
        <v>40</v>
      </c>
      <c r="H470" s="1" t="s">
        <v>81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0" s="2">
        <f>Games[[#This Row],[DaysOff]]-Games[[#This Row],[OppDaysOff]]</f>
        <v>2</v>
      </c>
      <c r="L470" s="2">
        <f>Games[[#This Row],[OppDaysOff]]-Games[[#This Row],[DaysOff]]</f>
        <v>-2</v>
      </c>
      <c r="M470" s="1">
        <f>MAX(-16, MIN(16, Games[[#This Row],[RestDiff]]*8))</f>
        <v>16</v>
      </c>
      <c r="N470" s="1">
        <f>MAX(-16, MIN(16, Games[[#This Row],[OppRestDiff]]*8))</f>
        <v>-16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1503.6302038651768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1549.8168275554963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0.36234337062592814</v>
      </c>
      <c r="R470" s="1">
        <v>72</v>
      </c>
      <c r="S470" s="1">
        <v>81</v>
      </c>
      <c r="T470" s="1">
        <v>0</v>
      </c>
      <c r="U470" s="1">
        <f>Games[[#This Row],[PointsFor]]-Games[[#This Row],[PointsAgainst]]</f>
        <v>-9</v>
      </c>
      <c r="V470" s="1">
        <f>IF(Games[[#This Row],[MOV]]&gt;0,1,IF(Games[[#This Row],[MOV]]=0,0.5,0))</f>
        <v>0</v>
      </c>
      <c r="W470" s="4">
        <f>((ABS(Games[[#This Row],[MOV]])+5)^0.6)/(12+0.01*(ABS(Games[[#This Row],[PreGmRate]]-Games[[#This Row],[OppPreGmRate]])))*IF(Games[[#This Row],[OT]]=1,0.9,1)</f>
        <v>0.39092526216823953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0" s="9">
        <f>MAX(kmin, kmax - 0.15 * MIN(Games[[#This Row],[GamesPlayed]], 82))</f>
        <v>70.599999999999994</v>
      </c>
      <c r="Z470" s="4">
        <f>Games[[#This Row],[K]]*Games[[#This Row],[POMult]]</f>
        <v>70.599999999999994</v>
      </c>
      <c r="AA470" s="4">
        <f>(Games[[#This Row],[Keff]]*Games[[#This Row],[MOVMult]])*(Games[[#This Row],[Result]]-Games[[#This Row],[ExpectedWin%]])</f>
        <v>-10.000431907274637</v>
      </c>
      <c r="AB470" s="4">
        <f>Games[[#This Row],[PreGmRate]]+Games[[#This Row],[RatingChange]]</f>
        <v>1493.6297719579022</v>
      </c>
      <c r="AC470" s="2">
        <f>IF(Games[[#This Row],[Type]]="R",IF(Games[[#This Row],[Result]]&gt;0.5,1,0),0)</f>
        <v>0</v>
      </c>
      <c r="AD470" s="2">
        <f>IF(Games[[#This Row],[Type]]="R",IF(Games[[#This Row],[Result]]&lt;0.5,1,0),0)</f>
        <v>1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45891</v>
      </c>
      <c r="B471" s="2">
        <v>2025</v>
      </c>
      <c r="C471" s="2">
        <f>COUNTIFS(Games[Team],Games[[#This Row],[Team]],Games[Season],Games[[#This Row],[Season]],Games[Date],"&lt;=" &amp; Games[[#This Row],[Date]])</f>
        <v>36</v>
      </c>
      <c r="D471" s="2" t="s">
        <v>79</v>
      </c>
      <c r="E471" s="2" t="s">
        <v>80</v>
      </c>
      <c r="F471" s="1" t="s">
        <v>40</v>
      </c>
      <c r="G471" s="1" t="s">
        <v>88</v>
      </c>
      <c r="H471" s="1" t="s">
        <v>82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1" s="2">
        <f>Games[[#This Row],[DaysOff]]-Games[[#This Row],[OppDaysOff]]</f>
        <v>-2</v>
      </c>
      <c r="L471" s="2">
        <f>Games[[#This Row],[OppDaysOff]]-Games[[#This Row],[DaysOff]]</f>
        <v>2</v>
      </c>
      <c r="M471" s="1">
        <f>MAX(-16, MIN(16, Games[[#This Row],[RestDiff]]*8))</f>
        <v>-16</v>
      </c>
      <c r="N471" s="1">
        <f>MAX(-16, MIN(16, Games[[#This Row],[OppRestDiff]]*8))</f>
        <v>16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1549.8168275554963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1503.6302038651768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0.63765662937407186</v>
      </c>
      <c r="R471" s="1">
        <v>81</v>
      </c>
      <c r="S471" s="1">
        <v>72</v>
      </c>
      <c r="T471" s="1">
        <v>0</v>
      </c>
      <c r="U471" s="1">
        <f>Games[[#This Row],[PointsFor]]-Games[[#This Row],[PointsAgainst]]</f>
        <v>9</v>
      </c>
      <c r="V471" s="1">
        <f>IF(Games[[#This Row],[MOV]]&gt;0,1,IF(Games[[#This Row],[MOV]]=0,0.5,0))</f>
        <v>1</v>
      </c>
      <c r="W471" s="4">
        <f>((ABS(Games[[#This Row],[MOV]])+5)^0.6)/(12+0.01*(ABS(Games[[#This Row],[PreGmRate]]-Games[[#This Row],[OppPreGmRate]])))*IF(Games[[#This Row],[OT]]=1,0.9,1)</f>
        <v>0.39092526216823953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1" s="9">
        <f>MAX(kmin, kmax - 0.15 * MIN(Games[[#This Row],[GamesPlayed]], 82))</f>
        <v>70.599999999999994</v>
      </c>
      <c r="Z471" s="4">
        <f>Games[[#This Row],[K]]*Games[[#This Row],[POMult]]</f>
        <v>70.599999999999994</v>
      </c>
      <c r="AA471" s="4">
        <f>(Games[[#This Row],[Keff]]*Games[[#This Row],[MOVMult]])*(Games[[#This Row],[Result]]-Games[[#This Row],[ExpectedWin%]])</f>
        <v>10.000431907274637</v>
      </c>
      <c r="AB471" s="4">
        <f>Games[[#This Row],[PreGmRate]]+Games[[#This Row],[RatingChange]]</f>
        <v>1559.8172594627708</v>
      </c>
      <c r="AC471" s="2">
        <f>IF(Games[[#This Row],[Type]]="R",IF(Games[[#This Row],[Result]]&gt;0.5,1,0),0)</f>
        <v>1</v>
      </c>
      <c r="AD471" s="2">
        <f>IF(Games[[#This Row],[Type]]="R",IF(Games[[#This Row],[Result]]&lt;0.5,1,0),0)</f>
        <v>0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45892</v>
      </c>
      <c r="B472" s="2">
        <v>2025</v>
      </c>
      <c r="C472" s="2">
        <f>COUNTIFS(Games[Team],Games[[#This Row],[Team]],Games[Season],Games[[#This Row],[Season]],Games[Date],"&lt;=" &amp; Games[[#This Row],[Date]])</f>
        <v>37</v>
      </c>
      <c r="D472" s="2" t="s">
        <v>79</v>
      </c>
      <c r="E472" s="2" t="s">
        <v>80</v>
      </c>
      <c r="F472" s="1" t="s">
        <v>60</v>
      </c>
      <c r="G472" s="1" t="s">
        <v>77</v>
      </c>
      <c r="H472" s="1" t="s">
        <v>81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2" s="2">
        <f>Games[[#This Row],[DaysOff]]-Games[[#This Row],[OppDaysOff]]</f>
        <v>0</v>
      </c>
      <c r="L472" s="2">
        <f>Games[[#This Row],[OppDaysOff]]-Games[[#This Row],[DaysOff]]</f>
        <v>0</v>
      </c>
      <c r="M472" s="1">
        <f>MAX(-16, MIN(16, Games[[#This Row],[RestDiff]]*8))</f>
        <v>0</v>
      </c>
      <c r="N472" s="1">
        <f>MAX(-16, MIN(16, Games[[#This Row],[OppRestDiff]]*8))</f>
        <v>0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1585.6016690444542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1626.1991421779353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0.32800088640009806</v>
      </c>
      <c r="R472" s="1">
        <v>62</v>
      </c>
      <c r="S472" s="1">
        <v>78</v>
      </c>
      <c r="T472" s="1">
        <v>0</v>
      </c>
      <c r="U472" s="1">
        <f>Games[[#This Row],[PointsFor]]-Games[[#This Row],[PointsAgainst]]</f>
        <v>-16</v>
      </c>
      <c r="V472" s="1">
        <f>IF(Games[[#This Row],[MOV]]&gt;0,1,IF(Games[[#This Row],[MOV]]=0,0.5,0))</f>
        <v>0</v>
      </c>
      <c r="W472" s="4">
        <f>((ABS(Games[[#This Row],[MOV]])+5)^0.6)/(12+0.01*(ABS(Games[[#This Row],[PreGmRate]]-Games[[#This Row],[OppPreGmRate]])))*IF(Games[[#This Row],[OT]]=1,0.9,1)</f>
        <v>0.50084193478703087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2" s="9">
        <f>MAX(kmin, kmax - 0.15 * MIN(Games[[#This Row],[GamesPlayed]], 82))</f>
        <v>70.45</v>
      </c>
      <c r="Z472" s="4">
        <f>Games[[#This Row],[K]]*Games[[#This Row],[POMult]]</f>
        <v>70.45</v>
      </c>
      <c r="AA472" s="4">
        <f>(Games[[#This Row],[Keff]]*Games[[#This Row],[MOVMult]])*(Games[[#This Row],[Result]]-Games[[#This Row],[ExpectedWin%]])</f>
        <v>-11.573286368304457</v>
      </c>
      <c r="AB472" s="4">
        <f>Games[[#This Row],[PreGmRate]]+Games[[#This Row],[RatingChange]]</f>
        <v>1574.0283826761497</v>
      </c>
      <c r="AC472" s="2">
        <f>IF(Games[[#This Row],[Type]]="R",IF(Games[[#This Row],[Result]]&gt;0.5,1,0),0)</f>
        <v>0</v>
      </c>
      <c r="AD472" s="2">
        <f>IF(Games[[#This Row],[Type]]="R",IF(Games[[#This Row],[Result]]&lt;0.5,1,0),0)</f>
        <v>1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0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45892</v>
      </c>
      <c r="B473" s="2">
        <v>2025</v>
      </c>
      <c r="C473" s="2">
        <f>COUNTIFS(Games[Team],Games[[#This Row],[Team]],Games[Season],Games[[#This Row],[Season]],Games[Date],"&lt;=" &amp; Games[[#This Row],[Date]])</f>
        <v>37</v>
      </c>
      <c r="D473" s="2" t="s">
        <v>79</v>
      </c>
      <c r="E473" s="2" t="s">
        <v>80</v>
      </c>
      <c r="F473" s="1" t="s">
        <v>77</v>
      </c>
      <c r="G473" s="1" t="s">
        <v>60</v>
      </c>
      <c r="H473" s="1" t="s">
        <v>82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3" s="2">
        <f>Games[[#This Row],[DaysOff]]-Games[[#This Row],[OppDaysOff]]</f>
        <v>0</v>
      </c>
      <c r="L473" s="2">
        <f>Games[[#This Row],[OppDaysOff]]-Games[[#This Row],[DaysOff]]</f>
        <v>0</v>
      </c>
      <c r="M473" s="1">
        <f>MAX(-16, MIN(16, Games[[#This Row],[RestDiff]]*8))</f>
        <v>0</v>
      </c>
      <c r="N473" s="1">
        <f>MAX(-16, MIN(16, Games[[#This Row],[OppRestDiff]]*8))</f>
        <v>0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1626.1991421779353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1585.6016690444542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0.67199911359990194</v>
      </c>
      <c r="R473" s="1">
        <v>78</v>
      </c>
      <c r="S473" s="1">
        <v>62</v>
      </c>
      <c r="T473" s="1">
        <v>0</v>
      </c>
      <c r="U473" s="1">
        <f>Games[[#This Row],[PointsFor]]-Games[[#This Row],[PointsAgainst]]</f>
        <v>16</v>
      </c>
      <c r="V473" s="1">
        <f>IF(Games[[#This Row],[MOV]]&gt;0,1,IF(Games[[#This Row],[MOV]]=0,0.5,0))</f>
        <v>1</v>
      </c>
      <c r="W473" s="4">
        <f>((ABS(Games[[#This Row],[MOV]])+5)^0.6)/(12+0.01*(ABS(Games[[#This Row],[PreGmRate]]-Games[[#This Row],[OppPreGmRate]])))*IF(Games[[#This Row],[OT]]=1,0.9,1)</f>
        <v>0.50084193478703087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3" s="9">
        <f>MAX(kmin, kmax - 0.15 * MIN(Games[[#This Row],[GamesPlayed]], 82))</f>
        <v>70.45</v>
      </c>
      <c r="Z473" s="4">
        <f>Games[[#This Row],[K]]*Games[[#This Row],[POMult]]</f>
        <v>70.45</v>
      </c>
      <c r="AA473" s="4">
        <f>(Games[[#This Row],[Keff]]*Games[[#This Row],[MOVMult]])*(Games[[#This Row],[Result]]-Games[[#This Row],[ExpectedWin%]])</f>
        <v>11.573286368304457</v>
      </c>
      <c r="AB473" s="4">
        <f>Games[[#This Row],[PreGmRate]]+Games[[#This Row],[RatingChange]]</f>
        <v>1637.7724285462398</v>
      </c>
      <c r="AC473" s="2">
        <f>IF(Games[[#This Row],[Type]]="R",IF(Games[[#This Row],[Result]]&gt;0.5,1,0),0)</f>
        <v>1</v>
      </c>
      <c r="AD473" s="2">
        <f>IF(Games[[#This Row],[Type]]="R",IF(Games[[#This Row],[Result]]&lt;0.5,1,0),0)</f>
        <v>0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0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45892</v>
      </c>
      <c r="B474" s="2">
        <v>2025</v>
      </c>
      <c r="C474" s="2">
        <f>COUNTIFS(Games[Team],Games[[#This Row],[Team]],Games[Season],Games[[#This Row],[Season]],Games[Date],"&lt;=" &amp; Games[[#This Row],[Date]])</f>
        <v>36</v>
      </c>
      <c r="D474" s="2" t="s">
        <v>79</v>
      </c>
      <c r="E474" s="2" t="s">
        <v>80</v>
      </c>
      <c r="F474" s="1" t="s">
        <v>74</v>
      </c>
      <c r="G474" s="1" t="s">
        <v>75</v>
      </c>
      <c r="H474" s="1" t="s">
        <v>81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">
        <f>MAX(-16, MIN(16, Games[[#This Row],[RestDiff]]*8))</f>
        <v>0</v>
      </c>
      <c r="N474" s="1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1373.5394676797605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1301.6453735353969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0.48258524806704328</v>
      </c>
      <c r="R474" s="1">
        <v>94</v>
      </c>
      <c r="S474" s="1">
        <v>84</v>
      </c>
      <c r="T474" s="1">
        <v>0</v>
      </c>
      <c r="U474" s="1">
        <f>Games[[#This Row],[PointsFor]]-Games[[#This Row],[PointsAgainst]]</f>
        <v>10</v>
      </c>
      <c r="V474" s="1">
        <f>IF(Games[[#This Row],[MOV]]&gt;0,1,IF(Games[[#This Row],[MOV]]=0,0.5,0))</f>
        <v>1</v>
      </c>
      <c r="W474" s="4">
        <f>((ABS(Games[[#This Row],[MOV]])+5)^0.6)/(12+0.01*(ABS(Games[[#This Row],[PreGmRate]]-Games[[#This Row],[OppPreGmRate]])))*IF(Games[[#This Row],[OT]]=1,0.9,1)</f>
        <v>0.39921219977070593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4" s="9">
        <f>MAX(kmin, kmax - 0.15 * MIN(Games[[#This Row],[GamesPlayed]], 82))</f>
        <v>70.599999999999994</v>
      </c>
      <c r="Z474" s="4">
        <f>Games[[#This Row],[K]]*Games[[#This Row],[POMult]]</f>
        <v>70.599999999999994</v>
      </c>
      <c r="AA474" s="4">
        <f>(Games[[#This Row],[Keff]]*Games[[#This Row],[MOVMult]])*(Games[[#This Row],[Result]]-Games[[#This Row],[ExpectedWin%]])</f>
        <v>14.583014660695664</v>
      </c>
      <c r="AB474" s="4">
        <f>Games[[#This Row],[PreGmRate]]+Games[[#This Row],[RatingChange]]</f>
        <v>1388.1224823404561</v>
      </c>
      <c r="AC474" s="2">
        <f>IF(Games[[#This Row],[Type]]="R",IF(Games[[#This Row],[Result]]&gt;0.5,1,0),0)</f>
        <v>1</v>
      </c>
      <c r="AD474" s="2">
        <f>IF(Games[[#This Row],[Type]]="R",IF(Games[[#This Row],[Result]]&lt;0.5,1,0),0)</f>
        <v>0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0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45892</v>
      </c>
      <c r="B475" s="2">
        <v>2025</v>
      </c>
      <c r="C475" s="2">
        <f>COUNTIFS(Games[Team],Games[[#This Row],[Team]],Games[Season],Games[[#This Row],[Season]],Games[Date],"&lt;=" &amp; Games[[#This Row],[Date]])</f>
        <v>36</v>
      </c>
      <c r="D475" s="2" t="s">
        <v>79</v>
      </c>
      <c r="E475" s="2" t="s">
        <v>80</v>
      </c>
      <c r="F475" s="1" t="s">
        <v>75</v>
      </c>
      <c r="G475" s="1" t="s">
        <v>74</v>
      </c>
      <c r="H475" s="1" t="s">
        <v>82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">
        <f>MAX(-16, MIN(16, Games[[#This Row],[RestDiff]]*8))</f>
        <v>0</v>
      </c>
      <c r="N475" s="1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1301.6453735353969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1373.5394676797605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0.51741475193295672</v>
      </c>
      <c r="R475" s="1">
        <v>84</v>
      </c>
      <c r="S475" s="1">
        <v>94</v>
      </c>
      <c r="T475" s="1">
        <v>0</v>
      </c>
      <c r="U475" s="1">
        <f>Games[[#This Row],[PointsFor]]-Games[[#This Row],[PointsAgainst]]</f>
        <v>-10</v>
      </c>
      <c r="V475" s="1">
        <f>IF(Games[[#This Row],[MOV]]&gt;0,1,IF(Games[[#This Row],[MOV]]=0,0.5,0))</f>
        <v>0</v>
      </c>
      <c r="W475" s="4">
        <f>((ABS(Games[[#This Row],[MOV]])+5)^0.6)/(12+0.01*(ABS(Games[[#This Row],[PreGmRate]]-Games[[#This Row],[OppPreGmRate]])))*IF(Games[[#This Row],[OT]]=1,0.9,1)</f>
        <v>0.39921219977070593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5" s="9">
        <f>MAX(kmin, kmax - 0.15 * MIN(Games[[#This Row],[GamesPlayed]], 82))</f>
        <v>70.599999999999994</v>
      </c>
      <c r="Z475" s="4">
        <f>Games[[#This Row],[K]]*Games[[#This Row],[POMult]]</f>
        <v>70.599999999999994</v>
      </c>
      <c r="AA475" s="4">
        <f>(Games[[#This Row],[Keff]]*Games[[#This Row],[MOVMult]])*(Games[[#This Row],[Result]]-Games[[#This Row],[ExpectedWin%]])</f>
        <v>-14.583014660695664</v>
      </c>
      <c r="AB475" s="4">
        <f>Games[[#This Row],[PreGmRate]]+Games[[#This Row],[RatingChange]]</f>
        <v>1287.0623588747012</v>
      </c>
      <c r="AC475" s="2">
        <f>IF(Games[[#This Row],[Type]]="R",IF(Games[[#This Row],[Result]]&gt;0.5,1,0),0)</f>
        <v>0</v>
      </c>
      <c r="AD475" s="2">
        <f>IF(Games[[#This Row],[Type]]="R",IF(Games[[#This Row],[Result]]&lt;0.5,1,0),0)</f>
        <v>1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0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45892</v>
      </c>
      <c r="B476" s="2">
        <v>2025</v>
      </c>
      <c r="C476" s="2">
        <f>COUNTIFS(Games[Team],Games[[#This Row],[Team]],Games[Season],Games[[#This Row],[Season]],Games[Date],"&lt;=" &amp; Games[[#This Row],[Date]])</f>
        <v>38</v>
      </c>
      <c r="D476" s="2" t="s">
        <v>79</v>
      </c>
      <c r="E476" s="2" t="s">
        <v>80</v>
      </c>
      <c r="F476" s="1" t="s">
        <v>86</v>
      </c>
      <c r="G476" s="1" t="s">
        <v>65</v>
      </c>
      <c r="H476" s="1" t="s">
        <v>81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6" s="2">
        <f>Games[[#This Row],[DaysOff]]-Games[[#This Row],[OppDaysOff]]</f>
        <v>0</v>
      </c>
      <c r="L476" s="2">
        <f>Games[[#This Row],[OppDaysOff]]-Games[[#This Row],[DaysOff]]</f>
        <v>0</v>
      </c>
      <c r="M476" s="1">
        <f>MAX(-16, MIN(16, Games[[#This Row],[RestDiff]]*8))</f>
        <v>0</v>
      </c>
      <c r="N476" s="1">
        <f>MAX(-16, MIN(16, Games[[#This Row],[OppRestDiff]]*8))</f>
        <v>0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1614.0165916814069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1423.8041148103484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0.64826195655860575</v>
      </c>
      <c r="R476" s="1">
        <v>91</v>
      </c>
      <c r="S476" s="1">
        <v>81</v>
      </c>
      <c r="T476" s="1">
        <v>0</v>
      </c>
      <c r="U476" s="1">
        <f>Games[[#This Row],[PointsFor]]-Games[[#This Row],[PointsAgainst]]</f>
        <v>10</v>
      </c>
      <c r="V476" s="1">
        <f>IF(Games[[#This Row],[MOV]]&gt;0,1,IF(Games[[#This Row],[MOV]]=0,0.5,0))</f>
        <v>1</v>
      </c>
      <c r="W476" s="4">
        <f>((ABS(Games[[#This Row],[MOV]])+5)^0.6)/(12+0.01*(ABS(Games[[#This Row],[PreGmRate]]-Games[[#This Row],[OppPreGmRate]])))*IF(Games[[#This Row],[OT]]=1,0.9,1)</f>
        <v>0.36523599640073923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6" s="9">
        <f>MAX(kmin, kmax - 0.15 * MIN(Games[[#This Row],[GamesPlayed]], 82))</f>
        <v>70.3</v>
      </c>
      <c r="Z476" s="4">
        <f>Games[[#This Row],[K]]*Games[[#This Row],[POMult]]</f>
        <v>70.3</v>
      </c>
      <c r="AA476" s="4">
        <f>(Games[[#This Row],[Keff]]*Games[[#This Row],[MOVMult]])*(Games[[#This Row],[Result]]-Games[[#This Row],[ExpectedWin%]])</f>
        <v>9.0312578522159974</v>
      </c>
      <c r="AB476" s="4">
        <f>Games[[#This Row],[PreGmRate]]+Games[[#This Row],[RatingChange]]</f>
        <v>1623.0478495336229</v>
      </c>
      <c r="AC476" s="2">
        <f>IF(Games[[#This Row],[Type]]="R",IF(Games[[#This Row],[Result]]&gt;0.5,1,0),0)</f>
        <v>1</v>
      </c>
      <c r="AD476" s="2">
        <f>IF(Games[[#This Row],[Type]]="R",IF(Games[[#This Row],[Result]]&lt;0.5,1,0),0)</f>
        <v>0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0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45892</v>
      </c>
      <c r="B477" s="2">
        <v>2025</v>
      </c>
      <c r="C477" s="2">
        <f>COUNTIFS(Games[Team],Games[[#This Row],[Team]],Games[Season],Games[[#This Row],[Season]],Games[Date],"&lt;=" &amp; Games[[#This Row],[Date]])</f>
        <v>37</v>
      </c>
      <c r="D477" s="2" t="s">
        <v>79</v>
      </c>
      <c r="E477" s="2" t="s">
        <v>80</v>
      </c>
      <c r="F477" s="1" t="s">
        <v>65</v>
      </c>
      <c r="G477" s="1" t="s">
        <v>86</v>
      </c>
      <c r="H477" s="1" t="s">
        <v>82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7" s="2">
        <f>Games[[#This Row],[DaysOff]]-Games[[#This Row],[OppDaysOff]]</f>
        <v>0</v>
      </c>
      <c r="L477" s="2">
        <f>Games[[#This Row],[OppDaysOff]]-Games[[#This Row],[DaysOff]]</f>
        <v>0</v>
      </c>
      <c r="M477" s="1">
        <f>MAX(-16, MIN(16, Games[[#This Row],[RestDiff]]*8))</f>
        <v>0</v>
      </c>
      <c r="N477" s="1">
        <f>MAX(-16, MIN(16, Games[[#This Row],[OppRestDiff]]*8))</f>
        <v>0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1423.8041148103484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1614.0165916814069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0.3517380434413942</v>
      </c>
      <c r="R477" s="1">
        <v>81</v>
      </c>
      <c r="S477" s="1">
        <v>91</v>
      </c>
      <c r="T477" s="1">
        <v>0</v>
      </c>
      <c r="U477" s="1">
        <f>Games[[#This Row],[PointsFor]]-Games[[#This Row],[PointsAgainst]]</f>
        <v>-10</v>
      </c>
      <c r="V477" s="1">
        <f>IF(Games[[#This Row],[MOV]]&gt;0,1,IF(Games[[#This Row],[MOV]]=0,0.5,0))</f>
        <v>0</v>
      </c>
      <c r="W477" s="4">
        <f>((ABS(Games[[#This Row],[MOV]])+5)^0.6)/(12+0.01*(ABS(Games[[#This Row],[PreGmRate]]-Games[[#This Row],[OppPreGmRate]])))*IF(Games[[#This Row],[OT]]=1,0.9,1)</f>
        <v>0.36523599640073923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7" s="9">
        <f>MAX(kmin, kmax - 0.15 * MIN(Games[[#This Row],[GamesPlayed]], 82))</f>
        <v>70.45</v>
      </c>
      <c r="Z477" s="4">
        <f>Games[[#This Row],[K]]*Games[[#This Row],[POMult]]</f>
        <v>70.45</v>
      </c>
      <c r="AA477" s="4">
        <f>(Games[[#This Row],[Keff]]*Games[[#This Row],[MOVMult]])*(Games[[#This Row],[Result]]-Games[[#This Row],[ExpectedWin%]])</f>
        <v>-9.0505279614312517</v>
      </c>
      <c r="AB477" s="4">
        <f>Games[[#This Row],[PreGmRate]]+Games[[#This Row],[RatingChange]]</f>
        <v>1414.7535868489172</v>
      </c>
      <c r="AC477" s="2">
        <f>IF(Games[[#This Row],[Type]]="R",IF(Games[[#This Row],[Result]]&gt;0.5,1,0),0)</f>
        <v>0</v>
      </c>
      <c r="AD477" s="2">
        <f>IF(Games[[#This Row],[Type]]="R",IF(Games[[#This Row],[Result]]&lt;0.5,1,0),0)</f>
        <v>1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0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45893</v>
      </c>
      <c r="B478" s="2">
        <v>2025</v>
      </c>
      <c r="C478" s="2">
        <f>COUNTIFS(Games[Team],Games[[#This Row],[Team]],Games[Season],Games[[#This Row],[Season]],Games[Date],"&lt;=" &amp; Games[[#This Row],[Date]])</f>
        <v>37</v>
      </c>
      <c r="D478" s="2" t="s">
        <v>79</v>
      </c>
      <c r="E478" s="2" t="s">
        <v>80</v>
      </c>
      <c r="F478" s="1" t="s">
        <v>88</v>
      </c>
      <c r="G478" s="1" t="s">
        <v>85</v>
      </c>
      <c r="H478" s="1" t="s">
        <v>81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8" s="2">
        <f>Games[[#This Row],[DaysOff]]-Games[[#This Row],[OppDaysOff]]</f>
        <v>0</v>
      </c>
      <c r="L478" s="2">
        <f>Games[[#This Row],[OppDaysOff]]-Games[[#This Row],[DaysOff]]</f>
        <v>0</v>
      </c>
      <c r="M478" s="1">
        <f>MAX(-16, MIN(16, Games[[#This Row],[RestDiff]]*8))</f>
        <v>0</v>
      </c>
      <c r="N478" s="1">
        <f>MAX(-16, MIN(16, Games[[#This Row],[OppRestDiff]]*8))</f>
        <v>0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1493.6297719579022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1320.8745132736731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0.62502126112495571</v>
      </c>
      <c r="R478" s="1">
        <v>90</v>
      </c>
      <c r="S478" s="1">
        <v>81</v>
      </c>
      <c r="T478" s="1">
        <v>0</v>
      </c>
      <c r="U478" s="1">
        <f>Games[[#This Row],[PointsFor]]-Games[[#This Row],[PointsAgainst]]</f>
        <v>9</v>
      </c>
      <c r="V478" s="1">
        <f>IF(Games[[#This Row],[MOV]]&gt;0,1,IF(Games[[#This Row],[MOV]]=0,0.5,0))</f>
        <v>1</v>
      </c>
      <c r="W478" s="4">
        <f>((ABS(Games[[#This Row],[MOV]])+5)^0.6)/(12+0.01*(ABS(Games[[#This Row],[PreGmRate]]-Games[[#This Row],[OppPreGmRate]])))*IF(Games[[#This Row],[OT]]=1,0.9,1)</f>
        <v>0.35488178209102944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8" s="9">
        <f>MAX(kmin, kmax - 0.15 * MIN(Games[[#This Row],[GamesPlayed]], 82))</f>
        <v>70.45</v>
      </c>
      <c r="Z478" s="4">
        <f>Games[[#This Row],[K]]*Games[[#This Row],[POMult]]</f>
        <v>70.45</v>
      </c>
      <c r="AA478" s="4">
        <f>(Games[[#This Row],[Keff]]*Games[[#This Row],[MOVMult]])*(Games[[#This Row],[Result]]-Games[[#This Row],[ExpectedWin%]])</f>
        <v>9.3750015222697751</v>
      </c>
      <c r="AB478" s="4">
        <f>Games[[#This Row],[PreGmRate]]+Games[[#This Row],[RatingChange]]</f>
        <v>1503.0047734801719</v>
      </c>
      <c r="AC478" s="2">
        <f>IF(Games[[#This Row],[Type]]="R",IF(Games[[#This Row],[Result]]&gt;0.5,1,0),0)</f>
        <v>1</v>
      </c>
      <c r="AD478" s="2">
        <f>IF(Games[[#This Row],[Type]]="R",IF(Games[[#This Row],[Result]]&lt;0.5,1,0),0)</f>
        <v>0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0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0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45893</v>
      </c>
      <c r="B479" s="2">
        <v>2025</v>
      </c>
      <c r="C479" s="2">
        <f>COUNTIFS(Games[Team],Games[[#This Row],[Team]],Games[Season],Games[[#This Row],[Season]],Games[Date],"&lt;=" &amp; Games[[#This Row],[Date]])</f>
        <v>38</v>
      </c>
      <c r="D479" s="2" t="s">
        <v>79</v>
      </c>
      <c r="E479" s="2" t="s">
        <v>80</v>
      </c>
      <c r="F479" s="1" t="s">
        <v>85</v>
      </c>
      <c r="G479" s="1" t="s">
        <v>88</v>
      </c>
      <c r="H479" s="1" t="s">
        <v>82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9" s="2">
        <f>Games[[#This Row],[DaysOff]]-Games[[#This Row],[OppDaysOff]]</f>
        <v>0</v>
      </c>
      <c r="L479" s="2">
        <f>Games[[#This Row],[OppDaysOff]]-Games[[#This Row],[DaysOff]]</f>
        <v>0</v>
      </c>
      <c r="M479" s="1">
        <f>MAX(-16, MIN(16, Games[[#This Row],[RestDiff]]*8))</f>
        <v>0</v>
      </c>
      <c r="N479" s="1">
        <f>MAX(-16, MIN(16, Games[[#This Row],[OppRestDiff]]*8))</f>
        <v>0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1320.8745132736731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1493.6297719579022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0.37497873887504418</v>
      </c>
      <c r="R479" s="1">
        <v>81</v>
      </c>
      <c r="S479" s="1">
        <v>90</v>
      </c>
      <c r="T479" s="1">
        <v>0</v>
      </c>
      <c r="U479" s="1">
        <f>Games[[#This Row],[PointsFor]]-Games[[#This Row],[PointsAgainst]]</f>
        <v>-9</v>
      </c>
      <c r="V479" s="1">
        <f>IF(Games[[#This Row],[MOV]]&gt;0,1,IF(Games[[#This Row],[MOV]]=0,0.5,0))</f>
        <v>0</v>
      </c>
      <c r="W479" s="4">
        <f>((ABS(Games[[#This Row],[MOV]])+5)^0.6)/(12+0.01*(ABS(Games[[#This Row],[PreGmRate]]-Games[[#This Row],[OppPreGmRate]])))*IF(Games[[#This Row],[OT]]=1,0.9,1)</f>
        <v>0.35488178209102944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9" s="9">
        <f>MAX(kmin, kmax - 0.15 * MIN(Games[[#This Row],[GamesPlayed]], 82))</f>
        <v>70.3</v>
      </c>
      <c r="Z479" s="4">
        <f>Games[[#This Row],[K]]*Games[[#This Row],[POMult]]</f>
        <v>70.3</v>
      </c>
      <c r="AA479" s="4">
        <f>(Games[[#This Row],[Keff]]*Games[[#This Row],[MOVMult]])*(Games[[#This Row],[Result]]-Games[[#This Row],[ExpectedWin%]])</f>
        <v>-9.3550405538050381</v>
      </c>
      <c r="AB479" s="4">
        <f>Games[[#This Row],[PreGmRate]]+Games[[#This Row],[RatingChange]]</f>
        <v>1311.519472719868</v>
      </c>
      <c r="AC479" s="2">
        <f>IF(Games[[#This Row],[Type]]="R",IF(Games[[#This Row],[Result]]&gt;0.5,1,0),0)</f>
        <v>0</v>
      </c>
      <c r="AD479" s="2">
        <f>IF(Games[[#This Row],[Type]]="R",IF(Games[[#This Row],[Result]]&lt;0.5,1,0),0)</f>
        <v>1</v>
      </c>
      <c r="AE479" s="2">
        <f>IF(AND(Games[[#This Row],[Type]]="P",Games[[#This Row],[Round]]=1),IF(Games[[#This Row],[Result]]&gt;0.5,1,0),0)</f>
        <v>0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0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45893</v>
      </c>
      <c r="B480" s="2">
        <v>2025</v>
      </c>
      <c r="C480" s="2">
        <f>COUNTIFS(Games[Team],Games[[#This Row],[Team]],Games[Season],Games[[#This Row],[Season]],Games[Date],"&lt;=" &amp; Games[[#This Row],[Date]])</f>
        <v>38</v>
      </c>
      <c r="D480" s="2" t="s">
        <v>79</v>
      </c>
      <c r="E480" s="2" t="s">
        <v>80</v>
      </c>
      <c r="F480" s="1" t="s">
        <v>69</v>
      </c>
      <c r="G480" s="1" t="s">
        <v>67</v>
      </c>
      <c r="H480" s="1" t="s">
        <v>81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0" s="2">
        <f>Games[[#This Row],[DaysOff]]-Games[[#This Row],[OppDaysOff]]</f>
        <v>0</v>
      </c>
      <c r="L480" s="2">
        <f>Games[[#This Row],[OppDaysOff]]-Games[[#This Row],[DaysOff]]</f>
        <v>0</v>
      </c>
      <c r="M480" s="1">
        <f>MAX(-16, MIN(16, Games[[#This Row],[RestDiff]]*8))</f>
        <v>0</v>
      </c>
      <c r="N480" s="1">
        <f>MAX(-16, MIN(16, Games[[#This Row],[OppRestDiff]]*8))</f>
        <v>0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1525.4966332954643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1702.0241400164464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0.18246775346524524</v>
      </c>
      <c r="R480" s="1">
        <v>84</v>
      </c>
      <c r="S480" s="1">
        <v>97</v>
      </c>
      <c r="T480" s="1">
        <v>0</v>
      </c>
      <c r="U480" s="1">
        <f>Games[[#This Row],[PointsFor]]-Games[[#This Row],[PointsAgainst]]</f>
        <v>-13</v>
      </c>
      <c r="V480" s="1">
        <f>IF(Games[[#This Row],[MOV]]&gt;0,1,IF(Games[[#This Row],[MOV]]=0,0.5,0))</f>
        <v>0</v>
      </c>
      <c r="W480" s="4">
        <f>((ABS(Games[[#This Row],[MOV]])+5)^0.6)/(12+0.01*(ABS(Games[[#This Row],[PreGmRate]]-Games[[#This Row],[OppPreGmRate]])))*IF(Games[[#This Row],[OT]]=1,0.9,1)</f>
        <v>0.41150830914108227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0" s="9">
        <f>MAX(kmin, kmax - 0.15 * MIN(Games[[#This Row],[GamesPlayed]], 82))</f>
        <v>70.3</v>
      </c>
      <c r="Z480" s="4">
        <f>Games[[#This Row],[K]]*Games[[#This Row],[POMult]]</f>
        <v>70.3</v>
      </c>
      <c r="AA480" s="4">
        <f>(Games[[#This Row],[Keff]]*Games[[#This Row],[MOVMult]])*(Games[[#This Row],[Result]]-Games[[#This Row],[ExpectedWin%]])</f>
        <v>-5.2786158680982211</v>
      </c>
      <c r="AB480" s="4">
        <f>Games[[#This Row],[PreGmRate]]+Games[[#This Row],[RatingChange]]</f>
        <v>1520.218017427366</v>
      </c>
      <c r="AC480" s="2">
        <f>IF(Games[[#This Row],[Type]]="R",IF(Games[[#This Row],[Result]]&gt;0.5,1,0),0)</f>
        <v>0</v>
      </c>
      <c r="AD480" s="2">
        <f>IF(Games[[#This Row],[Type]]="R",IF(Games[[#This Row],[Result]]&lt;0.5,1,0),0)</f>
        <v>1</v>
      </c>
      <c r="AE480" s="2">
        <f>IF(AND(Games[[#This Row],[Type]]="P",Games[[#This Row],[Round]]=1),IF(Games[[#This Row],[Result]]&gt;0.5,1,0),0)</f>
        <v>0</v>
      </c>
      <c r="AF480" s="2">
        <f>IF(AND(Games[[#This Row],[Type]]="P",Games[[#This Row],[Round]]=1),IF(Games[[#This Row],[Result]]&lt;0.5,1,0),0)</f>
        <v>0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0</v>
      </c>
      <c r="AJ480" s="2">
        <f>IF(AND(Games[[#This Row],[Type]]="P",Games[[#This Row],[Round]]=3),IF(Games[[#This Row],[Result]]&lt;0.5,1,0),0)</f>
        <v>0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45893</v>
      </c>
      <c r="B481" s="2">
        <v>2025</v>
      </c>
      <c r="C481" s="2">
        <f>COUNTIFS(Games[Team],Games[[#This Row],[Team]],Games[Season],Games[[#This Row],[Season]],Games[Date],"&lt;=" &amp; Games[[#This Row],[Date]])</f>
        <v>38</v>
      </c>
      <c r="D481" s="2" t="s">
        <v>79</v>
      </c>
      <c r="E481" s="2" t="s">
        <v>80</v>
      </c>
      <c r="F481" s="1" t="s">
        <v>67</v>
      </c>
      <c r="G481" s="1" t="s">
        <v>69</v>
      </c>
      <c r="H481" s="1" t="s">
        <v>82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1" s="2">
        <f>Games[[#This Row],[DaysOff]]-Games[[#This Row],[OppDaysOff]]</f>
        <v>0</v>
      </c>
      <c r="L481" s="2">
        <f>Games[[#This Row],[OppDaysOff]]-Games[[#This Row],[DaysOff]]</f>
        <v>0</v>
      </c>
      <c r="M481" s="1">
        <f>MAX(-16, MIN(16, Games[[#This Row],[RestDiff]]*8))</f>
        <v>0</v>
      </c>
      <c r="N481" s="1">
        <f>MAX(-16, MIN(16, Games[[#This Row],[OppRestDiff]]*8))</f>
        <v>0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1702.0241400164464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1525.4966332954643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0.81753224653475465</v>
      </c>
      <c r="R481" s="1">
        <v>97</v>
      </c>
      <c r="S481" s="1">
        <v>84</v>
      </c>
      <c r="T481" s="1">
        <v>0</v>
      </c>
      <c r="U481" s="1">
        <f>Games[[#This Row],[PointsFor]]-Games[[#This Row],[PointsAgainst]]</f>
        <v>13</v>
      </c>
      <c r="V481" s="1">
        <f>IF(Games[[#This Row],[MOV]]&gt;0,1,IF(Games[[#This Row],[MOV]]=0,0.5,0))</f>
        <v>1</v>
      </c>
      <c r="W481" s="4">
        <f>((ABS(Games[[#This Row],[MOV]])+5)^0.6)/(12+0.01*(ABS(Games[[#This Row],[PreGmRate]]-Games[[#This Row],[OppPreGmRate]])))*IF(Games[[#This Row],[OT]]=1,0.9,1)</f>
        <v>0.41150830914108227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1" s="9">
        <f>MAX(kmin, kmax - 0.15 * MIN(Games[[#This Row],[GamesPlayed]], 82))</f>
        <v>70.3</v>
      </c>
      <c r="Z481" s="4">
        <f>Games[[#This Row],[K]]*Games[[#This Row],[POMult]]</f>
        <v>70.3</v>
      </c>
      <c r="AA481" s="4">
        <f>(Games[[#This Row],[Keff]]*Games[[#This Row],[MOVMult]])*(Games[[#This Row],[Result]]-Games[[#This Row],[ExpectedWin%]])</f>
        <v>5.2786158680982238</v>
      </c>
      <c r="AB481" s="4">
        <f>Games[[#This Row],[PreGmRate]]+Games[[#This Row],[RatingChange]]</f>
        <v>1707.3027558845447</v>
      </c>
      <c r="AC481" s="2">
        <f>IF(Games[[#This Row],[Type]]="R",IF(Games[[#This Row],[Result]]&gt;0.5,1,0),0)</f>
        <v>1</v>
      </c>
      <c r="AD481" s="2">
        <f>IF(Games[[#This Row],[Type]]="R",IF(Games[[#This Row],[Result]]&lt;0.5,1,0),0)</f>
        <v>0</v>
      </c>
      <c r="AE481" s="2">
        <f>IF(AND(Games[[#This Row],[Type]]="P",Games[[#This Row],[Round]]=1),IF(Games[[#This Row],[Result]]&gt;0.5,1,0),0)</f>
        <v>0</v>
      </c>
      <c r="AF481" s="2">
        <f>IF(AND(Games[[#This Row],[Type]]="P",Games[[#This Row],[Round]]=1),IF(Games[[#This Row],[Result]]&lt;0.5,1,0),0)</f>
        <v>0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0</v>
      </c>
      <c r="AJ481" s="2">
        <f>IF(AND(Games[[#This Row],[Type]]="P",Games[[#This Row],[Round]]=3),IF(Games[[#This Row],[Result]]&lt;0.5,1,0),0)</f>
        <v>0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  <row r="482" spans="1:38" x14ac:dyDescent="0.35">
      <c r="A482" s="10">
        <v>45893</v>
      </c>
      <c r="B482" s="2">
        <v>2025</v>
      </c>
      <c r="C482" s="2">
        <f>COUNTIFS(Games[Team],Games[[#This Row],[Team]],Games[Season],Games[[#This Row],[Season]],Games[Date],"&lt;=" &amp; Games[[#This Row],[Date]])</f>
        <v>38</v>
      </c>
      <c r="D482" s="2" t="s">
        <v>79</v>
      </c>
      <c r="E482" s="2" t="s">
        <v>80</v>
      </c>
      <c r="F482" s="1" t="s">
        <v>71</v>
      </c>
      <c r="G482" s="1" t="s">
        <v>65</v>
      </c>
      <c r="H482" s="1" t="s">
        <v>81</v>
      </c>
      <c r="I482" s="2" cm="1">
        <f t="array" ref="I4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2" s="2" cm="1">
        <f t="array" ref="J4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2" s="2">
        <f>Games[[#This Row],[DaysOff]]-Games[[#This Row],[OppDaysOff]]</f>
        <v>1</v>
      </c>
      <c r="L482" s="2">
        <f>Games[[#This Row],[OppDaysOff]]-Games[[#This Row],[DaysOff]]</f>
        <v>-1</v>
      </c>
      <c r="M482" s="1">
        <f>MAX(-16, MIN(16, Games[[#This Row],[RestDiff]]*8))</f>
        <v>8</v>
      </c>
      <c r="N482" s="1">
        <f>MAX(-16, MIN(16, Games[[#This Row],[OppRestDiff]]*8))</f>
        <v>-8</v>
      </c>
      <c r="O482" s="4" cm="1">
        <f t="array" ref="O4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1515.2419886108514</v>
      </c>
      <c r="P482" s="4" cm="1">
        <f t="array" ref="P4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1414.7535868489172</v>
      </c>
      <c r="Q482" s="4">
        <f>1/(1+10^(((Games[[#This Row],[OppPreGmRate]]+IF(Games[[#This Row],[HomeAway]]="A",HCA,0)+Games[[#This Row],[OppRestAdj]])-(Games[[#This Row],[PreGmRate]]+IF(Games[[#This Row],[HomeAway]]="H",HCA,0)+Games[[#This Row],[RestAdj]]))/400))</f>
        <v>0.54661877010292581</v>
      </c>
      <c r="R482" s="1">
        <v>84</v>
      </c>
      <c r="S482" s="1">
        <v>82</v>
      </c>
      <c r="T482" s="1">
        <v>0</v>
      </c>
      <c r="U482" s="1">
        <f>Games[[#This Row],[PointsFor]]-Games[[#This Row],[PointsAgainst]]</f>
        <v>2</v>
      </c>
      <c r="V482" s="1">
        <f>IF(Games[[#This Row],[MOV]]&gt;0,1,IF(Games[[#This Row],[MOV]]=0,0.5,0))</f>
        <v>1</v>
      </c>
      <c r="W482" s="4">
        <f>((ABS(Games[[#This Row],[MOV]])+5)^0.6)/(12+0.01*(ABS(Games[[#This Row],[PreGmRate]]-Games[[#This Row],[OppPreGmRate]])))*IF(Games[[#This Row],[OT]]=1,0.9,1)</f>
        <v>0.24714529136603608</v>
      </c>
      <c r="X482" s="7" cm="1">
        <f t="array" ref="X4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2" s="9">
        <f>MAX(kmin, kmax - 0.15 * MIN(Games[[#This Row],[GamesPlayed]], 82))</f>
        <v>70.3</v>
      </c>
      <c r="Z482" s="4">
        <f>Games[[#This Row],[K]]*Games[[#This Row],[POMult]]</f>
        <v>70.3</v>
      </c>
      <c r="AA482" s="4">
        <f>(Games[[#This Row],[Keff]]*Games[[#This Row],[MOVMult]])*(Games[[#This Row],[Result]]-Games[[#This Row],[ExpectedWin%]])</f>
        <v>7.8771878422451351</v>
      </c>
      <c r="AB482" s="4">
        <f>Games[[#This Row],[PreGmRate]]+Games[[#This Row],[RatingChange]]</f>
        <v>1523.1191764530965</v>
      </c>
      <c r="AC482" s="2">
        <f>IF(Games[[#This Row],[Type]]="R",IF(Games[[#This Row],[Result]]&gt;0.5,1,0),0)</f>
        <v>1</v>
      </c>
      <c r="AD482" s="2">
        <f>IF(Games[[#This Row],[Type]]="R",IF(Games[[#This Row],[Result]]&lt;0.5,1,0),0)</f>
        <v>0</v>
      </c>
      <c r="AE482" s="2">
        <f>IF(AND(Games[[#This Row],[Type]]="P",Games[[#This Row],[Round]]=1),IF(Games[[#This Row],[Result]]&gt;0.5,1,0),0)</f>
        <v>0</v>
      </c>
      <c r="AF482" s="2">
        <f>IF(AND(Games[[#This Row],[Type]]="P",Games[[#This Row],[Round]]=1),IF(Games[[#This Row],[Result]]&lt;0.5,1,0),0)</f>
        <v>0</v>
      </c>
      <c r="AG482" s="2">
        <f>IF(AND(Games[[#This Row],[Type]]="P",Games[[#This Row],[Round]]=2),IF(Games[[#This Row],[Result]]&gt;0.5,1,0),0)</f>
        <v>0</v>
      </c>
      <c r="AH482" s="2">
        <f>IF(AND(Games[[#This Row],[Type]]="P",Games[[#This Row],[Round]]=2),IF(Games[[#This Row],[Result]]&lt;0.5,1,0),0)</f>
        <v>0</v>
      </c>
      <c r="AI482" s="2">
        <f>IF(AND(Games[[#This Row],[Type]]="P",Games[[#This Row],[Round]]=3),IF(Games[[#This Row],[Result]]&gt;0.5,1,0),0)</f>
        <v>0</v>
      </c>
      <c r="AJ482" s="2">
        <f>IF(AND(Games[[#This Row],[Type]]="P",Games[[#This Row],[Round]]=3),IF(Games[[#This Row],[Result]]&lt;0.5,1,0),0)</f>
        <v>0</v>
      </c>
      <c r="AK482" s="2">
        <f>IF(AND(Games[[#This Row],[Type]]="P",Games[[#This Row],[Round]]=4),IF(Games[[#This Row],[Result]]&gt;0.5,1,0),0)</f>
        <v>0</v>
      </c>
      <c r="AL482" s="2">
        <f>IF(AND(Games[[#This Row],[Type]]="P",Games[[#This Row],[Round]]=4),IF(Games[[#This Row],[Result]]&lt;0.5,1,0),0)</f>
        <v>0</v>
      </c>
    </row>
    <row r="483" spans="1:38" x14ac:dyDescent="0.35">
      <c r="A483" s="10">
        <v>45893</v>
      </c>
      <c r="B483" s="2">
        <v>2025</v>
      </c>
      <c r="C483" s="2">
        <f>COUNTIFS(Games[Team],Games[[#This Row],[Team]],Games[Season],Games[[#This Row],[Season]],Games[Date],"&lt;=" &amp; Games[[#This Row],[Date]])</f>
        <v>38</v>
      </c>
      <c r="D483" s="2" t="s">
        <v>79</v>
      </c>
      <c r="E483" s="2" t="s">
        <v>80</v>
      </c>
      <c r="F483" s="1" t="s">
        <v>65</v>
      </c>
      <c r="G483" s="1" t="s">
        <v>71</v>
      </c>
      <c r="H483" s="1" t="s">
        <v>82</v>
      </c>
      <c r="I483" s="2" cm="1">
        <f t="array" ref="I4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3" s="2" cm="1">
        <f t="array" ref="J4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3" s="2">
        <f>Games[[#This Row],[DaysOff]]-Games[[#This Row],[OppDaysOff]]</f>
        <v>-1</v>
      </c>
      <c r="L483" s="2">
        <f>Games[[#This Row],[OppDaysOff]]-Games[[#This Row],[DaysOff]]</f>
        <v>1</v>
      </c>
      <c r="M483" s="1">
        <f>MAX(-16, MIN(16, Games[[#This Row],[RestDiff]]*8))</f>
        <v>-8</v>
      </c>
      <c r="N483" s="1">
        <f>MAX(-16, MIN(16, Games[[#This Row],[OppRestDiff]]*8))</f>
        <v>8</v>
      </c>
      <c r="O483" s="4" cm="1">
        <f t="array" ref="O4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1414.7535868489172</v>
      </c>
      <c r="P483" s="4" cm="1">
        <f t="array" ref="P4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1515.2419886108514</v>
      </c>
      <c r="Q483" s="4">
        <f>1/(1+10^(((Games[[#This Row],[OppPreGmRate]]+IF(Games[[#This Row],[HomeAway]]="A",HCA,0)+Games[[#This Row],[OppRestAdj]])-(Games[[#This Row],[PreGmRate]]+IF(Games[[#This Row],[HomeAway]]="H",HCA,0)+Games[[#This Row],[RestAdj]]))/400))</f>
        <v>0.45338122989707408</v>
      </c>
      <c r="R483" s="1">
        <v>82</v>
      </c>
      <c r="S483" s="1">
        <v>84</v>
      </c>
      <c r="T483" s="1">
        <v>0</v>
      </c>
      <c r="U483" s="1">
        <f>Games[[#This Row],[PointsFor]]-Games[[#This Row],[PointsAgainst]]</f>
        <v>-2</v>
      </c>
      <c r="V483" s="1">
        <f>IF(Games[[#This Row],[MOV]]&gt;0,1,IF(Games[[#This Row],[MOV]]=0,0.5,0))</f>
        <v>0</v>
      </c>
      <c r="W483" s="4">
        <f>((ABS(Games[[#This Row],[MOV]])+5)^0.6)/(12+0.01*(ABS(Games[[#This Row],[PreGmRate]]-Games[[#This Row],[OppPreGmRate]])))*IF(Games[[#This Row],[OT]]=1,0.9,1)</f>
        <v>0.24714529136603608</v>
      </c>
      <c r="X483" s="7" cm="1">
        <f t="array" ref="X4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3" s="9">
        <f>MAX(kmin, kmax - 0.15 * MIN(Games[[#This Row],[GamesPlayed]], 82))</f>
        <v>70.3</v>
      </c>
      <c r="Z483" s="4">
        <f>Games[[#This Row],[K]]*Games[[#This Row],[POMult]]</f>
        <v>70.3</v>
      </c>
      <c r="AA483" s="4">
        <f>(Games[[#This Row],[Keff]]*Games[[#This Row],[MOVMult]])*(Games[[#This Row],[Result]]-Games[[#This Row],[ExpectedWin%]])</f>
        <v>-7.8771878422451325</v>
      </c>
      <c r="AB483" s="4">
        <f>Games[[#This Row],[PreGmRate]]+Games[[#This Row],[RatingChange]]</f>
        <v>1406.876399006672</v>
      </c>
      <c r="AC483" s="2">
        <f>IF(Games[[#This Row],[Type]]="R",IF(Games[[#This Row],[Result]]&gt;0.5,1,0),0)</f>
        <v>0</v>
      </c>
      <c r="AD483" s="2">
        <f>IF(Games[[#This Row],[Type]]="R",IF(Games[[#This Row],[Result]]&lt;0.5,1,0),0)</f>
        <v>1</v>
      </c>
      <c r="AE483" s="2">
        <f>IF(AND(Games[[#This Row],[Type]]="P",Games[[#This Row],[Round]]=1),IF(Games[[#This Row],[Result]]&gt;0.5,1,0),0)</f>
        <v>0</v>
      </c>
      <c r="AF483" s="2">
        <f>IF(AND(Games[[#This Row],[Type]]="P",Games[[#This Row],[Round]]=1),IF(Games[[#This Row],[Result]]&lt;0.5,1,0),0)</f>
        <v>0</v>
      </c>
      <c r="AG483" s="2">
        <f>IF(AND(Games[[#This Row],[Type]]="P",Games[[#This Row],[Round]]=2),IF(Games[[#This Row],[Result]]&gt;0.5,1,0),0)</f>
        <v>0</v>
      </c>
      <c r="AH483" s="2">
        <f>IF(AND(Games[[#This Row],[Type]]="P",Games[[#This Row],[Round]]=2),IF(Games[[#This Row],[Result]]&lt;0.5,1,0),0)</f>
        <v>0</v>
      </c>
      <c r="AI483" s="2">
        <f>IF(AND(Games[[#This Row],[Type]]="P",Games[[#This Row],[Round]]=3),IF(Games[[#This Row],[Result]]&gt;0.5,1,0),0)</f>
        <v>0</v>
      </c>
      <c r="AJ483" s="2">
        <f>IF(AND(Games[[#This Row],[Type]]="P",Games[[#This Row],[Round]]=3),IF(Games[[#This Row],[Result]]&lt;0.5,1,0),0)</f>
        <v>0</v>
      </c>
      <c r="AK483" s="2">
        <f>IF(AND(Games[[#This Row],[Type]]="P",Games[[#This Row],[Round]]=4),IF(Games[[#This Row],[Result]]&gt;0.5,1,0),0)</f>
        <v>0</v>
      </c>
      <c r="AL483" s="2">
        <f>IF(AND(Games[[#This Row],[Type]]="P",Games[[#This Row],[Round]]=4),IF(Games[[#This Row],[Result]]&lt;0.5,1,0),0)</f>
        <v>0</v>
      </c>
    </row>
    <row r="484" spans="1:38" x14ac:dyDescent="0.35">
      <c r="A484" s="10">
        <v>45894</v>
      </c>
      <c r="B484" s="2">
        <v>2025</v>
      </c>
      <c r="C484" s="2">
        <f>COUNTIFS(Games[Team],Games[[#This Row],[Team]],Games[Season],Games[[#This Row],[Season]],Games[Date],"&lt;=" &amp; Games[[#This Row],[Date]])</f>
        <v>39</v>
      </c>
      <c r="D484" s="2" t="s">
        <v>79</v>
      </c>
      <c r="E484" s="2" t="s">
        <v>80</v>
      </c>
      <c r="F484" s="1" t="s">
        <v>86</v>
      </c>
      <c r="G484" s="1" t="s">
        <v>75</v>
      </c>
      <c r="H484" s="1" t="s">
        <v>81</v>
      </c>
      <c r="I484" s="2" cm="1">
        <f t="array" ref="I4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4" s="2" cm="1">
        <f t="array" ref="J4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4" s="2">
        <f>Games[[#This Row],[DaysOff]]-Games[[#This Row],[OppDaysOff]]</f>
        <v>0</v>
      </c>
      <c r="L484" s="2">
        <f>Games[[#This Row],[OppDaysOff]]-Games[[#This Row],[DaysOff]]</f>
        <v>0</v>
      </c>
      <c r="M484" s="1">
        <f>MAX(-16, MIN(16, Games[[#This Row],[RestDiff]]*8))</f>
        <v>0</v>
      </c>
      <c r="N484" s="1">
        <f>MAX(-16, MIN(16, Games[[#This Row],[OppRestDiff]]*8))</f>
        <v>0</v>
      </c>
      <c r="O484" s="4" cm="1">
        <f t="array" ref="O4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1623.0478495336229</v>
      </c>
      <c r="P484" s="4" cm="1">
        <f t="array" ref="P4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1287.0623588747012</v>
      </c>
      <c r="Q484" s="4">
        <f>1/(1+10^(((Games[[#This Row],[OppPreGmRate]]+IF(Games[[#This Row],[HomeAway]]="A",HCA,0)+Games[[#This Row],[OppRestAdj]])-(Games[[#This Row],[PreGmRate]]+IF(Games[[#This Row],[HomeAway]]="H",HCA,0)+Games[[#This Row],[RestAdj]]))/400))</f>
        <v>0.81008230909055134</v>
      </c>
      <c r="R484" s="1">
        <v>79</v>
      </c>
      <c r="S484" s="1">
        <v>74</v>
      </c>
      <c r="T484" s="1">
        <v>0</v>
      </c>
      <c r="U484" s="1">
        <f>Games[[#This Row],[PointsFor]]-Games[[#This Row],[PointsAgainst]]</f>
        <v>5</v>
      </c>
      <c r="V484" s="1">
        <f>IF(Games[[#This Row],[MOV]]&gt;0,1,IF(Games[[#This Row],[MOV]]=0,0.5,0))</f>
        <v>1</v>
      </c>
      <c r="W484" s="4">
        <f>((ABS(Games[[#This Row],[MOV]])+5)^0.6)/(12+0.01*(ABS(Games[[#This Row],[PreGmRate]]-Games[[#This Row],[OppPreGmRate]])))*IF(Games[[#This Row],[OT]]=1,0.9,1)</f>
        <v>0.25918680415575635</v>
      </c>
      <c r="X484" s="7" cm="1">
        <f t="array" ref="X4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4" s="9">
        <f>MAX(kmin, kmax - 0.15 * MIN(Games[[#This Row],[GamesPlayed]], 82))</f>
        <v>70.150000000000006</v>
      </c>
      <c r="Z484" s="4">
        <f>Games[[#This Row],[K]]*Games[[#This Row],[POMult]]</f>
        <v>70.150000000000006</v>
      </c>
      <c r="AA484" s="4">
        <f>(Games[[#This Row],[Keff]]*Games[[#This Row],[MOVMult]])*(Games[[#This Row],[Result]]-Games[[#This Row],[ExpectedWin%]])</f>
        <v>3.4530747790661707</v>
      </c>
      <c r="AB484" s="4">
        <f>Games[[#This Row],[PreGmRate]]+Games[[#This Row],[RatingChange]]</f>
        <v>1626.500924312689</v>
      </c>
      <c r="AC484" s="2">
        <f>IF(Games[[#This Row],[Type]]="R",IF(Games[[#This Row],[Result]]&gt;0.5,1,0),0)</f>
        <v>1</v>
      </c>
      <c r="AD484" s="2">
        <f>IF(Games[[#This Row],[Type]]="R",IF(Games[[#This Row],[Result]]&lt;0.5,1,0),0)</f>
        <v>0</v>
      </c>
      <c r="AE484" s="2">
        <f>IF(AND(Games[[#This Row],[Type]]="P",Games[[#This Row],[Round]]=1),IF(Games[[#This Row],[Result]]&gt;0.5,1,0),0)</f>
        <v>0</v>
      </c>
      <c r="AF484" s="2">
        <f>IF(AND(Games[[#This Row],[Type]]="P",Games[[#This Row],[Round]]=1),IF(Games[[#This Row],[Result]]&lt;0.5,1,0),0)</f>
        <v>0</v>
      </c>
      <c r="AG484" s="2">
        <f>IF(AND(Games[[#This Row],[Type]]="P",Games[[#This Row],[Round]]=2),IF(Games[[#This Row],[Result]]&gt;0.5,1,0),0)</f>
        <v>0</v>
      </c>
      <c r="AH484" s="2">
        <f>IF(AND(Games[[#This Row],[Type]]="P",Games[[#This Row],[Round]]=2),IF(Games[[#This Row],[Result]]&lt;0.5,1,0),0)</f>
        <v>0</v>
      </c>
      <c r="AI484" s="2">
        <f>IF(AND(Games[[#This Row],[Type]]="P",Games[[#This Row],[Round]]=3),IF(Games[[#This Row],[Result]]&gt;0.5,1,0),0)</f>
        <v>0</v>
      </c>
      <c r="AJ484" s="2">
        <f>IF(AND(Games[[#This Row],[Type]]="P",Games[[#This Row],[Round]]=3),IF(Games[[#This Row],[Result]]&lt;0.5,1,0),0)</f>
        <v>0</v>
      </c>
      <c r="AK484" s="2">
        <f>IF(AND(Games[[#This Row],[Type]]="P",Games[[#This Row],[Round]]=4),IF(Games[[#This Row],[Result]]&gt;0.5,1,0),0)</f>
        <v>0</v>
      </c>
      <c r="AL484" s="2">
        <f>IF(AND(Games[[#This Row],[Type]]="P",Games[[#This Row],[Round]]=4),IF(Games[[#This Row],[Result]]&lt;0.5,1,0),0)</f>
        <v>0</v>
      </c>
    </row>
    <row r="485" spans="1:38" x14ac:dyDescent="0.35">
      <c r="A485" s="10">
        <v>45894</v>
      </c>
      <c r="B485" s="2">
        <v>2025</v>
      </c>
      <c r="C485" s="2">
        <f>COUNTIFS(Games[Team],Games[[#This Row],[Team]],Games[Season],Games[[#This Row],[Season]],Games[Date],"&lt;=" &amp; Games[[#This Row],[Date]])</f>
        <v>37</v>
      </c>
      <c r="D485" s="2" t="s">
        <v>79</v>
      </c>
      <c r="E485" s="2" t="s">
        <v>80</v>
      </c>
      <c r="F485" s="1" t="s">
        <v>75</v>
      </c>
      <c r="G485" s="1" t="s">
        <v>86</v>
      </c>
      <c r="H485" s="1" t="s">
        <v>82</v>
      </c>
      <c r="I485" s="2" cm="1">
        <f t="array" ref="I4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5" s="2" cm="1">
        <f t="array" ref="J4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5" s="2">
        <f>Games[[#This Row],[DaysOff]]-Games[[#This Row],[OppDaysOff]]</f>
        <v>0</v>
      </c>
      <c r="L485" s="2">
        <f>Games[[#This Row],[OppDaysOff]]-Games[[#This Row],[DaysOff]]</f>
        <v>0</v>
      </c>
      <c r="M485" s="1">
        <f>MAX(-16, MIN(16, Games[[#This Row],[RestDiff]]*8))</f>
        <v>0</v>
      </c>
      <c r="N485" s="1">
        <f>MAX(-16, MIN(16, Games[[#This Row],[OppRestDiff]]*8))</f>
        <v>0</v>
      </c>
      <c r="O485" s="4" cm="1">
        <f t="array" ref="O4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1287.0623588747012</v>
      </c>
      <c r="P485" s="4" cm="1">
        <f t="array" ref="P4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1623.0478495336229</v>
      </c>
      <c r="Q485" s="4">
        <f>1/(1+10^(((Games[[#This Row],[OppPreGmRate]]+IF(Games[[#This Row],[HomeAway]]="A",HCA,0)+Games[[#This Row],[OppRestAdj]])-(Games[[#This Row],[PreGmRate]]+IF(Games[[#This Row],[HomeAway]]="H",HCA,0)+Games[[#This Row],[RestAdj]]))/400))</f>
        <v>0.18991769090944874</v>
      </c>
      <c r="R485" s="1">
        <v>74</v>
      </c>
      <c r="S485" s="1">
        <v>79</v>
      </c>
      <c r="T485" s="1">
        <v>0</v>
      </c>
      <c r="U485" s="1">
        <f>Games[[#This Row],[PointsFor]]-Games[[#This Row],[PointsAgainst]]</f>
        <v>-5</v>
      </c>
      <c r="V485" s="1">
        <f>IF(Games[[#This Row],[MOV]]&gt;0,1,IF(Games[[#This Row],[MOV]]=0,0.5,0))</f>
        <v>0</v>
      </c>
      <c r="W485" s="4">
        <f>((ABS(Games[[#This Row],[MOV]])+5)^0.6)/(12+0.01*(ABS(Games[[#This Row],[PreGmRate]]-Games[[#This Row],[OppPreGmRate]])))*IF(Games[[#This Row],[OT]]=1,0.9,1)</f>
        <v>0.25918680415575635</v>
      </c>
      <c r="X485" s="7" cm="1">
        <f t="array" ref="X4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5" s="9">
        <f>MAX(kmin, kmax - 0.15 * MIN(Games[[#This Row],[GamesPlayed]], 82))</f>
        <v>70.45</v>
      </c>
      <c r="Z485" s="4">
        <f>Games[[#This Row],[K]]*Games[[#This Row],[POMult]]</f>
        <v>70.45</v>
      </c>
      <c r="AA485" s="4">
        <f>(Games[[#This Row],[Keff]]*Games[[#This Row],[MOVMult]])*(Games[[#This Row],[Result]]-Games[[#This Row],[ExpectedWin%]])</f>
        <v>-3.4678420268740102</v>
      </c>
      <c r="AB485" s="4">
        <f>Games[[#This Row],[PreGmRate]]+Games[[#This Row],[RatingChange]]</f>
        <v>1283.5945168478272</v>
      </c>
      <c r="AC485" s="2">
        <f>IF(Games[[#This Row],[Type]]="R",IF(Games[[#This Row],[Result]]&gt;0.5,1,0),0)</f>
        <v>0</v>
      </c>
      <c r="AD485" s="2">
        <f>IF(Games[[#This Row],[Type]]="R",IF(Games[[#This Row],[Result]]&lt;0.5,1,0),0)</f>
        <v>1</v>
      </c>
      <c r="AE485" s="2">
        <f>IF(AND(Games[[#This Row],[Type]]="P",Games[[#This Row],[Round]]=1),IF(Games[[#This Row],[Result]]&gt;0.5,1,0),0)</f>
        <v>0</v>
      </c>
      <c r="AF485" s="2">
        <f>IF(AND(Games[[#This Row],[Type]]="P",Games[[#This Row],[Round]]=1),IF(Games[[#This Row],[Result]]&lt;0.5,1,0),0)</f>
        <v>0</v>
      </c>
      <c r="AG485" s="2">
        <f>IF(AND(Games[[#This Row],[Type]]="P",Games[[#This Row],[Round]]=2),IF(Games[[#This Row],[Result]]&gt;0.5,1,0),0)</f>
        <v>0</v>
      </c>
      <c r="AH485" s="2">
        <f>IF(AND(Games[[#This Row],[Type]]="P",Games[[#This Row],[Round]]=2),IF(Games[[#This Row],[Result]]&lt;0.5,1,0),0)</f>
        <v>0</v>
      </c>
      <c r="AI485" s="2">
        <f>IF(AND(Games[[#This Row],[Type]]="P",Games[[#This Row],[Round]]=3),IF(Games[[#This Row],[Result]]&gt;0.5,1,0),0)</f>
        <v>0</v>
      </c>
      <c r="AJ485" s="2">
        <f>IF(AND(Games[[#This Row],[Type]]="P",Games[[#This Row],[Round]]=3),IF(Games[[#This Row],[Result]]&lt;0.5,1,0),0)</f>
        <v>0</v>
      </c>
      <c r="AK485" s="2">
        <f>IF(AND(Games[[#This Row],[Type]]="P",Games[[#This Row],[Round]]=4),IF(Games[[#This Row],[Result]]&gt;0.5,1,0),0)</f>
        <v>0</v>
      </c>
      <c r="AL485" s="2">
        <f>IF(AND(Games[[#This Row],[Type]]="P",Games[[#This Row],[Round]]=4),IF(Games[[#This Row],[Result]]&lt;0.5,1,0),0)</f>
        <v>0</v>
      </c>
    </row>
    <row r="486" spans="1:38" x14ac:dyDescent="0.35">
      <c r="A486" s="10">
        <v>45894</v>
      </c>
      <c r="B486" s="2">
        <v>2025</v>
      </c>
      <c r="C486" s="2">
        <f>COUNTIFS(Games[Team],Games[[#This Row],[Team]],Games[Season],Games[[#This Row],[Season]],Games[Date],"&lt;=" &amp; Games[[#This Row],[Date]])</f>
        <v>37</v>
      </c>
      <c r="D486" s="2" t="s">
        <v>79</v>
      </c>
      <c r="E486" s="2" t="s">
        <v>80</v>
      </c>
      <c r="F486" s="1" t="s">
        <v>74</v>
      </c>
      <c r="G486" s="1" t="s">
        <v>60</v>
      </c>
      <c r="H486" s="1" t="s">
        <v>81</v>
      </c>
      <c r="I486" s="2" cm="1">
        <f t="array" ref="I4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6" s="2" cm="1">
        <f t="array" ref="J4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6" s="2">
        <f>Games[[#This Row],[DaysOff]]-Games[[#This Row],[OppDaysOff]]</f>
        <v>0</v>
      </c>
      <c r="L486" s="2">
        <f>Games[[#This Row],[OppDaysOff]]-Games[[#This Row],[DaysOff]]</f>
        <v>0</v>
      </c>
      <c r="M486" s="1">
        <f>MAX(-16, MIN(16, Games[[#This Row],[RestDiff]]*8))</f>
        <v>0</v>
      </c>
      <c r="N486" s="1">
        <f>MAX(-16, MIN(16, Games[[#This Row],[OppRestDiff]]*8))</f>
        <v>0</v>
      </c>
      <c r="O486" s="4" cm="1">
        <f t="array" ref="O4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1388.1224823404561</v>
      </c>
      <c r="P486" s="4" cm="1">
        <f t="array" ref="P4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1574.0283826761497</v>
      </c>
      <c r="Q486" s="4">
        <f>1/(1+10^(((Games[[#This Row],[OppPreGmRate]]+IF(Games[[#This Row],[HomeAway]]="A",HCA,0)+Games[[#This Row],[OppRestAdj]])-(Games[[#This Row],[PreGmRate]]+IF(Games[[#This Row],[HomeAway]]="H",HCA,0)+Games[[#This Row],[RestAdj]]))/400))</f>
        <v>0.17455204627526238</v>
      </c>
      <c r="R486" s="1">
        <v>79</v>
      </c>
      <c r="S486" s="1">
        <v>81</v>
      </c>
      <c r="T486" s="1">
        <v>0</v>
      </c>
      <c r="U486" s="1">
        <f>Games[[#This Row],[PointsFor]]-Games[[#This Row],[PointsAgainst]]</f>
        <v>-2</v>
      </c>
      <c r="V486" s="1">
        <f>IF(Games[[#This Row],[MOV]]&gt;0,1,IF(Games[[#This Row],[MOV]]=0,0.5,0))</f>
        <v>0</v>
      </c>
      <c r="W486" s="4">
        <f>((ABS(Games[[#This Row],[MOV]])+5)^0.6)/(12+0.01*(ABS(Games[[#This Row],[PreGmRate]]-Games[[#This Row],[OppPreGmRate]])))*IF(Games[[#This Row],[OT]]=1,0.9,1)</f>
        <v>0.23191299271743637</v>
      </c>
      <c r="X486" s="7" cm="1">
        <f t="array" ref="X4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6" s="9">
        <f>MAX(kmin, kmax - 0.15 * MIN(Games[[#This Row],[GamesPlayed]], 82))</f>
        <v>70.45</v>
      </c>
      <c r="Z486" s="4">
        <f>Games[[#This Row],[K]]*Games[[#This Row],[POMult]]</f>
        <v>70.45</v>
      </c>
      <c r="AA486" s="4">
        <f>(Games[[#This Row],[Keff]]*Games[[#This Row],[MOVMult]])*(Games[[#This Row],[Result]]-Games[[#This Row],[ExpectedWin%]])</f>
        <v>-2.8518785199118897</v>
      </c>
      <c r="AB486" s="4">
        <f>Games[[#This Row],[PreGmRate]]+Games[[#This Row],[RatingChange]]</f>
        <v>1385.2706038205442</v>
      </c>
      <c r="AC486" s="2">
        <f>IF(Games[[#This Row],[Type]]="R",IF(Games[[#This Row],[Result]]&gt;0.5,1,0),0)</f>
        <v>0</v>
      </c>
      <c r="AD486" s="2">
        <f>IF(Games[[#This Row],[Type]]="R",IF(Games[[#This Row],[Result]]&lt;0.5,1,0),0)</f>
        <v>1</v>
      </c>
      <c r="AE486" s="2">
        <f>IF(AND(Games[[#This Row],[Type]]="P",Games[[#This Row],[Round]]=1),IF(Games[[#This Row],[Result]]&gt;0.5,1,0),0)</f>
        <v>0</v>
      </c>
      <c r="AF486" s="2">
        <f>IF(AND(Games[[#This Row],[Type]]="P",Games[[#This Row],[Round]]=1),IF(Games[[#This Row],[Result]]&lt;0.5,1,0),0)</f>
        <v>0</v>
      </c>
      <c r="AG486" s="2">
        <f>IF(AND(Games[[#This Row],[Type]]="P",Games[[#This Row],[Round]]=2),IF(Games[[#This Row],[Result]]&gt;0.5,1,0),0)</f>
        <v>0</v>
      </c>
      <c r="AH486" s="2">
        <f>IF(AND(Games[[#This Row],[Type]]="P",Games[[#This Row],[Round]]=2),IF(Games[[#This Row],[Result]]&lt;0.5,1,0),0)</f>
        <v>0</v>
      </c>
      <c r="AI486" s="2">
        <f>IF(AND(Games[[#This Row],[Type]]="P",Games[[#This Row],[Round]]=3),IF(Games[[#This Row],[Result]]&gt;0.5,1,0),0)</f>
        <v>0</v>
      </c>
      <c r="AJ486" s="2">
        <f>IF(AND(Games[[#This Row],[Type]]="P",Games[[#This Row],[Round]]=3),IF(Games[[#This Row],[Result]]&lt;0.5,1,0),0)</f>
        <v>0</v>
      </c>
      <c r="AK486" s="2">
        <f>IF(AND(Games[[#This Row],[Type]]="P",Games[[#This Row],[Round]]=4),IF(Games[[#This Row],[Result]]&gt;0.5,1,0),0)</f>
        <v>0</v>
      </c>
      <c r="AL486" s="2">
        <f>IF(AND(Games[[#This Row],[Type]]="P",Games[[#This Row],[Round]]=4),IF(Games[[#This Row],[Result]]&lt;0.5,1,0),0)</f>
        <v>0</v>
      </c>
    </row>
    <row r="487" spans="1:38" x14ac:dyDescent="0.35">
      <c r="A487" s="10">
        <v>45894</v>
      </c>
      <c r="B487" s="2">
        <v>2025</v>
      </c>
      <c r="C487" s="2">
        <f>COUNTIFS(Games[Team],Games[[#This Row],[Team]],Games[Season],Games[[#This Row],[Season]],Games[Date],"&lt;=" &amp; Games[[#This Row],[Date]])</f>
        <v>38</v>
      </c>
      <c r="D487" s="2" t="s">
        <v>79</v>
      </c>
      <c r="E487" s="2" t="s">
        <v>80</v>
      </c>
      <c r="F487" s="1" t="s">
        <v>60</v>
      </c>
      <c r="G487" s="1" t="s">
        <v>74</v>
      </c>
      <c r="H487" s="1" t="s">
        <v>82</v>
      </c>
      <c r="I487" s="2" cm="1">
        <f t="array" ref="I4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7" s="2" cm="1">
        <f t="array" ref="J4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7" s="2">
        <f>Games[[#This Row],[DaysOff]]-Games[[#This Row],[OppDaysOff]]</f>
        <v>0</v>
      </c>
      <c r="L487" s="2">
        <f>Games[[#This Row],[OppDaysOff]]-Games[[#This Row],[DaysOff]]</f>
        <v>0</v>
      </c>
      <c r="M487" s="1">
        <f>MAX(-16, MIN(16, Games[[#This Row],[RestDiff]]*8))</f>
        <v>0</v>
      </c>
      <c r="N487" s="1">
        <f>MAX(-16, MIN(16, Games[[#This Row],[OppRestDiff]]*8))</f>
        <v>0</v>
      </c>
      <c r="O487" s="4" cm="1">
        <f t="array" ref="O4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1574.0283826761497</v>
      </c>
      <c r="P487" s="4" cm="1">
        <f t="array" ref="P4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1388.1224823404561</v>
      </c>
      <c r="Q487" s="4">
        <f>1/(1+10^(((Games[[#This Row],[OppPreGmRate]]+IF(Games[[#This Row],[HomeAway]]="A",HCA,0)+Games[[#This Row],[OppRestAdj]])-(Games[[#This Row],[PreGmRate]]+IF(Games[[#This Row],[HomeAway]]="H",HCA,0)+Games[[#This Row],[RestAdj]]))/400))</f>
        <v>0.82544795372473756</v>
      </c>
      <c r="R487" s="1">
        <v>81</v>
      </c>
      <c r="S487" s="1">
        <v>79</v>
      </c>
      <c r="T487" s="1">
        <v>0</v>
      </c>
      <c r="U487" s="1">
        <f>Games[[#This Row],[PointsFor]]-Games[[#This Row],[PointsAgainst]]</f>
        <v>2</v>
      </c>
      <c r="V487" s="1">
        <f>IF(Games[[#This Row],[MOV]]&gt;0,1,IF(Games[[#This Row],[MOV]]=0,0.5,0))</f>
        <v>1</v>
      </c>
      <c r="W487" s="4">
        <f>((ABS(Games[[#This Row],[MOV]])+5)^0.6)/(12+0.01*(ABS(Games[[#This Row],[PreGmRate]]-Games[[#This Row],[OppPreGmRate]])))*IF(Games[[#This Row],[OT]]=1,0.9,1)</f>
        <v>0.23191299271743637</v>
      </c>
      <c r="X487" s="7" cm="1">
        <f t="array" ref="X4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7" s="9">
        <f>MAX(kmin, kmax - 0.15 * MIN(Games[[#This Row],[GamesPlayed]], 82))</f>
        <v>70.3</v>
      </c>
      <c r="Z487" s="4">
        <f>Games[[#This Row],[K]]*Games[[#This Row],[POMult]]</f>
        <v>70.3</v>
      </c>
      <c r="AA487" s="4">
        <f>(Games[[#This Row],[Keff]]*Games[[#This Row],[MOVMult]])*(Games[[#This Row],[Result]]-Games[[#This Row],[ExpectedWin%]])</f>
        <v>2.8458063867963932</v>
      </c>
      <c r="AB487" s="4">
        <f>Games[[#This Row],[PreGmRate]]+Games[[#This Row],[RatingChange]]</f>
        <v>1576.874189062946</v>
      </c>
      <c r="AC487" s="2">
        <f>IF(Games[[#This Row],[Type]]="R",IF(Games[[#This Row],[Result]]&gt;0.5,1,0),0)</f>
        <v>1</v>
      </c>
      <c r="AD487" s="2">
        <f>IF(Games[[#This Row],[Type]]="R",IF(Games[[#This Row],[Result]]&lt;0.5,1,0),0)</f>
        <v>0</v>
      </c>
      <c r="AE487" s="2">
        <f>IF(AND(Games[[#This Row],[Type]]="P",Games[[#This Row],[Round]]=1),IF(Games[[#This Row],[Result]]&gt;0.5,1,0),0)</f>
        <v>0</v>
      </c>
      <c r="AF487" s="2">
        <f>IF(AND(Games[[#This Row],[Type]]="P",Games[[#This Row],[Round]]=1),IF(Games[[#This Row],[Result]]&lt;0.5,1,0),0)</f>
        <v>0</v>
      </c>
      <c r="AG487" s="2">
        <f>IF(AND(Games[[#This Row],[Type]]="P",Games[[#This Row],[Round]]=2),IF(Games[[#This Row],[Result]]&gt;0.5,1,0),0)</f>
        <v>0</v>
      </c>
      <c r="AH487" s="2">
        <f>IF(AND(Games[[#This Row],[Type]]="P",Games[[#This Row],[Round]]=2),IF(Games[[#This Row],[Result]]&lt;0.5,1,0),0)</f>
        <v>0</v>
      </c>
      <c r="AI487" s="2">
        <f>IF(AND(Games[[#This Row],[Type]]="P",Games[[#This Row],[Round]]=3),IF(Games[[#This Row],[Result]]&gt;0.5,1,0),0)</f>
        <v>0</v>
      </c>
      <c r="AJ487" s="2">
        <f>IF(AND(Games[[#This Row],[Type]]="P",Games[[#This Row],[Round]]=3),IF(Games[[#This Row],[Result]]&lt;0.5,1,0),0)</f>
        <v>0</v>
      </c>
      <c r="AK487" s="2">
        <f>IF(AND(Games[[#This Row],[Type]]="P",Games[[#This Row],[Round]]=4),IF(Games[[#This Row],[Result]]&gt;0.5,1,0),0)</f>
        <v>0</v>
      </c>
      <c r="AL487" s="2">
        <f>IF(AND(Games[[#This Row],[Type]]="P",Games[[#This Row],[Round]]=4),IF(Games[[#This Row],[Result]]&lt;0.5,1,0),0)</f>
        <v>0</v>
      </c>
    </row>
    <row r="488" spans="1:38" x14ac:dyDescent="0.35">
      <c r="A488" s="10">
        <v>45895</v>
      </c>
      <c r="B488" s="2">
        <v>2025</v>
      </c>
      <c r="C488" s="2">
        <f>COUNTIFS(Games[Team],Games[[#This Row],[Team]],Games[Season],Games[[#This Row],[Season]],Games[Date],"&lt;=" &amp; Games[[#This Row],[Date]])</f>
        <v>39</v>
      </c>
      <c r="D488" s="2" t="s">
        <v>79</v>
      </c>
      <c r="E488" s="2" t="s">
        <v>80</v>
      </c>
      <c r="F488" s="1" t="s">
        <v>71</v>
      </c>
      <c r="G488" s="1" t="s">
        <v>69</v>
      </c>
      <c r="H488" s="1" t="s">
        <v>81</v>
      </c>
      <c r="I488" s="2" cm="1">
        <f t="array" ref="I4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8" s="2" cm="1">
        <f t="array" ref="J4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8" s="2">
        <f>Games[[#This Row],[DaysOff]]-Games[[#This Row],[OppDaysOff]]</f>
        <v>0</v>
      </c>
      <c r="L488" s="2">
        <f>Games[[#This Row],[OppDaysOff]]-Games[[#This Row],[DaysOff]]</f>
        <v>0</v>
      </c>
      <c r="M488" s="1">
        <f>MAX(-16, MIN(16, Games[[#This Row],[RestDiff]]*8))</f>
        <v>0</v>
      </c>
      <c r="N488" s="1">
        <f>MAX(-16, MIN(16, Games[[#This Row],[OppRestDiff]]*8))</f>
        <v>0</v>
      </c>
      <c r="O488" s="4" cm="1">
        <f t="array" ref="O4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1523.1191764530965</v>
      </c>
      <c r="P488" s="4" cm="1">
        <f t="array" ref="P4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1520.218017427366</v>
      </c>
      <c r="Q488" s="4">
        <f>1/(1+10^(((Games[[#This Row],[OppPreGmRate]]+IF(Games[[#This Row],[HomeAway]]="A",HCA,0)+Games[[#This Row],[OppRestAdj]])-(Games[[#This Row],[PreGmRate]]+IF(Games[[#This Row],[HomeAway]]="H",HCA,0)+Games[[#This Row],[RestAdj]]))/400))</f>
        <v>0.38536386375301768</v>
      </c>
      <c r="R488" s="1">
        <v>75</v>
      </c>
      <c r="S488" s="1">
        <v>95</v>
      </c>
      <c r="T488" s="1">
        <v>0</v>
      </c>
      <c r="U488" s="1">
        <f>Games[[#This Row],[PointsFor]]-Games[[#This Row],[PointsAgainst]]</f>
        <v>-20</v>
      </c>
      <c r="V488" s="1">
        <f>IF(Games[[#This Row],[MOV]]&gt;0,1,IF(Games[[#This Row],[MOV]]=0,0.5,0))</f>
        <v>0</v>
      </c>
      <c r="W488" s="4">
        <f>((ABS(Games[[#This Row],[MOV]])+5)^0.6)/(12+0.01*(ABS(Games[[#This Row],[PreGmRate]]-Games[[#This Row],[OppPreGmRate]])))*IF(Games[[#This Row],[OT]]=1,0.9,1)</f>
        <v>0.57350084464907458</v>
      </c>
      <c r="X488" s="7" cm="1">
        <f t="array" ref="X4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8" s="9">
        <f>MAX(kmin, kmax - 0.15 * MIN(Games[[#This Row],[GamesPlayed]], 82))</f>
        <v>70.150000000000006</v>
      </c>
      <c r="Z488" s="4">
        <f>Games[[#This Row],[K]]*Games[[#This Row],[POMult]]</f>
        <v>70.150000000000006</v>
      </c>
      <c r="AA488" s="4">
        <f>(Games[[#This Row],[Keff]]*Games[[#This Row],[MOVMult]])*(Games[[#This Row],[Result]]-Games[[#This Row],[ExpectedWin%]])</f>
        <v>-15.503606070374996</v>
      </c>
      <c r="AB488" s="4">
        <f>Games[[#This Row],[PreGmRate]]+Games[[#This Row],[RatingChange]]</f>
        <v>1507.6155703827214</v>
      </c>
      <c r="AC488" s="2">
        <f>IF(Games[[#This Row],[Type]]="R",IF(Games[[#This Row],[Result]]&gt;0.5,1,0),0)</f>
        <v>0</v>
      </c>
      <c r="AD488" s="2">
        <f>IF(Games[[#This Row],[Type]]="R",IF(Games[[#This Row],[Result]]&lt;0.5,1,0),0)</f>
        <v>1</v>
      </c>
      <c r="AE488" s="2">
        <f>IF(AND(Games[[#This Row],[Type]]="P",Games[[#This Row],[Round]]=1),IF(Games[[#This Row],[Result]]&gt;0.5,1,0),0)</f>
        <v>0</v>
      </c>
      <c r="AF488" s="2">
        <f>IF(AND(Games[[#This Row],[Type]]="P",Games[[#This Row],[Round]]=1),IF(Games[[#This Row],[Result]]&lt;0.5,1,0),0)</f>
        <v>0</v>
      </c>
      <c r="AG488" s="2">
        <f>IF(AND(Games[[#This Row],[Type]]="P",Games[[#This Row],[Round]]=2),IF(Games[[#This Row],[Result]]&gt;0.5,1,0),0)</f>
        <v>0</v>
      </c>
      <c r="AH488" s="2">
        <f>IF(AND(Games[[#This Row],[Type]]="P",Games[[#This Row],[Round]]=2),IF(Games[[#This Row],[Result]]&lt;0.5,1,0),0)</f>
        <v>0</v>
      </c>
      <c r="AI488" s="2">
        <f>IF(AND(Games[[#This Row],[Type]]="P",Games[[#This Row],[Round]]=3),IF(Games[[#This Row],[Result]]&gt;0.5,1,0),0)</f>
        <v>0</v>
      </c>
      <c r="AJ488" s="2">
        <f>IF(AND(Games[[#This Row],[Type]]="P",Games[[#This Row],[Round]]=3),IF(Games[[#This Row],[Result]]&lt;0.5,1,0),0)</f>
        <v>0</v>
      </c>
      <c r="AK488" s="2">
        <f>IF(AND(Games[[#This Row],[Type]]="P",Games[[#This Row],[Round]]=4),IF(Games[[#This Row],[Result]]&gt;0.5,1,0),0)</f>
        <v>0</v>
      </c>
      <c r="AL488" s="2">
        <f>IF(AND(Games[[#This Row],[Type]]="P",Games[[#This Row],[Round]]=4),IF(Games[[#This Row],[Result]]&lt;0.5,1,0),0)</f>
        <v>0</v>
      </c>
    </row>
    <row r="489" spans="1:38" x14ac:dyDescent="0.35">
      <c r="A489" s="10">
        <v>45895</v>
      </c>
      <c r="B489" s="2">
        <v>2025</v>
      </c>
      <c r="C489" s="2">
        <f>COUNTIFS(Games[Team],Games[[#This Row],[Team]],Games[Season],Games[[#This Row],[Season]],Games[Date],"&lt;=" &amp; Games[[#This Row],[Date]])</f>
        <v>39</v>
      </c>
      <c r="D489" s="2" t="s">
        <v>79</v>
      </c>
      <c r="E489" s="2" t="s">
        <v>80</v>
      </c>
      <c r="F489" s="1" t="s">
        <v>69</v>
      </c>
      <c r="G489" s="1" t="s">
        <v>71</v>
      </c>
      <c r="H489" s="1" t="s">
        <v>82</v>
      </c>
      <c r="I489" s="2" cm="1">
        <f t="array" ref="I4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9" s="2" cm="1">
        <f t="array" ref="J4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9" s="2">
        <f>Games[[#This Row],[DaysOff]]-Games[[#This Row],[OppDaysOff]]</f>
        <v>0</v>
      </c>
      <c r="L489" s="2">
        <f>Games[[#This Row],[OppDaysOff]]-Games[[#This Row],[DaysOff]]</f>
        <v>0</v>
      </c>
      <c r="M489" s="1">
        <f>MAX(-16, MIN(16, Games[[#This Row],[RestDiff]]*8))</f>
        <v>0</v>
      </c>
      <c r="N489" s="1">
        <f>MAX(-16, MIN(16, Games[[#This Row],[OppRestDiff]]*8))</f>
        <v>0</v>
      </c>
      <c r="O489" s="4" cm="1">
        <f t="array" ref="O4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1520.218017427366</v>
      </c>
      <c r="P489" s="4" cm="1">
        <f t="array" ref="P4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1523.1191764530965</v>
      </c>
      <c r="Q489" s="4">
        <f>1/(1+10^(((Games[[#This Row],[OppPreGmRate]]+IF(Games[[#This Row],[HomeAway]]="A",HCA,0)+Games[[#This Row],[OppRestAdj]])-(Games[[#This Row],[PreGmRate]]+IF(Games[[#This Row],[HomeAway]]="H",HCA,0)+Games[[#This Row],[RestAdj]]))/400))</f>
        <v>0.61463613624698221</v>
      </c>
      <c r="R489" s="1">
        <v>95</v>
      </c>
      <c r="S489" s="1">
        <v>75</v>
      </c>
      <c r="T489" s="1">
        <v>0</v>
      </c>
      <c r="U489" s="1">
        <f>Games[[#This Row],[PointsFor]]-Games[[#This Row],[PointsAgainst]]</f>
        <v>20</v>
      </c>
      <c r="V489" s="1">
        <f>IF(Games[[#This Row],[MOV]]&gt;0,1,IF(Games[[#This Row],[MOV]]=0,0.5,0))</f>
        <v>1</v>
      </c>
      <c r="W489" s="4">
        <f>((ABS(Games[[#This Row],[MOV]])+5)^0.6)/(12+0.01*(ABS(Games[[#This Row],[PreGmRate]]-Games[[#This Row],[OppPreGmRate]])))*IF(Games[[#This Row],[OT]]=1,0.9,1)</f>
        <v>0.57350084464907458</v>
      </c>
      <c r="X489" s="7" cm="1">
        <f t="array" ref="X4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9" s="9">
        <f>MAX(kmin, kmax - 0.15 * MIN(Games[[#This Row],[GamesPlayed]], 82))</f>
        <v>70.150000000000006</v>
      </c>
      <c r="Z489" s="4">
        <f>Games[[#This Row],[K]]*Games[[#This Row],[POMult]]</f>
        <v>70.150000000000006</v>
      </c>
      <c r="AA489" s="4">
        <f>(Games[[#This Row],[Keff]]*Games[[#This Row],[MOVMult]])*(Games[[#This Row],[Result]]-Games[[#This Row],[ExpectedWin%]])</f>
        <v>15.503606070375</v>
      </c>
      <c r="AB489" s="4">
        <f>Games[[#This Row],[PreGmRate]]+Games[[#This Row],[RatingChange]]</f>
        <v>1535.7216234977411</v>
      </c>
      <c r="AC489" s="2">
        <f>IF(Games[[#This Row],[Type]]="R",IF(Games[[#This Row],[Result]]&gt;0.5,1,0),0)</f>
        <v>1</v>
      </c>
      <c r="AD489" s="2">
        <f>IF(Games[[#This Row],[Type]]="R",IF(Games[[#This Row],[Result]]&lt;0.5,1,0),0)</f>
        <v>0</v>
      </c>
      <c r="AE489" s="2">
        <f>IF(AND(Games[[#This Row],[Type]]="P",Games[[#This Row],[Round]]=1),IF(Games[[#This Row],[Result]]&gt;0.5,1,0),0)</f>
        <v>0</v>
      </c>
      <c r="AF489" s="2">
        <f>IF(AND(Games[[#This Row],[Type]]="P",Games[[#This Row],[Round]]=1),IF(Games[[#This Row],[Result]]&lt;0.5,1,0),0)</f>
        <v>0</v>
      </c>
      <c r="AG489" s="2">
        <f>IF(AND(Games[[#This Row],[Type]]="P",Games[[#This Row],[Round]]=2),IF(Games[[#This Row],[Result]]&gt;0.5,1,0),0)</f>
        <v>0</v>
      </c>
      <c r="AH489" s="2">
        <f>IF(AND(Games[[#This Row],[Type]]="P",Games[[#This Row],[Round]]=2),IF(Games[[#This Row],[Result]]&lt;0.5,1,0),0)</f>
        <v>0</v>
      </c>
      <c r="AI489" s="2">
        <f>IF(AND(Games[[#This Row],[Type]]="P",Games[[#This Row],[Round]]=3),IF(Games[[#This Row],[Result]]&gt;0.5,1,0),0)</f>
        <v>0</v>
      </c>
      <c r="AJ489" s="2">
        <f>IF(AND(Games[[#This Row],[Type]]="P",Games[[#This Row],[Round]]=3),IF(Games[[#This Row],[Result]]&lt;0.5,1,0),0)</f>
        <v>0</v>
      </c>
      <c r="AK489" s="2">
        <f>IF(AND(Games[[#This Row],[Type]]="P",Games[[#This Row],[Round]]=4),IF(Games[[#This Row],[Result]]&gt;0.5,1,0),0)</f>
        <v>0</v>
      </c>
      <c r="AL489" s="2">
        <f>IF(AND(Games[[#This Row],[Type]]="P",Games[[#This Row],[Round]]=4),IF(Games[[#This Row],[Result]]&lt;0.5,1,0),0)</f>
        <v>0</v>
      </c>
    </row>
    <row r="490" spans="1:38" x14ac:dyDescent="0.35">
      <c r="A490" s="10">
        <v>45895</v>
      </c>
      <c r="B490" s="2">
        <v>2025</v>
      </c>
      <c r="C490" s="2">
        <f>COUNTIFS(Games[Team],Games[[#This Row],[Team]],Games[Season],Games[[#This Row],[Season]],Games[Date],"&lt;=" &amp; Games[[#This Row],[Date]])</f>
        <v>37</v>
      </c>
      <c r="D490" s="2" t="s">
        <v>79</v>
      </c>
      <c r="E490" s="2" t="s">
        <v>80</v>
      </c>
      <c r="F490" s="1" t="s">
        <v>40</v>
      </c>
      <c r="G490" s="1" t="s">
        <v>63</v>
      </c>
      <c r="H490" s="1" t="s">
        <v>81</v>
      </c>
      <c r="I490" s="2" cm="1">
        <f t="array" ref="I49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0" s="2" cm="1">
        <f t="array" ref="J49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90" s="2">
        <f>Games[[#This Row],[DaysOff]]-Games[[#This Row],[OppDaysOff]]</f>
        <v>-2</v>
      </c>
      <c r="L490" s="2">
        <f>Games[[#This Row],[OppDaysOff]]-Games[[#This Row],[DaysOff]]</f>
        <v>2</v>
      </c>
      <c r="M490" s="1">
        <f>MAX(-16, MIN(16, Games[[#This Row],[RestDiff]]*8))</f>
        <v>-16</v>
      </c>
      <c r="N490" s="1">
        <f>MAX(-16, MIN(16, Games[[#This Row],[OppRestDiff]]*8))</f>
        <v>16</v>
      </c>
      <c r="O490" s="4" cm="1">
        <f t="array" ref="O4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1559.8172594627708</v>
      </c>
      <c r="P490" s="4" cm="1">
        <f t="array" ref="P4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1456.8145249864137</v>
      </c>
      <c r="Q490" s="4">
        <f>1/(1+10^(((Games[[#This Row],[OppPreGmRate]]+IF(Games[[#This Row],[HomeAway]]="A",HCA,0)+Games[[#This Row],[OppRestAdj]])-(Games[[#This Row],[PreGmRate]]+IF(Games[[#This Row],[HomeAway]]="H",HCA,0)+Games[[#This Row],[RestAdj]]))/400))</f>
        <v>0.48130415179510017</v>
      </c>
      <c r="R490" s="1">
        <v>92</v>
      </c>
      <c r="S490" s="1">
        <v>84</v>
      </c>
      <c r="T490" s="1">
        <v>0</v>
      </c>
      <c r="U490" s="1">
        <f>Games[[#This Row],[PointsFor]]-Games[[#This Row],[PointsAgainst]]</f>
        <v>8</v>
      </c>
      <c r="V490" s="1">
        <f>IF(Games[[#This Row],[MOV]]&gt;0,1,IF(Games[[#This Row],[MOV]]=0,0.5,0))</f>
        <v>1</v>
      </c>
      <c r="W490" s="4">
        <f>((ABS(Games[[#This Row],[MOV]])+5)^0.6)/(12+0.01*(ABS(Games[[#This Row],[PreGmRate]]-Games[[#This Row],[OppPreGmRate]])))*IF(Games[[#This Row],[OT]]=1,0.9,1)</f>
        <v>0.35761908219699268</v>
      </c>
      <c r="X490" s="7" cm="1">
        <f t="array" ref="X4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0" s="9">
        <f>MAX(kmin, kmax - 0.15 * MIN(Games[[#This Row],[GamesPlayed]], 82))</f>
        <v>70.45</v>
      </c>
      <c r="Z490" s="4">
        <f>Games[[#This Row],[K]]*Games[[#This Row],[POMult]]</f>
        <v>70.45</v>
      </c>
      <c r="AA490" s="4">
        <f>(Games[[#This Row],[Keff]]*Games[[#This Row],[MOVMult]])*(Games[[#This Row],[Result]]-Games[[#This Row],[ExpectedWin%]])</f>
        <v>13.068160312138376</v>
      </c>
      <c r="AB490" s="4">
        <f>Games[[#This Row],[PreGmRate]]+Games[[#This Row],[RatingChange]]</f>
        <v>1572.8854197749092</v>
      </c>
      <c r="AC490" s="2">
        <f>IF(Games[[#This Row],[Type]]="R",IF(Games[[#This Row],[Result]]&gt;0.5,1,0),0)</f>
        <v>1</v>
      </c>
      <c r="AD490" s="2">
        <f>IF(Games[[#This Row],[Type]]="R",IF(Games[[#This Row],[Result]]&lt;0.5,1,0),0)</f>
        <v>0</v>
      </c>
      <c r="AE490" s="2">
        <f>IF(AND(Games[[#This Row],[Type]]="P",Games[[#This Row],[Round]]=1),IF(Games[[#This Row],[Result]]&gt;0.5,1,0),0)</f>
        <v>0</v>
      </c>
      <c r="AF490" s="2">
        <f>IF(AND(Games[[#This Row],[Type]]="P",Games[[#This Row],[Round]]=1),IF(Games[[#This Row],[Result]]&lt;0.5,1,0),0)</f>
        <v>0</v>
      </c>
      <c r="AG490" s="2">
        <f>IF(AND(Games[[#This Row],[Type]]="P",Games[[#This Row],[Round]]=2),IF(Games[[#This Row],[Result]]&gt;0.5,1,0),0)</f>
        <v>0</v>
      </c>
      <c r="AH490" s="2">
        <f>IF(AND(Games[[#This Row],[Type]]="P",Games[[#This Row],[Round]]=2),IF(Games[[#This Row],[Result]]&lt;0.5,1,0),0)</f>
        <v>0</v>
      </c>
      <c r="AI490" s="2">
        <f>IF(AND(Games[[#This Row],[Type]]="P",Games[[#This Row],[Round]]=3),IF(Games[[#This Row],[Result]]&gt;0.5,1,0),0)</f>
        <v>0</v>
      </c>
      <c r="AJ490" s="2">
        <f>IF(AND(Games[[#This Row],[Type]]="P",Games[[#This Row],[Round]]=3),IF(Games[[#This Row],[Result]]&lt;0.5,1,0),0)</f>
        <v>0</v>
      </c>
      <c r="AK490" s="2">
        <f>IF(AND(Games[[#This Row],[Type]]="P",Games[[#This Row],[Round]]=4),IF(Games[[#This Row],[Result]]&gt;0.5,1,0),0)</f>
        <v>0</v>
      </c>
      <c r="AL490" s="2">
        <f>IF(AND(Games[[#This Row],[Type]]="P",Games[[#This Row],[Round]]=4),IF(Games[[#This Row],[Result]]&lt;0.5,1,0),0)</f>
        <v>0</v>
      </c>
    </row>
    <row r="491" spans="1:38" x14ac:dyDescent="0.35">
      <c r="A491" s="10">
        <v>45895</v>
      </c>
      <c r="B491" s="2">
        <v>2025</v>
      </c>
      <c r="C491" s="2">
        <f>COUNTIFS(Games[Team],Games[[#This Row],[Team]],Games[Season],Games[[#This Row],[Season]],Games[Date],"&lt;=" &amp; Games[[#This Row],[Date]])</f>
        <v>36</v>
      </c>
      <c r="D491" s="2" t="s">
        <v>79</v>
      </c>
      <c r="E491" s="2" t="s">
        <v>80</v>
      </c>
      <c r="F491" s="1" t="s">
        <v>63</v>
      </c>
      <c r="G491" s="1" t="s">
        <v>40</v>
      </c>
      <c r="H491" s="1" t="s">
        <v>82</v>
      </c>
      <c r="I491" s="2" cm="1">
        <f t="array" ref="I491">IFERROR(
    Games[[#This Row],[Date]]
    - LOOKUP(
        2,
        1/((Games[Team]=Games[[#This Row],[Team]]) * (Games[Date] &lt; Games[[#This Row],[Date]])),
        Games[Date]
    )
    - 1,
Games[[#This Row],[Date]]-$A$2)</f>
        <v>5</v>
      </c>
      <c r="J491" s="2" cm="1">
        <f t="array" ref="J49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1" s="2">
        <f>Games[[#This Row],[DaysOff]]-Games[[#This Row],[OppDaysOff]]</f>
        <v>2</v>
      </c>
      <c r="L491" s="2">
        <f>Games[[#This Row],[OppDaysOff]]-Games[[#This Row],[DaysOff]]</f>
        <v>-2</v>
      </c>
      <c r="M491" s="1">
        <f>MAX(-16, MIN(16, Games[[#This Row],[RestDiff]]*8))</f>
        <v>16</v>
      </c>
      <c r="N491" s="1">
        <f>MAX(-16, MIN(16, Games[[#This Row],[OppRestDiff]]*8))</f>
        <v>-16</v>
      </c>
      <c r="O491" s="4" cm="1">
        <f t="array" ref="O4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1456.8145249864137</v>
      </c>
      <c r="P491" s="4" cm="1">
        <f t="array" ref="P4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1559.8172594627708</v>
      </c>
      <c r="Q491" s="4">
        <f>1/(1+10^(((Games[[#This Row],[OppPreGmRate]]+IF(Games[[#This Row],[HomeAway]]="A",HCA,0)+Games[[#This Row],[OppRestAdj]])-(Games[[#This Row],[PreGmRate]]+IF(Games[[#This Row],[HomeAway]]="H",HCA,0)+Games[[#This Row],[RestAdj]]))/400))</f>
        <v>0.51869584820489978</v>
      </c>
      <c r="R491" s="1">
        <v>84</v>
      </c>
      <c r="S491" s="1">
        <v>92</v>
      </c>
      <c r="T491" s="1">
        <v>0</v>
      </c>
      <c r="U491" s="1">
        <f>Games[[#This Row],[PointsFor]]-Games[[#This Row],[PointsAgainst]]</f>
        <v>-8</v>
      </c>
      <c r="V491" s="1">
        <f>IF(Games[[#This Row],[MOV]]&gt;0,1,IF(Games[[#This Row],[MOV]]=0,0.5,0))</f>
        <v>0</v>
      </c>
      <c r="W491" s="4">
        <f>((ABS(Games[[#This Row],[MOV]])+5)^0.6)/(12+0.01*(ABS(Games[[#This Row],[PreGmRate]]-Games[[#This Row],[OppPreGmRate]])))*IF(Games[[#This Row],[OT]]=1,0.9,1)</f>
        <v>0.35761908219699268</v>
      </c>
      <c r="X491" s="7" cm="1">
        <f t="array" ref="X4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1" s="9">
        <f>MAX(kmin, kmax - 0.15 * MIN(Games[[#This Row],[GamesPlayed]], 82))</f>
        <v>70.599999999999994</v>
      </c>
      <c r="Z491" s="4">
        <f>Games[[#This Row],[K]]*Games[[#This Row],[POMult]]</f>
        <v>70.599999999999994</v>
      </c>
      <c r="AA491" s="4">
        <f>(Games[[#This Row],[Keff]]*Games[[#This Row],[MOVMult]])*(Games[[#This Row],[Result]]-Games[[#This Row],[ExpectedWin%]])</f>
        <v>-13.095984642114537</v>
      </c>
      <c r="AB491" s="4">
        <f>Games[[#This Row],[PreGmRate]]+Games[[#This Row],[RatingChange]]</f>
        <v>1443.7185403442993</v>
      </c>
      <c r="AC491" s="2">
        <f>IF(Games[[#This Row],[Type]]="R",IF(Games[[#This Row],[Result]]&gt;0.5,1,0),0)</f>
        <v>0</v>
      </c>
      <c r="AD491" s="2">
        <f>IF(Games[[#This Row],[Type]]="R",IF(Games[[#This Row],[Result]]&lt;0.5,1,0),0)</f>
        <v>1</v>
      </c>
      <c r="AE491" s="2">
        <f>IF(AND(Games[[#This Row],[Type]]="P",Games[[#This Row],[Round]]=1),IF(Games[[#This Row],[Result]]&gt;0.5,1,0),0)</f>
        <v>0</v>
      </c>
      <c r="AF491" s="2">
        <f>IF(AND(Games[[#This Row],[Type]]="P",Games[[#This Row],[Round]]=1),IF(Games[[#This Row],[Result]]&lt;0.5,1,0),0)</f>
        <v>0</v>
      </c>
      <c r="AG491" s="2">
        <f>IF(AND(Games[[#This Row],[Type]]="P",Games[[#This Row],[Round]]=2),IF(Games[[#This Row],[Result]]&gt;0.5,1,0),0)</f>
        <v>0</v>
      </c>
      <c r="AH491" s="2">
        <f>IF(AND(Games[[#This Row],[Type]]="P",Games[[#This Row],[Round]]=2),IF(Games[[#This Row],[Result]]&lt;0.5,1,0),0)</f>
        <v>0</v>
      </c>
      <c r="AI491" s="2">
        <f>IF(AND(Games[[#This Row],[Type]]="P",Games[[#This Row],[Round]]=3),IF(Games[[#This Row],[Result]]&gt;0.5,1,0),0)</f>
        <v>0</v>
      </c>
      <c r="AJ491" s="2">
        <f>IF(AND(Games[[#This Row],[Type]]="P",Games[[#This Row],[Round]]=3),IF(Games[[#This Row],[Result]]&lt;0.5,1,0),0)</f>
        <v>0</v>
      </c>
      <c r="AK491" s="2">
        <f>IF(AND(Games[[#This Row],[Type]]="P",Games[[#This Row],[Round]]=4),IF(Games[[#This Row],[Result]]&gt;0.5,1,0),0)</f>
        <v>0</v>
      </c>
      <c r="AL491" s="2">
        <f>IF(AND(Games[[#This Row],[Type]]="P",Games[[#This Row],[Round]]=4),IF(Games[[#This Row],[Result]]&lt;0.5,1,0),0)</f>
        <v>0</v>
      </c>
    </row>
    <row r="492" spans="1:38" x14ac:dyDescent="0.35">
      <c r="A492" s="10">
        <v>45896</v>
      </c>
      <c r="B492" s="2">
        <v>2025</v>
      </c>
      <c r="C492" s="2">
        <f>COUNTIFS(Games[Team],Games[[#This Row],[Team]],Games[Season],Games[[#This Row],[Season]],Games[Date],"&lt;=" &amp; Games[[#This Row],[Date]])</f>
        <v>40</v>
      </c>
      <c r="D492" s="2" t="s">
        <v>79</v>
      </c>
      <c r="E492" s="2" t="s">
        <v>80</v>
      </c>
      <c r="F492" s="1" t="s">
        <v>86</v>
      </c>
      <c r="G492" s="1" t="s">
        <v>77</v>
      </c>
      <c r="H492" s="1" t="s">
        <v>81</v>
      </c>
      <c r="I492" s="2" cm="1">
        <f t="array" ref="I4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2" s="2" cm="1">
        <f t="array" ref="J4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2" s="2">
        <f>Games[[#This Row],[DaysOff]]-Games[[#This Row],[OppDaysOff]]</f>
        <v>-2</v>
      </c>
      <c r="L492" s="2">
        <f>Games[[#This Row],[OppDaysOff]]-Games[[#This Row],[DaysOff]]</f>
        <v>2</v>
      </c>
      <c r="M492" s="1">
        <f>MAX(-16, MIN(16, Games[[#This Row],[RestDiff]]*8))</f>
        <v>-16</v>
      </c>
      <c r="N492" s="1">
        <f>MAX(-16, MIN(16, Games[[#This Row],[OppRestDiff]]*8))</f>
        <v>16</v>
      </c>
      <c r="O492" s="4" cm="1">
        <f t="array" ref="O4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1626.500924312689</v>
      </c>
      <c r="P492" s="4" cm="1">
        <f t="array" ref="P4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1637.7724285462398</v>
      </c>
      <c r="Q492" s="4">
        <f>1/(1+10^(((Games[[#This Row],[OppPreGmRate]]+IF(Games[[#This Row],[HomeAway]]="A",HCA,0)+Games[[#This Row],[OppRestAdj]])-(Games[[#This Row],[PreGmRate]]+IF(Games[[#This Row],[HomeAway]]="H",HCA,0)+Games[[#This Row],[RestAdj]]))/400))</f>
        <v>0.32461705272259384</v>
      </c>
      <c r="R492" s="1">
        <v>81</v>
      </c>
      <c r="S492" s="1">
        <v>75</v>
      </c>
      <c r="T492" s="1">
        <v>0</v>
      </c>
      <c r="U492" s="1">
        <f>Games[[#This Row],[PointsFor]]-Games[[#This Row],[PointsAgainst]]</f>
        <v>6</v>
      </c>
      <c r="V492" s="1">
        <f>IF(Games[[#This Row],[MOV]]&gt;0,1,IF(Games[[#This Row],[MOV]]=0,0.5,0))</f>
        <v>1</v>
      </c>
      <c r="W492" s="4">
        <f>((ABS(Games[[#This Row],[MOV]])+5)^0.6)/(12+0.01*(ABS(Games[[#This Row],[PreGmRate]]-Games[[#This Row],[OppPreGmRate]])))*IF(Games[[#This Row],[OT]]=1,0.9,1)</f>
        <v>0.34801191296572564</v>
      </c>
      <c r="X492" s="7" cm="1">
        <f t="array" ref="X4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2" s="9">
        <f>MAX(kmin, kmax - 0.15 * MIN(Games[[#This Row],[GamesPlayed]], 82))</f>
        <v>70</v>
      </c>
      <c r="Z492" s="4">
        <f>Games[[#This Row],[K]]*Games[[#This Row],[POMult]]</f>
        <v>70</v>
      </c>
      <c r="AA492" s="4">
        <f>(Games[[#This Row],[Keff]]*Games[[#This Row],[MOVMult]])*(Games[[#This Row],[Result]]-Games[[#This Row],[ExpectedWin%]])</f>
        <v>16.452891802650797</v>
      </c>
      <c r="AB492" s="4">
        <f>Games[[#This Row],[PreGmRate]]+Games[[#This Row],[RatingChange]]</f>
        <v>1642.9538161153398</v>
      </c>
      <c r="AC492" s="2">
        <f>IF(Games[[#This Row],[Type]]="R",IF(Games[[#This Row],[Result]]&gt;0.5,1,0),0)</f>
        <v>1</v>
      </c>
      <c r="AD492" s="2">
        <f>IF(Games[[#This Row],[Type]]="R",IF(Games[[#This Row],[Result]]&lt;0.5,1,0),0)</f>
        <v>0</v>
      </c>
      <c r="AE492" s="2">
        <f>IF(AND(Games[[#This Row],[Type]]="P",Games[[#This Row],[Round]]=1),IF(Games[[#This Row],[Result]]&gt;0.5,1,0),0)</f>
        <v>0</v>
      </c>
      <c r="AF492" s="2">
        <f>IF(AND(Games[[#This Row],[Type]]="P",Games[[#This Row],[Round]]=1),IF(Games[[#This Row],[Result]]&lt;0.5,1,0),0)</f>
        <v>0</v>
      </c>
      <c r="AG492" s="2">
        <f>IF(AND(Games[[#This Row],[Type]]="P",Games[[#This Row],[Round]]=2),IF(Games[[#This Row],[Result]]&gt;0.5,1,0),0)</f>
        <v>0</v>
      </c>
      <c r="AH492" s="2">
        <f>IF(AND(Games[[#This Row],[Type]]="P",Games[[#This Row],[Round]]=2),IF(Games[[#This Row],[Result]]&lt;0.5,1,0),0)</f>
        <v>0</v>
      </c>
      <c r="AI492" s="2">
        <f>IF(AND(Games[[#This Row],[Type]]="P",Games[[#This Row],[Round]]=3),IF(Games[[#This Row],[Result]]&gt;0.5,1,0),0)</f>
        <v>0</v>
      </c>
      <c r="AJ492" s="2">
        <f>IF(AND(Games[[#This Row],[Type]]="P",Games[[#This Row],[Round]]=3),IF(Games[[#This Row],[Result]]&lt;0.5,1,0),0)</f>
        <v>0</v>
      </c>
      <c r="AK492" s="2">
        <f>IF(AND(Games[[#This Row],[Type]]="P",Games[[#This Row],[Round]]=4),IF(Games[[#This Row],[Result]]&gt;0.5,1,0),0)</f>
        <v>0</v>
      </c>
      <c r="AL492" s="2">
        <f>IF(AND(Games[[#This Row],[Type]]="P",Games[[#This Row],[Round]]=4),IF(Games[[#This Row],[Result]]&lt;0.5,1,0),0)</f>
        <v>0</v>
      </c>
    </row>
    <row r="493" spans="1:38" x14ac:dyDescent="0.35">
      <c r="A493" s="10">
        <v>45896</v>
      </c>
      <c r="B493" s="2">
        <v>2025</v>
      </c>
      <c r="C493" s="2">
        <f>COUNTIFS(Games[Team],Games[[#This Row],[Team]],Games[Season],Games[[#This Row],[Season]],Games[Date],"&lt;=" &amp; Games[[#This Row],[Date]])</f>
        <v>38</v>
      </c>
      <c r="D493" s="2" t="s">
        <v>79</v>
      </c>
      <c r="E493" s="2" t="s">
        <v>80</v>
      </c>
      <c r="F493" s="1" t="s">
        <v>77</v>
      </c>
      <c r="G493" s="1" t="s">
        <v>86</v>
      </c>
      <c r="H493" s="1" t="s">
        <v>82</v>
      </c>
      <c r="I493" s="2" cm="1">
        <f t="array" ref="I4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3" s="2" cm="1">
        <f t="array" ref="J4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3" s="2">
        <f>Games[[#This Row],[DaysOff]]-Games[[#This Row],[OppDaysOff]]</f>
        <v>2</v>
      </c>
      <c r="L493" s="2">
        <f>Games[[#This Row],[OppDaysOff]]-Games[[#This Row],[DaysOff]]</f>
        <v>-2</v>
      </c>
      <c r="M493" s="1">
        <f>MAX(-16, MIN(16, Games[[#This Row],[RestDiff]]*8))</f>
        <v>16</v>
      </c>
      <c r="N493" s="1">
        <f>MAX(-16, MIN(16, Games[[#This Row],[OppRestDiff]]*8))</f>
        <v>-16</v>
      </c>
      <c r="O493" s="4" cm="1">
        <f t="array" ref="O4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1637.7724285462398</v>
      </c>
      <c r="P493" s="4" cm="1">
        <f t="array" ref="P4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1626.500924312689</v>
      </c>
      <c r="Q493" s="4">
        <f>1/(1+10^(((Games[[#This Row],[OppPreGmRate]]+IF(Games[[#This Row],[HomeAway]]="A",HCA,0)+Games[[#This Row],[OppRestAdj]])-(Games[[#This Row],[PreGmRate]]+IF(Games[[#This Row],[HomeAway]]="H",HCA,0)+Games[[#This Row],[RestAdj]]))/400))</f>
        <v>0.67538294727740611</v>
      </c>
      <c r="R493" s="1">
        <v>75</v>
      </c>
      <c r="S493" s="1">
        <v>81</v>
      </c>
      <c r="T493" s="1">
        <v>0</v>
      </c>
      <c r="U493" s="1">
        <f>Games[[#This Row],[PointsFor]]-Games[[#This Row],[PointsAgainst]]</f>
        <v>-6</v>
      </c>
      <c r="V493" s="1">
        <f>IF(Games[[#This Row],[MOV]]&gt;0,1,IF(Games[[#This Row],[MOV]]=0,0.5,0))</f>
        <v>0</v>
      </c>
      <c r="W493" s="4">
        <f>((ABS(Games[[#This Row],[MOV]])+5)^0.6)/(12+0.01*(ABS(Games[[#This Row],[PreGmRate]]-Games[[#This Row],[OppPreGmRate]])))*IF(Games[[#This Row],[OT]]=1,0.9,1)</f>
        <v>0.34801191296572564</v>
      </c>
      <c r="X493" s="7" cm="1">
        <f t="array" ref="X4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3" s="9">
        <f>MAX(kmin, kmax - 0.15 * MIN(Games[[#This Row],[GamesPlayed]], 82))</f>
        <v>70.3</v>
      </c>
      <c r="Z493" s="4">
        <f>Games[[#This Row],[K]]*Games[[#This Row],[POMult]]</f>
        <v>70.3</v>
      </c>
      <c r="AA493" s="4">
        <f>(Games[[#This Row],[Keff]]*Games[[#This Row],[MOVMult]])*(Games[[#This Row],[Result]]-Games[[#This Row],[ExpectedWin%]])</f>
        <v>-16.523404196090727</v>
      </c>
      <c r="AB493" s="4">
        <f>Games[[#This Row],[PreGmRate]]+Games[[#This Row],[RatingChange]]</f>
        <v>1621.2490243501491</v>
      </c>
      <c r="AC493" s="2">
        <f>IF(Games[[#This Row],[Type]]="R",IF(Games[[#This Row],[Result]]&gt;0.5,1,0),0)</f>
        <v>0</v>
      </c>
      <c r="AD493" s="2">
        <f>IF(Games[[#This Row],[Type]]="R",IF(Games[[#This Row],[Result]]&lt;0.5,1,0),0)</f>
        <v>1</v>
      </c>
      <c r="AE493" s="2">
        <f>IF(AND(Games[[#This Row],[Type]]="P",Games[[#This Row],[Round]]=1),IF(Games[[#This Row],[Result]]&gt;0.5,1,0),0)</f>
        <v>0</v>
      </c>
      <c r="AF493" s="2">
        <f>IF(AND(Games[[#This Row],[Type]]="P",Games[[#This Row],[Round]]=1),IF(Games[[#This Row],[Result]]&lt;0.5,1,0),0)</f>
        <v>0</v>
      </c>
      <c r="AG493" s="2">
        <f>IF(AND(Games[[#This Row],[Type]]="P",Games[[#This Row],[Round]]=2),IF(Games[[#This Row],[Result]]&gt;0.5,1,0),0)</f>
        <v>0</v>
      </c>
      <c r="AH493" s="2">
        <f>IF(AND(Games[[#This Row],[Type]]="P",Games[[#This Row],[Round]]=2),IF(Games[[#This Row],[Result]]&lt;0.5,1,0),0)</f>
        <v>0</v>
      </c>
      <c r="AI493" s="2">
        <f>IF(AND(Games[[#This Row],[Type]]="P",Games[[#This Row],[Round]]=3),IF(Games[[#This Row],[Result]]&gt;0.5,1,0),0)</f>
        <v>0</v>
      </c>
      <c r="AJ493" s="2">
        <f>IF(AND(Games[[#This Row],[Type]]="P",Games[[#This Row],[Round]]=3),IF(Games[[#This Row],[Result]]&lt;0.5,1,0),0)</f>
        <v>0</v>
      </c>
      <c r="AK493" s="2">
        <f>IF(AND(Games[[#This Row],[Type]]="P",Games[[#This Row],[Round]]=4),IF(Games[[#This Row],[Result]]&gt;0.5,1,0),0)</f>
        <v>0</v>
      </c>
      <c r="AL493" s="2">
        <f>IF(AND(Games[[#This Row],[Type]]="P",Games[[#This Row],[Round]]=4),IF(Games[[#This Row],[Result]]&lt;0.5,1,0),0)</f>
        <v>0</v>
      </c>
    </row>
    <row r="494" spans="1:38" x14ac:dyDescent="0.35">
      <c r="A494" s="10">
        <v>45896</v>
      </c>
      <c r="B494" s="2">
        <v>2025</v>
      </c>
      <c r="C494" s="2">
        <f>COUNTIFS(Games[Team],Games[[#This Row],[Team]],Games[Season],Games[[#This Row],[Season]],Games[Date],"&lt;=" &amp; Games[[#This Row],[Date]])</f>
        <v>38</v>
      </c>
      <c r="D494" s="2" t="s">
        <v>79</v>
      </c>
      <c r="E494" s="2" t="s">
        <v>80</v>
      </c>
      <c r="F494" s="1" t="s">
        <v>74</v>
      </c>
      <c r="G494" s="1" t="s">
        <v>85</v>
      </c>
      <c r="H494" s="1" t="s">
        <v>81</v>
      </c>
      <c r="I494" s="2" cm="1">
        <f t="array" ref="I4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4" s="2" cm="1">
        <f t="array" ref="J4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4" s="2">
        <f>Games[[#This Row],[DaysOff]]-Games[[#This Row],[OppDaysOff]]</f>
        <v>-1</v>
      </c>
      <c r="L494" s="2">
        <f>Games[[#This Row],[OppDaysOff]]-Games[[#This Row],[DaysOff]]</f>
        <v>1</v>
      </c>
      <c r="M494" s="1">
        <f>MAX(-16, MIN(16, Games[[#This Row],[RestDiff]]*8))</f>
        <v>-8</v>
      </c>
      <c r="N494" s="1">
        <f>MAX(-16, MIN(16, Games[[#This Row],[OppRestDiff]]*8))</f>
        <v>8</v>
      </c>
      <c r="O494" s="4" cm="1">
        <f t="array" ref="O4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1385.2706038205442</v>
      </c>
      <c r="P494" s="4" cm="1">
        <f t="array" ref="P4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1311.519472719868</v>
      </c>
      <c r="Q494" s="4">
        <f>1/(1+10^(((Games[[#This Row],[OppPreGmRate]]+IF(Games[[#This Row],[HomeAway]]="A",HCA,0)+Games[[#This Row],[OppRestAdj]])-(Games[[#This Row],[PreGmRate]]+IF(Games[[#This Row],[HomeAway]]="H",HCA,0)+Games[[#This Row],[RestAdj]]))/400))</f>
        <v>0.46229654904139666</v>
      </c>
      <c r="R494" s="1">
        <v>101</v>
      </c>
      <c r="S494" s="1">
        <v>95</v>
      </c>
      <c r="T494" s="1">
        <v>0</v>
      </c>
      <c r="U494" s="1">
        <f>Games[[#This Row],[PointsFor]]-Games[[#This Row],[PointsAgainst]]</f>
        <v>6</v>
      </c>
      <c r="V494" s="1">
        <f>IF(Games[[#This Row],[MOV]]&gt;0,1,IF(Games[[#This Row],[MOV]]=0,0.5,0))</f>
        <v>1</v>
      </c>
      <c r="W494" s="4">
        <f>((ABS(Games[[#This Row],[MOV]])+5)^0.6)/(12+0.01*(ABS(Games[[#This Row],[PreGmRate]]-Games[[#This Row],[OppPreGmRate]])))*IF(Games[[#This Row],[OT]]=1,0.9,1)</f>
        <v>0.33094134561822192</v>
      </c>
      <c r="X494" s="7" cm="1">
        <f t="array" ref="X4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4" s="9">
        <f>MAX(kmin, kmax - 0.15 * MIN(Games[[#This Row],[GamesPlayed]], 82))</f>
        <v>70.3</v>
      </c>
      <c r="Z494" s="4">
        <f>Games[[#This Row],[K]]*Games[[#This Row],[POMult]]</f>
        <v>70.3</v>
      </c>
      <c r="AA494" s="4">
        <f>(Games[[#This Row],[Keff]]*Games[[#This Row],[MOVMult]])*(Games[[#This Row],[Result]]-Games[[#This Row],[ExpectedWin%]])</f>
        <v>12.509765743347266</v>
      </c>
      <c r="AB494" s="4">
        <f>Games[[#This Row],[PreGmRate]]+Games[[#This Row],[RatingChange]]</f>
        <v>1397.7803695638916</v>
      </c>
      <c r="AC494" s="2">
        <f>IF(Games[[#This Row],[Type]]="R",IF(Games[[#This Row],[Result]]&gt;0.5,1,0),0)</f>
        <v>1</v>
      </c>
      <c r="AD494" s="2">
        <f>IF(Games[[#This Row],[Type]]="R",IF(Games[[#This Row],[Result]]&lt;0.5,1,0),0)</f>
        <v>0</v>
      </c>
      <c r="AE494" s="2">
        <f>IF(AND(Games[[#This Row],[Type]]="P",Games[[#This Row],[Round]]=1),IF(Games[[#This Row],[Result]]&gt;0.5,1,0),0)</f>
        <v>0</v>
      </c>
      <c r="AF494" s="2">
        <f>IF(AND(Games[[#This Row],[Type]]="P",Games[[#This Row],[Round]]=1),IF(Games[[#This Row],[Result]]&lt;0.5,1,0),0)</f>
        <v>0</v>
      </c>
      <c r="AG494" s="2">
        <f>IF(AND(Games[[#This Row],[Type]]="P",Games[[#This Row],[Round]]=2),IF(Games[[#This Row],[Result]]&gt;0.5,1,0),0)</f>
        <v>0</v>
      </c>
      <c r="AH494" s="2">
        <f>IF(AND(Games[[#This Row],[Type]]="P",Games[[#This Row],[Round]]=2),IF(Games[[#This Row],[Result]]&lt;0.5,1,0),0)</f>
        <v>0</v>
      </c>
      <c r="AI494" s="2">
        <f>IF(AND(Games[[#This Row],[Type]]="P",Games[[#This Row],[Round]]=3),IF(Games[[#This Row],[Result]]&gt;0.5,1,0),0)</f>
        <v>0</v>
      </c>
      <c r="AJ494" s="2">
        <f>IF(AND(Games[[#This Row],[Type]]="P",Games[[#This Row],[Round]]=3),IF(Games[[#This Row],[Result]]&lt;0.5,1,0),0)</f>
        <v>0</v>
      </c>
      <c r="AK494" s="2">
        <f>IF(AND(Games[[#This Row],[Type]]="P",Games[[#This Row],[Round]]=4),IF(Games[[#This Row],[Result]]&gt;0.5,1,0),0)</f>
        <v>0</v>
      </c>
      <c r="AL494" s="2">
        <f>IF(AND(Games[[#This Row],[Type]]="P",Games[[#This Row],[Round]]=4),IF(Games[[#This Row],[Result]]&lt;0.5,1,0),0)</f>
        <v>0</v>
      </c>
    </row>
    <row r="495" spans="1:38" x14ac:dyDescent="0.35">
      <c r="A495" s="10">
        <v>45896</v>
      </c>
      <c r="B495" s="2">
        <v>2025</v>
      </c>
      <c r="C495" s="2">
        <f>COUNTIFS(Games[Team],Games[[#This Row],[Team]],Games[Season],Games[[#This Row],[Season]],Games[Date],"&lt;=" &amp; Games[[#This Row],[Date]])</f>
        <v>39</v>
      </c>
      <c r="D495" s="2" t="s">
        <v>79</v>
      </c>
      <c r="E495" s="2" t="s">
        <v>80</v>
      </c>
      <c r="F495" s="1" t="s">
        <v>85</v>
      </c>
      <c r="G495" s="1" t="s">
        <v>74</v>
      </c>
      <c r="H495" s="1" t="s">
        <v>82</v>
      </c>
      <c r="I495" s="2" cm="1">
        <f t="array" ref="I4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5" s="2" cm="1">
        <f t="array" ref="J4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5" s="2">
        <f>Games[[#This Row],[DaysOff]]-Games[[#This Row],[OppDaysOff]]</f>
        <v>1</v>
      </c>
      <c r="L495" s="2">
        <f>Games[[#This Row],[OppDaysOff]]-Games[[#This Row],[DaysOff]]</f>
        <v>-1</v>
      </c>
      <c r="M495" s="1">
        <f>MAX(-16, MIN(16, Games[[#This Row],[RestDiff]]*8))</f>
        <v>8</v>
      </c>
      <c r="N495" s="1">
        <f>MAX(-16, MIN(16, Games[[#This Row],[OppRestDiff]]*8))</f>
        <v>-8</v>
      </c>
      <c r="O495" s="4" cm="1">
        <f t="array" ref="O4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1311.519472719868</v>
      </c>
      <c r="P495" s="4" cm="1">
        <f t="array" ref="P4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1385.2706038205442</v>
      </c>
      <c r="Q495" s="4">
        <f>1/(1+10^(((Games[[#This Row],[OppPreGmRate]]+IF(Games[[#This Row],[HomeAway]]="A",HCA,0)+Games[[#This Row],[OppRestAdj]])-(Games[[#This Row],[PreGmRate]]+IF(Games[[#This Row],[HomeAway]]="H",HCA,0)+Games[[#This Row],[RestAdj]]))/400))</f>
        <v>0.53770345095860328</v>
      </c>
      <c r="R495" s="1">
        <v>95</v>
      </c>
      <c r="S495" s="1">
        <v>101</v>
      </c>
      <c r="T495" s="1">
        <v>0</v>
      </c>
      <c r="U495" s="1">
        <f>Games[[#This Row],[PointsFor]]-Games[[#This Row],[PointsAgainst]]</f>
        <v>-6</v>
      </c>
      <c r="V495" s="1">
        <f>IF(Games[[#This Row],[MOV]]&gt;0,1,IF(Games[[#This Row],[MOV]]=0,0.5,0))</f>
        <v>0</v>
      </c>
      <c r="W495" s="4">
        <f>((ABS(Games[[#This Row],[MOV]])+5)^0.6)/(12+0.01*(ABS(Games[[#This Row],[PreGmRate]]-Games[[#This Row],[OppPreGmRate]])))*IF(Games[[#This Row],[OT]]=1,0.9,1)</f>
        <v>0.33094134561822192</v>
      </c>
      <c r="X495" s="7" cm="1">
        <f t="array" ref="X4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5" s="9">
        <f>MAX(kmin, kmax - 0.15 * MIN(Games[[#This Row],[GamesPlayed]], 82))</f>
        <v>70.150000000000006</v>
      </c>
      <c r="Z495" s="4">
        <f>Games[[#This Row],[K]]*Games[[#This Row],[POMult]]</f>
        <v>70.150000000000006</v>
      </c>
      <c r="AA495" s="4">
        <f>(Games[[#This Row],[Keff]]*Games[[#This Row],[MOVMult]])*(Games[[#This Row],[Result]]-Games[[#This Row],[ExpectedWin%]])</f>
        <v>-12.483073497806695</v>
      </c>
      <c r="AB495" s="4">
        <f>Games[[#This Row],[PreGmRate]]+Games[[#This Row],[RatingChange]]</f>
        <v>1299.0363992220612</v>
      </c>
      <c r="AC495" s="2">
        <f>IF(Games[[#This Row],[Type]]="R",IF(Games[[#This Row],[Result]]&gt;0.5,1,0),0)</f>
        <v>0</v>
      </c>
      <c r="AD495" s="2">
        <f>IF(Games[[#This Row],[Type]]="R",IF(Games[[#This Row],[Result]]&lt;0.5,1,0),0)</f>
        <v>1</v>
      </c>
      <c r="AE495" s="2">
        <f>IF(AND(Games[[#This Row],[Type]]="P",Games[[#This Row],[Round]]=1),IF(Games[[#This Row],[Result]]&gt;0.5,1,0),0)</f>
        <v>0</v>
      </c>
      <c r="AF495" s="2">
        <f>IF(AND(Games[[#This Row],[Type]]="P",Games[[#This Row],[Round]]=1),IF(Games[[#This Row],[Result]]&lt;0.5,1,0),0)</f>
        <v>0</v>
      </c>
      <c r="AG495" s="2">
        <f>IF(AND(Games[[#This Row],[Type]]="P",Games[[#This Row],[Round]]=2),IF(Games[[#This Row],[Result]]&gt;0.5,1,0),0)</f>
        <v>0</v>
      </c>
      <c r="AH495" s="2">
        <f>IF(AND(Games[[#This Row],[Type]]="P",Games[[#This Row],[Round]]=2),IF(Games[[#This Row],[Result]]&lt;0.5,1,0),0)</f>
        <v>0</v>
      </c>
      <c r="AI495" s="2">
        <f>IF(AND(Games[[#This Row],[Type]]="P",Games[[#This Row],[Round]]=3),IF(Games[[#This Row],[Result]]&gt;0.5,1,0),0)</f>
        <v>0</v>
      </c>
      <c r="AJ495" s="2">
        <f>IF(AND(Games[[#This Row],[Type]]="P",Games[[#This Row],[Round]]=3),IF(Games[[#This Row],[Result]]&lt;0.5,1,0),0)</f>
        <v>0</v>
      </c>
      <c r="AK495" s="2">
        <f>IF(AND(Games[[#This Row],[Type]]="P",Games[[#This Row],[Round]]=4),IF(Games[[#This Row],[Result]]&gt;0.5,1,0),0)</f>
        <v>0</v>
      </c>
      <c r="AL495" s="2">
        <f>IF(AND(Games[[#This Row],[Type]]="P",Games[[#This Row],[Round]]=4),IF(Games[[#This Row],[Result]]&lt;0.5,1,0),0)</f>
        <v>0</v>
      </c>
    </row>
    <row r="496" spans="1:38" x14ac:dyDescent="0.35">
      <c r="A496" s="10">
        <v>45897</v>
      </c>
      <c r="B496" s="2">
        <v>2025</v>
      </c>
      <c r="C496" s="2">
        <f>COUNTIFS(Games[Team],Games[[#This Row],[Team]],Games[Season],Games[[#This Row],[Season]],Games[Date],"&lt;=" &amp; Games[[#This Row],[Date]])</f>
        <v>40</v>
      </c>
      <c r="D496" s="2" t="s">
        <v>79</v>
      </c>
      <c r="E496" s="2" t="s">
        <v>80</v>
      </c>
      <c r="F496" s="1" t="s">
        <v>71</v>
      </c>
      <c r="G496" s="1" t="s">
        <v>67</v>
      </c>
      <c r="H496" s="1" t="s">
        <v>81</v>
      </c>
      <c r="I496" s="2" cm="1">
        <f t="array" ref="I4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6" s="2" cm="1">
        <f t="array" ref="J49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6" s="2">
        <f>Games[[#This Row],[DaysOff]]-Games[[#This Row],[OppDaysOff]]</f>
        <v>-2</v>
      </c>
      <c r="L496" s="2">
        <f>Games[[#This Row],[OppDaysOff]]-Games[[#This Row],[DaysOff]]</f>
        <v>2</v>
      </c>
      <c r="M496" s="1">
        <f>MAX(-16, MIN(16, Games[[#This Row],[RestDiff]]*8))</f>
        <v>-16</v>
      </c>
      <c r="N496" s="1">
        <f>MAX(-16, MIN(16, Games[[#This Row],[OppRestDiff]]*8))</f>
        <v>16</v>
      </c>
      <c r="O496" s="4" cm="1">
        <f t="array" ref="O4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1507.6155703827214</v>
      </c>
      <c r="P496" s="4" cm="1">
        <f t="array" ref="P4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1707.3027558845447</v>
      </c>
      <c r="Q496" s="4">
        <f>1/(1+10^(((Games[[#This Row],[OppPreGmRate]]+IF(Games[[#This Row],[HomeAway]]="A",HCA,0)+Games[[#This Row],[OppRestAdj]])-(Games[[#This Row],[PreGmRate]]+IF(Games[[#This Row],[HomeAway]]="H",HCA,0)+Games[[#This Row],[RestAdj]]))/400))</f>
        <v>0.13976519819669714</v>
      </c>
      <c r="R496" s="1">
        <v>93</v>
      </c>
      <c r="S496" s="1">
        <v>79</v>
      </c>
      <c r="T496" s="1">
        <v>0</v>
      </c>
      <c r="U496" s="1">
        <f>Games[[#This Row],[PointsFor]]-Games[[#This Row],[PointsAgainst]]</f>
        <v>14</v>
      </c>
      <c r="V496" s="1">
        <f>IF(Games[[#This Row],[MOV]]&gt;0,1,IF(Games[[#This Row],[MOV]]=0,0.5,0))</f>
        <v>1</v>
      </c>
      <c r="W496" s="4">
        <f>((ABS(Games[[#This Row],[MOV]])+5)^0.6)/(12+0.01*(ABS(Games[[#This Row],[PreGmRate]]-Games[[#This Row],[OppPreGmRate]])))*IF(Games[[#This Row],[OT]]=1,0.9,1)</f>
        <v>0.41804321015565898</v>
      </c>
      <c r="X496" s="7" cm="1">
        <f t="array" ref="X4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6" s="9">
        <f>MAX(kmin, kmax - 0.15 * MIN(Games[[#This Row],[GamesPlayed]], 82))</f>
        <v>70</v>
      </c>
      <c r="Z496" s="4">
        <f>Games[[#This Row],[K]]*Games[[#This Row],[POMult]]</f>
        <v>70</v>
      </c>
      <c r="AA496" s="4">
        <f>(Games[[#This Row],[Keff]]*Games[[#This Row],[MOVMult]])*(Games[[#This Row],[Result]]-Games[[#This Row],[ExpectedWin%]])</f>
        <v>25.173072262342885</v>
      </c>
      <c r="AB496" s="4">
        <f>Games[[#This Row],[PreGmRate]]+Games[[#This Row],[RatingChange]]</f>
        <v>1532.7886426450643</v>
      </c>
      <c r="AC496" s="2">
        <f>IF(Games[[#This Row],[Type]]="R",IF(Games[[#This Row],[Result]]&gt;0.5,1,0),0)</f>
        <v>1</v>
      </c>
      <c r="AD496" s="2">
        <f>IF(Games[[#This Row],[Type]]="R",IF(Games[[#This Row],[Result]]&lt;0.5,1,0),0)</f>
        <v>0</v>
      </c>
      <c r="AE496" s="2">
        <f>IF(AND(Games[[#This Row],[Type]]="P",Games[[#This Row],[Round]]=1),IF(Games[[#This Row],[Result]]&gt;0.5,1,0),0)</f>
        <v>0</v>
      </c>
      <c r="AF496" s="2">
        <f>IF(AND(Games[[#This Row],[Type]]="P",Games[[#This Row],[Round]]=1),IF(Games[[#This Row],[Result]]&lt;0.5,1,0),0)</f>
        <v>0</v>
      </c>
      <c r="AG496" s="2">
        <f>IF(AND(Games[[#This Row],[Type]]="P",Games[[#This Row],[Round]]=2),IF(Games[[#This Row],[Result]]&gt;0.5,1,0),0)</f>
        <v>0</v>
      </c>
      <c r="AH496" s="2">
        <f>IF(AND(Games[[#This Row],[Type]]="P",Games[[#This Row],[Round]]=2),IF(Games[[#This Row],[Result]]&lt;0.5,1,0),0)</f>
        <v>0</v>
      </c>
      <c r="AI496" s="2">
        <f>IF(AND(Games[[#This Row],[Type]]="P",Games[[#This Row],[Round]]=3),IF(Games[[#This Row],[Result]]&gt;0.5,1,0),0)</f>
        <v>0</v>
      </c>
      <c r="AJ496" s="2">
        <f>IF(AND(Games[[#This Row],[Type]]="P",Games[[#This Row],[Round]]=3),IF(Games[[#This Row],[Result]]&lt;0.5,1,0),0)</f>
        <v>0</v>
      </c>
      <c r="AK496" s="2">
        <f>IF(AND(Games[[#This Row],[Type]]="P",Games[[#This Row],[Round]]=4),IF(Games[[#This Row],[Result]]&gt;0.5,1,0),0)</f>
        <v>0</v>
      </c>
      <c r="AL496" s="2">
        <f>IF(AND(Games[[#This Row],[Type]]="P",Games[[#This Row],[Round]]=4),IF(Games[[#This Row],[Result]]&lt;0.5,1,0),0)</f>
        <v>0</v>
      </c>
    </row>
    <row r="497" spans="1:38" x14ac:dyDescent="0.35">
      <c r="A497" s="10">
        <v>45897</v>
      </c>
      <c r="B497" s="2">
        <v>2025</v>
      </c>
      <c r="C497" s="2">
        <f>COUNTIFS(Games[Team],Games[[#This Row],[Team]],Games[Season],Games[[#This Row],[Season]],Games[Date],"&lt;=" &amp; Games[[#This Row],[Date]])</f>
        <v>39</v>
      </c>
      <c r="D497" s="2" t="s">
        <v>79</v>
      </c>
      <c r="E497" s="2" t="s">
        <v>80</v>
      </c>
      <c r="F497" s="1" t="s">
        <v>67</v>
      </c>
      <c r="G497" s="1" t="s">
        <v>71</v>
      </c>
      <c r="H497" s="1" t="s">
        <v>82</v>
      </c>
      <c r="I497" s="2" cm="1">
        <f t="array" ref="I49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7" s="2" cm="1">
        <f t="array" ref="J4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7" s="2">
        <f>Games[[#This Row],[DaysOff]]-Games[[#This Row],[OppDaysOff]]</f>
        <v>2</v>
      </c>
      <c r="L497" s="2">
        <f>Games[[#This Row],[OppDaysOff]]-Games[[#This Row],[DaysOff]]</f>
        <v>-2</v>
      </c>
      <c r="M497" s="1">
        <f>MAX(-16, MIN(16, Games[[#This Row],[RestDiff]]*8))</f>
        <v>16</v>
      </c>
      <c r="N497" s="1">
        <f>MAX(-16, MIN(16, Games[[#This Row],[OppRestDiff]]*8))</f>
        <v>-16</v>
      </c>
      <c r="O497" s="4" cm="1">
        <f t="array" ref="O4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1707.3027558845447</v>
      </c>
      <c r="P497" s="4" cm="1">
        <f t="array" ref="P4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1507.6155703827214</v>
      </c>
      <c r="Q497" s="4">
        <f>1/(1+10^(((Games[[#This Row],[OppPreGmRate]]+IF(Games[[#This Row],[HomeAway]]="A",HCA,0)+Games[[#This Row],[OppRestAdj]])-(Games[[#This Row],[PreGmRate]]+IF(Games[[#This Row],[HomeAway]]="H",HCA,0)+Games[[#This Row],[RestAdj]]))/400))</f>
        <v>0.86023480180330292</v>
      </c>
      <c r="R497" s="1">
        <v>79</v>
      </c>
      <c r="S497" s="1">
        <v>93</v>
      </c>
      <c r="T497" s="1">
        <v>0</v>
      </c>
      <c r="U497" s="1">
        <f>Games[[#This Row],[PointsFor]]-Games[[#This Row],[PointsAgainst]]</f>
        <v>-14</v>
      </c>
      <c r="V497" s="1">
        <f>IF(Games[[#This Row],[MOV]]&gt;0,1,IF(Games[[#This Row],[MOV]]=0,0.5,0))</f>
        <v>0</v>
      </c>
      <c r="W497" s="4">
        <f>((ABS(Games[[#This Row],[MOV]])+5)^0.6)/(12+0.01*(ABS(Games[[#This Row],[PreGmRate]]-Games[[#This Row],[OppPreGmRate]])))*IF(Games[[#This Row],[OT]]=1,0.9,1)</f>
        <v>0.41804321015565898</v>
      </c>
      <c r="X497" s="7" cm="1">
        <f t="array" ref="X4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7" s="9">
        <f>MAX(kmin, kmax - 0.15 * MIN(Games[[#This Row],[GamesPlayed]], 82))</f>
        <v>70.150000000000006</v>
      </c>
      <c r="Z497" s="4">
        <f>Games[[#This Row],[K]]*Games[[#This Row],[POMult]]</f>
        <v>70.150000000000006</v>
      </c>
      <c r="AA497" s="4">
        <f>(Games[[#This Row],[Keff]]*Games[[#This Row],[MOVMult]])*(Games[[#This Row],[Result]]-Games[[#This Row],[ExpectedWin%]])</f>
        <v>-25.227014560047909</v>
      </c>
      <c r="AB497" s="4">
        <f>Games[[#This Row],[PreGmRate]]+Games[[#This Row],[RatingChange]]</f>
        <v>1682.0757413244967</v>
      </c>
      <c r="AC497" s="2">
        <f>IF(Games[[#This Row],[Type]]="R",IF(Games[[#This Row],[Result]]&gt;0.5,1,0),0)</f>
        <v>0</v>
      </c>
      <c r="AD497" s="2">
        <f>IF(Games[[#This Row],[Type]]="R",IF(Games[[#This Row],[Result]]&lt;0.5,1,0),0)</f>
        <v>1</v>
      </c>
      <c r="AE497" s="2">
        <f>IF(AND(Games[[#This Row],[Type]]="P",Games[[#This Row],[Round]]=1),IF(Games[[#This Row],[Result]]&gt;0.5,1,0),0)</f>
        <v>0</v>
      </c>
      <c r="AF497" s="2">
        <f>IF(AND(Games[[#This Row],[Type]]="P",Games[[#This Row],[Round]]=1),IF(Games[[#This Row],[Result]]&lt;0.5,1,0),0)</f>
        <v>0</v>
      </c>
      <c r="AG497" s="2">
        <f>IF(AND(Games[[#This Row],[Type]]="P",Games[[#This Row],[Round]]=2),IF(Games[[#This Row],[Result]]&gt;0.5,1,0),0)</f>
        <v>0</v>
      </c>
      <c r="AH497" s="2">
        <f>IF(AND(Games[[#This Row],[Type]]="P",Games[[#This Row],[Round]]=2),IF(Games[[#This Row],[Result]]&lt;0.5,1,0),0)</f>
        <v>0</v>
      </c>
      <c r="AI497" s="2">
        <f>IF(AND(Games[[#This Row],[Type]]="P",Games[[#This Row],[Round]]=3),IF(Games[[#This Row],[Result]]&gt;0.5,1,0),0)</f>
        <v>0</v>
      </c>
      <c r="AJ497" s="2">
        <f>IF(AND(Games[[#This Row],[Type]]="P",Games[[#This Row],[Round]]=3),IF(Games[[#This Row],[Result]]&lt;0.5,1,0),0)</f>
        <v>0</v>
      </c>
      <c r="AK497" s="2">
        <f>IF(AND(Games[[#This Row],[Type]]="P",Games[[#This Row],[Round]]=4),IF(Games[[#This Row],[Result]]&gt;0.5,1,0),0)</f>
        <v>0</v>
      </c>
      <c r="AL497" s="2">
        <f>IF(AND(Games[[#This Row],[Type]]="P",Games[[#This Row],[Round]]=4),IF(Games[[#This Row],[Result]]&lt;0.5,1,0),0)</f>
        <v>0</v>
      </c>
    </row>
    <row r="498" spans="1:38" x14ac:dyDescent="0.35">
      <c r="A498" s="10">
        <v>45897</v>
      </c>
      <c r="B498" s="2">
        <v>2025</v>
      </c>
      <c r="C498" s="2">
        <f>COUNTIFS(Games[Team],Games[[#This Row],[Team]],Games[Season],Games[[#This Row],[Season]],Games[Date],"&lt;=" &amp; Games[[#This Row],[Date]])</f>
        <v>39</v>
      </c>
      <c r="D498" s="2" t="s">
        <v>79</v>
      </c>
      <c r="E498" s="2" t="s">
        <v>80</v>
      </c>
      <c r="F498" s="1" t="s">
        <v>65</v>
      </c>
      <c r="G498" s="1" t="s">
        <v>60</v>
      </c>
      <c r="H498" s="1" t="s">
        <v>81</v>
      </c>
      <c r="I498" s="2" cm="1">
        <f t="array" ref="I4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8" s="2" cm="1">
        <f t="array" ref="J4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8" s="2">
        <f>Games[[#This Row],[DaysOff]]-Games[[#This Row],[OppDaysOff]]</f>
        <v>1</v>
      </c>
      <c r="L498" s="2">
        <f>Games[[#This Row],[OppDaysOff]]-Games[[#This Row],[DaysOff]]</f>
        <v>-1</v>
      </c>
      <c r="M498" s="1">
        <f>MAX(-16, MIN(16, Games[[#This Row],[RestDiff]]*8))</f>
        <v>8</v>
      </c>
      <c r="N498" s="1">
        <f>MAX(-16, MIN(16, Games[[#This Row],[OppRestDiff]]*8))</f>
        <v>-8</v>
      </c>
      <c r="O498" s="4" cm="1">
        <f t="array" ref="O4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1406.876399006672</v>
      </c>
      <c r="P498" s="4" cm="1">
        <f t="array" ref="P4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1576.874189062946</v>
      </c>
      <c r="Q498" s="4">
        <f>1/(1+10^(((Games[[#This Row],[OppPreGmRate]]+IF(Games[[#This Row],[HomeAway]]="A",HCA,0)+Games[[#This Row],[OppRestAdj]])-(Games[[#This Row],[PreGmRate]]+IF(Games[[#This Row],[HomeAway]]="H",HCA,0)+Games[[#This Row],[RestAdj]]))/400))</f>
        <v>0.20261574127649787</v>
      </c>
      <c r="R498" s="1">
        <v>63</v>
      </c>
      <c r="S498" s="1">
        <v>89</v>
      </c>
      <c r="T498" s="1">
        <v>0</v>
      </c>
      <c r="U498" s="1">
        <f>Games[[#This Row],[PointsFor]]-Games[[#This Row],[PointsAgainst]]</f>
        <v>-26</v>
      </c>
      <c r="V498" s="1">
        <f>IF(Games[[#This Row],[MOV]]&gt;0,1,IF(Games[[#This Row],[MOV]]=0,0.5,0))</f>
        <v>0</v>
      </c>
      <c r="W498" s="4">
        <f>((ABS(Games[[#This Row],[MOV]])+5)^0.6)/(12+0.01*(ABS(Games[[#This Row],[PreGmRate]]-Games[[#This Row],[OppPreGmRate]])))*IF(Games[[#This Row],[OT]]=1,0.9,1)</f>
        <v>0.57292417719006883</v>
      </c>
      <c r="X498" s="7" cm="1">
        <f t="array" ref="X4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8" s="9">
        <f>MAX(kmin, kmax - 0.15 * MIN(Games[[#This Row],[GamesPlayed]], 82))</f>
        <v>70.150000000000006</v>
      </c>
      <c r="Z498" s="4">
        <f>Games[[#This Row],[K]]*Games[[#This Row],[POMult]]</f>
        <v>70.150000000000006</v>
      </c>
      <c r="AA498" s="4">
        <f>(Games[[#This Row],[Keff]]*Games[[#This Row],[MOVMult]])*(Games[[#This Row],[Result]]-Games[[#This Row],[ExpectedWin%]])</f>
        <v>-8.1432544984900286</v>
      </c>
      <c r="AB498" s="4">
        <f>Games[[#This Row],[PreGmRate]]+Games[[#This Row],[RatingChange]]</f>
        <v>1398.733144508182</v>
      </c>
      <c r="AC498" s="2">
        <f>IF(Games[[#This Row],[Type]]="R",IF(Games[[#This Row],[Result]]&gt;0.5,1,0),0)</f>
        <v>0</v>
      </c>
      <c r="AD498" s="2">
        <f>IF(Games[[#This Row],[Type]]="R",IF(Games[[#This Row],[Result]]&lt;0.5,1,0),0)</f>
        <v>1</v>
      </c>
      <c r="AE498" s="2">
        <f>IF(AND(Games[[#This Row],[Type]]="P",Games[[#This Row],[Round]]=1),IF(Games[[#This Row],[Result]]&gt;0.5,1,0),0)</f>
        <v>0</v>
      </c>
      <c r="AF498" s="2">
        <f>IF(AND(Games[[#This Row],[Type]]="P",Games[[#This Row],[Round]]=1),IF(Games[[#This Row],[Result]]&lt;0.5,1,0),0)</f>
        <v>0</v>
      </c>
      <c r="AG498" s="2">
        <f>IF(AND(Games[[#This Row],[Type]]="P",Games[[#This Row],[Round]]=2),IF(Games[[#This Row],[Result]]&gt;0.5,1,0),0)</f>
        <v>0</v>
      </c>
      <c r="AH498" s="2">
        <f>IF(AND(Games[[#This Row],[Type]]="P",Games[[#This Row],[Round]]=2),IF(Games[[#This Row],[Result]]&lt;0.5,1,0),0)</f>
        <v>0</v>
      </c>
      <c r="AI498" s="2">
        <f>IF(AND(Games[[#This Row],[Type]]="P",Games[[#This Row],[Round]]=3),IF(Games[[#This Row],[Result]]&gt;0.5,1,0),0)</f>
        <v>0</v>
      </c>
      <c r="AJ498" s="2">
        <f>IF(AND(Games[[#This Row],[Type]]="P",Games[[#This Row],[Round]]=3),IF(Games[[#This Row],[Result]]&lt;0.5,1,0),0)</f>
        <v>0</v>
      </c>
      <c r="AK498" s="2">
        <f>IF(AND(Games[[#This Row],[Type]]="P",Games[[#This Row],[Round]]=4),IF(Games[[#This Row],[Result]]&gt;0.5,1,0),0)</f>
        <v>0</v>
      </c>
      <c r="AL498" s="2">
        <f>IF(AND(Games[[#This Row],[Type]]="P",Games[[#This Row],[Round]]=4),IF(Games[[#This Row],[Result]]&lt;0.5,1,0),0)</f>
        <v>0</v>
      </c>
    </row>
    <row r="499" spans="1:38" x14ac:dyDescent="0.35">
      <c r="A499" s="10">
        <v>45897</v>
      </c>
      <c r="B499" s="2">
        <v>2025</v>
      </c>
      <c r="C499" s="2">
        <f>COUNTIFS(Games[Team],Games[[#This Row],[Team]],Games[Season],Games[[#This Row],[Season]],Games[Date],"&lt;=" &amp; Games[[#This Row],[Date]])</f>
        <v>39</v>
      </c>
      <c r="D499" s="2" t="s">
        <v>79</v>
      </c>
      <c r="E499" s="2" t="s">
        <v>80</v>
      </c>
      <c r="F499" s="1" t="s">
        <v>60</v>
      </c>
      <c r="G499" s="1" t="s">
        <v>65</v>
      </c>
      <c r="H499" s="1" t="s">
        <v>82</v>
      </c>
      <c r="I499" s="2" cm="1">
        <f t="array" ref="I4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9" s="2" cm="1">
        <f t="array" ref="J4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9" s="2">
        <f>Games[[#This Row],[DaysOff]]-Games[[#This Row],[OppDaysOff]]</f>
        <v>-1</v>
      </c>
      <c r="L499" s="2">
        <f>Games[[#This Row],[OppDaysOff]]-Games[[#This Row],[DaysOff]]</f>
        <v>1</v>
      </c>
      <c r="M499" s="1">
        <f>MAX(-16, MIN(16, Games[[#This Row],[RestDiff]]*8))</f>
        <v>-8</v>
      </c>
      <c r="N499" s="1">
        <f>MAX(-16, MIN(16, Games[[#This Row],[OppRestDiff]]*8))</f>
        <v>8</v>
      </c>
      <c r="O499" s="4" cm="1">
        <f t="array" ref="O4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1576.874189062946</v>
      </c>
      <c r="P499" s="4" cm="1">
        <f t="array" ref="P4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1406.876399006672</v>
      </c>
      <c r="Q499" s="4">
        <f>1/(1+10^(((Games[[#This Row],[OppPreGmRate]]+IF(Games[[#This Row],[HomeAway]]="A",HCA,0)+Games[[#This Row],[OppRestAdj]])-(Games[[#This Row],[PreGmRate]]+IF(Games[[#This Row],[HomeAway]]="H",HCA,0)+Games[[#This Row],[RestAdj]]))/400))</f>
        <v>0.79738425872350216</v>
      </c>
      <c r="R499" s="1">
        <v>89</v>
      </c>
      <c r="S499" s="1">
        <v>63</v>
      </c>
      <c r="T499" s="1">
        <v>0</v>
      </c>
      <c r="U499" s="1">
        <f>Games[[#This Row],[PointsFor]]-Games[[#This Row],[PointsAgainst]]</f>
        <v>26</v>
      </c>
      <c r="V499" s="1">
        <f>IF(Games[[#This Row],[MOV]]&gt;0,1,IF(Games[[#This Row],[MOV]]=0,0.5,0))</f>
        <v>1</v>
      </c>
      <c r="W499" s="4">
        <f>((ABS(Games[[#This Row],[MOV]])+5)^0.6)/(12+0.01*(ABS(Games[[#This Row],[PreGmRate]]-Games[[#This Row],[OppPreGmRate]])))*IF(Games[[#This Row],[OT]]=1,0.9,1)</f>
        <v>0.57292417719006883</v>
      </c>
      <c r="X499" s="7" cm="1">
        <f t="array" ref="X4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9" s="9">
        <f>MAX(kmin, kmax - 0.15 * MIN(Games[[#This Row],[GamesPlayed]], 82))</f>
        <v>70.150000000000006</v>
      </c>
      <c r="Z499" s="4">
        <f>Games[[#This Row],[K]]*Games[[#This Row],[POMult]]</f>
        <v>70.150000000000006</v>
      </c>
      <c r="AA499" s="4">
        <f>(Games[[#This Row],[Keff]]*Games[[#This Row],[MOVMult]])*(Games[[#This Row],[Result]]-Games[[#This Row],[ExpectedWin%]])</f>
        <v>8.1432544984900268</v>
      </c>
      <c r="AB499" s="4">
        <f>Games[[#This Row],[PreGmRate]]+Games[[#This Row],[RatingChange]]</f>
        <v>1585.017443561436</v>
      </c>
      <c r="AC499" s="2">
        <f>IF(Games[[#This Row],[Type]]="R",IF(Games[[#This Row],[Result]]&gt;0.5,1,0),0)</f>
        <v>1</v>
      </c>
      <c r="AD499" s="2">
        <f>IF(Games[[#This Row],[Type]]="R",IF(Games[[#This Row],[Result]]&lt;0.5,1,0),0)</f>
        <v>0</v>
      </c>
      <c r="AE499" s="2">
        <f>IF(AND(Games[[#This Row],[Type]]="P",Games[[#This Row],[Round]]=1),IF(Games[[#This Row],[Result]]&gt;0.5,1,0),0)</f>
        <v>0</v>
      </c>
      <c r="AF499" s="2">
        <f>IF(AND(Games[[#This Row],[Type]]="P",Games[[#This Row],[Round]]=1),IF(Games[[#This Row],[Result]]&lt;0.5,1,0),0)</f>
        <v>0</v>
      </c>
      <c r="AG499" s="2">
        <f>IF(AND(Games[[#This Row],[Type]]="P",Games[[#This Row],[Round]]=2),IF(Games[[#This Row],[Result]]&gt;0.5,1,0),0)</f>
        <v>0</v>
      </c>
      <c r="AH499" s="2">
        <f>IF(AND(Games[[#This Row],[Type]]="P",Games[[#This Row],[Round]]=2),IF(Games[[#This Row],[Result]]&lt;0.5,1,0),0)</f>
        <v>0</v>
      </c>
      <c r="AI499" s="2">
        <f>IF(AND(Games[[#This Row],[Type]]="P",Games[[#This Row],[Round]]=3),IF(Games[[#This Row],[Result]]&gt;0.5,1,0),0)</f>
        <v>0</v>
      </c>
      <c r="AJ499" s="2">
        <f>IF(AND(Games[[#This Row],[Type]]="P",Games[[#This Row],[Round]]=3),IF(Games[[#This Row],[Result]]&lt;0.5,1,0),0)</f>
        <v>0</v>
      </c>
      <c r="AK499" s="2">
        <f>IF(AND(Games[[#This Row],[Type]]="P",Games[[#This Row],[Round]]=4),IF(Games[[#This Row],[Result]]&gt;0.5,1,0),0)</f>
        <v>0</v>
      </c>
      <c r="AL499" s="2">
        <f>IF(AND(Games[[#This Row],[Type]]="P",Games[[#This Row],[Round]]=4),IF(Games[[#This Row],[Result]]&lt;0.5,1,0),0)</f>
        <v>0</v>
      </c>
    </row>
    <row r="500" spans="1:38" x14ac:dyDescent="0.35">
      <c r="A500" s="10">
        <v>45897</v>
      </c>
      <c r="B500" s="2">
        <v>2025</v>
      </c>
      <c r="C500" s="2">
        <f>COUNTIFS(Games[Team],Games[[#This Row],[Team]],Games[Season],Games[[#This Row],[Season]],Games[Date],"&lt;=" &amp; Games[[#This Row],[Date]])</f>
        <v>38</v>
      </c>
      <c r="D500" s="2" t="s">
        <v>79</v>
      </c>
      <c r="E500" s="2" t="s">
        <v>80</v>
      </c>
      <c r="F500" s="1" t="s">
        <v>75</v>
      </c>
      <c r="G500" s="1" t="s">
        <v>40</v>
      </c>
      <c r="H500" s="1" t="s">
        <v>81</v>
      </c>
      <c r="I500" s="2" cm="1">
        <f t="array" ref="I5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0" s="2" cm="1">
        <f t="array" ref="J5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0" s="2">
        <f>Games[[#This Row],[DaysOff]]-Games[[#This Row],[OppDaysOff]]</f>
        <v>1</v>
      </c>
      <c r="L500" s="2">
        <f>Games[[#This Row],[OppDaysOff]]-Games[[#This Row],[DaysOff]]</f>
        <v>-1</v>
      </c>
      <c r="M500" s="1">
        <f>MAX(-16, MIN(16, Games[[#This Row],[RestDiff]]*8))</f>
        <v>8</v>
      </c>
      <c r="N500" s="1">
        <f>MAX(-16, MIN(16, Games[[#This Row],[OppRestDiff]]*8))</f>
        <v>-8</v>
      </c>
      <c r="O500" s="4" cm="1">
        <f t="array" ref="O5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1283.5945168478272</v>
      </c>
      <c r="P500" s="4" cm="1">
        <f t="array" ref="P5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1572.8854197749092</v>
      </c>
      <c r="Q500" s="4">
        <f>1/(1+10^(((Games[[#This Row],[OppPreGmRate]]+IF(Games[[#This Row],[HomeAway]]="A",HCA,0)+Games[[#This Row],[OppRestAdj]])-(Games[[#This Row],[PreGmRate]]+IF(Games[[#This Row],[HomeAway]]="H",HCA,0)+Games[[#This Row],[RestAdj]]))/400))</f>
        <v>0.11337393887648475</v>
      </c>
      <c r="R500" s="1">
        <v>79</v>
      </c>
      <c r="S500" s="1">
        <v>83</v>
      </c>
      <c r="T500" s="1">
        <v>0</v>
      </c>
      <c r="U500" s="1">
        <f>Games[[#This Row],[PointsFor]]-Games[[#This Row],[PointsAgainst]]</f>
        <v>-4</v>
      </c>
      <c r="V500" s="1">
        <f>IF(Games[[#This Row],[MOV]]&gt;0,1,IF(Games[[#This Row],[MOV]]=0,0.5,0))</f>
        <v>0</v>
      </c>
      <c r="W500" s="4">
        <f>((ABS(Games[[#This Row],[MOV]])+5)^0.6)/(12+0.01*(ABS(Games[[#This Row],[PreGmRate]]-Games[[#This Row],[OppPreGmRate]])))*IF(Games[[#This Row],[OT]]=1,0.9,1)</f>
        <v>0.25093773227926114</v>
      </c>
      <c r="X500" s="7" cm="1">
        <f t="array" ref="X5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0" s="9">
        <f>MAX(kmin, kmax - 0.15 * MIN(Games[[#This Row],[GamesPlayed]], 82))</f>
        <v>70.3</v>
      </c>
      <c r="Z500" s="4">
        <f>Games[[#This Row],[K]]*Games[[#This Row],[POMult]]</f>
        <v>70.3</v>
      </c>
      <c r="AA500" s="4">
        <f>(Games[[#This Row],[Keff]]*Games[[#This Row],[MOVMult]])*(Games[[#This Row],[Result]]-Games[[#This Row],[ExpectedWin%]])</f>
        <v>-2.0000208782226552</v>
      </c>
      <c r="AB500" s="4">
        <f>Games[[#This Row],[PreGmRate]]+Games[[#This Row],[RatingChange]]</f>
        <v>1281.5944959696046</v>
      </c>
      <c r="AC500" s="2">
        <f>IF(Games[[#This Row],[Type]]="R",IF(Games[[#This Row],[Result]]&gt;0.5,1,0),0)</f>
        <v>0</v>
      </c>
      <c r="AD500" s="2">
        <f>IF(Games[[#This Row],[Type]]="R",IF(Games[[#This Row],[Result]]&lt;0.5,1,0),0)</f>
        <v>1</v>
      </c>
      <c r="AE500" s="2">
        <f>IF(AND(Games[[#This Row],[Type]]="P",Games[[#This Row],[Round]]=1),IF(Games[[#This Row],[Result]]&gt;0.5,1,0),0)</f>
        <v>0</v>
      </c>
      <c r="AF500" s="2">
        <f>IF(AND(Games[[#This Row],[Type]]="P",Games[[#This Row],[Round]]=1),IF(Games[[#This Row],[Result]]&lt;0.5,1,0),0)</f>
        <v>0</v>
      </c>
      <c r="AG500" s="2">
        <f>IF(AND(Games[[#This Row],[Type]]="P",Games[[#This Row],[Round]]=2),IF(Games[[#This Row],[Result]]&gt;0.5,1,0),0)</f>
        <v>0</v>
      </c>
      <c r="AH500" s="2">
        <f>IF(AND(Games[[#This Row],[Type]]="P",Games[[#This Row],[Round]]=2),IF(Games[[#This Row],[Result]]&lt;0.5,1,0),0)</f>
        <v>0</v>
      </c>
      <c r="AI500" s="2">
        <f>IF(AND(Games[[#This Row],[Type]]="P",Games[[#This Row],[Round]]=3),IF(Games[[#This Row],[Result]]&gt;0.5,1,0),0)</f>
        <v>0</v>
      </c>
      <c r="AJ500" s="2">
        <f>IF(AND(Games[[#This Row],[Type]]="P",Games[[#This Row],[Round]]=3),IF(Games[[#This Row],[Result]]&lt;0.5,1,0),0)</f>
        <v>0</v>
      </c>
      <c r="AK500" s="2">
        <f>IF(AND(Games[[#This Row],[Type]]="P",Games[[#This Row],[Round]]=4),IF(Games[[#This Row],[Result]]&gt;0.5,1,0),0)</f>
        <v>0</v>
      </c>
      <c r="AL500" s="2">
        <f>IF(AND(Games[[#This Row],[Type]]="P",Games[[#This Row],[Round]]=4),IF(Games[[#This Row],[Result]]&lt;0.5,1,0),0)</f>
        <v>0</v>
      </c>
    </row>
    <row r="501" spans="1:38" x14ac:dyDescent="0.35">
      <c r="A501" s="10">
        <v>45897</v>
      </c>
      <c r="B501" s="2">
        <v>2025</v>
      </c>
      <c r="C501" s="2">
        <f>COUNTIFS(Games[Team],Games[[#This Row],[Team]],Games[Season],Games[[#This Row],[Season]],Games[Date],"&lt;=" &amp; Games[[#This Row],[Date]])</f>
        <v>38</v>
      </c>
      <c r="D501" s="2" t="s">
        <v>79</v>
      </c>
      <c r="E501" s="2" t="s">
        <v>80</v>
      </c>
      <c r="F501" s="1" t="s">
        <v>40</v>
      </c>
      <c r="G501" s="1" t="s">
        <v>75</v>
      </c>
      <c r="H501" s="1" t="s">
        <v>82</v>
      </c>
      <c r="I501" s="2" cm="1">
        <f t="array" ref="I5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1" s="2" cm="1">
        <f t="array" ref="J5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1" s="2">
        <f>Games[[#This Row],[DaysOff]]-Games[[#This Row],[OppDaysOff]]</f>
        <v>-1</v>
      </c>
      <c r="L501" s="2">
        <f>Games[[#This Row],[OppDaysOff]]-Games[[#This Row],[DaysOff]]</f>
        <v>1</v>
      </c>
      <c r="M501" s="1">
        <f>MAX(-16, MIN(16, Games[[#This Row],[RestDiff]]*8))</f>
        <v>-8</v>
      </c>
      <c r="N501" s="1">
        <f>MAX(-16, MIN(16, Games[[#This Row],[OppRestDiff]]*8))</f>
        <v>8</v>
      </c>
      <c r="O501" s="4" cm="1">
        <f t="array" ref="O5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1572.8854197749092</v>
      </c>
      <c r="P501" s="4" cm="1">
        <f t="array" ref="P5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1283.5945168478272</v>
      </c>
      <c r="Q501" s="4">
        <f>1/(1+10^(((Games[[#This Row],[OppPreGmRate]]+IF(Games[[#This Row],[HomeAway]]="A",HCA,0)+Games[[#This Row],[OppRestAdj]])-(Games[[#This Row],[PreGmRate]]+IF(Games[[#This Row],[HomeAway]]="H",HCA,0)+Games[[#This Row],[RestAdj]]))/400))</f>
        <v>0.88662606112351527</v>
      </c>
      <c r="R501" s="1">
        <v>83</v>
      </c>
      <c r="S501" s="1">
        <v>79</v>
      </c>
      <c r="T501" s="1">
        <v>0</v>
      </c>
      <c r="U501" s="1">
        <f>Games[[#This Row],[PointsFor]]-Games[[#This Row],[PointsAgainst]]</f>
        <v>4</v>
      </c>
      <c r="V501" s="1">
        <f>IF(Games[[#This Row],[MOV]]&gt;0,1,IF(Games[[#This Row],[MOV]]=0,0.5,0))</f>
        <v>1</v>
      </c>
      <c r="W501" s="4">
        <f>((ABS(Games[[#This Row],[MOV]])+5)^0.6)/(12+0.01*(ABS(Games[[#This Row],[PreGmRate]]-Games[[#This Row],[OppPreGmRate]])))*IF(Games[[#This Row],[OT]]=1,0.9,1)</f>
        <v>0.25093773227926114</v>
      </c>
      <c r="X501" s="7" cm="1">
        <f t="array" ref="X5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1" s="9">
        <f>MAX(kmin, kmax - 0.15 * MIN(Games[[#This Row],[GamesPlayed]], 82))</f>
        <v>70.3</v>
      </c>
      <c r="Z501" s="4">
        <f>Games[[#This Row],[K]]*Games[[#This Row],[POMult]]</f>
        <v>70.3</v>
      </c>
      <c r="AA501" s="4">
        <f>(Games[[#This Row],[Keff]]*Games[[#This Row],[MOVMult]])*(Games[[#This Row],[Result]]-Games[[#This Row],[ExpectedWin%]])</f>
        <v>2.0000208782226547</v>
      </c>
      <c r="AB501" s="4">
        <f>Games[[#This Row],[PreGmRate]]+Games[[#This Row],[RatingChange]]</f>
        <v>1574.8854406531318</v>
      </c>
      <c r="AC501" s="2">
        <f>IF(Games[[#This Row],[Type]]="R",IF(Games[[#This Row],[Result]]&gt;0.5,1,0),0)</f>
        <v>1</v>
      </c>
      <c r="AD501" s="2">
        <f>IF(Games[[#This Row],[Type]]="R",IF(Games[[#This Row],[Result]]&lt;0.5,1,0),0)</f>
        <v>0</v>
      </c>
      <c r="AE501" s="2">
        <f>IF(AND(Games[[#This Row],[Type]]="P",Games[[#This Row],[Round]]=1),IF(Games[[#This Row],[Result]]&gt;0.5,1,0),0)</f>
        <v>0</v>
      </c>
      <c r="AF501" s="2">
        <f>IF(AND(Games[[#This Row],[Type]]="P",Games[[#This Row],[Round]]=1),IF(Games[[#This Row],[Result]]&lt;0.5,1,0),0)</f>
        <v>0</v>
      </c>
      <c r="AG501" s="2">
        <f>IF(AND(Games[[#This Row],[Type]]="P",Games[[#This Row],[Round]]=2),IF(Games[[#This Row],[Result]]&gt;0.5,1,0),0)</f>
        <v>0</v>
      </c>
      <c r="AH501" s="2">
        <f>IF(AND(Games[[#This Row],[Type]]="P",Games[[#This Row],[Round]]=2),IF(Games[[#This Row],[Result]]&lt;0.5,1,0),0)</f>
        <v>0</v>
      </c>
      <c r="AI501" s="2">
        <f>IF(AND(Games[[#This Row],[Type]]="P",Games[[#This Row],[Round]]=3),IF(Games[[#This Row],[Result]]&gt;0.5,1,0),0)</f>
        <v>0</v>
      </c>
      <c r="AJ501" s="2">
        <f>IF(AND(Games[[#This Row],[Type]]="P",Games[[#This Row],[Round]]=3),IF(Games[[#This Row],[Result]]&lt;0.5,1,0),0)</f>
        <v>0</v>
      </c>
      <c r="AK501" s="2">
        <f>IF(AND(Games[[#This Row],[Type]]="P",Games[[#This Row],[Round]]=4),IF(Games[[#This Row],[Result]]&gt;0.5,1,0),0)</f>
        <v>0</v>
      </c>
      <c r="AL501" s="2">
        <f>IF(AND(Games[[#This Row],[Type]]="P",Games[[#This Row],[Round]]=4),IF(Games[[#This Row],[Result]]&lt;0.5,1,0),0)</f>
        <v>0</v>
      </c>
    </row>
    <row r="502" spans="1:38" x14ac:dyDescent="0.35">
      <c r="A502" s="10">
        <v>45898</v>
      </c>
      <c r="B502" s="2">
        <v>2025</v>
      </c>
      <c r="C502" s="2">
        <f>COUNTIFS(Games[Team],Games[[#This Row],[Team]],Games[Season],Games[[#This Row],[Season]],Games[Date],"&lt;=" &amp; Games[[#This Row],[Date]])</f>
        <v>40</v>
      </c>
      <c r="D502" s="2" t="s">
        <v>79</v>
      </c>
      <c r="E502" s="2" t="s">
        <v>80</v>
      </c>
      <c r="F502" s="1" t="s">
        <v>85</v>
      </c>
      <c r="G502" s="1" t="s">
        <v>77</v>
      </c>
      <c r="H502" s="1" t="s">
        <v>81</v>
      </c>
      <c r="I502" s="2" cm="1">
        <f t="array" ref="I5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2" s="2" cm="1">
        <f t="array" ref="J5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2" s="2">
        <f>Games[[#This Row],[DaysOff]]-Games[[#This Row],[OppDaysOff]]</f>
        <v>0</v>
      </c>
      <c r="L502" s="2">
        <f>Games[[#This Row],[OppDaysOff]]-Games[[#This Row],[DaysOff]]</f>
        <v>0</v>
      </c>
      <c r="M502" s="1">
        <f>MAX(-16, MIN(16, Games[[#This Row],[RestDiff]]*8))</f>
        <v>0</v>
      </c>
      <c r="N502" s="1">
        <f>MAX(-16, MIN(16, Games[[#This Row],[OppRestDiff]]*8))</f>
        <v>0</v>
      </c>
      <c r="O502" s="4" cm="1">
        <f t="array" ref="O5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1299.0363992220612</v>
      </c>
      <c r="P502" s="4" cm="1">
        <f t="array" ref="P5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1621.2490243501491</v>
      </c>
      <c r="Q502" s="4">
        <f>1/(1+10^(((Games[[#This Row],[OppPreGmRate]]+IF(Games[[#This Row],[HomeAway]]="A",HCA,0)+Games[[#This Row],[OppRestAdj]])-(Games[[#This Row],[PreGmRate]]+IF(Games[[#This Row],[HomeAway]]="H",HCA,0)+Games[[#This Row],[RestAdj]]))/400))</f>
        <v>8.799641563888419E-2</v>
      </c>
      <c r="R502" s="1">
        <v>78</v>
      </c>
      <c r="S502" s="1">
        <v>100</v>
      </c>
      <c r="T502" s="1">
        <v>0</v>
      </c>
      <c r="U502" s="1">
        <f>Games[[#This Row],[PointsFor]]-Games[[#This Row],[PointsAgainst]]</f>
        <v>-22</v>
      </c>
      <c r="V502" s="1">
        <f>IF(Games[[#This Row],[MOV]]&gt;0,1,IF(Games[[#This Row],[MOV]]=0,0.5,0))</f>
        <v>0</v>
      </c>
      <c r="W502" s="4">
        <f>((ABS(Games[[#This Row],[MOV]])+5)^0.6)/(12+0.01*(ABS(Games[[#This Row],[PreGmRate]]-Games[[#This Row],[OppPreGmRate]])))*IF(Games[[#This Row],[OT]]=1,0.9,1)</f>
        <v>0.47461661640299097</v>
      </c>
      <c r="X502" s="7" cm="1">
        <f t="array" ref="X5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2" s="9">
        <f>MAX(kmin, kmax - 0.15 * MIN(Games[[#This Row],[GamesPlayed]], 82))</f>
        <v>70</v>
      </c>
      <c r="Z502" s="4">
        <f>Games[[#This Row],[K]]*Games[[#This Row],[POMult]]</f>
        <v>70</v>
      </c>
      <c r="AA502" s="4">
        <f>(Games[[#This Row],[Keff]]*Games[[#This Row],[MOVMult]])*(Games[[#This Row],[Result]]-Games[[#This Row],[ExpectedWin%]])</f>
        <v>-2.9235192732282917</v>
      </c>
      <c r="AB502" s="4">
        <f>Games[[#This Row],[PreGmRate]]+Games[[#This Row],[RatingChange]]</f>
        <v>1296.1128799488329</v>
      </c>
      <c r="AC502" s="2">
        <f>IF(Games[[#This Row],[Type]]="R",IF(Games[[#This Row],[Result]]&gt;0.5,1,0),0)</f>
        <v>0</v>
      </c>
      <c r="AD502" s="2">
        <f>IF(Games[[#This Row],[Type]]="R",IF(Games[[#This Row],[Result]]&lt;0.5,1,0),0)</f>
        <v>1</v>
      </c>
      <c r="AE502" s="2">
        <f>IF(AND(Games[[#This Row],[Type]]="P",Games[[#This Row],[Round]]=1),IF(Games[[#This Row],[Result]]&gt;0.5,1,0),0)</f>
        <v>0</v>
      </c>
      <c r="AF502" s="2">
        <f>IF(AND(Games[[#This Row],[Type]]="P",Games[[#This Row],[Round]]=1),IF(Games[[#This Row],[Result]]&lt;0.5,1,0),0)</f>
        <v>0</v>
      </c>
      <c r="AG502" s="2">
        <f>IF(AND(Games[[#This Row],[Type]]="P",Games[[#This Row],[Round]]=2),IF(Games[[#This Row],[Result]]&gt;0.5,1,0),0)</f>
        <v>0</v>
      </c>
      <c r="AH502" s="2">
        <f>IF(AND(Games[[#This Row],[Type]]="P",Games[[#This Row],[Round]]=2),IF(Games[[#This Row],[Result]]&lt;0.5,1,0),0)</f>
        <v>0</v>
      </c>
      <c r="AI502" s="2">
        <f>IF(AND(Games[[#This Row],[Type]]="P",Games[[#This Row],[Round]]=3),IF(Games[[#This Row],[Result]]&gt;0.5,1,0),0)</f>
        <v>0</v>
      </c>
      <c r="AJ502" s="2">
        <f>IF(AND(Games[[#This Row],[Type]]="P",Games[[#This Row],[Round]]=3),IF(Games[[#This Row],[Result]]&lt;0.5,1,0),0)</f>
        <v>0</v>
      </c>
      <c r="AK502" s="2">
        <f>IF(AND(Games[[#This Row],[Type]]="P",Games[[#This Row],[Round]]=4),IF(Games[[#This Row],[Result]]&gt;0.5,1,0),0)</f>
        <v>0</v>
      </c>
      <c r="AL502" s="2">
        <f>IF(AND(Games[[#This Row],[Type]]="P",Games[[#This Row],[Round]]=4),IF(Games[[#This Row],[Result]]&lt;0.5,1,0),0)</f>
        <v>0</v>
      </c>
    </row>
    <row r="503" spans="1:38" x14ac:dyDescent="0.35">
      <c r="A503" s="10">
        <v>45898</v>
      </c>
      <c r="B503" s="2">
        <v>2025</v>
      </c>
      <c r="C503" s="2">
        <f>COUNTIFS(Games[Team],Games[[#This Row],[Team]],Games[Season],Games[[#This Row],[Season]],Games[Date],"&lt;=" &amp; Games[[#This Row],[Date]])</f>
        <v>39</v>
      </c>
      <c r="D503" s="2" t="s">
        <v>79</v>
      </c>
      <c r="E503" s="2" t="s">
        <v>80</v>
      </c>
      <c r="F503" s="1" t="s">
        <v>77</v>
      </c>
      <c r="G503" s="1" t="s">
        <v>85</v>
      </c>
      <c r="H503" s="1" t="s">
        <v>82</v>
      </c>
      <c r="I503" s="2" cm="1">
        <f t="array" ref="I5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3" s="2" cm="1">
        <f t="array" ref="J5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3" s="2">
        <f>Games[[#This Row],[DaysOff]]-Games[[#This Row],[OppDaysOff]]</f>
        <v>0</v>
      </c>
      <c r="L503" s="2">
        <f>Games[[#This Row],[OppDaysOff]]-Games[[#This Row],[DaysOff]]</f>
        <v>0</v>
      </c>
      <c r="M503" s="1">
        <f>MAX(-16, MIN(16, Games[[#This Row],[RestDiff]]*8))</f>
        <v>0</v>
      </c>
      <c r="N503" s="1">
        <f>MAX(-16, MIN(16, Games[[#This Row],[OppRestDiff]]*8))</f>
        <v>0</v>
      </c>
      <c r="O503" s="4" cm="1">
        <f t="array" ref="O5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1621.2490243501491</v>
      </c>
      <c r="P503" s="4" cm="1">
        <f t="array" ref="P5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1299.0363992220612</v>
      </c>
      <c r="Q503" s="4">
        <f>1/(1+10^(((Games[[#This Row],[OppPreGmRate]]+IF(Games[[#This Row],[HomeAway]]="A",HCA,0)+Games[[#This Row],[OppRestAdj]])-(Games[[#This Row],[PreGmRate]]+IF(Games[[#This Row],[HomeAway]]="H",HCA,0)+Games[[#This Row],[RestAdj]]))/400))</f>
        <v>0.91200358436111573</v>
      </c>
      <c r="R503" s="1">
        <v>100</v>
      </c>
      <c r="S503" s="1">
        <v>78</v>
      </c>
      <c r="T503" s="1">
        <v>0</v>
      </c>
      <c r="U503" s="1">
        <f>Games[[#This Row],[PointsFor]]-Games[[#This Row],[PointsAgainst]]</f>
        <v>22</v>
      </c>
      <c r="V503" s="1">
        <f>IF(Games[[#This Row],[MOV]]&gt;0,1,IF(Games[[#This Row],[MOV]]=0,0.5,0))</f>
        <v>1</v>
      </c>
      <c r="W503" s="4">
        <f>((ABS(Games[[#This Row],[MOV]])+5)^0.6)/(12+0.01*(ABS(Games[[#This Row],[PreGmRate]]-Games[[#This Row],[OppPreGmRate]])))*IF(Games[[#This Row],[OT]]=1,0.9,1)</f>
        <v>0.47461661640299097</v>
      </c>
      <c r="X503" s="7" cm="1">
        <f t="array" ref="X5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3" s="9">
        <f>MAX(kmin, kmax - 0.15 * MIN(Games[[#This Row],[GamesPlayed]], 82))</f>
        <v>70.150000000000006</v>
      </c>
      <c r="Z503" s="4">
        <f>Games[[#This Row],[K]]*Games[[#This Row],[POMult]]</f>
        <v>70.150000000000006</v>
      </c>
      <c r="AA503" s="4">
        <f>(Games[[#This Row],[Keff]]*Games[[#This Row],[MOVMult]])*(Games[[#This Row],[Result]]-Games[[#This Row],[ExpectedWin%]])</f>
        <v>2.9297839573852125</v>
      </c>
      <c r="AB503" s="4">
        <f>Games[[#This Row],[PreGmRate]]+Games[[#This Row],[RatingChange]]</f>
        <v>1624.1788083075344</v>
      </c>
      <c r="AC503" s="2">
        <f>IF(Games[[#This Row],[Type]]="R",IF(Games[[#This Row],[Result]]&gt;0.5,1,0),0)</f>
        <v>1</v>
      </c>
      <c r="AD503" s="2">
        <f>IF(Games[[#This Row],[Type]]="R",IF(Games[[#This Row],[Result]]&lt;0.5,1,0),0)</f>
        <v>0</v>
      </c>
      <c r="AE503" s="2">
        <f>IF(AND(Games[[#This Row],[Type]]="P",Games[[#This Row],[Round]]=1),IF(Games[[#This Row],[Result]]&gt;0.5,1,0),0)</f>
        <v>0</v>
      </c>
      <c r="AF503" s="2">
        <f>IF(AND(Games[[#This Row],[Type]]="P",Games[[#This Row],[Round]]=1),IF(Games[[#This Row],[Result]]&lt;0.5,1,0),0)</f>
        <v>0</v>
      </c>
      <c r="AG503" s="2">
        <f>IF(AND(Games[[#This Row],[Type]]="P",Games[[#This Row],[Round]]=2),IF(Games[[#This Row],[Result]]&gt;0.5,1,0),0)</f>
        <v>0</v>
      </c>
      <c r="AH503" s="2">
        <f>IF(AND(Games[[#This Row],[Type]]="P",Games[[#This Row],[Round]]=2),IF(Games[[#This Row],[Result]]&lt;0.5,1,0),0)</f>
        <v>0</v>
      </c>
      <c r="AI503" s="2">
        <f>IF(AND(Games[[#This Row],[Type]]="P",Games[[#This Row],[Round]]=3),IF(Games[[#This Row],[Result]]&gt;0.5,1,0),0)</f>
        <v>0</v>
      </c>
      <c r="AJ503" s="2">
        <f>IF(AND(Games[[#This Row],[Type]]="P",Games[[#This Row],[Round]]=3),IF(Games[[#This Row],[Result]]&lt;0.5,1,0),0)</f>
        <v>0</v>
      </c>
      <c r="AK503" s="2">
        <f>IF(AND(Games[[#This Row],[Type]]="P",Games[[#This Row],[Round]]=4),IF(Games[[#This Row],[Result]]&gt;0.5,1,0),0)</f>
        <v>0</v>
      </c>
      <c r="AL503" s="2">
        <f>IF(AND(Games[[#This Row],[Type]]="P",Games[[#This Row],[Round]]=4),IF(Games[[#This Row],[Result]]&lt;0.5,1,0),0)</f>
        <v>0</v>
      </c>
    </row>
    <row r="504" spans="1:38" x14ac:dyDescent="0.35">
      <c r="A504" s="10">
        <v>45898</v>
      </c>
      <c r="B504" s="2">
        <v>2025</v>
      </c>
      <c r="C504" s="2">
        <f>COUNTIFS(Games[Team],Games[[#This Row],[Team]],Games[Season],Games[[#This Row],[Season]],Games[Date],"&lt;=" &amp; Games[[#This Row],[Date]])</f>
        <v>40</v>
      </c>
      <c r="D504" s="2" t="s">
        <v>79</v>
      </c>
      <c r="E504" s="2" t="s">
        <v>80</v>
      </c>
      <c r="F504" s="1" t="s">
        <v>69</v>
      </c>
      <c r="G504" s="1" t="s">
        <v>63</v>
      </c>
      <c r="H504" s="1" t="s">
        <v>81</v>
      </c>
      <c r="I504" s="2" cm="1">
        <f t="array" ref="I5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4" s="2" cm="1">
        <f t="array" ref="J5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4" s="2">
        <f>Games[[#This Row],[DaysOff]]-Games[[#This Row],[OppDaysOff]]</f>
        <v>0</v>
      </c>
      <c r="L504" s="2">
        <f>Games[[#This Row],[OppDaysOff]]-Games[[#This Row],[DaysOff]]</f>
        <v>0</v>
      </c>
      <c r="M504" s="1">
        <f>MAX(-16, MIN(16, Games[[#This Row],[RestDiff]]*8))</f>
        <v>0</v>
      </c>
      <c r="N504" s="1">
        <f>MAX(-16, MIN(16, Games[[#This Row],[OppRestDiff]]*8))</f>
        <v>0</v>
      </c>
      <c r="O504" s="4" cm="1">
        <f t="array" ref="O5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1535.7216234977411</v>
      </c>
      <c r="P504" s="4" cm="1">
        <f t="array" ref="P5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1443.7185403442993</v>
      </c>
      <c r="Q504" s="4">
        <f>1/(1+10^(((Games[[#This Row],[OppPreGmRate]]+IF(Games[[#This Row],[HomeAway]]="A",HCA,0)+Games[[#This Row],[OppRestAdj]])-(Games[[#This Row],[PreGmRate]]+IF(Games[[#This Row],[HomeAway]]="H",HCA,0)+Games[[#This Row],[RestAdj]]))/400))</f>
        <v>0.51151532587972859</v>
      </c>
      <c r="R504" s="1">
        <v>76</v>
      </c>
      <c r="S504" s="1">
        <v>75</v>
      </c>
      <c r="T504" s="1">
        <v>0</v>
      </c>
      <c r="U504" s="1">
        <f>Games[[#This Row],[PointsFor]]-Games[[#This Row],[PointsAgainst]]</f>
        <v>1</v>
      </c>
      <c r="V504" s="1">
        <f>IF(Games[[#This Row],[MOV]]&gt;0,1,IF(Games[[#This Row],[MOV]]=0,0.5,0))</f>
        <v>1</v>
      </c>
      <c r="W504" s="4">
        <f>((ABS(Games[[#This Row],[MOV]])+5)^0.6)/(12+0.01*(ABS(Games[[#This Row],[PreGmRate]]-Games[[#This Row],[OppPreGmRate]])))*IF(Games[[#This Row],[OT]]=1,0.9,1)</f>
        <v>0.22679172285191271</v>
      </c>
      <c r="X504" s="7" cm="1">
        <f t="array" ref="X5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4" s="9">
        <f>MAX(kmin, kmax - 0.15 * MIN(Games[[#This Row],[GamesPlayed]], 82))</f>
        <v>70</v>
      </c>
      <c r="Z504" s="4">
        <f>Games[[#This Row],[K]]*Games[[#This Row],[POMult]]</f>
        <v>70</v>
      </c>
      <c r="AA504" s="4">
        <f>(Games[[#This Row],[Keff]]*Games[[#This Row],[MOVMult]])*(Games[[#This Row],[Result]]-Games[[#This Row],[ExpectedWin%]])</f>
        <v>7.7548996581344039</v>
      </c>
      <c r="AB504" s="4">
        <f>Games[[#This Row],[PreGmRate]]+Games[[#This Row],[RatingChange]]</f>
        <v>1543.4765231558756</v>
      </c>
      <c r="AC504" s="2">
        <f>IF(Games[[#This Row],[Type]]="R",IF(Games[[#This Row],[Result]]&gt;0.5,1,0),0)</f>
        <v>1</v>
      </c>
      <c r="AD504" s="2">
        <f>IF(Games[[#This Row],[Type]]="R",IF(Games[[#This Row],[Result]]&lt;0.5,1,0),0)</f>
        <v>0</v>
      </c>
      <c r="AE504" s="2">
        <f>IF(AND(Games[[#This Row],[Type]]="P",Games[[#This Row],[Round]]=1),IF(Games[[#This Row],[Result]]&gt;0.5,1,0),0)</f>
        <v>0</v>
      </c>
      <c r="AF504" s="2">
        <f>IF(AND(Games[[#This Row],[Type]]="P",Games[[#This Row],[Round]]=1),IF(Games[[#This Row],[Result]]&lt;0.5,1,0),0)</f>
        <v>0</v>
      </c>
      <c r="AG504" s="2">
        <f>IF(AND(Games[[#This Row],[Type]]="P",Games[[#This Row],[Round]]=2),IF(Games[[#This Row],[Result]]&gt;0.5,1,0),0)</f>
        <v>0</v>
      </c>
      <c r="AH504" s="2">
        <f>IF(AND(Games[[#This Row],[Type]]="P",Games[[#This Row],[Round]]=2),IF(Games[[#This Row],[Result]]&lt;0.5,1,0),0)</f>
        <v>0</v>
      </c>
      <c r="AI504" s="2">
        <f>IF(AND(Games[[#This Row],[Type]]="P",Games[[#This Row],[Round]]=3),IF(Games[[#This Row],[Result]]&gt;0.5,1,0),0)</f>
        <v>0</v>
      </c>
      <c r="AJ504" s="2">
        <f>IF(AND(Games[[#This Row],[Type]]="P",Games[[#This Row],[Round]]=3),IF(Games[[#This Row],[Result]]&lt;0.5,1,0),0)</f>
        <v>0</v>
      </c>
      <c r="AK504" s="2">
        <f>IF(AND(Games[[#This Row],[Type]]="P",Games[[#This Row],[Round]]=4),IF(Games[[#This Row],[Result]]&gt;0.5,1,0),0)</f>
        <v>0</v>
      </c>
      <c r="AL504" s="2">
        <f>IF(AND(Games[[#This Row],[Type]]="P",Games[[#This Row],[Round]]=4),IF(Games[[#This Row],[Result]]&lt;0.5,1,0),0)</f>
        <v>0</v>
      </c>
    </row>
    <row r="505" spans="1:38" x14ac:dyDescent="0.35">
      <c r="A505" s="10">
        <v>45898</v>
      </c>
      <c r="B505" s="2">
        <v>2025</v>
      </c>
      <c r="C505" s="2">
        <f>COUNTIFS(Games[Team],Games[[#This Row],[Team]],Games[Season],Games[[#This Row],[Season]],Games[Date],"&lt;=" &amp; Games[[#This Row],[Date]])</f>
        <v>37</v>
      </c>
      <c r="D505" s="2" t="s">
        <v>79</v>
      </c>
      <c r="E505" s="2" t="s">
        <v>80</v>
      </c>
      <c r="F505" s="1" t="s">
        <v>63</v>
      </c>
      <c r="G505" s="1" t="s">
        <v>69</v>
      </c>
      <c r="H505" s="1" t="s">
        <v>82</v>
      </c>
      <c r="I505" s="2" cm="1">
        <f t="array" ref="I5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5" s="2" cm="1">
        <f t="array" ref="J5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5" s="2">
        <f>Games[[#This Row],[DaysOff]]-Games[[#This Row],[OppDaysOff]]</f>
        <v>0</v>
      </c>
      <c r="L505" s="2">
        <f>Games[[#This Row],[OppDaysOff]]-Games[[#This Row],[DaysOff]]</f>
        <v>0</v>
      </c>
      <c r="M505" s="1">
        <f>MAX(-16, MIN(16, Games[[#This Row],[RestDiff]]*8))</f>
        <v>0</v>
      </c>
      <c r="N505" s="1">
        <f>MAX(-16, MIN(16, Games[[#This Row],[OppRestDiff]]*8))</f>
        <v>0</v>
      </c>
      <c r="O505" s="4" cm="1">
        <f t="array" ref="O5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1443.7185403442993</v>
      </c>
      <c r="P505" s="4" cm="1">
        <f t="array" ref="P5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1535.7216234977411</v>
      </c>
      <c r="Q505" s="4">
        <f>1/(1+10^(((Games[[#This Row],[OppPreGmRate]]+IF(Games[[#This Row],[HomeAway]]="A",HCA,0)+Games[[#This Row],[OppRestAdj]])-(Games[[#This Row],[PreGmRate]]+IF(Games[[#This Row],[HomeAway]]="H",HCA,0)+Games[[#This Row],[RestAdj]]))/400))</f>
        <v>0.48848467412027136</v>
      </c>
      <c r="R505" s="1">
        <v>75</v>
      </c>
      <c r="S505" s="1">
        <v>76</v>
      </c>
      <c r="T505" s="1">
        <v>0</v>
      </c>
      <c r="U505" s="1">
        <f>Games[[#This Row],[PointsFor]]-Games[[#This Row],[PointsAgainst]]</f>
        <v>-1</v>
      </c>
      <c r="V505" s="1">
        <f>IF(Games[[#This Row],[MOV]]&gt;0,1,IF(Games[[#This Row],[MOV]]=0,0.5,0))</f>
        <v>0</v>
      </c>
      <c r="W505" s="4">
        <f>((ABS(Games[[#This Row],[MOV]])+5)^0.6)/(12+0.01*(ABS(Games[[#This Row],[PreGmRate]]-Games[[#This Row],[OppPreGmRate]])))*IF(Games[[#This Row],[OT]]=1,0.9,1)</f>
        <v>0.22679172285191271</v>
      </c>
      <c r="X505" s="7" cm="1">
        <f t="array" ref="X5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5" s="9">
        <f>MAX(kmin, kmax - 0.15 * MIN(Games[[#This Row],[GamesPlayed]], 82))</f>
        <v>70.45</v>
      </c>
      <c r="Z505" s="4">
        <f>Games[[#This Row],[K]]*Games[[#This Row],[POMult]]</f>
        <v>70.45</v>
      </c>
      <c r="AA505" s="4">
        <f>(Games[[#This Row],[Keff]]*Games[[#This Row],[MOVMult]])*(Games[[#This Row],[Result]]-Games[[#This Row],[ExpectedWin%]])</f>
        <v>-7.8047525845081251</v>
      </c>
      <c r="AB505" s="4">
        <f>Games[[#This Row],[PreGmRate]]+Games[[#This Row],[RatingChange]]</f>
        <v>1435.9137877597911</v>
      </c>
      <c r="AC505" s="2">
        <f>IF(Games[[#This Row],[Type]]="R",IF(Games[[#This Row],[Result]]&gt;0.5,1,0),0)</f>
        <v>0</v>
      </c>
      <c r="AD505" s="2">
        <f>IF(Games[[#This Row],[Type]]="R",IF(Games[[#This Row],[Result]]&lt;0.5,1,0),0)</f>
        <v>1</v>
      </c>
      <c r="AE505" s="2">
        <f>IF(AND(Games[[#This Row],[Type]]="P",Games[[#This Row],[Round]]=1),IF(Games[[#This Row],[Result]]&gt;0.5,1,0),0)</f>
        <v>0</v>
      </c>
      <c r="AF505" s="2">
        <f>IF(AND(Games[[#This Row],[Type]]="P",Games[[#This Row],[Round]]=1),IF(Games[[#This Row],[Result]]&lt;0.5,1,0),0)</f>
        <v>0</v>
      </c>
      <c r="AG505" s="2">
        <f>IF(AND(Games[[#This Row],[Type]]="P",Games[[#This Row],[Round]]=2),IF(Games[[#This Row],[Result]]&gt;0.5,1,0),0)</f>
        <v>0</v>
      </c>
      <c r="AH505" s="2">
        <f>IF(AND(Games[[#This Row],[Type]]="P",Games[[#This Row],[Round]]=2),IF(Games[[#This Row],[Result]]&lt;0.5,1,0),0)</f>
        <v>0</v>
      </c>
      <c r="AI505" s="2">
        <f>IF(AND(Games[[#This Row],[Type]]="P",Games[[#This Row],[Round]]=3),IF(Games[[#This Row],[Result]]&gt;0.5,1,0),0)</f>
        <v>0</v>
      </c>
      <c r="AJ505" s="2">
        <f>IF(AND(Games[[#This Row],[Type]]="P",Games[[#This Row],[Round]]=3),IF(Games[[#This Row],[Result]]&lt;0.5,1,0),0)</f>
        <v>0</v>
      </c>
      <c r="AK505" s="2">
        <f>IF(AND(Games[[#This Row],[Type]]="P",Games[[#This Row],[Round]]=4),IF(Games[[#This Row],[Result]]&gt;0.5,1,0),0)</f>
        <v>0</v>
      </c>
      <c r="AL505" s="2">
        <f>IF(AND(Games[[#This Row],[Type]]="P",Games[[#This Row],[Round]]=4),IF(Games[[#This Row],[Result]]&lt;0.5,1,0),0)</f>
        <v>0</v>
      </c>
    </row>
    <row r="506" spans="1:38" x14ac:dyDescent="0.35">
      <c r="A506" s="10">
        <v>45899</v>
      </c>
      <c r="B506" s="2">
        <v>2025</v>
      </c>
      <c r="C506" s="2">
        <f>COUNTIFS(Games[Team],Games[[#This Row],[Team]],Games[Season],Games[[#This Row],[Season]],Games[Date],"&lt;=" &amp; Games[[#This Row],[Date]])</f>
        <v>40</v>
      </c>
      <c r="D506" s="2" t="s">
        <v>79</v>
      </c>
      <c r="E506" s="2" t="s">
        <v>80</v>
      </c>
      <c r="F506" s="1" t="s">
        <v>67</v>
      </c>
      <c r="G506" s="1" t="s">
        <v>74</v>
      </c>
      <c r="H506" s="1" t="s">
        <v>81</v>
      </c>
      <c r="I506" s="2" cm="1">
        <f t="array" ref="I5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6" s="2" cm="1">
        <f t="array" ref="J5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6" s="2">
        <f>Games[[#This Row],[DaysOff]]-Games[[#This Row],[OppDaysOff]]</f>
        <v>-1</v>
      </c>
      <c r="L506" s="2">
        <f>Games[[#This Row],[OppDaysOff]]-Games[[#This Row],[DaysOff]]</f>
        <v>1</v>
      </c>
      <c r="M506" s="1">
        <f>MAX(-16, MIN(16, Games[[#This Row],[RestDiff]]*8))</f>
        <v>-8</v>
      </c>
      <c r="N506" s="1">
        <f>MAX(-16, MIN(16, Games[[#This Row],[OppRestDiff]]*8))</f>
        <v>8</v>
      </c>
      <c r="O506" s="4" cm="1">
        <f t="array" ref="O5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1682.0757413244967</v>
      </c>
      <c r="P506" s="4" cm="1">
        <f t="array" ref="P5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1397.7803695638916</v>
      </c>
      <c r="Q506" s="4">
        <f>1/(1+10^(((Games[[#This Row],[OppPreGmRate]]+IF(Games[[#This Row],[HomeAway]]="A",HCA,0)+Games[[#This Row],[OppRestAdj]])-(Games[[#This Row],[PreGmRate]]+IF(Games[[#This Row],[HomeAway]]="H",HCA,0)+Games[[#This Row],[RestAdj]]))/400))</f>
        <v>0.74286048161688967</v>
      </c>
      <c r="R506" s="1">
        <v>94</v>
      </c>
      <c r="S506" s="1">
        <v>70</v>
      </c>
      <c r="T506" s="1">
        <v>0</v>
      </c>
      <c r="U506" s="1">
        <f>Games[[#This Row],[PointsFor]]-Games[[#This Row],[PointsAgainst]]</f>
        <v>24</v>
      </c>
      <c r="V506" s="1">
        <f>IF(Games[[#This Row],[MOV]]&gt;0,1,IF(Games[[#This Row],[MOV]]=0,0.5,0))</f>
        <v>1</v>
      </c>
      <c r="W506" s="4">
        <f>((ABS(Games[[#This Row],[MOV]])+5)^0.6)/(12+0.01*(ABS(Games[[#This Row],[PreGmRate]]-Games[[#This Row],[OppPreGmRate]])))*IF(Games[[#This Row],[OT]]=1,0.9,1)</f>
        <v>0.50806404957206319</v>
      </c>
      <c r="X506" s="7" cm="1">
        <f t="array" ref="X5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6" s="9">
        <f>MAX(kmin, kmax - 0.15 * MIN(Games[[#This Row],[GamesPlayed]], 82))</f>
        <v>70</v>
      </c>
      <c r="Z506" s="4">
        <f>Games[[#This Row],[K]]*Games[[#This Row],[POMult]]</f>
        <v>70</v>
      </c>
      <c r="AA506" s="4">
        <f>(Games[[#This Row],[Keff]]*Games[[#This Row],[MOVMult]])*(Games[[#This Row],[Result]]-Games[[#This Row],[ExpectedWin%]])</f>
        <v>9.1450341510313109</v>
      </c>
      <c r="AB506" s="4">
        <f>Games[[#This Row],[PreGmRate]]+Games[[#This Row],[RatingChange]]</f>
        <v>1691.2207754755279</v>
      </c>
      <c r="AC506" s="2">
        <f>IF(Games[[#This Row],[Type]]="R",IF(Games[[#This Row],[Result]]&gt;0.5,1,0),0)</f>
        <v>1</v>
      </c>
      <c r="AD506" s="2">
        <f>IF(Games[[#This Row],[Type]]="R",IF(Games[[#This Row],[Result]]&lt;0.5,1,0),0)</f>
        <v>0</v>
      </c>
      <c r="AE506" s="2">
        <f>IF(AND(Games[[#This Row],[Type]]="P",Games[[#This Row],[Round]]=1),IF(Games[[#This Row],[Result]]&gt;0.5,1,0),0)</f>
        <v>0</v>
      </c>
      <c r="AF506" s="2">
        <f>IF(AND(Games[[#This Row],[Type]]="P",Games[[#This Row],[Round]]=1),IF(Games[[#This Row],[Result]]&lt;0.5,1,0),0)</f>
        <v>0</v>
      </c>
      <c r="AG506" s="2">
        <f>IF(AND(Games[[#This Row],[Type]]="P",Games[[#This Row],[Round]]=2),IF(Games[[#This Row],[Result]]&gt;0.5,1,0),0)</f>
        <v>0</v>
      </c>
      <c r="AH506" s="2">
        <f>IF(AND(Games[[#This Row],[Type]]="P",Games[[#This Row],[Round]]=2),IF(Games[[#This Row],[Result]]&lt;0.5,1,0),0)</f>
        <v>0</v>
      </c>
      <c r="AI506" s="2">
        <f>IF(AND(Games[[#This Row],[Type]]="P",Games[[#This Row],[Round]]=3),IF(Games[[#This Row],[Result]]&gt;0.5,1,0),0)</f>
        <v>0</v>
      </c>
      <c r="AJ506" s="2">
        <f>IF(AND(Games[[#This Row],[Type]]="P",Games[[#This Row],[Round]]=3),IF(Games[[#This Row],[Result]]&lt;0.5,1,0),0)</f>
        <v>0</v>
      </c>
      <c r="AK506" s="2">
        <f>IF(AND(Games[[#This Row],[Type]]="P",Games[[#This Row],[Round]]=4),IF(Games[[#This Row],[Result]]&gt;0.5,1,0),0)</f>
        <v>0</v>
      </c>
      <c r="AL506" s="2">
        <f>IF(AND(Games[[#This Row],[Type]]="P",Games[[#This Row],[Round]]=4),IF(Games[[#This Row],[Result]]&lt;0.5,1,0),0)</f>
        <v>0</v>
      </c>
    </row>
    <row r="507" spans="1:38" x14ac:dyDescent="0.35">
      <c r="A507" s="10">
        <v>45899</v>
      </c>
      <c r="B507" s="2">
        <v>2025</v>
      </c>
      <c r="C507" s="2">
        <f>COUNTIFS(Games[Team],Games[[#This Row],[Team]],Games[Season],Games[[#This Row],[Season]],Games[Date],"&lt;=" &amp; Games[[#This Row],[Date]])</f>
        <v>39</v>
      </c>
      <c r="D507" s="2" t="s">
        <v>79</v>
      </c>
      <c r="E507" s="2" t="s">
        <v>80</v>
      </c>
      <c r="F507" s="1" t="s">
        <v>74</v>
      </c>
      <c r="G507" s="1" t="s">
        <v>67</v>
      </c>
      <c r="H507" s="1" t="s">
        <v>82</v>
      </c>
      <c r="I507" s="2" cm="1">
        <f t="array" ref="I5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7" s="2" cm="1">
        <f t="array" ref="J5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7" s="2">
        <f>Games[[#This Row],[DaysOff]]-Games[[#This Row],[OppDaysOff]]</f>
        <v>1</v>
      </c>
      <c r="L507" s="2">
        <f>Games[[#This Row],[OppDaysOff]]-Games[[#This Row],[DaysOff]]</f>
        <v>-1</v>
      </c>
      <c r="M507" s="1">
        <f>MAX(-16, MIN(16, Games[[#This Row],[RestDiff]]*8))</f>
        <v>8</v>
      </c>
      <c r="N507" s="1">
        <f>MAX(-16, MIN(16, Games[[#This Row],[OppRestDiff]]*8))</f>
        <v>-8</v>
      </c>
      <c r="O507" s="4" cm="1">
        <f t="array" ref="O5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1397.7803695638916</v>
      </c>
      <c r="P507" s="4" cm="1">
        <f t="array" ref="P5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1682.0757413244967</v>
      </c>
      <c r="Q507" s="4">
        <f>1/(1+10^(((Games[[#This Row],[OppPreGmRate]]+IF(Games[[#This Row],[HomeAway]]="A",HCA,0)+Games[[#This Row],[OppRestAdj]])-(Games[[#This Row],[PreGmRate]]+IF(Games[[#This Row],[HomeAway]]="H",HCA,0)+Games[[#This Row],[RestAdj]]))/400))</f>
        <v>0.25713951838311028</v>
      </c>
      <c r="R507" s="1">
        <v>70</v>
      </c>
      <c r="S507" s="1">
        <v>94</v>
      </c>
      <c r="T507" s="1">
        <v>0</v>
      </c>
      <c r="U507" s="1">
        <f>Games[[#This Row],[PointsFor]]-Games[[#This Row],[PointsAgainst]]</f>
        <v>-24</v>
      </c>
      <c r="V507" s="1">
        <f>IF(Games[[#This Row],[MOV]]&gt;0,1,IF(Games[[#This Row],[MOV]]=0,0.5,0))</f>
        <v>0</v>
      </c>
      <c r="W507" s="4">
        <f>((ABS(Games[[#This Row],[MOV]])+5)^0.6)/(12+0.01*(ABS(Games[[#This Row],[PreGmRate]]-Games[[#This Row],[OppPreGmRate]])))*IF(Games[[#This Row],[OT]]=1,0.9,1)</f>
        <v>0.50806404957206319</v>
      </c>
      <c r="X507" s="7" cm="1">
        <f t="array" ref="X5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7" s="9">
        <f>MAX(kmin, kmax - 0.15 * MIN(Games[[#This Row],[GamesPlayed]], 82))</f>
        <v>70.150000000000006</v>
      </c>
      <c r="Z507" s="4">
        <f>Games[[#This Row],[K]]*Games[[#This Row],[POMult]]</f>
        <v>70.150000000000006</v>
      </c>
      <c r="AA507" s="4">
        <f>(Games[[#This Row],[Keff]]*Games[[#This Row],[MOVMult]])*(Games[[#This Row],[Result]]-Games[[#This Row],[ExpectedWin%]])</f>
        <v>-9.1646306527835204</v>
      </c>
      <c r="AB507" s="4">
        <f>Games[[#This Row],[PreGmRate]]+Games[[#This Row],[RatingChange]]</f>
        <v>1388.6157389111081</v>
      </c>
      <c r="AC507" s="2">
        <f>IF(Games[[#This Row],[Type]]="R",IF(Games[[#This Row],[Result]]&gt;0.5,1,0),0)</f>
        <v>0</v>
      </c>
      <c r="AD507" s="2">
        <f>IF(Games[[#This Row],[Type]]="R",IF(Games[[#This Row],[Result]]&lt;0.5,1,0),0)</f>
        <v>1</v>
      </c>
      <c r="AE507" s="2">
        <f>IF(AND(Games[[#This Row],[Type]]="P",Games[[#This Row],[Round]]=1),IF(Games[[#This Row],[Result]]&gt;0.5,1,0),0)</f>
        <v>0</v>
      </c>
      <c r="AF507" s="2">
        <f>IF(AND(Games[[#This Row],[Type]]="P",Games[[#This Row],[Round]]=1),IF(Games[[#This Row],[Result]]&lt;0.5,1,0),0)</f>
        <v>0</v>
      </c>
      <c r="AG507" s="2">
        <f>IF(AND(Games[[#This Row],[Type]]="P",Games[[#This Row],[Round]]=2),IF(Games[[#This Row],[Result]]&gt;0.5,1,0),0)</f>
        <v>0</v>
      </c>
      <c r="AH507" s="2">
        <f>IF(AND(Games[[#This Row],[Type]]="P",Games[[#This Row],[Round]]=2),IF(Games[[#This Row],[Result]]&lt;0.5,1,0),0)</f>
        <v>0</v>
      </c>
      <c r="AI507" s="2">
        <f>IF(AND(Games[[#This Row],[Type]]="P",Games[[#This Row],[Round]]=3),IF(Games[[#This Row],[Result]]&gt;0.5,1,0),0)</f>
        <v>0</v>
      </c>
      <c r="AJ507" s="2">
        <f>IF(AND(Games[[#This Row],[Type]]="P",Games[[#This Row],[Round]]=3),IF(Games[[#This Row],[Result]]&lt;0.5,1,0),0)</f>
        <v>0</v>
      </c>
      <c r="AK507" s="2">
        <f>IF(AND(Games[[#This Row],[Type]]="P",Games[[#This Row],[Round]]=4),IF(Games[[#This Row],[Result]]&gt;0.5,1,0),0)</f>
        <v>0</v>
      </c>
      <c r="AL507" s="2">
        <f>IF(AND(Games[[#This Row],[Type]]="P",Games[[#This Row],[Round]]=4),IF(Games[[#This Row],[Result]]&lt;0.5,1,0),0)</f>
        <v>0</v>
      </c>
    </row>
    <row r="508" spans="1:38" x14ac:dyDescent="0.35">
      <c r="A508" s="10">
        <v>45899</v>
      </c>
      <c r="B508" s="2">
        <v>2025</v>
      </c>
      <c r="C508" s="2">
        <f>COUNTIFS(Games[Team],Games[[#This Row],[Team]],Games[Season],Games[[#This Row],[Season]],Games[Date],"&lt;=" &amp; Games[[#This Row],[Date]])</f>
        <v>40</v>
      </c>
      <c r="D508" s="2" t="s">
        <v>79</v>
      </c>
      <c r="E508" s="2" t="s">
        <v>80</v>
      </c>
      <c r="F508" s="1" t="s">
        <v>65</v>
      </c>
      <c r="G508" s="1" t="s">
        <v>88</v>
      </c>
      <c r="H508" s="1" t="s">
        <v>81</v>
      </c>
      <c r="I508" s="2" cm="1">
        <f t="array" ref="I5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8" s="2" cm="1">
        <f t="array" ref="J50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508" s="2">
        <f>Games[[#This Row],[DaysOff]]-Games[[#This Row],[OppDaysOff]]</f>
        <v>-4</v>
      </c>
      <c r="L508" s="2">
        <f>Games[[#This Row],[OppDaysOff]]-Games[[#This Row],[DaysOff]]</f>
        <v>4</v>
      </c>
      <c r="M508" s="1">
        <f>MAX(-16, MIN(16, Games[[#This Row],[RestDiff]]*8))</f>
        <v>-16</v>
      </c>
      <c r="N508" s="1">
        <f>MAX(-16, MIN(16, Games[[#This Row],[OppRestDiff]]*8))</f>
        <v>16</v>
      </c>
      <c r="O508" s="4" cm="1">
        <f t="array" ref="O5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1398.733144508182</v>
      </c>
      <c r="P508" s="4" cm="1">
        <f t="array" ref="P5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1503.0047734801719</v>
      </c>
      <c r="Q508" s="4">
        <f>1/(1+10^(((Games[[#This Row],[OppPreGmRate]]+IF(Games[[#This Row],[HomeAway]]="A",HCA,0)+Games[[#This Row],[OppRestAdj]])-(Games[[#This Row],[PreGmRate]]+IF(Games[[#This Row],[HomeAway]]="H",HCA,0)+Games[[#This Row],[RestAdj]]))/400))</f>
        <v>0.2196023094545565</v>
      </c>
      <c r="R508" s="1">
        <v>62</v>
      </c>
      <c r="S508" s="1">
        <v>99</v>
      </c>
      <c r="T508" s="1">
        <v>0</v>
      </c>
      <c r="U508" s="1">
        <f>Games[[#This Row],[PointsFor]]-Games[[#This Row],[PointsAgainst]]</f>
        <v>-37</v>
      </c>
      <c r="V508" s="1">
        <f>IF(Games[[#This Row],[MOV]]&gt;0,1,IF(Games[[#This Row],[MOV]]=0,0.5,0))</f>
        <v>0</v>
      </c>
      <c r="W508" s="4">
        <f>((ABS(Games[[#This Row],[MOV]])+5)^0.6)/(12+0.01*(ABS(Games[[#This Row],[PreGmRate]]-Games[[#This Row],[OppPreGmRate]])))*IF(Games[[#This Row],[OT]]=1,0.9,1)</f>
        <v>0.72207369962021795</v>
      </c>
      <c r="X508" s="7" cm="1">
        <f t="array" ref="X5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8" s="9">
        <f>MAX(kmin, kmax - 0.15 * MIN(Games[[#This Row],[GamesPlayed]], 82))</f>
        <v>70</v>
      </c>
      <c r="Z508" s="4">
        <f>Games[[#This Row],[K]]*Games[[#This Row],[POMult]]</f>
        <v>70</v>
      </c>
      <c r="AA508" s="4">
        <f>(Games[[#This Row],[Keff]]*Games[[#This Row],[MOVMult]])*(Games[[#This Row],[Result]]-Games[[#This Row],[ExpectedWin%]])</f>
        <v>-11.09983364230969</v>
      </c>
      <c r="AB508" s="4">
        <f>Games[[#This Row],[PreGmRate]]+Games[[#This Row],[RatingChange]]</f>
        <v>1387.6333108658723</v>
      </c>
      <c r="AC508" s="2">
        <f>IF(Games[[#This Row],[Type]]="R",IF(Games[[#This Row],[Result]]&gt;0.5,1,0),0)</f>
        <v>0</v>
      </c>
      <c r="AD508" s="2">
        <f>IF(Games[[#This Row],[Type]]="R",IF(Games[[#This Row],[Result]]&lt;0.5,1,0),0)</f>
        <v>1</v>
      </c>
      <c r="AE508" s="2">
        <f>IF(AND(Games[[#This Row],[Type]]="P",Games[[#This Row],[Round]]=1),IF(Games[[#This Row],[Result]]&gt;0.5,1,0),0)</f>
        <v>0</v>
      </c>
      <c r="AF508" s="2">
        <f>IF(AND(Games[[#This Row],[Type]]="P",Games[[#This Row],[Round]]=1),IF(Games[[#This Row],[Result]]&lt;0.5,1,0),0)</f>
        <v>0</v>
      </c>
      <c r="AG508" s="2">
        <f>IF(AND(Games[[#This Row],[Type]]="P",Games[[#This Row],[Round]]=2),IF(Games[[#This Row],[Result]]&gt;0.5,1,0),0)</f>
        <v>0</v>
      </c>
      <c r="AH508" s="2">
        <f>IF(AND(Games[[#This Row],[Type]]="P",Games[[#This Row],[Round]]=2),IF(Games[[#This Row],[Result]]&lt;0.5,1,0),0)</f>
        <v>0</v>
      </c>
      <c r="AI508" s="2">
        <f>IF(AND(Games[[#This Row],[Type]]="P",Games[[#This Row],[Round]]=3),IF(Games[[#This Row],[Result]]&gt;0.5,1,0),0)</f>
        <v>0</v>
      </c>
      <c r="AJ508" s="2">
        <f>IF(AND(Games[[#This Row],[Type]]="P",Games[[#This Row],[Round]]=3),IF(Games[[#This Row],[Result]]&lt;0.5,1,0),0)</f>
        <v>0</v>
      </c>
      <c r="AK508" s="2">
        <f>IF(AND(Games[[#This Row],[Type]]="P",Games[[#This Row],[Round]]=4),IF(Games[[#This Row],[Result]]&gt;0.5,1,0),0)</f>
        <v>0</v>
      </c>
      <c r="AL508" s="2">
        <f>IF(AND(Games[[#This Row],[Type]]="P",Games[[#This Row],[Round]]=4),IF(Games[[#This Row],[Result]]&lt;0.5,1,0),0)</f>
        <v>0</v>
      </c>
    </row>
    <row r="509" spans="1:38" x14ac:dyDescent="0.35">
      <c r="A509" s="10">
        <v>45899</v>
      </c>
      <c r="B509" s="2">
        <v>2025</v>
      </c>
      <c r="C509" s="2">
        <f>COUNTIFS(Games[Team],Games[[#This Row],[Team]],Games[Season],Games[[#This Row],[Season]],Games[Date],"&lt;=" &amp; Games[[#This Row],[Date]])</f>
        <v>38</v>
      </c>
      <c r="D509" s="2" t="s">
        <v>79</v>
      </c>
      <c r="E509" s="2" t="s">
        <v>80</v>
      </c>
      <c r="F509" s="1" t="s">
        <v>88</v>
      </c>
      <c r="G509" s="1" t="s">
        <v>65</v>
      </c>
      <c r="H509" s="1" t="s">
        <v>82</v>
      </c>
      <c r="I509" s="2" cm="1">
        <f t="array" ref="I509">IFERROR(
    Games[[#This Row],[Date]]
    - LOOKUP(
        2,
        1/((Games[Team]=Games[[#This Row],[Team]]) * (Games[Date] &lt; Games[[#This Row],[Date]])),
        Games[Date]
    )
    - 1,
Games[[#This Row],[Date]]-$A$2)</f>
        <v>5</v>
      </c>
      <c r="J509" s="2" cm="1">
        <f t="array" ref="J5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9" s="2">
        <f>Games[[#This Row],[DaysOff]]-Games[[#This Row],[OppDaysOff]]</f>
        <v>4</v>
      </c>
      <c r="L509" s="2">
        <f>Games[[#This Row],[OppDaysOff]]-Games[[#This Row],[DaysOff]]</f>
        <v>-4</v>
      </c>
      <c r="M509" s="1">
        <f>MAX(-16, MIN(16, Games[[#This Row],[RestDiff]]*8))</f>
        <v>16</v>
      </c>
      <c r="N509" s="1">
        <f>MAX(-16, MIN(16, Games[[#This Row],[OppRestDiff]]*8))</f>
        <v>-16</v>
      </c>
      <c r="O509" s="4" cm="1">
        <f t="array" ref="O5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1503.0047734801719</v>
      </c>
      <c r="P509" s="4" cm="1">
        <f t="array" ref="P5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1398.733144508182</v>
      </c>
      <c r="Q509" s="4">
        <f>1/(1+10^(((Games[[#This Row],[OppPreGmRate]]+IF(Games[[#This Row],[HomeAway]]="A",HCA,0)+Games[[#This Row],[OppRestAdj]])-(Games[[#This Row],[PreGmRate]]+IF(Games[[#This Row],[HomeAway]]="H",HCA,0)+Games[[#This Row],[RestAdj]]))/400))</f>
        <v>0.7803976905454435</v>
      </c>
      <c r="R509" s="1">
        <v>99</v>
      </c>
      <c r="S509" s="1">
        <v>62</v>
      </c>
      <c r="T509" s="1">
        <v>0</v>
      </c>
      <c r="U509" s="1">
        <f>Games[[#This Row],[PointsFor]]-Games[[#This Row],[PointsAgainst]]</f>
        <v>37</v>
      </c>
      <c r="V509" s="1">
        <f>IF(Games[[#This Row],[MOV]]&gt;0,1,IF(Games[[#This Row],[MOV]]=0,0.5,0))</f>
        <v>1</v>
      </c>
      <c r="W509" s="4">
        <f>((ABS(Games[[#This Row],[MOV]])+5)^0.6)/(12+0.01*(ABS(Games[[#This Row],[PreGmRate]]-Games[[#This Row],[OppPreGmRate]])))*IF(Games[[#This Row],[OT]]=1,0.9,1)</f>
        <v>0.72207369962021795</v>
      </c>
      <c r="X509" s="7" cm="1">
        <f t="array" ref="X5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9" s="9">
        <f>MAX(kmin, kmax - 0.15 * MIN(Games[[#This Row],[GamesPlayed]], 82))</f>
        <v>70.3</v>
      </c>
      <c r="Z509" s="4">
        <f>Games[[#This Row],[K]]*Games[[#This Row],[POMult]]</f>
        <v>70.3</v>
      </c>
      <c r="AA509" s="4">
        <f>(Games[[#This Row],[Keff]]*Games[[#This Row],[MOVMult]])*(Games[[#This Row],[Result]]-Games[[#This Row],[ExpectedWin%]])</f>
        <v>11.147404357919589</v>
      </c>
      <c r="AB509" s="4">
        <f>Games[[#This Row],[PreGmRate]]+Games[[#This Row],[RatingChange]]</f>
        <v>1514.1521778380916</v>
      </c>
      <c r="AC509" s="2">
        <f>IF(Games[[#This Row],[Type]]="R",IF(Games[[#This Row],[Result]]&gt;0.5,1,0),0)</f>
        <v>1</v>
      </c>
      <c r="AD509" s="2">
        <f>IF(Games[[#This Row],[Type]]="R",IF(Games[[#This Row],[Result]]&lt;0.5,1,0),0)</f>
        <v>0</v>
      </c>
      <c r="AE509" s="2">
        <f>IF(AND(Games[[#This Row],[Type]]="P",Games[[#This Row],[Round]]=1),IF(Games[[#This Row],[Result]]&gt;0.5,1,0),0)</f>
        <v>0</v>
      </c>
      <c r="AF509" s="2">
        <f>IF(AND(Games[[#This Row],[Type]]="P",Games[[#This Row],[Round]]=1),IF(Games[[#This Row],[Result]]&lt;0.5,1,0),0)</f>
        <v>0</v>
      </c>
      <c r="AG509" s="2">
        <f>IF(AND(Games[[#This Row],[Type]]="P",Games[[#This Row],[Round]]=2),IF(Games[[#This Row],[Result]]&gt;0.5,1,0),0)</f>
        <v>0</v>
      </c>
      <c r="AH509" s="2">
        <f>IF(AND(Games[[#This Row],[Type]]="P",Games[[#This Row],[Round]]=2),IF(Games[[#This Row],[Result]]&lt;0.5,1,0),0)</f>
        <v>0</v>
      </c>
      <c r="AI509" s="2">
        <f>IF(AND(Games[[#This Row],[Type]]="P",Games[[#This Row],[Round]]=3),IF(Games[[#This Row],[Result]]&gt;0.5,1,0),0)</f>
        <v>0</v>
      </c>
      <c r="AJ509" s="2">
        <f>IF(AND(Games[[#This Row],[Type]]="P",Games[[#This Row],[Round]]=3),IF(Games[[#This Row],[Result]]&lt;0.5,1,0),0)</f>
        <v>0</v>
      </c>
      <c r="AK509" s="2">
        <f>IF(AND(Games[[#This Row],[Type]]="P",Games[[#This Row],[Round]]=4),IF(Games[[#This Row],[Result]]&gt;0.5,1,0),0)</f>
        <v>0</v>
      </c>
      <c r="AL509" s="2">
        <f>IF(AND(Games[[#This Row],[Type]]="P",Games[[#This Row],[Round]]=4),IF(Games[[#This Row],[Result]]&lt;0.5,1,0),0)</f>
        <v>0</v>
      </c>
    </row>
    <row r="510" spans="1:38" x14ac:dyDescent="0.35">
      <c r="A510" s="10">
        <v>45899</v>
      </c>
      <c r="B510" s="2">
        <v>2025</v>
      </c>
      <c r="C510" s="2">
        <f>COUNTIFS(Games[Team],Games[[#This Row],[Team]],Games[Season],Games[[#This Row],[Season]],Games[Date],"&lt;=" &amp; Games[[#This Row],[Date]])</f>
        <v>40</v>
      </c>
      <c r="D510" s="2" t="s">
        <v>79</v>
      </c>
      <c r="E510" s="2" t="s">
        <v>80</v>
      </c>
      <c r="F510" s="1" t="s">
        <v>60</v>
      </c>
      <c r="G510" s="1" t="s">
        <v>40</v>
      </c>
      <c r="H510" s="1" t="s">
        <v>81</v>
      </c>
      <c r="I510" s="2" cm="1">
        <f t="array" ref="I5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0" s="2" cm="1">
        <f t="array" ref="J5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0" s="2">
        <f>Games[[#This Row],[DaysOff]]-Games[[#This Row],[OppDaysOff]]</f>
        <v>0</v>
      </c>
      <c r="L510" s="2">
        <f>Games[[#This Row],[OppDaysOff]]-Games[[#This Row],[DaysOff]]</f>
        <v>0</v>
      </c>
      <c r="M510" s="1">
        <f>MAX(-16, MIN(16, Games[[#This Row],[RestDiff]]*8))</f>
        <v>0</v>
      </c>
      <c r="N510" s="1">
        <f>MAX(-16, MIN(16, Games[[#This Row],[OppRestDiff]]*8))</f>
        <v>0</v>
      </c>
      <c r="O510" s="4" cm="1">
        <f t="array" ref="O5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1585.017443561436</v>
      </c>
      <c r="P510" s="4" cm="1">
        <f t="array" ref="P5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1574.8854406531318</v>
      </c>
      <c r="Q510" s="4">
        <f>1/(1+10^(((Games[[#This Row],[OppPreGmRate]]+IF(Games[[#This Row],[HomeAway]]="A",HCA,0)+Games[[#This Row],[OppRestAdj]])-(Games[[#This Row],[PreGmRate]]+IF(Games[[#This Row],[HomeAway]]="H",HCA,0)+Games[[#This Row],[RestAdj]]))/400))</f>
        <v>0.39526871624540055</v>
      </c>
      <c r="R510" s="1">
        <v>63</v>
      </c>
      <c r="S510" s="1">
        <v>80</v>
      </c>
      <c r="T510" s="1">
        <v>0</v>
      </c>
      <c r="U510" s="1">
        <f>Games[[#This Row],[PointsFor]]-Games[[#This Row],[PointsAgainst]]</f>
        <v>-17</v>
      </c>
      <c r="V510" s="1">
        <f>IF(Games[[#This Row],[MOV]]&gt;0,1,IF(Games[[#This Row],[MOV]]=0,0.5,0))</f>
        <v>0</v>
      </c>
      <c r="W510" s="4">
        <f>((ABS(Games[[#This Row],[MOV]])+5)^0.6)/(12+0.01*(ABS(Games[[#This Row],[PreGmRate]]-Games[[#This Row],[OppPreGmRate]])))*IF(Games[[#This Row],[OT]]=1,0.9,1)</f>
        <v>0.52798412186675359</v>
      </c>
      <c r="X510" s="7" cm="1">
        <f t="array" ref="X5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0" s="9">
        <f>MAX(kmin, kmax - 0.15 * MIN(Games[[#This Row],[GamesPlayed]], 82))</f>
        <v>70</v>
      </c>
      <c r="Z510" s="4">
        <f>Games[[#This Row],[K]]*Games[[#This Row],[POMult]]</f>
        <v>70</v>
      </c>
      <c r="AA510" s="4">
        <f>(Games[[#This Row],[Keff]]*Games[[#This Row],[MOVMult]])*(Games[[#This Row],[Result]]-Games[[#This Row],[ExpectedWin%]])</f>
        <v>-14.608692423375876</v>
      </c>
      <c r="AB510" s="4">
        <f>Games[[#This Row],[PreGmRate]]+Games[[#This Row],[RatingChange]]</f>
        <v>1570.4087511380601</v>
      </c>
      <c r="AC510" s="2">
        <f>IF(Games[[#This Row],[Type]]="R",IF(Games[[#This Row],[Result]]&gt;0.5,1,0),0)</f>
        <v>0</v>
      </c>
      <c r="AD510" s="2">
        <f>IF(Games[[#This Row],[Type]]="R",IF(Games[[#This Row],[Result]]&lt;0.5,1,0),0)</f>
        <v>1</v>
      </c>
      <c r="AE510" s="2">
        <f>IF(AND(Games[[#This Row],[Type]]="P",Games[[#This Row],[Round]]=1),IF(Games[[#This Row],[Result]]&gt;0.5,1,0),0)</f>
        <v>0</v>
      </c>
      <c r="AF510" s="2">
        <f>IF(AND(Games[[#This Row],[Type]]="P",Games[[#This Row],[Round]]=1),IF(Games[[#This Row],[Result]]&lt;0.5,1,0),0)</f>
        <v>0</v>
      </c>
      <c r="AG510" s="2">
        <f>IF(AND(Games[[#This Row],[Type]]="P",Games[[#This Row],[Round]]=2),IF(Games[[#This Row],[Result]]&gt;0.5,1,0),0)</f>
        <v>0</v>
      </c>
      <c r="AH510" s="2">
        <f>IF(AND(Games[[#This Row],[Type]]="P",Games[[#This Row],[Round]]=2),IF(Games[[#This Row],[Result]]&lt;0.5,1,0),0)</f>
        <v>0</v>
      </c>
      <c r="AI510" s="2">
        <f>IF(AND(Games[[#This Row],[Type]]="P",Games[[#This Row],[Round]]=3),IF(Games[[#This Row],[Result]]&gt;0.5,1,0),0)</f>
        <v>0</v>
      </c>
      <c r="AJ510" s="2">
        <f>IF(AND(Games[[#This Row],[Type]]="P",Games[[#This Row],[Round]]=3),IF(Games[[#This Row],[Result]]&lt;0.5,1,0),0)</f>
        <v>0</v>
      </c>
      <c r="AK510" s="2">
        <f>IF(AND(Games[[#This Row],[Type]]="P",Games[[#This Row],[Round]]=4),IF(Games[[#This Row],[Result]]&gt;0.5,1,0),0)</f>
        <v>0</v>
      </c>
      <c r="AL510" s="2">
        <f>IF(AND(Games[[#This Row],[Type]]="P",Games[[#This Row],[Round]]=4),IF(Games[[#This Row],[Result]]&lt;0.5,1,0),0)</f>
        <v>0</v>
      </c>
    </row>
    <row r="511" spans="1:38" x14ac:dyDescent="0.35">
      <c r="A511" s="10">
        <v>45899</v>
      </c>
      <c r="B511" s="2">
        <v>2025</v>
      </c>
      <c r="C511" s="2">
        <f>COUNTIFS(Games[Team],Games[[#This Row],[Team]],Games[Season],Games[[#This Row],[Season]],Games[Date],"&lt;=" &amp; Games[[#This Row],[Date]])</f>
        <v>39</v>
      </c>
      <c r="D511" s="2" t="s">
        <v>79</v>
      </c>
      <c r="E511" s="2" t="s">
        <v>80</v>
      </c>
      <c r="F511" s="1" t="s">
        <v>40</v>
      </c>
      <c r="G511" s="1" t="s">
        <v>60</v>
      </c>
      <c r="H511" s="1" t="s">
        <v>82</v>
      </c>
      <c r="I511" s="2" cm="1">
        <f t="array" ref="I5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1" s="2" cm="1">
        <f t="array" ref="J5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1" s="2">
        <f>Games[[#This Row],[DaysOff]]-Games[[#This Row],[OppDaysOff]]</f>
        <v>0</v>
      </c>
      <c r="L511" s="2">
        <f>Games[[#This Row],[OppDaysOff]]-Games[[#This Row],[DaysOff]]</f>
        <v>0</v>
      </c>
      <c r="M511" s="1">
        <f>MAX(-16, MIN(16, Games[[#This Row],[RestDiff]]*8))</f>
        <v>0</v>
      </c>
      <c r="N511" s="1">
        <f>MAX(-16, MIN(16, Games[[#This Row],[OppRestDiff]]*8))</f>
        <v>0</v>
      </c>
      <c r="O511" s="4" cm="1">
        <f t="array" ref="O5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1574.8854406531318</v>
      </c>
      <c r="P511" s="4" cm="1">
        <f t="array" ref="P5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1585.017443561436</v>
      </c>
      <c r="Q511" s="4">
        <f>1/(1+10^(((Games[[#This Row],[OppPreGmRate]]+IF(Games[[#This Row],[HomeAway]]="A",HCA,0)+Games[[#This Row],[OppRestAdj]])-(Games[[#This Row],[PreGmRate]]+IF(Games[[#This Row],[HomeAway]]="H",HCA,0)+Games[[#This Row],[RestAdj]]))/400))</f>
        <v>0.6047312837545995</v>
      </c>
      <c r="R511" s="1">
        <v>80</v>
      </c>
      <c r="S511" s="1">
        <v>63</v>
      </c>
      <c r="T511" s="1">
        <v>0</v>
      </c>
      <c r="U511" s="1">
        <f>Games[[#This Row],[PointsFor]]-Games[[#This Row],[PointsAgainst]]</f>
        <v>17</v>
      </c>
      <c r="V511" s="1">
        <f>IF(Games[[#This Row],[MOV]]&gt;0,1,IF(Games[[#This Row],[MOV]]=0,0.5,0))</f>
        <v>1</v>
      </c>
      <c r="W511" s="4">
        <f>((ABS(Games[[#This Row],[MOV]])+5)^0.6)/(12+0.01*(ABS(Games[[#This Row],[PreGmRate]]-Games[[#This Row],[OppPreGmRate]])))*IF(Games[[#This Row],[OT]]=1,0.9,1)</f>
        <v>0.52798412186675359</v>
      </c>
      <c r="X511" s="7" cm="1">
        <f t="array" ref="X5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1" s="9">
        <f>MAX(kmin, kmax - 0.15 * MIN(Games[[#This Row],[GamesPlayed]], 82))</f>
        <v>70.150000000000006</v>
      </c>
      <c r="Z511" s="4">
        <f>Games[[#This Row],[K]]*Games[[#This Row],[POMult]]</f>
        <v>70.150000000000006</v>
      </c>
      <c r="AA511" s="4">
        <f>(Games[[#This Row],[Keff]]*Games[[#This Row],[MOVMult]])*(Games[[#This Row],[Result]]-Games[[#This Row],[ExpectedWin%]])</f>
        <v>14.639996764283108</v>
      </c>
      <c r="AB511" s="4">
        <f>Games[[#This Row],[PreGmRate]]+Games[[#This Row],[RatingChange]]</f>
        <v>1589.5254374174149</v>
      </c>
      <c r="AC511" s="2">
        <f>IF(Games[[#This Row],[Type]]="R",IF(Games[[#This Row],[Result]]&gt;0.5,1,0),0)</f>
        <v>1</v>
      </c>
      <c r="AD511" s="2">
        <f>IF(Games[[#This Row],[Type]]="R",IF(Games[[#This Row],[Result]]&lt;0.5,1,0),0)</f>
        <v>0</v>
      </c>
      <c r="AE511" s="2">
        <f>IF(AND(Games[[#This Row],[Type]]="P",Games[[#This Row],[Round]]=1),IF(Games[[#This Row],[Result]]&gt;0.5,1,0),0)</f>
        <v>0</v>
      </c>
      <c r="AF511" s="2">
        <f>IF(AND(Games[[#This Row],[Type]]="P",Games[[#This Row],[Round]]=1),IF(Games[[#This Row],[Result]]&lt;0.5,1,0),0)</f>
        <v>0</v>
      </c>
      <c r="AG511" s="2">
        <f>IF(AND(Games[[#This Row],[Type]]="P",Games[[#This Row],[Round]]=2),IF(Games[[#This Row],[Result]]&gt;0.5,1,0),0)</f>
        <v>0</v>
      </c>
      <c r="AH511" s="2">
        <f>IF(AND(Games[[#This Row],[Type]]="P",Games[[#This Row],[Round]]=2),IF(Games[[#This Row],[Result]]&lt;0.5,1,0),0)</f>
        <v>0</v>
      </c>
      <c r="AI511" s="2">
        <f>IF(AND(Games[[#This Row],[Type]]="P",Games[[#This Row],[Round]]=3),IF(Games[[#This Row],[Result]]&gt;0.5,1,0),0)</f>
        <v>0</v>
      </c>
      <c r="AJ511" s="2">
        <f>IF(AND(Games[[#This Row],[Type]]="P",Games[[#This Row],[Round]]=3),IF(Games[[#This Row],[Result]]&lt;0.5,1,0),0)</f>
        <v>0</v>
      </c>
      <c r="AK511" s="2">
        <f>IF(AND(Games[[#This Row],[Type]]="P",Games[[#This Row],[Round]]=4),IF(Games[[#This Row],[Result]]&gt;0.5,1,0),0)</f>
        <v>0</v>
      </c>
      <c r="AL511" s="2">
        <f>IF(AND(Games[[#This Row],[Type]]="P",Games[[#This Row],[Round]]=4),IF(Games[[#This Row],[Result]]&lt;0.5,1,0),0)</f>
        <v>0</v>
      </c>
    </row>
    <row r="512" spans="1:38" x14ac:dyDescent="0.35">
      <c r="A512" s="10">
        <v>45899</v>
      </c>
      <c r="B512" s="2">
        <v>2025</v>
      </c>
      <c r="C512" s="2">
        <f>COUNTIFS(Games[Team],Games[[#This Row],[Team]],Games[Season],Games[[#This Row],[Season]],Games[Date],"&lt;=" &amp; Games[[#This Row],[Date]])</f>
        <v>39</v>
      </c>
      <c r="D512" s="2" t="s">
        <v>79</v>
      </c>
      <c r="E512" s="2" t="s">
        <v>80</v>
      </c>
      <c r="F512" s="1" t="s">
        <v>75</v>
      </c>
      <c r="G512" s="1" t="s">
        <v>71</v>
      </c>
      <c r="H512" s="1" t="s">
        <v>81</v>
      </c>
      <c r="I512" s="2" cm="1">
        <f t="array" ref="I5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2" s="2" cm="1">
        <f t="array" ref="J5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2" s="2">
        <f>Games[[#This Row],[DaysOff]]-Games[[#This Row],[OppDaysOff]]</f>
        <v>0</v>
      </c>
      <c r="L512" s="2">
        <f>Games[[#This Row],[OppDaysOff]]-Games[[#This Row],[DaysOff]]</f>
        <v>0</v>
      </c>
      <c r="M512" s="1">
        <f>MAX(-16, MIN(16, Games[[#This Row],[RestDiff]]*8))</f>
        <v>0</v>
      </c>
      <c r="N512" s="1">
        <f>MAX(-16, MIN(16, Games[[#This Row],[OppRestDiff]]*8))</f>
        <v>0</v>
      </c>
      <c r="O512" s="4" cm="1">
        <f t="array" ref="O5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1281.5944959696046</v>
      </c>
      <c r="P512" s="4" cm="1">
        <f t="array" ref="P5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1532.7886426450643</v>
      </c>
      <c r="Q512" s="4">
        <f>1/(1+10^(((Games[[#This Row],[OppPreGmRate]]+IF(Games[[#This Row],[HomeAway]]="A",HCA,0)+Games[[#This Row],[OppRestAdj]])-(Games[[#This Row],[PreGmRate]]+IF(Games[[#This Row],[HomeAway]]="H",HCA,0)+Games[[#This Row],[RestAdj]]))/400))</f>
        <v>0.12680232176359593</v>
      </c>
      <c r="R512" s="1">
        <v>69</v>
      </c>
      <c r="S512" s="1">
        <v>79</v>
      </c>
      <c r="T512" s="1">
        <v>0</v>
      </c>
      <c r="U512" s="1">
        <f>Games[[#This Row],[PointsFor]]-Games[[#This Row],[PointsAgainst]]</f>
        <v>-10</v>
      </c>
      <c r="V512" s="1">
        <f>IF(Games[[#This Row],[MOV]]&gt;0,1,IF(Games[[#This Row],[MOV]]=0,0.5,0))</f>
        <v>0</v>
      </c>
      <c r="W512" s="4">
        <f>((ABS(Games[[#This Row],[MOV]])+5)^0.6)/(12+0.01*(ABS(Games[[#This Row],[PreGmRate]]-Games[[#This Row],[OppPreGmRate]])))*IF(Games[[#This Row],[OT]]=1,0.9,1)</f>
        <v>0.34988815270648521</v>
      </c>
      <c r="X512" s="7" cm="1">
        <f t="array" ref="X5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2" s="9">
        <f>MAX(kmin, kmax - 0.15 * MIN(Games[[#This Row],[GamesPlayed]], 82))</f>
        <v>70.150000000000006</v>
      </c>
      <c r="Z512" s="4">
        <f>Games[[#This Row],[K]]*Games[[#This Row],[POMult]]</f>
        <v>70.150000000000006</v>
      </c>
      <c r="AA512" s="4">
        <f>(Games[[#This Row],[Keff]]*Games[[#This Row],[MOVMult]])*(Games[[#This Row],[Result]]-Games[[#This Row],[ExpectedWin%]])</f>
        <v>-3.1123191029711688</v>
      </c>
      <c r="AB512" s="4">
        <f>Games[[#This Row],[PreGmRate]]+Games[[#This Row],[RatingChange]]</f>
        <v>1278.4821768666334</v>
      </c>
      <c r="AC512" s="2">
        <f>IF(Games[[#This Row],[Type]]="R",IF(Games[[#This Row],[Result]]&gt;0.5,1,0),0)</f>
        <v>0</v>
      </c>
      <c r="AD512" s="2">
        <f>IF(Games[[#This Row],[Type]]="R",IF(Games[[#This Row],[Result]]&lt;0.5,1,0),0)</f>
        <v>1</v>
      </c>
      <c r="AE512" s="2">
        <f>IF(AND(Games[[#This Row],[Type]]="P",Games[[#This Row],[Round]]=1),IF(Games[[#This Row],[Result]]&gt;0.5,1,0),0)</f>
        <v>0</v>
      </c>
      <c r="AF512" s="2">
        <f>IF(AND(Games[[#This Row],[Type]]="P",Games[[#This Row],[Round]]=1),IF(Games[[#This Row],[Result]]&lt;0.5,1,0),0)</f>
        <v>0</v>
      </c>
      <c r="AG512" s="2">
        <f>IF(AND(Games[[#This Row],[Type]]="P",Games[[#This Row],[Round]]=2),IF(Games[[#This Row],[Result]]&gt;0.5,1,0),0)</f>
        <v>0</v>
      </c>
      <c r="AH512" s="2">
        <f>IF(AND(Games[[#This Row],[Type]]="P",Games[[#This Row],[Round]]=2),IF(Games[[#This Row],[Result]]&lt;0.5,1,0),0)</f>
        <v>0</v>
      </c>
      <c r="AI512" s="2">
        <f>IF(AND(Games[[#This Row],[Type]]="P",Games[[#This Row],[Round]]=3),IF(Games[[#This Row],[Result]]&gt;0.5,1,0),0)</f>
        <v>0</v>
      </c>
      <c r="AJ512" s="2">
        <f>IF(AND(Games[[#This Row],[Type]]="P",Games[[#This Row],[Round]]=3),IF(Games[[#This Row],[Result]]&lt;0.5,1,0),0)</f>
        <v>0</v>
      </c>
      <c r="AK512" s="2">
        <f>IF(AND(Games[[#This Row],[Type]]="P",Games[[#This Row],[Round]]=4),IF(Games[[#This Row],[Result]]&gt;0.5,1,0),0)</f>
        <v>0</v>
      </c>
      <c r="AL512" s="2">
        <f>IF(AND(Games[[#This Row],[Type]]="P",Games[[#This Row],[Round]]=4),IF(Games[[#This Row],[Result]]&lt;0.5,1,0),0)</f>
        <v>0</v>
      </c>
    </row>
    <row r="513" spans="1:38" x14ac:dyDescent="0.35">
      <c r="A513" s="10">
        <v>45899</v>
      </c>
      <c r="B513" s="2">
        <v>2025</v>
      </c>
      <c r="C513" s="2">
        <f>COUNTIFS(Games[Team],Games[[#This Row],[Team]],Games[Season],Games[[#This Row],[Season]],Games[Date],"&lt;=" &amp; Games[[#This Row],[Date]])</f>
        <v>41</v>
      </c>
      <c r="D513" s="2" t="s">
        <v>79</v>
      </c>
      <c r="E513" s="2" t="s">
        <v>80</v>
      </c>
      <c r="F513" s="1" t="s">
        <v>71</v>
      </c>
      <c r="G513" s="1" t="s">
        <v>75</v>
      </c>
      <c r="H513" s="1" t="s">
        <v>82</v>
      </c>
      <c r="I513" s="2" cm="1">
        <f t="array" ref="I5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3" s="2" cm="1">
        <f t="array" ref="J5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3" s="2">
        <f>Games[[#This Row],[DaysOff]]-Games[[#This Row],[OppDaysOff]]</f>
        <v>0</v>
      </c>
      <c r="L513" s="2">
        <f>Games[[#This Row],[OppDaysOff]]-Games[[#This Row],[DaysOff]]</f>
        <v>0</v>
      </c>
      <c r="M513" s="1">
        <f>MAX(-16, MIN(16, Games[[#This Row],[RestDiff]]*8))</f>
        <v>0</v>
      </c>
      <c r="N513" s="1">
        <f>MAX(-16, MIN(16, Games[[#This Row],[OppRestDiff]]*8))</f>
        <v>0</v>
      </c>
      <c r="O513" s="4" cm="1">
        <f t="array" ref="O5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1532.7886426450643</v>
      </c>
      <c r="P513" s="4" cm="1">
        <f t="array" ref="P5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1281.5944959696046</v>
      </c>
      <c r="Q513" s="4">
        <f>1/(1+10^(((Games[[#This Row],[OppPreGmRate]]+IF(Games[[#This Row],[HomeAway]]="A",HCA,0)+Games[[#This Row],[OppRestAdj]])-(Games[[#This Row],[PreGmRate]]+IF(Games[[#This Row],[HomeAway]]="H",HCA,0)+Games[[#This Row],[RestAdj]]))/400))</f>
        <v>0.87319767823640415</v>
      </c>
      <c r="R513" s="1">
        <v>79</v>
      </c>
      <c r="S513" s="1">
        <v>69</v>
      </c>
      <c r="T513" s="1">
        <v>0</v>
      </c>
      <c r="U513" s="1">
        <f>Games[[#This Row],[PointsFor]]-Games[[#This Row],[PointsAgainst]]</f>
        <v>10</v>
      </c>
      <c r="V513" s="1">
        <f>IF(Games[[#This Row],[MOV]]&gt;0,1,IF(Games[[#This Row],[MOV]]=0,0.5,0))</f>
        <v>1</v>
      </c>
      <c r="W513" s="4">
        <f>((ABS(Games[[#This Row],[MOV]])+5)^0.6)/(12+0.01*(ABS(Games[[#This Row],[PreGmRate]]-Games[[#This Row],[OppPreGmRate]])))*IF(Games[[#This Row],[OT]]=1,0.9,1)</f>
        <v>0.34988815270648521</v>
      </c>
      <c r="X513" s="7" cm="1">
        <f t="array" ref="X5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3" s="9">
        <f>MAX(kmin, kmax - 0.15 * MIN(Games[[#This Row],[GamesPlayed]], 82))</f>
        <v>69.849999999999994</v>
      </c>
      <c r="Z513" s="4">
        <f>Games[[#This Row],[K]]*Games[[#This Row],[POMult]]</f>
        <v>69.849999999999994</v>
      </c>
      <c r="AA513" s="4">
        <f>(Games[[#This Row],[Keff]]*Games[[#This Row],[MOVMult]])*(Games[[#This Row],[Result]]-Games[[#This Row],[ExpectedWin%]])</f>
        <v>3.0990091139349389</v>
      </c>
      <c r="AB513" s="4">
        <f>Games[[#This Row],[PreGmRate]]+Games[[#This Row],[RatingChange]]</f>
        <v>1535.8876517589993</v>
      </c>
      <c r="AC513" s="2">
        <f>IF(Games[[#This Row],[Type]]="R",IF(Games[[#This Row],[Result]]&gt;0.5,1,0),0)</f>
        <v>1</v>
      </c>
      <c r="AD513" s="2">
        <f>IF(Games[[#This Row],[Type]]="R",IF(Games[[#This Row],[Result]]&lt;0.5,1,0),0)</f>
        <v>0</v>
      </c>
      <c r="AE513" s="2">
        <f>IF(AND(Games[[#This Row],[Type]]="P",Games[[#This Row],[Round]]=1),IF(Games[[#This Row],[Result]]&gt;0.5,1,0),0)</f>
        <v>0</v>
      </c>
      <c r="AF513" s="2">
        <f>IF(AND(Games[[#This Row],[Type]]="P",Games[[#This Row],[Round]]=1),IF(Games[[#This Row],[Result]]&lt;0.5,1,0),0)</f>
        <v>0</v>
      </c>
      <c r="AG513" s="2">
        <f>IF(AND(Games[[#This Row],[Type]]="P",Games[[#This Row],[Round]]=2),IF(Games[[#This Row],[Result]]&gt;0.5,1,0),0)</f>
        <v>0</v>
      </c>
      <c r="AH513" s="2">
        <f>IF(AND(Games[[#This Row],[Type]]="P",Games[[#This Row],[Round]]=2),IF(Games[[#This Row],[Result]]&lt;0.5,1,0),0)</f>
        <v>0</v>
      </c>
      <c r="AI513" s="2">
        <f>IF(AND(Games[[#This Row],[Type]]="P",Games[[#This Row],[Round]]=3),IF(Games[[#This Row],[Result]]&gt;0.5,1,0),0)</f>
        <v>0</v>
      </c>
      <c r="AJ513" s="2">
        <f>IF(AND(Games[[#This Row],[Type]]="P",Games[[#This Row],[Round]]=3),IF(Games[[#This Row],[Result]]&lt;0.5,1,0),0)</f>
        <v>0</v>
      </c>
      <c r="AK513" s="2">
        <f>IF(AND(Games[[#This Row],[Type]]="P",Games[[#This Row],[Round]]=4),IF(Games[[#This Row],[Result]]&gt;0.5,1,0),0)</f>
        <v>0</v>
      </c>
      <c r="AL513" s="2">
        <f>IF(AND(Games[[#This Row],[Type]]="P",Games[[#This Row],[Round]]=4),IF(Games[[#This Row],[Result]]&lt;0.5,1,0),0)</f>
        <v>0</v>
      </c>
    </row>
    <row r="514" spans="1:38" x14ac:dyDescent="0.35">
      <c r="A514" s="10">
        <v>45900</v>
      </c>
      <c r="B514" s="2">
        <v>2025</v>
      </c>
      <c r="C514" s="2">
        <f>COUNTIFS(Games[Team],Games[[#This Row],[Team]],Games[Season],Games[[#This Row],[Season]],Games[Date],"&lt;=" &amp; Games[[#This Row],[Date]])</f>
        <v>41</v>
      </c>
      <c r="D514" s="2" t="s">
        <v>79</v>
      </c>
      <c r="E514" s="2" t="s">
        <v>80</v>
      </c>
      <c r="F514" s="1" t="s">
        <v>69</v>
      </c>
      <c r="G514" s="1" t="s">
        <v>88</v>
      </c>
      <c r="H514" s="1" t="s">
        <v>81</v>
      </c>
      <c r="I514" s="2" cm="1">
        <f t="array" ref="I5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4" s="2" cm="1">
        <f t="array" ref="J51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4" s="2">
        <f>Games[[#This Row],[DaysOff]]-Games[[#This Row],[OppDaysOff]]</f>
        <v>1</v>
      </c>
      <c r="L514" s="2">
        <f>Games[[#This Row],[OppDaysOff]]-Games[[#This Row],[DaysOff]]</f>
        <v>-1</v>
      </c>
      <c r="M514" s="1">
        <f>MAX(-16, MIN(16, Games[[#This Row],[RestDiff]]*8))</f>
        <v>8</v>
      </c>
      <c r="N514" s="1">
        <f>MAX(-16, MIN(16, Games[[#This Row],[OppRestDiff]]*8))</f>
        <v>-8</v>
      </c>
      <c r="O514" s="4" cm="1">
        <f t="array" ref="O5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1543.4765231558756</v>
      </c>
      <c r="P514" s="4" cm="1">
        <f t="array" ref="P5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1514.1521778380916</v>
      </c>
      <c r="Q514" s="4">
        <f>1/(1+10^(((Games[[#This Row],[OppPreGmRate]]+IF(Games[[#This Row],[HomeAway]]="A",HCA,0)+Games[[#This Row],[OppRestAdj]])-(Games[[#This Row],[PreGmRate]]+IF(Games[[#This Row],[HomeAway]]="H",HCA,0)+Games[[#This Row],[RestAdj]]))/400))</f>
        <v>0.44457002489901837</v>
      </c>
      <c r="R514" s="1">
        <v>63</v>
      </c>
      <c r="S514" s="1">
        <v>75</v>
      </c>
      <c r="T514" s="1">
        <v>0</v>
      </c>
      <c r="U514" s="1">
        <f>Games[[#This Row],[PointsFor]]-Games[[#This Row],[PointsAgainst]]</f>
        <v>-12</v>
      </c>
      <c r="V514" s="1">
        <f>IF(Games[[#This Row],[MOV]]&gt;0,1,IF(Games[[#This Row],[MOV]]=0,0.5,0))</f>
        <v>0</v>
      </c>
      <c r="W514" s="4">
        <f>((ABS(Games[[#This Row],[MOV]])+5)^0.6)/(12+0.01*(ABS(Games[[#This Row],[PreGmRate]]-Games[[#This Row],[OppPreGmRate]])))*IF(Games[[#This Row],[OT]]=1,0.9,1)</f>
        <v>0.44524891561498836</v>
      </c>
      <c r="X514" s="7" cm="1">
        <f t="array" ref="X5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4" s="9">
        <f>MAX(kmin, kmax - 0.15 * MIN(Games[[#This Row],[GamesPlayed]], 82))</f>
        <v>69.849999999999994</v>
      </c>
      <c r="Z514" s="4">
        <f>Games[[#This Row],[K]]*Games[[#This Row],[POMult]]</f>
        <v>69.849999999999994</v>
      </c>
      <c r="AA514" s="4">
        <f>(Games[[#This Row],[Keff]]*Games[[#This Row],[MOVMult]])*(Games[[#This Row],[Result]]-Games[[#This Row],[ExpectedWin%]])</f>
        <v>-13.826410856859956</v>
      </c>
      <c r="AB514" s="4">
        <f>Games[[#This Row],[PreGmRate]]+Games[[#This Row],[RatingChange]]</f>
        <v>1529.6501122990157</v>
      </c>
      <c r="AC514" s="2">
        <f>IF(Games[[#This Row],[Type]]="R",IF(Games[[#This Row],[Result]]&gt;0.5,1,0),0)</f>
        <v>0</v>
      </c>
      <c r="AD514" s="2">
        <f>IF(Games[[#This Row],[Type]]="R",IF(Games[[#This Row],[Result]]&lt;0.5,1,0),0)</f>
        <v>1</v>
      </c>
      <c r="AE514" s="2">
        <f>IF(AND(Games[[#This Row],[Type]]="P",Games[[#This Row],[Round]]=1),IF(Games[[#This Row],[Result]]&gt;0.5,1,0),0)</f>
        <v>0</v>
      </c>
      <c r="AF514" s="2">
        <f>IF(AND(Games[[#This Row],[Type]]="P",Games[[#This Row],[Round]]=1),IF(Games[[#This Row],[Result]]&lt;0.5,1,0),0)</f>
        <v>0</v>
      </c>
      <c r="AG514" s="2">
        <f>IF(AND(Games[[#This Row],[Type]]="P",Games[[#This Row],[Round]]=2),IF(Games[[#This Row],[Result]]&gt;0.5,1,0),0)</f>
        <v>0</v>
      </c>
      <c r="AH514" s="2">
        <f>IF(AND(Games[[#This Row],[Type]]="P",Games[[#This Row],[Round]]=2),IF(Games[[#This Row],[Result]]&lt;0.5,1,0),0)</f>
        <v>0</v>
      </c>
      <c r="AI514" s="2">
        <f>IF(AND(Games[[#This Row],[Type]]="P",Games[[#This Row],[Round]]=3),IF(Games[[#This Row],[Result]]&gt;0.5,1,0),0)</f>
        <v>0</v>
      </c>
      <c r="AJ514" s="2">
        <f>IF(AND(Games[[#This Row],[Type]]="P",Games[[#This Row],[Round]]=3),IF(Games[[#This Row],[Result]]&lt;0.5,1,0),0)</f>
        <v>0</v>
      </c>
      <c r="AK514" s="2">
        <f>IF(AND(Games[[#This Row],[Type]]="P",Games[[#This Row],[Round]]=4),IF(Games[[#This Row],[Result]]&gt;0.5,1,0),0)</f>
        <v>0</v>
      </c>
      <c r="AL514" s="2">
        <f>IF(AND(Games[[#This Row],[Type]]="P",Games[[#This Row],[Round]]=4),IF(Games[[#This Row],[Result]]&lt;0.5,1,0),0)</f>
        <v>0</v>
      </c>
    </row>
    <row r="515" spans="1:38" x14ac:dyDescent="0.35">
      <c r="A515" s="10">
        <v>45900</v>
      </c>
      <c r="B515" s="2">
        <v>2025</v>
      </c>
      <c r="C515" s="2">
        <f>COUNTIFS(Games[Team],Games[[#This Row],[Team]],Games[Season],Games[[#This Row],[Season]],Games[Date],"&lt;=" &amp; Games[[#This Row],[Date]])</f>
        <v>39</v>
      </c>
      <c r="D515" s="2" t="s">
        <v>79</v>
      </c>
      <c r="E515" s="2" t="s">
        <v>80</v>
      </c>
      <c r="F515" s="1" t="s">
        <v>88</v>
      </c>
      <c r="G515" s="1" t="s">
        <v>69</v>
      </c>
      <c r="H515" s="1" t="s">
        <v>82</v>
      </c>
      <c r="I515" s="2" cm="1">
        <f t="array" ref="I51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15" s="2" cm="1">
        <f t="array" ref="J5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5" s="2">
        <f>Games[[#This Row],[DaysOff]]-Games[[#This Row],[OppDaysOff]]</f>
        <v>-1</v>
      </c>
      <c r="L515" s="2">
        <f>Games[[#This Row],[OppDaysOff]]-Games[[#This Row],[DaysOff]]</f>
        <v>1</v>
      </c>
      <c r="M515" s="1">
        <f>MAX(-16, MIN(16, Games[[#This Row],[RestDiff]]*8))</f>
        <v>-8</v>
      </c>
      <c r="N515" s="1">
        <f>MAX(-16, MIN(16, Games[[#This Row],[OppRestDiff]]*8))</f>
        <v>8</v>
      </c>
      <c r="O515" s="4" cm="1">
        <f t="array" ref="O5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1514.1521778380916</v>
      </c>
      <c r="P515" s="4" cm="1">
        <f t="array" ref="P5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1543.4765231558756</v>
      </c>
      <c r="Q515" s="4">
        <f>1/(1+10^(((Games[[#This Row],[OppPreGmRate]]+IF(Games[[#This Row],[HomeAway]]="A",HCA,0)+Games[[#This Row],[OppRestAdj]])-(Games[[#This Row],[PreGmRate]]+IF(Games[[#This Row],[HomeAway]]="H",HCA,0)+Games[[#This Row],[RestAdj]]))/400))</f>
        <v>0.55542997510098158</v>
      </c>
      <c r="R515" s="1">
        <v>75</v>
      </c>
      <c r="S515" s="1">
        <v>63</v>
      </c>
      <c r="T515" s="1">
        <v>0</v>
      </c>
      <c r="U515" s="1">
        <f>Games[[#This Row],[PointsFor]]-Games[[#This Row],[PointsAgainst]]</f>
        <v>12</v>
      </c>
      <c r="V515" s="1">
        <f>IF(Games[[#This Row],[MOV]]&gt;0,1,IF(Games[[#This Row],[MOV]]=0,0.5,0))</f>
        <v>1</v>
      </c>
      <c r="W515" s="4">
        <f>((ABS(Games[[#This Row],[MOV]])+5)^0.6)/(12+0.01*(ABS(Games[[#This Row],[PreGmRate]]-Games[[#This Row],[OppPreGmRate]])))*IF(Games[[#This Row],[OT]]=1,0.9,1)</f>
        <v>0.44524891561498836</v>
      </c>
      <c r="X515" s="7" cm="1">
        <f t="array" ref="X5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5" s="9">
        <f>MAX(kmin, kmax - 0.15 * MIN(Games[[#This Row],[GamesPlayed]], 82))</f>
        <v>70.150000000000006</v>
      </c>
      <c r="Z515" s="4">
        <f>Games[[#This Row],[K]]*Games[[#This Row],[POMult]]</f>
        <v>70.150000000000006</v>
      </c>
      <c r="AA515" s="4">
        <f>(Games[[#This Row],[Keff]]*Games[[#This Row],[MOVMult]])*(Games[[#This Row],[Result]]-Games[[#This Row],[ExpectedWin%]])</f>
        <v>13.885794153310327</v>
      </c>
      <c r="AB515" s="4">
        <f>Games[[#This Row],[PreGmRate]]+Games[[#This Row],[RatingChange]]</f>
        <v>1528.0379719914019</v>
      </c>
      <c r="AC515" s="2">
        <f>IF(Games[[#This Row],[Type]]="R",IF(Games[[#This Row],[Result]]&gt;0.5,1,0),0)</f>
        <v>1</v>
      </c>
      <c r="AD515" s="2">
        <f>IF(Games[[#This Row],[Type]]="R",IF(Games[[#This Row],[Result]]&lt;0.5,1,0),0)</f>
        <v>0</v>
      </c>
      <c r="AE515" s="2">
        <f>IF(AND(Games[[#This Row],[Type]]="P",Games[[#This Row],[Round]]=1),IF(Games[[#This Row],[Result]]&gt;0.5,1,0),0)</f>
        <v>0</v>
      </c>
      <c r="AF515" s="2">
        <f>IF(AND(Games[[#This Row],[Type]]="P",Games[[#This Row],[Round]]=1),IF(Games[[#This Row],[Result]]&lt;0.5,1,0),0)</f>
        <v>0</v>
      </c>
      <c r="AG515" s="2">
        <f>IF(AND(Games[[#This Row],[Type]]="P",Games[[#This Row],[Round]]=2),IF(Games[[#This Row],[Result]]&gt;0.5,1,0),0)</f>
        <v>0</v>
      </c>
      <c r="AH515" s="2">
        <f>IF(AND(Games[[#This Row],[Type]]="P",Games[[#This Row],[Round]]=2),IF(Games[[#This Row],[Result]]&lt;0.5,1,0),0)</f>
        <v>0</v>
      </c>
      <c r="AI515" s="2">
        <f>IF(AND(Games[[#This Row],[Type]]="P",Games[[#This Row],[Round]]=3),IF(Games[[#This Row],[Result]]&gt;0.5,1,0),0)</f>
        <v>0</v>
      </c>
      <c r="AJ515" s="2">
        <f>IF(AND(Games[[#This Row],[Type]]="P",Games[[#This Row],[Round]]=3),IF(Games[[#This Row],[Result]]&lt;0.5,1,0),0)</f>
        <v>0</v>
      </c>
      <c r="AK515" s="2">
        <f>IF(AND(Games[[#This Row],[Type]]="P",Games[[#This Row],[Round]]=4),IF(Games[[#This Row],[Result]]&gt;0.5,1,0),0)</f>
        <v>0</v>
      </c>
      <c r="AL515" s="2">
        <f>IF(AND(Games[[#This Row],[Type]]="P",Games[[#This Row],[Round]]=4),IF(Games[[#This Row],[Result]]&lt;0.5,1,0),0)</f>
        <v>0</v>
      </c>
    </row>
    <row r="516" spans="1:38" x14ac:dyDescent="0.35">
      <c r="A516" s="10">
        <v>45900</v>
      </c>
      <c r="B516" s="2">
        <v>2025</v>
      </c>
      <c r="C516" s="2">
        <f>COUNTIFS(Games[Team],Games[[#This Row],[Team]],Games[Season],Games[[#This Row],[Season]],Games[Date],"&lt;=" &amp; Games[[#This Row],[Date]])</f>
        <v>41</v>
      </c>
      <c r="D516" s="2" t="s">
        <v>79</v>
      </c>
      <c r="E516" s="2" t="s">
        <v>80</v>
      </c>
      <c r="F516" s="1" t="s">
        <v>65</v>
      </c>
      <c r="G516" s="1" t="s">
        <v>63</v>
      </c>
      <c r="H516" s="1" t="s">
        <v>81</v>
      </c>
      <c r="I516" s="2" cm="1">
        <f t="array" ref="I5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516" s="2" cm="1">
        <f t="array" ref="J5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6" s="2">
        <f>Games[[#This Row],[DaysOff]]-Games[[#This Row],[OppDaysOff]]</f>
        <v>-1</v>
      </c>
      <c r="L516" s="2">
        <f>Games[[#This Row],[OppDaysOff]]-Games[[#This Row],[DaysOff]]</f>
        <v>1</v>
      </c>
      <c r="M516" s="1">
        <f>MAX(-16, MIN(16, Games[[#This Row],[RestDiff]]*8))</f>
        <v>-8</v>
      </c>
      <c r="N516" s="1">
        <f>MAX(-16, MIN(16, Games[[#This Row],[OppRestDiff]]*8))</f>
        <v>8</v>
      </c>
      <c r="O516" s="4" cm="1">
        <f t="array" ref="O5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1387.6333108658723</v>
      </c>
      <c r="P516" s="4" cm="1">
        <f t="array" ref="P5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1435.9137877597911</v>
      </c>
      <c r="Q516" s="4">
        <f>1/(1+10^(((Games[[#This Row],[OppPreGmRate]]+IF(Games[[#This Row],[HomeAway]]="A",HCA,0)+Games[[#This Row],[OppRestAdj]])-(Games[[#This Row],[PreGmRate]]+IF(Games[[#This Row],[HomeAway]]="H",HCA,0)+Games[[#This Row],[RestAdj]]))/400))</f>
        <v>0.2986842875050601</v>
      </c>
      <c r="R516" s="1">
        <v>78</v>
      </c>
      <c r="S516" s="1">
        <v>81</v>
      </c>
      <c r="T516" s="1">
        <v>0</v>
      </c>
      <c r="U516" s="1">
        <f>Games[[#This Row],[PointsFor]]-Games[[#This Row],[PointsAgainst]]</f>
        <v>-3</v>
      </c>
      <c r="V516" s="1">
        <f>IF(Games[[#This Row],[MOV]]&gt;0,1,IF(Games[[#This Row],[MOV]]=0,0.5,0))</f>
        <v>0</v>
      </c>
      <c r="W516" s="4">
        <f>((ABS(Games[[#This Row],[MOV]])+5)^0.6)/(12+0.01*(ABS(Games[[#This Row],[PreGmRate]]-Games[[#This Row],[OppPreGmRate]])))*IF(Games[[#This Row],[OT]]=1,0.9,1)</f>
        <v>0.27895992268093611</v>
      </c>
      <c r="X516" s="7" cm="1">
        <f t="array" ref="X5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6" s="9">
        <f>MAX(kmin, kmax - 0.15 * MIN(Games[[#This Row],[GamesPlayed]], 82))</f>
        <v>69.849999999999994</v>
      </c>
      <c r="Z516" s="4">
        <f>Games[[#This Row],[K]]*Games[[#This Row],[POMult]]</f>
        <v>69.849999999999994</v>
      </c>
      <c r="AA516" s="4">
        <f>(Games[[#This Row],[Keff]]*Games[[#This Row],[MOVMult]])*(Games[[#This Row],[Result]]-Games[[#This Row],[ExpectedWin%]])</f>
        <v>-5.8199680605272794</v>
      </c>
      <c r="AB516" s="4">
        <f>Games[[#This Row],[PreGmRate]]+Games[[#This Row],[RatingChange]]</f>
        <v>1381.813342805345</v>
      </c>
      <c r="AC516" s="2">
        <f>IF(Games[[#This Row],[Type]]="R",IF(Games[[#This Row],[Result]]&gt;0.5,1,0),0)</f>
        <v>0</v>
      </c>
      <c r="AD516" s="2">
        <f>IF(Games[[#This Row],[Type]]="R",IF(Games[[#This Row],[Result]]&lt;0.5,1,0),0)</f>
        <v>1</v>
      </c>
      <c r="AE516" s="2">
        <f>IF(AND(Games[[#This Row],[Type]]="P",Games[[#This Row],[Round]]=1),IF(Games[[#This Row],[Result]]&gt;0.5,1,0),0)</f>
        <v>0</v>
      </c>
      <c r="AF516" s="2">
        <f>IF(AND(Games[[#This Row],[Type]]="P",Games[[#This Row],[Round]]=1),IF(Games[[#This Row],[Result]]&lt;0.5,1,0),0)</f>
        <v>0</v>
      </c>
      <c r="AG516" s="2">
        <f>IF(AND(Games[[#This Row],[Type]]="P",Games[[#This Row],[Round]]=2),IF(Games[[#This Row],[Result]]&gt;0.5,1,0),0)</f>
        <v>0</v>
      </c>
      <c r="AH516" s="2">
        <f>IF(AND(Games[[#This Row],[Type]]="P",Games[[#This Row],[Round]]=2),IF(Games[[#This Row],[Result]]&lt;0.5,1,0),0)</f>
        <v>0</v>
      </c>
      <c r="AI516" s="2">
        <f>IF(AND(Games[[#This Row],[Type]]="P",Games[[#This Row],[Round]]=3),IF(Games[[#This Row],[Result]]&gt;0.5,1,0),0)</f>
        <v>0</v>
      </c>
      <c r="AJ516" s="2">
        <f>IF(AND(Games[[#This Row],[Type]]="P",Games[[#This Row],[Round]]=3),IF(Games[[#This Row],[Result]]&lt;0.5,1,0),0)</f>
        <v>0</v>
      </c>
      <c r="AK516" s="2">
        <f>IF(AND(Games[[#This Row],[Type]]="P",Games[[#This Row],[Round]]=4),IF(Games[[#This Row],[Result]]&gt;0.5,1,0),0)</f>
        <v>0</v>
      </c>
      <c r="AL516" s="2">
        <f>IF(AND(Games[[#This Row],[Type]]="P",Games[[#This Row],[Round]]=4),IF(Games[[#This Row],[Result]]&lt;0.5,1,0),0)</f>
        <v>0</v>
      </c>
    </row>
    <row r="517" spans="1:38" x14ac:dyDescent="0.35">
      <c r="A517" s="10">
        <v>45900</v>
      </c>
      <c r="B517" s="2">
        <v>2025</v>
      </c>
      <c r="C517" s="2">
        <f>COUNTIFS(Games[Team],Games[[#This Row],[Team]],Games[Season],Games[[#This Row],[Season]],Games[Date],"&lt;=" &amp; Games[[#This Row],[Date]])</f>
        <v>38</v>
      </c>
      <c r="D517" s="2" t="s">
        <v>79</v>
      </c>
      <c r="E517" s="2" t="s">
        <v>80</v>
      </c>
      <c r="F517" s="1" t="s">
        <v>63</v>
      </c>
      <c r="G517" s="1" t="s">
        <v>65</v>
      </c>
      <c r="H517" s="1" t="s">
        <v>82</v>
      </c>
      <c r="I517" s="2" cm="1">
        <f t="array" ref="I5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7" s="2" cm="1">
        <f t="array" ref="J5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7" s="2">
        <f>Games[[#This Row],[DaysOff]]-Games[[#This Row],[OppDaysOff]]</f>
        <v>1</v>
      </c>
      <c r="L517" s="2">
        <f>Games[[#This Row],[OppDaysOff]]-Games[[#This Row],[DaysOff]]</f>
        <v>-1</v>
      </c>
      <c r="M517" s="1">
        <f>MAX(-16, MIN(16, Games[[#This Row],[RestDiff]]*8))</f>
        <v>8</v>
      </c>
      <c r="N517" s="1">
        <f>MAX(-16, MIN(16, Games[[#This Row],[OppRestDiff]]*8))</f>
        <v>-8</v>
      </c>
      <c r="O517" s="4" cm="1">
        <f t="array" ref="O5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1435.9137877597911</v>
      </c>
      <c r="P517" s="4" cm="1">
        <f t="array" ref="P5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1387.6333108658723</v>
      </c>
      <c r="Q517" s="4">
        <f>1/(1+10^(((Games[[#This Row],[OppPreGmRate]]+IF(Games[[#This Row],[HomeAway]]="A",HCA,0)+Games[[#This Row],[OppRestAdj]])-(Games[[#This Row],[PreGmRate]]+IF(Games[[#This Row],[HomeAway]]="H",HCA,0)+Games[[#This Row],[RestAdj]]))/400))</f>
        <v>0.70131571249493996</v>
      </c>
      <c r="R517" s="1">
        <v>81</v>
      </c>
      <c r="S517" s="1">
        <v>78</v>
      </c>
      <c r="T517" s="1">
        <v>0</v>
      </c>
      <c r="U517" s="1">
        <f>Games[[#This Row],[PointsFor]]-Games[[#This Row],[PointsAgainst]]</f>
        <v>3</v>
      </c>
      <c r="V517" s="1">
        <f>IF(Games[[#This Row],[MOV]]&gt;0,1,IF(Games[[#This Row],[MOV]]=0,0.5,0))</f>
        <v>1</v>
      </c>
      <c r="W517" s="4">
        <f>((ABS(Games[[#This Row],[MOV]])+5)^0.6)/(12+0.01*(ABS(Games[[#This Row],[PreGmRate]]-Games[[#This Row],[OppPreGmRate]])))*IF(Games[[#This Row],[OT]]=1,0.9,1)</f>
        <v>0.27895992268093611</v>
      </c>
      <c r="X517" s="7" cm="1">
        <f t="array" ref="X5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7" s="9">
        <f>MAX(kmin, kmax - 0.15 * MIN(Games[[#This Row],[GamesPlayed]], 82))</f>
        <v>70.3</v>
      </c>
      <c r="Z517" s="4">
        <f>Games[[#This Row],[K]]*Games[[#This Row],[POMult]]</f>
        <v>70.3</v>
      </c>
      <c r="AA517" s="4">
        <f>(Games[[#This Row],[Keff]]*Games[[#This Row],[MOVMult]])*(Games[[#This Row],[Result]]-Games[[#This Row],[ExpectedWin%]])</f>
        <v>5.8574624861140689</v>
      </c>
      <c r="AB517" s="4">
        <f>Games[[#This Row],[PreGmRate]]+Games[[#This Row],[RatingChange]]</f>
        <v>1441.7712502459053</v>
      </c>
      <c r="AC517" s="2">
        <f>IF(Games[[#This Row],[Type]]="R",IF(Games[[#This Row],[Result]]&gt;0.5,1,0),0)</f>
        <v>1</v>
      </c>
      <c r="AD517" s="2">
        <f>IF(Games[[#This Row],[Type]]="R",IF(Games[[#This Row],[Result]]&lt;0.5,1,0),0)</f>
        <v>0</v>
      </c>
      <c r="AE517" s="2">
        <f>IF(AND(Games[[#This Row],[Type]]="P",Games[[#This Row],[Round]]=1),IF(Games[[#This Row],[Result]]&gt;0.5,1,0),0)</f>
        <v>0</v>
      </c>
      <c r="AF517" s="2">
        <f>IF(AND(Games[[#This Row],[Type]]="P",Games[[#This Row],[Round]]=1),IF(Games[[#This Row],[Result]]&lt;0.5,1,0),0)</f>
        <v>0</v>
      </c>
      <c r="AG517" s="2">
        <f>IF(AND(Games[[#This Row],[Type]]="P",Games[[#This Row],[Round]]=2),IF(Games[[#This Row],[Result]]&gt;0.5,1,0),0)</f>
        <v>0</v>
      </c>
      <c r="AH517" s="2">
        <f>IF(AND(Games[[#This Row],[Type]]="P",Games[[#This Row],[Round]]=2),IF(Games[[#This Row],[Result]]&lt;0.5,1,0),0)</f>
        <v>0</v>
      </c>
      <c r="AI517" s="2">
        <f>IF(AND(Games[[#This Row],[Type]]="P",Games[[#This Row],[Round]]=3),IF(Games[[#This Row],[Result]]&gt;0.5,1,0),0)</f>
        <v>0</v>
      </c>
      <c r="AJ517" s="2">
        <f>IF(AND(Games[[#This Row],[Type]]="P",Games[[#This Row],[Round]]=3),IF(Games[[#This Row],[Result]]&lt;0.5,1,0),0)</f>
        <v>0</v>
      </c>
      <c r="AK517" s="2">
        <f>IF(AND(Games[[#This Row],[Type]]="P",Games[[#This Row],[Round]]=4),IF(Games[[#This Row],[Result]]&gt;0.5,1,0),0)</f>
        <v>0</v>
      </c>
      <c r="AL517" s="2">
        <f>IF(AND(Games[[#This Row],[Type]]="P",Games[[#This Row],[Round]]=4),IF(Games[[#This Row],[Result]]&lt;0.5,1,0),0)</f>
        <v>0</v>
      </c>
    </row>
    <row r="518" spans="1:38" x14ac:dyDescent="0.35">
      <c r="A518" s="10">
        <v>45901</v>
      </c>
      <c r="B518" s="2">
        <v>2025</v>
      </c>
      <c r="C518" s="2">
        <f>COUNTIFS(Games[Team],Games[[#This Row],[Team]],Games[Season],Games[[#This Row],[Season]],Games[Date],"&lt;=" &amp; Games[[#This Row],[Date]])</f>
        <v>40</v>
      </c>
      <c r="D518" s="2" t="s">
        <v>79</v>
      </c>
      <c r="E518" s="2" t="s">
        <v>80</v>
      </c>
      <c r="F518" s="1" t="s">
        <v>77</v>
      </c>
      <c r="G518" s="1" t="s">
        <v>74</v>
      </c>
      <c r="H518" s="1" t="s">
        <v>81</v>
      </c>
      <c r="I518" s="2" cm="1">
        <f t="array" ref="I5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8" s="2" cm="1">
        <f t="array" ref="J5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8" s="2">
        <f>Games[[#This Row],[DaysOff]]-Games[[#This Row],[OppDaysOff]]</f>
        <v>1</v>
      </c>
      <c r="L518" s="2">
        <f>Games[[#This Row],[OppDaysOff]]-Games[[#This Row],[DaysOff]]</f>
        <v>-1</v>
      </c>
      <c r="M518" s="1">
        <f>MAX(-16, MIN(16, Games[[#This Row],[RestDiff]]*8))</f>
        <v>8</v>
      </c>
      <c r="N518" s="1">
        <f>MAX(-16, MIN(16, Games[[#This Row],[OppRestDiff]]*8))</f>
        <v>-8</v>
      </c>
      <c r="O518" s="4" cm="1">
        <f t="array" ref="O5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1624.1788083075344</v>
      </c>
      <c r="P518" s="4" cm="1">
        <f t="array" ref="P5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1388.6157389111081</v>
      </c>
      <c r="Q518" s="4">
        <f>1/(1+10^(((Games[[#This Row],[OppPreGmRate]]+IF(Games[[#This Row],[HomeAway]]="A",HCA,0)+Games[[#This Row],[OppRestAdj]])-(Games[[#This Row],[PreGmRate]]+IF(Games[[#This Row],[HomeAway]]="H",HCA,0)+Games[[#This Row],[RestAdj]]))/400))</f>
        <v>0.72403597439304079</v>
      </c>
      <c r="R518" s="1">
        <v>93</v>
      </c>
      <c r="S518" s="1">
        <v>76</v>
      </c>
      <c r="T518" s="1">
        <v>0</v>
      </c>
      <c r="U518" s="1">
        <f>Games[[#This Row],[PointsFor]]-Games[[#This Row],[PointsAgainst]]</f>
        <v>17</v>
      </c>
      <c r="V518" s="1">
        <f>IF(Games[[#This Row],[MOV]]&gt;0,1,IF(Games[[#This Row],[MOV]]=0,0.5,0))</f>
        <v>1</v>
      </c>
      <c r="W518" s="4">
        <f>((ABS(Games[[#This Row],[MOV]])+5)^0.6)/(12+0.01*(ABS(Games[[#This Row],[PreGmRate]]-Games[[#This Row],[OppPreGmRate]])))*IF(Games[[#This Row],[OT]]=1,0.9,1)</f>
        <v>0.44507308422682623</v>
      </c>
      <c r="X518" s="7" cm="1">
        <f t="array" ref="X5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8" s="9">
        <f>MAX(kmin, kmax - 0.15 * MIN(Games[[#This Row],[GamesPlayed]], 82))</f>
        <v>70</v>
      </c>
      <c r="Z518" s="4">
        <f>Games[[#This Row],[K]]*Games[[#This Row],[POMult]]</f>
        <v>70</v>
      </c>
      <c r="AA518" s="4">
        <f>(Games[[#This Row],[Keff]]*Games[[#This Row],[MOVMult]])*(Games[[#This Row],[Result]]-Games[[#This Row],[ExpectedWin%]])</f>
        <v>8.5976912008778132</v>
      </c>
      <c r="AB518" s="4">
        <f>Games[[#This Row],[PreGmRate]]+Games[[#This Row],[RatingChange]]</f>
        <v>1632.7764995084121</v>
      </c>
      <c r="AC518" s="2">
        <f>IF(Games[[#This Row],[Type]]="R",IF(Games[[#This Row],[Result]]&gt;0.5,1,0),0)</f>
        <v>1</v>
      </c>
      <c r="AD518" s="2">
        <f>IF(Games[[#This Row],[Type]]="R",IF(Games[[#This Row],[Result]]&lt;0.5,1,0),0)</f>
        <v>0</v>
      </c>
      <c r="AE518" s="2">
        <f>IF(AND(Games[[#This Row],[Type]]="P",Games[[#This Row],[Round]]=1),IF(Games[[#This Row],[Result]]&gt;0.5,1,0),0)</f>
        <v>0</v>
      </c>
      <c r="AF518" s="2">
        <f>IF(AND(Games[[#This Row],[Type]]="P",Games[[#This Row],[Round]]=1),IF(Games[[#This Row],[Result]]&lt;0.5,1,0),0)</f>
        <v>0</v>
      </c>
      <c r="AG518" s="2">
        <f>IF(AND(Games[[#This Row],[Type]]="P",Games[[#This Row],[Round]]=2),IF(Games[[#This Row],[Result]]&gt;0.5,1,0),0)</f>
        <v>0</v>
      </c>
      <c r="AH518" s="2">
        <f>IF(AND(Games[[#This Row],[Type]]="P",Games[[#This Row],[Round]]=2),IF(Games[[#This Row],[Result]]&lt;0.5,1,0),0)</f>
        <v>0</v>
      </c>
      <c r="AI518" s="2">
        <f>IF(AND(Games[[#This Row],[Type]]="P",Games[[#This Row],[Round]]=3),IF(Games[[#This Row],[Result]]&gt;0.5,1,0),0)</f>
        <v>0</v>
      </c>
      <c r="AJ518" s="2">
        <f>IF(AND(Games[[#This Row],[Type]]="P",Games[[#This Row],[Round]]=3),IF(Games[[#This Row],[Result]]&lt;0.5,1,0),0)</f>
        <v>0</v>
      </c>
      <c r="AK518" s="2">
        <f>IF(AND(Games[[#This Row],[Type]]="P",Games[[#This Row],[Round]]=4),IF(Games[[#This Row],[Result]]&gt;0.5,1,0),0)</f>
        <v>0</v>
      </c>
      <c r="AL518" s="2">
        <f>IF(AND(Games[[#This Row],[Type]]="P",Games[[#This Row],[Round]]=4),IF(Games[[#This Row],[Result]]&lt;0.5,1,0),0)</f>
        <v>0</v>
      </c>
    </row>
    <row r="519" spans="1:38" x14ac:dyDescent="0.35">
      <c r="A519" s="10">
        <v>45901</v>
      </c>
      <c r="B519" s="2">
        <v>2025</v>
      </c>
      <c r="C519" s="2">
        <f>COUNTIFS(Games[Team],Games[[#This Row],[Team]],Games[Season],Games[[#This Row],[Season]],Games[Date],"&lt;=" &amp; Games[[#This Row],[Date]])</f>
        <v>40</v>
      </c>
      <c r="D519" s="2" t="s">
        <v>79</v>
      </c>
      <c r="E519" s="2" t="s">
        <v>80</v>
      </c>
      <c r="F519" s="1" t="s">
        <v>74</v>
      </c>
      <c r="G519" s="1" t="s">
        <v>77</v>
      </c>
      <c r="H519" s="1" t="s">
        <v>82</v>
      </c>
      <c r="I519" s="2" cm="1">
        <f t="array" ref="I5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9" s="2" cm="1">
        <f t="array" ref="J5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9" s="2">
        <f>Games[[#This Row],[DaysOff]]-Games[[#This Row],[OppDaysOff]]</f>
        <v>-1</v>
      </c>
      <c r="L519" s="2">
        <f>Games[[#This Row],[OppDaysOff]]-Games[[#This Row],[DaysOff]]</f>
        <v>1</v>
      </c>
      <c r="M519" s="1">
        <f>MAX(-16, MIN(16, Games[[#This Row],[RestDiff]]*8))</f>
        <v>-8</v>
      </c>
      <c r="N519" s="1">
        <f>MAX(-16, MIN(16, Games[[#This Row],[OppRestDiff]]*8))</f>
        <v>8</v>
      </c>
      <c r="O519" s="4" cm="1">
        <f t="array" ref="O5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1388.6157389111081</v>
      </c>
      <c r="P519" s="4" cm="1">
        <f t="array" ref="P5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1624.1788083075344</v>
      </c>
      <c r="Q519" s="4">
        <f>1/(1+10^(((Games[[#This Row],[OppPreGmRate]]+IF(Games[[#This Row],[HomeAway]]="A",HCA,0)+Games[[#This Row],[OppRestAdj]])-(Games[[#This Row],[PreGmRate]]+IF(Games[[#This Row],[HomeAway]]="H",HCA,0)+Games[[#This Row],[RestAdj]]))/400))</f>
        <v>0.27596402560695926</v>
      </c>
      <c r="R519" s="1">
        <v>76</v>
      </c>
      <c r="S519" s="1">
        <v>93</v>
      </c>
      <c r="T519" s="1">
        <v>0</v>
      </c>
      <c r="U519" s="1">
        <f>Games[[#This Row],[PointsFor]]-Games[[#This Row],[PointsAgainst]]</f>
        <v>-17</v>
      </c>
      <c r="V519" s="1">
        <f>IF(Games[[#This Row],[MOV]]&gt;0,1,IF(Games[[#This Row],[MOV]]=0,0.5,0))</f>
        <v>0</v>
      </c>
      <c r="W519" s="4">
        <f>((ABS(Games[[#This Row],[MOV]])+5)^0.6)/(12+0.01*(ABS(Games[[#This Row],[PreGmRate]]-Games[[#This Row],[OppPreGmRate]])))*IF(Games[[#This Row],[OT]]=1,0.9,1)</f>
        <v>0.44507308422682623</v>
      </c>
      <c r="X519" s="7" cm="1">
        <f t="array" ref="X5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9" s="9">
        <f>MAX(kmin, kmax - 0.15 * MIN(Games[[#This Row],[GamesPlayed]], 82))</f>
        <v>70</v>
      </c>
      <c r="Z519" s="4">
        <f>Games[[#This Row],[K]]*Games[[#This Row],[POMult]]</f>
        <v>70</v>
      </c>
      <c r="AA519" s="4">
        <f>(Games[[#This Row],[Keff]]*Games[[#This Row],[MOVMult]])*(Games[[#This Row],[Result]]-Games[[#This Row],[ExpectedWin%]])</f>
        <v>-8.597691200877815</v>
      </c>
      <c r="AB519" s="4">
        <f>Games[[#This Row],[PreGmRate]]+Games[[#This Row],[RatingChange]]</f>
        <v>1380.0180477102303</v>
      </c>
      <c r="AC519" s="2">
        <f>IF(Games[[#This Row],[Type]]="R",IF(Games[[#This Row],[Result]]&gt;0.5,1,0),0)</f>
        <v>0</v>
      </c>
      <c r="AD519" s="2">
        <f>IF(Games[[#This Row],[Type]]="R",IF(Games[[#This Row],[Result]]&lt;0.5,1,0),0)</f>
        <v>1</v>
      </c>
      <c r="AE519" s="2">
        <f>IF(AND(Games[[#This Row],[Type]]="P",Games[[#This Row],[Round]]=1),IF(Games[[#This Row],[Result]]&gt;0.5,1,0),0)</f>
        <v>0</v>
      </c>
      <c r="AF519" s="2">
        <f>IF(AND(Games[[#This Row],[Type]]="P",Games[[#This Row],[Round]]=1),IF(Games[[#This Row],[Result]]&lt;0.5,1,0),0)</f>
        <v>0</v>
      </c>
      <c r="AG519" s="2">
        <f>IF(AND(Games[[#This Row],[Type]]="P",Games[[#This Row],[Round]]=2),IF(Games[[#This Row],[Result]]&gt;0.5,1,0),0)</f>
        <v>0</v>
      </c>
      <c r="AH519" s="2">
        <f>IF(AND(Games[[#This Row],[Type]]="P",Games[[#This Row],[Round]]=2),IF(Games[[#This Row],[Result]]&lt;0.5,1,0),0)</f>
        <v>0</v>
      </c>
      <c r="AI519" s="2">
        <f>IF(AND(Games[[#This Row],[Type]]="P",Games[[#This Row],[Round]]=3),IF(Games[[#This Row],[Result]]&gt;0.5,1,0),0)</f>
        <v>0</v>
      </c>
      <c r="AJ519" s="2">
        <f>IF(AND(Games[[#This Row],[Type]]="P",Games[[#This Row],[Round]]=3),IF(Games[[#This Row],[Result]]&lt;0.5,1,0),0)</f>
        <v>0</v>
      </c>
      <c r="AK519" s="2">
        <f>IF(AND(Games[[#This Row],[Type]]="P",Games[[#This Row],[Round]]=4),IF(Games[[#This Row],[Result]]&gt;0.5,1,0),0)</f>
        <v>0</v>
      </c>
      <c r="AL519" s="2">
        <f>IF(AND(Games[[#This Row],[Type]]="P",Games[[#This Row],[Round]]=4),IF(Games[[#This Row],[Result]]&lt;0.5,1,0),0)</f>
        <v>0</v>
      </c>
    </row>
    <row r="520" spans="1:38" x14ac:dyDescent="0.35">
      <c r="A520" s="10">
        <v>45901</v>
      </c>
      <c r="B520" s="2">
        <v>2025</v>
      </c>
      <c r="C520" s="2">
        <f>COUNTIFS(Games[Team],Games[[#This Row],[Team]],Games[Season],Games[[#This Row],[Season]],Games[Date],"&lt;=" &amp; Games[[#This Row],[Date]])</f>
        <v>41</v>
      </c>
      <c r="D520" s="2" t="s">
        <v>79</v>
      </c>
      <c r="E520" s="2" t="s">
        <v>80</v>
      </c>
      <c r="F520" s="1" t="s">
        <v>85</v>
      </c>
      <c r="G520" s="1" t="s">
        <v>67</v>
      </c>
      <c r="H520" s="1" t="s">
        <v>81</v>
      </c>
      <c r="I520" s="2" cm="1">
        <f t="array" ref="I5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0" s="2" cm="1">
        <f t="array" ref="J5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0" s="2">
        <f>Games[[#This Row],[DaysOff]]-Games[[#This Row],[OppDaysOff]]</f>
        <v>1</v>
      </c>
      <c r="L520" s="2">
        <f>Games[[#This Row],[OppDaysOff]]-Games[[#This Row],[DaysOff]]</f>
        <v>-1</v>
      </c>
      <c r="M520" s="1">
        <f>MAX(-16, MIN(16, Games[[#This Row],[RestDiff]]*8))</f>
        <v>8</v>
      </c>
      <c r="N520" s="1">
        <f>MAX(-16, MIN(16, Games[[#This Row],[OppRestDiff]]*8))</f>
        <v>-8</v>
      </c>
      <c r="O520" s="4" cm="1">
        <f t="array" ref="O5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1296.1128799488329</v>
      </c>
      <c r="P520" s="4" cm="1">
        <f t="array" ref="P5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1691.2207754755279</v>
      </c>
      <c r="Q520" s="4">
        <f>1/(1+10^(((Games[[#This Row],[OppPreGmRate]]+IF(Games[[#This Row],[HomeAway]]="A",HCA,0)+Games[[#This Row],[OppRestAdj]])-(Games[[#This Row],[PreGmRate]]+IF(Games[[#This Row],[HomeAway]]="H",HCA,0)+Games[[#This Row],[RestAdj]]))/400))</f>
        <v>6.501798671183219E-2</v>
      </c>
      <c r="R520" s="1">
        <v>71</v>
      </c>
      <c r="S520" s="1">
        <v>96</v>
      </c>
      <c r="T520" s="1">
        <v>0</v>
      </c>
      <c r="U520" s="1">
        <f>Games[[#This Row],[PointsFor]]-Games[[#This Row],[PointsAgainst]]</f>
        <v>-25</v>
      </c>
      <c r="V520" s="1">
        <f>IF(Games[[#This Row],[MOV]]&gt;0,1,IF(Games[[#This Row],[MOV]]=0,0.5,0))</f>
        <v>0</v>
      </c>
      <c r="W520" s="4">
        <f>((ABS(Games[[#This Row],[MOV]])+5)^0.6)/(12+0.01*(ABS(Games[[#This Row],[PreGmRate]]-Games[[#This Row],[OppPreGmRate]])))*IF(Games[[#This Row],[OT]]=1,0.9,1)</f>
        <v>0.48248374685556056</v>
      </c>
      <c r="X520" s="7" cm="1">
        <f t="array" ref="X5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0" s="9">
        <f>MAX(kmin, kmax - 0.15 * MIN(Games[[#This Row],[GamesPlayed]], 82))</f>
        <v>69.849999999999994</v>
      </c>
      <c r="Z520" s="4">
        <f>Games[[#This Row],[K]]*Games[[#This Row],[POMult]]</f>
        <v>69.849999999999994</v>
      </c>
      <c r="AA520" s="4">
        <f>(Games[[#This Row],[Keff]]*Games[[#This Row],[MOVMult]])*(Games[[#This Row],[Result]]-Games[[#This Row],[ExpectedWin%]])</f>
        <v>-2.1912030106448293</v>
      </c>
      <c r="AB520" s="4">
        <f>Games[[#This Row],[PreGmRate]]+Games[[#This Row],[RatingChange]]</f>
        <v>1293.9216769381881</v>
      </c>
      <c r="AC520" s="2">
        <f>IF(Games[[#This Row],[Type]]="R",IF(Games[[#This Row],[Result]]&gt;0.5,1,0),0)</f>
        <v>0</v>
      </c>
      <c r="AD520" s="2">
        <f>IF(Games[[#This Row],[Type]]="R",IF(Games[[#This Row],[Result]]&lt;0.5,1,0),0)</f>
        <v>1</v>
      </c>
      <c r="AE520" s="2">
        <f>IF(AND(Games[[#This Row],[Type]]="P",Games[[#This Row],[Round]]=1),IF(Games[[#This Row],[Result]]&gt;0.5,1,0),0)</f>
        <v>0</v>
      </c>
      <c r="AF520" s="2">
        <f>IF(AND(Games[[#This Row],[Type]]="P",Games[[#This Row],[Round]]=1),IF(Games[[#This Row],[Result]]&lt;0.5,1,0),0)</f>
        <v>0</v>
      </c>
      <c r="AG520" s="2">
        <f>IF(AND(Games[[#This Row],[Type]]="P",Games[[#This Row],[Round]]=2),IF(Games[[#This Row],[Result]]&gt;0.5,1,0),0)</f>
        <v>0</v>
      </c>
      <c r="AH520" s="2">
        <f>IF(AND(Games[[#This Row],[Type]]="P",Games[[#This Row],[Round]]=2),IF(Games[[#This Row],[Result]]&lt;0.5,1,0),0)</f>
        <v>0</v>
      </c>
      <c r="AI520" s="2">
        <f>IF(AND(Games[[#This Row],[Type]]="P",Games[[#This Row],[Round]]=3),IF(Games[[#This Row],[Result]]&gt;0.5,1,0),0)</f>
        <v>0</v>
      </c>
      <c r="AJ520" s="2">
        <f>IF(AND(Games[[#This Row],[Type]]="P",Games[[#This Row],[Round]]=3),IF(Games[[#This Row],[Result]]&lt;0.5,1,0),0)</f>
        <v>0</v>
      </c>
      <c r="AK520" s="2">
        <f>IF(AND(Games[[#This Row],[Type]]="P",Games[[#This Row],[Round]]=4),IF(Games[[#This Row],[Result]]&gt;0.5,1,0),0)</f>
        <v>0</v>
      </c>
      <c r="AL520" s="2">
        <f>IF(AND(Games[[#This Row],[Type]]="P",Games[[#This Row],[Round]]=4),IF(Games[[#This Row],[Result]]&lt;0.5,1,0),0)</f>
        <v>0</v>
      </c>
    </row>
    <row r="521" spans="1:38" x14ac:dyDescent="0.35">
      <c r="A521" s="10">
        <v>45901</v>
      </c>
      <c r="B521" s="2">
        <v>2025</v>
      </c>
      <c r="C521" s="2">
        <f>COUNTIFS(Games[Team],Games[[#This Row],[Team]],Games[Season],Games[[#This Row],[Season]],Games[Date],"&lt;=" &amp; Games[[#This Row],[Date]])</f>
        <v>41</v>
      </c>
      <c r="D521" s="2" t="s">
        <v>79</v>
      </c>
      <c r="E521" s="2" t="s">
        <v>80</v>
      </c>
      <c r="F521" s="1" t="s">
        <v>67</v>
      </c>
      <c r="G521" s="1" t="s">
        <v>85</v>
      </c>
      <c r="H521" s="1" t="s">
        <v>82</v>
      </c>
      <c r="I521" s="2" cm="1">
        <f t="array" ref="I5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1" s="2" cm="1">
        <f t="array" ref="J5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1" s="2">
        <f>Games[[#This Row],[DaysOff]]-Games[[#This Row],[OppDaysOff]]</f>
        <v>-1</v>
      </c>
      <c r="L521" s="2">
        <f>Games[[#This Row],[OppDaysOff]]-Games[[#This Row],[DaysOff]]</f>
        <v>1</v>
      </c>
      <c r="M521" s="1">
        <f>MAX(-16, MIN(16, Games[[#This Row],[RestDiff]]*8))</f>
        <v>-8</v>
      </c>
      <c r="N521" s="1">
        <f>MAX(-16, MIN(16, Games[[#This Row],[OppRestDiff]]*8))</f>
        <v>8</v>
      </c>
      <c r="O521" s="4" cm="1">
        <f t="array" ref="O5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1691.2207754755279</v>
      </c>
      <c r="P521" s="4" cm="1">
        <f t="array" ref="P5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1296.1128799488329</v>
      </c>
      <c r="Q521" s="4">
        <f>1/(1+10^(((Games[[#This Row],[OppPreGmRate]]+IF(Games[[#This Row],[HomeAway]]="A",HCA,0)+Games[[#This Row],[OppRestAdj]])-(Games[[#This Row],[PreGmRate]]+IF(Games[[#This Row],[HomeAway]]="H",HCA,0)+Games[[#This Row],[RestAdj]]))/400))</f>
        <v>0.93498201328816788</v>
      </c>
      <c r="R521" s="1">
        <v>96</v>
      </c>
      <c r="S521" s="1">
        <v>71</v>
      </c>
      <c r="T521" s="1">
        <v>0</v>
      </c>
      <c r="U521" s="1">
        <f>Games[[#This Row],[PointsFor]]-Games[[#This Row],[PointsAgainst]]</f>
        <v>25</v>
      </c>
      <c r="V521" s="1">
        <f>IF(Games[[#This Row],[MOV]]&gt;0,1,IF(Games[[#This Row],[MOV]]=0,0.5,0))</f>
        <v>1</v>
      </c>
      <c r="W521" s="4">
        <f>((ABS(Games[[#This Row],[MOV]])+5)^0.6)/(12+0.01*(ABS(Games[[#This Row],[PreGmRate]]-Games[[#This Row],[OppPreGmRate]])))*IF(Games[[#This Row],[OT]]=1,0.9,1)</f>
        <v>0.48248374685556056</v>
      </c>
      <c r="X521" s="7" cm="1">
        <f t="array" ref="X5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1" s="9">
        <f>MAX(kmin, kmax - 0.15 * MIN(Games[[#This Row],[GamesPlayed]], 82))</f>
        <v>69.849999999999994</v>
      </c>
      <c r="Z521" s="4">
        <f>Games[[#This Row],[K]]*Games[[#This Row],[POMult]]</f>
        <v>69.849999999999994</v>
      </c>
      <c r="AA521" s="4">
        <f>(Games[[#This Row],[Keff]]*Games[[#This Row],[MOVMult]])*(Games[[#This Row],[Result]]-Games[[#This Row],[ExpectedWin%]])</f>
        <v>2.191203010644827</v>
      </c>
      <c r="AB521" s="4">
        <f>Games[[#This Row],[PreGmRate]]+Games[[#This Row],[RatingChange]]</f>
        <v>1693.4119784861728</v>
      </c>
      <c r="AC521" s="2">
        <f>IF(Games[[#This Row],[Type]]="R",IF(Games[[#This Row],[Result]]&gt;0.5,1,0),0)</f>
        <v>1</v>
      </c>
      <c r="AD521" s="2">
        <f>IF(Games[[#This Row],[Type]]="R",IF(Games[[#This Row],[Result]]&lt;0.5,1,0),0)</f>
        <v>0</v>
      </c>
      <c r="AE521" s="2">
        <f>IF(AND(Games[[#This Row],[Type]]="P",Games[[#This Row],[Round]]=1),IF(Games[[#This Row],[Result]]&gt;0.5,1,0),0)</f>
        <v>0</v>
      </c>
      <c r="AF521" s="2">
        <f>IF(AND(Games[[#This Row],[Type]]="P",Games[[#This Row],[Round]]=1),IF(Games[[#This Row],[Result]]&lt;0.5,1,0),0)</f>
        <v>0</v>
      </c>
      <c r="AG521" s="2">
        <f>IF(AND(Games[[#This Row],[Type]]="P",Games[[#This Row],[Round]]=2),IF(Games[[#This Row],[Result]]&gt;0.5,1,0),0)</f>
        <v>0</v>
      </c>
      <c r="AH521" s="2">
        <f>IF(AND(Games[[#This Row],[Type]]="P",Games[[#This Row],[Round]]=2),IF(Games[[#This Row],[Result]]&lt;0.5,1,0),0)</f>
        <v>0</v>
      </c>
      <c r="AI521" s="2">
        <f>IF(AND(Games[[#This Row],[Type]]="P",Games[[#This Row],[Round]]=3),IF(Games[[#This Row],[Result]]&gt;0.5,1,0),0)</f>
        <v>0</v>
      </c>
      <c r="AJ521" s="2">
        <f>IF(AND(Games[[#This Row],[Type]]="P",Games[[#This Row],[Round]]=3),IF(Games[[#This Row],[Result]]&lt;0.5,1,0),0)</f>
        <v>0</v>
      </c>
      <c r="AK521" s="2">
        <f>IF(AND(Games[[#This Row],[Type]]="P",Games[[#This Row],[Round]]=4),IF(Games[[#This Row],[Result]]&gt;0.5,1,0),0)</f>
        <v>0</v>
      </c>
      <c r="AL521" s="2">
        <f>IF(AND(Games[[#This Row],[Type]]="P",Games[[#This Row],[Round]]=4),IF(Games[[#This Row],[Result]]&lt;0.5,1,0),0)</f>
        <v>0</v>
      </c>
    </row>
    <row r="522" spans="1:38" x14ac:dyDescent="0.35">
      <c r="A522" s="10">
        <v>45901</v>
      </c>
      <c r="B522" s="2">
        <v>2025</v>
      </c>
      <c r="C522" s="2">
        <f>COUNTIFS(Games[Team],Games[[#This Row],[Team]],Games[Season],Games[[#This Row],[Season]],Games[Date],"&lt;=" &amp; Games[[#This Row],[Date]])</f>
        <v>39</v>
      </c>
      <c r="D522" s="2" t="s">
        <v>79</v>
      </c>
      <c r="E522" s="2" t="s">
        <v>80</v>
      </c>
      <c r="F522" s="1" t="s">
        <v>63</v>
      </c>
      <c r="G522" s="1" t="s">
        <v>71</v>
      </c>
      <c r="H522" s="1" t="s">
        <v>81</v>
      </c>
      <c r="I522" s="2" cm="1">
        <f t="array" ref="I5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522" s="2" cm="1">
        <f t="array" ref="J5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2" s="2">
        <f>Games[[#This Row],[DaysOff]]-Games[[#This Row],[OppDaysOff]]</f>
        <v>-1</v>
      </c>
      <c r="L522" s="2">
        <f>Games[[#This Row],[OppDaysOff]]-Games[[#This Row],[DaysOff]]</f>
        <v>1</v>
      </c>
      <c r="M522" s="1">
        <f>MAX(-16, MIN(16, Games[[#This Row],[RestDiff]]*8))</f>
        <v>-8</v>
      </c>
      <c r="N522" s="1">
        <f>MAX(-16, MIN(16, Games[[#This Row],[OppRestDiff]]*8))</f>
        <v>8</v>
      </c>
      <c r="O522" s="4" cm="1">
        <f t="array" ref="O5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1441.7712502459053</v>
      </c>
      <c r="P522" s="4" cm="1">
        <f t="array" ref="P5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1535.8876517589993</v>
      </c>
      <c r="Q522" s="4">
        <f>1/(1+10^(((Games[[#This Row],[OppPreGmRate]]+IF(Games[[#This Row],[HomeAway]]="A",HCA,0)+Games[[#This Row],[OppRestAdj]])-(Games[[#This Row],[PreGmRate]]+IF(Games[[#This Row],[HomeAway]]="H",HCA,0)+Games[[#This Row],[RestAdj]]))/400))</f>
        <v>0.2464894490422222</v>
      </c>
      <c r="R522" s="1">
        <v>91</v>
      </c>
      <c r="S522" s="1">
        <v>85</v>
      </c>
      <c r="T522" s="1">
        <v>0</v>
      </c>
      <c r="U522" s="1">
        <f>Games[[#This Row],[PointsFor]]-Games[[#This Row],[PointsAgainst]]</f>
        <v>6</v>
      </c>
      <c r="V522" s="1">
        <f>IF(Games[[#This Row],[MOV]]&gt;0,1,IF(Games[[#This Row],[MOV]]=0,0.5,0))</f>
        <v>1</v>
      </c>
      <c r="W522" s="4">
        <f>((ABS(Games[[#This Row],[MOV]])+5)^0.6)/(12+0.01*(ABS(Games[[#This Row],[PreGmRate]]-Games[[#This Row],[OppPreGmRate]])))*IF(Games[[#This Row],[OT]]=1,0.9,1)</f>
        <v>0.32573338288296544</v>
      </c>
      <c r="X522" s="7" cm="1">
        <f t="array" ref="X5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2" s="9">
        <f>MAX(kmin, kmax - 0.15 * MIN(Games[[#This Row],[GamesPlayed]], 82))</f>
        <v>70.150000000000006</v>
      </c>
      <c r="Z522" s="4">
        <f>Games[[#This Row],[K]]*Games[[#This Row],[POMult]]</f>
        <v>70.150000000000006</v>
      </c>
      <c r="AA522" s="4">
        <f>(Games[[#This Row],[Keff]]*Games[[#This Row],[MOVMult]])*(Games[[#This Row],[Result]]-Games[[#This Row],[ExpectedWin%]])</f>
        <v>17.217864387224108</v>
      </c>
      <c r="AB522" s="4">
        <f>Games[[#This Row],[PreGmRate]]+Games[[#This Row],[RatingChange]]</f>
        <v>1458.9891146331295</v>
      </c>
      <c r="AC522" s="2">
        <f>IF(Games[[#This Row],[Type]]="R",IF(Games[[#This Row],[Result]]&gt;0.5,1,0),0)</f>
        <v>1</v>
      </c>
      <c r="AD522" s="2">
        <f>IF(Games[[#This Row],[Type]]="R",IF(Games[[#This Row],[Result]]&lt;0.5,1,0),0)</f>
        <v>0</v>
      </c>
      <c r="AE522" s="2">
        <f>IF(AND(Games[[#This Row],[Type]]="P",Games[[#This Row],[Round]]=1),IF(Games[[#This Row],[Result]]&gt;0.5,1,0),0)</f>
        <v>0</v>
      </c>
      <c r="AF522" s="2">
        <f>IF(AND(Games[[#This Row],[Type]]="P",Games[[#This Row],[Round]]=1),IF(Games[[#This Row],[Result]]&lt;0.5,1,0),0)</f>
        <v>0</v>
      </c>
      <c r="AG522" s="2">
        <f>IF(AND(Games[[#This Row],[Type]]="P",Games[[#This Row],[Round]]=2),IF(Games[[#This Row],[Result]]&gt;0.5,1,0),0)</f>
        <v>0</v>
      </c>
      <c r="AH522" s="2">
        <f>IF(AND(Games[[#This Row],[Type]]="P",Games[[#This Row],[Round]]=2),IF(Games[[#This Row],[Result]]&lt;0.5,1,0),0)</f>
        <v>0</v>
      </c>
      <c r="AI522" s="2">
        <f>IF(AND(Games[[#This Row],[Type]]="P",Games[[#This Row],[Round]]=3),IF(Games[[#This Row],[Result]]&gt;0.5,1,0),0)</f>
        <v>0</v>
      </c>
      <c r="AJ522" s="2">
        <f>IF(AND(Games[[#This Row],[Type]]="P",Games[[#This Row],[Round]]=3),IF(Games[[#This Row],[Result]]&lt;0.5,1,0),0)</f>
        <v>0</v>
      </c>
      <c r="AK522" s="2">
        <f>IF(AND(Games[[#This Row],[Type]]="P",Games[[#This Row],[Round]]=4),IF(Games[[#This Row],[Result]]&gt;0.5,1,0),0)</f>
        <v>0</v>
      </c>
      <c r="AL522" s="2">
        <f>IF(AND(Games[[#This Row],[Type]]="P",Games[[#This Row],[Round]]=4),IF(Games[[#This Row],[Result]]&lt;0.5,1,0),0)</f>
        <v>0</v>
      </c>
    </row>
    <row r="523" spans="1:38" x14ac:dyDescent="0.35">
      <c r="A523" s="10">
        <v>45901</v>
      </c>
      <c r="B523" s="2">
        <v>2025</v>
      </c>
      <c r="C523" s="2">
        <f>COUNTIFS(Games[Team],Games[[#This Row],[Team]],Games[Season],Games[[#This Row],[Season]],Games[Date],"&lt;=" &amp; Games[[#This Row],[Date]])</f>
        <v>42</v>
      </c>
      <c r="D523" s="2" t="s">
        <v>79</v>
      </c>
      <c r="E523" s="2" t="s">
        <v>80</v>
      </c>
      <c r="F523" s="1" t="s">
        <v>71</v>
      </c>
      <c r="G523" s="1" t="s">
        <v>63</v>
      </c>
      <c r="H523" s="1" t="s">
        <v>82</v>
      </c>
      <c r="I523" s="2" cm="1">
        <f t="array" ref="I5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3" s="2" cm="1">
        <f t="array" ref="J5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23" s="2">
        <f>Games[[#This Row],[DaysOff]]-Games[[#This Row],[OppDaysOff]]</f>
        <v>1</v>
      </c>
      <c r="L523" s="2">
        <f>Games[[#This Row],[OppDaysOff]]-Games[[#This Row],[DaysOff]]</f>
        <v>-1</v>
      </c>
      <c r="M523" s="1">
        <f>MAX(-16, MIN(16, Games[[#This Row],[RestDiff]]*8))</f>
        <v>8</v>
      </c>
      <c r="N523" s="1">
        <f>MAX(-16, MIN(16, Games[[#This Row],[OppRestDiff]]*8))</f>
        <v>-8</v>
      </c>
      <c r="O523" s="4" cm="1">
        <f t="array" ref="O5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1535.8876517589993</v>
      </c>
      <c r="P523" s="4" cm="1">
        <f t="array" ref="P5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1441.7712502459053</v>
      </c>
      <c r="Q523" s="4">
        <f>1/(1+10^(((Games[[#This Row],[OppPreGmRate]]+IF(Games[[#This Row],[HomeAway]]="A",HCA,0)+Games[[#This Row],[OppRestAdj]])-(Games[[#This Row],[PreGmRate]]+IF(Games[[#This Row],[HomeAway]]="H",HCA,0)+Games[[#This Row],[RestAdj]]))/400))</f>
        <v>0.75351055095777786</v>
      </c>
      <c r="R523" s="1">
        <v>85</v>
      </c>
      <c r="S523" s="1">
        <v>91</v>
      </c>
      <c r="T523" s="1">
        <v>0</v>
      </c>
      <c r="U523" s="1">
        <f>Games[[#This Row],[PointsFor]]-Games[[#This Row],[PointsAgainst]]</f>
        <v>-6</v>
      </c>
      <c r="V523" s="1">
        <f>IF(Games[[#This Row],[MOV]]&gt;0,1,IF(Games[[#This Row],[MOV]]=0,0.5,0))</f>
        <v>0</v>
      </c>
      <c r="W523" s="4">
        <f>((ABS(Games[[#This Row],[MOV]])+5)^0.6)/(12+0.01*(ABS(Games[[#This Row],[PreGmRate]]-Games[[#This Row],[OppPreGmRate]])))*IF(Games[[#This Row],[OT]]=1,0.9,1)</f>
        <v>0.32573338288296544</v>
      </c>
      <c r="X523" s="7" cm="1">
        <f t="array" ref="X5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3" s="9">
        <f>MAX(kmin, kmax - 0.15 * MIN(Games[[#This Row],[GamesPlayed]], 82))</f>
        <v>69.7</v>
      </c>
      <c r="Z523" s="4">
        <f>Games[[#This Row],[K]]*Games[[#This Row],[POMult]]</f>
        <v>69.7</v>
      </c>
      <c r="AA523" s="4">
        <f>(Games[[#This Row],[Keff]]*Games[[#This Row],[MOVMult]])*(Games[[#This Row],[Result]]-Games[[#This Row],[ExpectedWin%]])</f>
        <v>-17.107414793863441</v>
      </c>
      <c r="AB523" s="4">
        <f>Games[[#This Row],[PreGmRate]]+Games[[#This Row],[RatingChange]]</f>
        <v>1518.7802369651358</v>
      </c>
      <c r="AC523" s="2">
        <f>IF(Games[[#This Row],[Type]]="R",IF(Games[[#This Row],[Result]]&gt;0.5,1,0),0)</f>
        <v>0</v>
      </c>
      <c r="AD523" s="2">
        <f>IF(Games[[#This Row],[Type]]="R",IF(Games[[#This Row],[Result]]&lt;0.5,1,0),0)</f>
        <v>1</v>
      </c>
      <c r="AE523" s="2">
        <f>IF(AND(Games[[#This Row],[Type]]="P",Games[[#This Row],[Round]]=1),IF(Games[[#This Row],[Result]]&gt;0.5,1,0),0)</f>
        <v>0</v>
      </c>
      <c r="AF523" s="2">
        <f>IF(AND(Games[[#This Row],[Type]]="P",Games[[#This Row],[Round]]=1),IF(Games[[#This Row],[Result]]&lt;0.5,1,0),0)</f>
        <v>0</v>
      </c>
      <c r="AG523" s="2">
        <f>IF(AND(Games[[#This Row],[Type]]="P",Games[[#This Row],[Round]]=2),IF(Games[[#This Row],[Result]]&gt;0.5,1,0),0)</f>
        <v>0</v>
      </c>
      <c r="AH523" s="2">
        <f>IF(AND(Games[[#This Row],[Type]]="P",Games[[#This Row],[Round]]=2),IF(Games[[#This Row],[Result]]&lt;0.5,1,0),0)</f>
        <v>0</v>
      </c>
      <c r="AI523" s="2">
        <f>IF(AND(Games[[#This Row],[Type]]="P",Games[[#This Row],[Round]]=3),IF(Games[[#This Row],[Result]]&gt;0.5,1,0),0)</f>
        <v>0</v>
      </c>
      <c r="AJ523" s="2">
        <f>IF(AND(Games[[#This Row],[Type]]="P",Games[[#This Row],[Round]]=3),IF(Games[[#This Row],[Result]]&lt;0.5,1,0),0)</f>
        <v>0</v>
      </c>
      <c r="AK523" s="2">
        <f>IF(AND(Games[[#This Row],[Type]]="P",Games[[#This Row],[Round]]=4),IF(Games[[#This Row],[Result]]&gt;0.5,1,0),0)</f>
        <v>0</v>
      </c>
      <c r="AL523" s="2">
        <f>IF(AND(Games[[#This Row],[Type]]="P",Games[[#This Row],[Round]]=4),IF(Games[[#This Row],[Result]]&lt;0.5,1,0),0)</f>
        <v>0</v>
      </c>
    </row>
    <row r="524" spans="1:38" x14ac:dyDescent="0.35">
      <c r="A524" s="10">
        <v>45902</v>
      </c>
      <c r="B524" s="2">
        <v>2025</v>
      </c>
      <c r="C524" s="2">
        <f>COUNTIFS(Games[Team],Games[[#This Row],[Team]],Games[Season],Games[[#This Row],[Season]],Games[Date],"&lt;=" &amp; Games[[#This Row],[Date]])</f>
        <v>41</v>
      </c>
      <c r="D524" s="2" t="s">
        <v>79</v>
      </c>
      <c r="E524" s="2" t="s">
        <v>80</v>
      </c>
      <c r="F524" s="1" t="s">
        <v>60</v>
      </c>
      <c r="G524" s="1" t="s">
        <v>88</v>
      </c>
      <c r="H524" s="1" t="s">
        <v>81</v>
      </c>
      <c r="I524" s="2" cm="1">
        <f t="array" ref="I5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4" s="2" cm="1">
        <f t="array" ref="J5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4" s="2">
        <f>Games[[#This Row],[DaysOff]]-Games[[#This Row],[OppDaysOff]]</f>
        <v>1</v>
      </c>
      <c r="L524" s="2">
        <f>Games[[#This Row],[OppDaysOff]]-Games[[#This Row],[DaysOff]]</f>
        <v>-1</v>
      </c>
      <c r="M524" s="1">
        <f>MAX(-16, MIN(16, Games[[#This Row],[RestDiff]]*8))</f>
        <v>8</v>
      </c>
      <c r="N524" s="1">
        <f>MAX(-16, MIN(16, Games[[#This Row],[OppRestDiff]]*8))</f>
        <v>-8</v>
      </c>
      <c r="O524" s="4" cm="1">
        <f t="array" ref="O5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1570.4087511380601</v>
      </c>
      <c r="P524" s="4" cm="1">
        <f t="array" ref="P5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1528.0379719914019</v>
      </c>
      <c r="Q524" s="4">
        <f>1/(1+10^(((Games[[#This Row],[OppPreGmRate]]+IF(Games[[#This Row],[HomeAway]]="A",HCA,0)+Games[[#This Row],[OppRestAdj]])-(Games[[#This Row],[PreGmRate]]+IF(Games[[#This Row],[HomeAway]]="H",HCA,0)+Games[[#This Row],[RestAdj]]))/400))</f>
        <v>0.46318334194224736</v>
      </c>
      <c r="R524" s="1">
        <v>58</v>
      </c>
      <c r="S524" s="1">
        <v>66</v>
      </c>
      <c r="T524" s="1">
        <v>0</v>
      </c>
      <c r="U524" s="1">
        <f>Games[[#This Row],[PointsFor]]-Games[[#This Row],[PointsAgainst]]</f>
        <v>-8</v>
      </c>
      <c r="V524" s="1">
        <f>IF(Games[[#This Row],[MOV]]&gt;0,1,IF(Games[[#This Row],[MOV]]=0,0.5,0))</f>
        <v>0</v>
      </c>
      <c r="W524" s="4">
        <f>((ABS(Games[[#This Row],[MOV]])+5)^0.6)/(12+0.01*(ABS(Games[[#This Row],[PreGmRate]]-Games[[#This Row],[OppPreGmRate]])))*IF(Games[[#This Row],[OT]]=1,0.9,1)</f>
        <v>0.37507212003462553</v>
      </c>
      <c r="X524" s="7" cm="1">
        <f t="array" ref="X5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4" s="9">
        <f>MAX(kmin, kmax - 0.15 * MIN(Games[[#This Row],[GamesPlayed]], 82))</f>
        <v>69.849999999999994</v>
      </c>
      <c r="Z524" s="4">
        <f>Games[[#This Row],[K]]*Games[[#This Row],[POMult]]</f>
        <v>69.849999999999994</v>
      </c>
      <c r="AA524" s="4">
        <f>(Games[[#This Row],[Keff]]*Games[[#This Row],[MOVMult]])*(Games[[#This Row],[Result]]-Games[[#This Row],[ExpectedWin%]])</f>
        <v>-12.134841988186063</v>
      </c>
      <c r="AB524" s="4">
        <f>Games[[#This Row],[PreGmRate]]+Games[[#This Row],[RatingChange]]</f>
        <v>1558.273909149874</v>
      </c>
      <c r="AC524" s="2">
        <f>IF(Games[[#This Row],[Type]]="R",IF(Games[[#This Row],[Result]]&gt;0.5,1,0),0)</f>
        <v>0</v>
      </c>
      <c r="AD524" s="2">
        <f>IF(Games[[#This Row],[Type]]="R",IF(Games[[#This Row],[Result]]&lt;0.5,1,0),0)</f>
        <v>1</v>
      </c>
      <c r="AE524" s="2">
        <f>IF(AND(Games[[#This Row],[Type]]="P",Games[[#This Row],[Round]]=1),IF(Games[[#This Row],[Result]]&gt;0.5,1,0),0)</f>
        <v>0</v>
      </c>
      <c r="AF524" s="2">
        <f>IF(AND(Games[[#This Row],[Type]]="P",Games[[#This Row],[Round]]=1),IF(Games[[#This Row],[Result]]&lt;0.5,1,0),0)</f>
        <v>0</v>
      </c>
      <c r="AG524" s="2">
        <f>IF(AND(Games[[#This Row],[Type]]="P",Games[[#This Row],[Round]]=2),IF(Games[[#This Row],[Result]]&gt;0.5,1,0),0)</f>
        <v>0</v>
      </c>
      <c r="AH524" s="2">
        <f>IF(AND(Games[[#This Row],[Type]]="P",Games[[#This Row],[Round]]=2),IF(Games[[#This Row],[Result]]&lt;0.5,1,0),0)</f>
        <v>0</v>
      </c>
      <c r="AI524" s="2">
        <f>IF(AND(Games[[#This Row],[Type]]="P",Games[[#This Row],[Round]]=3),IF(Games[[#This Row],[Result]]&gt;0.5,1,0),0)</f>
        <v>0</v>
      </c>
      <c r="AJ524" s="2">
        <f>IF(AND(Games[[#This Row],[Type]]="P",Games[[#This Row],[Round]]=3),IF(Games[[#This Row],[Result]]&lt;0.5,1,0),0)</f>
        <v>0</v>
      </c>
      <c r="AK524" s="2">
        <f>IF(AND(Games[[#This Row],[Type]]="P",Games[[#This Row],[Round]]=4),IF(Games[[#This Row],[Result]]&gt;0.5,1,0),0)</f>
        <v>0</v>
      </c>
      <c r="AL524" s="2">
        <f>IF(AND(Games[[#This Row],[Type]]="P",Games[[#This Row],[Round]]=4),IF(Games[[#This Row],[Result]]&lt;0.5,1,0),0)</f>
        <v>0</v>
      </c>
    </row>
    <row r="525" spans="1:38" x14ac:dyDescent="0.35">
      <c r="A525" s="10">
        <v>45902</v>
      </c>
      <c r="B525" s="2">
        <v>2025</v>
      </c>
      <c r="C525" s="2">
        <f>COUNTIFS(Games[Team],Games[[#This Row],[Team]],Games[Season],Games[[#This Row],[Season]],Games[Date],"&lt;=" &amp; Games[[#This Row],[Date]])</f>
        <v>40</v>
      </c>
      <c r="D525" s="2" t="s">
        <v>79</v>
      </c>
      <c r="E525" s="2" t="s">
        <v>80</v>
      </c>
      <c r="F525" s="1" t="s">
        <v>88</v>
      </c>
      <c r="G525" s="1" t="s">
        <v>60</v>
      </c>
      <c r="H525" s="1" t="s">
        <v>82</v>
      </c>
      <c r="I525" s="2" cm="1">
        <f t="array" ref="I5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5" s="2" cm="1">
        <f t="array" ref="J5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5" s="2">
        <f>Games[[#This Row],[DaysOff]]-Games[[#This Row],[OppDaysOff]]</f>
        <v>-1</v>
      </c>
      <c r="L525" s="2">
        <f>Games[[#This Row],[OppDaysOff]]-Games[[#This Row],[DaysOff]]</f>
        <v>1</v>
      </c>
      <c r="M525" s="1">
        <f>MAX(-16, MIN(16, Games[[#This Row],[RestDiff]]*8))</f>
        <v>-8</v>
      </c>
      <c r="N525" s="1">
        <f>MAX(-16, MIN(16, Games[[#This Row],[OppRestDiff]]*8))</f>
        <v>8</v>
      </c>
      <c r="O525" s="4" cm="1">
        <f t="array" ref="O5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1528.0379719914019</v>
      </c>
      <c r="P525" s="4" cm="1">
        <f t="array" ref="P5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1570.4087511380601</v>
      </c>
      <c r="Q525" s="4">
        <f>1/(1+10^(((Games[[#This Row],[OppPreGmRate]]+IF(Games[[#This Row],[HomeAway]]="A",HCA,0)+Games[[#This Row],[OppRestAdj]])-(Games[[#This Row],[PreGmRate]]+IF(Games[[#This Row],[HomeAway]]="H",HCA,0)+Games[[#This Row],[RestAdj]]))/400))</f>
        <v>0.53681665805775269</v>
      </c>
      <c r="R525" s="1">
        <v>66</v>
      </c>
      <c r="S525" s="1">
        <v>58</v>
      </c>
      <c r="T525" s="1">
        <v>0</v>
      </c>
      <c r="U525" s="1">
        <f>Games[[#This Row],[PointsFor]]-Games[[#This Row],[PointsAgainst]]</f>
        <v>8</v>
      </c>
      <c r="V525" s="1">
        <f>IF(Games[[#This Row],[MOV]]&gt;0,1,IF(Games[[#This Row],[MOV]]=0,0.5,0))</f>
        <v>1</v>
      </c>
      <c r="W525" s="4">
        <f>((ABS(Games[[#This Row],[MOV]])+5)^0.6)/(12+0.01*(ABS(Games[[#This Row],[PreGmRate]]-Games[[#This Row],[OppPreGmRate]])))*IF(Games[[#This Row],[OT]]=1,0.9,1)</f>
        <v>0.37507212003462553</v>
      </c>
      <c r="X525" s="7" cm="1">
        <f t="array" ref="X5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5" s="9">
        <f>MAX(kmin, kmax - 0.15 * MIN(Games[[#This Row],[GamesPlayed]], 82))</f>
        <v>70</v>
      </c>
      <c r="Z525" s="4">
        <f>Games[[#This Row],[K]]*Games[[#This Row],[POMult]]</f>
        <v>70</v>
      </c>
      <c r="AA525" s="4">
        <f>(Games[[#This Row],[Keff]]*Games[[#This Row],[MOVMult]])*(Games[[#This Row],[Result]]-Games[[#This Row],[ExpectedWin%]])</f>
        <v>12.160901061890112</v>
      </c>
      <c r="AB525" s="4">
        <f>Games[[#This Row],[PreGmRate]]+Games[[#This Row],[RatingChange]]</f>
        <v>1540.1988730532921</v>
      </c>
      <c r="AC525" s="2">
        <f>IF(Games[[#This Row],[Type]]="R",IF(Games[[#This Row],[Result]]&gt;0.5,1,0),0)</f>
        <v>1</v>
      </c>
      <c r="AD525" s="2">
        <f>IF(Games[[#This Row],[Type]]="R",IF(Games[[#This Row],[Result]]&lt;0.5,1,0),0)</f>
        <v>0</v>
      </c>
      <c r="AE525" s="2">
        <f>IF(AND(Games[[#This Row],[Type]]="P",Games[[#This Row],[Round]]=1),IF(Games[[#This Row],[Result]]&gt;0.5,1,0),0)</f>
        <v>0</v>
      </c>
      <c r="AF525" s="2">
        <f>IF(AND(Games[[#This Row],[Type]]="P",Games[[#This Row],[Round]]=1),IF(Games[[#This Row],[Result]]&lt;0.5,1,0),0)</f>
        <v>0</v>
      </c>
      <c r="AG525" s="2">
        <f>IF(AND(Games[[#This Row],[Type]]="P",Games[[#This Row],[Round]]=2),IF(Games[[#This Row],[Result]]&gt;0.5,1,0),0)</f>
        <v>0</v>
      </c>
      <c r="AH525" s="2">
        <f>IF(AND(Games[[#This Row],[Type]]="P",Games[[#This Row],[Round]]=2),IF(Games[[#This Row],[Result]]&lt;0.5,1,0),0)</f>
        <v>0</v>
      </c>
      <c r="AI525" s="2">
        <f>IF(AND(Games[[#This Row],[Type]]="P",Games[[#This Row],[Round]]=3),IF(Games[[#This Row],[Result]]&gt;0.5,1,0),0)</f>
        <v>0</v>
      </c>
      <c r="AJ525" s="2">
        <f>IF(AND(Games[[#This Row],[Type]]="P",Games[[#This Row],[Round]]=3),IF(Games[[#This Row],[Result]]&lt;0.5,1,0),0)</f>
        <v>0</v>
      </c>
      <c r="AK525" s="2">
        <f>IF(AND(Games[[#This Row],[Type]]="P",Games[[#This Row],[Round]]=4),IF(Games[[#This Row],[Result]]&gt;0.5,1,0),0)</f>
        <v>0</v>
      </c>
      <c r="AL525" s="2">
        <f>IF(AND(Games[[#This Row],[Type]]="P",Games[[#This Row],[Round]]=4),IF(Games[[#This Row],[Result]]&lt;0.5,1,0),0)</f>
        <v>0</v>
      </c>
    </row>
    <row r="526" spans="1:38" x14ac:dyDescent="0.35">
      <c r="A526" s="10">
        <v>45902</v>
      </c>
      <c r="B526" s="2">
        <v>2025</v>
      </c>
      <c r="C526" s="2">
        <f>COUNTIFS(Games[Team],Games[[#This Row],[Team]],Games[Season],Games[[#This Row],[Season]],Games[Date],"&lt;=" &amp; Games[[#This Row],[Date]])</f>
        <v>42</v>
      </c>
      <c r="D526" s="2" t="s">
        <v>79</v>
      </c>
      <c r="E526" s="2" t="s">
        <v>80</v>
      </c>
      <c r="F526" s="1" t="s">
        <v>69</v>
      </c>
      <c r="G526" s="1" t="s">
        <v>40</v>
      </c>
      <c r="H526" s="1" t="s">
        <v>81</v>
      </c>
      <c r="I526" s="2" cm="1">
        <f t="array" ref="I5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6" s="2" cm="1">
        <f t="array" ref="J5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6" s="2">
        <f>Games[[#This Row],[DaysOff]]-Games[[#This Row],[OppDaysOff]]</f>
        <v>-1</v>
      </c>
      <c r="L526" s="2">
        <f>Games[[#This Row],[OppDaysOff]]-Games[[#This Row],[DaysOff]]</f>
        <v>1</v>
      </c>
      <c r="M526" s="1">
        <f>MAX(-16, MIN(16, Games[[#This Row],[RestDiff]]*8))</f>
        <v>-8</v>
      </c>
      <c r="N526" s="1">
        <f>MAX(-16, MIN(16, Games[[#This Row],[OppRestDiff]]*8))</f>
        <v>8</v>
      </c>
      <c r="O526" s="4" cm="1">
        <f t="array" ref="O5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1529.6501122990157</v>
      </c>
      <c r="P526" s="4" cm="1">
        <f t="array" ref="P5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1589.5254374174149</v>
      </c>
      <c r="Q526" s="4">
        <f>1/(1+10^(((Games[[#This Row],[OppPreGmRate]]+IF(Games[[#This Row],[HomeAway]]="A",HCA,0)+Games[[#This Row],[OppRestAdj]])-(Games[[#This Row],[PreGmRate]]+IF(Games[[#This Row],[HomeAway]]="H",HCA,0)+Games[[#This Row],[RestAdj]]))/400))</f>
        <v>0.28489344001032629</v>
      </c>
      <c r="R526" s="1">
        <v>79</v>
      </c>
      <c r="S526" s="1">
        <v>85</v>
      </c>
      <c r="T526" s="1">
        <v>0</v>
      </c>
      <c r="U526" s="1">
        <f>Games[[#This Row],[PointsFor]]-Games[[#This Row],[PointsAgainst]]</f>
        <v>-6</v>
      </c>
      <c r="V526" s="1">
        <f>IF(Games[[#This Row],[MOV]]&gt;0,1,IF(Games[[#This Row],[MOV]]=0,0.5,0))</f>
        <v>0</v>
      </c>
      <c r="W526" s="4">
        <f>((ABS(Games[[#This Row],[MOV]])+5)^0.6)/(12+0.01*(ABS(Games[[#This Row],[PreGmRate]]-Games[[#This Row],[OppPreGmRate]])))*IF(Games[[#This Row],[OT]]=1,0.9,1)</f>
        <v>0.33458621254414622</v>
      </c>
      <c r="X526" s="7" cm="1">
        <f t="array" ref="X5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6" s="9">
        <f>MAX(kmin, kmax - 0.15 * MIN(Games[[#This Row],[GamesPlayed]], 82))</f>
        <v>69.7</v>
      </c>
      <c r="Z526" s="4">
        <f>Games[[#This Row],[K]]*Games[[#This Row],[POMult]]</f>
        <v>69.7</v>
      </c>
      <c r="AA526" s="4">
        <f>(Games[[#This Row],[Keff]]*Games[[#This Row],[MOVMult]])*(Games[[#This Row],[Result]]-Games[[#This Row],[ExpectedWin%]])</f>
        <v>-6.6439027698994417</v>
      </c>
      <c r="AB526" s="4">
        <f>Games[[#This Row],[PreGmRate]]+Games[[#This Row],[RatingChange]]</f>
        <v>1523.0062095291164</v>
      </c>
      <c r="AC526" s="2">
        <f>IF(Games[[#This Row],[Type]]="R",IF(Games[[#This Row],[Result]]&gt;0.5,1,0),0)</f>
        <v>0</v>
      </c>
      <c r="AD526" s="2">
        <f>IF(Games[[#This Row],[Type]]="R",IF(Games[[#This Row],[Result]]&lt;0.5,1,0),0)</f>
        <v>1</v>
      </c>
      <c r="AE526" s="2">
        <f>IF(AND(Games[[#This Row],[Type]]="P",Games[[#This Row],[Round]]=1),IF(Games[[#This Row],[Result]]&gt;0.5,1,0),0)</f>
        <v>0</v>
      </c>
      <c r="AF526" s="2">
        <f>IF(AND(Games[[#This Row],[Type]]="P",Games[[#This Row],[Round]]=1),IF(Games[[#This Row],[Result]]&lt;0.5,1,0),0)</f>
        <v>0</v>
      </c>
      <c r="AG526" s="2">
        <f>IF(AND(Games[[#This Row],[Type]]="P",Games[[#This Row],[Round]]=2),IF(Games[[#This Row],[Result]]&gt;0.5,1,0),0)</f>
        <v>0</v>
      </c>
      <c r="AH526" s="2">
        <f>IF(AND(Games[[#This Row],[Type]]="P",Games[[#This Row],[Round]]=2),IF(Games[[#This Row],[Result]]&lt;0.5,1,0),0)</f>
        <v>0</v>
      </c>
      <c r="AI526" s="2">
        <f>IF(AND(Games[[#This Row],[Type]]="P",Games[[#This Row],[Round]]=3),IF(Games[[#This Row],[Result]]&gt;0.5,1,0),0)</f>
        <v>0</v>
      </c>
      <c r="AJ526" s="2">
        <f>IF(AND(Games[[#This Row],[Type]]="P",Games[[#This Row],[Round]]=3),IF(Games[[#This Row],[Result]]&lt;0.5,1,0),0)</f>
        <v>0</v>
      </c>
      <c r="AK526" s="2">
        <f>IF(AND(Games[[#This Row],[Type]]="P",Games[[#This Row],[Round]]=4),IF(Games[[#This Row],[Result]]&gt;0.5,1,0),0)</f>
        <v>0</v>
      </c>
      <c r="AL526" s="2">
        <f>IF(AND(Games[[#This Row],[Type]]="P",Games[[#This Row],[Round]]=4),IF(Games[[#This Row],[Result]]&lt;0.5,1,0),0)</f>
        <v>0</v>
      </c>
    </row>
    <row r="527" spans="1:38" x14ac:dyDescent="0.35">
      <c r="A527" s="10">
        <v>45902</v>
      </c>
      <c r="B527" s="2">
        <v>2025</v>
      </c>
      <c r="C527" s="2">
        <f>COUNTIFS(Games[Team],Games[[#This Row],[Team]],Games[Season],Games[[#This Row],[Season]],Games[Date],"&lt;=" &amp; Games[[#This Row],[Date]])</f>
        <v>40</v>
      </c>
      <c r="D527" s="2" t="s">
        <v>79</v>
      </c>
      <c r="E527" s="2" t="s">
        <v>80</v>
      </c>
      <c r="F527" s="1" t="s">
        <v>40</v>
      </c>
      <c r="G527" s="1" t="s">
        <v>69</v>
      </c>
      <c r="H527" s="1" t="s">
        <v>82</v>
      </c>
      <c r="I527" s="2" cm="1">
        <f t="array" ref="I5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7" s="2" cm="1">
        <f t="array" ref="J5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7" s="2">
        <f>Games[[#This Row],[DaysOff]]-Games[[#This Row],[OppDaysOff]]</f>
        <v>1</v>
      </c>
      <c r="L527" s="2">
        <f>Games[[#This Row],[OppDaysOff]]-Games[[#This Row],[DaysOff]]</f>
        <v>-1</v>
      </c>
      <c r="M527" s="1">
        <f>MAX(-16, MIN(16, Games[[#This Row],[RestDiff]]*8))</f>
        <v>8</v>
      </c>
      <c r="N527" s="1">
        <f>MAX(-16, MIN(16, Games[[#This Row],[OppRestDiff]]*8))</f>
        <v>-8</v>
      </c>
      <c r="O527" s="4" cm="1">
        <f t="array" ref="O5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1589.5254374174149</v>
      </c>
      <c r="P527" s="4" cm="1">
        <f t="array" ref="P5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1529.6501122990157</v>
      </c>
      <c r="Q527" s="4">
        <f>1/(1+10^(((Games[[#This Row],[OppPreGmRate]]+IF(Games[[#This Row],[HomeAway]]="A",HCA,0)+Games[[#This Row],[OppRestAdj]])-(Games[[#This Row],[PreGmRate]]+IF(Games[[#This Row],[HomeAway]]="H",HCA,0)+Games[[#This Row],[RestAdj]]))/400))</f>
        <v>0.71510655998967365</v>
      </c>
      <c r="R527" s="1">
        <v>85</v>
      </c>
      <c r="S527" s="1">
        <v>79</v>
      </c>
      <c r="T527" s="1">
        <v>0</v>
      </c>
      <c r="U527" s="1">
        <f>Games[[#This Row],[PointsFor]]-Games[[#This Row],[PointsAgainst]]</f>
        <v>6</v>
      </c>
      <c r="V527" s="1">
        <f>IF(Games[[#This Row],[MOV]]&gt;0,1,IF(Games[[#This Row],[MOV]]=0,0.5,0))</f>
        <v>1</v>
      </c>
      <c r="W527" s="4">
        <f>((ABS(Games[[#This Row],[MOV]])+5)^0.6)/(12+0.01*(ABS(Games[[#This Row],[PreGmRate]]-Games[[#This Row],[OppPreGmRate]])))*IF(Games[[#This Row],[OT]]=1,0.9,1)</f>
        <v>0.33458621254414622</v>
      </c>
      <c r="X527" s="7" cm="1">
        <f t="array" ref="X5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7" s="9">
        <f>MAX(kmin, kmax - 0.15 * MIN(Games[[#This Row],[GamesPlayed]], 82))</f>
        <v>70</v>
      </c>
      <c r="Z527" s="4">
        <f>Games[[#This Row],[K]]*Games[[#This Row],[POMult]]</f>
        <v>70</v>
      </c>
      <c r="AA527" s="4">
        <f>(Games[[#This Row],[Keff]]*Games[[#This Row],[MOVMult]])*(Games[[#This Row],[Result]]-Games[[#This Row],[ExpectedWin%]])</f>
        <v>6.6724991950209613</v>
      </c>
      <c r="AB527" s="4">
        <f>Games[[#This Row],[PreGmRate]]+Games[[#This Row],[RatingChange]]</f>
        <v>1596.1979366124358</v>
      </c>
      <c r="AC527" s="2">
        <f>IF(Games[[#This Row],[Type]]="R",IF(Games[[#This Row],[Result]]&gt;0.5,1,0),0)</f>
        <v>1</v>
      </c>
      <c r="AD527" s="2">
        <f>IF(Games[[#This Row],[Type]]="R",IF(Games[[#This Row],[Result]]&lt;0.5,1,0),0)</f>
        <v>0</v>
      </c>
      <c r="AE527" s="2">
        <f>IF(AND(Games[[#This Row],[Type]]="P",Games[[#This Row],[Round]]=1),IF(Games[[#This Row],[Result]]&gt;0.5,1,0),0)</f>
        <v>0</v>
      </c>
      <c r="AF527" s="2">
        <f>IF(AND(Games[[#This Row],[Type]]="P",Games[[#This Row],[Round]]=1),IF(Games[[#This Row],[Result]]&lt;0.5,1,0),0)</f>
        <v>0</v>
      </c>
      <c r="AG527" s="2">
        <f>IF(AND(Games[[#This Row],[Type]]="P",Games[[#This Row],[Round]]=2),IF(Games[[#This Row],[Result]]&gt;0.5,1,0),0)</f>
        <v>0</v>
      </c>
      <c r="AH527" s="2">
        <f>IF(AND(Games[[#This Row],[Type]]="P",Games[[#This Row],[Round]]=2),IF(Games[[#This Row],[Result]]&lt;0.5,1,0),0)</f>
        <v>0</v>
      </c>
      <c r="AI527" s="2">
        <f>IF(AND(Games[[#This Row],[Type]]="P",Games[[#This Row],[Round]]=3),IF(Games[[#This Row],[Result]]&gt;0.5,1,0),0)</f>
        <v>0</v>
      </c>
      <c r="AJ527" s="2">
        <f>IF(AND(Games[[#This Row],[Type]]="P",Games[[#This Row],[Round]]=3),IF(Games[[#This Row],[Result]]&lt;0.5,1,0),0)</f>
        <v>0</v>
      </c>
      <c r="AK527" s="2">
        <f>IF(AND(Games[[#This Row],[Type]]="P",Games[[#This Row],[Round]]=4),IF(Games[[#This Row],[Result]]&gt;0.5,1,0),0)</f>
        <v>0</v>
      </c>
      <c r="AL527" s="2">
        <f>IF(AND(Games[[#This Row],[Type]]="P",Games[[#This Row],[Round]]=4),IF(Games[[#This Row],[Result]]&lt;0.5,1,0),0)</f>
        <v>0</v>
      </c>
    </row>
    <row r="528" spans="1:38" x14ac:dyDescent="0.35">
      <c r="A528" s="10">
        <v>45903</v>
      </c>
      <c r="B528" s="2">
        <v>2025</v>
      </c>
      <c r="C528" s="2">
        <f>COUNTIFS(Games[Team],Games[[#This Row],[Team]],Games[Season],Games[[#This Row],[Season]],Games[Date],"&lt;=" &amp; Games[[#This Row],[Date]])</f>
        <v>40</v>
      </c>
      <c r="D528" s="2" t="s">
        <v>79</v>
      </c>
      <c r="E528" s="2" t="s">
        <v>80</v>
      </c>
      <c r="F528" s="1" t="s">
        <v>63</v>
      </c>
      <c r="G528" s="1" t="s">
        <v>77</v>
      </c>
      <c r="H528" s="1" t="s">
        <v>81</v>
      </c>
      <c r="I528" s="2" cm="1">
        <f t="array" ref="I5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8" s="2" cm="1">
        <f t="array" ref="J5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8" s="2">
        <f>Games[[#This Row],[DaysOff]]-Games[[#This Row],[OppDaysOff]]</f>
        <v>0</v>
      </c>
      <c r="L528" s="2">
        <f>Games[[#This Row],[OppDaysOff]]-Games[[#This Row],[DaysOff]]</f>
        <v>0</v>
      </c>
      <c r="M528" s="1">
        <f>MAX(-16, MIN(16, Games[[#This Row],[RestDiff]]*8))</f>
        <v>0</v>
      </c>
      <c r="N528" s="1">
        <f>MAX(-16, MIN(16, Games[[#This Row],[OppRestDiff]]*8))</f>
        <v>0</v>
      </c>
      <c r="O528" s="4" cm="1">
        <f t="array" ref="O5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1458.9891146331295</v>
      </c>
      <c r="P528" s="4" cm="1">
        <f t="array" ref="P5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1632.7764995084121</v>
      </c>
      <c r="Q528" s="4">
        <f>1/(1+10^(((Games[[#This Row],[OppPreGmRate]]+IF(Games[[#This Row],[HomeAway]]="A",HCA,0)+Games[[#This Row],[OppRestAdj]])-(Games[[#This Row],[PreGmRate]]+IF(Games[[#This Row],[HomeAway]]="H",HCA,0)+Games[[#This Row],[RestAdj]]))/400))</f>
        <v>0.18483251960380997</v>
      </c>
      <c r="R528" s="1">
        <v>75</v>
      </c>
      <c r="S528" s="1">
        <v>86</v>
      </c>
      <c r="T528" s="1">
        <v>0</v>
      </c>
      <c r="U528" s="1">
        <f>Games[[#This Row],[PointsFor]]-Games[[#This Row],[PointsAgainst]]</f>
        <v>-11</v>
      </c>
      <c r="V528" s="1">
        <f>IF(Games[[#This Row],[MOV]]&gt;0,1,IF(Games[[#This Row],[MOV]]=0,0.5,0))</f>
        <v>0</v>
      </c>
      <c r="W528" s="4">
        <f>((ABS(Games[[#This Row],[MOV]])+5)^0.6)/(12+0.01*(ABS(Games[[#This Row],[PreGmRate]]-Games[[#This Row],[OppPreGmRate]])))*IF(Games[[#This Row],[OT]]=1,0.9,1)</f>
        <v>0.38419566966475932</v>
      </c>
      <c r="X528" s="7" cm="1">
        <f t="array" ref="X5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8" s="9">
        <f>MAX(kmin, kmax - 0.15 * MIN(Games[[#This Row],[GamesPlayed]], 82))</f>
        <v>70</v>
      </c>
      <c r="Z528" s="4">
        <f>Games[[#This Row],[K]]*Games[[#This Row],[POMult]]</f>
        <v>70</v>
      </c>
      <c r="AA528" s="4">
        <f>(Games[[#This Row],[Keff]]*Games[[#This Row],[MOVMult]])*(Games[[#This Row],[Result]]-Games[[#This Row],[ExpectedWin%]])</f>
        <v>-4.9708297551507368</v>
      </c>
      <c r="AB528" s="4">
        <f>Games[[#This Row],[PreGmRate]]+Games[[#This Row],[RatingChange]]</f>
        <v>1454.0182848779787</v>
      </c>
      <c r="AC528" s="2">
        <f>IF(Games[[#This Row],[Type]]="R",IF(Games[[#This Row],[Result]]&gt;0.5,1,0),0)</f>
        <v>0</v>
      </c>
      <c r="AD528" s="2">
        <f>IF(Games[[#This Row],[Type]]="R",IF(Games[[#This Row],[Result]]&lt;0.5,1,0),0)</f>
        <v>1</v>
      </c>
      <c r="AE528" s="2">
        <f>IF(AND(Games[[#This Row],[Type]]="P",Games[[#This Row],[Round]]=1),IF(Games[[#This Row],[Result]]&gt;0.5,1,0),0)</f>
        <v>0</v>
      </c>
      <c r="AF528" s="2">
        <f>IF(AND(Games[[#This Row],[Type]]="P",Games[[#This Row],[Round]]=1),IF(Games[[#This Row],[Result]]&lt;0.5,1,0),0)</f>
        <v>0</v>
      </c>
      <c r="AG528" s="2">
        <f>IF(AND(Games[[#This Row],[Type]]="P",Games[[#This Row],[Round]]=2),IF(Games[[#This Row],[Result]]&gt;0.5,1,0),0)</f>
        <v>0</v>
      </c>
      <c r="AH528" s="2">
        <f>IF(AND(Games[[#This Row],[Type]]="P",Games[[#This Row],[Round]]=2),IF(Games[[#This Row],[Result]]&lt;0.5,1,0),0)</f>
        <v>0</v>
      </c>
      <c r="AI528" s="2">
        <f>IF(AND(Games[[#This Row],[Type]]="P",Games[[#This Row],[Round]]=3),IF(Games[[#This Row],[Result]]&gt;0.5,1,0),0)</f>
        <v>0</v>
      </c>
      <c r="AJ528" s="2">
        <f>IF(AND(Games[[#This Row],[Type]]="P",Games[[#This Row],[Round]]=3),IF(Games[[#This Row],[Result]]&lt;0.5,1,0),0)</f>
        <v>0</v>
      </c>
      <c r="AK528" s="2">
        <f>IF(AND(Games[[#This Row],[Type]]="P",Games[[#This Row],[Round]]=4),IF(Games[[#This Row],[Result]]&gt;0.5,1,0),0)</f>
        <v>0</v>
      </c>
      <c r="AL528" s="2">
        <f>IF(AND(Games[[#This Row],[Type]]="P",Games[[#This Row],[Round]]=4),IF(Games[[#This Row],[Result]]&lt;0.5,1,0),0)</f>
        <v>0</v>
      </c>
    </row>
    <row r="529" spans="1:38" x14ac:dyDescent="0.35">
      <c r="A529" s="10">
        <v>45903</v>
      </c>
      <c r="B529" s="2">
        <v>2025</v>
      </c>
      <c r="C529" s="2">
        <f>COUNTIFS(Games[Team],Games[[#This Row],[Team]],Games[Season],Games[[#This Row],[Season]],Games[Date],"&lt;=" &amp; Games[[#This Row],[Date]])</f>
        <v>41</v>
      </c>
      <c r="D529" s="2" t="s">
        <v>79</v>
      </c>
      <c r="E529" s="2" t="s">
        <v>80</v>
      </c>
      <c r="F529" s="1" t="s">
        <v>77</v>
      </c>
      <c r="G529" s="1" t="s">
        <v>63</v>
      </c>
      <c r="H529" s="1" t="s">
        <v>82</v>
      </c>
      <c r="I529" s="2" cm="1">
        <f t="array" ref="I5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9" s="2" cm="1">
        <f t="array" ref="J5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9" s="2">
        <f>Games[[#This Row],[DaysOff]]-Games[[#This Row],[OppDaysOff]]</f>
        <v>0</v>
      </c>
      <c r="L529" s="2">
        <f>Games[[#This Row],[OppDaysOff]]-Games[[#This Row],[DaysOff]]</f>
        <v>0</v>
      </c>
      <c r="M529" s="1">
        <f>MAX(-16, MIN(16, Games[[#This Row],[RestDiff]]*8))</f>
        <v>0</v>
      </c>
      <c r="N529" s="1">
        <f>MAX(-16, MIN(16, Games[[#This Row],[OppRestDiff]]*8))</f>
        <v>0</v>
      </c>
      <c r="O529" s="4" cm="1">
        <f t="array" ref="O5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1632.7764995084121</v>
      </c>
      <c r="P529" s="4" cm="1">
        <f t="array" ref="P5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1458.9891146331295</v>
      </c>
      <c r="Q529" s="4">
        <f>1/(1+10^(((Games[[#This Row],[OppPreGmRate]]+IF(Games[[#This Row],[HomeAway]]="A",HCA,0)+Games[[#This Row],[OppRestAdj]])-(Games[[#This Row],[PreGmRate]]+IF(Games[[#This Row],[HomeAway]]="H",HCA,0)+Games[[#This Row],[RestAdj]]))/400))</f>
        <v>0.81516748039619003</v>
      </c>
      <c r="R529" s="1">
        <v>86</v>
      </c>
      <c r="S529" s="1">
        <v>75</v>
      </c>
      <c r="T529" s="1">
        <v>0</v>
      </c>
      <c r="U529" s="1">
        <f>Games[[#This Row],[PointsFor]]-Games[[#This Row],[PointsAgainst]]</f>
        <v>11</v>
      </c>
      <c r="V529" s="1">
        <f>IF(Games[[#This Row],[MOV]]&gt;0,1,IF(Games[[#This Row],[MOV]]=0,0.5,0))</f>
        <v>1</v>
      </c>
      <c r="W529" s="4">
        <f>((ABS(Games[[#This Row],[MOV]])+5)^0.6)/(12+0.01*(ABS(Games[[#This Row],[PreGmRate]]-Games[[#This Row],[OppPreGmRate]])))*IF(Games[[#This Row],[OT]]=1,0.9,1)</f>
        <v>0.38419566966475932</v>
      </c>
      <c r="X529" s="7" cm="1">
        <f t="array" ref="X5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9" s="9">
        <f>MAX(kmin, kmax - 0.15 * MIN(Games[[#This Row],[GamesPlayed]], 82))</f>
        <v>69.849999999999994</v>
      </c>
      <c r="Z529" s="4">
        <f>Games[[#This Row],[K]]*Games[[#This Row],[POMult]]</f>
        <v>69.849999999999994</v>
      </c>
      <c r="AA529" s="4">
        <f>(Games[[#This Row],[Keff]]*Games[[#This Row],[MOVMult]])*(Games[[#This Row],[Result]]-Games[[#This Row],[ExpectedWin%]])</f>
        <v>4.9601779771039851</v>
      </c>
      <c r="AB529" s="4">
        <f>Games[[#This Row],[PreGmRate]]+Games[[#This Row],[RatingChange]]</f>
        <v>1637.7366774855161</v>
      </c>
      <c r="AC529" s="2">
        <f>IF(Games[[#This Row],[Type]]="R",IF(Games[[#This Row],[Result]]&gt;0.5,1,0),0)</f>
        <v>1</v>
      </c>
      <c r="AD529" s="2">
        <f>IF(Games[[#This Row],[Type]]="R",IF(Games[[#This Row],[Result]]&lt;0.5,1,0),0)</f>
        <v>0</v>
      </c>
      <c r="AE529" s="2">
        <f>IF(AND(Games[[#This Row],[Type]]="P",Games[[#This Row],[Round]]=1),IF(Games[[#This Row],[Result]]&gt;0.5,1,0),0)</f>
        <v>0</v>
      </c>
      <c r="AF529" s="2">
        <f>IF(AND(Games[[#This Row],[Type]]="P",Games[[#This Row],[Round]]=1),IF(Games[[#This Row],[Result]]&lt;0.5,1,0),0)</f>
        <v>0</v>
      </c>
      <c r="AG529" s="2">
        <f>IF(AND(Games[[#This Row],[Type]]="P",Games[[#This Row],[Round]]=2),IF(Games[[#This Row],[Result]]&gt;0.5,1,0),0)</f>
        <v>0</v>
      </c>
      <c r="AH529" s="2">
        <f>IF(AND(Games[[#This Row],[Type]]="P",Games[[#This Row],[Round]]=2),IF(Games[[#This Row],[Result]]&lt;0.5,1,0),0)</f>
        <v>0</v>
      </c>
      <c r="AI529" s="2">
        <f>IF(AND(Games[[#This Row],[Type]]="P",Games[[#This Row],[Round]]=3),IF(Games[[#This Row],[Result]]&gt;0.5,1,0),0)</f>
        <v>0</v>
      </c>
      <c r="AJ529" s="2">
        <f>IF(AND(Games[[#This Row],[Type]]="P",Games[[#This Row],[Round]]=3),IF(Games[[#This Row],[Result]]&lt;0.5,1,0),0)</f>
        <v>0</v>
      </c>
      <c r="AK529" s="2">
        <f>IF(AND(Games[[#This Row],[Type]]="P",Games[[#This Row],[Round]]=4),IF(Games[[#This Row],[Result]]&gt;0.5,1,0),0)</f>
        <v>0</v>
      </c>
      <c r="AL529" s="2">
        <f>IF(AND(Games[[#This Row],[Type]]="P",Games[[#This Row],[Round]]=4),IF(Games[[#This Row],[Result]]&lt;0.5,1,0),0)</f>
        <v>0</v>
      </c>
    </row>
    <row r="530" spans="1:38" x14ac:dyDescent="0.35">
      <c r="A530" s="10">
        <v>45903</v>
      </c>
      <c r="B530" s="2">
        <v>2025</v>
      </c>
      <c r="C530" s="2">
        <f>COUNTIFS(Games[Team],Games[[#This Row],[Team]],Games[Season],Games[[#This Row],[Season]],Games[Date],"&lt;=" &amp; Games[[#This Row],[Date]])</f>
        <v>41</v>
      </c>
      <c r="D530" s="2" t="s">
        <v>79</v>
      </c>
      <c r="E530" s="2" t="s">
        <v>80</v>
      </c>
      <c r="F530" s="1" t="s">
        <v>74</v>
      </c>
      <c r="G530" s="1" t="s">
        <v>75</v>
      </c>
      <c r="H530" s="1" t="s">
        <v>81</v>
      </c>
      <c r="I530" s="2" cm="1">
        <f t="array" ref="I5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0" s="2" cm="1">
        <f t="array" ref="J5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30" s="2">
        <f>Games[[#This Row],[DaysOff]]-Games[[#This Row],[OppDaysOff]]</f>
        <v>-2</v>
      </c>
      <c r="L530" s="2">
        <f>Games[[#This Row],[OppDaysOff]]-Games[[#This Row],[DaysOff]]</f>
        <v>2</v>
      </c>
      <c r="M530" s="1">
        <f>MAX(-16, MIN(16, Games[[#This Row],[RestDiff]]*8))</f>
        <v>-16</v>
      </c>
      <c r="N530" s="1">
        <f>MAX(-16, MIN(16, Games[[#This Row],[OppRestDiff]]*8))</f>
        <v>16</v>
      </c>
      <c r="O530" s="4" cm="1">
        <f t="array" ref="O5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1380.0180477102303</v>
      </c>
      <c r="P530" s="4" cm="1">
        <f t="array" ref="P5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1278.4821768666334</v>
      </c>
      <c r="Q530" s="4">
        <f>1/(1+10^(((Games[[#This Row],[OppPreGmRate]]+IF(Games[[#This Row],[HomeAway]]="A",HCA,0)+Games[[#This Row],[OppRestAdj]])-(Games[[#This Row],[PreGmRate]]+IF(Games[[#This Row],[HomeAway]]="H",HCA,0)+Games[[#This Row],[RestAdj]]))/400))</f>
        <v>0.47919646204590954</v>
      </c>
      <c r="R530" s="1">
        <v>64</v>
      </c>
      <c r="S530" s="1">
        <v>88</v>
      </c>
      <c r="T530" s="1">
        <v>0</v>
      </c>
      <c r="U530" s="1">
        <f>Games[[#This Row],[PointsFor]]-Games[[#This Row],[PointsAgainst]]</f>
        <v>-24</v>
      </c>
      <c r="V530" s="1">
        <f>IF(Games[[#This Row],[MOV]]&gt;0,1,IF(Games[[#This Row],[MOV]]=0,0.5,0))</f>
        <v>0</v>
      </c>
      <c r="W530" s="4">
        <f>((ABS(Games[[#This Row],[MOV]])+5)^0.6)/(12+0.01*(ABS(Games[[#This Row],[PreGmRate]]-Games[[#This Row],[OppPreGmRate]])))*IF(Games[[#This Row],[OT]]=1,0.9,1)</f>
        <v>0.57940555787292991</v>
      </c>
      <c r="X530" s="7" cm="1">
        <f t="array" ref="X5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0" s="9">
        <f>MAX(kmin, kmax - 0.15 * MIN(Games[[#This Row],[GamesPlayed]], 82))</f>
        <v>69.849999999999994</v>
      </c>
      <c r="Z530" s="4">
        <f>Games[[#This Row],[K]]*Games[[#This Row],[POMult]]</f>
        <v>69.849999999999994</v>
      </c>
      <c r="AA530" s="4">
        <f>(Games[[#This Row],[Keff]]*Games[[#This Row],[MOVMult]])*(Games[[#This Row],[Result]]-Games[[#This Row],[ExpectedWin%]])</f>
        <v>-19.393789175557746</v>
      </c>
      <c r="AB530" s="4">
        <f>Games[[#This Row],[PreGmRate]]+Games[[#This Row],[RatingChange]]</f>
        <v>1360.6242585346727</v>
      </c>
      <c r="AC530" s="2">
        <f>IF(Games[[#This Row],[Type]]="R",IF(Games[[#This Row],[Result]]&gt;0.5,1,0),0)</f>
        <v>0</v>
      </c>
      <c r="AD530" s="2">
        <f>IF(Games[[#This Row],[Type]]="R",IF(Games[[#This Row],[Result]]&lt;0.5,1,0),0)</f>
        <v>1</v>
      </c>
      <c r="AE530" s="2">
        <f>IF(AND(Games[[#This Row],[Type]]="P",Games[[#This Row],[Round]]=1),IF(Games[[#This Row],[Result]]&gt;0.5,1,0),0)</f>
        <v>0</v>
      </c>
      <c r="AF530" s="2">
        <f>IF(AND(Games[[#This Row],[Type]]="P",Games[[#This Row],[Round]]=1),IF(Games[[#This Row],[Result]]&lt;0.5,1,0),0)</f>
        <v>0</v>
      </c>
      <c r="AG530" s="2">
        <f>IF(AND(Games[[#This Row],[Type]]="P",Games[[#This Row],[Round]]=2),IF(Games[[#This Row],[Result]]&gt;0.5,1,0),0)</f>
        <v>0</v>
      </c>
      <c r="AH530" s="2">
        <f>IF(AND(Games[[#This Row],[Type]]="P",Games[[#This Row],[Round]]=2),IF(Games[[#This Row],[Result]]&lt;0.5,1,0),0)</f>
        <v>0</v>
      </c>
      <c r="AI530" s="2">
        <f>IF(AND(Games[[#This Row],[Type]]="P",Games[[#This Row],[Round]]=3),IF(Games[[#This Row],[Result]]&gt;0.5,1,0),0)</f>
        <v>0</v>
      </c>
      <c r="AJ530" s="2">
        <f>IF(AND(Games[[#This Row],[Type]]="P",Games[[#This Row],[Round]]=3),IF(Games[[#This Row],[Result]]&lt;0.5,1,0),0)</f>
        <v>0</v>
      </c>
      <c r="AK530" s="2">
        <f>IF(AND(Games[[#This Row],[Type]]="P",Games[[#This Row],[Round]]=4),IF(Games[[#This Row],[Result]]&gt;0.5,1,0),0)</f>
        <v>0</v>
      </c>
      <c r="AL530" s="2">
        <f>IF(AND(Games[[#This Row],[Type]]="P",Games[[#This Row],[Round]]=4),IF(Games[[#This Row],[Result]]&lt;0.5,1,0),0)</f>
        <v>0</v>
      </c>
    </row>
    <row r="531" spans="1:38" x14ac:dyDescent="0.35">
      <c r="A531" s="10">
        <v>45903</v>
      </c>
      <c r="B531" s="2">
        <v>2025</v>
      </c>
      <c r="C531" s="2">
        <f>COUNTIFS(Games[Team],Games[[#This Row],[Team]],Games[Season],Games[[#This Row],[Season]],Games[Date],"&lt;=" &amp; Games[[#This Row],[Date]])</f>
        <v>40</v>
      </c>
      <c r="D531" s="2" t="s">
        <v>79</v>
      </c>
      <c r="E531" s="2" t="s">
        <v>80</v>
      </c>
      <c r="F531" s="1" t="s">
        <v>75</v>
      </c>
      <c r="G531" s="1" t="s">
        <v>74</v>
      </c>
      <c r="H531" s="1" t="s">
        <v>82</v>
      </c>
      <c r="I531" s="2" cm="1">
        <f t="array" ref="I5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531" s="2" cm="1">
        <f t="array" ref="J5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1" s="2">
        <f>Games[[#This Row],[DaysOff]]-Games[[#This Row],[OppDaysOff]]</f>
        <v>2</v>
      </c>
      <c r="L531" s="2">
        <f>Games[[#This Row],[OppDaysOff]]-Games[[#This Row],[DaysOff]]</f>
        <v>-2</v>
      </c>
      <c r="M531" s="1">
        <f>MAX(-16, MIN(16, Games[[#This Row],[RestDiff]]*8))</f>
        <v>16</v>
      </c>
      <c r="N531" s="1">
        <f>MAX(-16, MIN(16, Games[[#This Row],[OppRestDiff]]*8))</f>
        <v>-16</v>
      </c>
      <c r="O531" s="4" cm="1">
        <f t="array" ref="O5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1278.4821768666334</v>
      </c>
      <c r="P531" s="4" cm="1">
        <f t="array" ref="P5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1380.0180477102303</v>
      </c>
      <c r="Q531" s="4">
        <f>1/(1+10^(((Games[[#This Row],[OppPreGmRate]]+IF(Games[[#This Row],[HomeAway]]="A",HCA,0)+Games[[#This Row],[OppRestAdj]])-(Games[[#This Row],[PreGmRate]]+IF(Games[[#This Row],[HomeAway]]="H",HCA,0)+Games[[#This Row],[RestAdj]]))/400))</f>
        <v>0.52080353795409051</v>
      </c>
      <c r="R531" s="1">
        <v>88</v>
      </c>
      <c r="S531" s="1">
        <v>64</v>
      </c>
      <c r="T531" s="1">
        <v>0</v>
      </c>
      <c r="U531" s="1">
        <f>Games[[#This Row],[PointsFor]]-Games[[#This Row],[PointsAgainst]]</f>
        <v>24</v>
      </c>
      <c r="V531" s="1">
        <f>IF(Games[[#This Row],[MOV]]&gt;0,1,IF(Games[[#This Row],[MOV]]=0,0.5,0))</f>
        <v>1</v>
      </c>
      <c r="W531" s="4">
        <f>((ABS(Games[[#This Row],[MOV]])+5)^0.6)/(12+0.01*(ABS(Games[[#This Row],[PreGmRate]]-Games[[#This Row],[OppPreGmRate]])))*IF(Games[[#This Row],[OT]]=1,0.9,1)</f>
        <v>0.57940555787292991</v>
      </c>
      <c r="X531" s="7" cm="1">
        <f t="array" ref="X5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1" s="9">
        <f>MAX(kmin, kmax - 0.15 * MIN(Games[[#This Row],[GamesPlayed]], 82))</f>
        <v>70</v>
      </c>
      <c r="Z531" s="4">
        <f>Games[[#This Row],[K]]*Games[[#This Row],[POMult]]</f>
        <v>70</v>
      </c>
      <c r="AA531" s="4">
        <f>(Games[[#This Row],[Keff]]*Games[[#This Row],[MOVMult]])*(Games[[#This Row],[Result]]-Games[[#This Row],[ExpectedWin%]])</f>
        <v>19.435436539571114</v>
      </c>
      <c r="AB531" s="4">
        <f>Games[[#This Row],[PreGmRate]]+Games[[#This Row],[RatingChange]]</f>
        <v>1297.9176134062045</v>
      </c>
      <c r="AC531" s="2">
        <f>IF(Games[[#This Row],[Type]]="R",IF(Games[[#This Row],[Result]]&gt;0.5,1,0),0)</f>
        <v>1</v>
      </c>
      <c r="AD531" s="2">
        <f>IF(Games[[#This Row],[Type]]="R",IF(Games[[#This Row],[Result]]&lt;0.5,1,0),0)</f>
        <v>0</v>
      </c>
      <c r="AE531" s="2">
        <f>IF(AND(Games[[#This Row],[Type]]="P",Games[[#This Row],[Round]]=1),IF(Games[[#This Row],[Result]]&gt;0.5,1,0),0)</f>
        <v>0</v>
      </c>
      <c r="AF531" s="2">
        <f>IF(AND(Games[[#This Row],[Type]]="P",Games[[#This Row],[Round]]=1),IF(Games[[#This Row],[Result]]&lt;0.5,1,0),0)</f>
        <v>0</v>
      </c>
      <c r="AG531" s="2">
        <f>IF(AND(Games[[#This Row],[Type]]="P",Games[[#This Row],[Round]]=2),IF(Games[[#This Row],[Result]]&gt;0.5,1,0),0)</f>
        <v>0</v>
      </c>
      <c r="AH531" s="2">
        <f>IF(AND(Games[[#This Row],[Type]]="P",Games[[#This Row],[Round]]=2),IF(Games[[#This Row],[Result]]&lt;0.5,1,0),0)</f>
        <v>0</v>
      </c>
      <c r="AI531" s="2">
        <f>IF(AND(Games[[#This Row],[Type]]="P",Games[[#This Row],[Round]]=3),IF(Games[[#This Row],[Result]]&gt;0.5,1,0),0)</f>
        <v>0</v>
      </c>
      <c r="AJ531" s="2">
        <f>IF(AND(Games[[#This Row],[Type]]="P",Games[[#This Row],[Round]]=3),IF(Games[[#This Row],[Result]]&lt;0.5,1,0),0)</f>
        <v>0</v>
      </c>
      <c r="AK531" s="2">
        <f>IF(AND(Games[[#This Row],[Type]]="P",Games[[#This Row],[Round]]=4),IF(Games[[#This Row],[Result]]&gt;0.5,1,0),0)</f>
        <v>0</v>
      </c>
      <c r="AL531" s="2">
        <f>IF(AND(Games[[#This Row],[Type]]="P",Games[[#This Row],[Round]]=4),IF(Games[[#This Row],[Result]]&lt;0.5,1,0),0)</f>
        <v>0</v>
      </c>
    </row>
    <row r="532" spans="1:38" x14ac:dyDescent="0.35">
      <c r="A532" s="10">
        <v>45904</v>
      </c>
      <c r="B532" s="2">
        <v>2025</v>
      </c>
      <c r="C532" s="2">
        <f>COUNTIFS(Games[Team],Games[[#This Row],[Team]],Games[Season],Games[[#This Row],[Season]],Games[Date],"&lt;=" &amp; Games[[#This Row],[Date]])</f>
        <v>42</v>
      </c>
      <c r="D532" s="2" t="s">
        <v>79</v>
      </c>
      <c r="E532" s="2" t="s">
        <v>80</v>
      </c>
      <c r="F532" s="1" t="s">
        <v>85</v>
      </c>
      <c r="G532" s="1" t="s">
        <v>88</v>
      </c>
      <c r="H532" s="1" t="s">
        <v>81</v>
      </c>
      <c r="I532" s="2" cm="1">
        <f t="array" ref="I5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2" s="2" cm="1">
        <f t="array" ref="J5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2" s="2">
        <f>Games[[#This Row],[DaysOff]]-Games[[#This Row],[OppDaysOff]]</f>
        <v>1</v>
      </c>
      <c r="L532" s="2">
        <f>Games[[#This Row],[OppDaysOff]]-Games[[#This Row],[DaysOff]]</f>
        <v>-1</v>
      </c>
      <c r="M532" s="1">
        <f>MAX(-16, MIN(16, Games[[#This Row],[RestDiff]]*8))</f>
        <v>8</v>
      </c>
      <c r="N532" s="1">
        <f>MAX(-16, MIN(16, Games[[#This Row],[OppRestDiff]]*8))</f>
        <v>-8</v>
      </c>
      <c r="O532" s="4" cm="1">
        <f t="array" ref="O5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1293.9216769381881</v>
      </c>
      <c r="P532" s="4" cm="1">
        <f t="array" ref="P5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1540.1988730532921</v>
      </c>
      <c r="Q532" s="4">
        <f>1/(1+10^(((Games[[#This Row],[OppPreGmRate]]+IF(Games[[#This Row],[HomeAway]]="A",HCA,0)+Games[[#This Row],[OppRestAdj]])-(Games[[#This Row],[PreGmRate]]+IF(Games[[#This Row],[HomeAway]]="H",HCA,0)+Games[[#This Row],[RestAdj]]))/400))</f>
        <v>0.14074391463145303</v>
      </c>
      <c r="R532" s="1">
        <v>80</v>
      </c>
      <c r="S532" s="1">
        <v>84</v>
      </c>
      <c r="T532" s="1">
        <v>0</v>
      </c>
      <c r="U532" s="1">
        <f>Games[[#This Row],[PointsFor]]-Games[[#This Row],[PointsAgainst]]</f>
        <v>-4</v>
      </c>
      <c r="V532" s="1">
        <f>IF(Games[[#This Row],[MOV]]&gt;0,1,IF(Games[[#This Row],[MOV]]=0,0.5,0))</f>
        <v>0</v>
      </c>
      <c r="W532" s="4">
        <f>((ABS(Games[[#This Row],[MOV]])+5)^0.6)/(12+0.01*(ABS(Games[[#This Row],[PreGmRate]]-Games[[#This Row],[OppPreGmRate]])))*IF(Games[[#This Row],[OT]]=1,0.9,1)</f>
        <v>0.25840086733616191</v>
      </c>
      <c r="X532" s="7" cm="1">
        <f t="array" ref="X5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2" s="9">
        <f>MAX(kmin, kmax - 0.15 * MIN(Games[[#This Row],[GamesPlayed]], 82))</f>
        <v>69.7</v>
      </c>
      <c r="Z532" s="4">
        <f>Games[[#This Row],[K]]*Games[[#This Row],[POMult]]</f>
        <v>69.7</v>
      </c>
      <c r="AA532" s="4">
        <f>(Games[[#This Row],[Keff]]*Games[[#This Row],[MOVMult]])*(Games[[#This Row],[Result]]-Games[[#This Row],[ExpectedWin%]])</f>
        <v>-2.5348739680298769</v>
      </c>
      <c r="AB532" s="4">
        <f>Games[[#This Row],[PreGmRate]]+Games[[#This Row],[RatingChange]]</f>
        <v>1291.3868029701582</v>
      </c>
      <c r="AC532" s="2">
        <f>IF(Games[[#This Row],[Type]]="R",IF(Games[[#This Row],[Result]]&gt;0.5,1,0),0)</f>
        <v>0</v>
      </c>
      <c r="AD532" s="2">
        <f>IF(Games[[#This Row],[Type]]="R",IF(Games[[#This Row],[Result]]&lt;0.5,1,0),0)</f>
        <v>1</v>
      </c>
      <c r="AE532" s="2">
        <f>IF(AND(Games[[#This Row],[Type]]="P",Games[[#This Row],[Round]]=1),IF(Games[[#This Row],[Result]]&gt;0.5,1,0),0)</f>
        <v>0</v>
      </c>
      <c r="AF532" s="2">
        <f>IF(AND(Games[[#This Row],[Type]]="P",Games[[#This Row],[Round]]=1),IF(Games[[#This Row],[Result]]&lt;0.5,1,0),0)</f>
        <v>0</v>
      </c>
      <c r="AG532" s="2">
        <f>IF(AND(Games[[#This Row],[Type]]="P",Games[[#This Row],[Round]]=2),IF(Games[[#This Row],[Result]]&gt;0.5,1,0),0)</f>
        <v>0</v>
      </c>
      <c r="AH532" s="2">
        <f>IF(AND(Games[[#This Row],[Type]]="P",Games[[#This Row],[Round]]=2),IF(Games[[#This Row],[Result]]&lt;0.5,1,0),0)</f>
        <v>0</v>
      </c>
      <c r="AI532" s="2">
        <f>IF(AND(Games[[#This Row],[Type]]="P",Games[[#This Row],[Round]]=3),IF(Games[[#This Row],[Result]]&gt;0.5,1,0),0)</f>
        <v>0</v>
      </c>
      <c r="AJ532" s="2">
        <f>IF(AND(Games[[#This Row],[Type]]="P",Games[[#This Row],[Round]]=3),IF(Games[[#This Row],[Result]]&lt;0.5,1,0),0)</f>
        <v>0</v>
      </c>
      <c r="AK532" s="2">
        <f>IF(AND(Games[[#This Row],[Type]]="P",Games[[#This Row],[Round]]=4),IF(Games[[#This Row],[Result]]&gt;0.5,1,0),0)</f>
        <v>0</v>
      </c>
      <c r="AL532" s="2">
        <f>IF(AND(Games[[#This Row],[Type]]="P",Games[[#This Row],[Round]]=4),IF(Games[[#This Row],[Result]]&lt;0.5,1,0),0)</f>
        <v>0</v>
      </c>
    </row>
    <row r="533" spans="1:38" x14ac:dyDescent="0.35">
      <c r="A533" s="10">
        <v>45904</v>
      </c>
      <c r="B533" s="2">
        <v>2025</v>
      </c>
      <c r="C533" s="2">
        <f>COUNTIFS(Games[Team],Games[[#This Row],[Team]],Games[Season],Games[[#This Row],[Season]],Games[Date],"&lt;=" &amp; Games[[#This Row],[Date]])</f>
        <v>41</v>
      </c>
      <c r="D533" s="2" t="s">
        <v>79</v>
      </c>
      <c r="E533" s="2" t="s">
        <v>80</v>
      </c>
      <c r="F533" s="1" t="s">
        <v>88</v>
      </c>
      <c r="G533" s="1" t="s">
        <v>85</v>
      </c>
      <c r="H533" s="1" t="s">
        <v>82</v>
      </c>
      <c r="I533" s="2" cm="1">
        <f t="array" ref="I5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3" s="2" cm="1">
        <f t="array" ref="J5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3" s="2">
        <f>Games[[#This Row],[DaysOff]]-Games[[#This Row],[OppDaysOff]]</f>
        <v>-1</v>
      </c>
      <c r="L533" s="2">
        <f>Games[[#This Row],[OppDaysOff]]-Games[[#This Row],[DaysOff]]</f>
        <v>1</v>
      </c>
      <c r="M533" s="1">
        <f>MAX(-16, MIN(16, Games[[#This Row],[RestDiff]]*8))</f>
        <v>-8</v>
      </c>
      <c r="N533" s="1">
        <f>MAX(-16, MIN(16, Games[[#This Row],[OppRestDiff]]*8))</f>
        <v>8</v>
      </c>
      <c r="O533" s="4" cm="1">
        <f t="array" ref="O5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1540.1988730532921</v>
      </c>
      <c r="P533" s="4" cm="1">
        <f t="array" ref="P5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1293.9216769381881</v>
      </c>
      <c r="Q533" s="4">
        <f>1/(1+10^(((Games[[#This Row],[OppPreGmRate]]+IF(Games[[#This Row],[HomeAway]]="A",HCA,0)+Games[[#This Row],[OppRestAdj]])-(Games[[#This Row],[PreGmRate]]+IF(Games[[#This Row],[HomeAway]]="H",HCA,0)+Games[[#This Row],[RestAdj]]))/400))</f>
        <v>0.85925608536854692</v>
      </c>
      <c r="R533" s="1">
        <v>84</v>
      </c>
      <c r="S533" s="1">
        <v>80</v>
      </c>
      <c r="T533" s="1">
        <v>0</v>
      </c>
      <c r="U533" s="1">
        <f>Games[[#This Row],[PointsFor]]-Games[[#This Row],[PointsAgainst]]</f>
        <v>4</v>
      </c>
      <c r="V533" s="1">
        <f>IF(Games[[#This Row],[MOV]]&gt;0,1,IF(Games[[#This Row],[MOV]]=0,0.5,0))</f>
        <v>1</v>
      </c>
      <c r="W533" s="4">
        <f>((ABS(Games[[#This Row],[MOV]])+5)^0.6)/(12+0.01*(ABS(Games[[#This Row],[PreGmRate]]-Games[[#This Row],[OppPreGmRate]])))*IF(Games[[#This Row],[OT]]=1,0.9,1)</f>
        <v>0.25840086733616191</v>
      </c>
      <c r="X533" s="7" cm="1">
        <f t="array" ref="X5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3" s="9">
        <f>MAX(kmin, kmax - 0.15 * MIN(Games[[#This Row],[GamesPlayed]], 82))</f>
        <v>69.849999999999994</v>
      </c>
      <c r="Z533" s="4">
        <f>Games[[#This Row],[K]]*Games[[#This Row],[POMult]]</f>
        <v>69.849999999999994</v>
      </c>
      <c r="AA533" s="4">
        <f>(Games[[#This Row],[Keff]]*Games[[#This Row],[MOVMult]])*(Games[[#This Row],[Result]]-Games[[#This Row],[ExpectedWin%]])</f>
        <v>2.5403292204718362</v>
      </c>
      <c r="AB533" s="4">
        <f>Games[[#This Row],[PreGmRate]]+Games[[#This Row],[RatingChange]]</f>
        <v>1542.739202273764</v>
      </c>
      <c r="AC533" s="2">
        <f>IF(Games[[#This Row],[Type]]="R",IF(Games[[#This Row],[Result]]&gt;0.5,1,0),0)</f>
        <v>1</v>
      </c>
      <c r="AD533" s="2">
        <f>IF(Games[[#This Row],[Type]]="R",IF(Games[[#This Row],[Result]]&lt;0.5,1,0),0)</f>
        <v>0</v>
      </c>
      <c r="AE533" s="2">
        <f>IF(AND(Games[[#This Row],[Type]]="P",Games[[#This Row],[Round]]=1),IF(Games[[#This Row],[Result]]&gt;0.5,1,0),0)</f>
        <v>0</v>
      </c>
      <c r="AF533" s="2">
        <f>IF(AND(Games[[#This Row],[Type]]="P",Games[[#This Row],[Round]]=1),IF(Games[[#This Row],[Result]]&lt;0.5,1,0),0)</f>
        <v>0</v>
      </c>
      <c r="AG533" s="2">
        <f>IF(AND(Games[[#This Row],[Type]]="P",Games[[#This Row],[Round]]=2),IF(Games[[#This Row],[Result]]&gt;0.5,1,0),0)</f>
        <v>0</v>
      </c>
      <c r="AH533" s="2">
        <f>IF(AND(Games[[#This Row],[Type]]="P",Games[[#This Row],[Round]]=2),IF(Games[[#This Row],[Result]]&lt;0.5,1,0),0)</f>
        <v>0</v>
      </c>
      <c r="AI533" s="2">
        <f>IF(AND(Games[[#This Row],[Type]]="P",Games[[#This Row],[Round]]=3),IF(Games[[#This Row],[Result]]&gt;0.5,1,0),0)</f>
        <v>0</v>
      </c>
      <c r="AJ533" s="2">
        <f>IF(AND(Games[[#This Row],[Type]]="P",Games[[#This Row],[Round]]=3),IF(Games[[#This Row],[Result]]&lt;0.5,1,0),0)</f>
        <v>0</v>
      </c>
      <c r="AK533" s="2">
        <f>IF(AND(Games[[#This Row],[Type]]="P",Games[[#This Row],[Round]]=4),IF(Games[[#This Row],[Result]]&gt;0.5,1,0),0)</f>
        <v>0</v>
      </c>
      <c r="AL533" s="2">
        <f>IF(AND(Games[[#This Row],[Type]]="P",Games[[#This Row],[Round]]=4),IF(Games[[#This Row],[Result]]&lt;0.5,1,0),0)</f>
        <v>0</v>
      </c>
    </row>
    <row r="534" spans="1:38" x14ac:dyDescent="0.35">
      <c r="A534" s="10">
        <v>45904</v>
      </c>
      <c r="B534" s="2">
        <v>2025</v>
      </c>
      <c r="C534" s="2">
        <f>COUNTIFS(Games[Team],Games[[#This Row],[Team]],Games[Season],Games[[#This Row],[Season]],Games[Date],"&lt;=" &amp; Games[[#This Row],[Date]])</f>
        <v>42</v>
      </c>
      <c r="D534" s="2" t="s">
        <v>79</v>
      </c>
      <c r="E534" s="2" t="s">
        <v>80</v>
      </c>
      <c r="F534" s="1" t="s">
        <v>67</v>
      </c>
      <c r="G534" s="1" t="s">
        <v>86</v>
      </c>
      <c r="H534" s="1" t="s">
        <v>81</v>
      </c>
      <c r="I534" s="2" cm="1">
        <f t="array" ref="I5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4" s="2" cm="1">
        <f t="array" ref="J53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534" s="2">
        <f>Games[[#This Row],[DaysOff]]-Games[[#This Row],[OppDaysOff]]</f>
        <v>-5</v>
      </c>
      <c r="L534" s="2">
        <f>Games[[#This Row],[OppDaysOff]]-Games[[#This Row],[DaysOff]]</f>
        <v>5</v>
      </c>
      <c r="M534" s="1">
        <f>MAX(-16, MIN(16, Games[[#This Row],[RestDiff]]*8))</f>
        <v>-16</v>
      </c>
      <c r="N534" s="1">
        <f>MAX(-16, MIN(16, Games[[#This Row],[OppRestDiff]]*8))</f>
        <v>16</v>
      </c>
      <c r="O534" s="4" cm="1">
        <f t="array" ref="O5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1693.4119784861728</v>
      </c>
      <c r="P534" s="4" cm="1">
        <f t="array" ref="P5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1642.9538161153398</v>
      </c>
      <c r="Q534" s="4">
        <f>1/(1+10^(((Games[[#This Row],[OppPreGmRate]]+IF(Games[[#This Row],[HomeAway]]="A",HCA,0)+Games[[#This Row],[OppRestAdj]])-(Games[[#This Row],[PreGmRate]]+IF(Games[[#This Row],[HomeAway]]="H",HCA,0)+Games[[#This Row],[RestAdj]]))/400))</f>
        <v>0.40678088817779667</v>
      </c>
      <c r="R534" s="1">
        <v>87</v>
      </c>
      <c r="S534" s="1">
        <v>97</v>
      </c>
      <c r="T534" s="1">
        <v>0</v>
      </c>
      <c r="U534" s="1">
        <f>Games[[#This Row],[PointsFor]]-Games[[#This Row],[PointsAgainst]]</f>
        <v>-10</v>
      </c>
      <c r="V534" s="1">
        <f>IF(Games[[#This Row],[MOV]]&gt;0,1,IF(Games[[#This Row],[MOV]]=0,0.5,0))</f>
        <v>0</v>
      </c>
      <c r="W534" s="4">
        <f>((ABS(Games[[#This Row],[MOV]])+5)^0.6)/(12+0.01*(ABS(Games[[#This Row],[PreGmRate]]-Games[[#This Row],[OppPreGmRate]])))*IF(Games[[#This Row],[OT]]=1,0.9,1)</f>
        <v>0.40605567981263008</v>
      </c>
      <c r="X534" s="7" cm="1">
        <f t="array" ref="X5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4" s="9">
        <f>MAX(kmin, kmax - 0.15 * MIN(Games[[#This Row],[GamesPlayed]], 82))</f>
        <v>69.7</v>
      </c>
      <c r="Z534" s="4">
        <f>Games[[#This Row],[K]]*Games[[#This Row],[POMult]]</f>
        <v>69.7</v>
      </c>
      <c r="AA534" s="4">
        <f>(Games[[#This Row],[Keff]]*Games[[#This Row],[MOVMult]])*(Games[[#This Row],[Result]]-Games[[#This Row],[ExpectedWin%]])</f>
        <v>-11.512745598842303</v>
      </c>
      <c r="AB534" s="4">
        <f>Games[[#This Row],[PreGmRate]]+Games[[#This Row],[RatingChange]]</f>
        <v>1681.8992328873305</v>
      </c>
      <c r="AC534" s="2">
        <f>IF(Games[[#This Row],[Type]]="R",IF(Games[[#This Row],[Result]]&gt;0.5,1,0),0)</f>
        <v>0</v>
      </c>
      <c r="AD534" s="2">
        <f>IF(Games[[#This Row],[Type]]="R",IF(Games[[#This Row],[Result]]&lt;0.5,1,0),0)</f>
        <v>1</v>
      </c>
      <c r="AE534" s="2">
        <f>IF(AND(Games[[#This Row],[Type]]="P",Games[[#This Row],[Round]]=1),IF(Games[[#This Row],[Result]]&gt;0.5,1,0),0)</f>
        <v>0</v>
      </c>
      <c r="AF534" s="2">
        <f>IF(AND(Games[[#This Row],[Type]]="P",Games[[#This Row],[Round]]=1),IF(Games[[#This Row],[Result]]&lt;0.5,1,0),0)</f>
        <v>0</v>
      </c>
      <c r="AG534" s="2">
        <f>IF(AND(Games[[#This Row],[Type]]="P",Games[[#This Row],[Round]]=2),IF(Games[[#This Row],[Result]]&gt;0.5,1,0),0)</f>
        <v>0</v>
      </c>
      <c r="AH534" s="2">
        <f>IF(AND(Games[[#This Row],[Type]]="P",Games[[#This Row],[Round]]=2),IF(Games[[#This Row],[Result]]&lt;0.5,1,0),0)</f>
        <v>0</v>
      </c>
      <c r="AI534" s="2">
        <f>IF(AND(Games[[#This Row],[Type]]="P",Games[[#This Row],[Round]]=3),IF(Games[[#This Row],[Result]]&gt;0.5,1,0),0)</f>
        <v>0</v>
      </c>
      <c r="AJ534" s="2">
        <f>IF(AND(Games[[#This Row],[Type]]="P",Games[[#This Row],[Round]]=3),IF(Games[[#This Row],[Result]]&lt;0.5,1,0),0)</f>
        <v>0</v>
      </c>
      <c r="AK534" s="2">
        <f>IF(AND(Games[[#This Row],[Type]]="P",Games[[#This Row],[Round]]=4),IF(Games[[#This Row],[Result]]&gt;0.5,1,0),0)</f>
        <v>0</v>
      </c>
      <c r="AL534" s="2">
        <f>IF(AND(Games[[#This Row],[Type]]="P",Games[[#This Row],[Round]]=4),IF(Games[[#This Row],[Result]]&lt;0.5,1,0),0)</f>
        <v>0</v>
      </c>
    </row>
    <row r="535" spans="1:38" x14ac:dyDescent="0.35">
      <c r="A535" s="10">
        <v>45904</v>
      </c>
      <c r="B535" s="2">
        <v>2025</v>
      </c>
      <c r="C535" s="2">
        <f>COUNTIFS(Games[Team],Games[[#This Row],[Team]],Games[Season],Games[[#This Row],[Season]],Games[Date],"&lt;=" &amp; Games[[#This Row],[Date]])</f>
        <v>41</v>
      </c>
      <c r="D535" s="2" t="s">
        <v>79</v>
      </c>
      <c r="E535" s="2" t="s">
        <v>80</v>
      </c>
      <c r="F535" s="1" t="s">
        <v>86</v>
      </c>
      <c r="G535" s="1" t="s">
        <v>67</v>
      </c>
      <c r="H535" s="1" t="s">
        <v>82</v>
      </c>
      <c r="I535" s="2" cm="1">
        <f t="array" ref="I535">IFERROR(
    Games[[#This Row],[Date]]
    - LOOKUP(
        2,
        1/((Games[Team]=Games[[#This Row],[Team]]) * (Games[Date] &lt; Games[[#This Row],[Date]])),
        Games[Date]
    )
    - 1,
Games[[#This Row],[Date]]-$A$2)</f>
        <v>7</v>
      </c>
      <c r="J535" s="2" cm="1">
        <f t="array" ref="J5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5" s="2">
        <f>Games[[#This Row],[DaysOff]]-Games[[#This Row],[OppDaysOff]]</f>
        <v>5</v>
      </c>
      <c r="L535" s="2">
        <f>Games[[#This Row],[OppDaysOff]]-Games[[#This Row],[DaysOff]]</f>
        <v>-5</v>
      </c>
      <c r="M535" s="1">
        <f>MAX(-16, MIN(16, Games[[#This Row],[RestDiff]]*8))</f>
        <v>16</v>
      </c>
      <c r="N535" s="1">
        <f>MAX(-16, MIN(16, Games[[#This Row],[OppRestDiff]]*8))</f>
        <v>-16</v>
      </c>
      <c r="O535" s="4" cm="1">
        <f t="array" ref="O5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1642.9538161153398</v>
      </c>
      <c r="P535" s="4" cm="1">
        <f t="array" ref="P5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1693.4119784861728</v>
      </c>
      <c r="Q535" s="4">
        <f>1/(1+10^(((Games[[#This Row],[OppPreGmRate]]+IF(Games[[#This Row],[HomeAway]]="A",HCA,0)+Games[[#This Row],[OppRestAdj]])-(Games[[#This Row],[PreGmRate]]+IF(Games[[#This Row],[HomeAway]]="H",HCA,0)+Games[[#This Row],[RestAdj]]))/400))</f>
        <v>0.59321911182220333</v>
      </c>
      <c r="R535" s="1">
        <v>97</v>
      </c>
      <c r="S535" s="1">
        <v>87</v>
      </c>
      <c r="T535" s="1">
        <v>0</v>
      </c>
      <c r="U535" s="1">
        <f>Games[[#This Row],[PointsFor]]-Games[[#This Row],[PointsAgainst]]</f>
        <v>10</v>
      </c>
      <c r="V535" s="1">
        <f>IF(Games[[#This Row],[MOV]]&gt;0,1,IF(Games[[#This Row],[MOV]]=0,0.5,0))</f>
        <v>1</v>
      </c>
      <c r="W535" s="4">
        <f>((ABS(Games[[#This Row],[MOV]])+5)^0.6)/(12+0.01*(ABS(Games[[#This Row],[PreGmRate]]-Games[[#This Row],[OppPreGmRate]])))*IF(Games[[#This Row],[OT]]=1,0.9,1)</f>
        <v>0.40605567981263008</v>
      </c>
      <c r="X535" s="7" cm="1">
        <f t="array" ref="X5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5" s="9">
        <f>MAX(kmin, kmax - 0.15 * MIN(Games[[#This Row],[GamesPlayed]], 82))</f>
        <v>69.849999999999994</v>
      </c>
      <c r="Z535" s="4">
        <f>Games[[#This Row],[K]]*Games[[#This Row],[POMult]]</f>
        <v>69.849999999999994</v>
      </c>
      <c r="AA535" s="4">
        <f>(Games[[#This Row],[Keff]]*Games[[#This Row],[MOVMult]])*(Games[[#This Row],[Result]]-Games[[#This Row],[ExpectedWin%]])</f>
        <v>11.537521952354874</v>
      </c>
      <c r="AB535" s="4">
        <f>Games[[#This Row],[PreGmRate]]+Games[[#This Row],[RatingChange]]</f>
        <v>1654.4913380676946</v>
      </c>
      <c r="AC535" s="2">
        <f>IF(Games[[#This Row],[Type]]="R",IF(Games[[#This Row],[Result]]&gt;0.5,1,0),0)</f>
        <v>1</v>
      </c>
      <c r="AD535" s="2">
        <f>IF(Games[[#This Row],[Type]]="R",IF(Games[[#This Row],[Result]]&lt;0.5,1,0),0)</f>
        <v>0</v>
      </c>
      <c r="AE535" s="2">
        <f>IF(AND(Games[[#This Row],[Type]]="P",Games[[#This Row],[Round]]=1),IF(Games[[#This Row],[Result]]&gt;0.5,1,0),0)</f>
        <v>0</v>
      </c>
      <c r="AF535" s="2">
        <f>IF(AND(Games[[#This Row],[Type]]="P",Games[[#This Row],[Round]]=1),IF(Games[[#This Row],[Result]]&lt;0.5,1,0),0)</f>
        <v>0</v>
      </c>
      <c r="AG535" s="2">
        <f>IF(AND(Games[[#This Row],[Type]]="P",Games[[#This Row],[Round]]=2),IF(Games[[#This Row],[Result]]&gt;0.5,1,0),0)</f>
        <v>0</v>
      </c>
      <c r="AH535" s="2">
        <f>IF(AND(Games[[#This Row],[Type]]="P",Games[[#This Row],[Round]]=2),IF(Games[[#This Row],[Result]]&lt;0.5,1,0),0)</f>
        <v>0</v>
      </c>
      <c r="AI535" s="2">
        <f>IF(AND(Games[[#This Row],[Type]]="P",Games[[#This Row],[Round]]=3),IF(Games[[#This Row],[Result]]&gt;0.5,1,0),0)</f>
        <v>0</v>
      </c>
      <c r="AJ535" s="2">
        <f>IF(AND(Games[[#This Row],[Type]]="P",Games[[#This Row],[Round]]=3),IF(Games[[#This Row],[Result]]&lt;0.5,1,0),0)</f>
        <v>0</v>
      </c>
      <c r="AK535" s="2">
        <f>IF(AND(Games[[#This Row],[Type]]="P",Games[[#This Row],[Round]]=4),IF(Games[[#This Row],[Result]]&gt;0.5,1,0),0)</f>
        <v>0</v>
      </c>
      <c r="AL535" s="2">
        <f>IF(AND(Games[[#This Row],[Type]]="P",Games[[#This Row],[Round]]=4),IF(Games[[#This Row],[Result]]&lt;0.5,1,0),0)</f>
        <v>0</v>
      </c>
    </row>
    <row r="536" spans="1:38" x14ac:dyDescent="0.35">
      <c r="A536" s="10">
        <v>45904</v>
      </c>
      <c r="B536" s="2">
        <v>2025</v>
      </c>
      <c r="C536" s="2">
        <f>COUNTIFS(Games[Team],Games[[#This Row],[Team]],Games[Season],Games[[#This Row],[Season]],Games[Date],"&lt;=" &amp; Games[[#This Row],[Date]])</f>
        <v>41</v>
      </c>
      <c r="D536" s="2" t="s">
        <v>79</v>
      </c>
      <c r="E536" s="2" t="s">
        <v>80</v>
      </c>
      <c r="F536" s="1" t="s">
        <v>40</v>
      </c>
      <c r="G536" s="1" t="s">
        <v>65</v>
      </c>
      <c r="H536" s="1" t="s">
        <v>81</v>
      </c>
      <c r="I536" s="2" cm="1">
        <f t="array" ref="I5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6" s="2" cm="1">
        <f t="array" ref="J5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36" s="2">
        <f>Games[[#This Row],[DaysOff]]-Games[[#This Row],[OppDaysOff]]</f>
        <v>-2</v>
      </c>
      <c r="L536" s="2">
        <f>Games[[#This Row],[OppDaysOff]]-Games[[#This Row],[DaysOff]]</f>
        <v>2</v>
      </c>
      <c r="M536" s="1">
        <f>MAX(-16, MIN(16, Games[[#This Row],[RestDiff]]*8))</f>
        <v>-16</v>
      </c>
      <c r="N536" s="1">
        <f>MAX(-16, MIN(16, Games[[#This Row],[OppRestDiff]]*8))</f>
        <v>16</v>
      </c>
      <c r="O536" s="4" cm="1">
        <f t="array" ref="O5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1596.1979366124358</v>
      </c>
      <c r="P536" s="4" cm="1">
        <f t="array" ref="P5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1381.813342805345</v>
      </c>
      <c r="Q536" s="4">
        <f>1/(1+10^(((Games[[#This Row],[OppPreGmRate]]+IF(Games[[#This Row],[HomeAway]]="A",HCA,0)+Games[[#This Row],[OppRestAdj]])-(Games[[#This Row],[PreGmRate]]+IF(Games[[#This Row],[HomeAway]]="H",HCA,0)+Games[[#This Row],[RestAdj]]))/400))</f>
        <v>0.63791989512518132</v>
      </c>
      <c r="R536" s="1">
        <v>75</v>
      </c>
      <c r="S536" s="1">
        <v>69</v>
      </c>
      <c r="T536" s="1">
        <v>0</v>
      </c>
      <c r="U536" s="1">
        <f>Games[[#This Row],[PointsFor]]-Games[[#This Row],[PointsAgainst]]</f>
        <v>6</v>
      </c>
      <c r="V536" s="1">
        <f>IF(Games[[#This Row],[MOV]]&gt;0,1,IF(Games[[#This Row],[MOV]]=0,0.5,0))</f>
        <v>1</v>
      </c>
      <c r="W536" s="4">
        <f>((ABS(Games[[#This Row],[MOV]])+5)^0.6)/(12+0.01*(ABS(Games[[#This Row],[PreGmRate]]-Games[[#This Row],[OppPreGmRate]])))*IF(Games[[#This Row],[OT]]=1,0.9,1)</f>
        <v>0.2980355662490225</v>
      </c>
      <c r="X536" s="7" cm="1">
        <f t="array" ref="X5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6" s="9">
        <f>MAX(kmin, kmax - 0.15 * MIN(Games[[#This Row],[GamesPlayed]], 82))</f>
        <v>69.849999999999994</v>
      </c>
      <c r="Z536" s="4">
        <f>Games[[#This Row],[K]]*Games[[#This Row],[POMult]]</f>
        <v>69.849999999999994</v>
      </c>
      <c r="AA536" s="4">
        <f>(Games[[#This Row],[Keff]]*Games[[#This Row],[MOVMult]])*(Games[[#This Row],[Result]]-Games[[#This Row],[ExpectedWin%]])</f>
        <v>7.5377055235084613</v>
      </c>
      <c r="AB536" s="4">
        <f>Games[[#This Row],[PreGmRate]]+Games[[#This Row],[RatingChange]]</f>
        <v>1603.7356421359443</v>
      </c>
      <c r="AC536" s="2">
        <f>IF(Games[[#This Row],[Type]]="R",IF(Games[[#This Row],[Result]]&gt;0.5,1,0),0)</f>
        <v>1</v>
      </c>
      <c r="AD536" s="2">
        <f>IF(Games[[#This Row],[Type]]="R",IF(Games[[#This Row],[Result]]&lt;0.5,1,0),0)</f>
        <v>0</v>
      </c>
      <c r="AE536" s="2">
        <f>IF(AND(Games[[#This Row],[Type]]="P",Games[[#This Row],[Round]]=1),IF(Games[[#This Row],[Result]]&gt;0.5,1,0),0)</f>
        <v>0</v>
      </c>
      <c r="AF536" s="2">
        <f>IF(AND(Games[[#This Row],[Type]]="P",Games[[#This Row],[Round]]=1),IF(Games[[#This Row],[Result]]&lt;0.5,1,0),0)</f>
        <v>0</v>
      </c>
      <c r="AG536" s="2">
        <f>IF(AND(Games[[#This Row],[Type]]="P",Games[[#This Row],[Round]]=2),IF(Games[[#This Row],[Result]]&gt;0.5,1,0),0)</f>
        <v>0</v>
      </c>
      <c r="AH536" s="2">
        <f>IF(AND(Games[[#This Row],[Type]]="P",Games[[#This Row],[Round]]=2),IF(Games[[#This Row],[Result]]&lt;0.5,1,0),0)</f>
        <v>0</v>
      </c>
      <c r="AI536" s="2">
        <f>IF(AND(Games[[#This Row],[Type]]="P",Games[[#This Row],[Round]]=3),IF(Games[[#This Row],[Result]]&gt;0.5,1,0),0)</f>
        <v>0</v>
      </c>
      <c r="AJ536" s="2">
        <f>IF(AND(Games[[#This Row],[Type]]="P",Games[[#This Row],[Round]]=3),IF(Games[[#This Row],[Result]]&lt;0.5,1,0),0)</f>
        <v>0</v>
      </c>
      <c r="AK536" s="2">
        <f>IF(AND(Games[[#This Row],[Type]]="P",Games[[#This Row],[Round]]=4),IF(Games[[#This Row],[Result]]&gt;0.5,1,0),0)</f>
        <v>0</v>
      </c>
      <c r="AL536" s="2">
        <f>IF(AND(Games[[#This Row],[Type]]="P",Games[[#This Row],[Round]]=4),IF(Games[[#This Row],[Result]]&lt;0.5,1,0),0)</f>
        <v>0</v>
      </c>
    </row>
    <row r="537" spans="1:38" x14ac:dyDescent="0.35">
      <c r="A537" s="10">
        <v>45904</v>
      </c>
      <c r="B537" s="2">
        <v>2025</v>
      </c>
      <c r="C537" s="2">
        <f>COUNTIFS(Games[Team],Games[[#This Row],[Team]],Games[Season],Games[[#This Row],[Season]],Games[Date],"&lt;=" &amp; Games[[#This Row],[Date]])</f>
        <v>42</v>
      </c>
      <c r="D537" s="2" t="s">
        <v>79</v>
      </c>
      <c r="E537" s="2" t="s">
        <v>80</v>
      </c>
      <c r="F537" s="1" t="s">
        <v>65</v>
      </c>
      <c r="G537" s="1" t="s">
        <v>40</v>
      </c>
      <c r="H537" s="1" t="s">
        <v>82</v>
      </c>
      <c r="I537" s="2" cm="1">
        <f t="array" ref="I5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537" s="2" cm="1">
        <f t="array" ref="J5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7" s="2">
        <f>Games[[#This Row],[DaysOff]]-Games[[#This Row],[OppDaysOff]]</f>
        <v>2</v>
      </c>
      <c r="L537" s="2">
        <f>Games[[#This Row],[OppDaysOff]]-Games[[#This Row],[DaysOff]]</f>
        <v>-2</v>
      </c>
      <c r="M537" s="1">
        <f>MAX(-16, MIN(16, Games[[#This Row],[RestDiff]]*8))</f>
        <v>16</v>
      </c>
      <c r="N537" s="1">
        <f>MAX(-16, MIN(16, Games[[#This Row],[OppRestDiff]]*8))</f>
        <v>-16</v>
      </c>
      <c r="O537" s="4" cm="1">
        <f t="array" ref="O5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1381.813342805345</v>
      </c>
      <c r="P537" s="4" cm="1">
        <f t="array" ref="P5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1596.1979366124358</v>
      </c>
      <c r="Q537" s="4">
        <f>1/(1+10^(((Games[[#This Row],[OppPreGmRate]]+IF(Games[[#This Row],[HomeAway]]="A",HCA,0)+Games[[#This Row],[OppRestAdj]])-(Games[[#This Row],[PreGmRate]]+IF(Games[[#This Row],[HomeAway]]="H",HCA,0)+Games[[#This Row],[RestAdj]]))/400))</f>
        <v>0.36208010487481868</v>
      </c>
      <c r="R537" s="1">
        <v>69</v>
      </c>
      <c r="S537" s="1">
        <v>75</v>
      </c>
      <c r="T537" s="1">
        <v>0</v>
      </c>
      <c r="U537" s="1">
        <f>Games[[#This Row],[PointsFor]]-Games[[#This Row],[PointsAgainst]]</f>
        <v>-6</v>
      </c>
      <c r="V537" s="1">
        <f>IF(Games[[#This Row],[MOV]]&gt;0,1,IF(Games[[#This Row],[MOV]]=0,0.5,0))</f>
        <v>0</v>
      </c>
      <c r="W537" s="4">
        <f>((ABS(Games[[#This Row],[MOV]])+5)^0.6)/(12+0.01*(ABS(Games[[#This Row],[PreGmRate]]-Games[[#This Row],[OppPreGmRate]])))*IF(Games[[#This Row],[OT]]=1,0.9,1)</f>
        <v>0.2980355662490225</v>
      </c>
      <c r="X537" s="7" cm="1">
        <f t="array" ref="X5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7" s="9">
        <f>MAX(kmin, kmax - 0.15 * MIN(Games[[#This Row],[GamesPlayed]], 82))</f>
        <v>69.7</v>
      </c>
      <c r="Z537" s="4">
        <f>Games[[#This Row],[K]]*Games[[#This Row],[POMult]]</f>
        <v>69.7</v>
      </c>
      <c r="AA537" s="4">
        <f>(Games[[#This Row],[Keff]]*Games[[#This Row],[MOVMult]])*(Games[[#This Row],[Result]]-Games[[#This Row],[ExpectedWin%]])</f>
        <v>-7.5215186111458818</v>
      </c>
      <c r="AB537" s="4">
        <f>Games[[#This Row],[PreGmRate]]+Games[[#This Row],[RatingChange]]</f>
        <v>1374.2918241941991</v>
      </c>
      <c r="AC537" s="2">
        <f>IF(Games[[#This Row],[Type]]="R",IF(Games[[#This Row],[Result]]&gt;0.5,1,0),0)</f>
        <v>0</v>
      </c>
      <c r="AD537" s="2">
        <f>IF(Games[[#This Row],[Type]]="R",IF(Games[[#This Row],[Result]]&lt;0.5,1,0),0)</f>
        <v>1</v>
      </c>
      <c r="AE537" s="2">
        <f>IF(AND(Games[[#This Row],[Type]]="P",Games[[#This Row],[Round]]=1),IF(Games[[#This Row],[Result]]&gt;0.5,1,0),0)</f>
        <v>0</v>
      </c>
      <c r="AF537" s="2">
        <f>IF(AND(Games[[#This Row],[Type]]="P",Games[[#This Row],[Round]]=1),IF(Games[[#This Row],[Result]]&lt;0.5,1,0),0)</f>
        <v>0</v>
      </c>
      <c r="AG537" s="2">
        <f>IF(AND(Games[[#This Row],[Type]]="P",Games[[#This Row],[Round]]=2),IF(Games[[#This Row],[Result]]&gt;0.5,1,0),0)</f>
        <v>0</v>
      </c>
      <c r="AH537" s="2">
        <f>IF(AND(Games[[#This Row],[Type]]="P",Games[[#This Row],[Round]]=2),IF(Games[[#This Row],[Result]]&lt;0.5,1,0),0)</f>
        <v>0</v>
      </c>
      <c r="AI537" s="2">
        <f>IF(AND(Games[[#This Row],[Type]]="P",Games[[#This Row],[Round]]=3),IF(Games[[#This Row],[Result]]&gt;0.5,1,0),0)</f>
        <v>0</v>
      </c>
      <c r="AJ537" s="2">
        <f>IF(AND(Games[[#This Row],[Type]]="P",Games[[#This Row],[Round]]=3),IF(Games[[#This Row],[Result]]&lt;0.5,1,0),0)</f>
        <v>0</v>
      </c>
      <c r="AK537" s="2">
        <f>IF(AND(Games[[#This Row],[Type]]="P",Games[[#This Row],[Round]]=4),IF(Games[[#This Row],[Result]]&gt;0.5,1,0),0)</f>
        <v>0</v>
      </c>
      <c r="AL537" s="2">
        <f>IF(AND(Games[[#This Row],[Type]]="P",Games[[#This Row],[Round]]=4),IF(Games[[#This Row],[Result]]&lt;0.5,1,0),0)</f>
        <v>0</v>
      </c>
    </row>
    <row r="538" spans="1:38" x14ac:dyDescent="0.35">
      <c r="A538" s="10">
        <v>45905</v>
      </c>
      <c r="B538" s="2">
        <v>2025</v>
      </c>
      <c r="C538" s="2">
        <f>COUNTIFS(Games[Team],Games[[#This Row],[Team]],Games[Season],Games[[#This Row],[Season]],Games[Date],"&lt;=" &amp; Games[[#This Row],[Date]])</f>
        <v>41</v>
      </c>
      <c r="D538" s="2" t="s">
        <v>79</v>
      </c>
      <c r="E538" s="2" t="s">
        <v>80</v>
      </c>
      <c r="F538" s="1" t="s">
        <v>63</v>
      </c>
      <c r="G538" s="1" t="s">
        <v>77</v>
      </c>
      <c r="H538" s="1" t="s">
        <v>81</v>
      </c>
      <c r="I538" s="2" cm="1">
        <f t="array" ref="I5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8" s="2" cm="1">
        <f t="array" ref="J5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8" s="2">
        <f>Games[[#This Row],[DaysOff]]-Games[[#This Row],[OppDaysOff]]</f>
        <v>0</v>
      </c>
      <c r="L538" s="2">
        <f>Games[[#This Row],[OppDaysOff]]-Games[[#This Row],[DaysOff]]</f>
        <v>0</v>
      </c>
      <c r="M538" s="1">
        <f>MAX(-16, MIN(16, Games[[#This Row],[RestDiff]]*8))</f>
        <v>0</v>
      </c>
      <c r="N538" s="1">
        <f>MAX(-16, MIN(16, Games[[#This Row],[OppRestDiff]]*8))</f>
        <v>0</v>
      </c>
      <c r="O538" s="4" cm="1">
        <f t="array" ref="O5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1454.0182848779787</v>
      </c>
      <c r="P538" s="4" cm="1">
        <f t="array" ref="P5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1637.7366774855161</v>
      </c>
      <c r="Q538" s="4">
        <f>1/(1+10^(((Games[[#This Row],[OppPreGmRate]]+IF(Games[[#This Row],[HomeAway]]="A",HCA,0)+Games[[#This Row],[OppRestAdj]])-(Games[[#This Row],[PreGmRate]]+IF(Games[[#This Row],[HomeAway]]="H",HCA,0)+Games[[#This Row],[RestAdj]]))/400))</f>
        <v>0.17637383339610191</v>
      </c>
      <c r="R538" s="1">
        <v>85</v>
      </c>
      <c r="S538" s="1">
        <v>104</v>
      </c>
      <c r="T538" s="1">
        <v>0</v>
      </c>
      <c r="U538" s="1">
        <f>Games[[#This Row],[PointsFor]]-Games[[#This Row],[PointsAgainst]]</f>
        <v>-19</v>
      </c>
      <c r="V538" s="1">
        <f>IF(Games[[#This Row],[MOV]]&gt;0,1,IF(Games[[#This Row],[MOV]]=0,0.5,0))</f>
        <v>0</v>
      </c>
      <c r="W538" s="4">
        <f>((ABS(Games[[#This Row],[MOV]])+5)^0.6)/(12+0.01*(ABS(Games[[#This Row],[PreGmRate]]-Games[[#This Row],[OppPreGmRate]])))*IF(Games[[#This Row],[OT]]=1,0.9,1)</f>
        <v>0.48649572836794042</v>
      </c>
      <c r="X538" s="7" cm="1">
        <f t="array" ref="X5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8" s="9">
        <f>MAX(kmin, kmax - 0.15 * MIN(Games[[#This Row],[GamesPlayed]], 82))</f>
        <v>69.849999999999994</v>
      </c>
      <c r="Z538" s="4">
        <f>Games[[#This Row],[K]]*Games[[#This Row],[POMult]]</f>
        <v>69.849999999999994</v>
      </c>
      <c r="AA538" s="4">
        <f>(Games[[#This Row],[Keff]]*Games[[#This Row],[MOVMult]])*(Games[[#This Row],[Result]]-Games[[#This Row],[ExpectedWin%]])</f>
        <v>-5.9934873905343036</v>
      </c>
      <c r="AB538" s="4">
        <f>Games[[#This Row],[PreGmRate]]+Games[[#This Row],[RatingChange]]</f>
        <v>1448.0247974874444</v>
      </c>
      <c r="AC538" s="2">
        <f>IF(Games[[#This Row],[Type]]="R",IF(Games[[#This Row],[Result]]&gt;0.5,1,0),0)</f>
        <v>0</v>
      </c>
      <c r="AD538" s="2">
        <f>IF(Games[[#This Row],[Type]]="R",IF(Games[[#This Row],[Result]]&lt;0.5,1,0),0)</f>
        <v>1</v>
      </c>
      <c r="AE538" s="2">
        <f>IF(AND(Games[[#This Row],[Type]]="P",Games[[#This Row],[Round]]=1),IF(Games[[#This Row],[Result]]&gt;0.5,1,0),0)</f>
        <v>0</v>
      </c>
      <c r="AF538" s="2">
        <f>IF(AND(Games[[#This Row],[Type]]="P",Games[[#This Row],[Round]]=1),IF(Games[[#This Row],[Result]]&lt;0.5,1,0),0)</f>
        <v>0</v>
      </c>
      <c r="AG538" s="2">
        <f>IF(AND(Games[[#This Row],[Type]]="P",Games[[#This Row],[Round]]=2),IF(Games[[#This Row],[Result]]&gt;0.5,1,0),0)</f>
        <v>0</v>
      </c>
      <c r="AH538" s="2">
        <f>IF(AND(Games[[#This Row],[Type]]="P",Games[[#This Row],[Round]]=2),IF(Games[[#This Row],[Result]]&lt;0.5,1,0),0)</f>
        <v>0</v>
      </c>
      <c r="AI538" s="2">
        <f>IF(AND(Games[[#This Row],[Type]]="P",Games[[#This Row],[Round]]=3),IF(Games[[#This Row],[Result]]&gt;0.5,1,0),0)</f>
        <v>0</v>
      </c>
      <c r="AJ538" s="2">
        <f>IF(AND(Games[[#This Row],[Type]]="P",Games[[#This Row],[Round]]=3),IF(Games[[#This Row],[Result]]&lt;0.5,1,0),0)</f>
        <v>0</v>
      </c>
      <c r="AK538" s="2">
        <f>IF(AND(Games[[#This Row],[Type]]="P",Games[[#This Row],[Round]]=4),IF(Games[[#This Row],[Result]]&gt;0.5,1,0),0)</f>
        <v>0</v>
      </c>
      <c r="AL538" s="2">
        <f>IF(AND(Games[[#This Row],[Type]]="P",Games[[#This Row],[Round]]=4),IF(Games[[#This Row],[Result]]&lt;0.5,1,0),0)</f>
        <v>0</v>
      </c>
    </row>
    <row r="539" spans="1:38" x14ac:dyDescent="0.35">
      <c r="A539" s="10">
        <v>45905</v>
      </c>
      <c r="B539" s="2">
        <v>2025</v>
      </c>
      <c r="C539" s="2">
        <f>COUNTIFS(Games[Team],Games[[#This Row],[Team]],Games[Season],Games[[#This Row],[Season]],Games[Date],"&lt;=" &amp; Games[[#This Row],[Date]])</f>
        <v>42</v>
      </c>
      <c r="D539" s="2" t="s">
        <v>79</v>
      </c>
      <c r="E539" s="2" t="s">
        <v>80</v>
      </c>
      <c r="F539" s="1" t="s">
        <v>77</v>
      </c>
      <c r="G539" s="1" t="s">
        <v>63</v>
      </c>
      <c r="H539" s="1" t="s">
        <v>82</v>
      </c>
      <c r="I539" s="2" cm="1">
        <f t="array" ref="I5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9" s="2" cm="1">
        <f t="array" ref="J5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9" s="2">
        <f>Games[[#This Row],[DaysOff]]-Games[[#This Row],[OppDaysOff]]</f>
        <v>0</v>
      </c>
      <c r="L539" s="2">
        <f>Games[[#This Row],[OppDaysOff]]-Games[[#This Row],[DaysOff]]</f>
        <v>0</v>
      </c>
      <c r="M539" s="1">
        <f>MAX(-16, MIN(16, Games[[#This Row],[RestDiff]]*8))</f>
        <v>0</v>
      </c>
      <c r="N539" s="1">
        <f>MAX(-16, MIN(16, Games[[#This Row],[OppRestDiff]]*8))</f>
        <v>0</v>
      </c>
      <c r="O539" s="4" cm="1">
        <f t="array" ref="O5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1637.7366774855161</v>
      </c>
      <c r="P539" s="4" cm="1">
        <f t="array" ref="P5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1454.0182848779787</v>
      </c>
      <c r="Q539" s="4">
        <f>1/(1+10^(((Games[[#This Row],[OppPreGmRate]]+IF(Games[[#This Row],[HomeAway]]="A",HCA,0)+Games[[#This Row],[OppRestAdj]])-(Games[[#This Row],[PreGmRate]]+IF(Games[[#This Row],[HomeAway]]="H",HCA,0)+Games[[#This Row],[RestAdj]]))/400))</f>
        <v>0.82362616660389798</v>
      </c>
      <c r="R539" s="1">
        <v>104</v>
      </c>
      <c r="S539" s="1">
        <v>85</v>
      </c>
      <c r="T539" s="1">
        <v>0</v>
      </c>
      <c r="U539" s="1">
        <f>Games[[#This Row],[PointsFor]]-Games[[#This Row],[PointsAgainst]]</f>
        <v>19</v>
      </c>
      <c r="V539" s="1">
        <f>IF(Games[[#This Row],[MOV]]&gt;0,1,IF(Games[[#This Row],[MOV]]=0,0.5,0))</f>
        <v>1</v>
      </c>
      <c r="W539" s="4">
        <f>((ABS(Games[[#This Row],[MOV]])+5)^0.6)/(12+0.01*(ABS(Games[[#This Row],[PreGmRate]]-Games[[#This Row],[OppPreGmRate]])))*IF(Games[[#This Row],[OT]]=1,0.9,1)</f>
        <v>0.48649572836794042</v>
      </c>
      <c r="X539" s="7" cm="1">
        <f t="array" ref="X5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9" s="9">
        <f>MAX(kmin, kmax - 0.15 * MIN(Games[[#This Row],[GamesPlayed]], 82))</f>
        <v>69.7</v>
      </c>
      <c r="Z539" s="4">
        <f>Games[[#This Row],[K]]*Games[[#This Row],[POMult]]</f>
        <v>69.7</v>
      </c>
      <c r="AA539" s="4">
        <f>(Games[[#This Row],[Keff]]*Games[[#This Row],[MOVMult]])*(Games[[#This Row],[Result]]-Games[[#This Row],[ExpectedWin%]])</f>
        <v>5.9806166230528452</v>
      </c>
      <c r="AB539" s="4">
        <f>Games[[#This Row],[PreGmRate]]+Games[[#This Row],[RatingChange]]</f>
        <v>1643.7172941085689</v>
      </c>
      <c r="AC539" s="2">
        <f>IF(Games[[#This Row],[Type]]="R",IF(Games[[#This Row],[Result]]&gt;0.5,1,0),0)</f>
        <v>1</v>
      </c>
      <c r="AD539" s="2">
        <f>IF(Games[[#This Row],[Type]]="R",IF(Games[[#This Row],[Result]]&lt;0.5,1,0),0)</f>
        <v>0</v>
      </c>
      <c r="AE539" s="2">
        <f>IF(AND(Games[[#This Row],[Type]]="P",Games[[#This Row],[Round]]=1),IF(Games[[#This Row],[Result]]&gt;0.5,1,0),0)</f>
        <v>0</v>
      </c>
      <c r="AF539" s="2">
        <f>IF(AND(Games[[#This Row],[Type]]="P",Games[[#This Row],[Round]]=1),IF(Games[[#This Row],[Result]]&lt;0.5,1,0),0)</f>
        <v>0</v>
      </c>
      <c r="AG539" s="2">
        <f>IF(AND(Games[[#This Row],[Type]]="P",Games[[#This Row],[Round]]=2),IF(Games[[#This Row],[Result]]&gt;0.5,1,0),0)</f>
        <v>0</v>
      </c>
      <c r="AH539" s="2">
        <f>IF(AND(Games[[#This Row],[Type]]="P",Games[[#This Row],[Round]]=2),IF(Games[[#This Row],[Result]]&lt;0.5,1,0),0)</f>
        <v>0</v>
      </c>
      <c r="AI539" s="2">
        <f>IF(AND(Games[[#This Row],[Type]]="P",Games[[#This Row],[Round]]=3),IF(Games[[#This Row],[Result]]&gt;0.5,1,0),0)</f>
        <v>0</v>
      </c>
      <c r="AJ539" s="2">
        <f>IF(AND(Games[[#This Row],[Type]]="P",Games[[#This Row],[Round]]=3),IF(Games[[#This Row],[Result]]&lt;0.5,1,0),0)</f>
        <v>0</v>
      </c>
      <c r="AK539" s="2">
        <f>IF(AND(Games[[#This Row],[Type]]="P",Games[[#This Row],[Round]]=4),IF(Games[[#This Row],[Result]]&gt;0.5,1,0),0)</f>
        <v>0</v>
      </c>
      <c r="AL539" s="2">
        <f>IF(AND(Games[[#This Row],[Type]]="P",Games[[#This Row],[Round]]=4),IF(Games[[#This Row],[Result]]&lt;0.5,1,0),0)</f>
        <v>0</v>
      </c>
    </row>
    <row r="540" spans="1:38" x14ac:dyDescent="0.35">
      <c r="A540" s="10">
        <v>45905</v>
      </c>
      <c r="B540" s="2">
        <v>2025</v>
      </c>
      <c r="C540" s="2">
        <f>COUNTIFS(Games[Team],Games[[#This Row],[Team]],Games[Season],Games[[#This Row],[Season]],Games[Date],"&lt;=" &amp; Games[[#This Row],[Date]])</f>
        <v>41</v>
      </c>
      <c r="D540" s="2" t="s">
        <v>79</v>
      </c>
      <c r="E540" s="2" t="s">
        <v>80</v>
      </c>
      <c r="F540" s="1" t="s">
        <v>75</v>
      </c>
      <c r="G540" s="1" t="s">
        <v>69</v>
      </c>
      <c r="H540" s="1" t="s">
        <v>81</v>
      </c>
      <c r="I540" s="2" cm="1">
        <f t="array" ref="I5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0" s="2" cm="1">
        <f t="array" ref="J5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40" s="2">
        <f>Games[[#This Row],[DaysOff]]-Games[[#This Row],[OppDaysOff]]</f>
        <v>-1</v>
      </c>
      <c r="L540" s="2">
        <f>Games[[#This Row],[OppDaysOff]]-Games[[#This Row],[DaysOff]]</f>
        <v>1</v>
      </c>
      <c r="M540" s="1">
        <f>MAX(-16, MIN(16, Games[[#This Row],[RestDiff]]*8))</f>
        <v>-8</v>
      </c>
      <c r="N540" s="1">
        <f>MAX(-16, MIN(16, Games[[#This Row],[OppRestDiff]]*8))</f>
        <v>8</v>
      </c>
      <c r="O540" s="4" cm="1">
        <f t="array" ref="O5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1297.9176134062045</v>
      </c>
      <c r="P540" s="4" cm="1">
        <f t="array" ref="P5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1523.0062095291164</v>
      </c>
      <c r="Q540" s="4">
        <f>1/(1+10^(((Games[[#This Row],[OppPreGmRate]]+IF(Games[[#This Row],[HomeAway]]="A",HCA,0)+Games[[#This Row],[OppRestAdj]])-(Games[[#This Row],[PreGmRate]]+IF(Games[[#This Row],[HomeAway]]="H",HCA,0)+Games[[#This Row],[RestAdj]]))/400))</f>
        <v>0.13338439272653785</v>
      </c>
      <c r="R540" s="1">
        <v>77</v>
      </c>
      <c r="S540" s="1">
        <v>97</v>
      </c>
      <c r="T540" s="1">
        <v>0</v>
      </c>
      <c r="U540" s="1">
        <f>Games[[#This Row],[PointsFor]]-Games[[#This Row],[PointsAgainst]]</f>
        <v>-20</v>
      </c>
      <c r="V540" s="1">
        <f>IF(Games[[#This Row],[MOV]]&gt;0,1,IF(Games[[#This Row],[MOV]]=0,0.5,0))</f>
        <v>0</v>
      </c>
      <c r="W540" s="4">
        <f>((ABS(Games[[#This Row],[MOV]])+5)^0.6)/(12+0.01*(ABS(Games[[#This Row],[PreGmRate]]-Games[[#This Row],[OppPreGmRate]])))*IF(Games[[#This Row],[OT]]=1,0.9,1)</f>
        <v>0.48408557377236028</v>
      </c>
      <c r="X540" s="7" cm="1">
        <f t="array" ref="X5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0" s="9">
        <f>MAX(kmin, kmax - 0.15 * MIN(Games[[#This Row],[GamesPlayed]], 82))</f>
        <v>69.849999999999994</v>
      </c>
      <c r="Z540" s="4">
        <f>Games[[#This Row],[K]]*Games[[#This Row],[POMult]]</f>
        <v>69.849999999999994</v>
      </c>
      <c r="AA540" s="4">
        <f>(Games[[#This Row],[Keff]]*Games[[#This Row],[MOVMult]])*(Games[[#This Row],[Result]]-Games[[#This Row],[ExpectedWin%]])</f>
        <v>-4.5101768009284777</v>
      </c>
      <c r="AB540" s="4">
        <f>Games[[#This Row],[PreGmRate]]+Games[[#This Row],[RatingChange]]</f>
        <v>1293.407436605276</v>
      </c>
      <c r="AC540" s="2">
        <f>IF(Games[[#This Row],[Type]]="R",IF(Games[[#This Row],[Result]]&gt;0.5,1,0),0)</f>
        <v>0</v>
      </c>
      <c r="AD540" s="2">
        <f>IF(Games[[#This Row],[Type]]="R",IF(Games[[#This Row],[Result]]&lt;0.5,1,0),0)</f>
        <v>1</v>
      </c>
      <c r="AE540" s="2">
        <f>IF(AND(Games[[#This Row],[Type]]="P",Games[[#This Row],[Round]]=1),IF(Games[[#This Row],[Result]]&gt;0.5,1,0),0)</f>
        <v>0</v>
      </c>
      <c r="AF540" s="2">
        <f>IF(AND(Games[[#This Row],[Type]]="P",Games[[#This Row],[Round]]=1),IF(Games[[#This Row],[Result]]&lt;0.5,1,0),0)</f>
        <v>0</v>
      </c>
      <c r="AG540" s="2">
        <f>IF(AND(Games[[#This Row],[Type]]="P",Games[[#This Row],[Round]]=2),IF(Games[[#This Row],[Result]]&gt;0.5,1,0),0)</f>
        <v>0</v>
      </c>
      <c r="AH540" s="2">
        <f>IF(AND(Games[[#This Row],[Type]]="P",Games[[#This Row],[Round]]=2),IF(Games[[#This Row],[Result]]&lt;0.5,1,0),0)</f>
        <v>0</v>
      </c>
      <c r="AI540" s="2">
        <f>IF(AND(Games[[#This Row],[Type]]="P",Games[[#This Row],[Round]]=3),IF(Games[[#This Row],[Result]]&gt;0.5,1,0),0)</f>
        <v>0</v>
      </c>
      <c r="AJ540" s="2">
        <f>IF(AND(Games[[#This Row],[Type]]="P",Games[[#This Row],[Round]]=3),IF(Games[[#This Row],[Result]]&lt;0.5,1,0),0)</f>
        <v>0</v>
      </c>
      <c r="AK540" s="2">
        <f>IF(AND(Games[[#This Row],[Type]]="P",Games[[#This Row],[Round]]=4),IF(Games[[#This Row],[Result]]&gt;0.5,1,0),0)</f>
        <v>0</v>
      </c>
      <c r="AL540" s="2">
        <f>IF(AND(Games[[#This Row],[Type]]="P",Games[[#This Row],[Round]]=4),IF(Games[[#This Row],[Result]]&lt;0.5,1,0),0)</f>
        <v>0</v>
      </c>
    </row>
    <row r="541" spans="1:38" x14ac:dyDescent="0.35">
      <c r="A541" s="10">
        <v>45905</v>
      </c>
      <c r="B541" s="2">
        <v>2025</v>
      </c>
      <c r="C541" s="2">
        <f>COUNTIFS(Games[Team],Games[[#This Row],[Team]],Games[Season],Games[[#This Row],[Season]],Games[Date],"&lt;=" &amp; Games[[#This Row],[Date]])</f>
        <v>43</v>
      </c>
      <c r="D541" s="2" t="s">
        <v>79</v>
      </c>
      <c r="E541" s="2" t="s">
        <v>80</v>
      </c>
      <c r="F541" s="1" t="s">
        <v>69</v>
      </c>
      <c r="G541" s="1" t="s">
        <v>75</v>
      </c>
      <c r="H541" s="1" t="s">
        <v>82</v>
      </c>
      <c r="I541" s="2" cm="1">
        <f t="array" ref="I5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1" s="2" cm="1">
        <f t="array" ref="J5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1" s="2">
        <f>Games[[#This Row],[DaysOff]]-Games[[#This Row],[OppDaysOff]]</f>
        <v>1</v>
      </c>
      <c r="L541" s="2">
        <f>Games[[#This Row],[OppDaysOff]]-Games[[#This Row],[DaysOff]]</f>
        <v>-1</v>
      </c>
      <c r="M541" s="1">
        <f>MAX(-16, MIN(16, Games[[#This Row],[RestDiff]]*8))</f>
        <v>8</v>
      </c>
      <c r="N541" s="1">
        <f>MAX(-16, MIN(16, Games[[#This Row],[OppRestDiff]]*8))</f>
        <v>-8</v>
      </c>
      <c r="O541" s="4" cm="1">
        <f t="array" ref="O5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1523.0062095291164</v>
      </c>
      <c r="P541" s="4" cm="1">
        <f t="array" ref="P5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1297.9176134062045</v>
      </c>
      <c r="Q541" s="4">
        <f>1/(1+10^(((Games[[#This Row],[OppPreGmRate]]+IF(Games[[#This Row],[HomeAway]]="A",HCA,0)+Games[[#This Row],[OppRestAdj]])-(Games[[#This Row],[PreGmRate]]+IF(Games[[#This Row],[HomeAway]]="H",HCA,0)+Games[[#This Row],[RestAdj]]))/400))</f>
        <v>0.86661560727346221</v>
      </c>
      <c r="R541" s="1">
        <v>97</v>
      </c>
      <c r="S541" s="1">
        <v>77</v>
      </c>
      <c r="T541" s="1">
        <v>0</v>
      </c>
      <c r="U541" s="1">
        <f>Games[[#This Row],[PointsFor]]-Games[[#This Row],[PointsAgainst]]</f>
        <v>20</v>
      </c>
      <c r="V541" s="1">
        <f>IF(Games[[#This Row],[MOV]]&gt;0,1,IF(Games[[#This Row],[MOV]]=0,0.5,0))</f>
        <v>1</v>
      </c>
      <c r="W541" s="4">
        <f>((ABS(Games[[#This Row],[MOV]])+5)^0.6)/(12+0.01*(ABS(Games[[#This Row],[PreGmRate]]-Games[[#This Row],[OppPreGmRate]])))*IF(Games[[#This Row],[OT]]=1,0.9,1)</f>
        <v>0.48408557377236028</v>
      </c>
      <c r="X541" s="7" cm="1">
        <f t="array" ref="X5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1" s="9">
        <f>MAX(kmin, kmax - 0.15 * MIN(Games[[#This Row],[GamesPlayed]], 82))</f>
        <v>69.55</v>
      </c>
      <c r="Z541" s="4">
        <f>Games[[#This Row],[K]]*Games[[#This Row],[POMult]]</f>
        <v>69.55</v>
      </c>
      <c r="AA541" s="4">
        <f>(Games[[#This Row],[Keff]]*Games[[#This Row],[MOVMult]])*(Games[[#This Row],[Result]]-Games[[#This Row],[ExpectedWin%]])</f>
        <v>4.4908059628428845</v>
      </c>
      <c r="AB541" s="4">
        <f>Games[[#This Row],[PreGmRate]]+Games[[#This Row],[RatingChange]]</f>
        <v>1527.4970154919592</v>
      </c>
      <c r="AC541" s="2">
        <f>IF(Games[[#This Row],[Type]]="R",IF(Games[[#This Row],[Result]]&gt;0.5,1,0),0)</f>
        <v>1</v>
      </c>
      <c r="AD541" s="2">
        <f>IF(Games[[#This Row],[Type]]="R",IF(Games[[#This Row],[Result]]&lt;0.5,1,0),0)</f>
        <v>0</v>
      </c>
      <c r="AE541" s="2">
        <f>IF(AND(Games[[#This Row],[Type]]="P",Games[[#This Row],[Round]]=1),IF(Games[[#This Row],[Result]]&gt;0.5,1,0),0)</f>
        <v>0</v>
      </c>
      <c r="AF541" s="2">
        <f>IF(AND(Games[[#This Row],[Type]]="P",Games[[#This Row],[Round]]=1),IF(Games[[#This Row],[Result]]&lt;0.5,1,0),0)</f>
        <v>0</v>
      </c>
      <c r="AG541" s="2">
        <f>IF(AND(Games[[#This Row],[Type]]="P",Games[[#This Row],[Round]]=2),IF(Games[[#This Row],[Result]]&gt;0.5,1,0),0)</f>
        <v>0</v>
      </c>
      <c r="AH541" s="2">
        <f>IF(AND(Games[[#This Row],[Type]]="P",Games[[#This Row],[Round]]=2),IF(Games[[#This Row],[Result]]&lt;0.5,1,0),0)</f>
        <v>0</v>
      </c>
      <c r="AI541" s="2">
        <f>IF(AND(Games[[#This Row],[Type]]="P",Games[[#This Row],[Round]]=3),IF(Games[[#This Row],[Result]]&gt;0.5,1,0),0)</f>
        <v>0</v>
      </c>
      <c r="AJ541" s="2">
        <f>IF(AND(Games[[#This Row],[Type]]="P",Games[[#This Row],[Round]]=3),IF(Games[[#This Row],[Result]]&lt;0.5,1,0),0)</f>
        <v>0</v>
      </c>
      <c r="AK541" s="2">
        <f>IF(AND(Games[[#This Row],[Type]]="P",Games[[#This Row],[Round]]=4),IF(Games[[#This Row],[Result]]&gt;0.5,1,0),0)</f>
        <v>0</v>
      </c>
      <c r="AL541" s="2">
        <f>IF(AND(Games[[#This Row],[Type]]="P",Games[[#This Row],[Round]]=4),IF(Games[[#This Row],[Result]]&lt;0.5,1,0),0)</f>
        <v>0</v>
      </c>
    </row>
    <row r="542" spans="1:38" x14ac:dyDescent="0.35">
      <c r="A542" s="10">
        <v>45905</v>
      </c>
      <c r="B542" s="2">
        <v>2025</v>
      </c>
      <c r="C542" s="2">
        <f>COUNTIFS(Games[Team],Games[[#This Row],[Team]],Games[Season],Games[[#This Row],[Season]],Games[Date],"&lt;=" &amp; Games[[#This Row],[Date]])</f>
        <v>42</v>
      </c>
      <c r="D542" s="2" t="s">
        <v>79</v>
      </c>
      <c r="E542" s="2" t="s">
        <v>80</v>
      </c>
      <c r="F542" s="1" t="s">
        <v>60</v>
      </c>
      <c r="G542" s="1" t="s">
        <v>71</v>
      </c>
      <c r="H542" s="1" t="s">
        <v>81</v>
      </c>
      <c r="I542" s="2" cm="1">
        <f t="array" ref="I5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2" s="2" cm="1">
        <f t="array" ref="J5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42" s="2">
        <f>Games[[#This Row],[DaysOff]]-Games[[#This Row],[OppDaysOff]]</f>
        <v>-1</v>
      </c>
      <c r="L542" s="2">
        <f>Games[[#This Row],[OppDaysOff]]-Games[[#This Row],[DaysOff]]</f>
        <v>1</v>
      </c>
      <c r="M542" s="1">
        <f>MAX(-16, MIN(16, Games[[#This Row],[RestDiff]]*8))</f>
        <v>-8</v>
      </c>
      <c r="N542" s="1">
        <f>MAX(-16, MIN(16, Games[[#This Row],[OppRestDiff]]*8))</f>
        <v>8</v>
      </c>
      <c r="O542" s="4" cm="1">
        <f t="array" ref="O5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1558.273909149874</v>
      </c>
      <c r="P542" s="4" cm="1">
        <f t="array" ref="P5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1518.7802369651358</v>
      </c>
      <c r="Q542" s="4">
        <f>1/(1+10^(((Games[[#This Row],[OppPreGmRate]]+IF(Games[[#This Row],[HomeAway]]="A",HCA,0)+Games[[#This Row],[OppRestAdj]])-(Games[[#This Row],[PreGmRate]]+IF(Games[[#This Row],[HomeAway]]="H",HCA,0)+Games[[#This Row],[RestAdj]]))/400))</f>
        <v>0.41379413997244757</v>
      </c>
      <c r="R542" s="1">
        <v>84</v>
      </c>
      <c r="S542" s="1">
        <v>76</v>
      </c>
      <c r="T542" s="1">
        <v>0</v>
      </c>
      <c r="U542" s="1">
        <f>Games[[#This Row],[PointsFor]]-Games[[#This Row],[PointsAgainst]]</f>
        <v>8</v>
      </c>
      <c r="V542" s="1">
        <f>IF(Games[[#This Row],[MOV]]&gt;0,1,IF(Games[[#This Row],[MOV]]=0,0.5,0))</f>
        <v>1</v>
      </c>
      <c r="W542" s="4">
        <f>((ABS(Games[[#This Row],[MOV]])+5)^0.6)/(12+0.01*(ABS(Games[[#This Row],[PreGmRate]]-Games[[#This Row],[OppPreGmRate]])))*IF(Games[[#This Row],[OT]]=1,0.9,1)</f>
        <v>0.37594273569970726</v>
      </c>
      <c r="X542" s="7" cm="1">
        <f t="array" ref="X5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2" s="9">
        <f>MAX(kmin, kmax - 0.15 * MIN(Games[[#This Row],[GamesPlayed]], 82))</f>
        <v>69.7</v>
      </c>
      <c r="Z542" s="4">
        <f>Games[[#This Row],[K]]*Games[[#This Row],[POMult]]</f>
        <v>69.7</v>
      </c>
      <c r="AA542" s="4">
        <f>(Games[[#This Row],[Keff]]*Games[[#This Row],[MOVMult]])*(Games[[#This Row],[Result]]-Games[[#This Row],[ExpectedWin%]])</f>
        <v>15.360474478726452</v>
      </c>
      <c r="AB542" s="4">
        <f>Games[[#This Row],[PreGmRate]]+Games[[#This Row],[RatingChange]]</f>
        <v>1573.6343836286005</v>
      </c>
      <c r="AC542" s="2">
        <f>IF(Games[[#This Row],[Type]]="R",IF(Games[[#This Row],[Result]]&gt;0.5,1,0),0)</f>
        <v>1</v>
      </c>
      <c r="AD542" s="2">
        <f>IF(Games[[#This Row],[Type]]="R",IF(Games[[#This Row],[Result]]&lt;0.5,1,0),0)</f>
        <v>0</v>
      </c>
      <c r="AE542" s="2">
        <f>IF(AND(Games[[#This Row],[Type]]="P",Games[[#This Row],[Round]]=1),IF(Games[[#This Row],[Result]]&gt;0.5,1,0),0)</f>
        <v>0</v>
      </c>
      <c r="AF542" s="2">
        <f>IF(AND(Games[[#This Row],[Type]]="P",Games[[#This Row],[Round]]=1),IF(Games[[#This Row],[Result]]&lt;0.5,1,0),0)</f>
        <v>0</v>
      </c>
      <c r="AG542" s="2">
        <f>IF(AND(Games[[#This Row],[Type]]="P",Games[[#This Row],[Round]]=2),IF(Games[[#This Row],[Result]]&gt;0.5,1,0),0)</f>
        <v>0</v>
      </c>
      <c r="AH542" s="2">
        <f>IF(AND(Games[[#This Row],[Type]]="P",Games[[#This Row],[Round]]=2),IF(Games[[#This Row],[Result]]&lt;0.5,1,0),0)</f>
        <v>0</v>
      </c>
      <c r="AI542" s="2">
        <f>IF(AND(Games[[#This Row],[Type]]="P",Games[[#This Row],[Round]]=3),IF(Games[[#This Row],[Result]]&gt;0.5,1,0),0)</f>
        <v>0</v>
      </c>
      <c r="AJ542" s="2">
        <f>IF(AND(Games[[#This Row],[Type]]="P",Games[[#This Row],[Round]]=3),IF(Games[[#This Row],[Result]]&lt;0.5,1,0),0)</f>
        <v>0</v>
      </c>
      <c r="AK542" s="2">
        <f>IF(AND(Games[[#This Row],[Type]]="P",Games[[#This Row],[Round]]=4),IF(Games[[#This Row],[Result]]&gt;0.5,1,0),0)</f>
        <v>0</v>
      </c>
      <c r="AL542" s="2">
        <f>IF(AND(Games[[#This Row],[Type]]="P",Games[[#This Row],[Round]]=4),IF(Games[[#This Row],[Result]]&lt;0.5,1,0),0)</f>
        <v>0</v>
      </c>
    </row>
    <row r="543" spans="1:38" x14ac:dyDescent="0.35">
      <c r="A543" s="10">
        <v>45905</v>
      </c>
      <c r="B543" s="2">
        <v>2025</v>
      </c>
      <c r="C543" s="2">
        <f>COUNTIFS(Games[Team],Games[[#This Row],[Team]],Games[Season],Games[[#This Row],[Season]],Games[Date],"&lt;=" &amp; Games[[#This Row],[Date]])</f>
        <v>43</v>
      </c>
      <c r="D543" s="2" t="s">
        <v>79</v>
      </c>
      <c r="E543" s="2" t="s">
        <v>80</v>
      </c>
      <c r="F543" s="1" t="s">
        <v>71</v>
      </c>
      <c r="G543" s="1" t="s">
        <v>60</v>
      </c>
      <c r="H543" s="1" t="s">
        <v>82</v>
      </c>
      <c r="I543" s="2" cm="1">
        <f t="array" ref="I5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543" s="2" cm="1">
        <f t="array" ref="J5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43" s="2">
        <f>Games[[#This Row],[DaysOff]]-Games[[#This Row],[OppDaysOff]]</f>
        <v>1</v>
      </c>
      <c r="L543" s="2">
        <f>Games[[#This Row],[OppDaysOff]]-Games[[#This Row],[DaysOff]]</f>
        <v>-1</v>
      </c>
      <c r="M543" s="1">
        <f>MAX(-16, MIN(16, Games[[#This Row],[RestDiff]]*8))</f>
        <v>8</v>
      </c>
      <c r="N543" s="1">
        <f>MAX(-16, MIN(16, Games[[#This Row],[OppRestDiff]]*8))</f>
        <v>-8</v>
      </c>
      <c r="O543" s="4" cm="1">
        <f t="array" ref="O5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1518.7802369651358</v>
      </c>
      <c r="P543" s="4" cm="1">
        <f t="array" ref="P5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1558.273909149874</v>
      </c>
      <c r="Q543" s="4">
        <f>1/(1+10^(((Games[[#This Row],[OppPreGmRate]]+IF(Games[[#This Row],[HomeAway]]="A",HCA,0)+Games[[#This Row],[OppRestAdj]])-(Games[[#This Row],[PreGmRate]]+IF(Games[[#This Row],[HomeAway]]="H",HCA,0)+Games[[#This Row],[RestAdj]]))/400))</f>
        <v>0.58620586002755248</v>
      </c>
      <c r="R543" s="1">
        <v>76</v>
      </c>
      <c r="S543" s="1">
        <v>84</v>
      </c>
      <c r="T543" s="1">
        <v>0</v>
      </c>
      <c r="U543" s="1">
        <f>Games[[#This Row],[PointsFor]]-Games[[#This Row],[PointsAgainst]]</f>
        <v>-8</v>
      </c>
      <c r="V543" s="1">
        <f>IF(Games[[#This Row],[MOV]]&gt;0,1,IF(Games[[#This Row],[MOV]]=0,0.5,0))</f>
        <v>0</v>
      </c>
      <c r="W543" s="4">
        <f>((ABS(Games[[#This Row],[MOV]])+5)^0.6)/(12+0.01*(ABS(Games[[#This Row],[PreGmRate]]-Games[[#This Row],[OppPreGmRate]])))*IF(Games[[#This Row],[OT]]=1,0.9,1)</f>
        <v>0.37594273569970726</v>
      </c>
      <c r="X543" s="7" cm="1">
        <f t="array" ref="X5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3" s="9">
        <f>MAX(kmin, kmax - 0.15 * MIN(Games[[#This Row],[GamesPlayed]], 82))</f>
        <v>69.55</v>
      </c>
      <c r="Z543" s="4">
        <f>Games[[#This Row],[K]]*Games[[#This Row],[POMult]]</f>
        <v>69.55</v>
      </c>
      <c r="AA543" s="4">
        <f>(Games[[#This Row],[Keff]]*Games[[#This Row],[MOVMult]])*(Games[[#This Row],[Result]]-Games[[#This Row],[ExpectedWin%]])</f>
        <v>-15.327417503521161</v>
      </c>
      <c r="AB543" s="4">
        <f>Games[[#This Row],[PreGmRate]]+Games[[#This Row],[RatingChange]]</f>
        <v>1503.4528194616146</v>
      </c>
      <c r="AC543" s="2">
        <f>IF(Games[[#This Row],[Type]]="R",IF(Games[[#This Row],[Result]]&gt;0.5,1,0),0)</f>
        <v>0</v>
      </c>
      <c r="AD543" s="2">
        <f>IF(Games[[#This Row],[Type]]="R",IF(Games[[#This Row],[Result]]&lt;0.5,1,0),0)</f>
        <v>1</v>
      </c>
      <c r="AE543" s="2">
        <f>IF(AND(Games[[#This Row],[Type]]="P",Games[[#This Row],[Round]]=1),IF(Games[[#This Row],[Result]]&gt;0.5,1,0),0)</f>
        <v>0</v>
      </c>
      <c r="AF543" s="2">
        <f>IF(AND(Games[[#This Row],[Type]]="P",Games[[#This Row],[Round]]=1),IF(Games[[#This Row],[Result]]&lt;0.5,1,0),0)</f>
        <v>0</v>
      </c>
      <c r="AG543" s="2">
        <f>IF(AND(Games[[#This Row],[Type]]="P",Games[[#This Row],[Round]]=2),IF(Games[[#This Row],[Result]]&gt;0.5,1,0),0)</f>
        <v>0</v>
      </c>
      <c r="AH543" s="2">
        <f>IF(AND(Games[[#This Row],[Type]]="P",Games[[#This Row],[Round]]=2),IF(Games[[#This Row],[Result]]&lt;0.5,1,0),0)</f>
        <v>0</v>
      </c>
      <c r="AI543" s="2">
        <f>IF(AND(Games[[#This Row],[Type]]="P",Games[[#This Row],[Round]]=3),IF(Games[[#This Row],[Result]]&gt;0.5,1,0),0)</f>
        <v>0</v>
      </c>
      <c r="AJ543" s="2">
        <f>IF(AND(Games[[#This Row],[Type]]="P",Games[[#This Row],[Round]]=3),IF(Games[[#This Row],[Result]]&lt;0.5,1,0),0)</f>
        <v>0</v>
      </c>
      <c r="AK543" s="2">
        <f>IF(AND(Games[[#This Row],[Type]]="P",Games[[#This Row],[Round]]=4),IF(Games[[#This Row],[Result]]&gt;0.5,1,0),0)</f>
        <v>0</v>
      </c>
      <c r="AL543" s="2">
        <f>IF(AND(Games[[#This Row],[Type]]="P",Games[[#This Row],[Round]]=4),IF(Games[[#This Row],[Result]]&lt;0.5,1,0),0)</f>
        <v>0</v>
      </c>
    </row>
    <row r="544" spans="1:38" x14ac:dyDescent="0.35">
      <c r="A544" s="10">
        <v>45906</v>
      </c>
      <c r="B544" s="2">
        <v>2025</v>
      </c>
      <c r="C544" s="2">
        <f>COUNTIFS(Games[Team],Games[[#This Row],[Team]],Games[Season],Games[[#This Row],[Season]],Games[Date],"&lt;=" &amp; Games[[#This Row],[Date]])</f>
        <v>42</v>
      </c>
      <c r="D544" s="2" t="s">
        <v>79</v>
      </c>
      <c r="E544" s="2" t="s">
        <v>80</v>
      </c>
      <c r="F544" s="1" t="s">
        <v>40</v>
      </c>
      <c r="G544" s="1" t="s">
        <v>74</v>
      </c>
      <c r="H544" s="1" t="s">
        <v>81</v>
      </c>
      <c r="I544" s="2" cm="1">
        <f t="array" ref="I5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4" s="2" cm="1">
        <f t="array" ref="J5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44" s="2">
        <f>Games[[#This Row],[DaysOff]]-Games[[#This Row],[OppDaysOff]]</f>
        <v>-1</v>
      </c>
      <c r="L544" s="2">
        <f>Games[[#This Row],[OppDaysOff]]-Games[[#This Row],[DaysOff]]</f>
        <v>1</v>
      </c>
      <c r="M544" s="1">
        <f>MAX(-16, MIN(16, Games[[#This Row],[RestDiff]]*8))</f>
        <v>-8</v>
      </c>
      <c r="N544" s="1">
        <f>MAX(-16, MIN(16, Games[[#This Row],[OppRestDiff]]*8))</f>
        <v>8</v>
      </c>
      <c r="O544" s="4" cm="1">
        <f t="array" ref="O5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1603.7356421359443</v>
      </c>
      <c r="P544" s="4" cm="1">
        <f t="array" ref="P5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1360.6242585346727</v>
      </c>
      <c r="Q544" s="4">
        <f>1/(1+10^(((Games[[#This Row],[OppPreGmRate]]+IF(Games[[#This Row],[HomeAway]]="A",HCA,0)+Games[[#This Row],[OppRestAdj]])-(Games[[#This Row],[PreGmRate]]+IF(Games[[#This Row],[HomeAway]]="H",HCA,0)+Games[[#This Row],[RestAdj]]))/400))</f>
        <v>0.69504563149791887</v>
      </c>
      <c r="R544" s="1">
        <v>84</v>
      </c>
      <c r="S544" s="1">
        <v>87</v>
      </c>
      <c r="T544" s="1">
        <v>0</v>
      </c>
      <c r="U544" s="1">
        <f>Games[[#This Row],[PointsFor]]-Games[[#This Row],[PointsAgainst]]</f>
        <v>-3</v>
      </c>
      <c r="V544" s="1">
        <f>IF(Games[[#This Row],[MOV]]&gt;0,1,IF(Games[[#This Row],[MOV]]=0,0.5,0))</f>
        <v>0</v>
      </c>
      <c r="W544" s="4">
        <f>((ABS(Games[[#This Row],[MOV]])+5)^0.6)/(12+0.01*(ABS(Games[[#This Row],[PreGmRate]]-Games[[#This Row],[OppPreGmRate]])))*IF(Games[[#This Row],[OT]]=1,0.9,1)</f>
        <v>0.2412982319143441</v>
      </c>
      <c r="X544" s="7" cm="1">
        <f t="array" ref="X5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4" s="9">
        <f>MAX(kmin, kmax - 0.15 * MIN(Games[[#This Row],[GamesPlayed]], 82))</f>
        <v>69.7</v>
      </c>
      <c r="Z544" s="4">
        <f>Games[[#This Row],[K]]*Games[[#This Row],[POMult]]</f>
        <v>69.7</v>
      </c>
      <c r="AA544" s="4">
        <f>(Games[[#This Row],[Keff]]*Games[[#This Row],[MOVMult]])*(Games[[#This Row],[Result]]-Games[[#This Row],[ExpectedWin%]])</f>
        <v>-11.689615754022491</v>
      </c>
      <c r="AB544" s="4">
        <f>Games[[#This Row],[PreGmRate]]+Games[[#This Row],[RatingChange]]</f>
        <v>1592.0460263819218</v>
      </c>
      <c r="AC544" s="2">
        <f>IF(Games[[#This Row],[Type]]="R",IF(Games[[#This Row],[Result]]&gt;0.5,1,0),0)</f>
        <v>0</v>
      </c>
      <c r="AD544" s="2">
        <f>IF(Games[[#This Row],[Type]]="R",IF(Games[[#This Row],[Result]]&lt;0.5,1,0),0)</f>
        <v>1</v>
      </c>
      <c r="AE544" s="2">
        <f>IF(AND(Games[[#This Row],[Type]]="P",Games[[#This Row],[Round]]=1),IF(Games[[#This Row],[Result]]&gt;0.5,1,0),0)</f>
        <v>0</v>
      </c>
      <c r="AF544" s="2">
        <f>IF(AND(Games[[#This Row],[Type]]="P",Games[[#This Row],[Round]]=1),IF(Games[[#This Row],[Result]]&lt;0.5,1,0),0)</f>
        <v>0</v>
      </c>
      <c r="AG544" s="2">
        <f>IF(AND(Games[[#This Row],[Type]]="P",Games[[#This Row],[Round]]=2),IF(Games[[#This Row],[Result]]&gt;0.5,1,0),0)</f>
        <v>0</v>
      </c>
      <c r="AH544" s="2">
        <f>IF(AND(Games[[#This Row],[Type]]="P",Games[[#This Row],[Round]]=2),IF(Games[[#This Row],[Result]]&lt;0.5,1,0),0)</f>
        <v>0</v>
      </c>
      <c r="AI544" s="2">
        <f>IF(AND(Games[[#This Row],[Type]]="P",Games[[#This Row],[Round]]=3),IF(Games[[#This Row],[Result]]&gt;0.5,1,0),0)</f>
        <v>0</v>
      </c>
      <c r="AJ544" s="2">
        <f>IF(AND(Games[[#This Row],[Type]]="P",Games[[#This Row],[Round]]=3),IF(Games[[#This Row],[Result]]&lt;0.5,1,0),0)</f>
        <v>0</v>
      </c>
      <c r="AK544" s="2">
        <f>IF(AND(Games[[#This Row],[Type]]="P",Games[[#This Row],[Round]]=4),IF(Games[[#This Row],[Result]]&gt;0.5,1,0),0)</f>
        <v>0</v>
      </c>
      <c r="AL544" s="2">
        <f>IF(AND(Games[[#This Row],[Type]]="P",Games[[#This Row],[Round]]=4),IF(Games[[#This Row],[Result]]&lt;0.5,1,0),0)</f>
        <v>0</v>
      </c>
    </row>
    <row r="545" spans="1:38" x14ac:dyDescent="0.35">
      <c r="A545" s="10">
        <v>45906</v>
      </c>
      <c r="B545" s="2">
        <v>2025</v>
      </c>
      <c r="C545" s="2">
        <f>COUNTIFS(Games[Team],Games[[#This Row],[Team]],Games[Season],Games[[#This Row],[Season]],Games[Date],"&lt;=" &amp; Games[[#This Row],[Date]])</f>
        <v>42</v>
      </c>
      <c r="D545" s="2" t="s">
        <v>79</v>
      </c>
      <c r="E545" s="2" t="s">
        <v>80</v>
      </c>
      <c r="F545" s="1" t="s">
        <v>74</v>
      </c>
      <c r="G545" s="1" t="s">
        <v>40</v>
      </c>
      <c r="H545" s="1" t="s">
        <v>82</v>
      </c>
      <c r="I545" s="2" cm="1">
        <f t="array" ref="I5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5" s="2" cm="1">
        <f t="array" ref="J5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5" s="2">
        <f>Games[[#This Row],[DaysOff]]-Games[[#This Row],[OppDaysOff]]</f>
        <v>1</v>
      </c>
      <c r="L545" s="2">
        <f>Games[[#This Row],[OppDaysOff]]-Games[[#This Row],[DaysOff]]</f>
        <v>-1</v>
      </c>
      <c r="M545" s="1">
        <f>MAX(-16, MIN(16, Games[[#This Row],[RestDiff]]*8))</f>
        <v>8</v>
      </c>
      <c r="N545" s="1">
        <f>MAX(-16, MIN(16, Games[[#This Row],[OppRestDiff]]*8))</f>
        <v>-8</v>
      </c>
      <c r="O545" s="4" cm="1">
        <f t="array" ref="O5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1360.6242585346727</v>
      </c>
      <c r="P545" s="4" cm="1">
        <f t="array" ref="P5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1603.7356421359443</v>
      </c>
      <c r="Q545" s="4">
        <f>1/(1+10^(((Games[[#This Row],[OppPreGmRate]]+IF(Games[[#This Row],[HomeAway]]="A",HCA,0)+Games[[#This Row],[OppRestAdj]])-(Games[[#This Row],[PreGmRate]]+IF(Games[[#This Row],[HomeAway]]="H",HCA,0)+Games[[#This Row],[RestAdj]]))/400))</f>
        <v>0.30495436850208113</v>
      </c>
      <c r="R545" s="1">
        <v>87</v>
      </c>
      <c r="S545" s="1">
        <v>84</v>
      </c>
      <c r="T545" s="1">
        <v>0</v>
      </c>
      <c r="U545" s="1">
        <f>Games[[#This Row],[PointsFor]]-Games[[#This Row],[PointsAgainst]]</f>
        <v>3</v>
      </c>
      <c r="V545" s="1">
        <f>IF(Games[[#This Row],[MOV]]&gt;0,1,IF(Games[[#This Row],[MOV]]=0,0.5,0))</f>
        <v>1</v>
      </c>
      <c r="W545" s="4">
        <f>((ABS(Games[[#This Row],[MOV]])+5)^0.6)/(12+0.01*(ABS(Games[[#This Row],[PreGmRate]]-Games[[#This Row],[OppPreGmRate]])))*IF(Games[[#This Row],[OT]]=1,0.9,1)</f>
        <v>0.2412982319143441</v>
      </c>
      <c r="X545" s="7" cm="1">
        <f t="array" ref="X5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5" s="9">
        <f>MAX(kmin, kmax - 0.15 * MIN(Games[[#This Row],[GamesPlayed]], 82))</f>
        <v>69.7</v>
      </c>
      <c r="Z545" s="4">
        <f>Games[[#This Row],[K]]*Games[[#This Row],[POMult]]</f>
        <v>69.7</v>
      </c>
      <c r="AA545" s="4">
        <f>(Games[[#This Row],[Keff]]*Games[[#This Row],[MOVMult]])*(Games[[#This Row],[Result]]-Games[[#This Row],[ExpectedWin%]])</f>
        <v>11.689615754022491</v>
      </c>
      <c r="AB545" s="4">
        <f>Games[[#This Row],[PreGmRate]]+Games[[#This Row],[RatingChange]]</f>
        <v>1372.3138742886952</v>
      </c>
      <c r="AC545" s="2">
        <f>IF(Games[[#This Row],[Type]]="R",IF(Games[[#This Row],[Result]]&gt;0.5,1,0),0)</f>
        <v>1</v>
      </c>
      <c r="AD545" s="2">
        <f>IF(Games[[#This Row],[Type]]="R",IF(Games[[#This Row],[Result]]&lt;0.5,1,0),0)</f>
        <v>0</v>
      </c>
      <c r="AE545" s="2">
        <f>IF(AND(Games[[#This Row],[Type]]="P",Games[[#This Row],[Round]]=1),IF(Games[[#This Row],[Result]]&gt;0.5,1,0),0)</f>
        <v>0</v>
      </c>
      <c r="AF545" s="2">
        <f>IF(AND(Games[[#This Row],[Type]]="P",Games[[#This Row],[Round]]=1),IF(Games[[#This Row],[Result]]&lt;0.5,1,0),0)</f>
        <v>0</v>
      </c>
      <c r="AG545" s="2">
        <f>IF(AND(Games[[#This Row],[Type]]="P",Games[[#This Row],[Round]]=2),IF(Games[[#This Row],[Result]]&gt;0.5,1,0),0)</f>
        <v>0</v>
      </c>
      <c r="AH545" s="2">
        <f>IF(AND(Games[[#This Row],[Type]]="P",Games[[#This Row],[Round]]=2),IF(Games[[#This Row],[Result]]&lt;0.5,1,0),0)</f>
        <v>0</v>
      </c>
      <c r="AI545" s="2">
        <f>IF(AND(Games[[#This Row],[Type]]="P",Games[[#This Row],[Round]]=3),IF(Games[[#This Row],[Result]]&gt;0.5,1,0),0)</f>
        <v>0</v>
      </c>
      <c r="AJ545" s="2">
        <f>IF(AND(Games[[#This Row],[Type]]="P",Games[[#This Row],[Round]]=3),IF(Games[[#This Row],[Result]]&lt;0.5,1,0),0)</f>
        <v>0</v>
      </c>
      <c r="AK545" s="2">
        <f>IF(AND(Games[[#This Row],[Type]]="P",Games[[#This Row],[Round]]=4),IF(Games[[#This Row],[Result]]&gt;0.5,1,0),0)</f>
        <v>0</v>
      </c>
      <c r="AL545" s="2">
        <f>IF(AND(Games[[#This Row],[Type]]="P",Games[[#This Row],[Round]]=4),IF(Games[[#This Row],[Result]]&lt;0.5,1,0),0)</f>
        <v>0</v>
      </c>
    </row>
    <row r="546" spans="1:38" x14ac:dyDescent="0.35">
      <c r="A546" s="10">
        <v>45906</v>
      </c>
      <c r="B546" s="2">
        <v>2025</v>
      </c>
      <c r="C546" s="2">
        <f>COUNTIFS(Games[Team],Games[[#This Row],[Team]],Games[Season],Games[[#This Row],[Season]],Games[Date],"&lt;=" &amp; Games[[#This Row],[Date]])</f>
        <v>43</v>
      </c>
      <c r="D546" s="2" t="s">
        <v>79</v>
      </c>
      <c r="E546" s="2" t="s">
        <v>80</v>
      </c>
      <c r="F546" s="1" t="s">
        <v>67</v>
      </c>
      <c r="G546" s="1" t="s">
        <v>88</v>
      </c>
      <c r="H546" s="1" t="s">
        <v>81</v>
      </c>
      <c r="I546" s="2" cm="1">
        <f t="array" ref="I5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6" s="2" cm="1">
        <f t="array" ref="J5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6" s="2">
        <f>Games[[#This Row],[DaysOff]]-Games[[#This Row],[OppDaysOff]]</f>
        <v>0</v>
      </c>
      <c r="L546" s="2">
        <f>Games[[#This Row],[OppDaysOff]]-Games[[#This Row],[DaysOff]]</f>
        <v>0</v>
      </c>
      <c r="M546" s="1">
        <f>MAX(-16, MIN(16, Games[[#This Row],[RestDiff]]*8))</f>
        <v>0</v>
      </c>
      <c r="N546" s="1">
        <f>MAX(-16, MIN(16, Games[[#This Row],[OppRestDiff]]*8))</f>
        <v>0</v>
      </c>
      <c r="O546" s="4" cm="1">
        <f t="array" ref="O5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1681.8992328873305</v>
      </c>
      <c r="P546" s="4" cm="1">
        <f t="array" ref="P5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1542.739202273764</v>
      </c>
      <c r="Q546" s="4">
        <f>1/(1+10^(((Games[[#This Row],[OppPreGmRate]]+IF(Games[[#This Row],[HomeAway]]="A",HCA,0)+Games[[#This Row],[OppRestAdj]])-(Games[[#This Row],[PreGmRate]]+IF(Games[[#This Row],[HomeAway]]="H",HCA,0)+Games[[#This Row],[RestAdj]]))/400))</f>
        <v>0.57872136239437177</v>
      </c>
      <c r="R546" s="1">
        <v>78</v>
      </c>
      <c r="S546" s="1">
        <v>72</v>
      </c>
      <c r="T546" s="1">
        <v>0</v>
      </c>
      <c r="U546" s="1">
        <f>Games[[#This Row],[PointsFor]]-Games[[#This Row],[PointsAgainst]]</f>
        <v>6</v>
      </c>
      <c r="V546" s="1">
        <f>IF(Games[[#This Row],[MOV]]&gt;0,1,IF(Games[[#This Row],[MOV]]=0,0.5,0))</f>
        <v>1</v>
      </c>
      <c r="W546" s="4">
        <f>((ABS(Games[[#This Row],[MOV]])+5)^0.6)/(12+0.01*(ABS(Games[[#This Row],[PreGmRate]]-Games[[#This Row],[OppPreGmRate]])))*IF(Games[[#This Row],[OT]]=1,0.9,1)</f>
        <v>0.31477710181960356</v>
      </c>
      <c r="X546" s="7" cm="1">
        <f t="array" ref="X5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6" s="9">
        <f>MAX(kmin, kmax - 0.15 * MIN(Games[[#This Row],[GamesPlayed]], 82))</f>
        <v>69.55</v>
      </c>
      <c r="Z546" s="4">
        <f>Games[[#This Row],[K]]*Games[[#This Row],[POMult]]</f>
        <v>69.55</v>
      </c>
      <c r="AA546" s="4">
        <f>(Games[[#This Row],[Keff]]*Games[[#This Row],[MOVMult]])*(Games[[#This Row],[Result]]-Games[[#This Row],[ExpectedWin%]])</f>
        <v>9.2229468114089439</v>
      </c>
      <c r="AB546" s="4">
        <f>Games[[#This Row],[PreGmRate]]+Games[[#This Row],[RatingChange]]</f>
        <v>1691.1221796987395</v>
      </c>
      <c r="AC546" s="2">
        <f>IF(Games[[#This Row],[Type]]="R",IF(Games[[#This Row],[Result]]&gt;0.5,1,0),0)</f>
        <v>1</v>
      </c>
      <c r="AD546" s="2">
        <f>IF(Games[[#This Row],[Type]]="R",IF(Games[[#This Row],[Result]]&lt;0.5,1,0),0)</f>
        <v>0</v>
      </c>
      <c r="AE546" s="2">
        <f>IF(AND(Games[[#This Row],[Type]]="P",Games[[#This Row],[Round]]=1),IF(Games[[#This Row],[Result]]&gt;0.5,1,0),0)</f>
        <v>0</v>
      </c>
      <c r="AF546" s="2">
        <f>IF(AND(Games[[#This Row],[Type]]="P",Games[[#This Row],[Round]]=1),IF(Games[[#This Row],[Result]]&lt;0.5,1,0),0)</f>
        <v>0</v>
      </c>
      <c r="AG546" s="2">
        <f>IF(AND(Games[[#This Row],[Type]]="P",Games[[#This Row],[Round]]=2),IF(Games[[#This Row],[Result]]&gt;0.5,1,0),0)</f>
        <v>0</v>
      </c>
      <c r="AH546" s="2">
        <f>IF(AND(Games[[#This Row],[Type]]="P",Games[[#This Row],[Round]]=2),IF(Games[[#This Row],[Result]]&lt;0.5,1,0),0)</f>
        <v>0</v>
      </c>
      <c r="AI546" s="2">
        <f>IF(AND(Games[[#This Row],[Type]]="P",Games[[#This Row],[Round]]=3),IF(Games[[#This Row],[Result]]&gt;0.5,1,0),0)</f>
        <v>0</v>
      </c>
      <c r="AJ546" s="2">
        <f>IF(AND(Games[[#This Row],[Type]]="P",Games[[#This Row],[Round]]=3),IF(Games[[#This Row],[Result]]&lt;0.5,1,0),0)</f>
        <v>0</v>
      </c>
      <c r="AK546" s="2">
        <f>IF(AND(Games[[#This Row],[Type]]="P",Games[[#This Row],[Round]]=4),IF(Games[[#This Row],[Result]]&gt;0.5,1,0),0)</f>
        <v>0</v>
      </c>
      <c r="AL546" s="2">
        <f>IF(AND(Games[[#This Row],[Type]]="P",Games[[#This Row],[Round]]=4),IF(Games[[#This Row],[Result]]&lt;0.5,1,0),0)</f>
        <v>0</v>
      </c>
    </row>
    <row r="547" spans="1:38" x14ac:dyDescent="0.35">
      <c r="A547" s="10">
        <v>45906</v>
      </c>
      <c r="B547" s="2">
        <v>2025</v>
      </c>
      <c r="C547" s="2">
        <f>COUNTIFS(Games[Team],Games[[#This Row],[Team]],Games[Season],Games[[#This Row],[Season]],Games[Date],"&lt;=" &amp; Games[[#This Row],[Date]])</f>
        <v>42</v>
      </c>
      <c r="D547" s="2" t="s">
        <v>79</v>
      </c>
      <c r="E547" s="2" t="s">
        <v>80</v>
      </c>
      <c r="F547" s="1" t="s">
        <v>88</v>
      </c>
      <c r="G547" s="1" t="s">
        <v>67</v>
      </c>
      <c r="H547" s="1" t="s">
        <v>82</v>
      </c>
      <c r="I547" s="2" cm="1">
        <f t="array" ref="I5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7" s="2" cm="1">
        <f t="array" ref="J5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7" s="2">
        <f>Games[[#This Row],[DaysOff]]-Games[[#This Row],[OppDaysOff]]</f>
        <v>0</v>
      </c>
      <c r="L547" s="2">
        <f>Games[[#This Row],[OppDaysOff]]-Games[[#This Row],[DaysOff]]</f>
        <v>0</v>
      </c>
      <c r="M547" s="1">
        <f>MAX(-16, MIN(16, Games[[#This Row],[RestDiff]]*8))</f>
        <v>0</v>
      </c>
      <c r="N547" s="1">
        <f>MAX(-16, MIN(16, Games[[#This Row],[OppRestDiff]]*8))</f>
        <v>0</v>
      </c>
      <c r="O547" s="4" cm="1">
        <f t="array" ref="O5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1542.739202273764</v>
      </c>
      <c r="P547" s="4" cm="1">
        <f t="array" ref="P5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1681.8992328873305</v>
      </c>
      <c r="Q547" s="4">
        <f>1/(1+10^(((Games[[#This Row],[OppPreGmRate]]+IF(Games[[#This Row],[HomeAway]]="A",HCA,0)+Games[[#This Row],[OppRestAdj]])-(Games[[#This Row],[PreGmRate]]+IF(Games[[#This Row],[HomeAway]]="H",HCA,0)+Games[[#This Row],[RestAdj]]))/400))</f>
        <v>0.42127863760562811</v>
      </c>
      <c r="R547" s="1">
        <v>72</v>
      </c>
      <c r="S547" s="1">
        <v>78</v>
      </c>
      <c r="T547" s="1">
        <v>0</v>
      </c>
      <c r="U547" s="1">
        <f>Games[[#This Row],[PointsFor]]-Games[[#This Row],[PointsAgainst]]</f>
        <v>-6</v>
      </c>
      <c r="V547" s="1">
        <f>IF(Games[[#This Row],[MOV]]&gt;0,1,IF(Games[[#This Row],[MOV]]=0,0.5,0))</f>
        <v>0</v>
      </c>
      <c r="W547" s="4">
        <f>((ABS(Games[[#This Row],[MOV]])+5)^0.6)/(12+0.01*(ABS(Games[[#This Row],[PreGmRate]]-Games[[#This Row],[OppPreGmRate]])))*IF(Games[[#This Row],[OT]]=1,0.9,1)</f>
        <v>0.31477710181960356</v>
      </c>
      <c r="X547" s="7" cm="1">
        <f t="array" ref="X5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7" s="9">
        <f>MAX(kmin, kmax - 0.15 * MIN(Games[[#This Row],[GamesPlayed]], 82))</f>
        <v>69.7</v>
      </c>
      <c r="Z547" s="4">
        <f>Games[[#This Row],[K]]*Games[[#This Row],[POMult]]</f>
        <v>69.7</v>
      </c>
      <c r="AA547" s="4">
        <f>(Games[[#This Row],[Keff]]*Games[[#This Row],[MOVMult]])*(Games[[#This Row],[Result]]-Games[[#This Row],[ExpectedWin%]])</f>
        <v>-9.2428381416995435</v>
      </c>
      <c r="AB547" s="4">
        <f>Games[[#This Row],[PreGmRate]]+Games[[#This Row],[RatingChange]]</f>
        <v>1533.4963641320644</v>
      </c>
      <c r="AC547" s="2">
        <f>IF(Games[[#This Row],[Type]]="R",IF(Games[[#This Row],[Result]]&gt;0.5,1,0),0)</f>
        <v>0</v>
      </c>
      <c r="AD547" s="2">
        <f>IF(Games[[#This Row],[Type]]="R",IF(Games[[#This Row],[Result]]&lt;0.5,1,0),0)</f>
        <v>1</v>
      </c>
      <c r="AE547" s="2">
        <f>IF(AND(Games[[#This Row],[Type]]="P",Games[[#This Row],[Round]]=1),IF(Games[[#This Row],[Result]]&gt;0.5,1,0),0)</f>
        <v>0</v>
      </c>
      <c r="AF547" s="2">
        <f>IF(AND(Games[[#This Row],[Type]]="P",Games[[#This Row],[Round]]=1),IF(Games[[#This Row],[Result]]&lt;0.5,1,0),0)</f>
        <v>0</v>
      </c>
      <c r="AG547" s="2">
        <f>IF(AND(Games[[#This Row],[Type]]="P",Games[[#This Row],[Round]]=2),IF(Games[[#This Row],[Result]]&gt;0.5,1,0),0)</f>
        <v>0</v>
      </c>
      <c r="AH547" s="2">
        <f>IF(AND(Games[[#This Row],[Type]]="P",Games[[#This Row],[Round]]=2),IF(Games[[#This Row],[Result]]&lt;0.5,1,0),0)</f>
        <v>0</v>
      </c>
      <c r="AI547" s="2">
        <f>IF(AND(Games[[#This Row],[Type]]="P",Games[[#This Row],[Round]]=3),IF(Games[[#This Row],[Result]]&gt;0.5,1,0),0)</f>
        <v>0</v>
      </c>
      <c r="AJ547" s="2">
        <f>IF(AND(Games[[#This Row],[Type]]="P",Games[[#This Row],[Round]]=3),IF(Games[[#This Row],[Result]]&lt;0.5,1,0),0)</f>
        <v>0</v>
      </c>
      <c r="AK547" s="2">
        <f>IF(AND(Games[[#This Row],[Type]]="P",Games[[#This Row],[Round]]=4),IF(Games[[#This Row],[Result]]&gt;0.5,1,0),0)</f>
        <v>0</v>
      </c>
      <c r="AL547" s="2">
        <f>IF(AND(Games[[#This Row],[Type]]="P",Games[[#This Row],[Round]]=4),IF(Games[[#This Row],[Result]]&lt;0.5,1,0),0)</f>
        <v>0</v>
      </c>
    </row>
    <row r="548" spans="1:38" x14ac:dyDescent="0.35">
      <c r="A548" s="10">
        <v>45907</v>
      </c>
      <c r="B548" s="2">
        <v>2025</v>
      </c>
      <c r="C548" s="2">
        <f>COUNTIFS(Games[Team],Games[[#This Row],[Team]],Games[Season],Games[[#This Row],[Season]],Games[Date],"&lt;=" &amp; Games[[#This Row],[Date]])</f>
        <v>43</v>
      </c>
      <c r="D548" s="2" t="s">
        <v>79</v>
      </c>
      <c r="E548" s="2" t="s">
        <v>80</v>
      </c>
      <c r="F548" s="1" t="s">
        <v>85</v>
      </c>
      <c r="G548" s="1" t="s">
        <v>63</v>
      </c>
      <c r="H548" s="1" t="s">
        <v>81</v>
      </c>
      <c r="I548" s="2" cm="1">
        <f t="array" ref="I5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8" s="2" cm="1">
        <f t="array" ref="J5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8" s="2">
        <f>Games[[#This Row],[DaysOff]]-Games[[#This Row],[OppDaysOff]]</f>
        <v>1</v>
      </c>
      <c r="L548" s="2">
        <f>Games[[#This Row],[OppDaysOff]]-Games[[#This Row],[DaysOff]]</f>
        <v>-1</v>
      </c>
      <c r="M548" s="1">
        <f>MAX(-16, MIN(16, Games[[#This Row],[RestDiff]]*8))</f>
        <v>8</v>
      </c>
      <c r="N548" s="1">
        <f>MAX(-16, MIN(16, Games[[#This Row],[OppRestDiff]]*8))</f>
        <v>-8</v>
      </c>
      <c r="O548" s="4" cm="1">
        <f t="array" ref="O5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1291.3868029701582</v>
      </c>
      <c r="P548" s="4" cm="1">
        <f t="array" ref="P5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1448.0247974874444</v>
      </c>
      <c r="Q548" s="4">
        <f>1/(1+10^(((Games[[#This Row],[OppPreGmRate]]+IF(Games[[#This Row],[HomeAway]]="A",HCA,0)+Games[[#This Row],[OppRestAdj]])-(Games[[#This Row],[PreGmRate]]+IF(Games[[#This Row],[HomeAway]]="H",HCA,0)+Games[[#This Row],[RestAdj]]))/400))</f>
        <v>0.2153251454582342</v>
      </c>
      <c r="R548" s="1">
        <v>77</v>
      </c>
      <c r="S548" s="1">
        <v>91</v>
      </c>
      <c r="T548" s="1">
        <v>0</v>
      </c>
      <c r="U548" s="1">
        <f>Games[[#This Row],[PointsFor]]-Games[[#This Row],[PointsAgainst]]</f>
        <v>-14</v>
      </c>
      <c r="V548" s="1">
        <f>IF(Games[[#This Row],[MOV]]&gt;0,1,IF(Games[[#This Row],[MOV]]=0,0.5,0))</f>
        <v>0</v>
      </c>
      <c r="W548" s="4">
        <f>((ABS(Games[[#This Row],[MOV]])+5)^0.6)/(12+0.01*(ABS(Games[[#This Row],[PreGmRate]]-Games[[#This Row],[OppPreGmRate]])))*IF(Games[[#This Row],[OT]]=1,0.9,1)</f>
        <v>0.43130866642808435</v>
      </c>
      <c r="X548" s="7" cm="1">
        <f t="array" ref="X5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8" s="9">
        <f>MAX(kmin, kmax - 0.15 * MIN(Games[[#This Row],[GamesPlayed]], 82))</f>
        <v>69.55</v>
      </c>
      <c r="Z548" s="4">
        <f>Games[[#This Row],[K]]*Games[[#This Row],[POMult]]</f>
        <v>69.55</v>
      </c>
      <c r="AA548" s="4">
        <f>(Games[[#This Row],[Keff]]*Games[[#This Row],[MOVMult]])*(Games[[#This Row],[Result]]-Games[[#This Row],[ExpectedWin%]])</f>
        <v>-6.4592198729204879</v>
      </c>
      <c r="AB548" s="4">
        <f>Games[[#This Row],[PreGmRate]]+Games[[#This Row],[RatingChange]]</f>
        <v>1284.9275830972376</v>
      </c>
      <c r="AC548" s="2">
        <f>IF(Games[[#This Row],[Type]]="R",IF(Games[[#This Row],[Result]]&gt;0.5,1,0),0)</f>
        <v>0</v>
      </c>
      <c r="AD548" s="2">
        <f>IF(Games[[#This Row],[Type]]="R",IF(Games[[#This Row],[Result]]&lt;0.5,1,0),0)</f>
        <v>1</v>
      </c>
      <c r="AE548" s="2">
        <f>IF(AND(Games[[#This Row],[Type]]="P",Games[[#This Row],[Round]]=1),IF(Games[[#This Row],[Result]]&gt;0.5,1,0),0)</f>
        <v>0</v>
      </c>
      <c r="AF548" s="2">
        <f>IF(AND(Games[[#This Row],[Type]]="P",Games[[#This Row],[Round]]=1),IF(Games[[#This Row],[Result]]&lt;0.5,1,0),0)</f>
        <v>0</v>
      </c>
      <c r="AG548" s="2">
        <f>IF(AND(Games[[#This Row],[Type]]="P",Games[[#This Row],[Round]]=2),IF(Games[[#This Row],[Result]]&gt;0.5,1,0),0)</f>
        <v>0</v>
      </c>
      <c r="AH548" s="2">
        <f>IF(AND(Games[[#This Row],[Type]]="P",Games[[#This Row],[Round]]=2),IF(Games[[#This Row],[Result]]&lt;0.5,1,0),0)</f>
        <v>0</v>
      </c>
      <c r="AI548" s="2">
        <f>IF(AND(Games[[#This Row],[Type]]="P",Games[[#This Row],[Round]]=3),IF(Games[[#This Row],[Result]]&gt;0.5,1,0),0)</f>
        <v>0</v>
      </c>
      <c r="AJ548" s="2">
        <f>IF(AND(Games[[#This Row],[Type]]="P",Games[[#This Row],[Round]]=3),IF(Games[[#This Row],[Result]]&lt;0.5,1,0),0)</f>
        <v>0</v>
      </c>
      <c r="AK548" s="2">
        <f>IF(AND(Games[[#This Row],[Type]]="P",Games[[#This Row],[Round]]=4),IF(Games[[#This Row],[Result]]&gt;0.5,1,0),0)</f>
        <v>0</v>
      </c>
      <c r="AL548" s="2">
        <f>IF(AND(Games[[#This Row],[Type]]="P",Games[[#This Row],[Round]]=4),IF(Games[[#This Row],[Result]]&lt;0.5,1,0),0)</f>
        <v>0</v>
      </c>
    </row>
    <row r="549" spans="1:38" x14ac:dyDescent="0.35">
      <c r="A549" s="10">
        <v>45907</v>
      </c>
      <c r="B549" s="2">
        <v>2025</v>
      </c>
      <c r="C549" s="2">
        <f>COUNTIFS(Games[Team],Games[[#This Row],[Team]],Games[Season],Games[[#This Row],[Season]],Games[Date],"&lt;=" &amp; Games[[#This Row],[Date]])</f>
        <v>42</v>
      </c>
      <c r="D549" s="2" t="s">
        <v>79</v>
      </c>
      <c r="E549" s="2" t="s">
        <v>80</v>
      </c>
      <c r="F549" s="1" t="s">
        <v>63</v>
      </c>
      <c r="G549" s="1" t="s">
        <v>85</v>
      </c>
      <c r="H549" s="1" t="s">
        <v>82</v>
      </c>
      <c r="I549" s="2" cm="1">
        <f t="array" ref="I5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9" s="2" cm="1">
        <f t="array" ref="J5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49" s="2">
        <f>Games[[#This Row],[DaysOff]]-Games[[#This Row],[OppDaysOff]]</f>
        <v>-1</v>
      </c>
      <c r="L549" s="2">
        <f>Games[[#This Row],[OppDaysOff]]-Games[[#This Row],[DaysOff]]</f>
        <v>1</v>
      </c>
      <c r="M549" s="1">
        <f>MAX(-16, MIN(16, Games[[#This Row],[RestDiff]]*8))</f>
        <v>-8</v>
      </c>
      <c r="N549" s="1">
        <f>MAX(-16, MIN(16, Games[[#This Row],[OppRestDiff]]*8))</f>
        <v>8</v>
      </c>
      <c r="O549" s="4" cm="1">
        <f t="array" ref="O5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1448.0247974874444</v>
      </c>
      <c r="P549" s="4" cm="1">
        <f t="array" ref="P5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1291.3868029701582</v>
      </c>
      <c r="Q549" s="4">
        <f>1/(1+10^(((Games[[#This Row],[OppPreGmRate]]+IF(Games[[#This Row],[HomeAway]]="A",HCA,0)+Games[[#This Row],[OppRestAdj]])-(Games[[#This Row],[PreGmRate]]+IF(Games[[#This Row],[HomeAway]]="H",HCA,0)+Games[[#This Row],[RestAdj]]))/400))</f>
        <v>0.78467485454176578</v>
      </c>
      <c r="R549" s="1">
        <v>91</v>
      </c>
      <c r="S549" s="1">
        <v>77</v>
      </c>
      <c r="T549" s="1">
        <v>0</v>
      </c>
      <c r="U549" s="1">
        <f>Games[[#This Row],[PointsFor]]-Games[[#This Row],[PointsAgainst]]</f>
        <v>14</v>
      </c>
      <c r="V549" s="1">
        <f>IF(Games[[#This Row],[MOV]]&gt;0,1,IF(Games[[#This Row],[MOV]]=0,0.5,0))</f>
        <v>1</v>
      </c>
      <c r="W549" s="4">
        <f>((ABS(Games[[#This Row],[MOV]])+5)^0.6)/(12+0.01*(ABS(Games[[#This Row],[PreGmRate]]-Games[[#This Row],[OppPreGmRate]])))*IF(Games[[#This Row],[OT]]=1,0.9,1)</f>
        <v>0.43130866642808435</v>
      </c>
      <c r="X549" s="7" cm="1">
        <f t="array" ref="X5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9" s="9">
        <f>MAX(kmin, kmax - 0.15 * MIN(Games[[#This Row],[GamesPlayed]], 82))</f>
        <v>69.7</v>
      </c>
      <c r="Z549" s="4">
        <f>Games[[#This Row],[K]]*Games[[#This Row],[POMult]]</f>
        <v>69.7</v>
      </c>
      <c r="AA549" s="4">
        <f>(Games[[#This Row],[Keff]]*Games[[#This Row],[MOVMult]])*(Games[[#This Row],[Result]]-Games[[#This Row],[ExpectedWin%]])</f>
        <v>6.4731506131208931</v>
      </c>
      <c r="AB549" s="4">
        <f>Games[[#This Row],[PreGmRate]]+Games[[#This Row],[RatingChange]]</f>
        <v>1454.4979481005653</v>
      </c>
      <c r="AC549" s="2">
        <f>IF(Games[[#This Row],[Type]]="R",IF(Games[[#This Row],[Result]]&gt;0.5,1,0),0)</f>
        <v>1</v>
      </c>
      <c r="AD549" s="2">
        <f>IF(Games[[#This Row],[Type]]="R",IF(Games[[#This Row],[Result]]&lt;0.5,1,0),0)</f>
        <v>0</v>
      </c>
      <c r="AE549" s="2">
        <f>IF(AND(Games[[#This Row],[Type]]="P",Games[[#This Row],[Round]]=1),IF(Games[[#This Row],[Result]]&gt;0.5,1,0),0)</f>
        <v>0</v>
      </c>
      <c r="AF549" s="2">
        <f>IF(AND(Games[[#This Row],[Type]]="P",Games[[#This Row],[Round]]=1),IF(Games[[#This Row],[Result]]&lt;0.5,1,0),0)</f>
        <v>0</v>
      </c>
      <c r="AG549" s="2">
        <f>IF(AND(Games[[#This Row],[Type]]="P",Games[[#This Row],[Round]]=2),IF(Games[[#This Row],[Result]]&gt;0.5,1,0),0)</f>
        <v>0</v>
      </c>
      <c r="AH549" s="2">
        <f>IF(AND(Games[[#This Row],[Type]]="P",Games[[#This Row],[Round]]=2),IF(Games[[#This Row],[Result]]&lt;0.5,1,0),0)</f>
        <v>0</v>
      </c>
      <c r="AI549" s="2">
        <f>IF(AND(Games[[#This Row],[Type]]="P",Games[[#This Row],[Round]]=3),IF(Games[[#This Row],[Result]]&gt;0.5,1,0),0)</f>
        <v>0</v>
      </c>
      <c r="AJ549" s="2">
        <f>IF(AND(Games[[#This Row],[Type]]="P",Games[[#This Row],[Round]]=3),IF(Games[[#This Row],[Result]]&lt;0.5,1,0),0)</f>
        <v>0</v>
      </c>
      <c r="AK549" s="2">
        <f>IF(AND(Games[[#This Row],[Type]]="P",Games[[#This Row],[Round]]=4),IF(Games[[#This Row],[Result]]&gt;0.5,1,0),0)</f>
        <v>0</v>
      </c>
      <c r="AL549" s="2">
        <f>IF(AND(Games[[#This Row],[Type]]="P",Games[[#This Row],[Round]]=4),IF(Games[[#This Row],[Result]]&lt;0.5,1,0),0)</f>
        <v>0</v>
      </c>
    </row>
    <row r="550" spans="1:38" x14ac:dyDescent="0.35">
      <c r="A550" s="10">
        <v>45907</v>
      </c>
      <c r="B550" s="2">
        <v>2025</v>
      </c>
      <c r="C550" s="2">
        <f>COUNTIFS(Games[Team],Games[[#This Row],[Team]],Games[Season],Games[[#This Row],[Season]],Games[Date],"&lt;=" &amp; Games[[#This Row],[Date]])</f>
        <v>42</v>
      </c>
      <c r="D550" s="2" t="s">
        <v>79</v>
      </c>
      <c r="E550" s="2" t="s">
        <v>80</v>
      </c>
      <c r="F550" s="1" t="s">
        <v>75</v>
      </c>
      <c r="G550" s="1" t="s">
        <v>86</v>
      </c>
      <c r="H550" s="1" t="s">
        <v>81</v>
      </c>
      <c r="I550" s="2" cm="1">
        <f t="array" ref="I5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0" s="2" cm="1">
        <f t="array" ref="J5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0" s="2">
        <f>Games[[#This Row],[DaysOff]]-Games[[#This Row],[OppDaysOff]]</f>
        <v>-1</v>
      </c>
      <c r="L550" s="2">
        <f>Games[[#This Row],[OppDaysOff]]-Games[[#This Row],[DaysOff]]</f>
        <v>1</v>
      </c>
      <c r="M550" s="1">
        <f>MAX(-16, MIN(16, Games[[#This Row],[RestDiff]]*8))</f>
        <v>-8</v>
      </c>
      <c r="N550" s="1">
        <f>MAX(-16, MIN(16, Games[[#This Row],[OppRestDiff]]*8))</f>
        <v>8</v>
      </c>
      <c r="O550" s="4" cm="1">
        <f t="array" ref="O5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1293.407436605276</v>
      </c>
      <c r="P550" s="4" cm="1">
        <f t="array" ref="P5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1654.4913380676946</v>
      </c>
      <c r="Q550" s="4">
        <f>1/(1+10^(((Games[[#This Row],[OppPreGmRate]]+IF(Games[[#This Row],[HomeAway]]="A",HCA,0)+Games[[#This Row],[OppRestAdj]])-(Games[[#This Row],[PreGmRate]]+IF(Games[[#This Row],[HomeAway]]="H",HCA,0)+Games[[#This Row],[RestAdj]]))/400))</f>
        <v>6.5729861097215056E-2</v>
      </c>
      <c r="R550" s="1">
        <v>66</v>
      </c>
      <c r="S550" s="1">
        <v>80</v>
      </c>
      <c r="T550" s="1">
        <v>0</v>
      </c>
      <c r="U550" s="1">
        <f>Games[[#This Row],[PointsFor]]-Games[[#This Row],[PointsAgainst]]</f>
        <v>-14</v>
      </c>
      <c r="V550" s="1">
        <f>IF(Games[[#This Row],[MOV]]&gt;0,1,IF(Games[[#This Row],[MOV]]=0,0.5,0))</f>
        <v>0</v>
      </c>
      <c r="W550" s="4">
        <f>((ABS(Games[[#This Row],[MOV]])+5)^0.6)/(12+0.01*(ABS(Games[[#This Row],[PreGmRate]]-Games[[#This Row],[OppPreGmRate]])))*IF(Games[[#This Row],[OT]]=1,0.9,1)</f>
        <v>0.37482272649969278</v>
      </c>
      <c r="X550" s="7" cm="1">
        <f t="array" ref="X5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0" s="9">
        <f>MAX(kmin, kmax - 0.15 * MIN(Games[[#This Row],[GamesPlayed]], 82))</f>
        <v>69.7</v>
      </c>
      <c r="Z550" s="4">
        <f>Games[[#This Row],[K]]*Games[[#This Row],[POMult]]</f>
        <v>69.7</v>
      </c>
      <c r="AA550" s="4">
        <f>(Games[[#This Row],[Keff]]*Games[[#This Row],[MOVMult]])*(Games[[#This Row],[Result]]-Games[[#This Row],[ExpectedWin%]])</f>
        <v>-1.7172020886986252</v>
      </c>
      <c r="AB550" s="4">
        <f>Games[[#This Row],[PreGmRate]]+Games[[#This Row],[RatingChange]]</f>
        <v>1291.6902345165774</v>
      </c>
      <c r="AC550" s="2">
        <f>IF(Games[[#This Row],[Type]]="R",IF(Games[[#This Row],[Result]]&gt;0.5,1,0),0)</f>
        <v>0</v>
      </c>
      <c r="AD550" s="2">
        <f>IF(Games[[#This Row],[Type]]="R",IF(Games[[#This Row],[Result]]&lt;0.5,1,0),0)</f>
        <v>1</v>
      </c>
      <c r="AE550" s="2">
        <f>IF(AND(Games[[#This Row],[Type]]="P",Games[[#This Row],[Round]]=1),IF(Games[[#This Row],[Result]]&gt;0.5,1,0),0)</f>
        <v>0</v>
      </c>
      <c r="AF550" s="2">
        <f>IF(AND(Games[[#This Row],[Type]]="P",Games[[#This Row],[Round]]=1),IF(Games[[#This Row],[Result]]&lt;0.5,1,0),0)</f>
        <v>0</v>
      </c>
      <c r="AG550" s="2">
        <f>IF(AND(Games[[#This Row],[Type]]="P",Games[[#This Row],[Round]]=2),IF(Games[[#This Row],[Result]]&gt;0.5,1,0),0)</f>
        <v>0</v>
      </c>
      <c r="AH550" s="2">
        <f>IF(AND(Games[[#This Row],[Type]]="P",Games[[#This Row],[Round]]=2),IF(Games[[#This Row],[Result]]&lt;0.5,1,0),0)</f>
        <v>0</v>
      </c>
      <c r="AI550" s="2">
        <f>IF(AND(Games[[#This Row],[Type]]="P",Games[[#This Row],[Round]]=3),IF(Games[[#This Row],[Result]]&gt;0.5,1,0),0)</f>
        <v>0</v>
      </c>
      <c r="AJ550" s="2">
        <f>IF(AND(Games[[#This Row],[Type]]="P",Games[[#This Row],[Round]]=3),IF(Games[[#This Row],[Result]]&lt;0.5,1,0),0)</f>
        <v>0</v>
      </c>
      <c r="AK550" s="2">
        <f>IF(AND(Games[[#This Row],[Type]]="P",Games[[#This Row],[Round]]=4),IF(Games[[#This Row],[Result]]&gt;0.5,1,0),0)</f>
        <v>0</v>
      </c>
      <c r="AL550" s="2">
        <f>IF(AND(Games[[#This Row],[Type]]="P",Games[[#This Row],[Round]]=4),IF(Games[[#This Row],[Result]]&lt;0.5,1,0),0)</f>
        <v>0</v>
      </c>
    </row>
    <row r="551" spans="1:38" x14ac:dyDescent="0.35">
      <c r="A551" s="10">
        <v>45907</v>
      </c>
      <c r="B551" s="2">
        <v>2025</v>
      </c>
      <c r="C551" s="2">
        <f>COUNTIFS(Games[Team],Games[[#This Row],[Team]],Games[Season],Games[[#This Row],[Season]],Games[Date],"&lt;=" &amp; Games[[#This Row],[Date]])</f>
        <v>42</v>
      </c>
      <c r="D551" s="2" t="s">
        <v>79</v>
      </c>
      <c r="E551" s="2" t="s">
        <v>80</v>
      </c>
      <c r="F551" s="1" t="s">
        <v>86</v>
      </c>
      <c r="G551" s="1" t="s">
        <v>75</v>
      </c>
      <c r="H551" s="1" t="s">
        <v>82</v>
      </c>
      <c r="I551" s="2" cm="1">
        <f t="array" ref="I5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51" s="2" cm="1">
        <f t="array" ref="J5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1" s="2">
        <f>Games[[#This Row],[DaysOff]]-Games[[#This Row],[OppDaysOff]]</f>
        <v>1</v>
      </c>
      <c r="L551" s="2">
        <f>Games[[#This Row],[OppDaysOff]]-Games[[#This Row],[DaysOff]]</f>
        <v>-1</v>
      </c>
      <c r="M551" s="1">
        <f>MAX(-16, MIN(16, Games[[#This Row],[RestDiff]]*8))</f>
        <v>8</v>
      </c>
      <c r="N551" s="1">
        <f>MAX(-16, MIN(16, Games[[#This Row],[OppRestDiff]]*8))</f>
        <v>-8</v>
      </c>
      <c r="O551" s="4" cm="1">
        <f t="array" ref="O5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1654.4913380676946</v>
      </c>
      <c r="P551" s="4" cm="1">
        <f t="array" ref="P5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1293.407436605276</v>
      </c>
      <c r="Q551" s="4">
        <f>1/(1+10^(((Games[[#This Row],[OppPreGmRate]]+IF(Games[[#This Row],[HomeAway]]="A",HCA,0)+Games[[#This Row],[OppRestAdj]])-(Games[[#This Row],[PreGmRate]]+IF(Games[[#This Row],[HomeAway]]="H",HCA,0)+Games[[#This Row],[RestAdj]]))/400))</f>
        <v>0.93427013890278499</v>
      </c>
      <c r="R551" s="1">
        <v>80</v>
      </c>
      <c r="S551" s="1">
        <v>66</v>
      </c>
      <c r="T551" s="1">
        <v>0</v>
      </c>
      <c r="U551" s="1">
        <f>Games[[#This Row],[PointsFor]]-Games[[#This Row],[PointsAgainst]]</f>
        <v>14</v>
      </c>
      <c r="V551" s="1">
        <f>IF(Games[[#This Row],[MOV]]&gt;0,1,IF(Games[[#This Row],[MOV]]=0,0.5,0))</f>
        <v>1</v>
      </c>
      <c r="W551" s="4">
        <f>((ABS(Games[[#This Row],[MOV]])+5)^0.6)/(12+0.01*(ABS(Games[[#This Row],[PreGmRate]]-Games[[#This Row],[OppPreGmRate]])))*IF(Games[[#This Row],[OT]]=1,0.9,1)</f>
        <v>0.37482272649969278</v>
      </c>
      <c r="X551" s="7" cm="1">
        <f t="array" ref="X5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1" s="9">
        <f>MAX(kmin, kmax - 0.15 * MIN(Games[[#This Row],[GamesPlayed]], 82))</f>
        <v>69.7</v>
      </c>
      <c r="Z551" s="4">
        <f>Games[[#This Row],[K]]*Games[[#This Row],[POMult]]</f>
        <v>69.7</v>
      </c>
      <c r="AA551" s="4">
        <f>(Games[[#This Row],[Keff]]*Games[[#This Row],[MOVMult]])*(Games[[#This Row],[Result]]-Games[[#This Row],[ExpectedWin%]])</f>
        <v>1.7172020886986241</v>
      </c>
      <c r="AB551" s="4">
        <f>Games[[#This Row],[PreGmRate]]+Games[[#This Row],[RatingChange]]</f>
        <v>1656.2085401563932</v>
      </c>
      <c r="AC551" s="2">
        <f>IF(Games[[#This Row],[Type]]="R",IF(Games[[#This Row],[Result]]&gt;0.5,1,0),0)</f>
        <v>1</v>
      </c>
      <c r="AD551" s="2">
        <f>IF(Games[[#This Row],[Type]]="R",IF(Games[[#This Row],[Result]]&lt;0.5,1,0),0)</f>
        <v>0</v>
      </c>
      <c r="AE551" s="2">
        <f>IF(AND(Games[[#This Row],[Type]]="P",Games[[#This Row],[Round]]=1),IF(Games[[#This Row],[Result]]&gt;0.5,1,0),0)</f>
        <v>0</v>
      </c>
      <c r="AF551" s="2">
        <f>IF(AND(Games[[#This Row],[Type]]="P",Games[[#This Row],[Round]]=1),IF(Games[[#This Row],[Result]]&lt;0.5,1,0),0)</f>
        <v>0</v>
      </c>
      <c r="AG551" s="2">
        <f>IF(AND(Games[[#This Row],[Type]]="P",Games[[#This Row],[Round]]=2),IF(Games[[#This Row],[Result]]&gt;0.5,1,0),0)</f>
        <v>0</v>
      </c>
      <c r="AH551" s="2">
        <f>IF(AND(Games[[#This Row],[Type]]="P",Games[[#This Row],[Round]]=2),IF(Games[[#This Row],[Result]]&lt;0.5,1,0),0)</f>
        <v>0</v>
      </c>
      <c r="AI551" s="2">
        <f>IF(AND(Games[[#This Row],[Type]]="P",Games[[#This Row],[Round]]=3),IF(Games[[#This Row],[Result]]&gt;0.5,1,0),0)</f>
        <v>0</v>
      </c>
      <c r="AJ551" s="2">
        <f>IF(AND(Games[[#This Row],[Type]]="P",Games[[#This Row],[Round]]=3),IF(Games[[#This Row],[Result]]&lt;0.5,1,0),0)</f>
        <v>0</v>
      </c>
      <c r="AK551" s="2">
        <f>IF(AND(Games[[#This Row],[Type]]="P",Games[[#This Row],[Round]]=4),IF(Games[[#This Row],[Result]]&gt;0.5,1,0),0)</f>
        <v>0</v>
      </c>
      <c r="AL551" s="2">
        <f>IF(AND(Games[[#This Row],[Type]]="P",Games[[#This Row],[Round]]=4),IF(Games[[#This Row],[Result]]&lt;0.5,1,0),0)</f>
        <v>0</v>
      </c>
    </row>
    <row r="552" spans="1:38" x14ac:dyDescent="0.35">
      <c r="A552" s="10">
        <v>45907</v>
      </c>
      <c r="B552" s="2">
        <v>2025</v>
      </c>
      <c r="C552" s="2">
        <f>COUNTIFS(Games[Team],Games[[#This Row],[Team]],Games[Season],Games[[#This Row],[Season]],Games[Date],"&lt;=" &amp; Games[[#This Row],[Date]])</f>
        <v>44</v>
      </c>
      <c r="D552" s="2" t="s">
        <v>79</v>
      </c>
      <c r="E552" s="2" t="s">
        <v>80</v>
      </c>
      <c r="F552" s="1" t="s">
        <v>69</v>
      </c>
      <c r="G552" s="1" t="s">
        <v>65</v>
      </c>
      <c r="H552" s="1" t="s">
        <v>81</v>
      </c>
      <c r="I552" s="2" cm="1">
        <f t="array" ref="I5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2" s="2" cm="1">
        <f t="array" ref="J5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2" s="2">
        <f>Games[[#This Row],[DaysOff]]-Games[[#This Row],[OppDaysOff]]</f>
        <v>-1</v>
      </c>
      <c r="L552" s="2">
        <f>Games[[#This Row],[OppDaysOff]]-Games[[#This Row],[DaysOff]]</f>
        <v>1</v>
      </c>
      <c r="M552" s="1">
        <f>MAX(-16, MIN(16, Games[[#This Row],[RestDiff]]*8))</f>
        <v>-8</v>
      </c>
      <c r="N552" s="1">
        <f>MAX(-16, MIN(16, Games[[#This Row],[OppRestDiff]]*8))</f>
        <v>8</v>
      </c>
      <c r="O552" s="4" cm="1">
        <f t="array" ref="O5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1527.4970154919592</v>
      </c>
      <c r="P552" s="4" cm="1">
        <f t="array" ref="P5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1374.2918241941991</v>
      </c>
      <c r="Q552" s="4">
        <f>1/(1+10^(((Games[[#This Row],[OppPreGmRate]]+IF(Games[[#This Row],[HomeAway]]="A",HCA,0)+Games[[#This Row],[OppRestAdj]])-(Games[[#This Row],[PreGmRate]]+IF(Games[[#This Row],[HomeAway]]="H",HCA,0)+Games[[#This Row],[RestAdj]]))/400))</f>
        <v>0.5759754541810973</v>
      </c>
      <c r="R552" s="1">
        <v>94</v>
      </c>
      <c r="S552" s="1">
        <v>65</v>
      </c>
      <c r="T552" s="1">
        <v>0</v>
      </c>
      <c r="U552" s="1">
        <f>Games[[#This Row],[PointsFor]]-Games[[#This Row],[PointsAgainst]]</f>
        <v>29</v>
      </c>
      <c r="V552" s="1">
        <f>IF(Games[[#This Row],[MOV]]&gt;0,1,IF(Games[[#This Row],[MOV]]=0,0.5,0))</f>
        <v>1</v>
      </c>
      <c r="W552" s="4">
        <f>((ABS(Games[[#This Row],[MOV]])+5)^0.6)/(12+0.01*(ABS(Games[[#This Row],[PreGmRate]]-Games[[#This Row],[OppPreGmRate]])))*IF(Games[[#This Row],[OT]]=1,0.9,1)</f>
        <v>0.61308924126834474</v>
      </c>
      <c r="X552" s="7" cm="1">
        <f t="array" ref="X5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2" s="9">
        <f>MAX(kmin, kmax - 0.15 * MIN(Games[[#This Row],[GamesPlayed]], 82))</f>
        <v>69.400000000000006</v>
      </c>
      <c r="Z552" s="4">
        <f>Games[[#This Row],[K]]*Games[[#This Row],[POMult]]</f>
        <v>69.400000000000006</v>
      </c>
      <c r="AA552" s="4">
        <f>(Games[[#This Row],[Keff]]*Games[[#This Row],[MOVMult]])*(Games[[#This Row],[Result]]-Games[[#This Row],[ExpectedWin%]])</f>
        <v>18.041563163023429</v>
      </c>
      <c r="AB552" s="4">
        <f>Games[[#This Row],[PreGmRate]]+Games[[#This Row],[RatingChange]]</f>
        <v>1545.5385786549828</v>
      </c>
      <c r="AC552" s="2">
        <f>IF(Games[[#This Row],[Type]]="R",IF(Games[[#This Row],[Result]]&gt;0.5,1,0),0)</f>
        <v>1</v>
      </c>
      <c r="AD552" s="2">
        <f>IF(Games[[#This Row],[Type]]="R",IF(Games[[#This Row],[Result]]&lt;0.5,1,0),0)</f>
        <v>0</v>
      </c>
      <c r="AE552" s="2">
        <f>IF(AND(Games[[#This Row],[Type]]="P",Games[[#This Row],[Round]]=1),IF(Games[[#This Row],[Result]]&gt;0.5,1,0),0)</f>
        <v>0</v>
      </c>
      <c r="AF552" s="2">
        <f>IF(AND(Games[[#This Row],[Type]]="P",Games[[#This Row],[Round]]=1),IF(Games[[#This Row],[Result]]&lt;0.5,1,0),0)</f>
        <v>0</v>
      </c>
      <c r="AG552" s="2">
        <f>IF(AND(Games[[#This Row],[Type]]="P",Games[[#This Row],[Round]]=2),IF(Games[[#This Row],[Result]]&gt;0.5,1,0),0)</f>
        <v>0</v>
      </c>
      <c r="AH552" s="2">
        <f>IF(AND(Games[[#This Row],[Type]]="P",Games[[#This Row],[Round]]=2),IF(Games[[#This Row],[Result]]&lt;0.5,1,0),0)</f>
        <v>0</v>
      </c>
      <c r="AI552" s="2">
        <f>IF(AND(Games[[#This Row],[Type]]="P",Games[[#This Row],[Round]]=3),IF(Games[[#This Row],[Result]]&gt;0.5,1,0),0)</f>
        <v>0</v>
      </c>
      <c r="AJ552" s="2">
        <f>IF(AND(Games[[#This Row],[Type]]="P",Games[[#This Row],[Round]]=3),IF(Games[[#This Row],[Result]]&lt;0.5,1,0),0)</f>
        <v>0</v>
      </c>
      <c r="AK552" s="2">
        <f>IF(AND(Games[[#This Row],[Type]]="P",Games[[#This Row],[Round]]=4),IF(Games[[#This Row],[Result]]&gt;0.5,1,0),0)</f>
        <v>0</v>
      </c>
      <c r="AL552" s="2">
        <f>IF(AND(Games[[#This Row],[Type]]="P",Games[[#This Row],[Round]]=4),IF(Games[[#This Row],[Result]]&lt;0.5,1,0),0)</f>
        <v>0</v>
      </c>
    </row>
    <row r="553" spans="1:38" x14ac:dyDescent="0.35">
      <c r="A553" s="10">
        <v>45907</v>
      </c>
      <c r="B553" s="2">
        <v>2025</v>
      </c>
      <c r="C553" s="2">
        <f>COUNTIFS(Games[Team],Games[[#This Row],[Team]],Games[Season],Games[[#This Row],[Season]],Games[Date],"&lt;=" &amp; Games[[#This Row],[Date]])</f>
        <v>43</v>
      </c>
      <c r="D553" s="2" t="s">
        <v>79</v>
      </c>
      <c r="E553" s="2" t="s">
        <v>80</v>
      </c>
      <c r="F553" s="1" t="s">
        <v>65</v>
      </c>
      <c r="G553" s="1" t="s">
        <v>69</v>
      </c>
      <c r="H553" s="1" t="s">
        <v>82</v>
      </c>
      <c r="I553" s="2" cm="1">
        <f t="array" ref="I5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53" s="2" cm="1">
        <f t="array" ref="J5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3" s="2">
        <f>Games[[#This Row],[DaysOff]]-Games[[#This Row],[OppDaysOff]]</f>
        <v>1</v>
      </c>
      <c r="L553" s="2">
        <f>Games[[#This Row],[OppDaysOff]]-Games[[#This Row],[DaysOff]]</f>
        <v>-1</v>
      </c>
      <c r="M553" s="1">
        <f>MAX(-16, MIN(16, Games[[#This Row],[RestDiff]]*8))</f>
        <v>8</v>
      </c>
      <c r="N553" s="1">
        <f>MAX(-16, MIN(16, Games[[#This Row],[OppRestDiff]]*8))</f>
        <v>-8</v>
      </c>
      <c r="O553" s="4" cm="1">
        <f t="array" ref="O5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1374.2918241941991</v>
      </c>
      <c r="P553" s="4" cm="1">
        <f t="array" ref="P5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1527.4970154919592</v>
      </c>
      <c r="Q553" s="4">
        <f>1/(1+10^(((Games[[#This Row],[OppPreGmRate]]+IF(Games[[#This Row],[HomeAway]]="A",HCA,0)+Games[[#This Row],[OppRestAdj]])-(Games[[#This Row],[PreGmRate]]+IF(Games[[#This Row],[HomeAway]]="H",HCA,0)+Games[[#This Row],[RestAdj]]))/400))</f>
        <v>0.42402454581890275</v>
      </c>
      <c r="R553" s="1">
        <v>65</v>
      </c>
      <c r="S553" s="1">
        <v>94</v>
      </c>
      <c r="T553" s="1">
        <v>0</v>
      </c>
      <c r="U553" s="1">
        <f>Games[[#This Row],[PointsFor]]-Games[[#This Row],[PointsAgainst]]</f>
        <v>-29</v>
      </c>
      <c r="V553" s="1">
        <f>IF(Games[[#This Row],[MOV]]&gt;0,1,IF(Games[[#This Row],[MOV]]=0,0.5,0))</f>
        <v>0</v>
      </c>
      <c r="W553" s="4">
        <f>((ABS(Games[[#This Row],[MOV]])+5)^0.6)/(12+0.01*(ABS(Games[[#This Row],[PreGmRate]]-Games[[#This Row],[OppPreGmRate]])))*IF(Games[[#This Row],[OT]]=1,0.9,1)</f>
        <v>0.61308924126834474</v>
      </c>
      <c r="X553" s="7" cm="1">
        <f t="array" ref="X5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3" s="9">
        <f>MAX(kmin, kmax - 0.15 * MIN(Games[[#This Row],[GamesPlayed]], 82))</f>
        <v>69.55</v>
      </c>
      <c r="Z553" s="4">
        <f>Games[[#This Row],[K]]*Games[[#This Row],[POMult]]</f>
        <v>69.55</v>
      </c>
      <c r="AA553" s="4">
        <f>(Games[[#This Row],[Keff]]*Games[[#This Row],[MOVMult]])*(Games[[#This Row],[Result]]-Games[[#This Row],[ExpectedWin%]])</f>
        <v>-18.08055789608472</v>
      </c>
      <c r="AB553" s="4">
        <f>Games[[#This Row],[PreGmRate]]+Games[[#This Row],[RatingChange]]</f>
        <v>1356.2112662981144</v>
      </c>
      <c r="AC553" s="2">
        <f>IF(Games[[#This Row],[Type]]="R",IF(Games[[#This Row],[Result]]&gt;0.5,1,0),0)</f>
        <v>0</v>
      </c>
      <c r="AD553" s="2">
        <f>IF(Games[[#This Row],[Type]]="R",IF(Games[[#This Row],[Result]]&lt;0.5,1,0),0)</f>
        <v>1</v>
      </c>
      <c r="AE553" s="2">
        <f>IF(AND(Games[[#This Row],[Type]]="P",Games[[#This Row],[Round]]=1),IF(Games[[#This Row],[Result]]&gt;0.5,1,0),0)</f>
        <v>0</v>
      </c>
      <c r="AF553" s="2">
        <f>IF(AND(Games[[#This Row],[Type]]="P",Games[[#This Row],[Round]]=1),IF(Games[[#This Row],[Result]]&lt;0.5,1,0),0)</f>
        <v>0</v>
      </c>
      <c r="AG553" s="2">
        <f>IF(AND(Games[[#This Row],[Type]]="P",Games[[#This Row],[Round]]=2),IF(Games[[#This Row],[Result]]&gt;0.5,1,0),0)</f>
        <v>0</v>
      </c>
      <c r="AH553" s="2">
        <f>IF(AND(Games[[#This Row],[Type]]="P",Games[[#This Row],[Round]]=2),IF(Games[[#This Row],[Result]]&lt;0.5,1,0),0)</f>
        <v>0</v>
      </c>
      <c r="AI553" s="2">
        <f>IF(AND(Games[[#This Row],[Type]]="P",Games[[#This Row],[Round]]=3),IF(Games[[#This Row],[Result]]&gt;0.5,1,0),0)</f>
        <v>0</v>
      </c>
      <c r="AJ553" s="2">
        <f>IF(AND(Games[[#This Row],[Type]]="P",Games[[#This Row],[Round]]=3),IF(Games[[#This Row],[Result]]&lt;0.5,1,0),0)</f>
        <v>0</v>
      </c>
      <c r="AK553" s="2">
        <f>IF(AND(Games[[#This Row],[Type]]="P",Games[[#This Row],[Round]]=4),IF(Games[[#This Row],[Result]]&gt;0.5,1,0),0)</f>
        <v>0</v>
      </c>
      <c r="AL553" s="2">
        <f>IF(AND(Games[[#This Row],[Type]]="P",Games[[#This Row],[Round]]=4),IF(Games[[#This Row],[Result]]&lt;0.5,1,0),0)</f>
        <v>0</v>
      </c>
    </row>
    <row r="554" spans="1:38" x14ac:dyDescent="0.35">
      <c r="A554" s="10">
        <v>45908</v>
      </c>
      <c r="B554" s="2">
        <v>2025</v>
      </c>
      <c r="C554" s="2">
        <f>COUNTIFS(Games[Team],Games[[#This Row],[Team]],Games[Season],Games[[#This Row],[Season]],Games[Date],"&lt;=" &amp; Games[[#This Row],[Date]])</f>
        <v>43</v>
      </c>
      <c r="D554" s="2" t="s">
        <v>79</v>
      </c>
      <c r="E554" s="2" t="s">
        <v>80</v>
      </c>
      <c r="F554" s="1" t="s">
        <v>74</v>
      </c>
      <c r="G554" s="1" t="s">
        <v>77</v>
      </c>
      <c r="H554" s="1" t="s">
        <v>81</v>
      </c>
      <c r="I554" s="2" cm="1">
        <f t="array" ref="I5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4" s="2" cm="1">
        <f t="array" ref="J5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4" s="2">
        <f>Games[[#This Row],[DaysOff]]-Games[[#This Row],[OppDaysOff]]</f>
        <v>-1</v>
      </c>
      <c r="L554" s="2">
        <f>Games[[#This Row],[OppDaysOff]]-Games[[#This Row],[DaysOff]]</f>
        <v>1</v>
      </c>
      <c r="M554" s="1">
        <f>MAX(-16, MIN(16, Games[[#This Row],[RestDiff]]*8))</f>
        <v>-8</v>
      </c>
      <c r="N554" s="1">
        <f>MAX(-16, MIN(16, Games[[#This Row],[OppRestDiff]]*8))</f>
        <v>8</v>
      </c>
      <c r="O554" s="4" cm="1">
        <f t="array" ref="O5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1372.3138742886952</v>
      </c>
      <c r="P554" s="4" cm="1">
        <f t="array" ref="P5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1643.7172941085689</v>
      </c>
      <c r="Q554" s="4">
        <f>1/(1+10^(((Games[[#This Row],[OppPreGmRate]]+IF(Games[[#This Row],[HomeAway]]="A",HCA,0)+Games[[#This Row],[OppRestAdj]])-(Games[[#This Row],[PreGmRate]]+IF(Games[[#This Row],[HomeAway]]="H",HCA,0)+Games[[#This Row],[RestAdj]]))/400))</f>
        <v>0.1054607491093932</v>
      </c>
      <c r="R554" s="1">
        <v>62</v>
      </c>
      <c r="S554" s="1">
        <v>87</v>
      </c>
      <c r="T554" s="1">
        <v>0</v>
      </c>
      <c r="U554" s="1">
        <f>Games[[#This Row],[PointsFor]]-Games[[#This Row],[PointsAgainst]]</f>
        <v>-25</v>
      </c>
      <c r="V554" s="1">
        <f>IF(Games[[#This Row],[MOV]]&gt;0,1,IF(Games[[#This Row],[MOV]]=0,0.5,0))</f>
        <v>0</v>
      </c>
      <c r="W554" s="4">
        <f>((ABS(Games[[#This Row],[MOV]])+5)^0.6)/(12+0.01*(ABS(Games[[#This Row],[PreGmRate]]-Games[[#This Row],[OppPreGmRate]])))*IF(Games[[#This Row],[OT]]=1,0.9,1)</f>
        <v>0.52304733270690806</v>
      </c>
      <c r="X554" s="7" cm="1">
        <f t="array" ref="X5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4" s="9">
        <f>MAX(kmin, kmax - 0.15 * MIN(Games[[#This Row],[GamesPlayed]], 82))</f>
        <v>69.55</v>
      </c>
      <c r="Z554" s="4">
        <f>Games[[#This Row],[K]]*Games[[#This Row],[POMult]]</f>
        <v>69.55</v>
      </c>
      <c r="AA554" s="4">
        <f>(Games[[#This Row],[Keff]]*Games[[#This Row],[MOVMult]])*(Games[[#This Row],[Result]]-Games[[#This Row],[ExpectedWin%]])</f>
        <v>-3.8364450132987145</v>
      </c>
      <c r="AB554" s="4">
        <f>Games[[#This Row],[PreGmRate]]+Games[[#This Row],[RatingChange]]</f>
        <v>1368.4774292753964</v>
      </c>
      <c r="AC554" s="2">
        <f>IF(Games[[#This Row],[Type]]="R",IF(Games[[#This Row],[Result]]&gt;0.5,1,0),0)</f>
        <v>0</v>
      </c>
      <c r="AD554" s="2">
        <f>IF(Games[[#This Row],[Type]]="R",IF(Games[[#This Row],[Result]]&lt;0.5,1,0),0)</f>
        <v>1</v>
      </c>
      <c r="AE554" s="2">
        <f>IF(AND(Games[[#This Row],[Type]]="P",Games[[#This Row],[Round]]=1),IF(Games[[#This Row],[Result]]&gt;0.5,1,0),0)</f>
        <v>0</v>
      </c>
      <c r="AF554" s="2">
        <f>IF(AND(Games[[#This Row],[Type]]="P",Games[[#This Row],[Round]]=1),IF(Games[[#This Row],[Result]]&lt;0.5,1,0),0)</f>
        <v>0</v>
      </c>
      <c r="AG554" s="2">
        <f>IF(AND(Games[[#This Row],[Type]]="P",Games[[#This Row],[Round]]=2),IF(Games[[#This Row],[Result]]&gt;0.5,1,0),0)</f>
        <v>0</v>
      </c>
      <c r="AH554" s="2">
        <f>IF(AND(Games[[#This Row],[Type]]="P",Games[[#This Row],[Round]]=2),IF(Games[[#This Row],[Result]]&lt;0.5,1,0),0)</f>
        <v>0</v>
      </c>
      <c r="AI554" s="2">
        <f>IF(AND(Games[[#This Row],[Type]]="P",Games[[#This Row],[Round]]=3),IF(Games[[#This Row],[Result]]&gt;0.5,1,0),0)</f>
        <v>0</v>
      </c>
      <c r="AJ554" s="2">
        <f>IF(AND(Games[[#This Row],[Type]]="P",Games[[#This Row],[Round]]=3),IF(Games[[#This Row],[Result]]&lt;0.5,1,0),0)</f>
        <v>0</v>
      </c>
      <c r="AK554" s="2">
        <f>IF(AND(Games[[#This Row],[Type]]="P",Games[[#This Row],[Round]]=4),IF(Games[[#This Row],[Result]]&gt;0.5,1,0),0)</f>
        <v>0</v>
      </c>
      <c r="AL554" s="2">
        <f>IF(AND(Games[[#This Row],[Type]]="P",Games[[#This Row],[Round]]=4),IF(Games[[#This Row],[Result]]&lt;0.5,1,0),0)</f>
        <v>0</v>
      </c>
    </row>
    <row r="555" spans="1:38" x14ac:dyDescent="0.35">
      <c r="A555" s="10">
        <v>45908</v>
      </c>
      <c r="B555" s="2">
        <v>2025</v>
      </c>
      <c r="C555" s="2">
        <f>COUNTIFS(Games[Team],Games[[#This Row],[Team]],Games[Season],Games[[#This Row],[Season]],Games[Date],"&lt;=" &amp; Games[[#This Row],[Date]])</f>
        <v>43</v>
      </c>
      <c r="D555" s="2" t="s">
        <v>79</v>
      </c>
      <c r="E555" s="2" t="s">
        <v>80</v>
      </c>
      <c r="F555" s="1" t="s">
        <v>77</v>
      </c>
      <c r="G555" s="1" t="s">
        <v>74</v>
      </c>
      <c r="H555" s="1" t="s">
        <v>82</v>
      </c>
      <c r="I555" s="2" cm="1">
        <f t="array" ref="I5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55" s="2" cm="1">
        <f t="array" ref="J5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5" s="2">
        <f>Games[[#This Row],[DaysOff]]-Games[[#This Row],[OppDaysOff]]</f>
        <v>1</v>
      </c>
      <c r="L555" s="2">
        <f>Games[[#This Row],[OppDaysOff]]-Games[[#This Row],[DaysOff]]</f>
        <v>-1</v>
      </c>
      <c r="M555" s="1">
        <f>MAX(-16, MIN(16, Games[[#This Row],[RestDiff]]*8))</f>
        <v>8</v>
      </c>
      <c r="N555" s="1">
        <f>MAX(-16, MIN(16, Games[[#This Row],[OppRestDiff]]*8))</f>
        <v>-8</v>
      </c>
      <c r="O555" s="4" cm="1">
        <f t="array" ref="O5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1643.7172941085689</v>
      </c>
      <c r="P555" s="4" cm="1">
        <f t="array" ref="P5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1372.3138742886952</v>
      </c>
      <c r="Q555" s="4">
        <f>1/(1+10^(((Games[[#This Row],[OppPreGmRate]]+IF(Games[[#This Row],[HomeAway]]="A",HCA,0)+Games[[#This Row],[OppRestAdj]])-(Games[[#This Row],[PreGmRate]]+IF(Games[[#This Row],[HomeAway]]="H",HCA,0)+Games[[#This Row],[RestAdj]]))/400))</f>
        <v>0.89453925089060682</v>
      </c>
      <c r="R555" s="1">
        <v>87</v>
      </c>
      <c r="S555" s="1">
        <v>62</v>
      </c>
      <c r="T555" s="1">
        <v>0</v>
      </c>
      <c r="U555" s="1">
        <f>Games[[#This Row],[PointsFor]]-Games[[#This Row],[PointsAgainst]]</f>
        <v>25</v>
      </c>
      <c r="V555" s="1">
        <f>IF(Games[[#This Row],[MOV]]&gt;0,1,IF(Games[[#This Row],[MOV]]=0,0.5,0))</f>
        <v>1</v>
      </c>
      <c r="W555" s="4">
        <f>((ABS(Games[[#This Row],[MOV]])+5)^0.6)/(12+0.01*(ABS(Games[[#This Row],[PreGmRate]]-Games[[#This Row],[OppPreGmRate]])))*IF(Games[[#This Row],[OT]]=1,0.9,1)</f>
        <v>0.52304733270690806</v>
      </c>
      <c r="X555" s="7" cm="1">
        <f t="array" ref="X5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5" s="9">
        <f>MAX(kmin, kmax - 0.15 * MIN(Games[[#This Row],[GamesPlayed]], 82))</f>
        <v>69.55</v>
      </c>
      <c r="Z555" s="4">
        <f>Games[[#This Row],[K]]*Games[[#This Row],[POMult]]</f>
        <v>69.55</v>
      </c>
      <c r="AA555" s="4">
        <f>(Games[[#This Row],[Keff]]*Games[[#This Row],[MOVMult]])*(Games[[#This Row],[Result]]-Games[[#This Row],[ExpectedWin%]])</f>
        <v>3.836445013298714</v>
      </c>
      <c r="AB555" s="4">
        <f>Games[[#This Row],[PreGmRate]]+Games[[#This Row],[RatingChange]]</f>
        <v>1647.5537391218677</v>
      </c>
      <c r="AC555" s="2">
        <f>IF(Games[[#This Row],[Type]]="R",IF(Games[[#This Row],[Result]]&gt;0.5,1,0),0)</f>
        <v>1</v>
      </c>
      <c r="AD555" s="2">
        <f>IF(Games[[#This Row],[Type]]="R",IF(Games[[#This Row],[Result]]&lt;0.5,1,0),0)</f>
        <v>0</v>
      </c>
      <c r="AE555" s="2">
        <f>IF(AND(Games[[#This Row],[Type]]="P",Games[[#This Row],[Round]]=1),IF(Games[[#This Row],[Result]]&gt;0.5,1,0),0)</f>
        <v>0</v>
      </c>
      <c r="AF555" s="2">
        <f>IF(AND(Games[[#This Row],[Type]]="P",Games[[#This Row],[Round]]=1),IF(Games[[#This Row],[Result]]&lt;0.5,1,0),0)</f>
        <v>0</v>
      </c>
      <c r="AG555" s="2">
        <f>IF(AND(Games[[#This Row],[Type]]="P",Games[[#This Row],[Round]]=2),IF(Games[[#This Row],[Result]]&gt;0.5,1,0),0)</f>
        <v>0</v>
      </c>
      <c r="AH555" s="2">
        <f>IF(AND(Games[[#This Row],[Type]]="P",Games[[#This Row],[Round]]=2),IF(Games[[#This Row],[Result]]&lt;0.5,1,0),0)</f>
        <v>0</v>
      </c>
      <c r="AI555" s="2">
        <f>IF(AND(Games[[#This Row],[Type]]="P",Games[[#This Row],[Round]]=3),IF(Games[[#This Row],[Result]]&gt;0.5,1,0),0)</f>
        <v>0</v>
      </c>
      <c r="AJ555" s="2">
        <f>IF(AND(Games[[#This Row],[Type]]="P",Games[[#This Row],[Round]]=3),IF(Games[[#This Row],[Result]]&lt;0.5,1,0),0)</f>
        <v>0</v>
      </c>
      <c r="AK555" s="2">
        <f>IF(AND(Games[[#This Row],[Type]]="P",Games[[#This Row],[Round]]=4),IF(Games[[#This Row],[Result]]&gt;0.5,1,0),0)</f>
        <v>0</v>
      </c>
      <c r="AL555" s="2">
        <f>IF(AND(Games[[#This Row],[Type]]="P",Games[[#This Row],[Round]]=4),IF(Games[[#This Row],[Result]]&lt;0.5,1,0),0)</f>
        <v>0</v>
      </c>
    </row>
    <row r="556" spans="1:38" x14ac:dyDescent="0.35">
      <c r="A556" s="10">
        <v>45909</v>
      </c>
      <c r="B556" s="2">
        <v>2025</v>
      </c>
      <c r="C556" s="2">
        <f>COUNTIFS(Games[Team],Games[[#This Row],[Team]],Games[Season],Games[[#This Row],[Season]],Games[Date],"&lt;=" &amp; Games[[#This Row],[Date]])</f>
        <v>44</v>
      </c>
      <c r="D556" s="2" t="s">
        <v>79</v>
      </c>
      <c r="E556" s="2" t="s">
        <v>80</v>
      </c>
      <c r="F556" s="1" t="s">
        <v>67</v>
      </c>
      <c r="G556" s="1" t="s">
        <v>69</v>
      </c>
      <c r="H556" s="1" t="s">
        <v>81</v>
      </c>
      <c r="I556" s="2" cm="1">
        <f t="array" ref="I5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56" s="2" cm="1">
        <f t="array" ref="J5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6" s="2">
        <f>Games[[#This Row],[DaysOff]]-Games[[#This Row],[OppDaysOff]]</f>
        <v>1</v>
      </c>
      <c r="L556" s="2">
        <f>Games[[#This Row],[OppDaysOff]]-Games[[#This Row],[DaysOff]]</f>
        <v>-1</v>
      </c>
      <c r="M556" s="1">
        <f>MAX(-16, MIN(16, Games[[#This Row],[RestDiff]]*8))</f>
        <v>8</v>
      </c>
      <c r="N556" s="1">
        <f>MAX(-16, MIN(16, Games[[#This Row],[OppRestDiff]]*8))</f>
        <v>-8</v>
      </c>
      <c r="O556" s="4" cm="1">
        <f t="array" ref="O5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1691.1221796987395</v>
      </c>
      <c r="P556" s="4" cm="1">
        <f t="array" ref="P5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1545.5385786549828</v>
      </c>
      <c r="Q556" s="4">
        <f>1/(1+10^(((Games[[#This Row],[OppPreGmRate]]+IF(Games[[#This Row],[HomeAway]]="A",HCA,0)+Games[[#This Row],[OppRestAdj]])-(Games[[#This Row],[PreGmRate]]+IF(Games[[#This Row],[HomeAway]]="H",HCA,0)+Games[[#This Row],[RestAdj]]))/400))</f>
        <v>0.60983224133021241</v>
      </c>
      <c r="R556" s="1">
        <v>72</v>
      </c>
      <c r="S556" s="1">
        <v>83</v>
      </c>
      <c r="T556" s="1">
        <v>0</v>
      </c>
      <c r="U556" s="1">
        <f>Games[[#This Row],[PointsFor]]-Games[[#This Row],[PointsAgainst]]</f>
        <v>-11</v>
      </c>
      <c r="V556" s="1">
        <f>IF(Games[[#This Row],[MOV]]&gt;0,1,IF(Games[[#This Row],[MOV]]=0,0.5,0))</f>
        <v>0</v>
      </c>
      <c r="W556" s="4">
        <f>((ABS(Games[[#This Row],[MOV]])+5)^0.6)/(12+0.01*(ABS(Games[[#This Row],[PreGmRate]]-Games[[#This Row],[OppPreGmRate]])))*IF(Games[[#This Row],[OT]]=1,0.9,1)</f>
        <v>0.39224851127774274</v>
      </c>
      <c r="X556" s="7" cm="1">
        <f t="array" ref="X5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6" s="9">
        <f>MAX(kmin, kmax - 0.15 * MIN(Games[[#This Row],[GamesPlayed]], 82))</f>
        <v>69.400000000000006</v>
      </c>
      <c r="Z556" s="4">
        <f>Games[[#This Row],[K]]*Games[[#This Row],[POMult]]</f>
        <v>69.400000000000006</v>
      </c>
      <c r="AA556" s="4">
        <f>(Games[[#This Row],[Keff]]*Games[[#This Row],[MOVMult]])*(Games[[#This Row],[Result]]-Games[[#This Row],[ExpectedWin%]])</f>
        <v>-16.60088174209158</v>
      </c>
      <c r="AB556" s="4">
        <f>Games[[#This Row],[PreGmRate]]+Games[[#This Row],[RatingChange]]</f>
        <v>1674.5212979566479</v>
      </c>
      <c r="AC556" s="2">
        <f>IF(Games[[#This Row],[Type]]="R",IF(Games[[#This Row],[Result]]&gt;0.5,1,0),0)</f>
        <v>0</v>
      </c>
      <c r="AD556" s="2">
        <f>IF(Games[[#This Row],[Type]]="R",IF(Games[[#This Row],[Result]]&lt;0.5,1,0),0)</f>
        <v>1</v>
      </c>
      <c r="AE556" s="2">
        <f>IF(AND(Games[[#This Row],[Type]]="P",Games[[#This Row],[Round]]=1),IF(Games[[#This Row],[Result]]&gt;0.5,1,0),0)</f>
        <v>0</v>
      </c>
      <c r="AF556" s="2">
        <f>IF(AND(Games[[#This Row],[Type]]="P",Games[[#This Row],[Round]]=1),IF(Games[[#This Row],[Result]]&lt;0.5,1,0),0)</f>
        <v>0</v>
      </c>
      <c r="AG556" s="2">
        <f>IF(AND(Games[[#This Row],[Type]]="P",Games[[#This Row],[Round]]=2),IF(Games[[#This Row],[Result]]&gt;0.5,1,0),0)</f>
        <v>0</v>
      </c>
      <c r="AH556" s="2">
        <f>IF(AND(Games[[#This Row],[Type]]="P",Games[[#This Row],[Round]]=2),IF(Games[[#This Row],[Result]]&lt;0.5,1,0),0)</f>
        <v>0</v>
      </c>
      <c r="AI556" s="2">
        <f>IF(AND(Games[[#This Row],[Type]]="P",Games[[#This Row],[Round]]=3),IF(Games[[#This Row],[Result]]&gt;0.5,1,0),0)</f>
        <v>0</v>
      </c>
      <c r="AJ556" s="2">
        <f>IF(AND(Games[[#This Row],[Type]]="P",Games[[#This Row],[Round]]=3),IF(Games[[#This Row],[Result]]&lt;0.5,1,0),0)</f>
        <v>0</v>
      </c>
      <c r="AK556" s="2">
        <f>IF(AND(Games[[#This Row],[Type]]="P",Games[[#This Row],[Round]]=4),IF(Games[[#This Row],[Result]]&gt;0.5,1,0),0)</f>
        <v>0</v>
      </c>
      <c r="AL556" s="2">
        <f>IF(AND(Games[[#This Row],[Type]]="P",Games[[#This Row],[Round]]=4),IF(Games[[#This Row],[Result]]&lt;0.5,1,0),0)</f>
        <v>0</v>
      </c>
    </row>
    <row r="557" spans="1:38" x14ac:dyDescent="0.35">
      <c r="A557" s="10">
        <v>45909</v>
      </c>
      <c r="B557" s="2">
        <v>2025</v>
      </c>
      <c r="C557" s="2">
        <f>COUNTIFS(Games[Team],Games[[#This Row],[Team]],Games[Season],Games[[#This Row],[Season]],Games[Date],"&lt;=" &amp; Games[[#This Row],[Date]])</f>
        <v>45</v>
      </c>
      <c r="D557" s="2" t="s">
        <v>79</v>
      </c>
      <c r="E557" s="2" t="s">
        <v>80</v>
      </c>
      <c r="F557" s="1" t="s">
        <v>69</v>
      </c>
      <c r="G557" s="1" t="s">
        <v>67</v>
      </c>
      <c r="H557" s="1" t="s">
        <v>82</v>
      </c>
      <c r="I557" s="2" cm="1">
        <f t="array" ref="I5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7" s="2" cm="1">
        <f t="array" ref="J5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7" s="2">
        <f>Games[[#This Row],[DaysOff]]-Games[[#This Row],[OppDaysOff]]</f>
        <v>-1</v>
      </c>
      <c r="L557" s="2">
        <f>Games[[#This Row],[OppDaysOff]]-Games[[#This Row],[DaysOff]]</f>
        <v>1</v>
      </c>
      <c r="M557" s="1">
        <f>MAX(-16, MIN(16, Games[[#This Row],[RestDiff]]*8))</f>
        <v>-8</v>
      </c>
      <c r="N557" s="1">
        <f>MAX(-16, MIN(16, Games[[#This Row],[OppRestDiff]]*8))</f>
        <v>8</v>
      </c>
      <c r="O557" s="4" cm="1">
        <f t="array" ref="O5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1545.5385786549828</v>
      </c>
      <c r="P557" s="4" cm="1">
        <f t="array" ref="P5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1691.1221796987395</v>
      </c>
      <c r="Q557" s="4">
        <f>1/(1+10^(((Games[[#This Row],[OppPreGmRate]]+IF(Games[[#This Row],[HomeAway]]="A",HCA,0)+Games[[#This Row],[OppRestAdj]])-(Games[[#This Row],[PreGmRate]]+IF(Games[[#This Row],[HomeAway]]="H",HCA,0)+Games[[#This Row],[RestAdj]]))/400))</f>
        <v>0.39016775866978759</v>
      </c>
      <c r="R557" s="1">
        <v>83</v>
      </c>
      <c r="S557" s="1">
        <v>72</v>
      </c>
      <c r="T557" s="1">
        <v>0</v>
      </c>
      <c r="U557" s="1">
        <f>Games[[#This Row],[PointsFor]]-Games[[#This Row],[PointsAgainst]]</f>
        <v>11</v>
      </c>
      <c r="V557" s="1">
        <f>IF(Games[[#This Row],[MOV]]&gt;0,1,IF(Games[[#This Row],[MOV]]=0,0.5,0))</f>
        <v>1</v>
      </c>
      <c r="W557" s="4">
        <f>((ABS(Games[[#This Row],[MOV]])+5)^0.6)/(12+0.01*(ABS(Games[[#This Row],[PreGmRate]]-Games[[#This Row],[OppPreGmRate]])))*IF(Games[[#This Row],[OT]]=1,0.9,1)</f>
        <v>0.39224851127774274</v>
      </c>
      <c r="X557" s="7" cm="1">
        <f t="array" ref="X5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7" s="9">
        <f>MAX(kmin, kmax - 0.15 * MIN(Games[[#This Row],[GamesPlayed]], 82))</f>
        <v>69.25</v>
      </c>
      <c r="Z557" s="4">
        <f>Games[[#This Row],[K]]*Games[[#This Row],[POMult]]</f>
        <v>69.25</v>
      </c>
      <c r="AA557" s="4">
        <f>(Games[[#This Row],[Keff]]*Games[[#This Row],[MOVMult]])*(Games[[#This Row],[Result]]-Games[[#This Row],[ExpectedWin%]])</f>
        <v>16.565000873772938</v>
      </c>
      <c r="AB557" s="4">
        <f>Games[[#This Row],[PreGmRate]]+Games[[#This Row],[RatingChange]]</f>
        <v>1562.1035795287557</v>
      </c>
      <c r="AC557" s="2">
        <f>IF(Games[[#This Row],[Type]]="R",IF(Games[[#This Row],[Result]]&gt;0.5,1,0),0)</f>
        <v>1</v>
      </c>
      <c r="AD557" s="2">
        <f>IF(Games[[#This Row],[Type]]="R",IF(Games[[#This Row],[Result]]&lt;0.5,1,0),0)</f>
        <v>0</v>
      </c>
      <c r="AE557" s="2">
        <f>IF(AND(Games[[#This Row],[Type]]="P",Games[[#This Row],[Round]]=1),IF(Games[[#This Row],[Result]]&gt;0.5,1,0),0)</f>
        <v>0</v>
      </c>
      <c r="AF557" s="2">
        <f>IF(AND(Games[[#This Row],[Type]]="P",Games[[#This Row],[Round]]=1),IF(Games[[#This Row],[Result]]&lt;0.5,1,0),0)</f>
        <v>0</v>
      </c>
      <c r="AG557" s="2">
        <f>IF(AND(Games[[#This Row],[Type]]="P",Games[[#This Row],[Round]]=2),IF(Games[[#This Row],[Result]]&gt;0.5,1,0),0)</f>
        <v>0</v>
      </c>
      <c r="AH557" s="2">
        <f>IF(AND(Games[[#This Row],[Type]]="P",Games[[#This Row],[Round]]=2),IF(Games[[#This Row],[Result]]&lt;0.5,1,0),0)</f>
        <v>0</v>
      </c>
      <c r="AI557" s="2">
        <f>IF(AND(Games[[#This Row],[Type]]="P",Games[[#This Row],[Round]]=3),IF(Games[[#This Row],[Result]]&gt;0.5,1,0),0)</f>
        <v>0</v>
      </c>
      <c r="AJ557" s="2">
        <f>IF(AND(Games[[#This Row],[Type]]="P",Games[[#This Row],[Round]]=3),IF(Games[[#This Row],[Result]]&lt;0.5,1,0),0)</f>
        <v>0</v>
      </c>
      <c r="AK557" s="2">
        <f>IF(AND(Games[[#This Row],[Type]]="P",Games[[#This Row],[Round]]=4),IF(Games[[#This Row],[Result]]&gt;0.5,1,0),0)</f>
        <v>0</v>
      </c>
      <c r="AL557" s="2">
        <f>IF(AND(Games[[#This Row],[Type]]="P",Games[[#This Row],[Round]]=4),IF(Games[[#This Row],[Result]]&lt;0.5,1,0),0)</f>
        <v>0</v>
      </c>
    </row>
    <row r="558" spans="1:38" x14ac:dyDescent="0.35">
      <c r="A558" s="10">
        <v>45909</v>
      </c>
      <c r="B558" s="2">
        <v>2025</v>
      </c>
      <c r="C558" s="2">
        <f>COUNTIFS(Games[Team],Games[[#This Row],[Team]],Games[Season],Games[[#This Row],[Season]],Games[Date],"&lt;=" &amp; Games[[#This Row],[Date]])</f>
        <v>43</v>
      </c>
      <c r="D558" s="2" t="s">
        <v>79</v>
      </c>
      <c r="E558" s="2" t="s">
        <v>80</v>
      </c>
      <c r="F558" s="1" t="s">
        <v>75</v>
      </c>
      <c r="G558" s="1" t="s">
        <v>86</v>
      </c>
      <c r="H558" s="1" t="s">
        <v>81</v>
      </c>
      <c r="I558" s="2" cm="1">
        <f t="array" ref="I5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8" s="2" cm="1">
        <f t="array" ref="J5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8" s="2">
        <f>Games[[#This Row],[DaysOff]]-Games[[#This Row],[OppDaysOff]]</f>
        <v>0</v>
      </c>
      <c r="L558" s="2">
        <f>Games[[#This Row],[OppDaysOff]]-Games[[#This Row],[DaysOff]]</f>
        <v>0</v>
      </c>
      <c r="M558" s="1">
        <f>MAX(-16, MIN(16, Games[[#This Row],[RestDiff]]*8))</f>
        <v>0</v>
      </c>
      <c r="N558" s="1">
        <f>MAX(-16, MIN(16, Games[[#This Row],[OppRestDiff]]*8))</f>
        <v>0</v>
      </c>
      <c r="O558" s="4" cm="1">
        <f t="array" ref="O5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1291.6902345165774</v>
      </c>
      <c r="P558" s="4" cm="1">
        <f t="array" ref="P5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1656.2085401563932</v>
      </c>
      <c r="Q558" s="4">
        <f>1/(1+10^(((Games[[#This Row],[OppPreGmRate]]+IF(Games[[#This Row],[HomeAway]]="A",HCA,0)+Games[[#This Row],[OppRestAdj]])-(Games[[#This Row],[PreGmRate]]+IF(Games[[#This Row],[HomeAway]]="H",HCA,0)+Games[[#This Row],[RestAdj]]))/400))</f>
        <v>7.0313807679906692E-2</v>
      </c>
      <c r="R558" s="1">
        <v>61</v>
      </c>
      <c r="S558" s="1">
        <v>92</v>
      </c>
      <c r="T558" s="1">
        <v>0</v>
      </c>
      <c r="U558" s="1">
        <f>Games[[#This Row],[PointsFor]]-Games[[#This Row],[PointsAgainst]]</f>
        <v>-31</v>
      </c>
      <c r="V558" s="1">
        <f>IF(Games[[#This Row],[MOV]]&gt;0,1,IF(Games[[#This Row],[MOV]]=0,0.5,0))</f>
        <v>0</v>
      </c>
      <c r="W558" s="4">
        <f>((ABS(Games[[#This Row],[MOV]])+5)^0.6)/(12+0.01*(ABS(Games[[#This Row],[PreGmRate]]-Games[[#This Row],[OppPreGmRate]])))*IF(Games[[#This Row],[OT]]=1,0.9,1)</f>
        <v>0.54878325524739258</v>
      </c>
      <c r="X558" s="7" cm="1">
        <f t="array" ref="X5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8" s="9">
        <f>MAX(kmin, kmax - 0.15 * MIN(Games[[#This Row],[GamesPlayed]], 82))</f>
        <v>69.55</v>
      </c>
      <c r="Z558" s="4">
        <f>Games[[#This Row],[K]]*Games[[#This Row],[POMult]]</f>
        <v>69.55</v>
      </c>
      <c r="AA558" s="4">
        <f>(Games[[#This Row],[Keff]]*Games[[#This Row],[MOVMult]])*(Games[[#This Row],[Result]]-Games[[#This Row],[ExpectedWin%]])</f>
        <v>-2.6837286505989431</v>
      </c>
      <c r="AB558" s="4">
        <f>Games[[#This Row],[PreGmRate]]+Games[[#This Row],[RatingChange]]</f>
        <v>1289.0065058659784</v>
      </c>
      <c r="AC558" s="2">
        <f>IF(Games[[#This Row],[Type]]="R",IF(Games[[#This Row],[Result]]&gt;0.5,1,0),0)</f>
        <v>0</v>
      </c>
      <c r="AD558" s="2">
        <f>IF(Games[[#This Row],[Type]]="R",IF(Games[[#This Row],[Result]]&lt;0.5,1,0),0)</f>
        <v>1</v>
      </c>
      <c r="AE558" s="2">
        <f>IF(AND(Games[[#This Row],[Type]]="P",Games[[#This Row],[Round]]=1),IF(Games[[#This Row],[Result]]&gt;0.5,1,0),0)</f>
        <v>0</v>
      </c>
      <c r="AF558" s="2">
        <f>IF(AND(Games[[#This Row],[Type]]="P",Games[[#This Row],[Round]]=1),IF(Games[[#This Row],[Result]]&lt;0.5,1,0),0)</f>
        <v>0</v>
      </c>
      <c r="AG558" s="2">
        <f>IF(AND(Games[[#This Row],[Type]]="P",Games[[#This Row],[Round]]=2),IF(Games[[#This Row],[Result]]&gt;0.5,1,0),0)</f>
        <v>0</v>
      </c>
      <c r="AH558" s="2">
        <f>IF(AND(Games[[#This Row],[Type]]="P",Games[[#This Row],[Round]]=2),IF(Games[[#This Row],[Result]]&lt;0.5,1,0),0)</f>
        <v>0</v>
      </c>
      <c r="AI558" s="2">
        <f>IF(AND(Games[[#This Row],[Type]]="P",Games[[#This Row],[Round]]=3),IF(Games[[#This Row],[Result]]&gt;0.5,1,0),0)</f>
        <v>0</v>
      </c>
      <c r="AJ558" s="2">
        <f>IF(AND(Games[[#This Row],[Type]]="P",Games[[#This Row],[Round]]=3),IF(Games[[#This Row],[Result]]&lt;0.5,1,0),0)</f>
        <v>0</v>
      </c>
      <c r="AK558" s="2">
        <f>IF(AND(Games[[#This Row],[Type]]="P",Games[[#This Row],[Round]]=4),IF(Games[[#This Row],[Result]]&gt;0.5,1,0),0)</f>
        <v>0</v>
      </c>
      <c r="AL558" s="2">
        <f>IF(AND(Games[[#This Row],[Type]]="P",Games[[#This Row],[Round]]=4),IF(Games[[#This Row],[Result]]&lt;0.5,1,0),0)</f>
        <v>0</v>
      </c>
    </row>
    <row r="559" spans="1:38" x14ac:dyDescent="0.35">
      <c r="A559" s="10">
        <v>45909</v>
      </c>
      <c r="B559" s="2">
        <v>2025</v>
      </c>
      <c r="C559" s="2">
        <f>COUNTIFS(Games[Team],Games[[#This Row],[Team]],Games[Season],Games[[#This Row],[Season]],Games[Date],"&lt;=" &amp; Games[[#This Row],[Date]])</f>
        <v>43</v>
      </c>
      <c r="D559" s="2" t="s">
        <v>79</v>
      </c>
      <c r="E559" s="2" t="s">
        <v>80</v>
      </c>
      <c r="F559" s="1" t="s">
        <v>86</v>
      </c>
      <c r="G559" s="1" t="s">
        <v>75</v>
      </c>
      <c r="H559" s="1" t="s">
        <v>82</v>
      </c>
      <c r="I559" s="2" cm="1">
        <f t="array" ref="I5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9" s="2" cm="1">
        <f t="array" ref="J5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9" s="2">
        <f>Games[[#This Row],[DaysOff]]-Games[[#This Row],[OppDaysOff]]</f>
        <v>0</v>
      </c>
      <c r="L559" s="2">
        <f>Games[[#This Row],[OppDaysOff]]-Games[[#This Row],[DaysOff]]</f>
        <v>0</v>
      </c>
      <c r="M559" s="1">
        <f>MAX(-16, MIN(16, Games[[#This Row],[RestDiff]]*8))</f>
        <v>0</v>
      </c>
      <c r="N559" s="1">
        <f>MAX(-16, MIN(16, Games[[#This Row],[OppRestDiff]]*8))</f>
        <v>0</v>
      </c>
      <c r="O559" s="4" cm="1">
        <f t="array" ref="O5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1656.2085401563932</v>
      </c>
      <c r="P559" s="4" cm="1">
        <f t="array" ref="P5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1291.6902345165774</v>
      </c>
      <c r="Q559" s="4">
        <f>1/(1+10^(((Games[[#This Row],[OppPreGmRate]]+IF(Games[[#This Row],[HomeAway]]="A",HCA,0)+Games[[#This Row],[OppRestAdj]])-(Games[[#This Row],[PreGmRate]]+IF(Games[[#This Row],[HomeAway]]="H",HCA,0)+Games[[#This Row],[RestAdj]]))/400))</f>
        <v>0.9296861923200932</v>
      </c>
      <c r="R559" s="1">
        <v>92</v>
      </c>
      <c r="S559" s="1">
        <v>61</v>
      </c>
      <c r="T559" s="1">
        <v>0</v>
      </c>
      <c r="U559" s="1">
        <f>Games[[#This Row],[PointsFor]]-Games[[#This Row],[PointsAgainst]]</f>
        <v>31</v>
      </c>
      <c r="V559" s="1">
        <f>IF(Games[[#This Row],[MOV]]&gt;0,1,IF(Games[[#This Row],[MOV]]=0,0.5,0))</f>
        <v>1</v>
      </c>
      <c r="W559" s="4">
        <f>((ABS(Games[[#This Row],[MOV]])+5)^0.6)/(12+0.01*(ABS(Games[[#This Row],[PreGmRate]]-Games[[#This Row],[OppPreGmRate]])))*IF(Games[[#This Row],[OT]]=1,0.9,1)</f>
        <v>0.54878325524739258</v>
      </c>
      <c r="X559" s="7" cm="1">
        <f t="array" ref="X5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9" s="9">
        <f>MAX(kmin, kmax - 0.15 * MIN(Games[[#This Row],[GamesPlayed]], 82))</f>
        <v>69.55</v>
      </c>
      <c r="Z559" s="4">
        <f>Games[[#This Row],[K]]*Games[[#This Row],[POMult]]</f>
        <v>69.55</v>
      </c>
      <c r="AA559" s="4">
        <f>(Games[[#This Row],[Keff]]*Games[[#This Row],[MOVMult]])*(Games[[#This Row],[Result]]-Games[[#This Row],[ExpectedWin%]])</f>
        <v>2.6837286505989475</v>
      </c>
      <c r="AB559" s="4">
        <f>Games[[#This Row],[PreGmRate]]+Games[[#This Row],[RatingChange]]</f>
        <v>1658.8922688069922</v>
      </c>
      <c r="AC559" s="2">
        <f>IF(Games[[#This Row],[Type]]="R",IF(Games[[#This Row],[Result]]&gt;0.5,1,0),0)</f>
        <v>1</v>
      </c>
      <c r="AD559" s="2">
        <f>IF(Games[[#This Row],[Type]]="R",IF(Games[[#This Row],[Result]]&lt;0.5,1,0),0)</f>
        <v>0</v>
      </c>
      <c r="AE559" s="2">
        <f>IF(AND(Games[[#This Row],[Type]]="P",Games[[#This Row],[Round]]=1),IF(Games[[#This Row],[Result]]&gt;0.5,1,0),0)</f>
        <v>0</v>
      </c>
      <c r="AF559" s="2">
        <f>IF(AND(Games[[#This Row],[Type]]="P",Games[[#This Row],[Round]]=1),IF(Games[[#This Row],[Result]]&lt;0.5,1,0),0)</f>
        <v>0</v>
      </c>
      <c r="AG559" s="2">
        <f>IF(AND(Games[[#This Row],[Type]]="P",Games[[#This Row],[Round]]=2),IF(Games[[#This Row],[Result]]&gt;0.5,1,0),0)</f>
        <v>0</v>
      </c>
      <c r="AH559" s="2">
        <f>IF(AND(Games[[#This Row],[Type]]="P",Games[[#This Row],[Round]]=2),IF(Games[[#This Row],[Result]]&lt;0.5,1,0),0)</f>
        <v>0</v>
      </c>
      <c r="AI559" s="2">
        <f>IF(AND(Games[[#This Row],[Type]]="P",Games[[#This Row],[Round]]=3),IF(Games[[#This Row],[Result]]&gt;0.5,1,0),0)</f>
        <v>0</v>
      </c>
      <c r="AJ559" s="2">
        <f>IF(AND(Games[[#This Row],[Type]]="P",Games[[#This Row],[Round]]=3),IF(Games[[#This Row],[Result]]&lt;0.5,1,0),0)</f>
        <v>0</v>
      </c>
      <c r="AK559" s="2">
        <f>IF(AND(Games[[#This Row],[Type]]="P",Games[[#This Row],[Round]]=4),IF(Games[[#This Row],[Result]]&gt;0.5,1,0),0)</f>
        <v>0</v>
      </c>
      <c r="AL559" s="2">
        <f>IF(AND(Games[[#This Row],[Type]]="P",Games[[#This Row],[Round]]=4),IF(Games[[#This Row],[Result]]&lt;0.5,1,0),0)</f>
        <v>0</v>
      </c>
    </row>
    <row r="560" spans="1:38" x14ac:dyDescent="0.35">
      <c r="A560" s="10">
        <v>45909</v>
      </c>
      <c r="B560" s="2">
        <v>2025</v>
      </c>
      <c r="C560" s="2">
        <f>COUNTIFS(Games[Team],Games[[#This Row],[Team]],Games[Season],Games[[#This Row],[Season]],Games[Date],"&lt;=" &amp; Games[[#This Row],[Date]])</f>
        <v>44</v>
      </c>
      <c r="D560" s="2" t="s">
        <v>79</v>
      </c>
      <c r="E560" s="2" t="s">
        <v>80</v>
      </c>
      <c r="F560" s="1" t="s">
        <v>65</v>
      </c>
      <c r="G560" s="1" t="s">
        <v>60</v>
      </c>
      <c r="H560" s="1" t="s">
        <v>81</v>
      </c>
      <c r="I560" s="2" cm="1">
        <f t="array" ref="I5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0" s="2" cm="1">
        <f t="array" ref="J5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60" s="2">
        <f>Games[[#This Row],[DaysOff]]-Games[[#This Row],[OppDaysOff]]</f>
        <v>-2</v>
      </c>
      <c r="L560" s="2">
        <f>Games[[#This Row],[OppDaysOff]]-Games[[#This Row],[DaysOff]]</f>
        <v>2</v>
      </c>
      <c r="M560" s="1">
        <f>MAX(-16, MIN(16, Games[[#This Row],[RestDiff]]*8))</f>
        <v>-16</v>
      </c>
      <c r="N560" s="1">
        <f>MAX(-16, MIN(16, Games[[#This Row],[OppRestDiff]]*8))</f>
        <v>16</v>
      </c>
      <c r="O560" s="4" cm="1">
        <f t="array" ref="O5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1356.2112662981144</v>
      </c>
      <c r="P560" s="4" cm="1">
        <f t="array" ref="P5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1573.6343836286005</v>
      </c>
      <c r="Q560" s="4">
        <f>1/(1+10^(((Games[[#This Row],[OppPreGmRate]]+IF(Games[[#This Row],[HomeAway]]="A",HCA,0)+Games[[#This Row],[OppRestAdj]])-(Games[[#This Row],[PreGmRate]]+IF(Games[[#This Row],[HomeAway]]="H",HCA,0)+Games[[#This Row],[RestAdj]]))/400))</f>
        <v>0.12793543410072478</v>
      </c>
      <c r="R560" s="1">
        <v>66</v>
      </c>
      <c r="S560" s="1">
        <v>75</v>
      </c>
      <c r="T560" s="1">
        <v>0</v>
      </c>
      <c r="U560" s="1">
        <f>Games[[#This Row],[PointsFor]]-Games[[#This Row],[PointsAgainst]]</f>
        <v>-9</v>
      </c>
      <c r="V560" s="1">
        <f>IF(Games[[#This Row],[MOV]]&gt;0,1,IF(Games[[#This Row],[MOV]]=0,0.5,0))</f>
        <v>0</v>
      </c>
      <c r="W560" s="4">
        <f>((ABS(Games[[#This Row],[MOV]])+5)^0.6)/(12+0.01*(ABS(Games[[#This Row],[PreGmRate]]-Games[[#This Row],[OppPreGmRate]])))*IF(Games[[#This Row],[OT]]=1,0.9,1)</f>
        <v>0.34369824128041498</v>
      </c>
      <c r="X560" s="7" cm="1">
        <f t="array" ref="X5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0" s="9">
        <f>MAX(kmin, kmax - 0.15 * MIN(Games[[#This Row],[GamesPlayed]], 82))</f>
        <v>69.400000000000006</v>
      </c>
      <c r="Z560" s="4">
        <f>Games[[#This Row],[K]]*Games[[#This Row],[POMult]]</f>
        <v>69.400000000000006</v>
      </c>
      <c r="AA560" s="4">
        <f>(Games[[#This Row],[Keff]]*Games[[#This Row],[MOVMult]])*(Games[[#This Row],[Result]]-Games[[#This Row],[ExpectedWin%]])</f>
        <v>-3.0516001486318682</v>
      </c>
      <c r="AB560" s="4">
        <f>Games[[#This Row],[PreGmRate]]+Games[[#This Row],[RatingChange]]</f>
        <v>1353.1596661494825</v>
      </c>
      <c r="AC560" s="2">
        <f>IF(Games[[#This Row],[Type]]="R",IF(Games[[#This Row],[Result]]&gt;0.5,1,0),0)</f>
        <v>0</v>
      </c>
      <c r="AD560" s="2">
        <f>IF(Games[[#This Row],[Type]]="R",IF(Games[[#This Row],[Result]]&lt;0.5,1,0),0)</f>
        <v>1</v>
      </c>
      <c r="AE560" s="2">
        <f>IF(AND(Games[[#This Row],[Type]]="P",Games[[#This Row],[Round]]=1),IF(Games[[#This Row],[Result]]&gt;0.5,1,0),0)</f>
        <v>0</v>
      </c>
      <c r="AF560" s="2">
        <f>IF(AND(Games[[#This Row],[Type]]="P",Games[[#This Row],[Round]]=1),IF(Games[[#This Row],[Result]]&lt;0.5,1,0),0)</f>
        <v>0</v>
      </c>
      <c r="AG560" s="2">
        <f>IF(AND(Games[[#This Row],[Type]]="P",Games[[#This Row],[Round]]=2),IF(Games[[#This Row],[Result]]&gt;0.5,1,0),0)</f>
        <v>0</v>
      </c>
      <c r="AH560" s="2">
        <f>IF(AND(Games[[#This Row],[Type]]="P",Games[[#This Row],[Round]]=2),IF(Games[[#This Row],[Result]]&lt;0.5,1,0),0)</f>
        <v>0</v>
      </c>
      <c r="AI560" s="2">
        <f>IF(AND(Games[[#This Row],[Type]]="P",Games[[#This Row],[Round]]=3),IF(Games[[#This Row],[Result]]&gt;0.5,1,0),0)</f>
        <v>0</v>
      </c>
      <c r="AJ560" s="2">
        <f>IF(AND(Games[[#This Row],[Type]]="P",Games[[#This Row],[Round]]=3),IF(Games[[#This Row],[Result]]&lt;0.5,1,0),0)</f>
        <v>0</v>
      </c>
      <c r="AK560" s="2">
        <f>IF(AND(Games[[#This Row],[Type]]="P",Games[[#This Row],[Round]]=4),IF(Games[[#This Row],[Result]]&gt;0.5,1,0),0)</f>
        <v>0</v>
      </c>
      <c r="AL560" s="2">
        <f>IF(AND(Games[[#This Row],[Type]]="P",Games[[#This Row],[Round]]=4),IF(Games[[#This Row],[Result]]&lt;0.5,1,0),0)</f>
        <v>0</v>
      </c>
    </row>
    <row r="561" spans="1:38" x14ac:dyDescent="0.35">
      <c r="A561" s="10">
        <v>45909</v>
      </c>
      <c r="B561" s="2">
        <v>2025</v>
      </c>
      <c r="C561" s="2">
        <f>COUNTIFS(Games[Team],Games[[#This Row],[Team]],Games[Season],Games[[#This Row],[Season]],Games[Date],"&lt;=" &amp; Games[[#This Row],[Date]])</f>
        <v>43</v>
      </c>
      <c r="D561" s="2" t="s">
        <v>79</v>
      </c>
      <c r="E561" s="2" t="s">
        <v>80</v>
      </c>
      <c r="F561" s="1" t="s">
        <v>60</v>
      </c>
      <c r="G561" s="1" t="s">
        <v>65</v>
      </c>
      <c r="H561" s="1" t="s">
        <v>82</v>
      </c>
      <c r="I561" s="2" cm="1">
        <f t="array" ref="I5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561" s="2" cm="1">
        <f t="array" ref="J5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1" s="2">
        <f>Games[[#This Row],[DaysOff]]-Games[[#This Row],[OppDaysOff]]</f>
        <v>2</v>
      </c>
      <c r="L561" s="2">
        <f>Games[[#This Row],[OppDaysOff]]-Games[[#This Row],[DaysOff]]</f>
        <v>-2</v>
      </c>
      <c r="M561" s="1">
        <f>MAX(-16, MIN(16, Games[[#This Row],[RestDiff]]*8))</f>
        <v>16</v>
      </c>
      <c r="N561" s="1">
        <f>MAX(-16, MIN(16, Games[[#This Row],[OppRestDiff]]*8))</f>
        <v>-16</v>
      </c>
      <c r="O561" s="4" cm="1">
        <f t="array" ref="O5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1573.6343836286005</v>
      </c>
      <c r="P561" s="4" cm="1">
        <f t="array" ref="P5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1356.2112662981144</v>
      </c>
      <c r="Q561" s="4">
        <f>1/(1+10^(((Games[[#This Row],[OppPreGmRate]]+IF(Games[[#This Row],[HomeAway]]="A",HCA,0)+Games[[#This Row],[OppRestAdj]])-(Games[[#This Row],[PreGmRate]]+IF(Games[[#This Row],[HomeAway]]="H",HCA,0)+Games[[#This Row],[RestAdj]]))/400))</f>
        <v>0.87206456589927517</v>
      </c>
      <c r="R561" s="1">
        <v>75</v>
      </c>
      <c r="S561" s="1">
        <v>66</v>
      </c>
      <c r="T561" s="1">
        <v>0</v>
      </c>
      <c r="U561" s="1">
        <f>Games[[#This Row],[PointsFor]]-Games[[#This Row],[PointsAgainst]]</f>
        <v>9</v>
      </c>
      <c r="V561" s="1">
        <f>IF(Games[[#This Row],[MOV]]&gt;0,1,IF(Games[[#This Row],[MOV]]=0,0.5,0))</f>
        <v>1</v>
      </c>
      <c r="W561" s="4">
        <f>((ABS(Games[[#This Row],[MOV]])+5)^0.6)/(12+0.01*(ABS(Games[[#This Row],[PreGmRate]]-Games[[#This Row],[OppPreGmRate]])))*IF(Games[[#This Row],[OT]]=1,0.9,1)</f>
        <v>0.34369824128041498</v>
      </c>
      <c r="X561" s="7" cm="1">
        <f t="array" ref="X5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1" s="9">
        <f>MAX(kmin, kmax - 0.15 * MIN(Games[[#This Row],[GamesPlayed]], 82))</f>
        <v>69.55</v>
      </c>
      <c r="Z561" s="4">
        <f>Games[[#This Row],[K]]*Games[[#This Row],[POMult]]</f>
        <v>69.55</v>
      </c>
      <c r="AA561" s="4">
        <f>(Games[[#This Row],[Keff]]*Games[[#This Row],[MOVMult]])*(Games[[#This Row],[Result]]-Games[[#This Row],[ExpectedWin%]])</f>
        <v>3.0581958261865494</v>
      </c>
      <c r="AB561" s="4">
        <f>Games[[#This Row],[PreGmRate]]+Games[[#This Row],[RatingChange]]</f>
        <v>1576.6925794547872</v>
      </c>
      <c r="AC561" s="2">
        <f>IF(Games[[#This Row],[Type]]="R",IF(Games[[#This Row],[Result]]&gt;0.5,1,0),0)</f>
        <v>1</v>
      </c>
      <c r="AD561" s="2">
        <f>IF(Games[[#This Row],[Type]]="R",IF(Games[[#This Row],[Result]]&lt;0.5,1,0),0)</f>
        <v>0</v>
      </c>
      <c r="AE561" s="2">
        <f>IF(AND(Games[[#This Row],[Type]]="P",Games[[#This Row],[Round]]=1),IF(Games[[#This Row],[Result]]&gt;0.5,1,0),0)</f>
        <v>0</v>
      </c>
      <c r="AF561" s="2">
        <f>IF(AND(Games[[#This Row],[Type]]="P",Games[[#This Row],[Round]]=1),IF(Games[[#This Row],[Result]]&lt;0.5,1,0),0)</f>
        <v>0</v>
      </c>
      <c r="AG561" s="2">
        <f>IF(AND(Games[[#This Row],[Type]]="P",Games[[#This Row],[Round]]=2),IF(Games[[#This Row],[Result]]&gt;0.5,1,0),0)</f>
        <v>0</v>
      </c>
      <c r="AH561" s="2">
        <f>IF(AND(Games[[#This Row],[Type]]="P",Games[[#This Row],[Round]]=2),IF(Games[[#This Row],[Result]]&lt;0.5,1,0),0)</f>
        <v>0</v>
      </c>
      <c r="AI561" s="2">
        <f>IF(AND(Games[[#This Row],[Type]]="P",Games[[#This Row],[Round]]=3),IF(Games[[#This Row],[Result]]&gt;0.5,1,0),0)</f>
        <v>0</v>
      </c>
      <c r="AJ561" s="2">
        <f>IF(AND(Games[[#This Row],[Type]]="P",Games[[#This Row],[Round]]=3),IF(Games[[#This Row],[Result]]&lt;0.5,1,0),0)</f>
        <v>0</v>
      </c>
      <c r="AK561" s="2">
        <f>IF(AND(Games[[#This Row],[Type]]="P",Games[[#This Row],[Round]]=4),IF(Games[[#This Row],[Result]]&gt;0.5,1,0),0)</f>
        <v>0</v>
      </c>
      <c r="AL561" s="2">
        <f>IF(AND(Games[[#This Row],[Type]]="P",Games[[#This Row],[Round]]=4),IF(Games[[#This Row],[Result]]&lt;0.5,1,0),0)</f>
        <v>0</v>
      </c>
    </row>
    <row r="562" spans="1:38" x14ac:dyDescent="0.35">
      <c r="A562" s="10">
        <v>45909</v>
      </c>
      <c r="B562" s="2">
        <v>2025</v>
      </c>
      <c r="C562" s="2">
        <f>COUNTIFS(Games[Team],Games[[#This Row],[Team]],Games[Season],Games[[#This Row],[Season]],Games[Date],"&lt;=" &amp; Games[[#This Row],[Date]])</f>
        <v>43</v>
      </c>
      <c r="D562" s="2" t="s">
        <v>79</v>
      </c>
      <c r="E562" s="2" t="s">
        <v>80</v>
      </c>
      <c r="F562" s="1" t="s">
        <v>63</v>
      </c>
      <c r="G562" s="1" t="s">
        <v>40</v>
      </c>
      <c r="H562" s="1" t="s">
        <v>81</v>
      </c>
      <c r="I562" s="2" cm="1">
        <f t="array" ref="I5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2" s="2" cm="1">
        <f t="array" ref="J5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62" s="2">
        <f>Games[[#This Row],[DaysOff]]-Games[[#This Row],[OppDaysOff]]</f>
        <v>-1</v>
      </c>
      <c r="L562" s="2">
        <f>Games[[#This Row],[OppDaysOff]]-Games[[#This Row],[DaysOff]]</f>
        <v>1</v>
      </c>
      <c r="M562" s="1">
        <f>MAX(-16, MIN(16, Games[[#This Row],[RestDiff]]*8))</f>
        <v>-8</v>
      </c>
      <c r="N562" s="1">
        <f>MAX(-16, MIN(16, Games[[#This Row],[OppRestDiff]]*8))</f>
        <v>8</v>
      </c>
      <c r="O562" s="4" cm="1">
        <f t="array" ref="O5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1454.4979481005653</v>
      </c>
      <c r="P562" s="4" cm="1">
        <f t="array" ref="P5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1592.0460263819218</v>
      </c>
      <c r="Q562" s="4">
        <f>1/(1+10^(((Games[[#This Row],[OppPreGmRate]]+IF(Games[[#This Row],[HomeAway]]="A",HCA,0)+Games[[#This Row],[OppRestAdj]])-(Games[[#This Row],[PreGmRate]]+IF(Games[[#This Row],[HomeAway]]="H",HCA,0)+Games[[#This Row],[RestAdj]]))/400))</f>
        <v>0.20303430831574951</v>
      </c>
      <c r="R562" s="1">
        <v>88</v>
      </c>
      <c r="S562" s="1">
        <v>83</v>
      </c>
      <c r="T562" s="1">
        <v>0</v>
      </c>
      <c r="U562" s="1">
        <f>Games[[#This Row],[PointsFor]]-Games[[#This Row],[PointsAgainst]]</f>
        <v>5</v>
      </c>
      <c r="V562" s="1">
        <f>IF(Games[[#This Row],[MOV]]&gt;0,1,IF(Games[[#This Row],[MOV]]=0,0.5,0))</f>
        <v>1</v>
      </c>
      <c r="W562" s="4">
        <f>((ABS(Games[[#This Row],[MOV]])+5)^0.6)/(12+0.01*(ABS(Games[[#This Row],[PreGmRate]]-Games[[#This Row],[OppPreGmRate]])))*IF(Games[[#This Row],[OT]]=1,0.9,1)</f>
        <v>0.29763952191164111</v>
      </c>
      <c r="X562" s="7" cm="1">
        <f t="array" ref="X5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2" s="9">
        <f>MAX(kmin, kmax - 0.15 * MIN(Games[[#This Row],[GamesPlayed]], 82))</f>
        <v>69.55</v>
      </c>
      <c r="Z562" s="4">
        <f>Games[[#This Row],[K]]*Games[[#This Row],[POMult]]</f>
        <v>69.55</v>
      </c>
      <c r="AA562" s="4">
        <f>(Games[[#This Row],[Keff]]*Games[[#This Row],[MOVMult]])*(Games[[#This Row],[Result]]-Games[[#This Row],[ExpectedWin%]])</f>
        <v>16.49785030234785</v>
      </c>
      <c r="AB562" s="4">
        <f>Games[[#This Row],[PreGmRate]]+Games[[#This Row],[RatingChange]]</f>
        <v>1470.9957984029131</v>
      </c>
      <c r="AC562" s="2">
        <f>IF(Games[[#This Row],[Type]]="R",IF(Games[[#This Row],[Result]]&gt;0.5,1,0),0)</f>
        <v>1</v>
      </c>
      <c r="AD562" s="2">
        <f>IF(Games[[#This Row],[Type]]="R",IF(Games[[#This Row],[Result]]&lt;0.5,1,0),0)</f>
        <v>0</v>
      </c>
      <c r="AE562" s="2">
        <f>IF(AND(Games[[#This Row],[Type]]="P",Games[[#This Row],[Round]]=1),IF(Games[[#This Row],[Result]]&gt;0.5,1,0),0)</f>
        <v>0</v>
      </c>
      <c r="AF562" s="2">
        <f>IF(AND(Games[[#This Row],[Type]]="P",Games[[#This Row],[Round]]=1),IF(Games[[#This Row],[Result]]&lt;0.5,1,0),0)</f>
        <v>0</v>
      </c>
      <c r="AG562" s="2">
        <f>IF(AND(Games[[#This Row],[Type]]="P",Games[[#This Row],[Round]]=2),IF(Games[[#This Row],[Result]]&gt;0.5,1,0),0)</f>
        <v>0</v>
      </c>
      <c r="AH562" s="2">
        <f>IF(AND(Games[[#This Row],[Type]]="P",Games[[#This Row],[Round]]=2),IF(Games[[#This Row],[Result]]&lt;0.5,1,0),0)</f>
        <v>0</v>
      </c>
      <c r="AI562" s="2">
        <f>IF(AND(Games[[#This Row],[Type]]="P",Games[[#This Row],[Round]]=3),IF(Games[[#This Row],[Result]]&gt;0.5,1,0),0)</f>
        <v>0</v>
      </c>
      <c r="AJ562" s="2">
        <f>IF(AND(Games[[#This Row],[Type]]="P",Games[[#This Row],[Round]]=3),IF(Games[[#This Row],[Result]]&lt;0.5,1,0),0)</f>
        <v>0</v>
      </c>
      <c r="AK562" s="2">
        <f>IF(AND(Games[[#This Row],[Type]]="P",Games[[#This Row],[Round]]=4),IF(Games[[#This Row],[Result]]&gt;0.5,1,0),0)</f>
        <v>0</v>
      </c>
      <c r="AL562" s="2">
        <f>IF(AND(Games[[#This Row],[Type]]="P",Games[[#This Row],[Round]]=4),IF(Games[[#This Row],[Result]]&lt;0.5,1,0),0)</f>
        <v>0</v>
      </c>
    </row>
    <row r="563" spans="1:38" x14ac:dyDescent="0.35">
      <c r="A563" s="10">
        <v>45909</v>
      </c>
      <c r="B563" s="2">
        <v>2025</v>
      </c>
      <c r="C563" s="2">
        <f>COUNTIFS(Games[Team],Games[[#This Row],[Team]],Games[Season],Games[[#This Row],[Season]],Games[Date],"&lt;=" &amp; Games[[#This Row],[Date]])</f>
        <v>43</v>
      </c>
      <c r="D563" s="2" t="s">
        <v>79</v>
      </c>
      <c r="E563" s="2" t="s">
        <v>80</v>
      </c>
      <c r="F563" s="1" t="s">
        <v>40</v>
      </c>
      <c r="G563" s="1" t="s">
        <v>63</v>
      </c>
      <c r="H563" s="1" t="s">
        <v>82</v>
      </c>
      <c r="I563" s="2" cm="1">
        <f t="array" ref="I5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63" s="2" cm="1">
        <f t="array" ref="J5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3" s="2">
        <f>Games[[#This Row],[DaysOff]]-Games[[#This Row],[OppDaysOff]]</f>
        <v>1</v>
      </c>
      <c r="L563" s="2">
        <f>Games[[#This Row],[OppDaysOff]]-Games[[#This Row],[DaysOff]]</f>
        <v>-1</v>
      </c>
      <c r="M563" s="1">
        <f>MAX(-16, MIN(16, Games[[#This Row],[RestDiff]]*8))</f>
        <v>8</v>
      </c>
      <c r="N563" s="1">
        <f>MAX(-16, MIN(16, Games[[#This Row],[OppRestDiff]]*8))</f>
        <v>-8</v>
      </c>
      <c r="O563" s="4" cm="1">
        <f t="array" ref="O5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1592.0460263819218</v>
      </c>
      <c r="P563" s="4" cm="1">
        <f t="array" ref="P5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1454.4979481005653</v>
      </c>
      <c r="Q563" s="4">
        <f>1/(1+10^(((Games[[#This Row],[OppPreGmRate]]+IF(Games[[#This Row],[HomeAway]]="A",HCA,0)+Games[[#This Row],[OppRestAdj]])-(Games[[#This Row],[PreGmRate]]+IF(Games[[#This Row],[HomeAway]]="H",HCA,0)+Games[[#This Row],[RestAdj]]))/400))</f>
        <v>0.79696569168425058</v>
      </c>
      <c r="R563" s="1">
        <v>83</v>
      </c>
      <c r="S563" s="1">
        <v>88</v>
      </c>
      <c r="T563" s="1">
        <v>0</v>
      </c>
      <c r="U563" s="1">
        <f>Games[[#This Row],[PointsFor]]-Games[[#This Row],[PointsAgainst]]</f>
        <v>-5</v>
      </c>
      <c r="V563" s="1">
        <f>IF(Games[[#This Row],[MOV]]&gt;0,1,IF(Games[[#This Row],[MOV]]=0,0.5,0))</f>
        <v>0</v>
      </c>
      <c r="W563" s="4">
        <f>((ABS(Games[[#This Row],[MOV]])+5)^0.6)/(12+0.01*(ABS(Games[[#This Row],[PreGmRate]]-Games[[#This Row],[OppPreGmRate]])))*IF(Games[[#This Row],[OT]]=1,0.9,1)</f>
        <v>0.29763952191164111</v>
      </c>
      <c r="X563" s="7" cm="1">
        <f t="array" ref="X5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3" s="9">
        <f>MAX(kmin, kmax - 0.15 * MIN(Games[[#This Row],[GamesPlayed]], 82))</f>
        <v>69.55</v>
      </c>
      <c r="Z563" s="4">
        <f>Games[[#This Row],[K]]*Games[[#This Row],[POMult]]</f>
        <v>69.55</v>
      </c>
      <c r="AA563" s="4">
        <f>(Games[[#This Row],[Keff]]*Games[[#This Row],[MOVMult]])*(Games[[#This Row],[Result]]-Games[[#This Row],[ExpectedWin%]])</f>
        <v>-16.497850302347853</v>
      </c>
      <c r="AB563" s="4">
        <f>Games[[#This Row],[PreGmRate]]+Games[[#This Row],[RatingChange]]</f>
        <v>1575.548176079574</v>
      </c>
      <c r="AC563" s="2">
        <f>IF(Games[[#This Row],[Type]]="R",IF(Games[[#This Row],[Result]]&gt;0.5,1,0),0)</f>
        <v>0</v>
      </c>
      <c r="AD563" s="2">
        <f>IF(Games[[#This Row],[Type]]="R",IF(Games[[#This Row],[Result]]&lt;0.5,1,0),0)</f>
        <v>1</v>
      </c>
      <c r="AE563" s="2">
        <f>IF(AND(Games[[#This Row],[Type]]="P",Games[[#This Row],[Round]]=1),IF(Games[[#This Row],[Result]]&gt;0.5,1,0),0)</f>
        <v>0</v>
      </c>
      <c r="AF563" s="2">
        <f>IF(AND(Games[[#This Row],[Type]]="P",Games[[#This Row],[Round]]=1),IF(Games[[#This Row],[Result]]&lt;0.5,1,0),0)</f>
        <v>0</v>
      </c>
      <c r="AG563" s="2">
        <f>IF(AND(Games[[#This Row],[Type]]="P",Games[[#This Row],[Round]]=2),IF(Games[[#This Row],[Result]]&gt;0.5,1,0),0)</f>
        <v>0</v>
      </c>
      <c r="AH563" s="2">
        <f>IF(AND(Games[[#This Row],[Type]]="P",Games[[#This Row],[Round]]=2),IF(Games[[#This Row],[Result]]&lt;0.5,1,0),0)</f>
        <v>0</v>
      </c>
      <c r="AI563" s="2">
        <f>IF(AND(Games[[#This Row],[Type]]="P",Games[[#This Row],[Round]]=3),IF(Games[[#This Row],[Result]]&gt;0.5,1,0),0)</f>
        <v>0</v>
      </c>
      <c r="AJ563" s="2">
        <f>IF(AND(Games[[#This Row],[Type]]="P",Games[[#This Row],[Round]]=3),IF(Games[[#This Row],[Result]]&lt;0.5,1,0),0)</f>
        <v>0</v>
      </c>
      <c r="AK563" s="2">
        <f>IF(AND(Games[[#This Row],[Type]]="P",Games[[#This Row],[Round]]=4),IF(Games[[#This Row],[Result]]&gt;0.5,1,0),0)</f>
        <v>0</v>
      </c>
      <c r="AL563" s="2">
        <f>IF(AND(Games[[#This Row],[Type]]="P",Games[[#This Row],[Round]]=4),IF(Games[[#This Row],[Result]]&lt;0.5,1,0),0)</f>
        <v>0</v>
      </c>
    </row>
    <row r="564" spans="1:38" x14ac:dyDescent="0.35">
      <c r="A564" s="10">
        <v>45909</v>
      </c>
      <c r="B564" s="2">
        <v>2025</v>
      </c>
      <c r="C564" s="2">
        <f>COUNTIFS(Games[Team],Games[[#This Row],[Team]],Games[Season],Games[[#This Row],[Season]],Games[Date],"&lt;=" &amp; Games[[#This Row],[Date]])</f>
        <v>43</v>
      </c>
      <c r="D564" s="2" t="s">
        <v>79</v>
      </c>
      <c r="E564" s="2" t="s">
        <v>80</v>
      </c>
      <c r="F564" s="1" t="s">
        <v>88</v>
      </c>
      <c r="G564" s="1" t="s">
        <v>71</v>
      </c>
      <c r="H564" s="1" t="s">
        <v>81</v>
      </c>
      <c r="I564" s="2" cm="1">
        <f t="array" ref="I5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64" s="2" cm="1">
        <f t="array" ref="J56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64" s="2">
        <f>Games[[#This Row],[DaysOff]]-Games[[#This Row],[OppDaysOff]]</f>
        <v>-1</v>
      </c>
      <c r="L564" s="2">
        <f>Games[[#This Row],[OppDaysOff]]-Games[[#This Row],[DaysOff]]</f>
        <v>1</v>
      </c>
      <c r="M564" s="1">
        <f>MAX(-16, MIN(16, Games[[#This Row],[RestDiff]]*8))</f>
        <v>-8</v>
      </c>
      <c r="N564" s="1">
        <f>MAX(-16, MIN(16, Games[[#This Row],[OppRestDiff]]*8))</f>
        <v>8</v>
      </c>
      <c r="O564" s="4" cm="1">
        <f t="array" ref="O5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1533.4963641320644</v>
      </c>
      <c r="P564" s="4" cm="1">
        <f t="array" ref="P5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1503.4528194616146</v>
      </c>
      <c r="Q564" s="4">
        <f>1/(1+10^(((Games[[#This Row],[OppPreGmRate]]+IF(Games[[#This Row],[HomeAway]]="A",HCA,0)+Games[[#This Row],[OppRestAdj]])-(Games[[#This Row],[PreGmRate]]+IF(Games[[#This Row],[HomeAway]]="H",HCA,0)+Games[[#This Row],[RestAdj]]))/400))</f>
        <v>0.40066339412450175</v>
      </c>
      <c r="R564" s="1">
        <v>73</v>
      </c>
      <c r="S564" s="1">
        <v>74</v>
      </c>
      <c r="T564" s="1">
        <v>0</v>
      </c>
      <c r="U564" s="1">
        <f>Games[[#This Row],[PointsFor]]-Games[[#This Row],[PointsAgainst]]</f>
        <v>-1</v>
      </c>
      <c r="V564" s="1">
        <f>IF(Games[[#This Row],[MOV]]&gt;0,1,IF(Games[[#This Row],[MOV]]=0,0.5,0))</f>
        <v>0</v>
      </c>
      <c r="W564" s="4">
        <f>((ABS(Games[[#This Row],[MOV]])+5)^0.6)/(12+0.01*(ABS(Games[[#This Row],[PreGmRate]]-Games[[#This Row],[OppPreGmRate]])))*IF(Games[[#This Row],[OT]]=1,0.9,1)</f>
        <v>0.23821563588373298</v>
      </c>
      <c r="X564" s="7" cm="1">
        <f t="array" ref="X5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4" s="9">
        <f>MAX(kmin, kmax - 0.15 * MIN(Games[[#This Row],[GamesPlayed]], 82))</f>
        <v>69.55</v>
      </c>
      <c r="Z564" s="4">
        <f>Games[[#This Row],[K]]*Games[[#This Row],[POMult]]</f>
        <v>69.55</v>
      </c>
      <c r="AA564" s="4">
        <f>(Games[[#This Row],[Keff]]*Games[[#This Row],[MOVMult]])*(Games[[#This Row],[Result]]-Games[[#This Row],[ExpectedWin%]])</f>
        <v>-6.6381500361261869</v>
      </c>
      <c r="AB564" s="4">
        <f>Games[[#This Row],[PreGmRate]]+Games[[#This Row],[RatingChange]]</f>
        <v>1526.8582140959381</v>
      </c>
      <c r="AC564" s="2">
        <f>IF(Games[[#This Row],[Type]]="R",IF(Games[[#This Row],[Result]]&gt;0.5,1,0),0)</f>
        <v>0</v>
      </c>
      <c r="AD564" s="2">
        <f>IF(Games[[#This Row],[Type]]="R",IF(Games[[#This Row],[Result]]&lt;0.5,1,0),0)</f>
        <v>1</v>
      </c>
      <c r="AE564" s="2">
        <f>IF(AND(Games[[#This Row],[Type]]="P",Games[[#This Row],[Round]]=1),IF(Games[[#This Row],[Result]]&gt;0.5,1,0),0)</f>
        <v>0</v>
      </c>
      <c r="AF564" s="2">
        <f>IF(AND(Games[[#This Row],[Type]]="P",Games[[#This Row],[Round]]=1),IF(Games[[#This Row],[Result]]&lt;0.5,1,0),0)</f>
        <v>0</v>
      </c>
      <c r="AG564" s="2">
        <f>IF(AND(Games[[#This Row],[Type]]="P",Games[[#This Row],[Round]]=2),IF(Games[[#This Row],[Result]]&gt;0.5,1,0),0)</f>
        <v>0</v>
      </c>
      <c r="AH564" s="2">
        <f>IF(AND(Games[[#This Row],[Type]]="P",Games[[#This Row],[Round]]=2),IF(Games[[#This Row],[Result]]&lt;0.5,1,0),0)</f>
        <v>0</v>
      </c>
      <c r="AI564" s="2">
        <f>IF(AND(Games[[#This Row],[Type]]="P",Games[[#This Row],[Round]]=3),IF(Games[[#This Row],[Result]]&gt;0.5,1,0),0)</f>
        <v>0</v>
      </c>
      <c r="AJ564" s="2">
        <f>IF(AND(Games[[#This Row],[Type]]="P",Games[[#This Row],[Round]]=3),IF(Games[[#This Row],[Result]]&lt;0.5,1,0),0)</f>
        <v>0</v>
      </c>
      <c r="AK564" s="2">
        <f>IF(AND(Games[[#This Row],[Type]]="P",Games[[#This Row],[Round]]=4),IF(Games[[#This Row],[Result]]&gt;0.5,1,0),0)</f>
        <v>0</v>
      </c>
      <c r="AL564" s="2">
        <f>IF(AND(Games[[#This Row],[Type]]="P",Games[[#This Row],[Round]]=4),IF(Games[[#This Row],[Result]]&lt;0.5,1,0),0)</f>
        <v>0</v>
      </c>
    </row>
    <row r="565" spans="1:38" x14ac:dyDescent="0.35">
      <c r="A565" s="10">
        <v>45909</v>
      </c>
      <c r="B565" s="2">
        <v>2025</v>
      </c>
      <c r="C565" s="2">
        <f>COUNTIFS(Games[Team],Games[[#This Row],[Team]],Games[Season],Games[[#This Row],[Season]],Games[Date],"&lt;=" &amp; Games[[#This Row],[Date]])</f>
        <v>44</v>
      </c>
      <c r="D565" s="2" t="s">
        <v>79</v>
      </c>
      <c r="E565" s="2" t="s">
        <v>80</v>
      </c>
      <c r="F565" s="1" t="s">
        <v>71</v>
      </c>
      <c r="G565" s="1" t="s">
        <v>88</v>
      </c>
      <c r="H565" s="1" t="s">
        <v>82</v>
      </c>
      <c r="I565" s="2" cm="1">
        <f t="array" ref="I565">IFERROR(
    Games[[#This Row],[Date]]
    - LOOKUP(
        2,
        1/((Games[Team]=Games[[#This Row],[Team]]) * (Games[Date] &lt; Games[[#This Row],[Date]])),
        Games[Date]
    )
    - 1,
Games[[#This Row],[Date]]-$A$2)</f>
        <v>3</v>
      </c>
      <c r="J565" s="2" cm="1">
        <f t="array" ref="J5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65" s="2">
        <f>Games[[#This Row],[DaysOff]]-Games[[#This Row],[OppDaysOff]]</f>
        <v>1</v>
      </c>
      <c r="L565" s="2">
        <f>Games[[#This Row],[OppDaysOff]]-Games[[#This Row],[DaysOff]]</f>
        <v>-1</v>
      </c>
      <c r="M565" s="1">
        <f>MAX(-16, MIN(16, Games[[#This Row],[RestDiff]]*8))</f>
        <v>8</v>
      </c>
      <c r="N565" s="1">
        <f>MAX(-16, MIN(16, Games[[#This Row],[OppRestDiff]]*8))</f>
        <v>-8</v>
      </c>
      <c r="O565" s="4" cm="1">
        <f t="array" ref="O5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1503.4528194616146</v>
      </c>
      <c r="P565" s="4" cm="1">
        <f t="array" ref="P5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1533.4963641320644</v>
      </c>
      <c r="Q565" s="4">
        <f>1/(1+10^(((Games[[#This Row],[OppPreGmRate]]+IF(Games[[#This Row],[HomeAway]]="A",HCA,0)+Games[[#This Row],[OppRestAdj]])-(Games[[#This Row],[PreGmRate]]+IF(Games[[#This Row],[HomeAway]]="H",HCA,0)+Games[[#This Row],[RestAdj]]))/400))</f>
        <v>0.5993366058754982</v>
      </c>
      <c r="R565" s="1">
        <v>74</v>
      </c>
      <c r="S565" s="1">
        <v>73</v>
      </c>
      <c r="T565" s="1">
        <v>0</v>
      </c>
      <c r="U565" s="1">
        <f>Games[[#This Row],[PointsFor]]-Games[[#This Row],[PointsAgainst]]</f>
        <v>1</v>
      </c>
      <c r="V565" s="1">
        <f>IF(Games[[#This Row],[MOV]]&gt;0,1,IF(Games[[#This Row],[MOV]]=0,0.5,0))</f>
        <v>1</v>
      </c>
      <c r="W565" s="4">
        <f>((ABS(Games[[#This Row],[MOV]])+5)^0.6)/(12+0.01*(ABS(Games[[#This Row],[PreGmRate]]-Games[[#This Row],[OppPreGmRate]])))*IF(Games[[#This Row],[OT]]=1,0.9,1)</f>
        <v>0.23821563588373298</v>
      </c>
      <c r="X565" s="7" cm="1">
        <f t="array" ref="X5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5" s="9">
        <f>MAX(kmin, kmax - 0.15 * MIN(Games[[#This Row],[GamesPlayed]], 82))</f>
        <v>69.400000000000006</v>
      </c>
      <c r="Z565" s="4">
        <f>Games[[#This Row],[K]]*Games[[#This Row],[POMult]]</f>
        <v>69.400000000000006</v>
      </c>
      <c r="AA565" s="4">
        <f>(Games[[#This Row],[Keff]]*Games[[#This Row],[MOVMult]])*(Games[[#This Row],[Result]]-Games[[#This Row],[ExpectedWin%]])</f>
        <v>6.6238333933451834</v>
      </c>
      <c r="AB565" s="4">
        <f>Games[[#This Row],[PreGmRate]]+Games[[#This Row],[RatingChange]]</f>
        <v>1510.0766528549598</v>
      </c>
      <c r="AC565" s="2">
        <f>IF(Games[[#This Row],[Type]]="R",IF(Games[[#This Row],[Result]]&gt;0.5,1,0),0)</f>
        <v>1</v>
      </c>
      <c r="AD565" s="2">
        <f>IF(Games[[#This Row],[Type]]="R",IF(Games[[#This Row],[Result]]&lt;0.5,1,0),0)</f>
        <v>0</v>
      </c>
      <c r="AE565" s="2">
        <f>IF(AND(Games[[#This Row],[Type]]="P",Games[[#This Row],[Round]]=1),IF(Games[[#This Row],[Result]]&gt;0.5,1,0),0)</f>
        <v>0</v>
      </c>
      <c r="AF565" s="2">
        <f>IF(AND(Games[[#This Row],[Type]]="P",Games[[#This Row],[Round]]=1),IF(Games[[#This Row],[Result]]&lt;0.5,1,0),0)</f>
        <v>0</v>
      </c>
      <c r="AG565" s="2">
        <f>IF(AND(Games[[#This Row],[Type]]="P",Games[[#This Row],[Round]]=2),IF(Games[[#This Row],[Result]]&gt;0.5,1,0),0)</f>
        <v>0</v>
      </c>
      <c r="AH565" s="2">
        <f>IF(AND(Games[[#This Row],[Type]]="P",Games[[#This Row],[Round]]=2),IF(Games[[#This Row],[Result]]&lt;0.5,1,0),0)</f>
        <v>0</v>
      </c>
      <c r="AI565" s="2">
        <f>IF(AND(Games[[#This Row],[Type]]="P",Games[[#This Row],[Round]]=3),IF(Games[[#This Row],[Result]]&gt;0.5,1,0),0)</f>
        <v>0</v>
      </c>
      <c r="AJ565" s="2">
        <f>IF(AND(Games[[#This Row],[Type]]="P",Games[[#This Row],[Round]]=3),IF(Games[[#This Row],[Result]]&lt;0.5,1,0),0)</f>
        <v>0</v>
      </c>
      <c r="AK565" s="2">
        <f>IF(AND(Games[[#This Row],[Type]]="P",Games[[#This Row],[Round]]=4),IF(Games[[#This Row],[Result]]&gt;0.5,1,0),0)</f>
        <v>0</v>
      </c>
      <c r="AL565" s="2">
        <f>IF(AND(Games[[#This Row],[Type]]="P",Games[[#This Row],[Round]]=4),IF(Games[[#This Row],[Result]]&lt;0.5,1,0),0)</f>
        <v>0</v>
      </c>
    </row>
    <row r="566" spans="1:38" x14ac:dyDescent="0.35">
      <c r="A566" s="10">
        <v>45910</v>
      </c>
      <c r="B566" s="2">
        <v>2025</v>
      </c>
      <c r="C566" s="2">
        <f>COUNTIFS(Games[Team],Games[[#This Row],[Team]],Games[Season],Games[[#This Row],[Season]],Games[Date],"&lt;=" &amp; Games[[#This Row],[Date]])</f>
        <v>44</v>
      </c>
      <c r="D566" s="2" t="s">
        <v>79</v>
      </c>
      <c r="E566" s="2" t="s">
        <v>80</v>
      </c>
      <c r="F566" s="1" t="s">
        <v>77</v>
      </c>
      <c r="G566" s="1" t="s">
        <v>74</v>
      </c>
      <c r="H566" s="1" t="s">
        <v>81</v>
      </c>
      <c r="I566" s="2" cm="1">
        <f t="array" ref="I5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6" s="2" cm="1">
        <f t="array" ref="J5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6" s="2">
        <f>Games[[#This Row],[DaysOff]]-Games[[#This Row],[OppDaysOff]]</f>
        <v>0</v>
      </c>
      <c r="L566" s="2">
        <f>Games[[#This Row],[OppDaysOff]]-Games[[#This Row],[DaysOff]]</f>
        <v>0</v>
      </c>
      <c r="M566" s="1">
        <f>MAX(-16, MIN(16, Games[[#This Row],[RestDiff]]*8))</f>
        <v>0</v>
      </c>
      <c r="N566" s="1">
        <f>MAX(-16, MIN(16, Games[[#This Row],[OppRestDiff]]*8))</f>
        <v>0</v>
      </c>
      <c r="O566" s="4" cm="1">
        <f t="array" ref="O5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1647.5537391218677</v>
      </c>
      <c r="P566" s="4" cm="1">
        <f t="array" ref="P5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1368.4774292753964</v>
      </c>
      <c r="Q566" s="4">
        <f>1/(1+10^(((Games[[#This Row],[OppPreGmRate]]+IF(Games[[#This Row],[HomeAway]]="A",HCA,0)+Games[[#This Row],[OppRestAdj]])-(Games[[#This Row],[PreGmRate]]+IF(Games[[#This Row],[HomeAway]]="H",HCA,0)+Games[[#This Row],[RestAdj]]))/400))</f>
        <v>0.75453540987987022</v>
      </c>
      <c r="R566" s="1">
        <v>88</v>
      </c>
      <c r="S566" s="1">
        <v>72</v>
      </c>
      <c r="T566" s="1">
        <v>0</v>
      </c>
      <c r="U566" s="1">
        <f>Games[[#This Row],[PointsFor]]-Games[[#This Row],[PointsAgainst]]</f>
        <v>16</v>
      </c>
      <c r="V566" s="1">
        <f>IF(Games[[#This Row],[MOV]]&gt;0,1,IF(Games[[#This Row],[MOV]]=0,0.5,0))</f>
        <v>1</v>
      </c>
      <c r="W566" s="4">
        <f>((ABS(Games[[#This Row],[MOV]])+5)^0.6)/(12+0.01*(ABS(Games[[#This Row],[PreGmRate]]-Games[[#This Row],[OppPreGmRate]])))*IF(Games[[#This Row],[OT]]=1,0.9,1)</f>
        <v>0.42008869630301221</v>
      </c>
      <c r="X566" s="7" cm="1">
        <f t="array" ref="X5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6" s="9">
        <f>MAX(kmin, kmax - 0.15 * MIN(Games[[#This Row],[GamesPlayed]], 82))</f>
        <v>69.400000000000006</v>
      </c>
      <c r="Z566" s="4">
        <f>Games[[#This Row],[K]]*Games[[#This Row],[POMult]]</f>
        <v>69.400000000000006</v>
      </c>
      <c r="AA566" s="4">
        <f>(Games[[#This Row],[Keff]]*Games[[#This Row],[MOVMult]])*(Games[[#This Row],[Result]]-Games[[#This Row],[ExpectedWin%]])</f>
        <v>7.1563128358570296</v>
      </c>
      <c r="AB566" s="4">
        <f>Games[[#This Row],[PreGmRate]]+Games[[#This Row],[RatingChange]]</f>
        <v>1654.7100519577248</v>
      </c>
      <c r="AC566" s="2">
        <f>IF(Games[[#This Row],[Type]]="R",IF(Games[[#This Row],[Result]]&gt;0.5,1,0),0)</f>
        <v>1</v>
      </c>
      <c r="AD566" s="2">
        <f>IF(Games[[#This Row],[Type]]="R",IF(Games[[#This Row],[Result]]&lt;0.5,1,0),0)</f>
        <v>0</v>
      </c>
      <c r="AE566" s="2">
        <f>IF(AND(Games[[#This Row],[Type]]="P",Games[[#This Row],[Round]]=1),IF(Games[[#This Row],[Result]]&gt;0.5,1,0),0)</f>
        <v>0</v>
      </c>
      <c r="AF566" s="2">
        <f>IF(AND(Games[[#This Row],[Type]]="P",Games[[#This Row],[Round]]=1),IF(Games[[#This Row],[Result]]&lt;0.5,1,0),0)</f>
        <v>0</v>
      </c>
      <c r="AG566" s="2">
        <f>IF(AND(Games[[#This Row],[Type]]="P",Games[[#This Row],[Round]]=2),IF(Games[[#This Row],[Result]]&gt;0.5,1,0),0)</f>
        <v>0</v>
      </c>
      <c r="AH566" s="2">
        <f>IF(AND(Games[[#This Row],[Type]]="P",Games[[#This Row],[Round]]=2),IF(Games[[#This Row],[Result]]&lt;0.5,1,0),0)</f>
        <v>0</v>
      </c>
      <c r="AI566" s="2">
        <f>IF(AND(Games[[#This Row],[Type]]="P",Games[[#This Row],[Round]]=3),IF(Games[[#This Row],[Result]]&gt;0.5,1,0),0)</f>
        <v>0</v>
      </c>
      <c r="AJ566" s="2">
        <f>IF(AND(Games[[#This Row],[Type]]="P",Games[[#This Row],[Round]]=3),IF(Games[[#This Row],[Result]]&lt;0.5,1,0),0)</f>
        <v>0</v>
      </c>
      <c r="AK566" s="2">
        <f>IF(AND(Games[[#This Row],[Type]]="P",Games[[#This Row],[Round]]=4),IF(Games[[#This Row],[Result]]&gt;0.5,1,0),0)</f>
        <v>0</v>
      </c>
      <c r="AL566" s="2">
        <f>IF(AND(Games[[#This Row],[Type]]="P",Games[[#This Row],[Round]]=4),IF(Games[[#This Row],[Result]]&lt;0.5,1,0),0)</f>
        <v>0</v>
      </c>
    </row>
    <row r="567" spans="1:38" x14ac:dyDescent="0.35">
      <c r="A567" s="10">
        <v>45910</v>
      </c>
      <c r="B567" s="2">
        <v>2025</v>
      </c>
      <c r="C567" s="2">
        <f>COUNTIFS(Games[Team],Games[[#This Row],[Team]],Games[Season],Games[[#This Row],[Season]],Games[Date],"&lt;=" &amp; Games[[#This Row],[Date]])</f>
        <v>44</v>
      </c>
      <c r="D567" s="2" t="s">
        <v>79</v>
      </c>
      <c r="E567" s="2" t="s">
        <v>80</v>
      </c>
      <c r="F567" s="1" t="s">
        <v>74</v>
      </c>
      <c r="G567" s="1" t="s">
        <v>77</v>
      </c>
      <c r="H567" s="1" t="s">
        <v>82</v>
      </c>
      <c r="I567" s="2" cm="1">
        <f t="array" ref="I5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7" s="2" cm="1">
        <f t="array" ref="J5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7" s="2">
        <f>Games[[#This Row],[DaysOff]]-Games[[#This Row],[OppDaysOff]]</f>
        <v>0</v>
      </c>
      <c r="L567" s="2">
        <f>Games[[#This Row],[OppDaysOff]]-Games[[#This Row],[DaysOff]]</f>
        <v>0</v>
      </c>
      <c r="M567" s="1">
        <f>MAX(-16, MIN(16, Games[[#This Row],[RestDiff]]*8))</f>
        <v>0</v>
      </c>
      <c r="N567" s="1">
        <f>MAX(-16, MIN(16, Games[[#This Row],[OppRestDiff]]*8))</f>
        <v>0</v>
      </c>
      <c r="O567" s="4" cm="1">
        <f t="array" ref="O5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1368.4774292753964</v>
      </c>
      <c r="P567" s="4" cm="1">
        <f t="array" ref="P5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1647.5537391218677</v>
      </c>
      <c r="Q567" s="4">
        <f>1/(1+10^(((Games[[#This Row],[OppPreGmRate]]+IF(Games[[#This Row],[HomeAway]]="A",HCA,0)+Games[[#This Row],[OppRestAdj]])-(Games[[#This Row],[PreGmRate]]+IF(Games[[#This Row],[HomeAway]]="H",HCA,0)+Games[[#This Row],[RestAdj]]))/400))</f>
        <v>0.24546459012012978</v>
      </c>
      <c r="R567" s="1">
        <v>72</v>
      </c>
      <c r="S567" s="1">
        <v>88</v>
      </c>
      <c r="T567" s="1">
        <v>0</v>
      </c>
      <c r="U567" s="1">
        <f>Games[[#This Row],[PointsFor]]-Games[[#This Row],[PointsAgainst]]</f>
        <v>-16</v>
      </c>
      <c r="V567" s="1">
        <f>IF(Games[[#This Row],[MOV]]&gt;0,1,IF(Games[[#This Row],[MOV]]=0,0.5,0))</f>
        <v>0</v>
      </c>
      <c r="W567" s="4">
        <f>((ABS(Games[[#This Row],[MOV]])+5)^0.6)/(12+0.01*(ABS(Games[[#This Row],[PreGmRate]]-Games[[#This Row],[OppPreGmRate]])))*IF(Games[[#This Row],[OT]]=1,0.9,1)</f>
        <v>0.42008869630301221</v>
      </c>
      <c r="X567" s="7" cm="1">
        <f t="array" ref="X5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7" s="9">
        <f>MAX(kmin, kmax - 0.15 * MIN(Games[[#This Row],[GamesPlayed]], 82))</f>
        <v>69.400000000000006</v>
      </c>
      <c r="Z567" s="4">
        <f>Games[[#This Row],[K]]*Games[[#This Row],[POMult]]</f>
        <v>69.400000000000006</v>
      </c>
      <c r="AA567" s="4">
        <f>(Games[[#This Row],[Keff]]*Games[[#This Row],[MOVMult]])*(Games[[#This Row],[Result]]-Games[[#This Row],[ExpectedWin%]])</f>
        <v>-7.1563128358570296</v>
      </c>
      <c r="AB567" s="4">
        <f>Games[[#This Row],[PreGmRate]]+Games[[#This Row],[RatingChange]]</f>
        <v>1361.3211164395393</v>
      </c>
      <c r="AC567" s="2">
        <f>IF(Games[[#This Row],[Type]]="R",IF(Games[[#This Row],[Result]]&gt;0.5,1,0),0)</f>
        <v>0</v>
      </c>
      <c r="AD567" s="2">
        <f>IF(Games[[#This Row],[Type]]="R",IF(Games[[#This Row],[Result]]&lt;0.5,1,0),0)</f>
        <v>1</v>
      </c>
      <c r="AE567" s="2">
        <f>IF(AND(Games[[#This Row],[Type]]="P",Games[[#This Row],[Round]]=1),IF(Games[[#This Row],[Result]]&gt;0.5,1,0),0)</f>
        <v>0</v>
      </c>
      <c r="AF567" s="2">
        <f>IF(AND(Games[[#This Row],[Type]]="P",Games[[#This Row],[Round]]=1),IF(Games[[#This Row],[Result]]&lt;0.5,1,0),0)</f>
        <v>0</v>
      </c>
      <c r="AG567" s="2">
        <f>IF(AND(Games[[#This Row],[Type]]="P",Games[[#This Row],[Round]]=2),IF(Games[[#This Row],[Result]]&gt;0.5,1,0),0)</f>
        <v>0</v>
      </c>
      <c r="AH567" s="2">
        <f>IF(AND(Games[[#This Row],[Type]]="P",Games[[#This Row],[Round]]=2),IF(Games[[#This Row],[Result]]&lt;0.5,1,0),0)</f>
        <v>0</v>
      </c>
      <c r="AI567" s="2">
        <f>IF(AND(Games[[#This Row],[Type]]="P",Games[[#This Row],[Round]]=3),IF(Games[[#This Row],[Result]]&gt;0.5,1,0),0)</f>
        <v>0</v>
      </c>
      <c r="AJ567" s="2">
        <f>IF(AND(Games[[#This Row],[Type]]="P",Games[[#This Row],[Round]]=3),IF(Games[[#This Row],[Result]]&lt;0.5,1,0),0)</f>
        <v>0</v>
      </c>
      <c r="AK567" s="2">
        <f>IF(AND(Games[[#This Row],[Type]]="P",Games[[#This Row],[Round]]=4),IF(Games[[#This Row],[Result]]&gt;0.5,1,0),0)</f>
        <v>0</v>
      </c>
      <c r="AL567" s="2">
        <f>IF(AND(Games[[#This Row],[Type]]="P",Games[[#This Row],[Round]]=4),IF(Games[[#This Row],[Result]]&lt;0.5,1,0),0)</f>
        <v>0</v>
      </c>
    </row>
    <row r="568" spans="1:38" x14ac:dyDescent="0.35">
      <c r="A568" s="10">
        <v>45911</v>
      </c>
      <c r="B568" s="2">
        <v>2025</v>
      </c>
      <c r="C568" s="2">
        <f>COUNTIFS(Games[Team],Games[[#This Row],[Team]],Games[Season],Games[[#This Row],[Season]],Games[Date],"&lt;=" &amp; Games[[#This Row],[Date]])</f>
        <v>44</v>
      </c>
      <c r="D568" s="2" t="s">
        <v>79</v>
      </c>
      <c r="E568" s="2" t="s">
        <v>80</v>
      </c>
      <c r="F568" s="1" t="s">
        <v>60</v>
      </c>
      <c r="G568" s="1" t="s">
        <v>75</v>
      </c>
      <c r="H568" s="1" t="s">
        <v>81</v>
      </c>
      <c r="I568" s="2" cm="1">
        <f t="array" ref="I5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8" s="2" cm="1">
        <f t="array" ref="J5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8" s="2">
        <f>Games[[#This Row],[DaysOff]]-Games[[#This Row],[OppDaysOff]]</f>
        <v>0</v>
      </c>
      <c r="L568" s="2">
        <f>Games[[#This Row],[OppDaysOff]]-Games[[#This Row],[DaysOff]]</f>
        <v>0</v>
      </c>
      <c r="M568" s="1">
        <f>MAX(-16, MIN(16, Games[[#This Row],[RestDiff]]*8))</f>
        <v>0</v>
      </c>
      <c r="N568" s="1">
        <f>MAX(-16, MIN(16, Games[[#This Row],[OppRestDiff]]*8))</f>
        <v>0</v>
      </c>
      <c r="O568" s="4" cm="1">
        <f t="array" ref="O5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1576.6925794547872</v>
      </c>
      <c r="P568" s="4" cm="1">
        <f t="array" ref="P5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1289.0065058659784</v>
      </c>
      <c r="Q568" s="4">
        <f>1/(1+10^(((Games[[#This Row],[OppPreGmRate]]+IF(Games[[#This Row],[HomeAway]]="A",HCA,0)+Games[[#This Row],[OppRestAdj]])-(Games[[#This Row],[PreGmRate]]+IF(Games[[#This Row],[HomeAway]]="H",HCA,0)+Games[[#This Row],[RestAdj]]))/400))</f>
        <v>0.76359864350270279</v>
      </c>
      <c r="R568" s="1">
        <v>91</v>
      </c>
      <c r="S568" s="1">
        <v>86</v>
      </c>
      <c r="T568" s="1">
        <v>0</v>
      </c>
      <c r="U568" s="1">
        <f>Games[[#This Row],[PointsFor]]-Games[[#This Row],[PointsAgainst]]</f>
        <v>5</v>
      </c>
      <c r="V568" s="1">
        <f>IF(Games[[#This Row],[MOV]]&gt;0,1,IF(Games[[#This Row],[MOV]]=0,0.5,0))</f>
        <v>1</v>
      </c>
      <c r="W568" s="4">
        <f>((ABS(Games[[#This Row],[MOV]])+5)^0.6)/(12+0.01*(ABS(Games[[#This Row],[PreGmRate]]-Games[[#This Row],[OppPreGmRate]])))*IF(Games[[#This Row],[OT]]=1,0.9,1)</f>
        <v>0.26760159795885319</v>
      </c>
      <c r="X568" s="7" cm="1">
        <f t="array" ref="X5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8" s="9">
        <f>MAX(kmin, kmax - 0.15 * MIN(Games[[#This Row],[GamesPlayed]], 82))</f>
        <v>69.400000000000006</v>
      </c>
      <c r="Z568" s="4">
        <f>Games[[#This Row],[K]]*Games[[#This Row],[POMult]]</f>
        <v>69.400000000000006</v>
      </c>
      <c r="AA568" s="4">
        <f>(Games[[#This Row],[Keff]]*Games[[#This Row],[MOVMult]])*(Games[[#This Row],[Result]]-Games[[#This Row],[ExpectedWin%]])</f>
        <v>4.3903398246272181</v>
      </c>
      <c r="AB568" s="4">
        <f>Games[[#This Row],[PreGmRate]]+Games[[#This Row],[RatingChange]]</f>
        <v>1581.0829192794145</v>
      </c>
      <c r="AC568" s="2">
        <f>IF(Games[[#This Row],[Type]]="R",IF(Games[[#This Row],[Result]]&gt;0.5,1,0),0)</f>
        <v>1</v>
      </c>
      <c r="AD568" s="2">
        <f>IF(Games[[#This Row],[Type]]="R",IF(Games[[#This Row],[Result]]&lt;0.5,1,0),0)</f>
        <v>0</v>
      </c>
      <c r="AE568" s="2">
        <f>IF(AND(Games[[#This Row],[Type]]="P",Games[[#This Row],[Round]]=1),IF(Games[[#This Row],[Result]]&gt;0.5,1,0),0)</f>
        <v>0</v>
      </c>
      <c r="AF568" s="2">
        <f>IF(AND(Games[[#This Row],[Type]]="P",Games[[#This Row],[Round]]=1),IF(Games[[#This Row],[Result]]&lt;0.5,1,0),0)</f>
        <v>0</v>
      </c>
      <c r="AG568" s="2">
        <f>IF(AND(Games[[#This Row],[Type]]="P",Games[[#This Row],[Round]]=2),IF(Games[[#This Row],[Result]]&gt;0.5,1,0),0)</f>
        <v>0</v>
      </c>
      <c r="AH568" s="2">
        <f>IF(AND(Games[[#This Row],[Type]]="P",Games[[#This Row],[Round]]=2),IF(Games[[#This Row],[Result]]&lt;0.5,1,0),0)</f>
        <v>0</v>
      </c>
      <c r="AI568" s="2">
        <f>IF(AND(Games[[#This Row],[Type]]="P",Games[[#This Row],[Round]]=3),IF(Games[[#This Row],[Result]]&gt;0.5,1,0),0)</f>
        <v>0</v>
      </c>
      <c r="AJ568" s="2">
        <f>IF(AND(Games[[#This Row],[Type]]="P",Games[[#This Row],[Round]]=3),IF(Games[[#This Row],[Result]]&lt;0.5,1,0),0)</f>
        <v>0</v>
      </c>
      <c r="AK568" s="2">
        <f>IF(AND(Games[[#This Row],[Type]]="P",Games[[#This Row],[Round]]=4),IF(Games[[#This Row],[Result]]&gt;0.5,1,0),0)</f>
        <v>0</v>
      </c>
      <c r="AL568" s="2">
        <f>IF(AND(Games[[#This Row],[Type]]="P",Games[[#This Row],[Round]]=4),IF(Games[[#This Row],[Result]]&lt;0.5,1,0),0)</f>
        <v>0</v>
      </c>
    </row>
    <row r="569" spans="1:38" x14ac:dyDescent="0.35">
      <c r="A569" s="10">
        <v>45911</v>
      </c>
      <c r="B569" s="2">
        <v>2025</v>
      </c>
      <c r="C569" s="2">
        <f>COUNTIFS(Games[Team],Games[[#This Row],[Team]],Games[Season],Games[[#This Row],[Season]],Games[Date],"&lt;=" &amp; Games[[#This Row],[Date]])</f>
        <v>44</v>
      </c>
      <c r="D569" s="2" t="s">
        <v>79</v>
      </c>
      <c r="E569" s="2" t="s">
        <v>80</v>
      </c>
      <c r="F569" s="1" t="s">
        <v>75</v>
      </c>
      <c r="G569" s="1" t="s">
        <v>60</v>
      </c>
      <c r="H569" s="1" t="s">
        <v>82</v>
      </c>
      <c r="I569" s="2" cm="1">
        <f t="array" ref="I5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9" s="2" cm="1">
        <f t="array" ref="J5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9" s="2">
        <f>Games[[#This Row],[DaysOff]]-Games[[#This Row],[OppDaysOff]]</f>
        <v>0</v>
      </c>
      <c r="L569" s="2">
        <f>Games[[#This Row],[OppDaysOff]]-Games[[#This Row],[DaysOff]]</f>
        <v>0</v>
      </c>
      <c r="M569" s="1">
        <f>MAX(-16, MIN(16, Games[[#This Row],[RestDiff]]*8))</f>
        <v>0</v>
      </c>
      <c r="N569" s="1">
        <f>MAX(-16, MIN(16, Games[[#This Row],[OppRestDiff]]*8))</f>
        <v>0</v>
      </c>
      <c r="O569" s="4" cm="1">
        <f t="array" ref="O5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1289.0065058659784</v>
      </c>
      <c r="P569" s="4" cm="1">
        <f t="array" ref="P5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1576.6925794547872</v>
      </c>
      <c r="Q569" s="4">
        <f>1/(1+10^(((Games[[#This Row],[OppPreGmRate]]+IF(Games[[#This Row],[HomeAway]]="A",HCA,0)+Games[[#This Row],[OppRestAdj]])-(Games[[#This Row],[PreGmRate]]+IF(Games[[#This Row],[HomeAway]]="H",HCA,0)+Games[[#This Row],[RestAdj]]))/400))</f>
        <v>0.23640135649729724</v>
      </c>
      <c r="R569" s="1">
        <v>86</v>
      </c>
      <c r="S569" s="1">
        <v>91</v>
      </c>
      <c r="T569" s="1">
        <v>0</v>
      </c>
      <c r="U569" s="1">
        <f>Games[[#This Row],[PointsFor]]-Games[[#This Row],[PointsAgainst]]</f>
        <v>-5</v>
      </c>
      <c r="V569" s="1">
        <f>IF(Games[[#This Row],[MOV]]&gt;0,1,IF(Games[[#This Row],[MOV]]=0,0.5,0))</f>
        <v>0</v>
      </c>
      <c r="W569" s="4">
        <f>((ABS(Games[[#This Row],[MOV]])+5)^0.6)/(12+0.01*(ABS(Games[[#This Row],[PreGmRate]]-Games[[#This Row],[OppPreGmRate]])))*IF(Games[[#This Row],[OT]]=1,0.9,1)</f>
        <v>0.26760159795885319</v>
      </c>
      <c r="X569" s="7" cm="1">
        <f t="array" ref="X5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9" s="9">
        <f>MAX(kmin, kmax - 0.15 * MIN(Games[[#This Row],[GamesPlayed]], 82))</f>
        <v>69.400000000000006</v>
      </c>
      <c r="Z569" s="4">
        <f>Games[[#This Row],[K]]*Games[[#This Row],[POMult]]</f>
        <v>69.400000000000006</v>
      </c>
      <c r="AA569" s="4">
        <f>(Games[[#This Row],[Keff]]*Games[[#This Row],[MOVMult]])*(Games[[#This Row],[Result]]-Games[[#This Row],[ExpectedWin%]])</f>
        <v>-4.3903398246272181</v>
      </c>
      <c r="AB569" s="4">
        <f>Games[[#This Row],[PreGmRate]]+Games[[#This Row],[RatingChange]]</f>
        <v>1284.6161660413511</v>
      </c>
      <c r="AC569" s="2">
        <f>IF(Games[[#This Row],[Type]]="R",IF(Games[[#This Row],[Result]]&gt;0.5,1,0),0)</f>
        <v>0</v>
      </c>
      <c r="AD569" s="2">
        <f>IF(Games[[#This Row],[Type]]="R",IF(Games[[#This Row],[Result]]&lt;0.5,1,0),0)</f>
        <v>1</v>
      </c>
      <c r="AE569" s="2">
        <f>IF(AND(Games[[#This Row],[Type]]="P",Games[[#This Row],[Round]]=1),IF(Games[[#This Row],[Result]]&gt;0.5,1,0),0)</f>
        <v>0</v>
      </c>
      <c r="AF569" s="2">
        <f>IF(AND(Games[[#This Row],[Type]]="P",Games[[#This Row],[Round]]=1),IF(Games[[#This Row],[Result]]&lt;0.5,1,0),0)</f>
        <v>0</v>
      </c>
      <c r="AG569" s="2">
        <f>IF(AND(Games[[#This Row],[Type]]="P",Games[[#This Row],[Round]]=2),IF(Games[[#This Row],[Result]]&gt;0.5,1,0),0)</f>
        <v>0</v>
      </c>
      <c r="AH569" s="2">
        <f>IF(AND(Games[[#This Row],[Type]]="P",Games[[#This Row],[Round]]=2),IF(Games[[#This Row],[Result]]&lt;0.5,1,0),0)</f>
        <v>0</v>
      </c>
      <c r="AI569" s="2">
        <f>IF(AND(Games[[#This Row],[Type]]="P",Games[[#This Row],[Round]]=3),IF(Games[[#This Row],[Result]]&gt;0.5,1,0),0)</f>
        <v>0</v>
      </c>
      <c r="AJ569" s="2">
        <f>IF(AND(Games[[#This Row],[Type]]="P",Games[[#This Row],[Round]]=3),IF(Games[[#This Row],[Result]]&lt;0.5,1,0),0)</f>
        <v>0</v>
      </c>
      <c r="AK569" s="2">
        <f>IF(AND(Games[[#This Row],[Type]]="P",Games[[#This Row],[Round]]=4),IF(Games[[#This Row],[Result]]&gt;0.5,1,0),0)</f>
        <v>0</v>
      </c>
      <c r="AL569" s="2">
        <f>IF(AND(Games[[#This Row],[Type]]="P",Games[[#This Row],[Round]]=4),IF(Games[[#This Row],[Result]]&lt;0.5,1,0),0)</f>
        <v>0</v>
      </c>
    </row>
    <row r="570" spans="1:38" x14ac:dyDescent="0.35">
      <c r="A570" s="10">
        <v>45911</v>
      </c>
      <c r="B570" s="2">
        <v>2025</v>
      </c>
      <c r="C570" s="2">
        <f>COUNTIFS(Games[Team],Games[[#This Row],[Team]],Games[Season],Games[[#This Row],[Season]],Games[Date],"&lt;=" &amp; Games[[#This Row],[Date]])</f>
        <v>44</v>
      </c>
      <c r="D570" s="2" t="s">
        <v>79</v>
      </c>
      <c r="E570" s="2" t="s">
        <v>80</v>
      </c>
      <c r="F570" s="1" t="s">
        <v>40</v>
      </c>
      <c r="G570" s="1" t="s">
        <v>85</v>
      </c>
      <c r="H570" s="1" t="s">
        <v>81</v>
      </c>
      <c r="I570" s="2" cm="1">
        <f t="array" ref="I5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0" s="2" cm="1">
        <f t="array" ref="J5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70" s="2">
        <f>Games[[#This Row],[DaysOff]]-Games[[#This Row],[OppDaysOff]]</f>
        <v>-2</v>
      </c>
      <c r="L570" s="2">
        <f>Games[[#This Row],[OppDaysOff]]-Games[[#This Row],[DaysOff]]</f>
        <v>2</v>
      </c>
      <c r="M570" s="1">
        <f>MAX(-16, MIN(16, Games[[#This Row],[RestDiff]]*8))</f>
        <v>-16</v>
      </c>
      <c r="N570" s="1">
        <f>MAX(-16, MIN(16, Games[[#This Row],[OppRestDiff]]*8))</f>
        <v>16</v>
      </c>
      <c r="O570" s="4" cm="1">
        <f t="array" ref="O5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1575.548176079574</v>
      </c>
      <c r="P570" s="4" cm="1">
        <f t="array" ref="P5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1284.9275830972376</v>
      </c>
      <c r="Q570" s="4">
        <f>1/(1+10^(((Games[[#This Row],[OppPreGmRate]]+IF(Games[[#This Row],[HomeAway]]="A",HCA,0)+Games[[#This Row],[OppRestAdj]])-(Games[[#This Row],[PreGmRate]]+IF(Games[[#This Row],[HomeAway]]="H",HCA,0)+Games[[#This Row],[RestAdj]]))/400))</f>
        <v>0.73207913045783291</v>
      </c>
      <c r="R570" s="1">
        <v>76</v>
      </c>
      <c r="S570" s="1">
        <v>97</v>
      </c>
      <c r="T570" s="1">
        <v>0</v>
      </c>
      <c r="U570" s="1">
        <f>Games[[#This Row],[PointsFor]]-Games[[#This Row],[PointsAgainst]]</f>
        <v>-21</v>
      </c>
      <c r="V570" s="1">
        <f>IF(Games[[#This Row],[MOV]]&gt;0,1,IF(Games[[#This Row],[MOV]]=0,0.5,0))</f>
        <v>0</v>
      </c>
      <c r="W570" s="4">
        <f>((ABS(Games[[#This Row],[MOV]])+5)^0.6)/(12+0.01*(ABS(Games[[#This Row],[PreGmRate]]-Games[[#This Row],[OppPreGmRate]])))*IF(Games[[#This Row],[OT]]=1,0.9,1)</f>
        <v>0.47382382254077315</v>
      </c>
      <c r="X570" s="7" cm="1">
        <f t="array" ref="X5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70" s="9">
        <f>MAX(kmin, kmax - 0.15 * MIN(Games[[#This Row],[GamesPlayed]], 82))</f>
        <v>69.400000000000006</v>
      </c>
      <c r="Z570" s="4">
        <f>Games[[#This Row],[K]]*Games[[#This Row],[POMult]]</f>
        <v>69.400000000000006</v>
      </c>
      <c r="AA570" s="4">
        <f>(Games[[#This Row],[Keff]]*Games[[#This Row],[MOVMult]])*(Games[[#This Row],[Result]]-Games[[#This Row],[ExpectedWin%]])</f>
        <v>-24.073231320512388</v>
      </c>
      <c r="AB570" s="4">
        <f>Games[[#This Row],[PreGmRate]]+Games[[#This Row],[RatingChange]]</f>
        <v>1551.4749447590616</v>
      </c>
      <c r="AC570" s="2">
        <f>IF(Games[[#This Row],[Type]]="R",IF(Games[[#This Row],[Result]]&gt;0.5,1,0),0)</f>
        <v>0</v>
      </c>
      <c r="AD570" s="2">
        <f>IF(Games[[#This Row],[Type]]="R",IF(Games[[#This Row],[Result]]&lt;0.5,1,0),0)</f>
        <v>1</v>
      </c>
      <c r="AE570" s="2">
        <f>IF(AND(Games[[#This Row],[Type]]="P",Games[[#This Row],[Round]]=1),IF(Games[[#This Row],[Result]]&gt;0.5,1,0),0)</f>
        <v>0</v>
      </c>
      <c r="AF570" s="2">
        <f>IF(AND(Games[[#This Row],[Type]]="P",Games[[#This Row],[Round]]=1),IF(Games[[#This Row],[Result]]&lt;0.5,1,0),0)</f>
        <v>0</v>
      </c>
      <c r="AG570" s="2">
        <f>IF(AND(Games[[#This Row],[Type]]="P",Games[[#This Row],[Round]]=2),IF(Games[[#This Row],[Result]]&gt;0.5,1,0),0)</f>
        <v>0</v>
      </c>
      <c r="AH570" s="2">
        <f>IF(AND(Games[[#This Row],[Type]]="P",Games[[#This Row],[Round]]=2),IF(Games[[#This Row],[Result]]&lt;0.5,1,0),0)</f>
        <v>0</v>
      </c>
      <c r="AI570" s="2">
        <f>IF(AND(Games[[#This Row],[Type]]="P",Games[[#This Row],[Round]]=3),IF(Games[[#This Row],[Result]]&gt;0.5,1,0),0)</f>
        <v>0</v>
      </c>
      <c r="AJ570" s="2">
        <f>IF(AND(Games[[#This Row],[Type]]="P",Games[[#This Row],[Round]]=3),IF(Games[[#This Row],[Result]]&lt;0.5,1,0),0)</f>
        <v>0</v>
      </c>
      <c r="AK570" s="2">
        <f>IF(AND(Games[[#This Row],[Type]]="P",Games[[#This Row],[Round]]=4),IF(Games[[#This Row],[Result]]&gt;0.5,1,0),0)</f>
        <v>0</v>
      </c>
      <c r="AL570" s="2">
        <f>IF(AND(Games[[#This Row],[Type]]="P",Games[[#This Row],[Round]]=4),IF(Games[[#This Row],[Result]]&lt;0.5,1,0),0)</f>
        <v>0</v>
      </c>
    </row>
    <row r="571" spans="1:38" x14ac:dyDescent="0.35">
      <c r="A571" s="10">
        <v>45911</v>
      </c>
      <c r="B571" s="2">
        <v>2025</v>
      </c>
      <c r="C571" s="2">
        <f>COUNTIFS(Games[Team],Games[[#This Row],[Team]],Games[Season],Games[[#This Row],[Season]],Games[Date],"&lt;=" &amp; Games[[#This Row],[Date]])</f>
        <v>44</v>
      </c>
      <c r="D571" s="2" t="s">
        <v>79</v>
      </c>
      <c r="E571" s="2" t="s">
        <v>80</v>
      </c>
      <c r="F571" s="1" t="s">
        <v>85</v>
      </c>
      <c r="G571" s="1" t="s">
        <v>40</v>
      </c>
      <c r="H571" s="1" t="s">
        <v>82</v>
      </c>
      <c r="I571" s="2" cm="1">
        <f t="array" ref="I5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571" s="2" cm="1">
        <f t="array" ref="J5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1" s="2">
        <f>Games[[#This Row],[DaysOff]]-Games[[#This Row],[OppDaysOff]]</f>
        <v>2</v>
      </c>
      <c r="L571" s="2">
        <f>Games[[#This Row],[OppDaysOff]]-Games[[#This Row],[DaysOff]]</f>
        <v>-2</v>
      </c>
      <c r="M571" s="1">
        <f>MAX(-16, MIN(16, Games[[#This Row],[RestDiff]]*8))</f>
        <v>16</v>
      </c>
      <c r="N571" s="1">
        <f>MAX(-16, MIN(16, Games[[#This Row],[OppRestDiff]]*8))</f>
        <v>-16</v>
      </c>
      <c r="O571" s="4" cm="1">
        <f t="array" ref="O5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1284.9275830972376</v>
      </c>
      <c r="P571" s="4" cm="1">
        <f t="array" ref="P5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1575.548176079574</v>
      </c>
      <c r="Q571" s="4">
        <f>1/(1+10^(((Games[[#This Row],[OppPreGmRate]]+IF(Games[[#This Row],[HomeAway]]="A",HCA,0)+Games[[#This Row],[OppRestAdj]])-(Games[[#This Row],[PreGmRate]]+IF(Games[[#This Row],[HomeAway]]="H",HCA,0)+Games[[#This Row],[RestAdj]]))/400))</f>
        <v>0.26792086954216704</v>
      </c>
      <c r="R571" s="1">
        <v>97</v>
      </c>
      <c r="S571" s="1">
        <v>76</v>
      </c>
      <c r="T571" s="1">
        <v>0</v>
      </c>
      <c r="U571" s="1">
        <f>Games[[#This Row],[PointsFor]]-Games[[#This Row],[PointsAgainst]]</f>
        <v>21</v>
      </c>
      <c r="V571" s="1">
        <f>IF(Games[[#This Row],[MOV]]&gt;0,1,IF(Games[[#This Row],[MOV]]=0,0.5,0))</f>
        <v>1</v>
      </c>
      <c r="W571" s="4">
        <f>((ABS(Games[[#This Row],[MOV]])+5)^0.6)/(12+0.01*(ABS(Games[[#This Row],[PreGmRate]]-Games[[#This Row],[OppPreGmRate]])))*IF(Games[[#This Row],[OT]]=1,0.9,1)</f>
        <v>0.47382382254077315</v>
      </c>
      <c r="X571" s="7" cm="1">
        <f t="array" ref="X5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71" s="9">
        <f>MAX(kmin, kmax - 0.15 * MIN(Games[[#This Row],[GamesPlayed]], 82))</f>
        <v>69.400000000000006</v>
      </c>
      <c r="Z571" s="4">
        <f>Games[[#This Row],[K]]*Games[[#This Row],[POMult]]</f>
        <v>69.400000000000006</v>
      </c>
      <c r="AA571" s="4">
        <f>(Games[[#This Row],[Keff]]*Games[[#This Row],[MOVMult]])*(Games[[#This Row],[Result]]-Games[[#This Row],[ExpectedWin%]])</f>
        <v>24.073231320512388</v>
      </c>
      <c r="AB571" s="4">
        <f>Games[[#This Row],[PreGmRate]]+Games[[#This Row],[RatingChange]]</f>
        <v>1309.00081441775</v>
      </c>
      <c r="AC571" s="2">
        <f>IF(Games[[#This Row],[Type]]="R",IF(Games[[#This Row],[Result]]&gt;0.5,1,0),0)</f>
        <v>1</v>
      </c>
      <c r="AD571" s="2">
        <f>IF(Games[[#This Row],[Type]]="R",IF(Games[[#This Row],[Result]]&lt;0.5,1,0),0)</f>
        <v>0</v>
      </c>
      <c r="AE571" s="2">
        <f>IF(AND(Games[[#This Row],[Type]]="P",Games[[#This Row],[Round]]=1),IF(Games[[#This Row],[Result]]&gt;0.5,1,0),0)</f>
        <v>0</v>
      </c>
      <c r="AF571" s="2">
        <f>IF(AND(Games[[#This Row],[Type]]="P",Games[[#This Row],[Round]]=1),IF(Games[[#This Row],[Result]]&lt;0.5,1,0),0)</f>
        <v>0</v>
      </c>
      <c r="AG571" s="2">
        <f>IF(AND(Games[[#This Row],[Type]]="P",Games[[#This Row],[Round]]=2),IF(Games[[#This Row],[Result]]&gt;0.5,1,0),0)</f>
        <v>0</v>
      </c>
      <c r="AH571" s="2">
        <f>IF(AND(Games[[#This Row],[Type]]="P",Games[[#This Row],[Round]]=2),IF(Games[[#This Row],[Result]]&lt;0.5,1,0),0)</f>
        <v>0</v>
      </c>
      <c r="AI571" s="2">
        <f>IF(AND(Games[[#This Row],[Type]]="P",Games[[#This Row],[Round]]=3),IF(Games[[#This Row],[Result]]&gt;0.5,1,0),0)</f>
        <v>0</v>
      </c>
      <c r="AJ571" s="2">
        <f>IF(AND(Games[[#This Row],[Type]]="P",Games[[#This Row],[Round]]=3),IF(Games[[#This Row],[Result]]&lt;0.5,1,0),0)</f>
        <v>0</v>
      </c>
      <c r="AK571" s="2">
        <f>IF(AND(Games[[#This Row],[Type]]="P",Games[[#This Row],[Round]]=4),IF(Games[[#This Row],[Result]]&gt;0.5,1,0),0)</f>
        <v>0</v>
      </c>
      <c r="AL571" s="2">
        <f>IF(AND(Games[[#This Row],[Type]]="P",Games[[#This Row],[Round]]=4),IF(Games[[#This Row],[Result]]&lt;0.5,1,0),0)</f>
        <v>0</v>
      </c>
    </row>
    <row r="572" spans="1:38" x14ac:dyDescent="0.35">
      <c r="A572" s="10">
        <v>45911</v>
      </c>
      <c r="B572" s="2">
        <v>2025</v>
      </c>
      <c r="C572" s="2">
        <f>COUNTIFS(Games[Team],Games[[#This Row],[Team]],Games[Season],Games[[#This Row],[Season]],Games[Date],"&lt;=" &amp; Games[[#This Row],[Date]])</f>
        <v>44</v>
      </c>
      <c r="D572" s="2" t="s">
        <v>79</v>
      </c>
      <c r="E572" s="2" t="s">
        <v>80</v>
      </c>
      <c r="F572" s="1" t="s">
        <v>86</v>
      </c>
      <c r="G572" s="1" t="s">
        <v>63</v>
      </c>
      <c r="H572" s="1" t="s">
        <v>81</v>
      </c>
      <c r="I572" s="2" cm="1">
        <f t="array" ref="I5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2" s="2" cm="1">
        <f t="array" ref="J5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2" s="2">
        <f>Games[[#This Row],[DaysOff]]-Games[[#This Row],[OppDaysOff]]</f>
        <v>0</v>
      </c>
      <c r="L572" s="2">
        <f>Games[[#This Row],[OppDaysOff]]-Games[[#This Row],[DaysOff]]</f>
        <v>0</v>
      </c>
      <c r="M572" s="1">
        <f>MAX(-16, MIN(16, Games[[#This Row],[RestDiff]]*8))</f>
        <v>0</v>
      </c>
      <c r="N572" s="1">
        <f>MAX(-16, MIN(16, Games[[#This Row],[OppRestDiff]]*8))</f>
        <v>0</v>
      </c>
      <c r="O572" s="4" cm="1">
        <f t="array" ref="O5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1658.8922688069922</v>
      </c>
      <c r="P572" s="4" cm="1">
        <f t="array" ref="P5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1470.9957984029131</v>
      </c>
      <c r="Q572" s="4">
        <f>1/(1+10^(((Games[[#This Row],[OppPreGmRate]]+IF(Games[[#This Row],[HomeAway]]="A",HCA,0)+Games[[#This Row],[OppRestAdj]])-(Games[[#This Row],[PreGmRate]]+IF(Games[[#This Row],[HomeAway]]="H",HCA,0)+Games[[#This Row],[RestAdj]]))/400))</f>
        <v>0.6452160386981064</v>
      </c>
      <c r="R572" s="1">
        <v>103</v>
      </c>
      <c r="S572" s="1">
        <v>75</v>
      </c>
      <c r="T572" s="1">
        <v>0</v>
      </c>
      <c r="U572" s="1">
        <f>Games[[#This Row],[PointsFor]]-Games[[#This Row],[PointsAgainst]]</f>
        <v>28</v>
      </c>
      <c r="V572" s="1">
        <f>IF(Games[[#This Row],[MOV]]&gt;0,1,IF(Games[[#This Row],[MOV]]=0,0.5,0))</f>
        <v>1</v>
      </c>
      <c r="W572" s="4">
        <f>((ABS(Games[[#This Row],[MOV]])+5)^0.6)/(12+0.01*(ABS(Games[[#This Row],[PreGmRate]]-Games[[#This Row],[OppPreGmRate]])))*IF(Games[[#This Row],[OT]]=1,0.9,1)</f>
        <v>0.58715301138277742</v>
      </c>
      <c r="X572" s="7" cm="1">
        <f t="array" ref="X5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72" s="9">
        <f>MAX(kmin, kmax - 0.15 * MIN(Games[[#This Row],[GamesPlayed]], 82))</f>
        <v>69.400000000000006</v>
      </c>
      <c r="Z572" s="4">
        <f>Games[[#This Row],[K]]*Games[[#This Row],[POMult]]</f>
        <v>69.400000000000006</v>
      </c>
      <c r="AA572" s="4">
        <f>(Games[[#This Row],[Keff]]*Games[[#This Row],[MOVMult]])*(Games[[#This Row],[Result]]-Games[[#This Row],[ExpectedWin%]])</f>
        <v>14.456885506049002</v>
      </c>
      <c r="AB572" s="4">
        <f>Games[[#This Row],[PreGmRate]]+Games[[#This Row],[RatingChange]]</f>
        <v>1673.3491543130413</v>
      </c>
      <c r="AC572" s="2">
        <f>IF(Games[[#This Row],[Type]]="R",IF(Games[[#This Row],[Result]]&gt;0.5,1,0),0)</f>
        <v>1</v>
      </c>
      <c r="AD572" s="2">
        <f>IF(Games[[#This Row],[Type]]="R",IF(Games[[#This Row],[Result]]&lt;0.5,1,0),0)</f>
        <v>0</v>
      </c>
      <c r="AE572" s="2">
        <f>IF(AND(Games[[#This Row],[Type]]="P",Games[[#This Row],[Round]]=1),IF(Games[[#This Row],[Result]]&gt;0.5,1,0),0)</f>
        <v>0</v>
      </c>
      <c r="AF572" s="2">
        <f>IF(AND(Games[[#This Row],[Type]]="P",Games[[#This Row],[Round]]=1),IF(Games[[#This Row],[Result]]&lt;0.5,1,0),0)</f>
        <v>0</v>
      </c>
      <c r="AG572" s="2">
        <f>IF(AND(Games[[#This Row],[Type]]="P",Games[[#This Row],[Round]]=2),IF(Games[[#This Row],[Result]]&gt;0.5,1,0),0)</f>
        <v>0</v>
      </c>
      <c r="AH572" s="2">
        <f>IF(AND(Games[[#This Row],[Type]]="P",Games[[#This Row],[Round]]=2),IF(Games[[#This Row],[Result]]&lt;0.5,1,0),0)</f>
        <v>0</v>
      </c>
      <c r="AI572" s="2">
        <f>IF(AND(Games[[#This Row],[Type]]="P",Games[[#This Row],[Round]]=3),IF(Games[[#This Row],[Result]]&gt;0.5,1,0),0)</f>
        <v>0</v>
      </c>
      <c r="AJ572" s="2">
        <f>IF(AND(Games[[#This Row],[Type]]="P",Games[[#This Row],[Round]]=3),IF(Games[[#This Row],[Result]]&lt;0.5,1,0),0)</f>
        <v>0</v>
      </c>
      <c r="AK572" s="2">
        <f>IF(AND(Games[[#This Row],[Type]]="P",Games[[#This Row],[Round]]=4),IF(Games[[#This Row],[Result]]&gt;0.5,1,0),0)</f>
        <v>0</v>
      </c>
      <c r="AL572" s="2">
        <f>IF(AND(Games[[#This Row],[Type]]="P",Games[[#This Row],[Round]]=4),IF(Games[[#This Row],[Result]]&lt;0.5,1,0),0)</f>
        <v>0</v>
      </c>
    </row>
    <row r="573" spans="1:38" x14ac:dyDescent="0.35">
      <c r="A573" s="10">
        <v>45911</v>
      </c>
      <c r="B573" s="2">
        <v>2025</v>
      </c>
      <c r="C573" s="2">
        <f>COUNTIFS(Games[Team],Games[[#This Row],[Team]],Games[Season],Games[[#This Row],[Season]],Games[Date],"&lt;=" &amp; Games[[#This Row],[Date]])</f>
        <v>44</v>
      </c>
      <c r="D573" s="2" t="s">
        <v>79</v>
      </c>
      <c r="E573" s="2" t="s">
        <v>80</v>
      </c>
      <c r="F573" s="1" t="s">
        <v>63</v>
      </c>
      <c r="G573" s="1" t="s">
        <v>86</v>
      </c>
      <c r="H573" s="1" t="s">
        <v>82</v>
      </c>
      <c r="I573" s="2" cm="1">
        <f t="array" ref="I5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3" s="2" cm="1">
        <f t="array" ref="J5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3" s="2">
        <f>Games[[#This Row],[DaysOff]]-Games[[#This Row],[OppDaysOff]]</f>
        <v>0</v>
      </c>
      <c r="L573" s="2">
        <f>Games[[#This Row],[OppDaysOff]]-Games[[#This Row],[DaysOff]]</f>
        <v>0</v>
      </c>
      <c r="M573" s="1">
        <f>MAX(-16, MIN(16, Games[[#This Row],[RestDiff]]*8))</f>
        <v>0</v>
      </c>
      <c r="N573" s="1">
        <f>MAX(-16, MIN(16, Games[[#This Row],[OppRestDiff]]*8))</f>
        <v>0</v>
      </c>
      <c r="O573" s="4" cm="1">
        <f t="array" ref="O5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1470.9957984029131</v>
      </c>
      <c r="P573" s="4" cm="1">
        <f t="array" ref="P5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1658.8922688069922</v>
      </c>
      <c r="Q573" s="4">
        <f>1/(1+10^(((Games[[#This Row],[OppPreGmRate]]+IF(Games[[#This Row],[HomeAway]]="A",HCA,0)+Games[[#This Row],[OppRestAdj]])-(Games[[#This Row],[PreGmRate]]+IF(Games[[#This Row],[HomeAway]]="H",HCA,0)+Games[[#This Row],[RestAdj]]))/400))</f>
        <v>0.35478396130189366</v>
      </c>
      <c r="R573" s="1">
        <v>75</v>
      </c>
      <c r="S573" s="1">
        <v>103</v>
      </c>
      <c r="T573" s="1">
        <v>0</v>
      </c>
      <c r="U573" s="1">
        <f>Games[[#This Row],[PointsFor]]-Games[[#This Row],[PointsAgainst]]</f>
        <v>-28</v>
      </c>
      <c r="V573" s="1">
        <f>IF(Games[[#This Row],[MOV]]&gt;0,1,IF(Games[[#This Row],[MOV]]=0,0.5,0))</f>
        <v>0</v>
      </c>
      <c r="W573" s="4">
        <f>((ABS(Games[[#This Row],[MOV]])+5)^0.6)/(12+0.01*(ABS(Games[[#This Row],[PreGmRate]]-Games[[#This Row],[OppPreGmRate]])))*IF(Games[[#This Row],[OT]]=1,0.9,1)</f>
        <v>0.58715301138277742</v>
      </c>
      <c r="X573" s="7" cm="1">
        <f t="array" ref="X5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73" s="9">
        <f>MAX(kmin, kmax - 0.15 * MIN(Games[[#This Row],[GamesPlayed]], 82))</f>
        <v>69.400000000000006</v>
      </c>
      <c r="Z573" s="4">
        <f>Games[[#This Row],[K]]*Games[[#This Row],[POMult]]</f>
        <v>69.400000000000006</v>
      </c>
      <c r="AA573" s="4">
        <f>(Games[[#This Row],[Keff]]*Games[[#This Row],[MOVMult]])*(Games[[#This Row],[Result]]-Games[[#This Row],[ExpectedWin%]])</f>
        <v>-14.456885506049003</v>
      </c>
      <c r="AB573" s="4">
        <f>Games[[#This Row],[PreGmRate]]+Games[[#This Row],[RatingChange]]</f>
        <v>1456.5389128968641</v>
      </c>
      <c r="AC573" s="2">
        <f>IF(Games[[#This Row],[Type]]="R",IF(Games[[#This Row],[Result]]&gt;0.5,1,0),0)</f>
        <v>0</v>
      </c>
      <c r="AD573" s="2">
        <f>IF(Games[[#This Row],[Type]]="R",IF(Games[[#This Row],[Result]]&lt;0.5,1,0),0)</f>
        <v>1</v>
      </c>
      <c r="AE573" s="2">
        <f>IF(AND(Games[[#This Row],[Type]]="P",Games[[#This Row],[Round]]=1),IF(Games[[#This Row],[Result]]&gt;0.5,1,0),0)</f>
        <v>0</v>
      </c>
      <c r="AF573" s="2">
        <f>IF(AND(Games[[#This Row],[Type]]="P",Games[[#This Row],[Round]]=1),IF(Games[[#This Row],[Result]]&lt;0.5,1,0),0)</f>
        <v>0</v>
      </c>
      <c r="AG573" s="2">
        <f>IF(AND(Games[[#This Row],[Type]]="P",Games[[#This Row],[Round]]=2),IF(Games[[#This Row],[Result]]&gt;0.5,1,0),0)</f>
        <v>0</v>
      </c>
      <c r="AH573" s="2">
        <f>IF(AND(Games[[#This Row],[Type]]="P",Games[[#This Row],[Round]]=2),IF(Games[[#This Row],[Result]]&lt;0.5,1,0),0)</f>
        <v>0</v>
      </c>
      <c r="AI573" s="2">
        <f>IF(AND(Games[[#This Row],[Type]]="P",Games[[#This Row],[Round]]=3),IF(Games[[#This Row],[Result]]&gt;0.5,1,0),0)</f>
        <v>0</v>
      </c>
      <c r="AJ573" s="2">
        <f>IF(AND(Games[[#This Row],[Type]]="P",Games[[#This Row],[Round]]=3),IF(Games[[#This Row],[Result]]&lt;0.5,1,0),0)</f>
        <v>0</v>
      </c>
      <c r="AK573" s="2">
        <f>IF(AND(Games[[#This Row],[Type]]="P",Games[[#This Row],[Round]]=4),IF(Games[[#This Row],[Result]]&gt;0.5,1,0),0)</f>
        <v>0</v>
      </c>
      <c r="AL573" s="2">
        <f>IF(AND(Games[[#This Row],[Type]]="P",Games[[#This Row],[Round]]=4),IF(Games[[#This Row],[Result]]&lt;0.5,1,0),0)</f>
        <v>0</v>
      </c>
    </row>
    <row r="574" spans="1:38" x14ac:dyDescent="0.35">
      <c r="A574" s="10">
        <v>45911</v>
      </c>
      <c r="B574" s="2">
        <v>2025</v>
      </c>
      <c r="C574" s="2">
        <f>COUNTIFS(Games[Team],Games[[#This Row],[Team]],Games[Season],Games[[#This Row],[Season]],Games[Date],"&lt;=" &amp; Games[[#This Row],[Date]])</f>
        <v>44</v>
      </c>
      <c r="D574" s="2" t="s">
        <v>79</v>
      </c>
      <c r="E574" s="2" t="s">
        <v>80</v>
      </c>
      <c r="F574" s="1" t="s">
        <v>88</v>
      </c>
      <c r="G574" s="1" t="s">
        <v>67</v>
      </c>
      <c r="H574" s="1" t="s">
        <v>81</v>
      </c>
      <c r="I574" s="2" cm="1">
        <f t="array" ref="I5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4" s="2" cm="1">
        <f t="array" ref="J5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4" s="2">
        <f>Games[[#This Row],[DaysOff]]-Games[[#This Row],[OppDaysOff]]</f>
        <v>0</v>
      </c>
      <c r="L574" s="2">
        <f>Games[[#This Row],[OppDaysOff]]-Games[[#This Row],[DaysOff]]</f>
        <v>0</v>
      </c>
      <c r="M574" s="1">
        <f>MAX(-16, MIN(16, Games[[#This Row],[RestDiff]]*8))</f>
        <v>0</v>
      </c>
      <c r="N574" s="1">
        <f>MAX(-16, MIN(16, Games[[#This Row],[OppRestDiff]]*8))</f>
        <v>0</v>
      </c>
      <c r="O574" s="4" cm="1">
        <f t="array" ref="O5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1526.8582140959381</v>
      </c>
      <c r="P574" s="4" cm="1">
        <f t="array" ref="P5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1674.5212979566479</v>
      </c>
      <c r="Q574" s="4">
        <f>1/(1+10^(((Games[[#This Row],[OppPreGmRate]]+IF(Games[[#This Row],[HomeAway]]="A",HCA,0)+Games[[#This Row],[OppRestAdj]])-(Games[[#This Row],[PreGmRate]]+IF(Games[[#This Row],[HomeAway]]="H",HCA,0)+Games[[#This Row],[RestAdj]]))/400))</f>
        <v>0.20857112423352464</v>
      </c>
      <c r="R574" s="1">
        <v>53</v>
      </c>
      <c r="S574" s="1">
        <v>72</v>
      </c>
      <c r="T574" s="1">
        <v>0</v>
      </c>
      <c r="U574" s="1">
        <f>Games[[#This Row],[PointsFor]]-Games[[#This Row],[PointsAgainst]]</f>
        <v>-19</v>
      </c>
      <c r="V574" s="1">
        <f>IF(Games[[#This Row],[MOV]]&gt;0,1,IF(Games[[#This Row],[MOV]]=0,0.5,0))</f>
        <v>0</v>
      </c>
      <c r="W574" s="4">
        <f>((ABS(Games[[#This Row],[MOV]])+5)^0.6)/(12+0.01*(ABS(Games[[#This Row],[PreGmRate]]-Games[[#This Row],[OppPreGmRate]])))*IF(Games[[#This Row],[OT]]=1,0.9,1)</f>
        <v>0.49951141003228422</v>
      </c>
      <c r="X574" s="7" cm="1">
        <f t="array" ref="X5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74" s="9">
        <f>MAX(kmin, kmax - 0.15 * MIN(Games[[#This Row],[GamesPlayed]], 82))</f>
        <v>69.400000000000006</v>
      </c>
      <c r="Z574" s="4">
        <f>Games[[#This Row],[K]]*Games[[#This Row],[POMult]]</f>
        <v>69.400000000000006</v>
      </c>
      <c r="AA574" s="4">
        <f>(Games[[#This Row],[Keff]]*Games[[#This Row],[MOVMult]])*(Games[[#This Row],[Result]]-Games[[#This Row],[ExpectedWin%]])</f>
        <v>-7.2303457512387199</v>
      </c>
      <c r="AB574" s="4">
        <f>Games[[#This Row],[PreGmRate]]+Games[[#This Row],[RatingChange]]</f>
        <v>1519.6278683446994</v>
      </c>
      <c r="AC574" s="2">
        <f>IF(Games[[#This Row],[Type]]="R",IF(Games[[#This Row],[Result]]&gt;0.5,1,0),0)</f>
        <v>0</v>
      </c>
      <c r="AD574" s="2">
        <f>IF(Games[[#This Row],[Type]]="R",IF(Games[[#This Row],[Result]]&lt;0.5,1,0),0)</f>
        <v>1</v>
      </c>
      <c r="AE574" s="2">
        <f>IF(AND(Games[[#This Row],[Type]]="P",Games[[#This Row],[Round]]=1),IF(Games[[#This Row],[Result]]&gt;0.5,1,0),0)</f>
        <v>0</v>
      </c>
      <c r="AF574" s="2">
        <f>IF(AND(Games[[#This Row],[Type]]="P",Games[[#This Row],[Round]]=1),IF(Games[[#This Row],[Result]]&lt;0.5,1,0),0)</f>
        <v>0</v>
      </c>
      <c r="AG574" s="2">
        <f>IF(AND(Games[[#This Row],[Type]]="P",Games[[#This Row],[Round]]=2),IF(Games[[#This Row],[Result]]&gt;0.5,1,0),0)</f>
        <v>0</v>
      </c>
      <c r="AH574" s="2">
        <f>IF(AND(Games[[#This Row],[Type]]="P",Games[[#This Row],[Round]]=2),IF(Games[[#This Row],[Result]]&lt;0.5,1,0),0)</f>
        <v>0</v>
      </c>
      <c r="AI574" s="2">
        <f>IF(AND(Games[[#This Row],[Type]]="P",Games[[#This Row],[Round]]=3),IF(Games[[#This Row],[Result]]&gt;0.5,1,0),0)</f>
        <v>0</v>
      </c>
      <c r="AJ574" s="2">
        <f>IF(AND(Games[[#This Row],[Type]]="P",Games[[#This Row],[Round]]=3),IF(Games[[#This Row],[Result]]&lt;0.5,1,0),0)</f>
        <v>0</v>
      </c>
      <c r="AK574" s="2">
        <f>IF(AND(Games[[#This Row],[Type]]="P",Games[[#This Row],[Round]]=4),IF(Games[[#This Row],[Result]]&gt;0.5,1,0),0)</f>
        <v>0</v>
      </c>
      <c r="AL574" s="2">
        <f>IF(AND(Games[[#This Row],[Type]]="P",Games[[#This Row],[Round]]=4),IF(Games[[#This Row],[Result]]&lt;0.5,1,0),0)</f>
        <v>0</v>
      </c>
    </row>
    <row r="575" spans="1:38" x14ac:dyDescent="0.35">
      <c r="A575" s="10">
        <v>45911</v>
      </c>
      <c r="B575" s="2">
        <v>2025</v>
      </c>
      <c r="C575" s="2">
        <f>COUNTIFS(Games[Team],Games[[#This Row],[Team]],Games[Season],Games[[#This Row],[Season]],Games[Date],"&lt;=" &amp; Games[[#This Row],[Date]])</f>
        <v>45</v>
      </c>
      <c r="D575" s="2" t="s">
        <v>79</v>
      </c>
      <c r="E575" s="2" t="s">
        <v>80</v>
      </c>
      <c r="F575" s="1" t="s">
        <v>67</v>
      </c>
      <c r="G575" s="1" t="s">
        <v>88</v>
      </c>
      <c r="H575" s="1" t="s">
        <v>82</v>
      </c>
      <c r="I575" s="2" cm="1">
        <f t="array" ref="I5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5" s="2" cm="1">
        <f t="array" ref="J5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5" s="2">
        <f>Games[[#This Row],[DaysOff]]-Games[[#This Row],[OppDaysOff]]</f>
        <v>0</v>
      </c>
      <c r="L575" s="2">
        <f>Games[[#This Row],[OppDaysOff]]-Games[[#This Row],[DaysOff]]</f>
        <v>0</v>
      </c>
      <c r="M575" s="1">
        <f>MAX(-16, MIN(16, Games[[#This Row],[RestDiff]]*8))</f>
        <v>0</v>
      </c>
      <c r="N575" s="1">
        <f>MAX(-16, MIN(16, Games[[#This Row],[OppRestDiff]]*8))</f>
        <v>0</v>
      </c>
      <c r="O575" s="4" cm="1">
        <f t="array" ref="O5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1674.5212979566479</v>
      </c>
      <c r="P575" s="4" cm="1">
        <f t="array" ref="P5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1526.8582140959381</v>
      </c>
      <c r="Q575" s="4">
        <f>1/(1+10^(((Games[[#This Row],[OppPreGmRate]]+IF(Games[[#This Row],[HomeAway]]="A",HCA,0)+Games[[#This Row],[OppRestAdj]])-(Games[[#This Row],[PreGmRate]]+IF(Games[[#This Row],[HomeAway]]="H",HCA,0)+Games[[#This Row],[RestAdj]]))/400))</f>
        <v>0.79142887576647536</v>
      </c>
      <c r="R575" s="1">
        <v>72</v>
      </c>
      <c r="S575" s="1">
        <v>53</v>
      </c>
      <c r="T575" s="1">
        <v>0</v>
      </c>
      <c r="U575" s="1">
        <f>Games[[#This Row],[PointsFor]]-Games[[#This Row],[PointsAgainst]]</f>
        <v>19</v>
      </c>
      <c r="V575" s="1">
        <f>IF(Games[[#This Row],[MOV]]&gt;0,1,IF(Games[[#This Row],[MOV]]=0,0.5,0))</f>
        <v>1</v>
      </c>
      <c r="W575" s="4">
        <f>((ABS(Games[[#This Row],[MOV]])+5)^0.6)/(12+0.01*(ABS(Games[[#This Row],[PreGmRate]]-Games[[#This Row],[OppPreGmRate]])))*IF(Games[[#This Row],[OT]]=1,0.9,1)</f>
        <v>0.49951141003228422</v>
      </c>
      <c r="X575" s="7" cm="1">
        <f t="array" ref="X5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75" s="9">
        <f>MAX(kmin, kmax - 0.15 * MIN(Games[[#This Row],[GamesPlayed]], 82))</f>
        <v>69.25</v>
      </c>
      <c r="Z575" s="4">
        <f>Games[[#This Row],[K]]*Games[[#This Row],[POMult]]</f>
        <v>69.25</v>
      </c>
      <c r="AA575" s="4">
        <f>(Games[[#This Row],[Keff]]*Games[[#This Row],[MOVMult]])*(Games[[#This Row],[Result]]-Games[[#This Row],[ExpectedWin%]])</f>
        <v>7.2147182027850336</v>
      </c>
      <c r="AB575" s="4">
        <f>Games[[#This Row],[PreGmRate]]+Games[[#This Row],[RatingChange]]</f>
        <v>1681.7360161594329</v>
      </c>
      <c r="AC575" s="2">
        <f>IF(Games[[#This Row],[Type]]="R",IF(Games[[#This Row],[Result]]&gt;0.5,1,0),0)</f>
        <v>1</v>
      </c>
      <c r="AD575" s="2">
        <f>IF(Games[[#This Row],[Type]]="R",IF(Games[[#This Row],[Result]]&lt;0.5,1,0),0)</f>
        <v>0</v>
      </c>
      <c r="AE575" s="2">
        <f>IF(AND(Games[[#This Row],[Type]]="P",Games[[#This Row],[Round]]=1),IF(Games[[#This Row],[Result]]&gt;0.5,1,0),0)</f>
        <v>0</v>
      </c>
      <c r="AF575" s="2">
        <f>IF(AND(Games[[#This Row],[Type]]="P",Games[[#This Row],[Round]]=1),IF(Games[[#This Row],[Result]]&lt;0.5,1,0),0)</f>
        <v>0</v>
      </c>
      <c r="AG575" s="2">
        <f>IF(AND(Games[[#This Row],[Type]]="P",Games[[#This Row],[Round]]=2),IF(Games[[#This Row],[Result]]&gt;0.5,1,0),0)</f>
        <v>0</v>
      </c>
      <c r="AH575" s="2">
        <f>IF(AND(Games[[#This Row],[Type]]="P",Games[[#This Row],[Round]]=2),IF(Games[[#This Row],[Result]]&lt;0.5,1,0),0)</f>
        <v>0</v>
      </c>
      <c r="AI575" s="2">
        <f>IF(AND(Games[[#This Row],[Type]]="P",Games[[#This Row],[Round]]=3),IF(Games[[#This Row],[Result]]&gt;0.5,1,0),0)</f>
        <v>0</v>
      </c>
      <c r="AJ575" s="2">
        <f>IF(AND(Games[[#This Row],[Type]]="P",Games[[#This Row],[Round]]=3),IF(Games[[#This Row],[Result]]&lt;0.5,1,0),0)</f>
        <v>0</v>
      </c>
      <c r="AK575" s="2">
        <f>IF(AND(Games[[#This Row],[Type]]="P",Games[[#This Row],[Round]]=4),IF(Games[[#This Row],[Result]]&gt;0.5,1,0),0)</f>
        <v>0</v>
      </c>
      <c r="AL575" s="2">
        <f>IF(AND(Games[[#This Row],[Type]]="P",Games[[#This Row],[Round]]=4),IF(Games[[#This Row],[Result]]&lt;0.5,1,0),0)</f>
        <v>0</v>
      </c>
    </row>
    <row r="576" spans="1:38" x14ac:dyDescent="0.35">
      <c r="A576" s="10">
        <v>45914</v>
      </c>
      <c r="B576" s="2">
        <v>2025</v>
      </c>
      <c r="C576" s="2">
        <f>COUNTIFS(Games[Team],Games[[#This Row],[Team]],Games[Season],Games[[#This Row],[Season]],Games[Date],"&lt;=" &amp; Games[[#This Row],[Date]])</f>
        <v>46</v>
      </c>
      <c r="D576" s="2" t="s">
        <v>83</v>
      </c>
      <c r="E576" s="2">
        <v>1</v>
      </c>
      <c r="F576" s="1" t="s">
        <v>69</v>
      </c>
      <c r="G576" s="1" t="s">
        <v>77</v>
      </c>
      <c r="H576" s="1" t="s">
        <v>81</v>
      </c>
      <c r="I576" s="2" cm="1">
        <f t="array" ref="I576">IFERROR(
    Games[[#This Row],[Date]]
    - LOOKUP(
        2,
        1/((Games[Team]=Games[[#This Row],[Team]]) * (Games[Date] &lt; Games[[#This Row],[Date]])),
        Games[Date]
    )
    - 1,
Games[[#This Row],[Date]]-$A$2)</f>
        <v>4</v>
      </c>
      <c r="J576" s="2" cm="1">
        <f t="array" ref="J5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76" s="2">
        <f>Games[[#This Row],[DaysOff]]-Games[[#This Row],[OppDaysOff]]</f>
        <v>1</v>
      </c>
      <c r="L576" s="2">
        <f>Games[[#This Row],[OppDaysOff]]-Games[[#This Row],[DaysOff]]</f>
        <v>-1</v>
      </c>
      <c r="M576" s="1">
        <f>MAX(-16, MIN(16, Games[[#This Row],[RestDiff]]*8))</f>
        <v>8</v>
      </c>
      <c r="N576" s="1">
        <f>MAX(-16, MIN(16, Games[[#This Row],[OppRestDiff]]*8))</f>
        <v>-8</v>
      </c>
      <c r="O576" s="4" cm="1">
        <f t="array" ref="O5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1562.1035795287557</v>
      </c>
      <c r="P576" s="4" cm="1">
        <f t="array" ref="P5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1654.7100519577248</v>
      </c>
      <c r="Q576" s="4">
        <f>1/(1+10^(((Games[[#This Row],[OppPreGmRate]]+IF(Games[[#This Row],[HomeAway]]="A",HCA,0)+Games[[#This Row],[OppRestAdj]])-(Games[[#This Row],[PreGmRate]]+IF(Games[[#This Row],[HomeAway]]="H",HCA,0)+Games[[#This Row],[RestAdj]]))/400))</f>
        <v>0.28403675701519626</v>
      </c>
      <c r="R576" s="1">
        <v>68</v>
      </c>
      <c r="S576" s="1">
        <v>80</v>
      </c>
      <c r="T576" s="1">
        <v>0</v>
      </c>
      <c r="U576" s="1">
        <f>Games[[#This Row],[PointsFor]]-Games[[#This Row],[PointsAgainst]]</f>
        <v>-12</v>
      </c>
      <c r="V576" s="1">
        <f>IF(Games[[#This Row],[MOV]]&gt;0,1,IF(Games[[#This Row],[MOV]]=0,0.5,0))</f>
        <v>0</v>
      </c>
      <c r="W576" s="4">
        <f>((ABS(Games[[#This Row],[MOV]])+5)^0.6)/(12+0.01*(ABS(Games[[#This Row],[PreGmRate]]-Games[[#This Row],[OppPreGmRate]])))*IF(Games[[#This Row],[OT]]=1,0.9,1)</f>
        <v>0.42345086719494746</v>
      </c>
      <c r="X576" s="7" cm="1">
        <f t="array" ref="X5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76" s="9">
        <f>MAX(kmin, kmax - 0.15 * MIN(Games[[#This Row],[GamesPlayed]], 82))</f>
        <v>69.099999999999994</v>
      </c>
      <c r="Z576" s="4">
        <f>Games[[#This Row],[K]]*Games[[#This Row],[POMult]]</f>
        <v>76.010000000000005</v>
      </c>
      <c r="AA576" s="4">
        <f>(Games[[#This Row],[Keff]]*Games[[#This Row],[MOVMult]])*(Games[[#This Row],[Result]]-Games[[#This Row],[ExpectedWin%]])</f>
        <v>-9.1421491976834659</v>
      </c>
      <c r="AB576" s="4">
        <f>Games[[#This Row],[PreGmRate]]+Games[[#This Row],[RatingChange]]</f>
        <v>1552.9614303310723</v>
      </c>
      <c r="AC576" s="2">
        <f>IF(Games[[#This Row],[Type]]="R",IF(Games[[#This Row],[Result]]&gt;0.5,1,0),0)</f>
        <v>0</v>
      </c>
      <c r="AD576" s="2">
        <f>IF(Games[[#This Row],[Type]]="R",IF(Games[[#This Row],[Result]]&lt;0.5,1,0),0)</f>
        <v>0</v>
      </c>
      <c r="AE576" s="2">
        <f>IF(AND(Games[[#This Row],[Type]]="P",Games[[#This Row],[Round]]=1),IF(Games[[#This Row],[Result]]&gt;0.5,1,0),0)</f>
        <v>0</v>
      </c>
      <c r="AF576" s="2">
        <f>IF(AND(Games[[#This Row],[Type]]="P",Games[[#This Row],[Round]]=1),IF(Games[[#This Row],[Result]]&lt;0.5,1,0),0)</f>
        <v>1</v>
      </c>
      <c r="AG576" s="2">
        <f>IF(AND(Games[[#This Row],[Type]]="P",Games[[#This Row],[Round]]=2),IF(Games[[#This Row],[Result]]&gt;0.5,1,0),0)</f>
        <v>0</v>
      </c>
      <c r="AH576" s="2">
        <f>IF(AND(Games[[#This Row],[Type]]="P",Games[[#This Row],[Round]]=2),IF(Games[[#This Row],[Result]]&lt;0.5,1,0),0)</f>
        <v>0</v>
      </c>
      <c r="AI576" s="2">
        <f>IF(AND(Games[[#This Row],[Type]]="P",Games[[#This Row],[Round]]=3),IF(Games[[#This Row],[Result]]&gt;0.5,1,0),0)</f>
        <v>0</v>
      </c>
      <c r="AJ576" s="2">
        <f>IF(AND(Games[[#This Row],[Type]]="P",Games[[#This Row],[Round]]=3),IF(Games[[#This Row],[Result]]&lt;0.5,1,0),0)</f>
        <v>0</v>
      </c>
      <c r="AK576" s="2">
        <f>IF(AND(Games[[#This Row],[Type]]="P",Games[[#This Row],[Round]]=4),IF(Games[[#This Row],[Result]]&gt;0.5,1,0),0)</f>
        <v>0</v>
      </c>
      <c r="AL576" s="2">
        <f>IF(AND(Games[[#This Row],[Type]]="P",Games[[#This Row],[Round]]=4),IF(Games[[#This Row],[Result]]&lt;0.5,1,0),0)</f>
        <v>0</v>
      </c>
    </row>
    <row r="577" spans="1:38" x14ac:dyDescent="0.35">
      <c r="A577" s="10">
        <v>45914</v>
      </c>
      <c r="B577" s="2">
        <v>2025</v>
      </c>
      <c r="C577" s="2">
        <f>COUNTIFS(Games[Team],Games[[#This Row],[Team]],Games[Season],Games[[#This Row],[Season]],Games[Date],"&lt;=" &amp; Games[[#This Row],[Date]])</f>
        <v>45</v>
      </c>
      <c r="D577" s="2" t="s">
        <v>83</v>
      </c>
      <c r="E577" s="2">
        <v>1</v>
      </c>
      <c r="F577" s="1" t="s">
        <v>77</v>
      </c>
      <c r="G577" s="1" t="s">
        <v>69</v>
      </c>
      <c r="H577" s="1" t="s">
        <v>82</v>
      </c>
      <c r="I577" s="2" cm="1">
        <f t="array" ref="I5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577" s="2" cm="1">
        <f t="array" ref="J57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77" s="2">
        <f>Games[[#This Row],[DaysOff]]-Games[[#This Row],[OppDaysOff]]</f>
        <v>-1</v>
      </c>
      <c r="L577" s="2">
        <f>Games[[#This Row],[OppDaysOff]]-Games[[#This Row],[DaysOff]]</f>
        <v>1</v>
      </c>
      <c r="M577" s="1">
        <f>MAX(-16, MIN(16, Games[[#This Row],[RestDiff]]*8))</f>
        <v>-8</v>
      </c>
      <c r="N577" s="1">
        <f>MAX(-16, MIN(16, Games[[#This Row],[OppRestDiff]]*8))</f>
        <v>8</v>
      </c>
      <c r="O577" s="4" cm="1">
        <f t="array" ref="O5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1654.7100519577248</v>
      </c>
      <c r="P577" s="4" cm="1">
        <f t="array" ref="P5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1562.1035795287557</v>
      </c>
      <c r="Q577" s="4">
        <f>1/(1+10^(((Games[[#This Row],[OppPreGmRate]]+IF(Games[[#This Row],[HomeAway]]="A",HCA,0)+Games[[#This Row],[OppRestAdj]])-(Games[[#This Row],[PreGmRate]]+IF(Games[[#This Row],[HomeAway]]="H",HCA,0)+Games[[#This Row],[RestAdj]]))/400))</f>
        <v>0.71596324298480374</v>
      </c>
      <c r="R577" s="1">
        <v>80</v>
      </c>
      <c r="S577" s="1">
        <v>68</v>
      </c>
      <c r="T577" s="1">
        <v>0</v>
      </c>
      <c r="U577" s="1">
        <f>Games[[#This Row],[PointsFor]]-Games[[#This Row],[PointsAgainst]]</f>
        <v>12</v>
      </c>
      <c r="V577" s="1">
        <f>IF(Games[[#This Row],[MOV]]&gt;0,1,IF(Games[[#This Row],[MOV]]=0,0.5,0))</f>
        <v>1</v>
      </c>
      <c r="W577" s="4">
        <f>((ABS(Games[[#This Row],[MOV]])+5)^0.6)/(12+0.01*(ABS(Games[[#This Row],[PreGmRate]]-Games[[#This Row],[OppPreGmRate]])))*IF(Games[[#This Row],[OT]]=1,0.9,1)</f>
        <v>0.42345086719494746</v>
      </c>
      <c r="X577" s="7" cm="1">
        <f t="array" ref="X5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77" s="9">
        <f>MAX(kmin, kmax - 0.15 * MIN(Games[[#This Row],[GamesPlayed]], 82))</f>
        <v>69.25</v>
      </c>
      <c r="Z577" s="4">
        <f>Games[[#This Row],[K]]*Games[[#This Row],[POMult]]</f>
        <v>76.175000000000011</v>
      </c>
      <c r="AA577" s="4">
        <f>(Games[[#This Row],[Keff]]*Games[[#This Row],[MOVMult]])*(Games[[#This Row],[Result]]-Games[[#This Row],[ExpectedWin%]])</f>
        <v>9.1619946735105664</v>
      </c>
      <c r="AB577" s="4">
        <f>Games[[#This Row],[PreGmRate]]+Games[[#This Row],[RatingChange]]</f>
        <v>1663.8720466312354</v>
      </c>
      <c r="AC577" s="2">
        <f>IF(Games[[#This Row],[Type]]="R",IF(Games[[#This Row],[Result]]&gt;0.5,1,0),0)</f>
        <v>0</v>
      </c>
      <c r="AD577" s="2">
        <f>IF(Games[[#This Row],[Type]]="R",IF(Games[[#This Row],[Result]]&lt;0.5,1,0),0)</f>
        <v>0</v>
      </c>
      <c r="AE577" s="2">
        <f>IF(AND(Games[[#This Row],[Type]]="P",Games[[#This Row],[Round]]=1),IF(Games[[#This Row],[Result]]&gt;0.5,1,0),0)</f>
        <v>1</v>
      </c>
      <c r="AF577" s="2">
        <f>IF(AND(Games[[#This Row],[Type]]="P",Games[[#This Row],[Round]]=1),IF(Games[[#This Row],[Result]]&lt;0.5,1,0),0)</f>
        <v>0</v>
      </c>
      <c r="AG577" s="2">
        <f>IF(AND(Games[[#This Row],[Type]]="P",Games[[#This Row],[Round]]=2),IF(Games[[#This Row],[Result]]&gt;0.5,1,0),0)</f>
        <v>0</v>
      </c>
      <c r="AH577" s="2">
        <f>IF(AND(Games[[#This Row],[Type]]="P",Games[[#This Row],[Round]]=2),IF(Games[[#This Row],[Result]]&lt;0.5,1,0),0)</f>
        <v>0</v>
      </c>
      <c r="AI577" s="2">
        <f>IF(AND(Games[[#This Row],[Type]]="P",Games[[#This Row],[Round]]=3),IF(Games[[#This Row],[Result]]&gt;0.5,1,0),0)</f>
        <v>0</v>
      </c>
      <c r="AJ577" s="2">
        <f>IF(AND(Games[[#This Row],[Type]]="P",Games[[#This Row],[Round]]=3),IF(Games[[#This Row],[Result]]&lt;0.5,1,0),0)</f>
        <v>0</v>
      </c>
      <c r="AK577" s="2">
        <f>IF(AND(Games[[#This Row],[Type]]="P",Games[[#This Row],[Round]]=4),IF(Games[[#This Row],[Result]]&gt;0.5,1,0),0)</f>
        <v>0</v>
      </c>
      <c r="AL577" s="2">
        <f>IF(AND(Games[[#This Row],[Type]]="P",Games[[#This Row],[Round]]=4),IF(Games[[#This Row],[Result]]&lt;0.5,1,0),0)</f>
        <v>0</v>
      </c>
    </row>
    <row r="578" spans="1:38" x14ac:dyDescent="0.35">
      <c r="A578" s="10">
        <v>45914</v>
      </c>
      <c r="B578" s="2">
        <v>2025</v>
      </c>
      <c r="C578" s="2">
        <f>COUNTIFS(Games[Team],Games[[#This Row],[Team]],Games[Season],Games[[#This Row],[Season]],Games[Date],"&lt;=" &amp; Games[[#This Row],[Date]])</f>
        <v>45</v>
      </c>
      <c r="D578" s="2" t="s">
        <v>83</v>
      </c>
      <c r="E578" s="2">
        <v>1</v>
      </c>
      <c r="F578" s="1" t="s">
        <v>71</v>
      </c>
      <c r="G578" s="1" t="s">
        <v>86</v>
      </c>
      <c r="H578" s="1" t="s">
        <v>81</v>
      </c>
      <c r="I578" s="2" cm="1">
        <f t="array" ref="I5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578" s="2" cm="1">
        <f t="array" ref="J5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78" s="2">
        <f>Games[[#This Row],[DaysOff]]-Games[[#This Row],[OppDaysOff]]</f>
        <v>2</v>
      </c>
      <c r="L578" s="2">
        <f>Games[[#This Row],[OppDaysOff]]-Games[[#This Row],[DaysOff]]</f>
        <v>-2</v>
      </c>
      <c r="M578" s="1">
        <f>MAX(-16, MIN(16, Games[[#This Row],[RestDiff]]*8))</f>
        <v>16</v>
      </c>
      <c r="N578" s="1">
        <f>MAX(-16, MIN(16, Games[[#This Row],[OppRestDiff]]*8))</f>
        <v>-16</v>
      </c>
      <c r="O578" s="4" cm="1">
        <f t="array" ref="O5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1510.0766528549598</v>
      </c>
      <c r="P578" s="4" cm="1">
        <f t="array" ref="P5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1673.3491543130413</v>
      </c>
      <c r="Q578" s="4">
        <f>1/(1+10^(((Games[[#This Row],[OppPreGmRate]]+IF(Games[[#This Row],[HomeAway]]="A",HCA,0)+Games[[#This Row],[OppRestAdj]])-(Games[[#This Row],[PreGmRate]]+IF(Games[[#This Row],[HomeAway]]="H",HCA,0)+Games[[#This Row],[RestAdj]]))/400))</f>
        <v>0.2245738518992966</v>
      </c>
      <c r="R578" s="1">
        <v>77</v>
      </c>
      <c r="S578" s="1">
        <v>102</v>
      </c>
      <c r="T578" s="1">
        <v>0</v>
      </c>
      <c r="U578" s="1">
        <f>Games[[#This Row],[PointsFor]]-Games[[#This Row],[PointsAgainst]]</f>
        <v>-25</v>
      </c>
      <c r="V578" s="1">
        <f>IF(Games[[#This Row],[MOV]]&gt;0,1,IF(Games[[#This Row],[MOV]]=0,0.5,0))</f>
        <v>0</v>
      </c>
      <c r="W578" s="4">
        <f>((ABS(Games[[#This Row],[MOV]])+5)^0.6)/(12+0.01*(ABS(Games[[#This Row],[PreGmRate]]-Games[[#This Row],[OppPreGmRate]])))*IF(Games[[#This Row],[OT]]=1,0.9,1)</f>
        <v>0.56453396752994822</v>
      </c>
      <c r="X578" s="7" cm="1">
        <f t="array" ref="X5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78" s="9">
        <f>MAX(kmin, kmax - 0.15 * MIN(Games[[#This Row],[GamesPlayed]], 82))</f>
        <v>69.25</v>
      </c>
      <c r="Z578" s="4">
        <f>Games[[#This Row],[K]]*Games[[#This Row],[POMult]]</f>
        <v>76.175000000000011</v>
      </c>
      <c r="AA578" s="4">
        <f>(Games[[#This Row],[Keff]]*Games[[#This Row],[MOVMult]])*(Games[[#This Row],[Result]]-Games[[#This Row],[ExpectedWin%]])</f>
        <v>-9.6574335631634955</v>
      </c>
      <c r="AB578" s="4">
        <f>Games[[#This Row],[PreGmRate]]+Games[[#This Row],[RatingChange]]</f>
        <v>1500.4192192917963</v>
      </c>
      <c r="AC578" s="2">
        <f>IF(Games[[#This Row],[Type]]="R",IF(Games[[#This Row],[Result]]&gt;0.5,1,0),0)</f>
        <v>0</v>
      </c>
      <c r="AD578" s="2">
        <f>IF(Games[[#This Row],[Type]]="R",IF(Games[[#This Row],[Result]]&lt;0.5,1,0),0)</f>
        <v>0</v>
      </c>
      <c r="AE578" s="2">
        <f>IF(AND(Games[[#This Row],[Type]]="P",Games[[#This Row],[Round]]=1),IF(Games[[#This Row],[Result]]&gt;0.5,1,0),0)</f>
        <v>0</v>
      </c>
      <c r="AF578" s="2">
        <f>IF(AND(Games[[#This Row],[Type]]="P",Games[[#This Row],[Round]]=1),IF(Games[[#This Row],[Result]]&lt;0.5,1,0),0)</f>
        <v>1</v>
      </c>
      <c r="AG578" s="2">
        <f>IF(AND(Games[[#This Row],[Type]]="P",Games[[#This Row],[Round]]=2),IF(Games[[#This Row],[Result]]&gt;0.5,1,0),0)</f>
        <v>0</v>
      </c>
      <c r="AH578" s="2">
        <f>IF(AND(Games[[#This Row],[Type]]="P",Games[[#This Row],[Round]]=2),IF(Games[[#This Row],[Result]]&lt;0.5,1,0),0)</f>
        <v>0</v>
      </c>
      <c r="AI578" s="2">
        <f>IF(AND(Games[[#This Row],[Type]]="P",Games[[#This Row],[Round]]=3),IF(Games[[#This Row],[Result]]&gt;0.5,1,0),0)</f>
        <v>0</v>
      </c>
      <c r="AJ578" s="2">
        <f>IF(AND(Games[[#This Row],[Type]]="P",Games[[#This Row],[Round]]=3),IF(Games[[#This Row],[Result]]&lt;0.5,1,0),0)</f>
        <v>0</v>
      </c>
      <c r="AK578" s="2">
        <f>IF(AND(Games[[#This Row],[Type]]="P",Games[[#This Row],[Round]]=4),IF(Games[[#This Row],[Result]]&gt;0.5,1,0),0)</f>
        <v>0</v>
      </c>
      <c r="AL578" s="2">
        <f>IF(AND(Games[[#This Row],[Type]]="P",Games[[#This Row],[Round]]=4),IF(Games[[#This Row],[Result]]&lt;0.5,1,0),0)</f>
        <v>0</v>
      </c>
    </row>
    <row r="579" spans="1:38" x14ac:dyDescent="0.35">
      <c r="A579" s="10">
        <v>45914</v>
      </c>
      <c r="B579" s="2">
        <v>2025</v>
      </c>
      <c r="C579" s="2">
        <f>COUNTIFS(Games[Team],Games[[#This Row],[Team]],Games[Season],Games[[#This Row],[Season]],Games[Date],"&lt;=" &amp; Games[[#This Row],[Date]])</f>
        <v>45</v>
      </c>
      <c r="D579" s="2" t="s">
        <v>83</v>
      </c>
      <c r="E579" s="2">
        <v>1</v>
      </c>
      <c r="F579" s="1" t="s">
        <v>86</v>
      </c>
      <c r="G579" s="1" t="s">
        <v>71</v>
      </c>
      <c r="H579" s="1" t="s">
        <v>82</v>
      </c>
      <c r="I579" s="2" cm="1">
        <f t="array" ref="I5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79" s="2" cm="1">
        <f t="array" ref="J5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79" s="2">
        <f>Games[[#This Row],[DaysOff]]-Games[[#This Row],[OppDaysOff]]</f>
        <v>-2</v>
      </c>
      <c r="L579" s="2">
        <f>Games[[#This Row],[OppDaysOff]]-Games[[#This Row],[DaysOff]]</f>
        <v>2</v>
      </c>
      <c r="M579" s="1">
        <f>MAX(-16, MIN(16, Games[[#This Row],[RestDiff]]*8))</f>
        <v>-16</v>
      </c>
      <c r="N579" s="1">
        <f>MAX(-16, MIN(16, Games[[#This Row],[OppRestDiff]]*8))</f>
        <v>16</v>
      </c>
      <c r="O579" s="4" cm="1">
        <f t="array" ref="O5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1673.3491543130413</v>
      </c>
      <c r="P579" s="4" cm="1">
        <f t="array" ref="P5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1510.0766528549598</v>
      </c>
      <c r="Q579" s="4">
        <f>1/(1+10^(((Games[[#This Row],[OppPreGmRate]]+IF(Games[[#This Row],[HomeAway]]="A",HCA,0)+Games[[#This Row],[OppRestAdj]])-(Games[[#This Row],[PreGmRate]]+IF(Games[[#This Row],[HomeAway]]="H",HCA,0)+Games[[#This Row],[RestAdj]]))/400))</f>
        <v>0.77542614810070343</v>
      </c>
      <c r="R579" s="1">
        <v>102</v>
      </c>
      <c r="S579" s="1">
        <v>77</v>
      </c>
      <c r="T579" s="1">
        <v>0</v>
      </c>
      <c r="U579" s="1">
        <f>Games[[#This Row],[PointsFor]]-Games[[#This Row],[PointsAgainst]]</f>
        <v>25</v>
      </c>
      <c r="V579" s="1">
        <f>IF(Games[[#This Row],[MOV]]&gt;0,1,IF(Games[[#This Row],[MOV]]=0,0.5,0))</f>
        <v>1</v>
      </c>
      <c r="W579" s="4">
        <f>((ABS(Games[[#This Row],[MOV]])+5)^0.6)/(12+0.01*(ABS(Games[[#This Row],[PreGmRate]]-Games[[#This Row],[OppPreGmRate]])))*IF(Games[[#This Row],[OT]]=1,0.9,1)</f>
        <v>0.56453396752994822</v>
      </c>
      <c r="X579" s="7" cm="1">
        <f t="array" ref="X5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79" s="9">
        <f>MAX(kmin, kmax - 0.15 * MIN(Games[[#This Row],[GamesPlayed]], 82))</f>
        <v>69.25</v>
      </c>
      <c r="Z579" s="4">
        <f>Games[[#This Row],[K]]*Games[[#This Row],[POMult]]</f>
        <v>76.175000000000011</v>
      </c>
      <c r="AA579" s="4">
        <f>(Games[[#This Row],[Keff]]*Games[[#This Row],[MOVMult]])*(Games[[#This Row],[Result]]-Games[[#This Row],[ExpectedWin%]])</f>
        <v>9.6574335631634955</v>
      </c>
      <c r="AB579" s="4">
        <f>Games[[#This Row],[PreGmRate]]+Games[[#This Row],[RatingChange]]</f>
        <v>1683.0065878762048</v>
      </c>
      <c r="AC579" s="2">
        <f>IF(Games[[#This Row],[Type]]="R",IF(Games[[#This Row],[Result]]&gt;0.5,1,0),0)</f>
        <v>0</v>
      </c>
      <c r="AD579" s="2">
        <f>IF(Games[[#This Row],[Type]]="R",IF(Games[[#This Row],[Result]]&lt;0.5,1,0),0)</f>
        <v>0</v>
      </c>
      <c r="AE579" s="2">
        <f>IF(AND(Games[[#This Row],[Type]]="P",Games[[#This Row],[Round]]=1),IF(Games[[#This Row],[Result]]&gt;0.5,1,0),0)</f>
        <v>1</v>
      </c>
      <c r="AF579" s="2">
        <f>IF(AND(Games[[#This Row],[Type]]="P",Games[[#This Row],[Round]]=1),IF(Games[[#This Row],[Result]]&lt;0.5,1,0),0)</f>
        <v>0</v>
      </c>
      <c r="AG579" s="2">
        <f>IF(AND(Games[[#This Row],[Type]]="P",Games[[#This Row],[Round]]=2),IF(Games[[#This Row],[Result]]&gt;0.5,1,0),0)</f>
        <v>0</v>
      </c>
      <c r="AH579" s="2">
        <f>IF(AND(Games[[#This Row],[Type]]="P",Games[[#This Row],[Round]]=2),IF(Games[[#This Row],[Result]]&lt;0.5,1,0),0)</f>
        <v>0</v>
      </c>
      <c r="AI579" s="2">
        <f>IF(AND(Games[[#This Row],[Type]]="P",Games[[#This Row],[Round]]=3),IF(Games[[#This Row],[Result]]&gt;0.5,1,0),0)</f>
        <v>0</v>
      </c>
      <c r="AJ579" s="2">
        <f>IF(AND(Games[[#This Row],[Type]]="P",Games[[#This Row],[Round]]=3),IF(Games[[#This Row],[Result]]&lt;0.5,1,0),0)</f>
        <v>0</v>
      </c>
      <c r="AK579" s="2">
        <f>IF(AND(Games[[#This Row],[Type]]="P",Games[[#This Row],[Round]]=4),IF(Games[[#This Row],[Result]]&gt;0.5,1,0),0)</f>
        <v>0</v>
      </c>
      <c r="AL579" s="2">
        <f>IF(AND(Games[[#This Row],[Type]]="P",Games[[#This Row],[Round]]=4),IF(Games[[#This Row],[Result]]&lt;0.5,1,0),0)</f>
        <v>0</v>
      </c>
    </row>
    <row r="580" spans="1:38" x14ac:dyDescent="0.35">
      <c r="A580" s="10">
        <v>45914</v>
      </c>
      <c r="B580" s="2">
        <v>2025</v>
      </c>
      <c r="C580" s="2">
        <f>COUNTIFS(Games[Team],Games[[#This Row],[Team]],Games[Season],Games[[#This Row],[Season]],Games[Date],"&lt;=" &amp; Games[[#This Row],[Date]])</f>
        <v>45</v>
      </c>
      <c r="D580" s="2" t="s">
        <v>83</v>
      </c>
      <c r="E580" s="2">
        <v>1</v>
      </c>
      <c r="F580" s="1" t="s">
        <v>88</v>
      </c>
      <c r="G580" s="1" t="s">
        <v>67</v>
      </c>
      <c r="H580" s="1" t="s">
        <v>81</v>
      </c>
      <c r="I580" s="2" cm="1">
        <f t="array" ref="I5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0" s="2" cm="1">
        <f t="array" ref="J5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0" s="2">
        <f>Games[[#This Row],[DaysOff]]-Games[[#This Row],[OppDaysOff]]</f>
        <v>0</v>
      </c>
      <c r="L580" s="2">
        <f>Games[[#This Row],[OppDaysOff]]-Games[[#This Row],[DaysOff]]</f>
        <v>0</v>
      </c>
      <c r="M580" s="1">
        <f>MAX(-16, MIN(16, Games[[#This Row],[RestDiff]]*8))</f>
        <v>0</v>
      </c>
      <c r="N580" s="1">
        <f>MAX(-16, MIN(16, Games[[#This Row],[OppRestDiff]]*8))</f>
        <v>0</v>
      </c>
      <c r="O580" s="4" cm="1">
        <f t="array" ref="O5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1519.6278683446994</v>
      </c>
      <c r="P580" s="4" cm="1">
        <f t="array" ref="P5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1681.7360161594329</v>
      </c>
      <c r="Q580" s="4">
        <f>1/(1+10^(((Games[[#This Row],[OppPreGmRate]]+IF(Games[[#This Row],[HomeAway]]="A",HCA,0)+Games[[#This Row],[OppRestAdj]])-(Games[[#This Row],[PreGmRate]]+IF(Games[[#This Row],[HomeAway]]="H",HCA,0)+Games[[#This Row],[RestAdj]]))/400))</f>
        <v>0.19517749594926612</v>
      </c>
      <c r="R580" s="1">
        <v>72</v>
      </c>
      <c r="S580" s="1">
        <v>101</v>
      </c>
      <c r="T580" s="1">
        <v>0</v>
      </c>
      <c r="U580" s="1">
        <f>Games[[#This Row],[PointsFor]]-Games[[#This Row],[PointsAgainst]]</f>
        <v>-29</v>
      </c>
      <c r="V580" s="1">
        <f>IF(Games[[#This Row],[MOV]]&gt;0,1,IF(Games[[#This Row],[MOV]]=0,0.5,0))</f>
        <v>0</v>
      </c>
      <c r="W580" s="4">
        <f>((ABS(Games[[#This Row],[MOV]])+5)^0.6)/(12+0.01*(ABS(Games[[#This Row],[PreGmRate]]-Games[[#This Row],[OppPreGmRate]])))*IF(Games[[#This Row],[OT]]=1,0.9,1)</f>
        <v>0.60908199201666591</v>
      </c>
      <c r="X580" s="7" cm="1">
        <f t="array" ref="X5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80" s="9">
        <f>MAX(kmin, kmax - 0.15 * MIN(Games[[#This Row],[GamesPlayed]], 82))</f>
        <v>69.25</v>
      </c>
      <c r="Z580" s="4">
        <f>Games[[#This Row],[K]]*Games[[#This Row],[POMult]]</f>
        <v>76.175000000000011</v>
      </c>
      <c r="AA580" s="4">
        <f>(Games[[#This Row],[Keff]]*Games[[#This Row],[MOVMult]])*(Games[[#This Row],[Result]]-Games[[#This Row],[ExpectedWin%]])</f>
        <v>-9.0556152924050668</v>
      </c>
      <c r="AB580" s="4">
        <f>Games[[#This Row],[PreGmRate]]+Games[[#This Row],[RatingChange]]</f>
        <v>1510.5722530522944</v>
      </c>
      <c r="AC580" s="2">
        <f>IF(Games[[#This Row],[Type]]="R",IF(Games[[#This Row],[Result]]&gt;0.5,1,0),0)</f>
        <v>0</v>
      </c>
      <c r="AD580" s="2">
        <f>IF(Games[[#This Row],[Type]]="R",IF(Games[[#This Row],[Result]]&lt;0.5,1,0),0)</f>
        <v>0</v>
      </c>
      <c r="AE580" s="2">
        <f>IF(AND(Games[[#This Row],[Type]]="P",Games[[#This Row],[Round]]=1),IF(Games[[#This Row],[Result]]&gt;0.5,1,0),0)</f>
        <v>0</v>
      </c>
      <c r="AF580" s="2">
        <f>IF(AND(Games[[#This Row],[Type]]="P",Games[[#This Row],[Round]]=1),IF(Games[[#This Row],[Result]]&lt;0.5,1,0),0)</f>
        <v>1</v>
      </c>
      <c r="AG580" s="2">
        <f>IF(AND(Games[[#This Row],[Type]]="P",Games[[#This Row],[Round]]=2),IF(Games[[#This Row],[Result]]&gt;0.5,1,0),0)</f>
        <v>0</v>
      </c>
      <c r="AH580" s="2">
        <f>IF(AND(Games[[#This Row],[Type]]="P",Games[[#This Row],[Round]]=2),IF(Games[[#This Row],[Result]]&lt;0.5,1,0),0)</f>
        <v>0</v>
      </c>
      <c r="AI580" s="2">
        <f>IF(AND(Games[[#This Row],[Type]]="P",Games[[#This Row],[Round]]=3),IF(Games[[#This Row],[Result]]&gt;0.5,1,0),0)</f>
        <v>0</v>
      </c>
      <c r="AJ580" s="2">
        <f>IF(AND(Games[[#This Row],[Type]]="P",Games[[#This Row],[Round]]=3),IF(Games[[#This Row],[Result]]&lt;0.5,1,0),0)</f>
        <v>0</v>
      </c>
      <c r="AK580" s="2">
        <f>IF(AND(Games[[#This Row],[Type]]="P",Games[[#This Row],[Round]]=4),IF(Games[[#This Row],[Result]]&gt;0.5,1,0),0)</f>
        <v>0</v>
      </c>
      <c r="AL580" s="2">
        <f>IF(AND(Games[[#This Row],[Type]]="P",Games[[#This Row],[Round]]=4),IF(Games[[#This Row],[Result]]&lt;0.5,1,0),0)</f>
        <v>0</v>
      </c>
    </row>
    <row r="581" spans="1:38" x14ac:dyDescent="0.35">
      <c r="A581" s="10">
        <v>45914</v>
      </c>
      <c r="B581" s="2">
        <v>2025</v>
      </c>
      <c r="C581" s="2">
        <f>COUNTIFS(Games[Team],Games[[#This Row],[Team]],Games[Season],Games[[#This Row],[Season]],Games[Date],"&lt;=" &amp; Games[[#This Row],[Date]])</f>
        <v>46</v>
      </c>
      <c r="D581" s="2" t="s">
        <v>83</v>
      </c>
      <c r="E581" s="2">
        <v>1</v>
      </c>
      <c r="F581" s="1" t="s">
        <v>67</v>
      </c>
      <c r="G581" s="1" t="s">
        <v>88</v>
      </c>
      <c r="H581" s="1" t="s">
        <v>82</v>
      </c>
      <c r="I581" s="2" cm="1">
        <f t="array" ref="I5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1" s="2" cm="1">
        <f t="array" ref="J5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1" s="2">
        <f>Games[[#This Row],[DaysOff]]-Games[[#This Row],[OppDaysOff]]</f>
        <v>0</v>
      </c>
      <c r="L581" s="2">
        <f>Games[[#This Row],[OppDaysOff]]-Games[[#This Row],[DaysOff]]</f>
        <v>0</v>
      </c>
      <c r="M581" s="1">
        <f>MAX(-16, MIN(16, Games[[#This Row],[RestDiff]]*8))</f>
        <v>0</v>
      </c>
      <c r="N581" s="1">
        <f>MAX(-16, MIN(16, Games[[#This Row],[OppRestDiff]]*8))</f>
        <v>0</v>
      </c>
      <c r="O581" s="4" cm="1">
        <f t="array" ref="O5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1681.7360161594329</v>
      </c>
      <c r="P581" s="4" cm="1">
        <f t="array" ref="P5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1519.6278683446994</v>
      </c>
      <c r="Q581" s="4">
        <f>1/(1+10^(((Games[[#This Row],[OppPreGmRate]]+IF(Games[[#This Row],[HomeAway]]="A",HCA,0)+Games[[#This Row],[OppRestAdj]])-(Games[[#This Row],[PreGmRate]]+IF(Games[[#This Row],[HomeAway]]="H",HCA,0)+Games[[#This Row],[RestAdj]]))/400))</f>
        <v>0.80482250405073397</v>
      </c>
      <c r="R581" s="1">
        <v>101</v>
      </c>
      <c r="S581" s="1">
        <v>72</v>
      </c>
      <c r="T581" s="1">
        <v>0</v>
      </c>
      <c r="U581" s="1">
        <f>Games[[#This Row],[PointsFor]]-Games[[#This Row],[PointsAgainst]]</f>
        <v>29</v>
      </c>
      <c r="V581" s="1">
        <f>IF(Games[[#This Row],[MOV]]&gt;0,1,IF(Games[[#This Row],[MOV]]=0,0.5,0))</f>
        <v>1</v>
      </c>
      <c r="W581" s="4">
        <f>((ABS(Games[[#This Row],[MOV]])+5)^0.6)/(12+0.01*(ABS(Games[[#This Row],[PreGmRate]]-Games[[#This Row],[OppPreGmRate]])))*IF(Games[[#This Row],[OT]]=1,0.9,1)</f>
        <v>0.60908199201666591</v>
      </c>
      <c r="X581" s="7" cm="1">
        <f t="array" ref="X5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81" s="9">
        <f>MAX(kmin, kmax - 0.15 * MIN(Games[[#This Row],[GamesPlayed]], 82))</f>
        <v>69.099999999999994</v>
      </c>
      <c r="Z581" s="4">
        <f>Games[[#This Row],[K]]*Games[[#This Row],[POMult]]</f>
        <v>76.010000000000005</v>
      </c>
      <c r="AA581" s="4">
        <f>(Games[[#This Row],[Keff]]*Games[[#This Row],[MOVMult]])*(Games[[#This Row],[Result]]-Games[[#This Row],[ExpectedWin%]])</f>
        <v>9.0360002412301768</v>
      </c>
      <c r="AB581" s="4">
        <f>Games[[#This Row],[PreGmRate]]+Games[[#This Row],[RatingChange]]</f>
        <v>1690.772016400663</v>
      </c>
      <c r="AC581" s="2">
        <f>IF(Games[[#This Row],[Type]]="R",IF(Games[[#This Row],[Result]]&gt;0.5,1,0),0)</f>
        <v>0</v>
      </c>
      <c r="AD581" s="2">
        <f>IF(Games[[#This Row],[Type]]="R",IF(Games[[#This Row],[Result]]&lt;0.5,1,0),0)</f>
        <v>0</v>
      </c>
      <c r="AE581" s="2">
        <f>IF(AND(Games[[#This Row],[Type]]="P",Games[[#This Row],[Round]]=1),IF(Games[[#This Row],[Result]]&gt;0.5,1,0),0)</f>
        <v>1</v>
      </c>
      <c r="AF581" s="2">
        <f>IF(AND(Games[[#This Row],[Type]]="P",Games[[#This Row],[Round]]=1),IF(Games[[#This Row],[Result]]&lt;0.5,1,0),0)</f>
        <v>0</v>
      </c>
      <c r="AG581" s="2">
        <f>IF(AND(Games[[#This Row],[Type]]="P",Games[[#This Row],[Round]]=2),IF(Games[[#This Row],[Result]]&gt;0.5,1,0),0)</f>
        <v>0</v>
      </c>
      <c r="AH581" s="2">
        <f>IF(AND(Games[[#This Row],[Type]]="P",Games[[#This Row],[Round]]=2),IF(Games[[#This Row],[Result]]&lt;0.5,1,0),0)</f>
        <v>0</v>
      </c>
      <c r="AI581" s="2">
        <f>IF(AND(Games[[#This Row],[Type]]="P",Games[[#This Row],[Round]]=3),IF(Games[[#This Row],[Result]]&gt;0.5,1,0),0)</f>
        <v>0</v>
      </c>
      <c r="AJ581" s="2">
        <f>IF(AND(Games[[#This Row],[Type]]="P",Games[[#This Row],[Round]]=3),IF(Games[[#This Row],[Result]]&lt;0.5,1,0),0)</f>
        <v>0</v>
      </c>
      <c r="AK581" s="2">
        <f>IF(AND(Games[[#This Row],[Type]]="P",Games[[#This Row],[Round]]=4),IF(Games[[#This Row],[Result]]&gt;0.5,1,0),0)</f>
        <v>0</v>
      </c>
      <c r="AL581" s="2">
        <f>IF(AND(Games[[#This Row],[Type]]="P",Games[[#This Row],[Round]]=4),IF(Games[[#This Row],[Result]]&lt;0.5,1,0),0)</f>
        <v>0</v>
      </c>
    </row>
    <row r="582" spans="1:38" x14ac:dyDescent="0.35">
      <c r="A582" s="10">
        <v>45914</v>
      </c>
      <c r="B582" s="2">
        <v>2025</v>
      </c>
      <c r="C582" s="2">
        <f>COUNTIFS(Games[Team],Games[[#This Row],[Team]],Games[Season],Games[[#This Row],[Season]],Games[Date],"&lt;=" &amp; Games[[#This Row],[Date]])</f>
        <v>45</v>
      </c>
      <c r="D582" s="2" t="s">
        <v>83</v>
      </c>
      <c r="E582" s="2">
        <v>1</v>
      </c>
      <c r="F582" s="1" t="s">
        <v>60</v>
      </c>
      <c r="G582" s="1" t="s">
        <v>40</v>
      </c>
      <c r="H582" s="1" t="s">
        <v>81</v>
      </c>
      <c r="I582" s="2" cm="1">
        <f t="array" ref="I5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2" s="2" cm="1">
        <f t="array" ref="J5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2" s="2">
        <f>Games[[#This Row],[DaysOff]]-Games[[#This Row],[OppDaysOff]]</f>
        <v>0</v>
      </c>
      <c r="L582" s="2">
        <f>Games[[#This Row],[OppDaysOff]]-Games[[#This Row],[DaysOff]]</f>
        <v>0</v>
      </c>
      <c r="M582" s="1">
        <f>MAX(-16, MIN(16, Games[[#This Row],[RestDiff]]*8))</f>
        <v>0</v>
      </c>
      <c r="N582" s="1">
        <f>MAX(-16, MIN(16, Games[[#This Row],[OppRestDiff]]*8))</f>
        <v>0</v>
      </c>
      <c r="O582" s="4" cm="1">
        <f t="array" ref="O5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1581.0829192794145</v>
      </c>
      <c r="P582" s="4" cm="1">
        <f t="array" ref="P5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1551.4749447590616</v>
      </c>
      <c r="Q582" s="4">
        <f>1/(1+10^(((Games[[#This Row],[OppPreGmRate]]+IF(Games[[#This Row],[HomeAway]]="A",HCA,0)+Games[[#This Row],[OppRestAdj]])-(Games[[#This Row],[PreGmRate]]+IF(Games[[#This Row],[HomeAway]]="H",HCA,0)+Games[[#This Row],[RestAdj]]))/400))</f>
        <v>0.42235686220616647</v>
      </c>
      <c r="R582" s="1">
        <v>76</v>
      </c>
      <c r="S582" s="1">
        <v>69</v>
      </c>
      <c r="T582" s="1">
        <v>1</v>
      </c>
      <c r="U582" s="1">
        <f>Games[[#This Row],[PointsFor]]-Games[[#This Row],[PointsAgainst]]</f>
        <v>7</v>
      </c>
      <c r="V582" s="1">
        <f>IF(Games[[#This Row],[MOV]]&gt;0,1,IF(Games[[#This Row],[MOV]]=0,0.5,0))</f>
        <v>1</v>
      </c>
      <c r="W582" s="4">
        <f>((ABS(Games[[#This Row],[MOV]])+5)^0.6)/(12+0.01*(ABS(Games[[#This Row],[PreGmRate]]-Games[[#This Row],[OppPreGmRate]])))*IF(Games[[#This Row],[OT]]=1,0.9,1)</f>
        <v>0.32507575956641571</v>
      </c>
      <c r="X582" s="7" cm="1">
        <f t="array" ref="X5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82" s="9">
        <f>MAX(kmin, kmax - 0.15 * MIN(Games[[#This Row],[GamesPlayed]], 82))</f>
        <v>69.25</v>
      </c>
      <c r="Z582" s="4">
        <f>Games[[#This Row],[K]]*Games[[#This Row],[POMult]]</f>
        <v>76.175000000000011</v>
      </c>
      <c r="AA582" s="4">
        <f>(Games[[#This Row],[Keff]]*Games[[#This Row],[MOVMult]])*(Games[[#This Row],[Result]]-Games[[#This Row],[ExpectedWin%]])</f>
        <v>14.303972526836938</v>
      </c>
      <c r="AB582" s="4">
        <f>Games[[#This Row],[PreGmRate]]+Games[[#This Row],[RatingChange]]</f>
        <v>1595.3868918062515</v>
      </c>
      <c r="AC582" s="2">
        <f>IF(Games[[#This Row],[Type]]="R",IF(Games[[#This Row],[Result]]&gt;0.5,1,0),0)</f>
        <v>0</v>
      </c>
      <c r="AD582" s="2">
        <f>IF(Games[[#This Row],[Type]]="R",IF(Games[[#This Row],[Result]]&lt;0.5,1,0),0)</f>
        <v>0</v>
      </c>
      <c r="AE582" s="2">
        <f>IF(AND(Games[[#This Row],[Type]]="P",Games[[#This Row],[Round]]=1),IF(Games[[#This Row],[Result]]&gt;0.5,1,0),0)</f>
        <v>1</v>
      </c>
      <c r="AF582" s="2">
        <f>IF(AND(Games[[#This Row],[Type]]="P",Games[[#This Row],[Round]]=1),IF(Games[[#This Row],[Result]]&lt;0.5,1,0),0)</f>
        <v>0</v>
      </c>
      <c r="AG582" s="2">
        <f>IF(AND(Games[[#This Row],[Type]]="P",Games[[#This Row],[Round]]=2),IF(Games[[#This Row],[Result]]&gt;0.5,1,0),0)</f>
        <v>0</v>
      </c>
      <c r="AH582" s="2">
        <f>IF(AND(Games[[#This Row],[Type]]="P",Games[[#This Row],[Round]]=2),IF(Games[[#This Row],[Result]]&lt;0.5,1,0),0)</f>
        <v>0</v>
      </c>
      <c r="AI582" s="2">
        <f>IF(AND(Games[[#This Row],[Type]]="P",Games[[#This Row],[Round]]=3),IF(Games[[#This Row],[Result]]&gt;0.5,1,0),0)</f>
        <v>0</v>
      </c>
      <c r="AJ582" s="2">
        <f>IF(AND(Games[[#This Row],[Type]]="P",Games[[#This Row],[Round]]=3),IF(Games[[#This Row],[Result]]&lt;0.5,1,0),0)</f>
        <v>0</v>
      </c>
      <c r="AK582" s="2">
        <f>IF(AND(Games[[#This Row],[Type]]="P",Games[[#This Row],[Round]]=4),IF(Games[[#This Row],[Result]]&gt;0.5,1,0),0)</f>
        <v>0</v>
      </c>
      <c r="AL582" s="2">
        <f>IF(AND(Games[[#This Row],[Type]]="P",Games[[#This Row],[Round]]=4),IF(Games[[#This Row],[Result]]&lt;0.5,1,0),0)</f>
        <v>0</v>
      </c>
    </row>
    <row r="583" spans="1:38" x14ac:dyDescent="0.35">
      <c r="A583" s="10">
        <v>45914</v>
      </c>
      <c r="B583" s="2">
        <v>2025</v>
      </c>
      <c r="C583" s="2">
        <f>COUNTIFS(Games[Team],Games[[#This Row],[Team]],Games[Season],Games[[#This Row],[Season]],Games[Date],"&lt;=" &amp; Games[[#This Row],[Date]])</f>
        <v>45</v>
      </c>
      <c r="D583" s="2" t="s">
        <v>83</v>
      </c>
      <c r="E583" s="2">
        <v>1</v>
      </c>
      <c r="F583" s="1" t="s">
        <v>40</v>
      </c>
      <c r="G583" s="1" t="s">
        <v>60</v>
      </c>
      <c r="H583" s="1" t="s">
        <v>82</v>
      </c>
      <c r="I583" s="2" cm="1">
        <f t="array" ref="I5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3" s="2" cm="1">
        <f t="array" ref="J5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3" s="2">
        <f>Games[[#This Row],[DaysOff]]-Games[[#This Row],[OppDaysOff]]</f>
        <v>0</v>
      </c>
      <c r="L583" s="2">
        <f>Games[[#This Row],[OppDaysOff]]-Games[[#This Row],[DaysOff]]</f>
        <v>0</v>
      </c>
      <c r="M583" s="1">
        <f>MAX(-16, MIN(16, Games[[#This Row],[RestDiff]]*8))</f>
        <v>0</v>
      </c>
      <c r="N583" s="1">
        <f>MAX(-16, MIN(16, Games[[#This Row],[OppRestDiff]]*8))</f>
        <v>0</v>
      </c>
      <c r="O583" s="4" cm="1">
        <f t="array" ref="O5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1551.4749447590616</v>
      </c>
      <c r="P583" s="4" cm="1">
        <f t="array" ref="P5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1581.0829192794145</v>
      </c>
      <c r="Q583" s="4">
        <f>1/(1+10^(((Games[[#This Row],[OppPreGmRate]]+IF(Games[[#This Row],[HomeAway]]="A",HCA,0)+Games[[#This Row],[OppRestAdj]])-(Games[[#This Row],[PreGmRate]]+IF(Games[[#This Row],[HomeAway]]="H",HCA,0)+Games[[#This Row],[RestAdj]]))/400))</f>
        <v>0.57764313779383358</v>
      </c>
      <c r="R583" s="1">
        <v>69</v>
      </c>
      <c r="S583" s="1">
        <v>76</v>
      </c>
      <c r="T583" s="1">
        <v>1</v>
      </c>
      <c r="U583" s="1">
        <f>Games[[#This Row],[PointsFor]]-Games[[#This Row],[PointsAgainst]]</f>
        <v>-7</v>
      </c>
      <c r="V583" s="1">
        <f>IF(Games[[#This Row],[MOV]]&gt;0,1,IF(Games[[#This Row],[MOV]]=0,0.5,0))</f>
        <v>0</v>
      </c>
      <c r="W583" s="4">
        <f>((ABS(Games[[#This Row],[MOV]])+5)^0.6)/(12+0.01*(ABS(Games[[#This Row],[PreGmRate]]-Games[[#This Row],[OppPreGmRate]])))*IF(Games[[#This Row],[OT]]=1,0.9,1)</f>
        <v>0.32507575956641571</v>
      </c>
      <c r="X583" s="7" cm="1">
        <f t="array" ref="X5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83" s="9">
        <f>MAX(kmin, kmax - 0.15 * MIN(Games[[#This Row],[GamesPlayed]], 82))</f>
        <v>69.25</v>
      </c>
      <c r="Z583" s="4">
        <f>Games[[#This Row],[K]]*Games[[#This Row],[POMult]]</f>
        <v>76.175000000000011</v>
      </c>
      <c r="AA583" s="4">
        <f>(Games[[#This Row],[Keff]]*Games[[#This Row],[MOVMult]])*(Games[[#This Row],[Result]]-Games[[#This Row],[ExpectedWin%]])</f>
        <v>-14.303972526836938</v>
      </c>
      <c r="AB583" s="4">
        <f>Games[[#This Row],[PreGmRate]]+Games[[#This Row],[RatingChange]]</f>
        <v>1537.1709722322246</v>
      </c>
      <c r="AC583" s="2">
        <f>IF(Games[[#This Row],[Type]]="R",IF(Games[[#This Row],[Result]]&gt;0.5,1,0),0)</f>
        <v>0</v>
      </c>
      <c r="AD583" s="2">
        <f>IF(Games[[#This Row],[Type]]="R",IF(Games[[#This Row],[Result]]&lt;0.5,1,0),0)</f>
        <v>0</v>
      </c>
      <c r="AE583" s="2">
        <f>IF(AND(Games[[#This Row],[Type]]="P",Games[[#This Row],[Round]]=1),IF(Games[[#This Row],[Result]]&gt;0.5,1,0),0)</f>
        <v>0</v>
      </c>
      <c r="AF583" s="2">
        <f>IF(AND(Games[[#This Row],[Type]]="P",Games[[#This Row],[Round]]=1),IF(Games[[#This Row],[Result]]&lt;0.5,1,0),0)</f>
        <v>1</v>
      </c>
      <c r="AG583" s="2">
        <f>IF(AND(Games[[#This Row],[Type]]="P",Games[[#This Row],[Round]]=2),IF(Games[[#This Row],[Result]]&gt;0.5,1,0),0)</f>
        <v>0</v>
      </c>
      <c r="AH583" s="2">
        <f>IF(AND(Games[[#This Row],[Type]]="P",Games[[#This Row],[Round]]=2),IF(Games[[#This Row],[Result]]&lt;0.5,1,0),0)</f>
        <v>0</v>
      </c>
      <c r="AI583" s="2">
        <f>IF(AND(Games[[#This Row],[Type]]="P",Games[[#This Row],[Round]]=3),IF(Games[[#This Row],[Result]]&gt;0.5,1,0),0)</f>
        <v>0</v>
      </c>
      <c r="AJ583" s="2">
        <f>IF(AND(Games[[#This Row],[Type]]="P",Games[[#This Row],[Round]]=3),IF(Games[[#This Row],[Result]]&lt;0.5,1,0),0)</f>
        <v>0</v>
      </c>
      <c r="AK583" s="2">
        <f>IF(AND(Games[[#This Row],[Type]]="P",Games[[#This Row],[Round]]=4),IF(Games[[#This Row],[Result]]&gt;0.5,1,0),0)</f>
        <v>0</v>
      </c>
      <c r="AL583" s="2">
        <f>IF(AND(Games[[#This Row],[Type]]="P",Games[[#This Row],[Round]]=4),IF(Games[[#This Row],[Result]]&lt;0.5,1,0),0)</f>
        <v>0</v>
      </c>
    </row>
    <row r="584" spans="1:38" x14ac:dyDescent="0.35">
      <c r="A584" s="10">
        <v>45916</v>
      </c>
      <c r="B584" s="2">
        <v>2025</v>
      </c>
      <c r="C584" s="2">
        <f>COUNTIFS(Games[Team],Games[[#This Row],[Team]],Games[Season],Games[[#This Row],[Season]],Games[Date],"&lt;=" &amp; Games[[#This Row],[Date]])</f>
        <v>46</v>
      </c>
      <c r="D584" s="2" t="s">
        <v>83</v>
      </c>
      <c r="E584" s="2">
        <v>1</v>
      </c>
      <c r="F584" s="1" t="s">
        <v>77</v>
      </c>
      <c r="G584" s="1" t="s">
        <v>69</v>
      </c>
      <c r="H584" s="1" t="s">
        <v>81</v>
      </c>
      <c r="I584" s="2" cm="1">
        <f t="array" ref="I5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4" s="2" cm="1">
        <f t="array" ref="J5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4" s="2">
        <f>Games[[#This Row],[DaysOff]]-Games[[#This Row],[OppDaysOff]]</f>
        <v>0</v>
      </c>
      <c r="L584" s="2">
        <f>Games[[#This Row],[OppDaysOff]]-Games[[#This Row],[DaysOff]]</f>
        <v>0</v>
      </c>
      <c r="M584" s="1">
        <f>MAX(-16, MIN(16, Games[[#This Row],[RestDiff]]*8))</f>
        <v>0</v>
      </c>
      <c r="N584" s="1">
        <f>MAX(-16, MIN(16, Games[[#This Row],[OppRestDiff]]*8))</f>
        <v>0</v>
      </c>
      <c r="O584" s="4" cm="1">
        <f t="array" ref="O5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1663.8720466312354</v>
      </c>
      <c r="P584" s="4" cm="1">
        <f t="array" ref="P5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1552.9614303310723</v>
      </c>
      <c r="Q584" s="4">
        <f>1/(1+10^(((Games[[#This Row],[OppPreGmRate]]+IF(Games[[#This Row],[HomeAway]]="A",HCA,0)+Games[[#This Row],[OppRestAdj]])-(Games[[#This Row],[PreGmRate]]+IF(Games[[#This Row],[HomeAway]]="H",HCA,0)+Games[[#This Row],[RestAdj]]))/400))</f>
        <v>0.53865022975003107</v>
      </c>
      <c r="R584" s="1">
        <v>60</v>
      </c>
      <c r="S584" s="1">
        <v>77</v>
      </c>
      <c r="T584" s="1">
        <v>0</v>
      </c>
      <c r="U584" s="1">
        <f>Games[[#This Row],[PointsFor]]-Games[[#This Row],[PointsAgainst]]</f>
        <v>-17</v>
      </c>
      <c r="V584" s="1">
        <f>IF(Games[[#This Row],[MOV]]&gt;0,1,IF(Games[[#This Row],[MOV]]=0,0.5,0))</f>
        <v>0</v>
      </c>
      <c r="W584" s="4">
        <f>((ABS(Games[[#This Row],[MOV]])+5)^0.6)/(12+0.01*(ABS(Games[[#This Row],[PreGmRate]]-Games[[#This Row],[OppPreGmRate]])))*IF(Games[[#This Row],[OT]]=1,0.9,1)</f>
        <v>0.4873943920766135</v>
      </c>
      <c r="X584" s="7" cm="1">
        <f t="array" ref="X5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84" s="9">
        <f>MAX(kmin, kmax - 0.15 * MIN(Games[[#This Row],[GamesPlayed]], 82))</f>
        <v>69.099999999999994</v>
      </c>
      <c r="Z584" s="4">
        <f>Games[[#This Row],[K]]*Games[[#This Row],[POMult]]</f>
        <v>76.010000000000005</v>
      </c>
      <c r="AA584" s="4">
        <f>(Games[[#This Row],[Keff]]*Games[[#This Row],[MOVMult]])*(Games[[#This Row],[Result]]-Games[[#This Row],[ExpectedWin%]])</f>
        <v>-19.955293047604499</v>
      </c>
      <c r="AB584" s="4">
        <f>Games[[#This Row],[PreGmRate]]+Games[[#This Row],[RatingChange]]</f>
        <v>1643.9167535836309</v>
      </c>
      <c r="AC584" s="2">
        <f>IF(Games[[#This Row],[Type]]="R",IF(Games[[#This Row],[Result]]&gt;0.5,1,0),0)</f>
        <v>0</v>
      </c>
      <c r="AD584" s="2">
        <f>IF(Games[[#This Row],[Type]]="R",IF(Games[[#This Row],[Result]]&lt;0.5,1,0),0)</f>
        <v>0</v>
      </c>
      <c r="AE584" s="2">
        <f>IF(AND(Games[[#This Row],[Type]]="P",Games[[#This Row],[Round]]=1),IF(Games[[#This Row],[Result]]&gt;0.5,1,0),0)</f>
        <v>0</v>
      </c>
      <c r="AF584" s="2">
        <f>IF(AND(Games[[#This Row],[Type]]="P",Games[[#This Row],[Round]]=1),IF(Games[[#This Row],[Result]]&lt;0.5,1,0),0)</f>
        <v>1</v>
      </c>
      <c r="AG584" s="2">
        <f>IF(AND(Games[[#This Row],[Type]]="P",Games[[#This Row],[Round]]=2),IF(Games[[#This Row],[Result]]&gt;0.5,1,0),0)</f>
        <v>0</v>
      </c>
      <c r="AH584" s="2">
        <f>IF(AND(Games[[#This Row],[Type]]="P",Games[[#This Row],[Round]]=2),IF(Games[[#This Row],[Result]]&lt;0.5,1,0),0)</f>
        <v>0</v>
      </c>
      <c r="AI584" s="2">
        <f>IF(AND(Games[[#This Row],[Type]]="P",Games[[#This Row],[Round]]=3),IF(Games[[#This Row],[Result]]&gt;0.5,1,0),0)</f>
        <v>0</v>
      </c>
      <c r="AJ584" s="2">
        <f>IF(AND(Games[[#This Row],[Type]]="P",Games[[#This Row],[Round]]=3),IF(Games[[#This Row],[Result]]&lt;0.5,1,0),0)</f>
        <v>0</v>
      </c>
      <c r="AK584" s="2">
        <f>IF(AND(Games[[#This Row],[Type]]="P",Games[[#This Row],[Round]]=4),IF(Games[[#This Row],[Result]]&gt;0.5,1,0),0)</f>
        <v>0</v>
      </c>
      <c r="AL584" s="2">
        <f>IF(AND(Games[[#This Row],[Type]]="P",Games[[#This Row],[Round]]=4),IF(Games[[#This Row],[Result]]&lt;0.5,1,0),0)</f>
        <v>0</v>
      </c>
    </row>
    <row r="585" spans="1:38" x14ac:dyDescent="0.35">
      <c r="A585" s="10">
        <v>45916</v>
      </c>
      <c r="B585" s="2">
        <v>2025</v>
      </c>
      <c r="C585" s="2">
        <f>COUNTIFS(Games[Team],Games[[#This Row],[Team]],Games[Season],Games[[#This Row],[Season]],Games[Date],"&lt;=" &amp; Games[[#This Row],[Date]])</f>
        <v>47</v>
      </c>
      <c r="D585" s="2" t="s">
        <v>83</v>
      </c>
      <c r="E585" s="2">
        <v>1</v>
      </c>
      <c r="F585" s="1" t="s">
        <v>69</v>
      </c>
      <c r="G585" s="1" t="s">
        <v>77</v>
      </c>
      <c r="H585" s="1" t="s">
        <v>82</v>
      </c>
      <c r="I585" s="2" cm="1">
        <f t="array" ref="I5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5" s="2" cm="1">
        <f t="array" ref="J5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5" s="2">
        <f>Games[[#This Row],[DaysOff]]-Games[[#This Row],[OppDaysOff]]</f>
        <v>0</v>
      </c>
      <c r="L585" s="2">
        <f>Games[[#This Row],[OppDaysOff]]-Games[[#This Row],[DaysOff]]</f>
        <v>0</v>
      </c>
      <c r="M585" s="1">
        <f>MAX(-16, MIN(16, Games[[#This Row],[RestDiff]]*8))</f>
        <v>0</v>
      </c>
      <c r="N585" s="1">
        <f>MAX(-16, MIN(16, Games[[#This Row],[OppRestDiff]]*8))</f>
        <v>0</v>
      </c>
      <c r="O585" s="4" cm="1">
        <f t="array" ref="O5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1552.9614303310723</v>
      </c>
      <c r="P585" s="4" cm="1">
        <f t="array" ref="P5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1663.8720466312354</v>
      </c>
      <c r="Q585" s="4">
        <f>1/(1+10^(((Games[[#This Row],[OppPreGmRate]]+IF(Games[[#This Row],[HomeAway]]="A",HCA,0)+Games[[#This Row],[OppRestAdj]])-(Games[[#This Row],[PreGmRate]]+IF(Games[[#This Row],[HomeAway]]="H",HCA,0)+Games[[#This Row],[RestAdj]]))/400))</f>
        <v>0.46134977024996887</v>
      </c>
      <c r="R585" s="1">
        <v>77</v>
      </c>
      <c r="S585" s="1">
        <v>60</v>
      </c>
      <c r="T585" s="1">
        <v>0</v>
      </c>
      <c r="U585" s="1">
        <f>Games[[#This Row],[PointsFor]]-Games[[#This Row],[PointsAgainst]]</f>
        <v>17</v>
      </c>
      <c r="V585" s="1">
        <f>IF(Games[[#This Row],[MOV]]&gt;0,1,IF(Games[[#This Row],[MOV]]=0,0.5,0))</f>
        <v>1</v>
      </c>
      <c r="W585" s="4">
        <f>((ABS(Games[[#This Row],[MOV]])+5)^0.6)/(12+0.01*(ABS(Games[[#This Row],[PreGmRate]]-Games[[#This Row],[OppPreGmRate]])))*IF(Games[[#This Row],[OT]]=1,0.9,1)</f>
        <v>0.4873943920766135</v>
      </c>
      <c r="X585" s="7" cm="1">
        <f t="array" ref="X5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85" s="9">
        <f>MAX(kmin, kmax - 0.15 * MIN(Games[[#This Row],[GamesPlayed]], 82))</f>
        <v>68.95</v>
      </c>
      <c r="Z585" s="4">
        <f>Games[[#This Row],[K]]*Games[[#This Row],[POMult]]</f>
        <v>75.845000000000013</v>
      </c>
      <c r="AA585" s="4">
        <f>(Games[[#This Row],[Keff]]*Games[[#This Row],[MOVMult]])*(Games[[#This Row],[Result]]-Games[[#This Row],[ExpectedWin%]])</f>
        <v>19.911974755894796</v>
      </c>
      <c r="AB585" s="4">
        <f>Games[[#This Row],[PreGmRate]]+Games[[#This Row],[RatingChange]]</f>
        <v>1572.8734050869671</v>
      </c>
      <c r="AC585" s="2">
        <f>IF(Games[[#This Row],[Type]]="R",IF(Games[[#This Row],[Result]]&gt;0.5,1,0),0)</f>
        <v>0</v>
      </c>
      <c r="AD585" s="2">
        <f>IF(Games[[#This Row],[Type]]="R",IF(Games[[#This Row],[Result]]&lt;0.5,1,0),0)</f>
        <v>0</v>
      </c>
      <c r="AE585" s="2">
        <f>IF(AND(Games[[#This Row],[Type]]="P",Games[[#This Row],[Round]]=1),IF(Games[[#This Row],[Result]]&gt;0.5,1,0),0)</f>
        <v>1</v>
      </c>
      <c r="AF585" s="2">
        <f>IF(AND(Games[[#This Row],[Type]]="P",Games[[#This Row],[Round]]=1),IF(Games[[#This Row],[Result]]&lt;0.5,1,0),0)</f>
        <v>0</v>
      </c>
      <c r="AG585" s="2">
        <f>IF(AND(Games[[#This Row],[Type]]="P",Games[[#This Row],[Round]]=2),IF(Games[[#This Row],[Result]]&gt;0.5,1,0),0)</f>
        <v>0</v>
      </c>
      <c r="AH585" s="2">
        <f>IF(AND(Games[[#This Row],[Type]]="P",Games[[#This Row],[Round]]=2),IF(Games[[#This Row],[Result]]&lt;0.5,1,0),0)</f>
        <v>0</v>
      </c>
      <c r="AI585" s="2">
        <f>IF(AND(Games[[#This Row],[Type]]="P",Games[[#This Row],[Round]]=3),IF(Games[[#This Row],[Result]]&gt;0.5,1,0),0)</f>
        <v>0</v>
      </c>
      <c r="AJ585" s="2">
        <f>IF(AND(Games[[#This Row],[Type]]="P",Games[[#This Row],[Round]]=3),IF(Games[[#This Row],[Result]]&lt;0.5,1,0),0)</f>
        <v>0</v>
      </c>
      <c r="AK585" s="2">
        <f>IF(AND(Games[[#This Row],[Type]]="P",Games[[#This Row],[Round]]=4),IF(Games[[#This Row],[Result]]&gt;0.5,1,0),0)</f>
        <v>0</v>
      </c>
      <c r="AL585" s="2">
        <f>IF(AND(Games[[#This Row],[Type]]="P",Games[[#This Row],[Round]]=4),IF(Games[[#This Row],[Result]]&lt;0.5,1,0),0)</f>
        <v>0</v>
      </c>
    </row>
    <row r="586" spans="1:38" x14ac:dyDescent="0.35">
      <c r="A586" s="10">
        <v>45916</v>
      </c>
      <c r="B586" s="2">
        <v>2025</v>
      </c>
      <c r="C586" s="2">
        <f>COUNTIFS(Games[Team],Games[[#This Row],[Team]],Games[Season],Games[[#This Row],[Season]],Games[Date],"&lt;=" &amp; Games[[#This Row],[Date]])</f>
        <v>46</v>
      </c>
      <c r="D586" s="2" t="s">
        <v>83</v>
      </c>
      <c r="E586" s="2">
        <v>1</v>
      </c>
      <c r="F586" s="1" t="s">
        <v>86</v>
      </c>
      <c r="G586" s="1" t="s">
        <v>71</v>
      </c>
      <c r="H586" s="1" t="s">
        <v>81</v>
      </c>
      <c r="I586" s="2" cm="1">
        <f t="array" ref="I5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6" s="2" cm="1">
        <f t="array" ref="J5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6" s="2">
        <f>Games[[#This Row],[DaysOff]]-Games[[#This Row],[OppDaysOff]]</f>
        <v>0</v>
      </c>
      <c r="L586" s="2">
        <f>Games[[#This Row],[OppDaysOff]]-Games[[#This Row],[DaysOff]]</f>
        <v>0</v>
      </c>
      <c r="M586" s="1">
        <f>MAX(-16, MIN(16, Games[[#This Row],[RestDiff]]*8))</f>
        <v>0</v>
      </c>
      <c r="N586" s="1">
        <f>MAX(-16, MIN(16, Games[[#This Row],[OppRestDiff]]*8))</f>
        <v>0</v>
      </c>
      <c r="O586" s="4" cm="1">
        <f t="array" ref="O5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1683.0065878762048</v>
      </c>
      <c r="P586" s="4" cm="1">
        <f t="array" ref="P5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1500.4192192917963</v>
      </c>
      <c r="Q586" s="4">
        <f>1/(1+10^(((Games[[#This Row],[OppPreGmRate]]+IF(Games[[#This Row],[HomeAway]]="A",HCA,0)+Games[[#This Row],[OppRestAdj]])-(Games[[#This Row],[PreGmRate]]+IF(Games[[#This Row],[HomeAway]]="H",HCA,0)+Games[[#This Row],[RestAdj]]))/400))</f>
        <v>0.63818946445533431</v>
      </c>
      <c r="R586" s="1">
        <v>83</v>
      </c>
      <c r="S586" s="1">
        <v>86</v>
      </c>
      <c r="T586" s="1">
        <v>0</v>
      </c>
      <c r="U586" s="1">
        <f>Games[[#This Row],[PointsFor]]-Games[[#This Row],[PointsAgainst]]</f>
        <v>-3</v>
      </c>
      <c r="V586" s="1">
        <f>IF(Games[[#This Row],[MOV]]&gt;0,1,IF(Games[[#This Row],[MOV]]=0,0.5,0))</f>
        <v>0</v>
      </c>
      <c r="W586" s="4">
        <f>((ABS(Games[[#This Row],[MOV]])+5)^0.6)/(12+0.01*(ABS(Games[[#This Row],[PreGmRate]]-Games[[#This Row],[OppPreGmRate]])))*IF(Games[[#This Row],[OT]]=1,0.9,1)</f>
        <v>0.25186128069069685</v>
      </c>
      <c r="X586" s="7" cm="1">
        <f t="array" ref="X5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86" s="9">
        <f>MAX(kmin, kmax - 0.15 * MIN(Games[[#This Row],[GamesPlayed]], 82))</f>
        <v>69.099999999999994</v>
      </c>
      <c r="Z586" s="4">
        <f>Games[[#This Row],[K]]*Games[[#This Row],[POMult]]</f>
        <v>76.010000000000005</v>
      </c>
      <c r="AA586" s="4">
        <f>(Games[[#This Row],[Keff]]*Games[[#This Row],[MOVMult]])*(Games[[#This Row],[Result]]-Games[[#This Row],[ExpectedWin%]])</f>
        <v>-12.217483756076724</v>
      </c>
      <c r="AB586" s="4">
        <f>Games[[#This Row],[PreGmRate]]+Games[[#This Row],[RatingChange]]</f>
        <v>1670.7891041201281</v>
      </c>
      <c r="AC586" s="2">
        <f>IF(Games[[#This Row],[Type]]="R",IF(Games[[#This Row],[Result]]&gt;0.5,1,0),0)</f>
        <v>0</v>
      </c>
      <c r="AD586" s="2">
        <f>IF(Games[[#This Row],[Type]]="R",IF(Games[[#This Row],[Result]]&lt;0.5,1,0),0)</f>
        <v>0</v>
      </c>
      <c r="AE586" s="2">
        <f>IF(AND(Games[[#This Row],[Type]]="P",Games[[#This Row],[Round]]=1),IF(Games[[#This Row],[Result]]&gt;0.5,1,0),0)</f>
        <v>0</v>
      </c>
      <c r="AF586" s="2">
        <f>IF(AND(Games[[#This Row],[Type]]="P",Games[[#This Row],[Round]]=1),IF(Games[[#This Row],[Result]]&lt;0.5,1,0),0)</f>
        <v>1</v>
      </c>
      <c r="AG586" s="2">
        <f>IF(AND(Games[[#This Row],[Type]]="P",Games[[#This Row],[Round]]=2),IF(Games[[#This Row],[Result]]&gt;0.5,1,0),0)</f>
        <v>0</v>
      </c>
      <c r="AH586" s="2">
        <f>IF(AND(Games[[#This Row],[Type]]="P",Games[[#This Row],[Round]]=2),IF(Games[[#This Row],[Result]]&lt;0.5,1,0),0)</f>
        <v>0</v>
      </c>
      <c r="AI586" s="2">
        <f>IF(AND(Games[[#This Row],[Type]]="P",Games[[#This Row],[Round]]=3),IF(Games[[#This Row],[Result]]&gt;0.5,1,0),0)</f>
        <v>0</v>
      </c>
      <c r="AJ586" s="2">
        <f>IF(AND(Games[[#This Row],[Type]]="P",Games[[#This Row],[Round]]=3),IF(Games[[#This Row],[Result]]&lt;0.5,1,0),0)</f>
        <v>0</v>
      </c>
      <c r="AK586" s="2">
        <f>IF(AND(Games[[#This Row],[Type]]="P",Games[[#This Row],[Round]]=4),IF(Games[[#This Row],[Result]]&gt;0.5,1,0),0)</f>
        <v>0</v>
      </c>
      <c r="AL586" s="2">
        <f>IF(AND(Games[[#This Row],[Type]]="P",Games[[#This Row],[Round]]=4),IF(Games[[#This Row],[Result]]&lt;0.5,1,0),0)</f>
        <v>0</v>
      </c>
    </row>
    <row r="587" spans="1:38" x14ac:dyDescent="0.35">
      <c r="A587" s="10">
        <v>45916</v>
      </c>
      <c r="B587" s="2">
        <v>2025</v>
      </c>
      <c r="C587" s="2">
        <f>COUNTIFS(Games[Team],Games[[#This Row],[Team]],Games[Season],Games[[#This Row],[Season]],Games[Date],"&lt;=" &amp; Games[[#This Row],[Date]])</f>
        <v>46</v>
      </c>
      <c r="D587" s="2" t="s">
        <v>83</v>
      </c>
      <c r="E587" s="2">
        <v>1</v>
      </c>
      <c r="F587" s="1" t="s">
        <v>71</v>
      </c>
      <c r="G587" s="1" t="s">
        <v>86</v>
      </c>
      <c r="H587" s="1" t="s">
        <v>82</v>
      </c>
      <c r="I587" s="2" cm="1">
        <f t="array" ref="I5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7" s="2" cm="1">
        <f t="array" ref="J5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7" s="2">
        <f>Games[[#This Row],[DaysOff]]-Games[[#This Row],[OppDaysOff]]</f>
        <v>0</v>
      </c>
      <c r="L587" s="2">
        <f>Games[[#This Row],[OppDaysOff]]-Games[[#This Row],[DaysOff]]</f>
        <v>0</v>
      </c>
      <c r="M587" s="1">
        <f>MAX(-16, MIN(16, Games[[#This Row],[RestDiff]]*8))</f>
        <v>0</v>
      </c>
      <c r="N587" s="1">
        <f>MAX(-16, MIN(16, Games[[#This Row],[OppRestDiff]]*8))</f>
        <v>0</v>
      </c>
      <c r="O587" s="4" cm="1">
        <f t="array" ref="O5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1500.4192192917963</v>
      </c>
      <c r="P587" s="4" cm="1">
        <f t="array" ref="P5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1683.0065878762048</v>
      </c>
      <c r="Q587" s="4">
        <f>1/(1+10^(((Games[[#This Row],[OppPreGmRate]]+IF(Games[[#This Row],[HomeAway]]="A",HCA,0)+Games[[#This Row],[OppRestAdj]])-(Games[[#This Row],[PreGmRate]]+IF(Games[[#This Row],[HomeAway]]="H",HCA,0)+Games[[#This Row],[RestAdj]]))/400))</f>
        <v>0.36181053554466569</v>
      </c>
      <c r="R587" s="1">
        <v>86</v>
      </c>
      <c r="S587" s="1">
        <v>83</v>
      </c>
      <c r="T587" s="1">
        <v>0</v>
      </c>
      <c r="U587" s="1">
        <f>Games[[#This Row],[PointsFor]]-Games[[#This Row],[PointsAgainst]]</f>
        <v>3</v>
      </c>
      <c r="V587" s="1">
        <f>IF(Games[[#This Row],[MOV]]&gt;0,1,IF(Games[[#This Row],[MOV]]=0,0.5,0))</f>
        <v>1</v>
      </c>
      <c r="W587" s="4">
        <f>((ABS(Games[[#This Row],[MOV]])+5)^0.6)/(12+0.01*(ABS(Games[[#This Row],[PreGmRate]]-Games[[#This Row],[OppPreGmRate]])))*IF(Games[[#This Row],[OT]]=1,0.9,1)</f>
        <v>0.25186128069069685</v>
      </c>
      <c r="X587" s="7" cm="1">
        <f t="array" ref="X5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87" s="9">
        <f>MAX(kmin, kmax - 0.15 * MIN(Games[[#This Row],[GamesPlayed]], 82))</f>
        <v>69.099999999999994</v>
      </c>
      <c r="Z587" s="4">
        <f>Games[[#This Row],[K]]*Games[[#This Row],[POMult]]</f>
        <v>76.010000000000005</v>
      </c>
      <c r="AA587" s="4">
        <f>(Games[[#This Row],[Keff]]*Games[[#This Row],[MOVMult]])*(Games[[#This Row],[Result]]-Games[[#This Row],[ExpectedWin%]])</f>
        <v>12.217483756076724</v>
      </c>
      <c r="AB587" s="4">
        <f>Games[[#This Row],[PreGmRate]]+Games[[#This Row],[RatingChange]]</f>
        <v>1512.636703047873</v>
      </c>
      <c r="AC587" s="2">
        <f>IF(Games[[#This Row],[Type]]="R",IF(Games[[#This Row],[Result]]&gt;0.5,1,0),0)</f>
        <v>0</v>
      </c>
      <c r="AD587" s="2">
        <f>IF(Games[[#This Row],[Type]]="R",IF(Games[[#This Row],[Result]]&lt;0.5,1,0),0)</f>
        <v>0</v>
      </c>
      <c r="AE587" s="2">
        <f>IF(AND(Games[[#This Row],[Type]]="P",Games[[#This Row],[Round]]=1),IF(Games[[#This Row],[Result]]&gt;0.5,1,0),0)</f>
        <v>1</v>
      </c>
      <c r="AF587" s="2">
        <f>IF(AND(Games[[#This Row],[Type]]="P",Games[[#This Row],[Round]]=1),IF(Games[[#This Row],[Result]]&lt;0.5,1,0),0)</f>
        <v>0</v>
      </c>
      <c r="AG587" s="2">
        <f>IF(AND(Games[[#This Row],[Type]]="P",Games[[#This Row],[Round]]=2),IF(Games[[#This Row],[Result]]&gt;0.5,1,0),0)</f>
        <v>0</v>
      </c>
      <c r="AH587" s="2">
        <f>IF(AND(Games[[#This Row],[Type]]="P",Games[[#This Row],[Round]]=2),IF(Games[[#This Row],[Result]]&lt;0.5,1,0),0)</f>
        <v>0</v>
      </c>
      <c r="AI587" s="2">
        <f>IF(AND(Games[[#This Row],[Type]]="P",Games[[#This Row],[Round]]=3),IF(Games[[#This Row],[Result]]&gt;0.5,1,0),0)</f>
        <v>0</v>
      </c>
      <c r="AJ587" s="2">
        <f>IF(AND(Games[[#This Row],[Type]]="P",Games[[#This Row],[Round]]=3),IF(Games[[#This Row],[Result]]&lt;0.5,1,0),0)</f>
        <v>0</v>
      </c>
      <c r="AK587" s="2">
        <f>IF(AND(Games[[#This Row],[Type]]="P",Games[[#This Row],[Round]]=4),IF(Games[[#This Row],[Result]]&gt;0.5,1,0),0)</f>
        <v>0</v>
      </c>
      <c r="AL587" s="2">
        <f>IF(AND(Games[[#This Row],[Type]]="P",Games[[#This Row],[Round]]=4),IF(Games[[#This Row],[Result]]&lt;0.5,1,0),0)</f>
        <v>0</v>
      </c>
    </row>
    <row r="588" spans="1:38" x14ac:dyDescent="0.35">
      <c r="A588" s="10">
        <v>45917</v>
      </c>
      <c r="B588" s="2">
        <v>2025</v>
      </c>
      <c r="C588" s="2">
        <f>COUNTIFS(Games[Team],Games[[#This Row],[Team]],Games[Season],Games[[#This Row],[Season]],Games[Date],"&lt;=" &amp; Games[[#This Row],[Date]])</f>
        <v>47</v>
      </c>
      <c r="D588" s="2" t="s">
        <v>83</v>
      </c>
      <c r="E588" s="2">
        <v>1</v>
      </c>
      <c r="F588" s="1" t="s">
        <v>67</v>
      </c>
      <c r="G588" s="1" t="s">
        <v>88</v>
      </c>
      <c r="H588" s="1" t="s">
        <v>81</v>
      </c>
      <c r="I588" s="2" cm="1">
        <f t="array" ref="I5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8" s="2" cm="1">
        <f t="array" ref="J5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8" s="2">
        <f>Games[[#This Row],[DaysOff]]-Games[[#This Row],[OppDaysOff]]</f>
        <v>0</v>
      </c>
      <c r="L588" s="2">
        <f>Games[[#This Row],[OppDaysOff]]-Games[[#This Row],[DaysOff]]</f>
        <v>0</v>
      </c>
      <c r="M588" s="1">
        <f>MAX(-16, MIN(16, Games[[#This Row],[RestDiff]]*8))</f>
        <v>0</v>
      </c>
      <c r="N588" s="1">
        <f>MAX(-16, MIN(16, Games[[#This Row],[OppRestDiff]]*8))</f>
        <v>0</v>
      </c>
      <c r="O588" s="4" cm="1">
        <f t="array" ref="O5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1690.772016400663</v>
      </c>
      <c r="P588" s="4" cm="1">
        <f t="array" ref="P5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1510.5722530522944</v>
      </c>
      <c r="Q588" s="4">
        <f>1/(1+10^(((Games[[#This Row],[OppPreGmRate]]+IF(Games[[#This Row],[HomeAway]]="A",HCA,0)+Games[[#This Row],[OppRestAdj]])-(Games[[#This Row],[PreGmRate]]+IF(Games[[#This Row],[HomeAway]]="H",HCA,0)+Games[[#This Row],[RestAdj]]))/400))</f>
        <v>0.63500989842242017</v>
      </c>
      <c r="R588" s="1">
        <v>75</v>
      </c>
      <c r="S588" s="1">
        <v>74</v>
      </c>
      <c r="T588" s="1">
        <v>0</v>
      </c>
      <c r="U588" s="1">
        <f>Games[[#This Row],[PointsFor]]-Games[[#This Row],[PointsAgainst]]</f>
        <v>1</v>
      </c>
      <c r="V588" s="1">
        <f>IF(Games[[#This Row],[MOV]]&gt;0,1,IF(Games[[#This Row],[MOV]]=0,0.5,0))</f>
        <v>1</v>
      </c>
      <c r="W588" s="4">
        <f>((ABS(Games[[#This Row],[MOV]])+5)^0.6)/(12+0.01*(ABS(Games[[#This Row],[PreGmRate]]-Games[[#This Row],[OppPreGmRate]])))*IF(Games[[#This Row],[OT]]=1,0.9,1)</f>
        <v>0.21229941704054159</v>
      </c>
      <c r="X588" s="7" cm="1">
        <f t="array" ref="X5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88" s="9">
        <f>MAX(kmin, kmax - 0.15 * MIN(Games[[#This Row],[GamesPlayed]], 82))</f>
        <v>68.95</v>
      </c>
      <c r="Z588" s="4">
        <f>Games[[#This Row],[K]]*Games[[#This Row],[POMult]]</f>
        <v>75.845000000000013</v>
      </c>
      <c r="AA588" s="4">
        <f>(Games[[#This Row],[Keff]]*Games[[#This Row],[MOVMult]])*(Games[[#This Row],[Result]]-Games[[#This Row],[ExpectedWin%]])</f>
        <v>5.8770156062795831</v>
      </c>
      <c r="AB588" s="4">
        <f>Games[[#This Row],[PreGmRate]]+Games[[#This Row],[RatingChange]]</f>
        <v>1696.6490320069427</v>
      </c>
      <c r="AC588" s="2">
        <f>IF(Games[[#This Row],[Type]]="R",IF(Games[[#This Row],[Result]]&gt;0.5,1,0),0)</f>
        <v>0</v>
      </c>
      <c r="AD588" s="2">
        <f>IF(Games[[#This Row],[Type]]="R",IF(Games[[#This Row],[Result]]&lt;0.5,1,0),0)</f>
        <v>0</v>
      </c>
      <c r="AE588" s="2">
        <f>IF(AND(Games[[#This Row],[Type]]="P",Games[[#This Row],[Round]]=1),IF(Games[[#This Row],[Result]]&gt;0.5,1,0),0)</f>
        <v>1</v>
      </c>
      <c r="AF588" s="2">
        <f>IF(AND(Games[[#This Row],[Type]]="P",Games[[#This Row],[Round]]=1),IF(Games[[#This Row],[Result]]&lt;0.5,1,0),0)</f>
        <v>0</v>
      </c>
      <c r="AG588" s="2">
        <f>IF(AND(Games[[#This Row],[Type]]="P",Games[[#This Row],[Round]]=2),IF(Games[[#This Row],[Result]]&gt;0.5,1,0),0)</f>
        <v>0</v>
      </c>
      <c r="AH588" s="2">
        <f>IF(AND(Games[[#This Row],[Type]]="P",Games[[#This Row],[Round]]=2),IF(Games[[#This Row],[Result]]&lt;0.5,1,0),0)</f>
        <v>0</v>
      </c>
      <c r="AI588" s="2">
        <f>IF(AND(Games[[#This Row],[Type]]="P",Games[[#This Row],[Round]]=3),IF(Games[[#This Row],[Result]]&gt;0.5,1,0),0)</f>
        <v>0</v>
      </c>
      <c r="AJ588" s="2">
        <f>IF(AND(Games[[#This Row],[Type]]="P",Games[[#This Row],[Round]]=3),IF(Games[[#This Row],[Result]]&lt;0.5,1,0),0)</f>
        <v>0</v>
      </c>
      <c r="AK588" s="2">
        <f>IF(AND(Games[[#This Row],[Type]]="P",Games[[#This Row],[Round]]=4),IF(Games[[#This Row],[Result]]&gt;0.5,1,0),0)</f>
        <v>0</v>
      </c>
      <c r="AL588" s="2">
        <f>IF(AND(Games[[#This Row],[Type]]="P",Games[[#This Row],[Round]]=4),IF(Games[[#This Row],[Result]]&lt;0.5,1,0),0)</f>
        <v>0</v>
      </c>
    </row>
    <row r="589" spans="1:38" x14ac:dyDescent="0.35">
      <c r="A589" s="10">
        <v>45917</v>
      </c>
      <c r="B589" s="2">
        <v>2025</v>
      </c>
      <c r="C589" s="2">
        <f>COUNTIFS(Games[Team],Games[[#This Row],[Team]],Games[Season],Games[[#This Row],[Season]],Games[Date],"&lt;=" &amp; Games[[#This Row],[Date]])</f>
        <v>46</v>
      </c>
      <c r="D589" s="2" t="s">
        <v>83</v>
      </c>
      <c r="E589" s="2">
        <v>1</v>
      </c>
      <c r="F589" s="1" t="s">
        <v>88</v>
      </c>
      <c r="G589" s="1" t="s">
        <v>67</v>
      </c>
      <c r="H589" s="1" t="s">
        <v>82</v>
      </c>
      <c r="I589" s="2" cm="1">
        <f t="array" ref="I5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9" s="2" cm="1">
        <f t="array" ref="J5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9" s="2">
        <f>Games[[#This Row],[DaysOff]]-Games[[#This Row],[OppDaysOff]]</f>
        <v>0</v>
      </c>
      <c r="L589" s="2">
        <f>Games[[#This Row],[OppDaysOff]]-Games[[#This Row],[DaysOff]]</f>
        <v>0</v>
      </c>
      <c r="M589" s="1">
        <f>MAX(-16, MIN(16, Games[[#This Row],[RestDiff]]*8))</f>
        <v>0</v>
      </c>
      <c r="N589" s="1">
        <f>MAX(-16, MIN(16, Games[[#This Row],[OppRestDiff]]*8))</f>
        <v>0</v>
      </c>
      <c r="O589" s="4" cm="1">
        <f t="array" ref="O5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1510.5722530522944</v>
      </c>
      <c r="P589" s="4" cm="1">
        <f t="array" ref="P5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1690.772016400663</v>
      </c>
      <c r="Q589" s="4">
        <f>1/(1+10^(((Games[[#This Row],[OppPreGmRate]]+IF(Games[[#This Row],[HomeAway]]="A",HCA,0)+Games[[#This Row],[OppRestAdj]])-(Games[[#This Row],[PreGmRate]]+IF(Games[[#This Row],[HomeAway]]="H",HCA,0)+Games[[#This Row],[RestAdj]]))/400))</f>
        <v>0.36499010157757983</v>
      </c>
      <c r="R589" s="1">
        <v>74</v>
      </c>
      <c r="S589" s="1">
        <v>75</v>
      </c>
      <c r="T589" s="1">
        <v>0</v>
      </c>
      <c r="U589" s="1">
        <f>Games[[#This Row],[PointsFor]]-Games[[#This Row],[PointsAgainst]]</f>
        <v>-1</v>
      </c>
      <c r="V589" s="1">
        <f>IF(Games[[#This Row],[MOV]]&gt;0,1,IF(Games[[#This Row],[MOV]]=0,0.5,0))</f>
        <v>0</v>
      </c>
      <c r="W589" s="4">
        <f>((ABS(Games[[#This Row],[MOV]])+5)^0.6)/(12+0.01*(ABS(Games[[#This Row],[PreGmRate]]-Games[[#This Row],[OppPreGmRate]])))*IF(Games[[#This Row],[OT]]=1,0.9,1)</f>
        <v>0.21229941704054159</v>
      </c>
      <c r="X589" s="7" cm="1">
        <f t="array" ref="X5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89" s="9">
        <f>MAX(kmin, kmax - 0.15 * MIN(Games[[#This Row],[GamesPlayed]], 82))</f>
        <v>69.099999999999994</v>
      </c>
      <c r="Z589" s="4">
        <f>Games[[#This Row],[K]]*Games[[#This Row],[POMult]]</f>
        <v>76.010000000000005</v>
      </c>
      <c r="AA589" s="4">
        <f>(Games[[#This Row],[Keff]]*Games[[#This Row],[MOVMult]])*(Games[[#This Row],[Result]]-Games[[#This Row],[ExpectedWin%]])</f>
        <v>-5.8898009919350125</v>
      </c>
      <c r="AB589" s="4">
        <f>Games[[#This Row],[PreGmRate]]+Games[[#This Row],[RatingChange]]</f>
        <v>1504.6824520603593</v>
      </c>
      <c r="AC589" s="2">
        <f>IF(Games[[#This Row],[Type]]="R",IF(Games[[#This Row],[Result]]&gt;0.5,1,0),0)</f>
        <v>0</v>
      </c>
      <c r="AD589" s="2">
        <f>IF(Games[[#This Row],[Type]]="R",IF(Games[[#This Row],[Result]]&lt;0.5,1,0),0)</f>
        <v>0</v>
      </c>
      <c r="AE589" s="2">
        <f>IF(AND(Games[[#This Row],[Type]]="P",Games[[#This Row],[Round]]=1),IF(Games[[#This Row],[Result]]&gt;0.5,1,0),0)</f>
        <v>0</v>
      </c>
      <c r="AF589" s="2">
        <f>IF(AND(Games[[#This Row],[Type]]="P",Games[[#This Row],[Round]]=1),IF(Games[[#This Row],[Result]]&lt;0.5,1,0),0)</f>
        <v>1</v>
      </c>
      <c r="AG589" s="2">
        <f>IF(AND(Games[[#This Row],[Type]]="P",Games[[#This Row],[Round]]=2),IF(Games[[#This Row],[Result]]&gt;0.5,1,0),0)</f>
        <v>0</v>
      </c>
      <c r="AH589" s="2">
        <f>IF(AND(Games[[#This Row],[Type]]="P",Games[[#This Row],[Round]]=2),IF(Games[[#This Row],[Result]]&lt;0.5,1,0),0)</f>
        <v>0</v>
      </c>
      <c r="AI589" s="2">
        <f>IF(AND(Games[[#This Row],[Type]]="P",Games[[#This Row],[Round]]=3),IF(Games[[#This Row],[Result]]&gt;0.5,1,0),0)</f>
        <v>0</v>
      </c>
      <c r="AJ589" s="2">
        <f>IF(AND(Games[[#This Row],[Type]]="P",Games[[#This Row],[Round]]=3),IF(Games[[#This Row],[Result]]&lt;0.5,1,0),0)</f>
        <v>0</v>
      </c>
      <c r="AK589" s="2">
        <f>IF(AND(Games[[#This Row],[Type]]="P",Games[[#This Row],[Round]]=4),IF(Games[[#This Row],[Result]]&gt;0.5,1,0),0)</f>
        <v>0</v>
      </c>
      <c r="AL589" s="2">
        <f>IF(AND(Games[[#This Row],[Type]]="P",Games[[#This Row],[Round]]=4),IF(Games[[#This Row],[Result]]&lt;0.5,1,0),0)</f>
        <v>0</v>
      </c>
    </row>
    <row r="590" spans="1:38" x14ac:dyDescent="0.35">
      <c r="A590" s="10">
        <v>45917</v>
      </c>
      <c r="B590" s="2">
        <v>2025</v>
      </c>
      <c r="C590" s="2">
        <f>COUNTIFS(Games[Team],Games[[#This Row],[Team]],Games[Season],Games[[#This Row],[Season]],Games[Date],"&lt;=" &amp; Games[[#This Row],[Date]])</f>
        <v>46</v>
      </c>
      <c r="D590" s="2" t="s">
        <v>83</v>
      </c>
      <c r="E590" s="2">
        <v>1</v>
      </c>
      <c r="F590" s="1" t="s">
        <v>40</v>
      </c>
      <c r="G590" s="1" t="s">
        <v>60</v>
      </c>
      <c r="H590" s="1" t="s">
        <v>81</v>
      </c>
      <c r="I590" s="2" cm="1">
        <f t="array" ref="I5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90" s="2" cm="1">
        <f t="array" ref="J5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90" s="2">
        <f>Games[[#This Row],[DaysOff]]-Games[[#This Row],[OppDaysOff]]</f>
        <v>0</v>
      </c>
      <c r="L590" s="2">
        <f>Games[[#This Row],[OppDaysOff]]-Games[[#This Row],[DaysOff]]</f>
        <v>0</v>
      </c>
      <c r="M590" s="1">
        <f>MAX(-16, MIN(16, Games[[#This Row],[RestDiff]]*8))</f>
        <v>0</v>
      </c>
      <c r="N590" s="1">
        <f>MAX(-16, MIN(16, Games[[#This Row],[OppRestDiff]]*8))</f>
        <v>0</v>
      </c>
      <c r="O590" s="4" cm="1">
        <f t="array" ref="O5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1537.1709722322246</v>
      </c>
      <c r="P590" s="4" cm="1">
        <f t="array" ref="P5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1595.3868918062515</v>
      </c>
      <c r="Q590" s="4">
        <f>1/(1+10^(((Games[[#This Row],[OppPreGmRate]]+IF(Games[[#This Row],[HomeAway]]="A",HCA,0)+Games[[#This Row],[OppRestAdj]])-(Games[[#This Row],[PreGmRate]]+IF(Games[[#This Row],[HomeAway]]="H",HCA,0)+Games[[#This Row],[RestAdj]]))/400))</f>
        <v>0.30604804257420626</v>
      </c>
      <c r="R590" s="1">
        <v>86</v>
      </c>
      <c r="S590" s="1">
        <v>60</v>
      </c>
      <c r="T590" s="1">
        <v>0</v>
      </c>
      <c r="U590" s="1">
        <f>Games[[#This Row],[PointsFor]]-Games[[#This Row],[PointsAgainst]]</f>
        <v>26</v>
      </c>
      <c r="V590" s="1">
        <f>IF(Games[[#This Row],[MOV]]&gt;0,1,IF(Games[[#This Row],[MOV]]=0,0.5,0))</f>
        <v>1</v>
      </c>
      <c r="W590" s="4">
        <f>((ABS(Games[[#This Row],[MOV]])+5)^0.6)/(12+0.01*(ABS(Games[[#This Row],[PreGmRate]]-Games[[#This Row],[OppPreGmRate]])))*IF(Games[[#This Row],[OT]]=1,0.9,1)</f>
        <v>0.6238236572987691</v>
      </c>
      <c r="X590" s="7" cm="1">
        <f t="array" ref="X5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90" s="9">
        <f>MAX(kmin, kmax - 0.15 * MIN(Games[[#This Row],[GamesPlayed]], 82))</f>
        <v>69.099999999999994</v>
      </c>
      <c r="Z590" s="4">
        <f>Games[[#This Row],[K]]*Games[[#This Row],[POMult]]</f>
        <v>76.010000000000005</v>
      </c>
      <c r="AA590" s="4">
        <f>(Games[[#This Row],[Keff]]*Games[[#This Row],[MOVMult]])*(Games[[#This Row],[Result]]-Games[[#This Row],[ExpectedWin%]])</f>
        <v>32.905006289876589</v>
      </c>
      <c r="AB590" s="4">
        <f>Games[[#This Row],[PreGmRate]]+Games[[#This Row],[RatingChange]]</f>
        <v>1570.0759785221012</v>
      </c>
      <c r="AC590" s="2">
        <f>IF(Games[[#This Row],[Type]]="R",IF(Games[[#This Row],[Result]]&gt;0.5,1,0),0)</f>
        <v>0</v>
      </c>
      <c r="AD590" s="2">
        <f>IF(Games[[#This Row],[Type]]="R",IF(Games[[#This Row],[Result]]&lt;0.5,1,0),0)</f>
        <v>0</v>
      </c>
      <c r="AE590" s="2">
        <f>IF(AND(Games[[#This Row],[Type]]="P",Games[[#This Row],[Round]]=1),IF(Games[[#This Row],[Result]]&gt;0.5,1,0),0)</f>
        <v>1</v>
      </c>
      <c r="AF590" s="2">
        <f>IF(AND(Games[[#This Row],[Type]]="P",Games[[#This Row],[Round]]=1),IF(Games[[#This Row],[Result]]&lt;0.5,1,0),0)</f>
        <v>0</v>
      </c>
      <c r="AG590" s="2">
        <f>IF(AND(Games[[#This Row],[Type]]="P",Games[[#This Row],[Round]]=2),IF(Games[[#This Row],[Result]]&gt;0.5,1,0),0)</f>
        <v>0</v>
      </c>
      <c r="AH590" s="2">
        <f>IF(AND(Games[[#This Row],[Type]]="P",Games[[#This Row],[Round]]=2),IF(Games[[#This Row],[Result]]&lt;0.5,1,0),0)</f>
        <v>0</v>
      </c>
      <c r="AI590" s="2">
        <f>IF(AND(Games[[#This Row],[Type]]="P",Games[[#This Row],[Round]]=3),IF(Games[[#This Row],[Result]]&gt;0.5,1,0),0)</f>
        <v>0</v>
      </c>
      <c r="AJ590" s="2">
        <f>IF(AND(Games[[#This Row],[Type]]="P",Games[[#This Row],[Round]]=3),IF(Games[[#This Row],[Result]]&lt;0.5,1,0),0)</f>
        <v>0</v>
      </c>
      <c r="AK590" s="2">
        <f>IF(AND(Games[[#This Row],[Type]]="P",Games[[#This Row],[Round]]=4),IF(Games[[#This Row],[Result]]&gt;0.5,1,0),0)</f>
        <v>0</v>
      </c>
      <c r="AL590" s="2">
        <f>IF(AND(Games[[#This Row],[Type]]="P",Games[[#This Row],[Round]]=4),IF(Games[[#This Row],[Result]]&lt;0.5,1,0),0)</f>
        <v>0</v>
      </c>
    </row>
    <row r="591" spans="1:38" x14ac:dyDescent="0.35">
      <c r="A591" s="10">
        <v>45917</v>
      </c>
      <c r="B591" s="2">
        <v>2025</v>
      </c>
      <c r="C591" s="2">
        <f>COUNTIFS(Games[Team],Games[[#This Row],[Team]],Games[Season],Games[[#This Row],[Season]],Games[Date],"&lt;=" &amp; Games[[#This Row],[Date]])</f>
        <v>46</v>
      </c>
      <c r="D591" s="2" t="s">
        <v>83</v>
      </c>
      <c r="E591" s="2">
        <v>1</v>
      </c>
      <c r="F591" s="1" t="s">
        <v>60</v>
      </c>
      <c r="G591" s="1" t="s">
        <v>40</v>
      </c>
      <c r="H591" s="1" t="s">
        <v>82</v>
      </c>
      <c r="I591" s="2" cm="1">
        <f t="array" ref="I5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91" s="2" cm="1">
        <f t="array" ref="J5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91" s="2">
        <f>Games[[#This Row],[DaysOff]]-Games[[#This Row],[OppDaysOff]]</f>
        <v>0</v>
      </c>
      <c r="L591" s="2">
        <f>Games[[#This Row],[OppDaysOff]]-Games[[#This Row],[DaysOff]]</f>
        <v>0</v>
      </c>
      <c r="M591" s="1">
        <f>MAX(-16, MIN(16, Games[[#This Row],[RestDiff]]*8))</f>
        <v>0</v>
      </c>
      <c r="N591" s="1">
        <f>MAX(-16, MIN(16, Games[[#This Row],[OppRestDiff]]*8))</f>
        <v>0</v>
      </c>
      <c r="O591" s="4" cm="1">
        <f t="array" ref="O5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1595.3868918062515</v>
      </c>
      <c r="P591" s="4" cm="1">
        <f t="array" ref="P5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1537.1709722322246</v>
      </c>
      <c r="Q591" s="4">
        <f>1/(1+10^(((Games[[#This Row],[OppPreGmRate]]+IF(Games[[#This Row],[HomeAway]]="A",HCA,0)+Games[[#This Row],[OppRestAdj]])-(Games[[#This Row],[PreGmRate]]+IF(Games[[#This Row],[HomeAway]]="H",HCA,0)+Games[[#This Row],[RestAdj]]))/400))</f>
        <v>0.69395195742579374</v>
      </c>
      <c r="R591" s="1">
        <v>60</v>
      </c>
      <c r="S591" s="1">
        <v>86</v>
      </c>
      <c r="T591" s="1">
        <v>0</v>
      </c>
      <c r="U591" s="1">
        <f>Games[[#This Row],[PointsFor]]-Games[[#This Row],[PointsAgainst]]</f>
        <v>-26</v>
      </c>
      <c r="V591" s="1">
        <f>IF(Games[[#This Row],[MOV]]&gt;0,1,IF(Games[[#This Row],[MOV]]=0,0.5,0))</f>
        <v>0</v>
      </c>
      <c r="W591" s="4">
        <f>((ABS(Games[[#This Row],[MOV]])+5)^0.6)/(12+0.01*(ABS(Games[[#This Row],[PreGmRate]]-Games[[#This Row],[OppPreGmRate]])))*IF(Games[[#This Row],[OT]]=1,0.9,1)</f>
        <v>0.6238236572987691</v>
      </c>
      <c r="X591" s="7" cm="1">
        <f t="array" ref="X5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91" s="9">
        <f>MAX(kmin, kmax - 0.15 * MIN(Games[[#This Row],[GamesPlayed]], 82))</f>
        <v>69.099999999999994</v>
      </c>
      <c r="Z591" s="4">
        <f>Games[[#This Row],[K]]*Games[[#This Row],[POMult]]</f>
        <v>76.010000000000005</v>
      </c>
      <c r="AA591" s="4">
        <f>(Games[[#This Row],[Keff]]*Games[[#This Row],[MOVMult]])*(Games[[#This Row],[Result]]-Games[[#This Row],[ExpectedWin%]])</f>
        <v>-32.905006289876589</v>
      </c>
      <c r="AB591" s="4">
        <f>Games[[#This Row],[PreGmRate]]+Games[[#This Row],[RatingChange]]</f>
        <v>1562.4818855163749</v>
      </c>
      <c r="AC591" s="2">
        <f>IF(Games[[#This Row],[Type]]="R",IF(Games[[#This Row],[Result]]&gt;0.5,1,0),0)</f>
        <v>0</v>
      </c>
      <c r="AD591" s="2">
        <f>IF(Games[[#This Row],[Type]]="R",IF(Games[[#This Row],[Result]]&lt;0.5,1,0),0)</f>
        <v>0</v>
      </c>
      <c r="AE591" s="2">
        <f>IF(AND(Games[[#This Row],[Type]]="P",Games[[#This Row],[Round]]=1),IF(Games[[#This Row],[Result]]&gt;0.5,1,0),0)</f>
        <v>0</v>
      </c>
      <c r="AF591" s="2">
        <f>IF(AND(Games[[#This Row],[Type]]="P",Games[[#This Row],[Round]]=1),IF(Games[[#This Row],[Result]]&lt;0.5,1,0),0)</f>
        <v>1</v>
      </c>
      <c r="AG591" s="2">
        <f>IF(AND(Games[[#This Row],[Type]]="P",Games[[#This Row],[Round]]=2),IF(Games[[#This Row],[Result]]&gt;0.5,1,0),0)</f>
        <v>0</v>
      </c>
      <c r="AH591" s="2">
        <f>IF(AND(Games[[#This Row],[Type]]="P",Games[[#This Row],[Round]]=2),IF(Games[[#This Row],[Result]]&lt;0.5,1,0),0)</f>
        <v>0</v>
      </c>
      <c r="AI591" s="2">
        <f>IF(AND(Games[[#This Row],[Type]]="P",Games[[#This Row],[Round]]=3),IF(Games[[#This Row],[Result]]&gt;0.5,1,0),0)</f>
        <v>0</v>
      </c>
      <c r="AJ591" s="2">
        <f>IF(AND(Games[[#This Row],[Type]]="P",Games[[#This Row],[Round]]=3),IF(Games[[#This Row],[Result]]&lt;0.5,1,0),0)</f>
        <v>0</v>
      </c>
      <c r="AK591" s="2">
        <f>IF(AND(Games[[#This Row],[Type]]="P",Games[[#This Row],[Round]]=4),IF(Games[[#This Row],[Result]]&gt;0.5,1,0),0)</f>
        <v>0</v>
      </c>
      <c r="AL591" s="2">
        <f>IF(AND(Games[[#This Row],[Type]]="P",Games[[#This Row],[Round]]=4),IF(Games[[#This Row],[Result]]&lt;0.5,1,0),0)</f>
        <v>0</v>
      </c>
    </row>
    <row r="592" spans="1:38" x14ac:dyDescent="0.35">
      <c r="A592" s="10">
        <v>45918</v>
      </c>
      <c r="B592" s="2">
        <v>2025</v>
      </c>
      <c r="C592" s="2">
        <f>COUNTIFS(Games[Team],Games[[#This Row],[Team]],Games[Season],Games[[#This Row],[Season]],Games[Date],"&lt;=" &amp; Games[[#This Row],[Date]])</f>
        <v>48</v>
      </c>
      <c r="D592" s="2" t="s">
        <v>83</v>
      </c>
      <c r="E592" s="2">
        <v>1</v>
      </c>
      <c r="F592" s="1" t="s">
        <v>69</v>
      </c>
      <c r="G592" s="1" t="s">
        <v>77</v>
      </c>
      <c r="H592" s="1" t="s">
        <v>81</v>
      </c>
      <c r="I592" s="2" cm="1">
        <f t="array" ref="I5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2" s="2" cm="1">
        <f t="array" ref="J5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2" s="2">
        <f>Games[[#This Row],[DaysOff]]-Games[[#This Row],[OppDaysOff]]</f>
        <v>0</v>
      </c>
      <c r="L592" s="2">
        <f>Games[[#This Row],[OppDaysOff]]-Games[[#This Row],[DaysOff]]</f>
        <v>0</v>
      </c>
      <c r="M592" s="1">
        <f>MAX(-16, MIN(16, Games[[#This Row],[RestDiff]]*8))</f>
        <v>0</v>
      </c>
      <c r="N592" s="1">
        <f>MAX(-16, MIN(16, Games[[#This Row],[OppRestDiff]]*8))</f>
        <v>0</v>
      </c>
      <c r="O592" s="4" cm="1">
        <f t="array" ref="O5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1572.8734050869671</v>
      </c>
      <c r="P592" s="4" cm="1">
        <f t="array" ref="P5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1643.9167535836309</v>
      </c>
      <c r="Q592" s="4">
        <f>1/(1+10^(((Games[[#This Row],[OppPreGmRate]]+IF(Games[[#This Row],[HomeAway]]="A",HCA,0)+Games[[#This Row],[OppRestAdj]])-(Games[[#This Row],[PreGmRate]]+IF(Games[[#This Row],[HomeAway]]="H",HCA,0)+Games[[#This Row],[RestAdj]]))/400))</f>
        <v>0.29059392550370006</v>
      </c>
      <c r="R592" s="1">
        <v>87</v>
      </c>
      <c r="S592" s="1">
        <v>85</v>
      </c>
      <c r="T592" s="1">
        <v>0</v>
      </c>
      <c r="U592" s="1">
        <f>Games[[#This Row],[PointsFor]]-Games[[#This Row],[PointsAgainst]]</f>
        <v>2</v>
      </c>
      <c r="V592" s="1">
        <f>IF(Games[[#This Row],[MOV]]&gt;0,1,IF(Games[[#This Row],[MOV]]=0,0.5,0))</f>
        <v>1</v>
      </c>
      <c r="W592" s="4">
        <f>((ABS(Games[[#This Row],[MOV]])+5)^0.6)/(12+0.01*(ABS(Games[[#This Row],[PreGmRate]]-Games[[#This Row],[OppPreGmRate]])))*IF(Games[[#This Row],[OT]]=1,0.9,1)</f>
        <v>0.2528706714462205</v>
      </c>
      <c r="X592" s="7" cm="1">
        <f t="array" ref="X5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92" s="9">
        <f>MAX(kmin, kmax - 0.15 * MIN(Games[[#This Row],[GamesPlayed]], 82))</f>
        <v>68.8</v>
      </c>
      <c r="Z592" s="4">
        <f>Games[[#This Row],[K]]*Games[[#This Row],[POMult]]</f>
        <v>75.680000000000007</v>
      </c>
      <c r="AA592" s="4">
        <f>(Games[[#This Row],[Keff]]*Games[[#This Row],[MOVMult]])*(Games[[#This Row],[Result]]-Games[[#This Row],[ExpectedWin%]])</f>
        <v>13.576083112405435</v>
      </c>
      <c r="AB592" s="4">
        <f>Games[[#This Row],[PreGmRate]]+Games[[#This Row],[RatingChange]]</f>
        <v>1586.4494881993726</v>
      </c>
      <c r="AC592" s="2">
        <f>IF(Games[[#This Row],[Type]]="R",IF(Games[[#This Row],[Result]]&gt;0.5,1,0),0)</f>
        <v>0</v>
      </c>
      <c r="AD592" s="2">
        <f>IF(Games[[#This Row],[Type]]="R",IF(Games[[#This Row],[Result]]&lt;0.5,1,0),0)</f>
        <v>0</v>
      </c>
      <c r="AE592" s="2">
        <f>IF(AND(Games[[#This Row],[Type]]="P",Games[[#This Row],[Round]]=1),IF(Games[[#This Row],[Result]]&gt;0.5,1,0),0)</f>
        <v>1</v>
      </c>
      <c r="AF592" s="2">
        <f>IF(AND(Games[[#This Row],[Type]]="P",Games[[#This Row],[Round]]=1),IF(Games[[#This Row],[Result]]&lt;0.5,1,0),0)</f>
        <v>0</v>
      </c>
      <c r="AG592" s="2">
        <f>IF(AND(Games[[#This Row],[Type]]="P",Games[[#This Row],[Round]]=2),IF(Games[[#This Row],[Result]]&gt;0.5,1,0),0)</f>
        <v>0</v>
      </c>
      <c r="AH592" s="2">
        <f>IF(AND(Games[[#This Row],[Type]]="P",Games[[#This Row],[Round]]=2),IF(Games[[#This Row],[Result]]&lt;0.5,1,0),0)</f>
        <v>0</v>
      </c>
      <c r="AI592" s="2">
        <f>IF(AND(Games[[#This Row],[Type]]="P",Games[[#This Row],[Round]]=3),IF(Games[[#This Row],[Result]]&gt;0.5,1,0),0)</f>
        <v>0</v>
      </c>
      <c r="AJ592" s="2">
        <f>IF(AND(Games[[#This Row],[Type]]="P",Games[[#This Row],[Round]]=3),IF(Games[[#This Row],[Result]]&lt;0.5,1,0),0)</f>
        <v>0</v>
      </c>
      <c r="AK592" s="2">
        <f>IF(AND(Games[[#This Row],[Type]]="P",Games[[#This Row],[Round]]=4),IF(Games[[#This Row],[Result]]&gt;0.5,1,0),0)</f>
        <v>0</v>
      </c>
      <c r="AL592" s="2">
        <f>IF(AND(Games[[#This Row],[Type]]="P",Games[[#This Row],[Round]]=4),IF(Games[[#This Row],[Result]]&lt;0.5,1,0),0)</f>
        <v>0</v>
      </c>
    </row>
    <row r="593" spans="1:38" x14ac:dyDescent="0.35">
      <c r="A593" s="10">
        <v>45918</v>
      </c>
      <c r="B593" s="2">
        <v>2025</v>
      </c>
      <c r="C593" s="2">
        <f>COUNTIFS(Games[Team],Games[[#This Row],[Team]],Games[Season],Games[[#This Row],[Season]],Games[Date],"&lt;=" &amp; Games[[#This Row],[Date]])</f>
        <v>47</v>
      </c>
      <c r="D593" s="2" t="s">
        <v>83</v>
      </c>
      <c r="E593" s="2">
        <v>1</v>
      </c>
      <c r="F593" s="1" t="s">
        <v>77</v>
      </c>
      <c r="G593" s="1" t="s">
        <v>69</v>
      </c>
      <c r="H593" s="1" t="s">
        <v>82</v>
      </c>
      <c r="I593" s="2" cm="1">
        <f t="array" ref="I5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3" s="2" cm="1">
        <f t="array" ref="J5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3" s="2">
        <f>Games[[#This Row],[DaysOff]]-Games[[#This Row],[OppDaysOff]]</f>
        <v>0</v>
      </c>
      <c r="L593" s="2">
        <f>Games[[#This Row],[OppDaysOff]]-Games[[#This Row],[DaysOff]]</f>
        <v>0</v>
      </c>
      <c r="M593" s="1">
        <f>MAX(-16, MIN(16, Games[[#This Row],[RestDiff]]*8))</f>
        <v>0</v>
      </c>
      <c r="N593" s="1">
        <f>MAX(-16, MIN(16, Games[[#This Row],[OppRestDiff]]*8))</f>
        <v>0</v>
      </c>
      <c r="O593" s="4" cm="1">
        <f t="array" ref="O5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1643.9167535836309</v>
      </c>
      <c r="P593" s="4" cm="1">
        <f t="array" ref="P5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1572.8734050869671</v>
      </c>
      <c r="Q593" s="4">
        <f>1/(1+10^(((Games[[#This Row],[OppPreGmRate]]+IF(Games[[#This Row],[HomeAway]]="A",HCA,0)+Games[[#This Row],[OppRestAdj]])-(Games[[#This Row],[PreGmRate]]+IF(Games[[#This Row],[HomeAway]]="H",HCA,0)+Games[[#This Row],[RestAdj]]))/400))</f>
        <v>0.70940607449629989</v>
      </c>
      <c r="R593" s="1">
        <v>85</v>
      </c>
      <c r="S593" s="1">
        <v>87</v>
      </c>
      <c r="T593" s="1">
        <v>0</v>
      </c>
      <c r="U593" s="1">
        <f>Games[[#This Row],[PointsFor]]-Games[[#This Row],[PointsAgainst]]</f>
        <v>-2</v>
      </c>
      <c r="V593" s="1">
        <f>IF(Games[[#This Row],[MOV]]&gt;0,1,IF(Games[[#This Row],[MOV]]=0,0.5,0))</f>
        <v>0</v>
      </c>
      <c r="W593" s="4">
        <f>((ABS(Games[[#This Row],[MOV]])+5)^0.6)/(12+0.01*(ABS(Games[[#This Row],[PreGmRate]]-Games[[#This Row],[OppPreGmRate]])))*IF(Games[[#This Row],[OT]]=1,0.9,1)</f>
        <v>0.2528706714462205</v>
      </c>
      <c r="X593" s="7" cm="1">
        <f t="array" ref="X5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93" s="9">
        <f>MAX(kmin, kmax - 0.15 * MIN(Games[[#This Row],[GamesPlayed]], 82))</f>
        <v>68.95</v>
      </c>
      <c r="Z593" s="4">
        <f>Games[[#This Row],[K]]*Games[[#This Row],[POMult]]</f>
        <v>75.845000000000013</v>
      </c>
      <c r="AA593" s="4">
        <f>(Games[[#This Row],[Keff]]*Games[[#This Row],[MOVMult]])*(Games[[#This Row],[Result]]-Games[[#This Row],[ExpectedWin%]])</f>
        <v>-13.60568213081911</v>
      </c>
      <c r="AB593" s="4">
        <f>Games[[#This Row],[PreGmRate]]+Games[[#This Row],[RatingChange]]</f>
        <v>1630.3110714528118</v>
      </c>
      <c r="AC593" s="2">
        <f>IF(Games[[#This Row],[Type]]="R",IF(Games[[#This Row],[Result]]&gt;0.5,1,0),0)</f>
        <v>0</v>
      </c>
      <c r="AD593" s="2">
        <f>IF(Games[[#This Row],[Type]]="R",IF(Games[[#This Row],[Result]]&lt;0.5,1,0),0)</f>
        <v>0</v>
      </c>
      <c r="AE593" s="2">
        <f>IF(AND(Games[[#This Row],[Type]]="P",Games[[#This Row],[Round]]=1),IF(Games[[#This Row],[Result]]&gt;0.5,1,0),0)</f>
        <v>0</v>
      </c>
      <c r="AF593" s="2">
        <f>IF(AND(Games[[#This Row],[Type]]="P",Games[[#This Row],[Round]]=1),IF(Games[[#This Row],[Result]]&lt;0.5,1,0),0)</f>
        <v>1</v>
      </c>
      <c r="AG593" s="2">
        <f>IF(AND(Games[[#This Row],[Type]]="P",Games[[#This Row],[Round]]=2),IF(Games[[#This Row],[Result]]&gt;0.5,1,0),0)</f>
        <v>0</v>
      </c>
      <c r="AH593" s="2">
        <f>IF(AND(Games[[#This Row],[Type]]="P",Games[[#This Row],[Round]]=2),IF(Games[[#This Row],[Result]]&lt;0.5,1,0),0)</f>
        <v>0</v>
      </c>
      <c r="AI593" s="2">
        <f>IF(AND(Games[[#This Row],[Type]]="P",Games[[#This Row],[Round]]=3),IF(Games[[#This Row],[Result]]&gt;0.5,1,0),0)</f>
        <v>0</v>
      </c>
      <c r="AJ593" s="2">
        <f>IF(AND(Games[[#This Row],[Type]]="P",Games[[#This Row],[Round]]=3),IF(Games[[#This Row],[Result]]&lt;0.5,1,0),0)</f>
        <v>0</v>
      </c>
      <c r="AK593" s="2">
        <f>IF(AND(Games[[#This Row],[Type]]="P",Games[[#This Row],[Round]]=4),IF(Games[[#This Row],[Result]]&gt;0.5,1,0),0)</f>
        <v>0</v>
      </c>
      <c r="AL593" s="2">
        <f>IF(AND(Games[[#This Row],[Type]]="P",Games[[#This Row],[Round]]=4),IF(Games[[#This Row],[Result]]&lt;0.5,1,0),0)</f>
        <v>0</v>
      </c>
    </row>
    <row r="594" spans="1:38" x14ac:dyDescent="0.35">
      <c r="A594" s="10">
        <v>45918</v>
      </c>
      <c r="B594" s="2">
        <v>2025</v>
      </c>
      <c r="C594" s="2">
        <f>COUNTIFS(Games[Team],Games[[#This Row],[Team]],Games[Season],Games[[#This Row],[Season]],Games[Date],"&lt;=" &amp; Games[[#This Row],[Date]])</f>
        <v>47</v>
      </c>
      <c r="D594" s="2" t="s">
        <v>83</v>
      </c>
      <c r="E594" s="2">
        <v>1</v>
      </c>
      <c r="F594" s="1" t="s">
        <v>71</v>
      </c>
      <c r="G594" s="1" t="s">
        <v>86</v>
      </c>
      <c r="H594" s="1" t="s">
        <v>81</v>
      </c>
      <c r="I594" s="2" cm="1">
        <f t="array" ref="I5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4" s="2" cm="1">
        <f t="array" ref="J5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4" s="2">
        <f>Games[[#This Row],[DaysOff]]-Games[[#This Row],[OppDaysOff]]</f>
        <v>0</v>
      </c>
      <c r="L594" s="2">
        <f>Games[[#This Row],[OppDaysOff]]-Games[[#This Row],[DaysOff]]</f>
        <v>0</v>
      </c>
      <c r="M594" s="1">
        <f>MAX(-16, MIN(16, Games[[#This Row],[RestDiff]]*8))</f>
        <v>0</v>
      </c>
      <c r="N594" s="1">
        <f>MAX(-16, MIN(16, Games[[#This Row],[OppRestDiff]]*8))</f>
        <v>0</v>
      </c>
      <c r="O594" s="4" cm="1">
        <f t="array" ref="O5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1512.636703047873</v>
      </c>
      <c r="P594" s="4" cm="1">
        <f t="array" ref="P5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1670.7891041201281</v>
      </c>
      <c r="Q594" s="4">
        <f>1/(1+10^(((Games[[#This Row],[OppPreGmRate]]+IF(Games[[#This Row],[HomeAway]]="A",HCA,0)+Games[[#This Row],[OppRestAdj]])-(Games[[#This Row],[PreGmRate]]+IF(Games[[#This Row],[HomeAway]]="H",HCA,0)+Games[[#This Row],[RestAdj]]))/400))</f>
        <v>0.19877930052505172</v>
      </c>
      <c r="R594" s="1">
        <v>73</v>
      </c>
      <c r="S594" s="1">
        <v>74</v>
      </c>
      <c r="T594" s="1">
        <v>0</v>
      </c>
      <c r="U594" s="1">
        <f>Games[[#This Row],[PointsFor]]-Games[[#This Row],[PointsAgainst]]</f>
        <v>-1</v>
      </c>
      <c r="V594" s="1">
        <f>IF(Games[[#This Row],[MOV]]&gt;0,1,IF(Games[[#This Row],[MOV]]=0,0.5,0))</f>
        <v>0</v>
      </c>
      <c r="W594" s="4">
        <f>((ABS(Games[[#This Row],[MOV]])+5)^0.6)/(12+0.01*(ABS(Games[[#This Row],[PreGmRate]]-Games[[#This Row],[OppPreGmRate]])))*IF(Games[[#This Row],[OT]]=1,0.9,1)</f>
        <v>0.21574574762524268</v>
      </c>
      <c r="X594" s="7" cm="1">
        <f t="array" ref="X5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94" s="9">
        <f>MAX(kmin, kmax - 0.15 * MIN(Games[[#This Row],[GamesPlayed]], 82))</f>
        <v>68.95</v>
      </c>
      <c r="Z594" s="4">
        <f>Games[[#This Row],[K]]*Games[[#This Row],[POMult]]</f>
        <v>75.845000000000013</v>
      </c>
      <c r="AA594" s="4">
        <f>(Games[[#This Row],[Keff]]*Games[[#This Row],[MOVMult]])*(Games[[#This Row],[Result]]-Games[[#This Row],[ExpectedWin%]])</f>
        <v>-3.2526726518545557</v>
      </c>
      <c r="AB594" s="4">
        <f>Games[[#This Row],[PreGmRate]]+Games[[#This Row],[RatingChange]]</f>
        <v>1509.3840303960185</v>
      </c>
      <c r="AC594" s="2">
        <f>IF(Games[[#This Row],[Type]]="R",IF(Games[[#This Row],[Result]]&gt;0.5,1,0),0)</f>
        <v>0</v>
      </c>
      <c r="AD594" s="2">
        <f>IF(Games[[#This Row],[Type]]="R",IF(Games[[#This Row],[Result]]&lt;0.5,1,0),0)</f>
        <v>0</v>
      </c>
      <c r="AE594" s="2">
        <f>IF(AND(Games[[#This Row],[Type]]="P",Games[[#This Row],[Round]]=1),IF(Games[[#This Row],[Result]]&gt;0.5,1,0),0)</f>
        <v>0</v>
      </c>
      <c r="AF594" s="2">
        <f>IF(AND(Games[[#This Row],[Type]]="P",Games[[#This Row],[Round]]=1),IF(Games[[#This Row],[Result]]&lt;0.5,1,0),0)</f>
        <v>1</v>
      </c>
      <c r="AG594" s="2">
        <f>IF(AND(Games[[#This Row],[Type]]="P",Games[[#This Row],[Round]]=2),IF(Games[[#This Row],[Result]]&gt;0.5,1,0),0)</f>
        <v>0</v>
      </c>
      <c r="AH594" s="2">
        <f>IF(AND(Games[[#This Row],[Type]]="P",Games[[#This Row],[Round]]=2),IF(Games[[#This Row],[Result]]&lt;0.5,1,0),0)</f>
        <v>0</v>
      </c>
      <c r="AI594" s="2">
        <f>IF(AND(Games[[#This Row],[Type]]="P",Games[[#This Row],[Round]]=3),IF(Games[[#This Row],[Result]]&gt;0.5,1,0),0)</f>
        <v>0</v>
      </c>
      <c r="AJ594" s="2">
        <f>IF(AND(Games[[#This Row],[Type]]="P",Games[[#This Row],[Round]]=3),IF(Games[[#This Row],[Result]]&lt;0.5,1,0),0)</f>
        <v>0</v>
      </c>
      <c r="AK594" s="2">
        <f>IF(AND(Games[[#This Row],[Type]]="P",Games[[#This Row],[Round]]=4),IF(Games[[#This Row],[Result]]&gt;0.5,1,0),0)</f>
        <v>0</v>
      </c>
      <c r="AL594" s="2">
        <f>IF(AND(Games[[#This Row],[Type]]="P",Games[[#This Row],[Round]]=4),IF(Games[[#This Row],[Result]]&lt;0.5,1,0),0)</f>
        <v>0</v>
      </c>
    </row>
    <row r="595" spans="1:38" x14ac:dyDescent="0.35">
      <c r="A595" s="10">
        <v>45918</v>
      </c>
      <c r="B595" s="2">
        <v>2025</v>
      </c>
      <c r="C595" s="2">
        <f>COUNTIFS(Games[Team],Games[[#This Row],[Team]],Games[Season],Games[[#This Row],[Season]],Games[Date],"&lt;=" &amp; Games[[#This Row],[Date]])</f>
        <v>47</v>
      </c>
      <c r="D595" s="2" t="s">
        <v>83</v>
      </c>
      <c r="E595" s="2">
        <v>1</v>
      </c>
      <c r="F595" s="1" t="s">
        <v>86</v>
      </c>
      <c r="G595" s="1" t="s">
        <v>71</v>
      </c>
      <c r="H595" s="1" t="s">
        <v>82</v>
      </c>
      <c r="I595" s="2" cm="1">
        <f t="array" ref="I5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5" s="2" cm="1">
        <f t="array" ref="J5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5" s="2">
        <f>Games[[#This Row],[DaysOff]]-Games[[#This Row],[OppDaysOff]]</f>
        <v>0</v>
      </c>
      <c r="L595" s="2">
        <f>Games[[#This Row],[OppDaysOff]]-Games[[#This Row],[DaysOff]]</f>
        <v>0</v>
      </c>
      <c r="M595" s="1">
        <f>MAX(-16, MIN(16, Games[[#This Row],[RestDiff]]*8))</f>
        <v>0</v>
      </c>
      <c r="N595" s="1">
        <f>MAX(-16, MIN(16, Games[[#This Row],[OppRestDiff]]*8))</f>
        <v>0</v>
      </c>
      <c r="O595" s="4" cm="1">
        <f t="array" ref="O5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1670.7891041201281</v>
      </c>
      <c r="P595" s="4" cm="1">
        <f t="array" ref="P5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1512.636703047873</v>
      </c>
      <c r="Q595" s="4">
        <f>1/(1+10^(((Games[[#This Row],[OppPreGmRate]]+IF(Games[[#This Row],[HomeAway]]="A",HCA,0)+Games[[#This Row],[OppRestAdj]])-(Games[[#This Row],[PreGmRate]]+IF(Games[[#This Row],[HomeAway]]="H",HCA,0)+Games[[#This Row],[RestAdj]]))/400))</f>
        <v>0.80122069947494823</v>
      </c>
      <c r="R595" s="1">
        <v>74</v>
      </c>
      <c r="S595" s="1">
        <v>73</v>
      </c>
      <c r="T595" s="1">
        <v>0</v>
      </c>
      <c r="U595" s="1">
        <f>Games[[#This Row],[PointsFor]]-Games[[#This Row],[PointsAgainst]]</f>
        <v>1</v>
      </c>
      <c r="V595" s="1">
        <f>IF(Games[[#This Row],[MOV]]&gt;0,1,IF(Games[[#This Row],[MOV]]=0,0.5,0))</f>
        <v>1</v>
      </c>
      <c r="W595" s="4">
        <f>((ABS(Games[[#This Row],[MOV]])+5)^0.6)/(12+0.01*(ABS(Games[[#This Row],[PreGmRate]]-Games[[#This Row],[OppPreGmRate]])))*IF(Games[[#This Row],[OT]]=1,0.9,1)</f>
        <v>0.21574574762524268</v>
      </c>
      <c r="X595" s="7" cm="1">
        <f t="array" ref="X5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95" s="9">
        <f>MAX(kmin, kmax - 0.15 * MIN(Games[[#This Row],[GamesPlayed]], 82))</f>
        <v>68.95</v>
      </c>
      <c r="Z595" s="4">
        <f>Games[[#This Row],[K]]*Games[[#This Row],[POMult]]</f>
        <v>75.845000000000013</v>
      </c>
      <c r="AA595" s="4">
        <f>(Games[[#This Row],[Keff]]*Games[[#This Row],[MOVMult]])*(Games[[#This Row],[Result]]-Games[[#This Row],[ExpectedWin%]])</f>
        <v>3.2526726518545566</v>
      </c>
      <c r="AB595" s="4">
        <f>Games[[#This Row],[PreGmRate]]+Games[[#This Row],[RatingChange]]</f>
        <v>1674.0417767719825</v>
      </c>
      <c r="AC595" s="2">
        <f>IF(Games[[#This Row],[Type]]="R",IF(Games[[#This Row],[Result]]&gt;0.5,1,0),0)</f>
        <v>0</v>
      </c>
      <c r="AD595" s="2">
        <f>IF(Games[[#This Row],[Type]]="R",IF(Games[[#This Row],[Result]]&lt;0.5,1,0),0)</f>
        <v>0</v>
      </c>
      <c r="AE595" s="2">
        <f>IF(AND(Games[[#This Row],[Type]]="P",Games[[#This Row],[Round]]=1),IF(Games[[#This Row],[Result]]&gt;0.5,1,0),0)</f>
        <v>1</v>
      </c>
      <c r="AF595" s="2">
        <f>IF(AND(Games[[#This Row],[Type]]="P",Games[[#This Row],[Round]]=1),IF(Games[[#This Row],[Result]]&lt;0.5,1,0),0)</f>
        <v>0</v>
      </c>
      <c r="AG595" s="2">
        <f>IF(AND(Games[[#This Row],[Type]]="P",Games[[#This Row],[Round]]=2),IF(Games[[#This Row],[Result]]&gt;0.5,1,0),0)</f>
        <v>0</v>
      </c>
      <c r="AH595" s="2">
        <f>IF(AND(Games[[#This Row],[Type]]="P",Games[[#This Row],[Round]]=2),IF(Games[[#This Row],[Result]]&lt;0.5,1,0),0)</f>
        <v>0</v>
      </c>
      <c r="AI595" s="2">
        <f>IF(AND(Games[[#This Row],[Type]]="P",Games[[#This Row],[Round]]=3),IF(Games[[#This Row],[Result]]&gt;0.5,1,0),0)</f>
        <v>0</v>
      </c>
      <c r="AJ595" s="2">
        <f>IF(AND(Games[[#This Row],[Type]]="P",Games[[#This Row],[Round]]=3),IF(Games[[#This Row],[Result]]&lt;0.5,1,0),0)</f>
        <v>0</v>
      </c>
      <c r="AK595" s="2">
        <f>IF(AND(Games[[#This Row],[Type]]="P",Games[[#This Row],[Round]]=4),IF(Games[[#This Row],[Result]]&gt;0.5,1,0),0)</f>
        <v>0</v>
      </c>
      <c r="AL595" s="2">
        <f>IF(AND(Games[[#This Row],[Type]]="P",Games[[#This Row],[Round]]=4),IF(Games[[#This Row],[Result]]&lt;0.5,1,0),0)</f>
        <v>0</v>
      </c>
    </row>
    <row r="596" spans="1:38" x14ac:dyDescent="0.35">
      <c r="A596" s="10">
        <v>45919</v>
      </c>
      <c r="B596" s="2">
        <v>2025</v>
      </c>
      <c r="C596" s="2">
        <f>COUNTIFS(Games[Team],Games[[#This Row],[Team]],Games[Season],Games[[#This Row],[Season]],Games[Date],"&lt;=" &amp; Games[[#This Row],[Date]])</f>
        <v>47</v>
      </c>
      <c r="D596" s="2" t="s">
        <v>83</v>
      </c>
      <c r="E596" s="2">
        <v>1</v>
      </c>
      <c r="F596" s="1" t="s">
        <v>60</v>
      </c>
      <c r="G596" s="1" t="s">
        <v>40</v>
      </c>
      <c r="H596" s="1" t="s">
        <v>81</v>
      </c>
      <c r="I596" s="2" cm="1">
        <f t="array" ref="I5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6" s="2" cm="1">
        <f t="array" ref="J5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6" s="2">
        <f>Games[[#This Row],[DaysOff]]-Games[[#This Row],[OppDaysOff]]</f>
        <v>0</v>
      </c>
      <c r="L596" s="2">
        <f>Games[[#This Row],[OppDaysOff]]-Games[[#This Row],[DaysOff]]</f>
        <v>0</v>
      </c>
      <c r="M596" s="1">
        <f>MAX(-16, MIN(16, Games[[#This Row],[RestDiff]]*8))</f>
        <v>0</v>
      </c>
      <c r="N596" s="1">
        <f>MAX(-16, MIN(16, Games[[#This Row],[OppRestDiff]]*8))</f>
        <v>0</v>
      </c>
      <c r="O596" s="4" cm="1">
        <f t="array" ref="O5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1562.4818855163749</v>
      </c>
      <c r="P596" s="4" cm="1">
        <f t="array" ref="P5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1570.0759785221012</v>
      </c>
      <c r="Q596" s="4">
        <f>1/(1+10^(((Games[[#This Row],[OppPreGmRate]]+IF(Games[[#This Row],[HomeAway]]="A",HCA,0)+Games[[#This Row],[OppRestAdj]])-(Games[[#This Row],[PreGmRate]]+IF(Games[[#This Row],[HomeAway]]="H",HCA,0)+Games[[#This Row],[RestAdj]]))/400))</f>
        <v>0.37115664672960341</v>
      </c>
      <c r="R596" s="1">
        <v>73</v>
      </c>
      <c r="S596" s="1">
        <v>79</v>
      </c>
      <c r="T596" s="1">
        <v>0</v>
      </c>
      <c r="U596" s="1">
        <f>Games[[#This Row],[PointsFor]]-Games[[#This Row],[PointsAgainst]]</f>
        <v>-6</v>
      </c>
      <c r="V596" s="1">
        <f>IF(Games[[#This Row],[MOV]]&gt;0,1,IF(Games[[#This Row],[MOV]]=0,0.5,0))</f>
        <v>0</v>
      </c>
      <c r="W596" s="4">
        <f>((ABS(Games[[#This Row],[MOV]])+5)^0.6)/(12+0.01*(ABS(Games[[#This Row],[PreGmRate]]-Games[[#This Row],[OppPreGmRate]])))*IF(Games[[#This Row],[OT]]=1,0.9,1)</f>
        <v>0.34907169201198723</v>
      </c>
      <c r="X596" s="7" cm="1">
        <f t="array" ref="X5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96" s="9">
        <f>MAX(kmin, kmax - 0.15 * MIN(Games[[#This Row],[GamesPlayed]], 82))</f>
        <v>68.95</v>
      </c>
      <c r="Z596" s="4">
        <f>Games[[#This Row],[K]]*Games[[#This Row],[POMult]]</f>
        <v>75.845000000000013</v>
      </c>
      <c r="AA596" s="4">
        <f>(Games[[#This Row],[Keff]]*Games[[#This Row],[MOVMult]])*(Games[[#This Row],[Result]]-Games[[#This Row],[ExpectedWin%]])</f>
        <v>-9.8264993361355675</v>
      </c>
      <c r="AB596" s="4">
        <f>Games[[#This Row],[PreGmRate]]+Games[[#This Row],[RatingChange]]</f>
        <v>1552.6553861802392</v>
      </c>
      <c r="AC596" s="2">
        <f>IF(Games[[#This Row],[Type]]="R",IF(Games[[#This Row],[Result]]&gt;0.5,1,0),0)</f>
        <v>0</v>
      </c>
      <c r="AD596" s="2">
        <f>IF(Games[[#This Row],[Type]]="R",IF(Games[[#This Row],[Result]]&lt;0.5,1,0),0)</f>
        <v>0</v>
      </c>
      <c r="AE596" s="2">
        <f>IF(AND(Games[[#This Row],[Type]]="P",Games[[#This Row],[Round]]=1),IF(Games[[#This Row],[Result]]&gt;0.5,1,0),0)</f>
        <v>0</v>
      </c>
      <c r="AF596" s="2">
        <f>IF(AND(Games[[#This Row],[Type]]="P",Games[[#This Row],[Round]]=1),IF(Games[[#This Row],[Result]]&lt;0.5,1,0),0)</f>
        <v>1</v>
      </c>
      <c r="AG596" s="2">
        <f>IF(AND(Games[[#This Row],[Type]]="P",Games[[#This Row],[Round]]=2),IF(Games[[#This Row],[Result]]&gt;0.5,1,0),0)</f>
        <v>0</v>
      </c>
      <c r="AH596" s="2">
        <f>IF(AND(Games[[#This Row],[Type]]="P",Games[[#This Row],[Round]]=2),IF(Games[[#This Row],[Result]]&lt;0.5,1,0),0)</f>
        <v>0</v>
      </c>
      <c r="AI596" s="2">
        <f>IF(AND(Games[[#This Row],[Type]]="P",Games[[#This Row],[Round]]=3),IF(Games[[#This Row],[Result]]&gt;0.5,1,0),0)</f>
        <v>0</v>
      </c>
      <c r="AJ596" s="2">
        <f>IF(AND(Games[[#This Row],[Type]]="P",Games[[#This Row],[Round]]=3),IF(Games[[#This Row],[Result]]&lt;0.5,1,0),0)</f>
        <v>0</v>
      </c>
      <c r="AK596" s="2">
        <f>IF(AND(Games[[#This Row],[Type]]="P",Games[[#This Row],[Round]]=4),IF(Games[[#This Row],[Result]]&gt;0.5,1,0),0)</f>
        <v>0</v>
      </c>
      <c r="AL596" s="2">
        <f>IF(AND(Games[[#This Row],[Type]]="P",Games[[#This Row],[Round]]=4),IF(Games[[#This Row],[Result]]&lt;0.5,1,0),0)</f>
        <v>0</v>
      </c>
    </row>
    <row r="597" spans="1:38" x14ac:dyDescent="0.35">
      <c r="A597" s="10">
        <v>45919</v>
      </c>
      <c r="B597" s="2">
        <v>2025</v>
      </c>
      <c r="C597" s="2">
        <f>COUNTIFS(Games[Team],Games[[#This Row],[Team]],Games[Season],Games[[#This Row],[Season]],Games[Date],"&lt;=" &amp; Games[[#This Row],[Date]])</f>
        <v>47</v>
      </c>
      <c r="D597" s="2" t="s">
        <v>83</v>
      </c>
      <c r="E597" s="2">
        <v>1</v>
      </c>
      <c r="F597" s="1" t="s">
        <v>40</v>
      </c>
      <c r="G597" s="1" t="s">
        <v>60</v>
      </c>
      <c r="H597" s="1" t="s">
        <v>82</v>
      </c>
      <c r="I597" s="2" cm="1">
        <f t="array" ref="I5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7" s="2" cm="1">
        <f t="array" ref="J5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7" s="2">
        <f>Games[[#This Row],[DaysOff]]-Games[[#This Row],[OppDaysOff]]</f>
        <v>0</v>
      </c>
      <c r="L597" s="2">
        <f>Games[[#This Row],[OppDaysOff]]-Games[[#This Row],[DaysOff]]</f>
        <v>0</v>
      </c>
      <c r="M597" s="1">
        <f>MAX(-16, MIN(16, Games[[#This Row],[RestDiff]]*8))</f>
        <v>0</v>
      </c>
      <c r="N597" s="1">
        <f>MAX(-16, MIN(16, Games[[#This Row],[OppRestDiff]]*8))</f>
        <v>0</v>
      </c>
      <c r="O597" s="4" cm="1">
        <f t="array" ref="O5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1570.0759785221012</v>
      </c>
      <c r="P597" s="4" cm="1">
        <f t="array" ref="P5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1562.4818855163749</v>
      </c>
      <c r="Q597" s="4">
        <f>1/(1+10^(((Games[[#This Row],[OppPreGmRate]]+IF(Games[[#This Row],[HomeAway]]="A",HCA,0)+Games[[#This Row],[OppRestAdj]])-(Games[[#This Row],[PreGmRate]]+IF(Games[[#This Row],[HomeAway]]="H",HCA,0)+Games[[#This Row],[RestAdj]]))/400))</f>
        <v>0.62884335327039653</v>
      </c>
      <c r="R597" s="1">
        <v>79</v>
      </c>
      <c r="S597" s="1">
        <v>73</v>
      </c>
      <c r="T597" s="1">
        <v>0</v>
      </c>
      <c r="U597" s="1">
        <f>Games[[#This Row],[PointsFor]]-Games[[#This Row],[PointsAgainst]]</f>
        <v>6</v>
      </c>
      <c r="V597" s="1">
        <f>IF(Games[[#This Row],[MOV]]&gt;0,1,IF(Games[[#This Row],[MOV]]=0,0.5,0))</f>
        <v>1</v>
      </c>
      <c r="W597" s="4">
        <f>((ABS(Games[[#This Row],[MOV]])+5)^0.6)/(12+0.01*(ABS(Games[[#This Row],[PreGmRate]]-Games[[#This Row],[OppPreGmRate]])))*IF(Games[[#This Row],[OT]]=1,0.9,1)</f>
        <v>0.34907169201198723</v>
      </c>
      <c r="X597" s="7" cm="1">
        <f t="array" ref="X5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597" s="9">
        <f>MAX(kmin, kmax - 0.15 * MIN(Games[[#This Row],[GamesPlayed]], 82))</f>
        <v>68.95</v>
      </c>
      <c r="Z597" s="4">
        <f>Games[[#This Row],[K]]*Games[[#This Row],[POMult]]</f>
        <v>75.845000000000013</v>
      </c>
      <c r="AA597" s="4">
        <f>(Games[[#This Row],[Keff]]*Games[[#This Row],[MOVMult]])*(Games[[#This Row],[Result]]-Games[[#This Row],[ExpectedWin%]])</f>
        <v>9.8264993361355693</v>
      </c>
      <c r="AB597" s="4">
        <f>Games[[#This Row],[PreGmRate]]+Games[[#This Row],[RatingChange]]</f>
        <v>1579.9024778582368</v>
      </c>
      <c r="AC597" s="2">
        <f>IF(Games[[#This Row],[Type]]="R",IF(Games[[#This Row],[Result]]&gt;0.5,1,0),0)</f>
        <v>0</v>
      </c>
      <c r="AD597" s="2">
        <f>IF(Games[[#This Row],[Type]]="R",IF(Games[[#This Row],[Result]]&lt;0.5,1,0),0)</f>
        <v>0</v>
      </c>
      <c r="AE597" s="2">
        <f>IF(AND(Games[[#This Row],[Type]]="P",Games[[#This Row],[Round]]=1),IF(Games[[#This Row],[Result]]&gt;0.5,1,0),0)</f>
        <v>1</v>
      </c>
      <c r="AF597" s="2">
        <f>IF(AND(Games[[#This Row],[Type]]="P",Games[[#This Row],[Round]]=1),IF(Games[[#This Row],[Result]]&lt;0.5,1,0),0)</f>
        <v>0</v>
      </c>
      <c r="AG597" s="2">
        <f>IF(AND(Games[[#This Row],[Type]]="P",Games[[#This Row],[Round]]=2),IF(Games[[#This Row],[Result]]&gt;0.5,1,0),0)</f>
        <v>0</v>
      </c>
      <c r="AH597" s="2">
        <f>IF(AND(Games[[#This Row],[Type]]="P",Games[[#This Row],[Round]]=2),IF(Games[[#This Row],[Result]]&lt;0.5,1,0),0)</f>
        <v>0</v>
      </c>
      <c r="AI597" s="2">
        <f>IF(AND(Games[[#This Row],[Type]]="P",Games[[#This Row],[Round]]=3),IF(Games[[#This Row],[Result]]&gt;0.5,1,0),0)</f>
        <v>0</v>
      </c>
      <c r="AJ597" s="2">
        <f>IF(AND(Games[[#This Row],[Type]]="P",Games[[#This Row],[Round]]=3),IF(Games[[#This Row],[Result]]&lt;0.5,1,0),0)</f>
        <v>0</v>
      </c>
      <c r="AK597" s="2">
        <f>IF(AND(Games[[#This Row],[Type]]="P",Games[[#This Row],[Round]]=4),IF(Games[[#This Row],[Result]]&gt;0.5,1,0),0)</f>
        <v>0</v>
      </c>
      <c r="AL597" s="2">
        <f>IF(AND(Games[[#This Row],[Type]]="P",Games[[#This Row],[Round]]=4),IF(Games[[#This Row],[Result]]&lt;0.5,1,0),0)</f>
        <v>0</v>
      </c>
    </row>
    <row r="598" spans="1:38" x14ac:dyDescent="0.35">
      <c r="A598" s="10">
        <v>45921</v>
      </c>
      <c r="B598" s="2">
        <v>2025</v>
      </c>
      <c r="C598" s="2">
        <f>COUNTIFS(Games[Team],Games[[#This Row],[Team]],Games[Season],Games[[#This Row],[Season]],Games[Date],"&lt;=" &amp; Games[[#This Row],[Date]])</f>
        <v>49</v>
      </c>
      <c r="D598" s="2" t="s">
        <v>83</v>
      </c>
      <c r="E598" s="2">
        <v>2</v>
      </c>
      <c r="F598" s="1" t="s">
        <v>69</v>
      </c>
      <c r="G598" s="1" t="s">
        <v>86</v>
      </c>
      <c r="H598" s="1" t="s">
        <v>81</v>
      </c>
      <c r="I598" s="2" cm="1">
        <f t="array" ref="I5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98" s="2" cm="1">
        <f t="array" ref="J5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98" s="2">
        <f>Games[[#This Row],[DaysOff]]-Games[[#This Row],[OppDaysOff]]</f>
        <v>0</v>
      </c>
      <c r="L598" s="2">
        <f>Games[[#This Row],[OppDaysOff]]-Games[[#This Row],[DaysOff]]</f>
        <v>0</v>
      </c>
      <c r="M598" s="1">
        <f>MAX(-16, MIN(16, Games[[#This Row],[RestDiff]]*8))</f>
        <v>0</v>
      </c>
      <c r="N598" s="1">
        <f>MAX(-16, MIN(16, Games[[#This Row],[OppRestDiff]]*8))</f>
        <v>0</v>
      </c>
      <c r="O598" s="4" cm="1">
        <f t="array" ref="O5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1586.4494881993726</v>
      </c>
      <c r="P598" s="4" cm="1">
        <f t="array" ref="P5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1674.0417767719825</v>
      </c>
      <c r="Q598" s="4">
        <f>1/(1+10^(((Games[[#This Row],[OppPreGmRate]]+IF(Games[[#This Row],[HomeAway]]="A",HCA,0)+Games[[#This Row],[OppRestAdj]])-(Games[[#This Row],[PreGmRate]]+IF(Games[[#This Row],[HomeAway]]="H",HCA,0)+Games[[#This Row],[RestAdj]]))/400))</f>
        <v>0.27135383421106291</v>
      </c>
      <c r="R598" s="1">
        <v>89</v>
      </c>
      <c r="S598" s="1">
        <v>73</v>
      </c>
      <c r="T598" s="1">
        <v>0</v>
      </c>
      <c r="U598" s="1">
        <f>Games[[#This Row],[PointsFor]]-Games[[#This Row],[PointsAgainst]]</f>
        <v>16</v>
      </c>
      <c r="V598" s="1">
        <f>IF(Games[[#This Row],[MOV]]&gt;0,1,IF(Games[[#This Row],[MOV]]=0,0.5,0))</f>
        <v>1</v>
      </c>
      <c r="W598" s="4">
        <f>((ABS(Games[[#This Row],[MOV]])+5)^0.6)/(12+0.01*(ABS(Games[[#This Row],[PreGmRate]]-Games[[#This Row],[OppPreGmRate]])))*IF(Games[[#This Row],[OT]]=1,0.9,1)</f>
        <v>0.48256210001449962</v>
      </c>
      <c r="X598" s="7" cm="1">
        <f t="array" ref="X5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98" s="9">
        <f>MAX(kmin, kmax - 0.15 * MIN(Games[[#This Row],[GamesPlayed]], 82))</f>
        <v>68.650000000000006</v>
      </c>
      <c r="Z598" s="4">
        <f>Games[[#This Row],[K]]*Games[[#This Row],[POMult]]</f>
        <v>82.38000000000001</v>
      </c>
      <c r="AA598" s="4">
        <f>(Games[[#This Row],[Keff]]*Games[[#This Row],[MOVMult]])*(Games[[#This Row],[Result]]-Games[[#This Row],[ExpectedWin%]])</f>
        <v>28.966210431404704</v>
      </c>
      <c r="AB598" s="4">
        <f>Games[[#This Row],[PreGmRate]]+Games[[#This Row],[RatingChange]]</f>
        <v>1615.4156986307773</v>
      </c>
      <c r="AC598" s="2">
        <f>IF(Games[[#This Row],[Type]]="R",IF(Games[[#This Row],[Result]]&gt;0.5,1,0),0)</f>
        <v>0</v>
      </c>
      <c r="AD598" s="2">
        <f>IF(Games[[#This Row],[Type]]="R",IF(Games[[#This Row],[Result]]&lt;0.5,1,0),0)</f>
        <v>0</v>
      </c>
      <c r="AE598" s="2">
        <f>IF(AND(Games[[#This Row],[Type]]="P",Games[[#This Row],[Round]]=1),IF(Games[[#This Row],[Result]]&gt;0.5,1,0),0)</f>
        <v>0</v>
      </c>
      <c r="AF598" s="2">
        <f>IF(AND(Games[[#This Row],[Type]]="P",Games[[#This Row],[Round]]=1),IF(Games[[#This Row],[Result]]&lt;0.5,1,0),0)</f>
        <v>0</v>
      </c>
      <c r="AG598" s="2">
        <f>IF(AND(Games[[#This Row],[Type]]="P",Games[[#This Row],[Round]]=2),IF(Games[[#This Row],[Result]]&gt;0.5,1,0),0)</f>
        <v>1</v>
      </c>
      <c r="AH598" s="2">
        <f>IF(AND(Games[[#This Row],[Type]]="P",Games[[#This Row],[Round]]=2),IF(Games[[#This Row],[Result]]&lt;0.5,1,0),0)</f>
        <v>0</v>
      </c>
      <c r="AI598" s="2">
        <f>IF(AND(Games[[#This Row],[Type]]="P",Games[[#This Row],[Round]]=3),IF(Games[[#This Row],[Result]]&gt;0.5,1,0),0)</f>
        <v>0</v>
      </c>
      <c r="AJ598" s="2">
        <f>IF(AND(Games[[#This Row],[Type]]="P",Games[[#This Row],[Round]]=3),IF(Games[[#This Row],[Result]]&lt;0.5,1,0),0)</f>
        <v>0</v>
      </c>
      <c r="AK598" s="2">
        <f>IF(AND(Games[[#This Row],[Type]]="P",Games[[#This Row],[Round]]=4),IF(Games[[#This Row],[Result]]&gt;0.5,1,0),0)</f>
        <v>0</v>
      </c>
      <c r="AL598" s="2">
        <f>IF(AND(Games[[#This Row],[Type]]="P",Games[[#This Row],[Round]]=4),IF(Games[[#This Row],[Result]]&lt;0.5,1,0),0)</f>
        <v>0</v>
      </c>
    </row>
    <row r="599" spans="1:38" x14ac:dyDescent="0.35">
      <c r="A599" s="10">
        <v>45921</v>
      </c>
      <c r="B599" s="2">
        <v>2025</v>
      </c>
      <c r="C599" s="2">
        <f>COUNTIFS(Games[Team],Games[[#This Row],[Team]],Games[Season],Games[[#This Row],[Season]],Games[Date],"&lt;=" &amp; Games[[#This Row],[Date]])</f>
        <v>48</v>
      </c>
      <c r="D599" s="2" t="s">
        <v>83</v>
      </c>
      <c r="E599" s="2">
        <v>2</v>
      </c>
      <c r="F599" s="1" t="s">
        <v>86</v>
      </c>
      <c r="G599" s="1" t="s">
        <v>69</v>
      </c>
      <c r="H599" s="1" t="s">
        <v>82</v>
      </c>
      <c r="I599" s="2" cm="1">
        <f t="array" ref="I5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99" s="2" cm="1">
        <f t="array" ref="J5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99" s="2">
        <f>Games[[#This Row],[DaysOff]]-Games[[#This Row],[OppDaysOff]]</f>
        <v>0</v>
      </c>
      <c r="L599" s="2">
        <f>Games[[#This Row],[OppDaysOff]]-Games[[#This Row],[DaysOff]]</f>
        <v>0</v>
      </c>
      <c r="M599" s="1">
        <f>MAX(-16, MIN(16, Games[[#This Row],[RestDiff]]*8))</f>
        <v>0</v>
      </c>
      <c r="N599" s="1">
        <f>MAX(-16, MIN(16, Games[[#This Row],[OppRestDiff]]*8))</f>
        <v>0</v>
      </c>
      <c r="O599" s="4" cm="1">
        <f t="array" ref="O5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1674.0417767719825</v>
      </c>
      <c r="P599" s="4" cm="1">
        <f t="array" ref="P5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1586.4494881993726</v>
      </c>
      <c r="Q599" s="4">
        <f>1/(1+10^(((Games[[#This Row],[OppPreGmRate]]+IF(Games[[#This Row],[HomeAway]]="A",HCA,0)+Games[[#This Row],[OppRestAdj]])-(Games[[#This Row],[PreGmRate]]+IF(Games[[#This Row],[HomeAway]]="H",HCA,0)+Games[[#This Row],[RestAdj]]))/400))</f>
        <v>0.72864616578893704</v>
      </c>
      <c r="R599" s="1">
        <v>73</v>
      </c>
      <c r="S599" s="1">
        <v>89</v>
      </c>
      <c r="T599" s="1">
        <v>0</v>
      </c>
      <c r="U599" s="1">
        <f>Games[[#This Row],[PointsFor]]-Games[[#This Row],[PointsAgainst]]</f>
        <v>-16</v>
      </c>
      <c r="V599" s="1">
        <f>IF(Games[[#This Row],[MOV]]&gt;0,1,IF(Games[[#This Row],[MOV]]=0,0.5,0))</f>
        <v>0</v>
      </c>
      <c r="W599" s="4">
        <f>((ABS(Games[[#This Row],[MOV]])+5)^0.6)/(12+0.01*(ABS(Games[[#This Row],[PreGmRate]]-Games[[#This Row],[OppPreGmRate]])))*IF(Games[[#This Row],[OT]]=1,0.9,1)</f>
        <v>0.48256210001449962</v>
      </c>
      <c r="X599" s="7" cm="1">
        <f t="array" ref="X5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599" s="9">
        <f>MAX(kmin, kmax - 0.15 * MIN(Games[[#This Row],[GamesPlayed]], 82))</f>
        <v>68.8</v>
      </c>
      <c r="Z599" s="4">
        <f>Games[[#This Row],[K]]*Games[[#This Row],[POMult]]</f>
        <v>82.559999999999988</v>
      </c>
      <c r="AA599" s="4">
        <f>(Games[[#This Row],[Keff]]*Games[[#This Row],[MOVMult]])*(Games[[#This Row],[Result]]-Games[[#This Row],[ExpectedWin%]])</f>
        <v>-29.029501495712204</v>
      </c>
      <c r="AB599" s="4">
        <f>Games[[#This Row],[PreGmRate]]+Games[[#This Row],[RatingChange]]</f>
        <v>1645.0122752762704</v>
      </c>
      <c r="AC599" s="2">
        <f>IF(Games[[#This Row],[Type]]="R",IF(Games[[#This Row],[Result]]&gt;0.5,1,0),0)</f>
        <v>0</v>
      </c>
      <c r="AD599" s="2">
        <f>IF(Games[[#This Row],[Type]]="R",IF(Games[[#This Row],[Result]]&lt;0.5,1,0),0)</f>
        <v>0</v>
      </c>
      <c r="AE599" s="2">
        <f>IF(AND(Games[[#This Row],[Type]]="P",Games[[#This Row],[Round]]=1),IF(Games[[#This Row],[Result]]&gt;0.5,1,0),0)</f>
        <v>0</v>
      </c>
      <c r="AF599" s="2">
        <f>IF(AND(Games[[#This Row],[Type]]="P",Games[[#This Row],[Round]]=1),IF(Games[[#This Row],[Result]]&lt;0.5,1,0),0)</f>
        <v>0</v>
      </c>
      <c r="AG599" s="2">
        <f>IF(AND(Games[[#This Row],[Type]]="P",Games[[#This Row],[Round]]=2),IF(Games[[#This Row],[Result]]&gt;0.5,1,0),0)</f>
        <v>0</v>
      </c>
      <c r="AH599" s="2">
        <f>IF(AND(Games[[#This Row],[Type]]="P",Games[[#This Row],[Round]]=2),IF(Games[[#This Row],[Result]]&lt;0.5,1,0),0)</f>
        <v>1</v>
      </c>
      <c r="AI599" s="2">
        <f>IF(AND(Games[[#This Row],[Type]]="P",Games[[#This Row],[Round]]=3),IF(Games[[#This Row],[Result]]&gt;0.5,1,0),0)</f>
        <v>0</v>
      </c>
      <c r="AJ599" s="2">
        <f>IF(AND(Games[[#This Row],[Type]]="P",Games[[#This Row],[Round]]=3),IF(Games[[#This Row],[Result]]&lt;0.5,1,0),0)</f>
        <v>0</v>
      </c>
      <c r="AK599" s="2">
        <f>IF(AND(Games[[#This Row],[Type]]="P",Games[[#This Row],[Round]]=4),IF(Games[[#This Row],[Result]]&gt;0.5,1,0),0)</f>
        <v>0</v>
      </c>
      <c r="AL599" s="2">
        <f>IF(AND(Games[[#This Row],[Type]]="P",Games[[#This Row],[Round]]=4),IF(Games[[#This Row],[Result]]&lt;0.5,1,0),0)</f>
        <v>0</v>
      </c>
    </row>
    <row r="600" spans="1:38" x14ac:dyDescent="0.35">
      <c r="A600" s="10">
        <v>45921</v>
      </c>
      <c r="B600" s="2">
        <v>2025</v>
      </c>
      <c r="C600" s="2">
        <f>COUNTIFS(Games[Team],Games[[#This Row],[Team]],Games[Season],Games[[#This Row],[Season]],Games[Date],"&lt;=" &amp; Games[[#This Row],[Date]])</f>
        <v>48</v>
      </c>
      <c r="D600" s="2" t="s">
        <v>83</v>
      </c>
      <c r="E600" s="2">
        <v>2</v>
      </c>
      <c r="F600" s="1" t="s">
        <v>40</v>
      </c>
      <c r="G600" s="1" t="s">
        <v>67</v>
      </c>
      <c r="H600" s="1" t="s">
        <v>81</v>
      </c>
      <c r="I600" s="2" cm="1">
        <f t="array" ref="I6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0" s="2" cm="1">
        <f t="array" ref="J6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00" s="2">
        <f>Games[[#This Row],[DaysOff]]-Games[[#This Row],[OppDaysOff]]</f>
        <v>-2</v>
      </c>
      <c r="L600" s="2">
        <f>Games[[#This Row],[OppDaysOff]]-Games[[#This Row],[DaysOff]]</f>
        <v>2</v>
      </c>
      <c r="M600" s="1">
        <f>MAX(-16, MIN(16, Games[[#This Row],[RestDiff]]*8))</f>
        <v>-16</v>
      </c>
      <c r="N600" s="1">
        <f>MAX(-16, MIN(16, Games[[#This Row],[OppRestDiff]]*8))</f>
        <v>16</v>
      </c>
      <c r="O600" s="4" cm="1">
        <f t="array" ref="O6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1579.9024778582368</v>
      </c>
      <c r="P600" s="4" cm="1">
        <f t="array" ref="P6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1696.6490320069427</v>
      </c>
      <c r="Q600" s="4">
        <f>1/(1+10^(((Games[[#This Row],[OppPreGmRate]]+IF(Games[[#This Row],[HomeAway]]="A",HCA,0)+Games[[#This Row],[OppRestAdj]])-(Games[[#This Row],[PreGmRate]]+IF(Games[[#This Row],[HomeAway]]="H",HCA,0)+Games[[#This Row],[RestAdj]]))/400))</f>
        <v>0.20754346600912202</v>
      </c>
      <c r="R600" s="1">
        <v>69</v>
      </c>
      <c r="S600" s="1">
        <v>82</v>
      </c>
      <c r="T600" s="1">
        <v>0</v>
      </c>
      <c r="U600" s="1">
        <f>Games[[#This Row],[PointsFor]]-Games[[#This Row],[PointsAgainst]]</f>
        <v>-13</v>
      </c>
      <c r="V600" s="1">
        <f>IF(Games[[#This Row],[MOV]]&gt;0,1,IF(Games[[#This Row],[MOV]]=0,0.5,0))</f>
        <v>0</v>
      </c>
      <c r="W600" s="4">
        <f>((ABS(Games[[#This Row],[MOV]])+5)^0.6)/(12+0.01*(ABS(Games[[#This Row],[PreGmRate]]-Games[[#This Row],[OppPreGmRate]])))*IF(Games[[#This Row],[OT]]=1,0.9,1)</f>
        <v>0.4301909923304566</v>
      </c>
      <c r="X600" s="7" cm="1">
        <f t="array" ref="X6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00" s="9">
        <f>MAX(kmin, kmax - 0.15 * MIN(Games[[#This Row],[GamesPlayed]], 82))</f>
        <v>68.8</v>
      </c>
      <c r="Z600" s="4">
        <f>Games[[#This Row],[K]]*Games[[#This Row],[POMult]]</f>
        <v>82.559999999999988</v>
      </c>
      <c r="AA600" s="4">
        <f>(Games[[#This Row],[Keff]]*Games[[#This Row],[MOVMult]])*(Games[[#This Row],[Result]]-Games[[#This Row],[ExpectedWin%]])</f>
        <v>-7.3712316912943923</v>
      </c>
      <c r="AB600" s="4">
        <f>Games[[#This Row],[PreGmRate]]+Games[[#This Row],[RatingChange]]</f>
        <v>1572.5312461669423</v>
      </c>
      <c r="AC600" s="2">
        <f>IF(Games[[#This Row],[Type]]="R",IF(Games[[#This Row],[Result]]&gt;0.5,1,0),0)</f>
        <v>0</v>
      </c>
      <c r="AD600" s="2">
        <f>IF(Games[[#This Row],[Type]]="R",IF(Games[[#This Row],[Result]]&lt;0.5,1,0),0)</f>
        <v>0</v>
      </c>
      <c r="AE600" s="2">
        <f>IF(AND(Games[[#This Row],[Type]]="P",Games[[#This Row],[Round]]=1),IF(Games[[#This Row],[Result]]&gt;0.5,1,0),0)</f>
        <v>0</v>
      </c>
      <c r="AF600" s="2">
        <f>IF(AND(Games[[#This Row],[Type]]="P",Games[[#This Row],[Round]]=1),IF(Games[[#This Row],[Result]]&lt;0.5,1,0),0)</f>
        <v>0</v>
      </c>
      <c r="AG600" s="2">
        <f>IF(AND(Games[[#This Row],[Type]]="P",Games[[#This Row],[Round]]=2),IF(Games[[#This Row],[Result]]&gt;0.5,1,0),0)</f>
        <v>0</v>
      </c>
      <c r="AH600" s="2">
        <f>IF(AND(Games[[#This Row],[Type]]="P",Games[[#This Row],[Round]]=2),IF(Games[[#This Row],[Result]]&lt;0.5,1,0),0)</f>
        <v>1</v>
      </c>
      <c r="AI600" s="2">
        <f>IF(AND(Games[[#This Row],[Type]]="P",Games[[#This Row],[Round]]=3),IF(Games[[#This Row],[Result]]&gt;0.5,1,0),0)</f>
        <v>0</v>
      </c>
      <c r="AJ600" s="2">
        <f>IF(AND(Games[[#This Row],[Type]]="P",Games[[#This Row],[Round]]=3),IF(Games[[#This Row],[Result]]&lt;0.5,1,0),0)</f>
        <v>0</v>
      </c>
      <c r="AK600" s="2">
        <f>IF(AND(Games[[#This Row],[Type]]="P",Games[[#This Row],[Round]]=4),IF(Games[[#This Row],[Result]]&gt;0.5,1,0),0)</f>
        <v>0</v>
      </c>
      <c r="AL600" s="2">
        <f>IF(AND(Games[[#This Row],[Type]]="P",Games[[#This Row],[Round]]=4),IF(Games[[#This Row],[Result]]&lt;0.5,1,0),0)</f>
        <v>0</v>
      </c>
    </row>
    <row r="601" spans="1:38" x14ac:dyDescent="0.35">
      <c r="A601" s="10">
        <v>45921</v>
      </c>
      <c r="B601" s="2">
        <v>2025</v>
      </c>
      <c r="C601" s="2">
        <f>COUNTIFS(Games[Team],Games[[#This Row],[Team]],Games[Season],Games[[#This Row],[Season]],Games[Date],"&lt;=" &amp; Games[[#This Row],[Date]])</f>
        <v>48</v>
      </c>
      <c r="D601" s="2" t="s">
        <v>83</v>
      </c>
      <c r="E601" s="2">
        <v>2</v>
      </c>
      <c r="F601" s="1" t="s">
        <v>67</v>
      </c>
      <c r="G601" s="1" t="s">
        <v>40</v>
      </c>
      <c r="H601" s="1" t="s">
        <v>82</v>
      </c>
      <c r="I601" s="2" cm="1">
        <f t="array" ref="I6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601" s="2" cm="1">
        <f t="array" ref="J6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1" s="2">
        <f>Games[[#This Row],[DaysOff]]-Games[[#This Row],[OppDaysOff]]</f>
        <v>2</v>
      </c>
      <c r="L601" s="2">
        <f>Games[[#This Row],[OppDaysOff]]-Games[[#This Row],[DaysOff]]</f>
        <v>-2</v>
      </c>
      <c r="M601" s="1">
        <f>MAX(-16, MIN(16, Games[[#This Row],[RestDiff]]*8))</f>
        <v>16</v>
      </c>
      <c r="N601" s="1">
        <f>MAX(-16, MIN(16, Games[[#This Row],[OppRestDiff]]*8))</f>
        <v>-16</v>
      </c>
      <c r="O601" s="4" cm="1">
        <f t="array" ref="O6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1696.6490320069427</v>
      </c>
      <c r="P601" s="4" cm="1">
        <f t="array" ref="P6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1579.9024778582368</v>
      </c>
      <c r="Q601" s="4">
        <f>1/(1+10^(((Games[[#This Row],[OppPreGmRate]]+IF(Games[[#This Row],[HomeAway]]="A",HCA,0)+Games[[#This Row],[OppRestAdj]])-(Games[[#This Row],[PreGmRate]]+IF(Games[[#This Row],[HomeAway]]="H",HCA,0)+Games[[#This Row],[RestAdj]]))/400))</f>
        <v>0.79245653399087801</v>
      </c>
      <c r="R601" s="1">
        <v>82</v>
      </c>
      <c r="S601" s="1">
        <v>69</v>
      </c>
      <c r="T601" s="1">
        <v>0</v>
      </c>
      <c r="U601" s="1">
        <f>Games[[#This Row],[PointsFor]]-Games[[#This Row],[PointsAgainst]]</f>
        <v>13</v>
      </c>
      <c r="V601" s="1">
        <f>IF(Games[[#This Row],[MOV]]&gt;0,1,IF(Games[[#This Row],[MOV]]=0,0.5,0))</f>
        <v>1</v>
      </c>
      <c r="W601" s="4">
        <f>((ABS(Games[[#This Row],[MOV]])+5)^0.6)/(12+0.01*(ABS(Games[[#This Row],[PreGmRate]]-Games[[#This Row],[OppPreGmRate]])))*IF(Games[[#This Row],[OT]]=1,0.9,1)</f>
        <v>0.4301909923304566</v>
      </c>
      <c r="X601" s="7" cm="1">
        <f t="array" ref="X6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01" s="9">
        <f>MAX(kmin, kmax - 0.15 * MIN(Games[[#This Row],[GamesPlayed]], 82))</f>
        <v>68.8</v>
      </c>
      <c r="Z601" s="4">
        <f>Games[[#This Row],[K]]*Games[[#This Row],[POMult]]</f>
        <v>82.559999999999988</v>
      </c>
      <c r="AA601" s="4">
        <f>(Games[[#This Row],[Keff]]*Games[[#This Row],[MOVMult]])*(Games[[#This Row],[Result]]-Games[[#This Row],[ExpectedWin%]])</f>
        <v>7.3712316912943914</v>
      </c>
      <c r="AB601" s="4">
        <f>Games[[#This Row],[PreGmRate]]+Games[[#This Row],[RatingChange]]</f>
        <v>1704.0202636982372</v>
      </c>
      <c r="AC601" s="2">
        <f>IF(Games[[#This Row],[Type]]="R",IF(Games[[#This Row],[Result]]&gt;0.5,1,0),0)</f>
        <v>0</v>
      </c>
      <c r="AD601" s="2">
        <f>IF(Games[[#This Row],[Type]]="R",IF(Games[[#This Row],[Result]]&lt;0.5,1,0),0)</f>
        <v>0</v>
      </c>
      <c r="AE601" s="2">
        <f>IF(AND(Games[[#This Row],[Type]]="P",Games[[#This Row],[Round]]=1),IF(Games[[#This Row],[Result]]&gt;0.5,1,0),0)</f>
        <v>0</v>
      </c>
      <c r="AF601" s="2">
        <f>IF(AND(Games[[#This Row],[Type]]="P",Games[[#This Row],[Round]]=1),IF(Games[[#This Row],[Result]]&lt;0.5,1,0),0)</f>
        <v>0</v>
      </c>
      <c r="AG601" s="2">
        <f>IF(AND(Games[[#This Row],[Type]]="P",Games[[#This Row],[Round]]=2),IF(Games[[#This Row],[Result]]&gt;0.5,1,0),0)</f>
        <v>1</v>
      </c>
      <c r="AH601" s="2">
        <f>IF(AND(Games[[#This Row],[Type]]="P",Games[[#This Row],[Round]]=2),IF(Games[[#This Row],[Result]]&lt;0.5,1,0),0)</f>
        <v>0</v>
      </c>
      <c r="AI601" s="2">
        <f>IF(AND(Games[[#This Row],[Type]]="P",Games[[#This Row],[Round]]=3),IF(Games[[#This Row],[Result]]&gt;0.5,1,0),0)</f>
        <v>0</v>
      </c>
      <c r="AJ601" s="2">
        <f>IF(AND(Games[[#This Row],[Type]]="P",Games[[#This Row],[Round]]=3),IF(Games[[#This Row],[Result]]&lt;0.5,1,0),0)</f>
        <v>0</v>
      </c>
      <c r="AK601" s="2">
        <f>IF(AND(Games[[#This Row],[Type]]="P",Games[[#This Row],[Round]]=4),IF(Games[[#This Row],[Result]]&gt;0.5,1,0),0)</f>
        <v>0</v>
      </c>
      <c r="AL601" s="2">
        <f>IF(AND(Games[[#This Row],[Type]]="P",Games[[#This Row],[Round]]=4),IF(Games[[#This Row],[Result]]&lt;0.5,1,0),0)</f>
        <v>0</v>
      </c>
    </row>
    <row r="602" spans="1:38" x14ac:dyDescent="0.35">
      <c r="A602" s="10">
        <v>45923</v>
      </c>
      <c r="B602" s="2">
        <v>2025</v>
      </c>
      <c r="C602" s="2">
        <f>COUNTIFS(Games[Team],Games[[#This Row],[Team]],Games[Season],Games[[#This Row],[Season]],Games[Date],"&lt;=" &amp; Games[[#This Row],[Date]])</f>
        <v>50</v>
      </c>
      <c r="D602" s="2" t="s">
        <v>83</v>
      </c>
      <c r="E602" s="2">
        <v>2</v>
      </c>
      <c r="F602" s="1" t="s">
        <v>69</v>
      </c>
      <c r="G602" s="1" t="s">
        <v>86</v>
      </c>
      <c r="H602" s="1" t="s">
        <v>81</v>
      </c>
      <c r="I602" s="2" cm="1">
        <f t="array" ref="I6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2" s="2" cm="1">
        <f t="array" ref="J6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2" s="2">
        <f>Games[[#This Row],[DaysOff]]-Games[[#This Row],[OppDaysOff]]</f>
        <v>0</v>
      </c>
      <c r="L602" s="2">
        <f>Games[[#This Row],[OppDaysOff]]-Games[[#This Row],[DaysOff]]</f>
        <v>0</v>
      </c>
      <c r="M602" s="1">
        <f>MAX(-16, MIN(16, Games[[#This Row],[RestDiff]]*8))</f>
        <v>0</v>
      </c>
      <c r="N602" s="1">
        <f>MAX(-16, MIN(16, Games[[#This Row],[OppRestDiff]]*8))</f>
        <v>0</v>
      </c>
      <c r="O602" s="4" cm="1">
        <f t="array" ref="O6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1615.4156986307773</v>
      </c>
      <c r="P602" s="4" cm="1">
        <f t="array" ref="P6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1645.0122752762704</v>
      </c>
      <c r="Q602" s="4">
        <f>1/(1+10^(((Games[[#This Row],[OppPreGmRate]]+IF(Games[[#This Row],[HomeAway]]="A",HCA,0)+Games[[#This Row],[OppRestAdj]])-(Games[[#This Row],[PreGmRate]]+IF(Games[[#This Row],[HomeAway]]="H",HCA,0)+Games[[#This Row],[RestAdj]]))/400))</f>
        <v>0.34210796566158014</v>
      </c>
      <c r="R602" s="1">
        <v>68</v>
      </c>
      <c r="S602" s="1">
        <v>90</v>
      </c>
      <c r="T602" s="1">
        <v>0</v>
      </c>
      <c r="U602" s="1">
        <f>Games[[#This Row],[PointsFor]]-Games[[#This Row],[PointsAgainst]]</f>
        <v>-22</v>
      </c>
      <c r="V602" s="1">
        <f>IF(Games[[#This Row],[MOV]]&gt;0,1,IF(Games[[#This Row],[MOV]]=0,0.5,0))</f>
        <v>0</v>
      </c>
      <c r="W602" s="4">
        <f>((ABS(Games[[#This Row],[MOV]])+5)^0.6)/(12+0.01*(ABS(Games[[#This Row],[PreGmRate]]-Games[[#This Row],[OppPreGmRate]])))*IF(Games[[#This Row],[OT]]=1,0.9,1)</f>
        <v>0.58756458769200315</v>
      </c>
      <c r="X602" s="7" cm="1">
        <f t="array" ref="X6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02" s="9">
        <f>MAX(kmin, kmax - 0.15 * MIN(Games[[#This Row],[GamesPlayed]], 82))</f>
        <v>68.5</v>
      </c>
      <c r="Z602" s="4">
        <f>Games[[#This Row],[K]]*Games[[#This Row],[POMult]]</f>
        <v>82.2</v>
      </c>
      <c r="AA602" s="4">
        <f>(Games[[#This Row],[Keff]]*Games[[#This Row],[MOVMult]])*(Games[[#This Row],[Result]]-Games[[#This Row],[ExpectedWin%]])</f>
        <v>-16.523065219945916</v>
      </c>
      <c r="AB602" s="4">
        <f>Games[[#This Row],[PreGmRate]]+Games[[#This Row],[RatingChange]]</f>
        <v>1598.8926334108314</v>
      </c>
      <c r="AC602" s="2">
        <f>IF(Games[[#This Row],[Type]]="R",IF(Games[[#This Row],[Result]]&gt;0.5,1,0),0)</f>
        <v>0</v>
      </c>
      <c r="AD602" s="2">
        <f>IF(Games[[#This Row],[Type]]="R",IF(Games[[#This Row],[Result]]&lt;0.5,1,0),0)</f>
        <v>0</v>
      </c>
      <c r="AE602" s="2">
        <f>IF(AND(Games[[#This Row],[Type]]="P",Games[[#This Row],[Round]]=1),IF(Games[[#This Row],[Result]]&gt;0.5,1,0),0)</f>
        <v>0</v>
      </c>
      <c r="AF602" s="2">
        <f>IF(AND(Games[[#This Row],[Type]]="P",Games[[#This Row],[Round]]=1),IF(Games[[#This Row],[Result]]&lt;0.5,1,0),0)</f>
        <v>0</v>
      </c>
      <c r="AG602" s="2">
        <f>IF(AND(Games[[#This Row],[Type]]="P",Games[[#This Row],[Round]]=2),IF(Games[[#This Row],[Result]]&gt;0.5,1,0),0)</f>
        <v>0</v>
      </c>
      <c r="AH602" s="2">
        <f>IF(AND(Games[[#This Row],[Type]]="P",Games[[#This Row],[Round]]=2),IF(Games[[#This Row],[Result]]&lt;0.5,1,0),0)</f>
        <v>1</v>
      </c>
      <c r="AI602" s="2">
        <f>IF(AND(Games[[#This Row],[Type]]="P",Games[[#This Row],[Round]]=3),IF(Games[[#This Row],[Result]]&gt;0.5,1,0),0)</f>
        <v>0</v>
      </c>
      <c r="AJ602" s="2">
        <f>IF(AND(Games[[#This Row],[Type]]="P",Games[[#This Row],[Round]]=3),IF(Games[[#This Row],[Result]]&lt;0.5,1,0),0)</f>
        <v>0</v>
      </c>
      <c r="AK602" s="2">
        <f>IF(AND(Games[[#This Row],[Type]]="P",Games[[#This Row],[Round]]=4),IF(Games[[#This Row],[Result]]&gt;0.5,1,0),0)</f>
        <v>0</v>
      </c>
      <c r="AL602" s="2">
        <f>IF(AND(Games[[#This Row],[Type]]="P",Games[[#This Row],[Round]]=4),IF(Games[[#This Row],[Result]]&lt;0.5,1,0),0)</f>
        <v>0</v>
      </c>
    </row>
    <row r="603" spans="1:38" x14ac:dyDescent="0.35">
      <c r="A603" s="10">
        <v>45923</v>
      </c>
      <c r="B603" s="2">
        <v>2025</v>
      </c>
      <c r="C603" s="2">
        <f>COUNTIFS(Games[Team],Games[[#This Row],[Team]],Games[Season],Games[[#This Row],[Season]],Games[Date],"&lt;=" &amp; Games[[#This Row],[Date]])</f>
        <v>49</v>
      </c>
      <c r="D603" s="2" t="s">
        <v>83</v>
      </c>
      <c r="E603" s="2">
        <v>2</v>
      </c>
      <c r="F603" s="1" t="s">
        <v>86</v>
      </c>
      <c r="G603" s="1" t="s">
        <v>69</v>
      </c>
      <c r="H603" s="1" t="s">
        <v>82</v>
      </c>
      <c r="I603" s="2" cm="1">
        <f t="array" ref="I6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3" s="2" cm="1">
        <f t="array" ref="J6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3" s="2">
        <f>Games[[#This Row],[DaysOff]]-Games[[#This Row],[OppDaysOff]]</f>
        <v>0</v>
      </c>
      <c r="L603" s="2">
        <f>Games[[#This Row],[OppDaysOff]]-Games[[#This Row],[DaysOff]]</f>
        <v>0</v>
      </c>
      <c r="M603" s="1">
        <f>MAX(-16, MIN(16, Games[[#This Row],[RestDiff]]*8))</f>
        <v>0</v>
      </c>
      <c r="N603" s="1">
        <f>MAX(-16, MIN(16, Games[[#This Row],[OppRestDiff]]*8))</f>
        <v>0</v>
      </c>
      <c r="O603" s="4" cm="1">
        <f t="array" ref="O6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1645.0122752762704</v>
      </c>
      <c r="P603" s="4" cm="1">
        <f t="array" ref="P6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1615.4156986307773</v>
      </c>
      <c r="Q603" s="4">
        <f>1/(1+10^(((Games[[#This Row],[OppPreGmRate]]+IF(Games[[#This Row],[HomeAway]]="A",HCA,0)+Games[[#This Row],[OppRestAdj]])-(Games[[#This Row],[PreGmRate]]+IF(Games[[#This Row],[HomeAway]]="H",HCA,0)+Games[[#This Row],[RestAdj]]))/400))</f>
        <v>0.65789203433841992</v>
      </c>
      <c r="R603" s="1">
        <v>90</v>
      </c>
      <c r="S603" s="1">
        <v>68</v>
      </c>
      <c r="T603" s="1">
        <v>0</v>
      </c>
      <c r="U603" s="1">
        <f>Games[[#This Row],[PointsFor]]-Games[[#This Row],[PointsAgainst]]</f>
        <v>22</v>
      </c>
      <c r="V603" s="1">
        <f>IF(Games[[#This Row],[MOV]]&gt;0,1,IF(Games[[#This Row],[MOV]]=0,0.5,0))</f>
        <v>1</v>
      </c>
      <c r="W603" s="4">
        <f>((ABS(Games[[#This Row],[MOV]])+5)^0.6)/(12+0.01*(ABS(Games[[#This Row],[PreGmRate]]-Games[[#This Row],[OppPreGmRate]])))*IF(Games[[#This Row],[OT]]=1,0.9,1)</f>
        <v>0.58756458769200315</v>
      </c>
      <c r="X603" s="7" cm="1">
        <f t="array" ref="X6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03" s="9">
        <f>MAX(kmin, kmax - 0.15 * MIN(Games[[#This Row],[GamesPlayed]], 82))</f>
        <v>68.650000000000006</v>
      </c>
      <c r="Z603" s="4">
        <f>Games[[#This Row],[K]]*Games[[#This Row],[POMult]]</f>
        <v>82.38000000000001</v>
      </c>
      <c r="AA603" s="4">
        <f>(Games[[#This Row],[Keff]]*Games[[#This Row],[MOVMult]])*(Games[[#This Row],[Result]]-Games[[#This Row],[ExpectedWin%]])</f>
        <v>16.559247114588132</v>
      </c>
      <c r="AB603" s="4">
        <f>Games[[#This Row],[PreGmRate]]+Games[[#This Row],[RatingChange]]</f>
        <v>1661.5715223908585</v>
      </c>
      <c r="AC603" s="2">
        <f>IF(Games[[#This Row],[Type]]="R",IF(Games[[#This Row],[Result]]&gt;0.5,1,0),0)</f>
        <v>0</v>
      </c>
      <c r="AD603" s="2">
        <f>IF(Games[[#This Row],[Type]]="R",IF(Games[[#This Row],[Result]]&lt;0.5,1,0),0)</f>
        <v>0</v>
      </c>
      <c r="AE603" s="2">
        <f>IF(AND(Games[[#This Row],[Type]]="P",Games[[#This Row],[Round]]=1),IF(Games[[#This Row],[Result]]&gt;0.5,1,0),0)</f>
        <v>0</v>
      </c>
      <c r="AF603" s="2">
        <f>IF(AND(Games[[#This Row],[Type]]="P",Games[[#This Row],[Round]]=1),IF(Games[[#This Row],[Result]]&lt;0.5,1,0),0)</f>
        <v>0</v>
      </c>
      <c r="AG603" s="2">
        <f>IF(AND(Games[[#This Row],[Type]]="P",Games[[#This Row],[Round]]=2),IF(Games[[#This Row],[Result]]&gt;0.5,1,0),0)</f>
        <v>1</v>
      </c>
      <c r="AH603" s="2">
        <f>IF(AND(Games[[#This Row],[Type]]="P",Games[[#This Row],[Round]]=2),IF(Games[[#This Row],[Result]]&lt;0.5,1,0),0)</f>
        <v>0</v>
      </c>
      <c r="AI603" s="2">
        <f>IF(AND(Games[[#This Row],[Type]]="P",Games[[#This Row],[Round]]=3),IF(Games[[#This Row],[Result]]&gt;0.5,1,0),0)</f>
        <v>0</v>
      </c>
      <c r="AJ603" s="2">
        <f>IF(AND(Games[[#This Row],[Type]]="P",Games[[#This Row],[Round]]=3),IF(Games[[#This Row],[Result]]&lt;0.5,1,0),0)</f>
        <v>0</v>
      </c>
      <c r="AK603" s="2">
        <f>IF(AND(Games[[#This Row],[Type]]="P",Games[[#This Row],[Round]]=4),IF(Games[[#This Row],[Result]]&gt;0.5,1,0),0)</f>
        <v>0</v>
      </c>
      <c r="AL603" s="2">
        <f>IF(AND(Games[[#This Row],[Type]]="P",Games[[#This Row],[Round]]=4),IF(Games[[#This Row],[Result]]&lt;0.5,1,0),0)</f>
        <v>0</v>
      </c>
    </row>
    <row r="604" spans="1:38" x14ac:dyDescent="0.35">
      <c r="A604" s="10">
        <v>45923</v>
      </c>
      <c r="B604" s="2">
        <v>2025</v>
      </c>
      <c r="C604" s="2">
        <f>COUNTIFS(Games[Team],Games[[#This Row],[Team]],Games[Season],Games[[#This Row],[Season]],Games[Date],"&lt;=" &amp; Games[[#This Row],[Date]])</f>
        <v>49</v>
      </c>
      <c r="D604" s="2" t="s">
        <v>83</v>
      </c>
      <c r="E604" s="2">
        <v>2</v>
      </c>
      <c r="F604" s="1" t="s">
        <v>40</v>
      </c>
      <c r="G604" s="1" t="s">
        <v>67</v>
      </c>
      <c r="H604" s="1" t="s">
        <v>81</v>
      </c>
      <c r="I604" s="2" cm="1">
        <f t="array" ref="I6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4" s="2" cm="1">
        <f t="array" ref="J6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4" s="2">
        <f>Games[[#This Row],[DaysOff]]-Games[[#This Row],[OppDaysOff]]</f>
        <v>0</v>
      </c>
      <c r="L604" s="2">
        <f>Games[[#This Row],[OppDaysOff]]-Games[[#This Row],[DaysOff]]</f>
        <v>0</v>
      </c>
      <c r="M604" s="1">
        <f>MAX(-16, MIN(16, Games[[#This Row],[RestDiff]]*8))</f>
        <v>0</v>
      </c>
      <c r="N604" s="1">
        <f>MAX(-16, MIN(16, Games[[#This Row],[OppRestDiff]]*8))</f>
        <v>0</v>
      </c>
      <c r="O604" s="4" cm="1">
        <f t="array" ref="O6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1572.5312461669423</v>
      </c>
      <c r="P604" s="4" cm="1">
        <f t="array" ref="P6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1704.0202636982372</v>
      </c>
      <c r="Q604" s="4">
        <f>1/(1+10^(((Games[[#This Row],[OppPreGmRate]]+IF(Games[[#This Row],[HomeAway]]="A",HCA,0)+Games[[#This Row],[OppRestAdj]])-(Games[[#This Row],[PreGmRate]]+IF(Games[[#This Row],[HomeAway]]="H",HCA,0)+Games[[#This Row],[RestAdj]]))/400))</f>
        <v>0.22435688356585362</v>
      </c>
      <c r="R604" s="1">
        <v>89</v>
      </c>
      <c r="S604" s="1">
        <v>83</v>
      </c>
      <c r="T604" s="1">
        <v>1</v>
      </c>
      <c r="U604" s="1">
        <f>Games[[#This Row],[PointsFor]]-Games[[#This Row],[PointsAgainst]]</f>
        <v>6</v>
      </c>
      <c r="V604" s="1">
        <f>IF(Games[[#This Row],[MOV]]&gt;0,1,IF(Games[[#This Row],[MOV]]=0,0.5,0))</f>
        <v>1</v>
      </c>
      <c r="W604" s="4">
        <f>((ABS(Games[[#This Row],[MOV]])+5)^0.6)/(12+0.01*(ABS(Games[[#This Row],[PreGmRate]]-Games[[#This Row],[OppPreGmRate]])))*IF(Games[[#This Row],[OT]]=1,0.9,1)</f>
        <v>0.28493154429593642</v>
      </c>
      <c r="X604" s="7" cm="1">
        <f t="array" ref="X6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04" s="9">
        <f>MAX(kmin, kmax - 0.15 * MIN(Games[[#This Row],[GamesPlayed]], 82))</f>
        <v>68.650000000000006</v>
      </c>
      <c r="Z604" s="4">
        <f>Games[[#This Row],[K]]*Games[[#This Row],[POMult]]</f>
        <v>82.38000000000001</v>
      </c>
      <c r="AA604" s="4">
        <f>(Games[[#This Row],[Keff]]*Games[[#This Row],[MOVMult]])*(Games[[#This Row],[Result]]-Games[[#This Row],[ExpectedWin%]])</f>
        <v>18.206407633599198</v>
      </c>
      <c r="AB604" s="4">
        <f>Games[[#This Row],[PreGmRate]]+Games[[#This Row],[RatingChange]]</f>
        <v>1590.7376538005415</v>
      </c>
      <c r="AC604" s="2">
        <f>IF(Games[[#This Row],[Type]]="R",IF(Games[[#This Row],[Result]]&gt;0.5,1,0),0)</f>
        <v>0</v>
      </c>
      <c r="AD604" s="2">
        <f>IF(Games[[#This Row],[Type]]="R",IF(Games[[#This Row],[Result]]&lt;0.5,1,0),0)</f>
        <v>0</v>
      </c>
      <c r="AE604" s="2">
        <f>IF(AND(Games[[#This Row],[Type]]="P",Games[[#This Row],[Round]]=1),IF(Games[[#This Row],[Result]]&gt;0.5,1,0),0)</f>
        <v>0</v>
      </c>
      <c r="AF604" s="2">
        <f>IF(AND(Games[[#This Row],[Type]]="P",Games[[#This Row],[Round]]=1),IF(Games[[#This Row],[Result]]&lt;0.5,1,0),0)</f>
        <v>0</v>
      </c>
      <c r="AG604" s="2">
        <f>IF(AND(Games[[#This Row],[Type]]="P",Games[[#This Row],[Round]]=2),IF(Games[[#This Row],[Result]]&gt;0.5,1,0),0)</f>
        <v>1</v>
      </c>
      <c r="AH604" s="2">
        <f>IF(AND(Games[[#This Row],[Type]]="P",Games[[#This Row],[Round]]=2),IF(Games[[#This Row],[Result]]&lt;0.5,1,0),0)</f>
        <v>0</v>
      </c>
      <c r="AI604" s="2">
        <f>IF(AND(Games[[#This Row],[Type]]="P",Games[[#This Row],[Round]]=3),IF(Games[[#This Row],[Result]]&gt;0.5,1,0),0)</f>
        <v>0</v>
      </c>
      <c r="AJ604" s="2">
        <f>IF(AND(Games[[#This Row],[Type]]="P",Games[[#This Row],[Round]]=3),IF(Games[[#This Row],[Result]]&lt;0.5,1,0),0)</f>
        <v>0</v>
      </c>
      <c r="AK604" s="2">
        <f>IF(AND(Games[[#This Row],[Type]]="P",Games[[#This Row],[Round]]=4),IF(Games[[#This Row],[Result]]&gt;0.5,1,0),0)</f>
        <v>0</v>
      </c>
      <c r="AL604" s="2">
        <f>IF(AND(Games[[#This Row],[Type]]="P",Games[[#This Row],[Round]]=4),IF(Games[[#This Row],[Result]]&lt;0.5,1,0),0)</f>
        <v>0</v>
      </c>
    </row>
    <row r="605" spans="1:38" x14ac:dyDescent="0.35">
      <c r="A605" s="10">
        <v>45923</v>
      </c>
      <c r="B605" s="2">
        <v>2025</v>
      </c>
      <c r="C605" s="2">
        <f>COUNTIFS(Games[Team],Games[[#This Row],[Team]],Games[Season],Games[[#This Row],[Season]],Games[Date],"&lt;=" &amp; Games[[#This Row],[Date]])</f>
        <v>49</v>
      </c>
      <c r="D605" s="2" t="s">
        <v>83</v>
      </c>
      <c r="E605" s="2">
        <v>2</v>
      </c>
      <c r="F605" s="1" t="s">
        <v>67</v>
      </c>
      <c r="G605" s="1" t="s">
        <v>40</v>
      </c>
      <c r="H605" s="1" t="s">
        <v>82</v>
      </c>
      <c r="I605" s="2" cm="1">
        <f t="array" ref="I6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5" s="2" cm="1">
        <f t="array" ref="J6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5" s="2">
        <f>Games[[#This Row],[DaysOff]]-Games[[#This Row],[OppDaysOff]]</f>
        <v>0</v>
      </c>
      <c r="L605" s="2">
        <f>Games[[#This Row],[OppDaysOff]]-Games[[#This Row],[DaysOff]]</f>
        <v>0</v>
      </c>
      <c r="M605" s="1">
        <f>MAX(-16, MIN(16, Games[[#This Row],[RestDiff]]*8))</f>
        <v>0</v>
      </c>
      <c r="N605" s="1">
        <f>MAX(-16, MIN(16, Games[[#This Row],[OppRestDiff]]*8))</f>
        <v>0</v>
      </c>
      <c r="O605" s="4" cm="1">
        <f t="array" ref="O6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1704.0202636982372</v>
      </c>
      <c r="P605" s="4" cm="1">
        <f t="array" ref="P6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1572.5312461669423</v>
      </c>
      <c r="Q605" s="4">
        <f>1/(1+10^(((Games[[#This Row],[OppPreGmRate]]+IF(Games[[#This Row],[HomeAway]]="A",HCA,0)+Games[[#This Row],[OppRestAdj]])-(Games[[#This Row],[PreGmRate]]+IF(Games[[#This Row],[HomeAway]]="H",HCA,0)+Games[[#This Row],[RestAdj]]))/400))</f>
        <v>0.77564311643414641</v>
      </c>
      <c r="R605" s="1">
        <v>83</v>
      </c>
      <c r="S605" s="1">
        <v>89</v>
      </c>
      <c r="T605" s="1">
        <v>1</v>
      </c>
      <c r="U605" s="1">
        <f>Games[[#This Row],[PointsFor]]-Games[[#This Row],[PointsAgainst]]</f>
        <v>-6</v>
      </c>
      <c r="V605" s="1">
        <f>IF(Games[[#This Row],[MOV]]&gt;0,1,IF(Games[[#This Row],[MOV]]=0,0.5,0))</f>
        <v>0</v>
      </c>
      <c r="W605" s="4">
        <f>((ABS(Games[[#This Row],[MOV]])+5)^0.6)/(12+0.01*(ABS(Games[[#This Row],[PreGmRate]]-Games[[#This Row],[OppPreGmRate]])))*IF(Games[[#This Row],[OT]]=1,0.9,1)</f>
        <v>0.28493154429593642</v>
      </c>
      <c r="X605" s="7" cm="1">
        <f t="array" ref="X6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05" s="9">
        <f>MAX(kmin, kmax - 0.15 * MIN(Games[[#This Row],[GamesPlayed]], 82))</f>
        <v>68.650000000000006</v>
      </c>
      <c r="Z605" s="4">
        <f>Games[[#This Row],[K]]*Games[[#This Row],[POMult]]</f>
        <v>82.38000000000001</v>
      </c>
      <c r="AA605" s="4">
        <f>(Games[[#This Row],[Keff]]*Games[[#This Row],[MOVMult]])*(Games[[#This Row],[Result]]-Games[[#This Row],[ExpectedWin%]])</f>
        <v>-18.206407633599198</v>
      </c>
      <c r="AB605" s="4">
        <f>Games[[#This Row],[PreGmRate]]+Games[[#This Row],[RatingChange]]</f>
        <v>1685.813856064638</v>
      </c>
      <c r="AC605" s="2">
        <f>IF(Games[[#This Row],[Type]]="R",IF(Games[[#This Row],[Result]]&gt;0.5,1,0),0)</f>
        <v>0</v>
      </c>
      <c r="AD605" s="2">
        <f>IF(Games[[#This Row],[Type]]="R",IF(Games[[#This Row],[Result]]&lt;0.5,1,0),0)</f>
        <v>0</v>
      </c>
      <c r="AE605" s="2">
        <f>IF(AND(Games[[#This Row],[Type]]="P",Games[[#This Row],[Round]]=1),IF(Games[[#This Row],[Result]]&gt;0.5,1,0),0)</f>
        <v>0</v>
      </c>
      <c r="AF605" s="2">
        <f>IF(AND(Games[[#This Row],[Type]]="P",Games[[#This Row],[Round]]=1),IF(Games[[#This Row],[Result]]&lt;0.5,1,0),0)</f>
        <v>0</v>
      </c>
      <c r="AG605" s="2">
        <f>IF(AND(Games[[#This Row],[Type]]="P",Games[[#This Row],[Round]]=2),IF(Games[[#This Row],[Result]]&gt;0.5,1,0),0)</f>
        <v>0</v>
      </c>
      <c r="AH605" s="2">
        <f>IF(AND(Games[[#This Row],[Type]]="P",Games[[#This Row],[Round]]=2),IF(Games[[#This Row],[Result]]&lt;0.5,1,0),0)</f>
        <v>1</v>
      </c>
      <c r="AI605" s="2">
        <f>IF(AND(Games[[#This Row],[Type]]="P",Games[[#This Row],[Round]]=3),IF(Games[[#This Row],[Result]]&gt;0.5,1,0),0)</f>
        <v>0</v>
      </c>
      <c r="AJ605" s="2">
        <f>IF(AND(Games[[#This Row],[Type]]="P",Games[[#This Row],[Round]]=3),IF(Games[[#This Row],[Result]]&lt;0.5,1,0),0)</f>
        <v>0</v>
      </c>
      <c r="AK605" s="2">
        <f>IF(AND(Games[[#This Row],[Type]]="P",Games[[#This Row],[Round]]=4),IF(Games[[#This Row],[Result]]&gt;0.5,1,0),0)</f>
        <v>0</v>
      </c>
      <c r="AL605" s="2">
        <f>IF(AND(Games[[#This Row],[Type]]="P",Games[[#This Row],[Round]]=4),IF(Games[[#This Row],[Result]]&lt;0.5,1,0),0)</f>
        <v>0</v>
      </c>
    </row>
    <row r="606" spans="1:38" x14ac:dyDescent="0.35">
      <c r="A606" s="10">
        <v>45926</v>
      </c>
      <c r="B606" s="2">
        <v>2025</v>
      </c>
      <c r="C606" s="2">
        <f>COUNTIFS(Games[Team],Games[[#This Row],[Team]],Games[Season],Games[[#This Row],[Season]],Games[Date],"&lt;=" &amp; Games[[#This Row],[Date]])</f>
        <v>50</v>
      </c>
      <c r="D606" s="2" t="s">
        <v>83</v>
      </c>
      <c r="E606" s="2">
        <v>2</v>
      </c>
      <c r="F606" s="1" t="s">
        <v>86</v>
      </c>
      <c r="G606" s="1" t="s">
        <v>69</v>
      </c>
      <c r="H606" s="1" t="s">
        <v>81</v>
      </c>
      <c r="I606" s="2" cm="1">
        <f t="array" ref="I6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606" s="2" cm="1">
        <f t="array" ref="J6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06" s="2">
        <f>Games[[#This Row],[DaysOff]]-Games[[#This Row],[OppDaysOff]]</f>
        <v>0</v>
      </c>
      <c r="L606" s="2">
        <f>Games[[#This Row],[OppDaysOff]]-Games[[#This Row],[DaysOff]]</f>
        <v>0</v>
      </c>
      <c r="M606" s="1">
        <f>MAX(-16, MIN(16, Games[[#This Row],[RestDiff]]*8))</f>
        <v>0</v>
      </c>
      <c r="N606" s="1">
        <f>MAX(-16, MIN(16, Games[[#This Row],[OppRestDiff]]*8))</f>
        <v>0</v>
      </c>
      <c r="O606" s="4" cm="1">
        <f t="array" ref="O6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1661.5715223908585</v>
      </c>
      <c r="P606" s="4" cm="1">
        <f t="array" ref="P6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1598.8926334108314</v>
      </c>
      <c r="Q606" s="4">
        <f>1/(1+10^(((Games[[#This Row],[OppPreGmRate]]+IF(Games[[#This Row],[HomeAway]]="A",HCA,0)+Games[[#This Row],[OppRestAdj]])-(Games[[#This Row],[PreGmRate]]+IF(Games[[#This Row],[HomeAway]]="H",HCA,0)+Games[[#This Row],[RestAdj]]))/400))</f>
        <v>0.46935491407356278</v>
      </c>
      <c r="R606" s="1">
        <v>84</v>
      </c>
      <c r="S606" s="1">
        <v>72</v>
      </c>
      <c r="T606" s="1">
        <v>0</v>
      </c>
      <c r="U606" s="1">
        <f>Games[[#This Row],[PointsFor]]-Games[[#This Row],[PointsAgainst]]</f>
        <v>12</v>
      </c>
      <c r="V606" s="1">
        <f>IF(Games[[#This Row],[MOV]]&gt;0,1,IF(Games[[#This Row],[MOV]]=0,0.5,0))</f>
        <v>1</v>
      </c>
      <c r="W606" s="4">
        <f>((ABS(Games[[#This Row],[MOV]])+5)^0.6)/(12+0.01*(ABS(Games[[#This Row],[PreGmRate]]-Games[[#This Row],[OppPreGmRate]])))*IF(Games[[#This Row],[OT]]=1,0.9,1)</f>
        <v>0.43348735491570167</v>
      </c>
      <c r="X606" s="7" cm="1">
        <f t="array" ref="X6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06" s="9">
        <f>MAX(kmin, kmax - 0.15 * MIN(Games[[#This Row],[GamesPlayed]], 82))</f>
        <v>68.5</v>
      </c>
      <c r="Z606" s="4">
        <f>Games[[#This Row],[K]]*Games[[#This Row],[POMult]]</f>
        <v>82.2</v>
      </c>
      <c r="AA606" s="4">
        <f>(Games[[#This Row],[Keff]]*Games[[#This Row],[MOVMult]])*(Games[[#This Row],[Result]]-Games[[#This Row],[ExpectedWin%]])</f>
        <v>18.908296232115305</v>
      </c>
      <c r="AB606" s="4">
        <f>Games[[#This Row],[PreGmRate]]+Games[[#This Row],[RatingChange]]</f>
        <v>1680.4798186229739</v>
      </c>
      <c r="AC606" s="2">
        <f>IF(Games[[#This Row],[Type]]="R",IF(Games[[#This Row],[Result]]&gt;0.5,1,0),0)</f>
        <v>0</v>
      </c>
      <c r="AD606" s="2">
        <f>IF(Games[[#This Row],[Type]]="R",IF(Games[[#This Row],[Result]]&lt;0.5,1,0),0)</f>
        <v>0</v>
      </c>
      <c r="AE606" s="2">
        <f>IF(AND(Games[[#This Row],[Type]]="P",Games[[#This Row],[Round]]=1),IF(Games[[#This Row],[Result]]&gt;0.5,1,0),0)</f>
        <v>0</v>
      </c>
      <c r="AF606" s="2">
        <f>IF(AND(Games[[#This Row],[Type]]="P",Games[[#This Row],[Round]]=1),IF(Games[[#This Row],[Result]]&lt;0.5,1,0),0)</f>
        <v>0</v>
      </c>
      <c r="AG606" s="2">
        <f>IF(AND(Games[[#This Row],[Type]]="P",Games[[#This Row],[Round]]=2),IF(Games[[#This Row],[Result]]&gt;0.5,1,0),0)</f>
        <v>1</v>
      </c>
      <c r="AH606" s="2">
        <f>IF(AND(Games[[#This Row],[Type]]="P",Games[[#This Row],[Round]]=2),IF(Games[[#This Row],[Result]]&lt;0.5,1,0),0)</f>
        <v>0</v>
      </c>
      <c r="AI606" s="2">
        <f>IF(AND(Games[[#This Row],[Type]]="P",Games[[#This Row],[Round]]=3),IF(Games[[#This Row],[Result]]&gt;0.5,1,0),0)</f>
        <v>0</v>
      </c>
      <c r="AJ606" s="2">
        <f>IF(AND(Games[[#This Row],[Type]]="P",Games[[#This Row],[Round]]=3),IF(Games[[#This Row],[Result]]&lt;0.5,1,0),0)</f>
        <v>0</v>
      </c>
      <c r="AK606" s="2">
        <f>IF(AND(Games[[#This Row],[Type]]="P",Games[[#This Row],[Round]]=4),IF(Games[[#This Row],[Result]]&gt;0.5,1,0),0)</f>
        <v>0</v>
      </c>
      <c r="AL606" s="2">
        <f>IF(AND(Games[[#This Row],[Type]]="P",Games[[#This Row],[Round]]=4),IF(Games[[#This Row],[Result]]&lt;0.5,1,0),0)</f>
        <v>0</v>
      </c>
    </row>
    <row r="607" spans="1:38" x14ac:dyDescent="0.35">
      <c r="A607" s="10">
        <v>45926</v>
      </c>
      <c r="B607" s="2">
        <v>2025</v>
      </c>
      <c r="C607" s="2">
        <f>COUNTIFS(Games[Team],Games[[#This Row],[Team]],Games[Season],Games[[#This Row],[Season]],Games[Date],"&lt;=" &amp; Games[[#This Row],[Date]])</f>
        <v>51</v>
      </c>
      <c r="D607" s="2" t="s">
        <v>83</v>
      </c>
      <c r="E607" s="2">
        <v>2</v>
      </c>
      <c r="F607" s="1" t="s">
        <v>69</v>
      </c>
      <c r="G607" s="1" t="s">
        <v>86</v>
      </c>
      <c r="H607" s="1" t="s">
        <v>82</v>
      </c>
      <c r="I607" s="2" cm="1">
        <f t="array" ref="I6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607" s="2" cm="1">
        <f t="array" ref="J6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07" s="2">
        <f>Games[[#This Row],[DaysOff]]-Games[[#This Row],[OppDaysOff]]</f>
        <v>0</v>
      </c>
      <c r="L607" s="2">
        <f>Games[[#This Row],[OppDaysOff]]-Games[[#This Row],[DaysOff]]</f>
        <v>0</v>
      </c>
      <c r="M607" s="1">
        <f>MAX(-16, MIN(16, Games[[#This Row],[RestDiff]]*8))</f>
        <v>0</v>
      </c>
      <c r="N607" s="1">
        <f>MAX(-16, MIN(16, Games[[#This Row],[OppRestDiff]]*8))</f>
        <v>0</v>
      </c>
      <c r="O607" s="4" cm="1">
        <f t="array" ref="O6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1598.8926334108314</v>
      </c>
      <c r="P607" s="4" cm="1">
        <f t="array" ref="P6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1661.5715223908585</v>
      </c>
      <c r="Q607" s="4">
        <f>1/(1+10^(((Games[[#This Row],[OppPreGmRate]]+IF(Games[[#This Row],[HomeAway]]="A",HCA,0)+Games[[#This Row],[OppRestAdj]])-(Games[[#This Row],[PreGmRate]]+IF(Games[[#This Row],[HomeAway]]="H",HCA,0)+Games[[#This Row],[RestAdj]]))/400))</f>
        <v>0.53064508592643722</v>
      </c>
      <c r="R607" s="1">
        <v>72</v>
      </c>
      <c r="S607" s="1">
        <v>84</v>
      </c>
      <c r="T607" s="1">
        <v>0</v>
      </c>
      <c r="U607" s="1">
        <f>Games[[#This Row],[PointsFor]]-Games[[#This Row],[PointsAgainst]]</f>
        <v>-12</v>
      </c>
      <c r="V607" s="1">
        <f>IF(Games[[#This Row],[MOV]]&gt;0,1,IF(Games[[#This Row],[MOV]]=0,0.5,0))</f>
        <v>0</v>
      </c>
      <c r="W607" s="4">
        <f>((ABS(Games[[#This Row],[MOV]])+5)^0.6)/(12+0.01*(ABS(Games[[#This Row],[PreGmRate]]-Games[[#This Row],[OppPreGmRate]])))*IF(Games[[#This Row],[OT]]=1,0.9,1)</f>
        <v>0.43348735491570167</v>
      </c>
      <c r="X607" s="7" cm="1">
        <f t="array" ref="X6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07" s="9">
        <f>MAX(kmin, kmax - 0.15 * MIN(Games[[#This Row],[GamesPlayed]], 82))</f>
        <v>68.349999999999994</v>
      </c>
      <c r="Z607" s="4">
        <f>Games[[#This Row],[K]]*Games[[#This Row],[POMult]]</f>
        <v>82.02</v>
      </c>
      <c r="AA607" s="4">
        <f>(Games[[#This Row],[Keff]]*Games[[#This Row],[MOVMult]])*(Games[[#This Row],[Result]]-Games[[#This Row],[ExpectedWin%]])</f>
        <v>-18.866891203869795</v>
      </c>
      <c r="AB607" s="4">
        <f>Games[[#This Row],[PreGmRate]]+Games[[#This Row],[RatingChange]]</f>
        <v>1580.0257422069617</v>
      </c>
      <c r="AC607" s="2">
        <f>IF(Games[[#This Row],[Type]]="R",IF(Games[[#This Row],[Result]]&gt;0.5,1,0),0)</f>
        <v>0</v>
      </c>
      <c r="AD607" s="2">
        <f>IF(Games[[#This Row],[Type]]="R",IF(Games[[#This Row],[Result]]&lt;0.5,1,0),0)</f>
        <v>0</v>
      </c>
      <c r="AE607" s="2">
        <f>IF(AND(Games[[#This Row],[Type]]="P",Games[[#This Row],[Round]]=1),IF(Games[[#This Row],[Result]]&gt;0.5,1,0),0)</f>
        <v>0</v>
      </c>
      <c r="AF607" s="2">
        <f>IF(AND(Games[[#This Row],[Type]]="P",Games[[#This Row],[Round]]=1),IF(Games[[#This Row],[Result]]&lt;0.5,1,0),0)</f>
        <v>0</v>
      </c>
      <c r="AG607" s="2">
        <f>IF(AND(Games[[#This Row],[Type]]="P",Games[[#This Row],[Round]]=2),IF(Games[[#This Row],[Result]]&gt;0.5,1,0),0)</f>
        <v>0</v>
      </c>
      <c r="AH607" s="2">
        <f>IF(AND(Games[[#This Row],[Type]]="P",Games[[#This Row],[Round]]=2),IF(Games[[#This Row],[Result]]&lt;0.5,1,0),0)</f>
        <v>1</v>
      </c>
      <c r="AI607" s="2">
        <f>IF(AND(Games[[#This Row],[Type]]="P",Games[[#This Row],[Round]]=3),IF(Games[[#This Row],[Result]]&gt;0.5,1,0),0)</f>
        <v>0</v>
      </c>
      <c r="AJ607" s="2">
        <f>IF(AND(Games[[#This Row],[Type]]="P",Games[[#This Row],[Round]]=3),IF(Games[[#This Row],[Result]]&lt;0.5,1,0),0)</f>
        <v>0</v>
      </c>
      <c r="AK607" s="2">
        <f>IF(AND(Games[[#This Row],[Type]]="P",Games[[#This Row],[Round]]=4),IF(Games[[#This Row],[Result]]&gt;0.5,1,0),0)</f>
        <v>0</v>
      </c>
      <c r="AL607" s="2">
        <f>IF(AND(Games[[#This Row],[Type]]="P",Games[[#This Row],[Round]]=4),IF(Games[[#This Row],[Result]]&lt;0.5,1,0),0)</f>
        <v>0</v>
      </c>
    </row>
    <row r="608" spans="1:38" x14ac:dyDescent="0.35">
      <c r="A608" s="10">
        <v>45926</v>
      </c>
      <c r="B608" s="2">
        <v>2025</v>
      </c>
      <c r="C608" s="2">
        <f>COUNTIFS(Games[Team],Games[[#This Row],[Team]],Games[Season],Games[[#This Row],[Season]],Games[Date],"&lt;=" &amp; Games[[#This Row],[Date]])</f>
        <v>50</v>
      </c>
      <c r="D608" s="2" t="s">
        <v>83</v>
      </c>
      <c r="E608" s="2">
        <v>2</v>
      </c>
      <c r="F608" s="1" t="s">
        <v>67</v>
      </c>
      <c r="G608" s="1" t="s">
        <v>40</v>
      </c>
      <c r="H608" s="1" t="s">
        <v>81</v>
      </c>
      <c r="I608" s="2" cm="1">
        <f t="array" ref="I6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608" s="2" cm="1">
        <f t="array" ref="J6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08" s="2">
        <f>Games[[#This Row],[DaysOff]]-Games[[#This Row],[OppDaysOff]]</f>
        <v>0</v>
      </c>
      <c r="L608" s="2">
        <f>Games[[#This Row],[OppDaysOff]]-Games[[#This Row],[DaysOff]]</f>
        <v>0</v>
      </c>
      <c r="M608" s="1">
        <f>MAX(-16, MIN(16, Games[[#This Row],[RestDiff]]*8))</f>
        <v>0</v>
      </c>
      <c r="N608" s="1">
        <f>MAX(-16, MIN(16, Games[[#This Row],[OppRestDiff]]*8))</f>
        <v>0</v>
      </c>
      <c r="O608" s="4" cm="1">
        <f t="array" ref="O6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1685.813856064638</v>
      </c>
      <c r="P608" s="4" cm="1">
        <f t="array" ref="P6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1590.7376538005415</v>
      </c>
      <c r="Q608" s="4">
        <f>1/(1+10^(((Games[[#This Row],[OppPreGmRate]]+IF(Games[[#This Row],[HomeAway]]="A",HCA,0)+Games[[#This Row],[OppRestAdj]])-(Games[[#This Row],[PreGmRate]]+IF(Games[[#This Row],[HomeAway]]="H",HCA,0)+Games[[#This Row],[RestAdj]]))/400))</f>
        <v>0.51593453852327642</v>
      </c>
      <c r="R608" s="1">
        <v>76</v>
      </c>
      <c r="S608" s="1">
        <v>84</v>
      </c>
      <c r="T608" s="1">
        <v>0</v>
      </c>
      <c r="U608" s="1">
        <f>Games[[#This Row],[PointsFor]]-Games[[#This Row],[PointsAgainst]]</f>
        <v>-8</v>
      </c>
      <c r="V608" s="1">
        <f>IF(Games[[#This Row],[MOV]]&gt;0,1,IF(Games[[#This Row],[MOV]]=0,0.5,0))</f>
        <v>0</v>
      </c>
      <c r="W608" s="4">
        <f>((ABS(Games[[#This Row],[MOV]])+5)^0.6)/(12+0.01*(ABS(Games[[#This Row],[PreGmRate]]-Games[[#This Row],[OppPreGmRate]])))*IF(Games[[#This Row],[OT]]=1,0.9,1)</f>
        <v>0.35980789484739722</v>
      </c>
      <c r="X608" s="7" cm="1">
        <f t="array" ref="X6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08" s="9">
        <f>MAX(kmin, kmax - 0.15 * MIN(Games[[#This Row],[GamesPlayed]], 82))</f>
        <v>68.5</v>
      </c>
      <c r="Z608" s="4">
        <f>Games[[#This Row],[K]]*Games[[#This Row],[POMult]]</f>
        <v>82.2</v>
      </c>
      <c r="AA608" s="4">
        <f>(Games[[#This Row],[Keff]]*Games[[#This Row],[MOVMult]])*(Games[[#This Row],[Result]]-Games[[#This Row],[ExpectedWin%]])</f>
        <v>-15.259387719217148</v>
      </c>
      <c r="AB608" s="4">
        <f>Games[[#This Row],[PreGmRate]]+Games[[#This Row],[RatingChange]]</f>
        <v>1670.5544683454209</v>
      </c>
      <c r="AC608" s="2">
        <f>IF(Games[[#This Row],[Type]]="R",IF(Games[[#This Row],[Result]]&gt;0.5,1,0),0)</f>
        <v>0</v>
      </c>
      <c r="AD608" s="2">
        <f>IF(Games[[#This Row],[Type]]="R",IF(Games[[#This Row],[Result]]&lt;0.5,1,0),0)</f>
        <v>0</v>
      </c>
      <c r="AE608" s="2">
        <f>IF(AND(Games[[#This Row],[Type]]="P",Games[[#This Row],[Round]]=1),IF(Games[[#This Row],[Result]]&gt;0.5,1,0),0)</f>
        <v>0</v>
      </c>
      <c r="AF608" s="2">
        <f>IF(AND(Games[[#This Row],[Type]]="P",Games[[#This Row],[Round]]=1),IF(Games[[#This Row],[Result]]&lt;0.5,1,0),0)</f>
        <v>0</v>
      </c>
      <c r="AG608" s="2">
        <f>IF(AND(Games[[#This Row],[Type]]="P",Games[[#This Row],[Round]]=2),IF(Games[[#This Row],[Result]]&gt;0.5,1,0),0)</f>
        <v>0</v>
      </c>
      <c r="AH608" s="2">
        <f>IF(AND(Games[[#This Row],[Type]]="P",Games[[#This Row],[Round]]=2),IF(Games[[#This Row],[Result]]&lt;0.5,1,0),0)</f>
        <v>1</v>
      </c>
      <c r="AI608" s="2">
        <f>IF(AND(Games[[#This Row],[Type]]="P",Games[[#This Row],[Round]]=3),IF(Games[[#This Row],[Result]]&gt;0.5,1,0),0)</f>
        <v>0</v>
      </c>
      <c r="AJ608" s="2">
        <f>IF(AND(Games[[#This Row],[Type]]="P",Games[[#This Row],[Round]]=3),IF(Games[[#This Row],[Result]]&lt;0.5,1,0),0)</f>
        <v>0</v>
      </c>
      <c r="AK608" s="2">
        <f>IF(AND(Games[[#This Row],[Type]]="P",Games[[#This Row],[Round]]=4),IF(Games[[#This Row],[Result]]&gt;0.5,1,0),0)</f>
        <v>0</v>
      </c>
      <c r="AL608" s="2">
        <f>IF(AND(Games[[#This Row],[Type]]="P",Games[[#This Row],[Round]]=4),IF(Games[[#This Row],[Result]]&lt;0.5,1,0),0)</f>
        <v>0</v>
      </c>
    </row>
    <row r="609" spans="1:38" x14ac:dyDescent="0.35">
      <c r="A609" s="10">
        <v>45926</v>
      </c>
      <c r="B609" s="2">
        <v>2025</v>
      </c>
      <c r="C609" s="2">
        <f>COUNTIFS(Games[Team],Games[[#This Row],[Team]],Games[Season],Games[[#This Row],[Season]],Games[Date],"&lt;=" &amp; Games[[#This Row],[Date]])</f>
        <v>50</v>
      </c>
      <c r="D609" s="2" t="s">
        <v>83</v>
      </c>
      <c r="E609" s="2">
        <v>2</v>
      </c>
      <c r="F609" s="1" t="s">
        <v>40</v>
      </c>
      <c r="G609" s="1" t="s">
        <v>67</v>
      </c>
      <c r="H609" s="1" t="s">
        <v>82</v>
      </c>
      <c r="I609" s="2" cm="1">
        <f t="array" ref="I6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609" s="2" cm="1">
        <f t="array" ref="J6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09" s="2">
        <f>Games[[#This Row],[DaysOff]]-Games[[#This Row],[OppDaysOff]]</f>
        <v>0</v>
      </c>
      <c r="L609" s="2">
        <f>Games[[#This Row],[OppDaysOff]]-Games[[#This Row],[DaysOff]]</f>
        <v>0</v>
      </c>
      <c r="M609" s="1">
        <f>MAX(-16, MIN(16, Games[[#This Row],[RestDiff]]*8))</f>
        <v>0</v>
      </c>
      <c r="N609" s="1">
        <f>MAX(-16, MIN(16, Games[[#This Row],[OppRestDiff]]*8))</f>
        <v>0</v>
      </c>
      <c r="O609" s="4" cm="1">
        <f t="array" ref="O6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1590.7376538005415</v>
      </c>
      <c r="P609" s="4" cm="1">
        <f t="array" ref="P6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1685.813856064638</v>
      </c>
      <c r="Q609" s="4">
        <f>1/(1+10^(((Games[[#This Row],[OppPreGmRate]]+IF(Games[[#This Row],[HomeAway]]="A",HCA,0)+Games[[#This Row],[OppRestAdj]])-(Games[[#This Row],[PreGmRate]]+IF(Games[[#This Row],[HomeAway]]="H",HCA,0)+Games[[#This Row],[RestAdj]]))/400))</f>
        <v>0.48406546147672341</v>
      </c>
      <c r="R609" s="1">
        <v>84</v>
      </c>
      <c r="S609" s="1">
        <v>76</v>
      </c>
      <c r="T609" s="1">
        <v>0</v>
      </c>
      <c r="U609" s="1">
        <f>Games[[#This Row],[PointsFor]]-Games[[#This Row],[PointsAgainst]]</f>
        <v>8</v>
      </c>
      <c r="V609" s="1">
        <f>IF(Games[[#This Row],[MOV]]&gt;0,1,IF(Games[[#This Row],[MOV]]=0,0.5,0))</f>
        <v>1</v>
      </c>
      <c r="W609" s="4">
        <f>((ABS(Games[[#This Row],[MOV]])+5)^0.6)/(12+0.01*(ABS(Games[[#This Row],[PreGmRate]]-Games[[#This Row],[OppPreGmRate]])))*IF(Games[[#This Row],[OT]]=1,0.9,1)</f>
        <v>0.35980789484739722</v>
      </c>
      <c r="X609" s="7" cm="1">
        <f t="array" ref="X6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09" s="9">
        <f>MAX(kmin, kmax - 0.15 * MIN(Games[[#This Row],[GamesPlayed]], 82))</f>
        <v>68.5</v>
      </c>
      <c r="Z609" s="4">
        <f>Games[[#This Row],[K]]*Games[[#This Row],[POMult]]</f>
        <v>82.2</v>
      </c>
      <c r="AA609" s="4">
        <f>(Games[[#This Row],[Keff]]*Games[[#This Row],[MOVMult]])*(Games[[#This Row],[Result]]-Games[[#This Row],[ExpectedWin%]])</f>
        <v>15.259387719217152</v>
      </c>
      <c r="AB609" s="4">
        <f>Games[[#This Row],[PreGmRate]]+Games[[#This Row],[RatingChange]]</f>
        <v>1605.9970415197586</v>
      </c>
      <c r="AC609" s="2">
        <f>IF(Games[[#This Row],[Type]]="R",IF(Games[[#This Row],[Result]]&gt;0.5,1,0),0)</f>
        <v>0</v>
      </c>
      <c r="AD609" s="2">
        <f>IF(Games[[#This Row],[Type]]="R",IF(Games[[#This Row],[Result]]&lt;0.5,1,0),0)</f>
        <v>0</v>
      </c>
      <c r="AE609" s="2">
        <f>IF(AND(Games[[#This Row],[Type]]="P",Games[[#This Row],[Round]]=1),IF(Games[[#This Row],[Result]]&gt;0.5,1,0),0)</f>
        <v>0</v>
      </c>
      <c r="AF609" s="2">
        <f>IF(AND(Games[[#This Row],[Type]]="P",Games[[#This Row],[Round]]=1),IF(Games[[#This Row],[Result]]&lt;0.5,1,0),0)</f>
        <v>0</v>
      </c>
      <c r="AG609" s="2">
        <f>IF(AND(Games[[#This Row],[Type]]="P",Games[[#This Row],[Round]]=2),IF(Games[[#This Row],[Result]]&gt;0.5,1,0),0)</f>
        <v>1</v>
      </c>
      <c r="AH609" s="2">
        <f>IF(AND(Games[[#This Row],[Type]]="P",Games[[#This Row],[Round]]=2),IF(Games[[#This Row],[Result]]&lt;0.5,1,0),0)</f>
        <v>0</v>
      </c>
      <c r="AI609" s="2">
        <f>IF(AND(Games[[#This Row],[Type]]="P",Games[[#This Row],[Round]]=3),IF(Games[[#This Row],[Result]]&gt;0.5,1,0),0)</f>
        <v>0</v>
      </c>
      <c r="AJ609" s="2">
        <f>IF(AND(Games[[#This Row],[Type]]="P",Games[[#This Row],[Round]]=3),IF(Games[[#This Row],[Result]]&lt;0.5,1,0),0)</f>
        <v>0</v>
      </c>
      <c r="AK609" s="2">
        <f>IF(AND(Games[[#This Row],[Type]]="P",Games[[#This Row],[Round]]=4),IF(Games[[#This Row],[Result]]&gt;0.5,1,0),0)</f>
        <v>0</v>
      </c>
      <c r="AL609" s="2">
        <f>IF(AND(Games[[#This Row],[Type]]="P",Games[[#This Row],[Round]]=4),IF(Games[[#This Row],[Result]]&lt;0.5,1,0),0)</f>
        <v>0</v>
      </c>
    </row>
    <row r="610" spans="1:38" x14ac:dyDescent="0.35">
      <c r="A610" s="10">
        <v>45928</v>
      </c>
      <c r="B610" s="2">
        <v>2025</v>
      </c>
      <c r="C610" s="2">
        <f>COUNTIFS(Games[Team],Games[[#This Row],[Team]],Games[Season],Games[[#This Row],[Season]],Games[Date],"&lt;=" &amp; Games[[#This Row],[Date]])</f>
        <v>51</v>
      </c>
      <c r="D610" s="2" t="s">
        <v>83</v>
      </c>
      <c r="E610" s="2">
        <v>2</v>
      </c>
      <c r="F610" s="1" t="s">
        <v>86</v>
      </c>
      <c r="G610" s="1" t="s">
        <v>69</v>
      </c>
      <c r="H610" s="1" t="s">
        <v>81</v>
      </c>
      <c r="I610" s="2" cm="1">
        <f t="array" ref="I6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0" s="2" cm="1">
        <f t="array" ref="J6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0" s="2">
        <f>Games[[#This Row],[DaysOff]]-Games[[#This Row],[OppDaysOff]]</f>
        <v>0</v>
      </c>
      <c r="L610" s="2">
        <f>Games[[#This Row],[OppDaysOff]]-Games[[#This Row],[DaysOff]]</f>
        <v>0</v>
      </c>
      <c r="M610" s="1">
        <f>MAX(-16, MIN(16, Games[[#This Row],[RestDiff]]*8))</f>
        <v>0</v>
      </c>
      <c r="N610" s="1">
        <f>MAX(-16, MIN(16, Games[[#This Row],[OppRestDiff]]*8))</f>
        <v>0</v>
      </c>
      <c r="O610" s="4" cm="1">
        <f t="array" ref="O6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1680.4798186229739</v>
      </c>
      <c r="P610" s="4" cm="1">
        <f t="array" ref="P6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1580.0257422069617</v>
      </c>
      <c r="Q610" s="4">
        <f>1/(1+10^(((Games[[#This Row],[OppPreGmRate]]+IF(Games[[#This Row],[HomeAway]]="A",HCA,0)+Games[[#This Row],[OppRestAdj]])-(Games[[#This Row],[PreGmRate]]+IF(Games[[#This Row],[HomeAway]]="H",HCA,0)+Games[[#This Row],[RestAdj]]))/400))</f>
        <v>0.5236616323089035</v>
      </c>
      <c r="R610" s="1">
        <v>83</v>
      </c>
      <c r="S610" s="1">
        <v>90</v>
      </c>
      <c r="T610" s="1">
        <v>0</v>
      </c>
      <c r="U610" s="1">
        <f>Games[[#This Row],[PointsFor]]-Games[[#This Row],[PointsAgainst]]</f>
        <v>-7</v>
      </c>
      <c r="V610" s="1">
        <f>IF(Games[[#This Row],[MOV]]&gt;0,1,IF(Games[[#This Row],[MOV]]=0,0.5,0))</f>
        <v>0</v>
      </c>
      <c r="W610" s="4">
        <f>((ABS(Games[[#This Row],[MOV]])+5)^0.6)/(12+0.01*(ABS(Games[[#This Row],[PreGmRate]]-Games[[#This Row],[OppPreGmRate]])))*IF(Games[[#This Row],[OT]]=1,0.9,1)</f>
        <v>0.34151810128396132</v>
      </c>
      <c r="X610" s="7" cm="1">
        <f t="array" ref="X6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10" s="9">
        <f>MAX(kmin, kmax - 0.15 * MIN(Games[[#This Row],[GamesPlayed]], 82))</f>
        <v>68.349999999999994</v>
      </c>
      <c r="Z610" s="4">
        <f>Games[[#This Row],[K]]*Games[[#This Row],[POMult]]</f>
        <v>82.02</v>
      </c>
      <c r="AA610" s="4">
        <f>(Games[[#This Row],[Keff]]*Games[[#This Row],[MOVMult]])*(Games[[#This Row],[Result]]-Games[[#This Row],[ExpectedWin%]])</f>
        <v>-14.668450761802148</v>
      </c>
      <c r="AB610" s="4">
        <f>Games[[#This Row],[PreGmRate]]+Games[[#This Row],[RatingChange]]</f>
        <v>1665.8113678611717</v>
      </c>
      <c r="AC610" s="2">
        <f>IF(Games[[#This Row],[Type]]="R",IF(Games[[#This Row],[Result]]&gt;0.5,1,0),0)</f>
        <v>0</v>
      </c>
      <c r="AD610" s="2">
        <f>IF(Games[[#This Row],[Type]]="R",IF(Games[[#This Row],[Result]]&lt;0.5,1,0),0)</f>
        <v>0</v>
      </c>
      <c r="AE610" s="2">
        <f>IF(AND(Games[[#This Row],[Type]]="P",Games[[#This Row],[Round]]=1),IF(Games[[#This Row],[Result]]&gt;0.5,1,0),0)</f>
        <v>0</v>
      </c>
      <c r="AF610" s="2">
        <f>IF(AND(Games[[#This Row],[Type]]="P",Games[[#This Row],[Round]]=1),IF(Games[[#This Row],[Result]]&lt;0.5,1,0),0)</f>
        <v>0</v>
      </c>
      <c r="AG610" s="2">
        <f>IF(AND(Games[[#This Row],[Type]]="P",Games[[#This Row],[Round]]=2),IF(Games[[#This Row],[Result]]&gt;0.5,1,0),0)</f>
        <v>0</v>
      </c>
      <c r="AH610" s="2">
        <f>IF(AND(Games[[#This Row],[Type]]="P",Games[[#This Row],[Round]]=2),IF(Games[[#This Row],[Result]]&lt;0.5,1,0),0)</f>
        <v>1</v>
      </c>
      <c r="AI610" s="2">
        <f>IF(AND(Games[[#This Row],[Type]]="P",Games[[#This Row],[Round]]=3),IF(Games[[#This Row],[Result]]&gt;0.5,1,0),0)</f>
        <v>0</v>
      </c>
      <c r="AJ610" s="2">
        <f>IF(AND(Games[[#This Row],[Type]]="P",Games[[#This Row],[Round]]=3),IF(Games[[#This Row],[Result]]&lt;0.5,1,0),0)</f>
        <v>0</v>
      </c>
      <c r="AK610" s="2">
        <f>IF(AND(Games[[#This Row],[Type]]="P",Games[[#This Row],[Round]]=4),IF(Games[[#This Row],[Result]]&gt;0.5,1,0),0)</f>
        <v>0</v>
      </c>
      <c r="AL610" s="2">
        <f>IF(AND(Games[[#This Row],[Type]]="P",Games[[#This Row],[Round]]=4),IF(Games[[#This Row],[Result]]&lt;0.5,1,0),0)</f>
        <v>0</v>
      </c>
    </row>
    <row r="611" spans="1:38" x14ac:dyDescent="0.35">
      <c r="A611" s="10">
        <v>45928</v>
      </c>
      <c r="B611" s="2">
        <v>2025</v>
      </c>
      <c r="C611" s="2">
        <f>COUNTIFS(Games[Team],Games[[#This Row],[Team]],Games[Season],Games[[#This Row],[Season]],Games[Date],"&lt;=" &amp; Games[[#This Row],[Date]])</f>
        <v>52</v>
      </c>
      <c r="D611" s="2" t="s">
        <v>83</v>
      </c>
      <c r="E611" s="2">
        <v>2</v>
      </c>
      <c r="F611" s="1" t="s">
        <v>69</v>
      </c>
      <c r="G611" s="1" t="s">
        <v>86</v>
      </c>
      <c r="H611" s="1" t="s">
        <v>82</v>
      </c>
      <c r="I611" s="2" cm="1">
        <f t="array" ref="I6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1" s="2" cm="1">
        <f t="array" ref="J6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1" s="2">
        <f>Games[[#This Row],[DaysOff]]-Games[[#This Row],[OppDaysOff]]</f>
        <v>0</v>
      </c>
      <c r="L611" s="2">
        <f>Games[[#This Row],[OppDaysOff]]-Games[[#This Row],[DaysOff]]</f>
        <v>0</v>
      </c>
      <c r="M611" s="1">
        <f>MAX(-16, MIN(16, Games[[#This Row],[RestDiff]]*8))</f>
        <v>0</v>
      </c>
      <c r="N611" s="1">
        <f>MAX(-16, MIN(16, Games[[#This Row],[OppRestDiff]]*8))</f>
        <v>0</v>
      </c>
      <c r="O611" s="4" cm="1">
        <f t="array" ref="O6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1580.0257422069617</v>
      </c>
      <c r="P611" s="4" cm="1">
        <f t="array" ref="P6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1680.4798186229739</v>
      </c>
      <c r="Q611" s="4">
        <f>1/(1+10^(((Games[[#This Row],[OppPreGmRate]]+IF(Games[[#This Row],[HomeAway]]="A",HCA,0)+Games[[#This Row],[OppRestAdj]])-(Games[[#This Row],[PreGmRate]]+IF(Games[[#This Row],[HomeAway]]="H",HCA,0)+Games[[#This Row],[RestAdj]]))/400))</f>
        <v>0.47633836769109655</v>
      </c>
      <c r="R611" s="1">
        <v>90</v>
      </c>
      <c r="S611" s="1">
        <v>83</v>
      </c>
      <c r="T611" s="1">
        <v>0</v>
      </c>
      <c r="U611" s="1">
        <f>Games[[#This Row],[PointsFor]]-Games[[#This Row],[PointsAgainst]]</f>
        <v>7</v>
      </c>
      <c r="V611" s="1">
        <f>IF(Games[[#This Row],[MOV]]&gt;0,1,IF(Games[[#This Row],[MOV]]=0,0.5,0))</f>
        <v>1</v>
      </c>
      <c r="W611" s="4">
        <f>((ABS(Games[[#This Row],[MOV]])+5)^0.6)/(12+0.01*(ABS(Games[[#This Row],[PreGmRate]]-Games[[#This Row],[OppPreGmRate]])))*IF(Games[[#This Row],[OT]]=1,0.9,1)</f>
        <v>0.34151810128396132</v>
      </c>
      <c r="X611" s="7" cm="1">
        <f t="array" ref="X6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11" s="9">
        <f>MAX(kmin, kmax - 0.15 * MIN(Games[[#This Row],[GamesPlayed]], 82))</f>
        <v>68.2</v>
      </c>
      <c r="Z611" s="4">
        <f>Games[[#This Row],[K]]*Games[[#This Row],[POMult]]</f>
        <v>81.84</v>
      </c>
      <c r="AA611" s="4">
        <f>(Games[[#This Row],[Keff]]*Games[[#This Row],[MOVMult]])*(Games[[#This Row],[Result]]-Games[[#This Row],[ExpectedWin%]])</f>
        <v>14.636259575053495</v>
      </c>
      <c r="AB611" s="4">
        <f>Games[[#This Row],[PreGmRate]]+Games[[#This Row],[RatingChange]]</f>
        <v>1594.6620017820153</v>
      </c>
      <c r="AC611" s="2">
        <f>IF(Games[[#This Row],[Type]]="R",IF(Games[[#This Row],[Result]]&gt;0.5,1,0),0)</f>
        <v>0</v>
      </c>
      <c r="AD611" s="2">
        <f>IF(Games[[#This Row],[Type]]="R",IF(Games[[#This Row],[Result]]&lt;0.5,1,0),0)</f>
        <v>0</v>
      </c>
      <c r="AE611" s="2">
        <f>IF(AND(Games[[#This Row],[Type]]="P",Games[[#This Row],[Round]]=1),IF(Games[[#This Row],[Result]]&gt;0.5,1,0),0)</f>
        <v>0</v>
      </c>
      <c r="AF611" s="2">
        <f>IF(AND(Games[[#This Row],[Type]]="P",Games[[#This Row],[Round]]=1),IF(Games[[#This Row],[Result]]&lt;0.5,1,0),0)</f>
        <v>0</v>
      </c>
      <c r="AG611" s="2">
        <f>IF(AND(Games[[#This Row],[Type]]="P",Games[[#This Row],[Round]]=2),IF(Games[[#This Row],[Result]]&gt;0.5,1,0),0)</f>
        <v>1</v>
      </c>
      <c r="AH611" s="2">
        <f>IF(AND(Games[[#This Row],[Type]]="P",Games[[#This Row],[Round]]=2),IF(Games[[#This Row],[Result]]&lt;0.5,1,0),0)</f>
        <v>0</v>
      </c>
      <c r="AI611" s="2">
        <f>IF(AND(Games[[#This Row],[Type]]="P",Games[[#This Row],[Round]]=3),IF(Games[[#This Row],[Result]]&gt;0.5,1,0),0)</f>
        <v>0</v>
      </c>
      <c r="AJ611" s="2">
        <f>IF(AND(Games[[#This Row],[Type]]="P",Games[[#This Row],[Round]]=3),IF(Games[[#This Row],[Result]]&lt;0.5,1,0),0)</f>
        <v>0</v>
      </c>
      <c r="AK611" s="2">
        <f>IF(AND(Games[[#This Row],[Type]]="P",Games[[#This Row],[Round]]=4),IF(Games[[#This Row],[Result]]&gt;0.5,1,0),0)</f>
        <v>0</v>
      </c>
      <c r="AL611" s="2">
        <f>IF(AND(Games[[#This Row],[Type]]="P",Games[[#This Row],[Round]]=4),IF(Games[[#This Row],[Result]]&lt;0.5,1,0),0)</f>
        <v>0</v>
      </c>
    </row>
    <row r="612" spans="1:38" x14ac:dyDescent="0.35">
      <c r="A612" s="10">
        <v>45928</v>
      </c>
      <c r="B612" s="2">
        <v>2025</v>
      </c>
      <c r="C612" s="2">
        <f>COUNTIFS(Games[Team],Games[[#This Row],[Team]],Games[Season],Games[[#This Row],[Season]],Games[Date],"&lt;=" &amp; Games[[#This Row],[Date]])</f>
        <v>51</v>
      </c>
      <c r="D612" s="2" t="s">
        <v>83</v>
      </c>
      <c r="E612" s="2">
        <v>2</v>
      </c>
      <c r="F612" s="1" t="s">
        <v>67</v>
      </c>
      <c r="G612" s="1" t="s">
        <v>40</v>
      </c>
      <c r="H612" s="1" t="s">
        <v>81</v>
      </c>
      <c r="I612" s="2" cm="1">
        <f t="array" ref="I6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2" s="2" cm="1">
        <f t="array" ref="J6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2" s="2">
        <f>Games[[#This Row],[DaysOff]]-Games[[#This Row],[OppDaysOff]]</f>
        <v>0</v>
      </c>
      <c r="L612" s="2">
        <f>Games[[#This Row],[OppDaysOff]]-Games[[#This Row],[DaysOff]]</f>
        <v>0</v>
      </c>
      <c r="M612" s="1">
        <f>MAX(-16, MIN(16, Games[[#This Row],[RestDiff]]*8))</f>
        <v>0</v>
      </c>
      <c r="N612" s="1">
        <f>MAX(-16, MIN(16, Games[[#This Row],[OppRestDiff]]*8))</f>
        <v>0</v>
      </c>
      <c r="O612" s="4" cm="1">
        <f t="array" ref="O6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1670.5544683454209</v>
      </c>
      <c r="P612" s="4" cm="1">
        <f t="array" ref="P6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1605.9970415197586</v>
      </c>
      <c r="Q612" s="4">
        <f>1/(1+10^(((Games[[#This Row],[OppPreGmRate]]+IF(Games[[#This Row],[HomeAway]]="A",HCA,0)+Games[[#This Row],[OppRestAdj]])-(Games[[#This Row],[PreGmRate]]+IF(Games[[#This Row],[HomeAway]]="H",HCA,0)+Games[[#This Row],[RestAdj]]))/400))</f>
        <v>0.47204905849442497</v>
      </c>
      <c r="R612" s="1">
        <v>81</v>
      </c>
      <c r="S612" s="1">
        <v>86</v>
      </c>
      <c r="T612" s="1">
        <v>0</v>
      </c>
      <c r="U612" s="1">
        <f>Games[[#This Row],[PointsFor]]-Games[[#This Row],[PointsAgainst]]</f>
        <v>-5</v>
      </c>
      <c r="V612" s="1">
        <f>IF(Games[[#This Row],[MOV]]&gt;0,1,IF(Games[[#This Row],[MOV]]=0,0.5,0))</f>
        <v>0</v>
      </c>
      <c r="W612" s="4">
        <f>((ABS(Games[[#This Row],[MOV]])+5)^0.6)/(12+0.01*(ABS(Games[[#This Row],[PreGmRate]]-Games[[#This Row],[OppPreGmRate]])))*IF(Games[[#This Row],[OT]]=1,0.9,1)</f>
        <v>0.31481936850652975</v>
      </c>
      <c r="X612" s="7" cm="1">
        <f t="array" ref="X6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12" s="9">
        <f>MAX(kmin, kmax - 0.15 * MIN(Games[[#This Row],[GamesPlayed]], 82))</f>
        <v>68.349999999999994</v>
      </c>
      <c r="Z612" s="4">
        <f>Games[[#This Row],[K]]*Games[[#This Row],[POMult]]</f>
        <v>82.02</v>
      </c>
      <c r="AA612" s="4">
        <f>(Games[[#This Row],[Keff]]*Games[[#This Row],[MOVMult]])*(Games[[#This Row],[Result]]-Games[[#This Row],[ExpectedWin%]])</f>
        <v>-12.189007496673963</v>
      </c>
      <c r="AB612" s="4">
        <f>Games[[#This Row],[PreGmRate]]+Games[[#This Row],[RatingChange]]</f>
        <v>1658.365460848747</v>
      </c>
      <c r="AC612" s="2">
        <f>IF(Games[[#This Row],[Type]]="R",IF(Games[[#This Row],[Result]]&gt;0.5,1,0),0)</f>
        <v>0</v>
      </c>
      <c r="AD612" s="2">
        <f>IF(Games[[#This Row],[Type]]="R",IF(Games[[#This Row],[Result]]&lt;0.5,1,0),0)</f>
        <v>0</v>
      </c>
      <c r="AE612" s="2">
        <f>IF(AND(Games[[#This Row],[Type]]="P",Games[[#This Row],[Round]]=1),IF(Games[[#This Row],[Result]]&gt;0.5,1,0),0)</f>
        <v>0</v>
      </c>
      <c r="AF612" s="2">
        <f>IF(AND(Games[[#This Row],[Type]]="P",Games[[#This Row],[Round]]=1),IF(Games[[#This Row],[Result]]&lt;0.5,1,0),0)</f>
        <v>0</v>
      </c>
      <c r="AG612" s="2">
        <f>IF(AND(Games[[#This Row],[Type]]="P",Games[[#This Row],[Round]]=2),IF(Games[[#This Row],[Result]]&gt;0.5,1,0),0)</f>
        <v>0</v>
      </c>
      <c r="AH612" s="2">
        <f>IF(AND(Games[[#This Row],[Type]]="P",Games[[#This Row],[Round]]=2),IF(Games[[#This Row],[Result]]&lt;0.5,1,0),0)</f>
        <v>1</v>
      </c>
      <c r="AI612" s="2">
        <f>IF(AND(Games[[#This Row],[Type]]="P",Games[[#This Row],[Round]]=3),IF(Games[[#This Row],[Result]]&gt;0.5,1,0),0)</f>
        <v>0</v>
      </c>
      <c r="AJ612" s="2">
        <f>IF(AND(Games[[#This Row],[Type]]="P",Games[[#This Row],[Round]]=3),IF(Games[[#This Row],[Result]]&lt;0.5,1,0),0)</f>
        <v>0</v>
      </c>
      <c r="AK612" s="2">
        <f>IF(AND(Games[[#This Row],[Type]]="P",Games[[#This Row],[Round]]=4),IF(Games[[#This Row],[Result]]&gt;0.5,1,0),0)</f>
        <v>0</v>
      </c>
      <c r="AL612" s="2">
        <f>IF(AND(Games[[#This Row],[Type]]="P",Games[[#This Row],[Round]]=4),IF(Games[[#This Row],[Result]]&lt;0.5,1,0),0)</f>
        <v>0</v>
      </c>
    </row>
    <row r="613" spans="1:38" x14ac:dyDescent="0.35">
      <c r="A613" s="10">
        <v>45928</v>
      </c>
      <c r="B613" s="2">
        <v>2025</v>
      </c>
      <c r="C613" s="2">
        <f>COUNTIFS(Games[Team],Games[[#This Row],[Team]],Games[Season],Games[[#This Row],[Season]],Games[Date],"&lt;=" &amp; Games[[#This Row],[Date]])</f>
        <v>51</v>
      </c>
      <c r="D613" s="2" t="s">
        <v>83</v>
      </c>
      <c r="E613" s="2">
        <v>2</v>
      </c>
      <c r="F613" s="1" t="s">
        <v>40</v>
      </c>
      <c r="G613" s="1" t="s">
        <v>67</v>
      </c>
      <c r="H613" s="1" t="s">
        <v>82</v>
      </c>
      <c r="I613" s="2" cm="1">
        <f t="array" ref="I6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3" s="2" cm="1">
        <f t="array" ref="J6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3" s="2">
        <f>Games[[#This Row],[DaysOff]]-Games[[#This Row],[OppDaysOff]]</f>
        <v>0</v>
      </c>
      <c r="L613" s="2">
        <f>Games[[#This Row],[OppDaysOff]]-Games[[#This Row],[DaysOff]]</f>
        <v>0</v>
      </c>
      <c r="M613" s="1">
        <f>MAX(-16, MIN(16, Games[[#This Row],[RestDiff]]*8))</f>
        <v>0</v>
      </c>
      <c r="N613" s="1">
        <f>MAX(-16, MIN(16, Games[[#This Row],[OppRestDiff]]*8))</f>
        <v>0</v>
      </c>
      <c r="O613" s="4" cm="1">
        <f t="array" ref="O6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1605.9970415197586</v>
      </c>
      <c r="P613" s="4" cm="1">
        <f t="array" ref="P6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1670.5544683454209</v>
      </c>
      <c r="Q613" s="4">
        <f>1/(1+10^(((Games[[#This Row],[OppPreGmRate]]+IF(Games[[#This Row],[HomeAway]]="A",HCA,0)+Games[[#This Row],[OppRestAdj]])-(Games[[#This Row],[PreGmRate]]+IF(Games[[#This Row],[HomeAway]]="H",HCA,0)+Games[[#This Row],[RestAdj]]))/400))</f>
        <v>0.52795094150557509</v>
      </c>
      <c r="R613" s="1">
        <v>86</v>
      </c>
      <c r="S613" s="1">
        <v>81</v>
      </c>
      <c r="T613" s="1">
        <v>0</v>
      </c>
      <c r="U613" s="1">
        <f>Games[[#This Row],[PointsFor]]-Games[[#This Row],[PointsAgainst]]</f>
        <v>5</v>
      </c>
      <c r="V613" s="1">
        <f>IF(Games[[#This Row],[MOV]]&gt;0,1,IF(Games[[#This Row],[MOV]]=0,0.5,0))</f>
        <v>1</v>
      </c>
      <c r="W613" s="4">
        <f>((ABS(Games[[#This Row],[MOV]])+5)^0.6)/(12+0.01*(ABS(Games[[#This Row],[PreGmRate]]-Games[[#This Row],[OppPreGmRate]])))*IF(Games[[#This Row],[OT]]=1,0.9,1)</f>
        <v>0.31481936850652975</v>
      </c>
      <c r="X613" s="7" cm="1">
        <f t="array" ref="X6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13" s="9">
        <f>MAX(kmin, kmax - 0.15 * MIN(Games[[#This Row],[GamesPlayed]], 82))</f>
        <v>68.349999999999994</v>
      </c>
      <c r="Z613" s="4">
        <f>Games[[#This Row],[K]]*Games[[#This Row],[POMult]]</f>
        <v>82.02</v>
      </c>
      <c r="AA613" s="4">
        <f>(Games[[#This Row],[Keff]]*Games[[#This Row],[MOVMult]])*(Games[[#This Row],[Result]]-Games[[#This Row],[ExpectedWin%]])</f>
        <v>12.189007496673961</v>
      </c>
      <c r="AB613" s="4">
        <f>Games[[#This Row],[PreGmRate]]+Games[[#This Row],[RatingChange]]</f>
        <v>1618.1860490164324</v>
      </c>
      <c r="AC613" s="2">
        <f>IF(Games[[#This Row],[Type]]="R",IF(Games[[#This Row],[Result]]&gt;0.5,1,0),0)</f>
        <v>0</v>
      </c>
      <c r="AD613" s="2">
        <f>IF(Games[[#This Row],[Type]]="R",IF(Games[[#This Row],[Result]]&lt;0.5,1,0),0)</f>
        <v>0</v>
      </c>
      <c r="AE613" s="2">
        <f>IF(AND(Games[[#This Row],[Type]]="P",Games[[#This Row],[Round]]=1),IF(Games[[#This Row],[Result]]&gt;0.5,1,0),0)</f>
        <v>0</v>
      </c>
      <c r="AF613" s="2">
        <f>IF(AND(Games[[#This Row],[Type]]="P",Games[[#This Row],[Round]]=1),IF(Games[[#This Row],[Result]]&lt;0.5,1,0),0)</f>
        <v>0</v>
      </c>
      <c r="AG613" s="2">
        <f>IF(AND(Games[[#This Row],[Type]]="P",Games[[#This Row],[Round]]=2),IF(Games[[#This Row],[Result]]&gt;0.5,1,0),0)</f>
        <v>1</v>
      </c>
      <c r="AH613" s="2">
        <f>IF(AND(Games[[#This Row],[Type]]="P",Games[[#This Row],[Round]]=2),IF(Games[[#This Row],[Result]]&lt;0.5,1,0),0)</f>
        <v>0</v>
      </c>
      <c r="AI613" s="2">
        <f>IF(AND(Games[[#This Row],[Type]]="P",Games[[#This Row],[Round]]=3),IF(Games[[#This Row],[Result]]&gt;0.5,1,0),0)</f>
        <v>0</v>
      </c>
      <c r="AJ613" s="2">
        <f>IF(AND(Games[[#This Row],[Type]]="P",Games[[#This Row],[Round]]=3),IF(Games[[#This Row],[Result]]&lt;0.5,1,0),0)</f>
        <v>0</v>
      </c>
      <c r="AK613" s="2">
        <f>IF(AND(Games[[#This Row],[Type]]="P",Games[[#This Row],[Round]]=4),IF(Games[[#This Row],[Result]]&gt;0.5,1,0),0)</f>
        <v>0</v>
      </c>
      <c r="AL613" s="2">
        <f>IF(AND(Games[[#This Row],[Type]]="P",Games[[#This Row],[Round]]=4),IF(Games[[#This Row],[Result]]&lt;0.5,1,0),0)</f>
        <v>0</v>
      </c>
    </row>
    <row r="614" spans="1:38" x14ac:dyDescent="0.35">
      <c r="A614" s="10">
        <v>45930</v>
      </c>
      <c r="B614" s="2">
        <v>2025</v>
      </c>
      <c r="C614" s="2">
        <f>COUNTIFS(Games[Team],Games[[#This Row],[Team]],Games[Season],Games[[#This Row],[Season]],Games[Date],"&lt;=" &amp; Games[[#This Row],[Date]])</f>
        <v>53</v>
      </c>
      <c r="D614" s="2" t="s">
        <v>83</v>
      </c>
      <c r="E614" s="2">
        <v>2</v>
      </c>
      <c r="F614" s="1" t="s">
        <v>69</v>
      </c>
      <c r="G614" s="1" t="s">
        <v>86</v>
      </c>
      <c r="H614" s="1" t="s">
        <v>81</v>
      </c>
      <c r="I614" s="2" cm="1">
        <f t="array" ref="I6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4" s="2" cm="1">
        <f t="array" ref="J6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4" s="2">
        <f>Games[[#This Row],[DaysOff]]-Games[[#This Row],[OppDaysOff]]</f>
        <v>0</v>
      </c>
      <c r="L614" s="2">
        <f>Games[[#This Row],[OppDaysOff]]-Games[[#This Row],[DaysOff]]</f>
        <v>0</v>
      </c>
      <c r="M614" s="1">
        <f>MAX(-16, MIN(16, Games[[#This Row],[RestDiff]]*8))</f>
        <v>0</v>
      </c>
      <c r="N614" s="1">
        <f>MAX(-16, MIN(16, Games[[#This Row],[OppRestDiff]]*8))</f>
        <v>0</v>
      </c>
      <c r="O614" s="4" cm="1">
        <f t="array" ref="O6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1594.6620017820153</v>
      </c>
      <c r="P614" s="4" cm="1">
        <f t="array" ref="P6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1665.8113678611717</v>
      </c>
      <c r="Q614" s="4">
        <f>1/(1+10^(((Games[[#This Row],[OppPreGmRate]]+IF(Games[[#This Row],[HomeAway]]="A",HCA,0)+Games[[#This Row],[OppRestAdj]])-(Games[[#This Row],[PreGmRate]]+IF(Games[[#This Row],[HomeAway]]="H",HCA,0)+Games[[#This Row],[RestAdj]]))/400))</f>
        <v>0.29046813162245122</v>
      </c>
      <c r="R614" s="1">
        <v>98</v>
      </c>
      <c r="S614" s="1">
        <v>107</v>
      </c>
      <c r="T614" s="1">
        <v>1</v>
      </c>
      <c r="U614" s="1">
        <f>Games[[#This Row],[PointsFor]]-Games[[#This Row],[PointsAgainst]]</f>
        <v>-9</v>
      </c>
      <c r="V614" s="1">
        <f>IF(Games[[#This Row],[MOV]]&gt;0,1,IF(Games[[#This Row],[MOV]]=0,0.5,0))</f>
        <v>0</v>
      </c>
      <c r="W614" s="4">
        <f>((ABS(Games[[#This Row],[MOV]])+5)^0.6)/(12+0.01*(ABS(Games[[#This Row],[PreGmRate]]-Games[[#This Row],[OppPreGmRate]])))*IF(Games[[#This Row],[OT]]=1,0.9,1)</f>
        <v>0.34492346927836909</v>
      </c>
      <c r="X614" s="7" cm="1">
        <f t="array" ref="X6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14" s="9">
        <f>MAX(kmin, kmax - 0.15 * MIN(Games[[#This Row],[GamesPlayed]], 82))</f>
        <v>68.05</v>
      </c>
      <c r="Z614" s="4">
        <f>Games[[#This Row],[K]]*Games[[#This Row],[POMult]]</f>
        <v>81.66</v>
      </c>
      <c r="AA614" s="4">
        <f>(Games[[#This Row],[Keff]]*Games[[#This Row],[MOVMult]])*(Games[[#This Row],[Result]]-Games[[#This Row],[ExpectedWin%]])</f>
        <v>-8.1814562515406219</v>
      </c>
      <c r="AB614" s="4">
        <f>Games[[#This Row],[PreGmRate]]+Games[[#This Row],[RatingChange]]</f>
        <v>1586.4805455304747</v>
      </c>
      <c r="AC614" s="2">
        <f>IF(Games[[#This Row],[Type]]="R",IF(Games[[#This Row],[Result]]&gt;0.5,1,0),0)</f>
        <v>0</v>
      </c>
      <c r="AD614" s="2">
        <f>IF(Games[[#This Row],[Type]]="R",IF(Games[[#This Row],[Result]]&lt;0.5,1,0),0)</f>
        <v>0</v>
      </c>
      <c r="AE614" s="2">
        <f>IF(AND(Games[[#This Row],[Type]]="P",Games[[#This Row],[Round]]=1),IF(Games[[#This Row],[Result]]&gt;0.5,1,0),0)</f>
        <v>0</v>
      </c>
      <c r="AF614" s="2">
        <f>IF(AND(Games[[#This Row],[Type]]="P",Games[[#This Row],[Round]]=1),IF(Games[[#This Row],[Result]]&lt;0.5,1,0),0)</f>
        <v>0</v>
      </c>
      <c r="AG614" s="2">
        <f>IF(AND(Games[[#This Row],[Type]]="P",Games[[#This Row],[Round]]=2),IF(Games[[#This Row],[Result]]&gt;0.5,1,0),0)</f>
        <v>0</v>
      </c>
      <c r="AH614" s="2">
        <f>IF(AND(Games[[#This Row],[Type]]="P",Games[[#This Row],[Round]]=2),IF(Games[[#This Row],[Result]]&lt;0.5,1,0),0)</f>
        <v>1</v>
      </c>
      <c r="AI614" s="2">
        <f>IF(AND(Games[[#This Row],[Type]]="P",Games[[#This Row],[Round]]=3),IF(Games[[#This Row],[Result]]&gt;0.5,1,0),0)</f>
        <v>0</v>
      </c>
      <c r="AJ614" s="2">
        <f>IF(AND(Games[[#This Row],[Type]]="P",Games[[#This Row],[Round]]=3),IF(Games[[#This Row],[Result]]&lt;0.5,1,0),0)</f>
        <v>0</v>
      </c>
      <c r="AK614" s="2">
        <f>IF(AND(Games[[#This Row],[Type]]="P",Games[[#This Row],[Round]]=4),IF(Games[[#This Row],[Result]]&gt;0.5,1,0),0)</f>
        <v>0</v>
      </c>
      <c r="AL614" s="2">
        <f>IF(AND(Games[[#This Row],[Type]]="P",Games[[#This Row],[Round]]=4),IF(Games[[#This Row],[Result]]&lt;0.5,1,0),0)</f>
        <v>0</v>
      </c>
    </row>
    <row r="615" spans="1:38" x14ac:dyDescent="0.35">
      <c r="A615" s="10">
        <v>45930</v>
      </c>
      <c r="B615" s="2">
        <v>2025</v>
      </c>
      <c r="C615" s="2">
        <f>COUNTIFS(Games[Team],Games[[#This Row],[Team]],Games[Season],Games[[#This Row],[Season]],Games[Date],"&lt;=" &amp; Games[[#This Row],[Date]])</f>
        <v>52</v>
      </c>
      <c r="D615" s="2" t="s">
        <v>83</v>
      </c>
      <c r="E615" s="2">
        <v>2</v>
      </c>
      <c r="F615" s="1" t="s">
        <v>86</v>
      </c>
      <c r="G615" s="1" t="s">
        <v>69</v>
      </c>
      <c r="H615" s="1" t="s">
        <v>82</v>
      </c>
      <c r="I615" s="2" cm="1">
        <f t="array" ref="I6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5" s="2" cm="1">
        <f t="array" ref="J6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5" s="2">
        <f>Games[[#This Row],[DaysOff]]-Games[[#This Row],[OppDaysOff]]</f>
        <v>0</v>
      </c>
      <c r="L615" s="2">
        <f>Games[[#This Row],[OppDaysOff]]-Games[[#This Row],[DaysOff]]</f>
        <v>0</v>
      </c>
      <c r="M615" s="1">
        <f>MAX(-16, MIN(16, Games[[#This Row],[RestDiff]]*8))</f>
        <v>0</v>
      </c>
      <c r="N615" s="1">
        <f>MAX(-16, MIN(16, Games[[#This Row],[OppRestDiff]]*8))</f>
        <v>0</v>
      </c>
      <c r="O615" s="4" cm="1">
        <f t="array" ref="O6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1665.8113678611717</v>
      </c>
      <c r="P615" s="4" cm="1">
        <f t="array" ref="P6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1594.6620017820153</v>
      </c>
      <c r="Q615" s="4">
        <f>1/(1+10^(((Games[[#This Row],[OppPreGmRate]]+IF(Games[[#This Row],[HomeAway]]="A",HCA,0)+Games[[#This Row],[OppRestAdj]])-(Games[[#This Row],[PreGmRate]]+IF(Games[[#This Row],[HomeAway]]="H",HCA,0)+Games[[#This Row],[RestAdj]]))/400))</f>
        <v>0.70953186837754878</v>
      </c>
      <c r="R615" s="1">
        <v>107</v>
      </c>
      <c r="S615" s="1">
        <v>98</v>
      </c>
      <c r="T615" s="1">
        <v>1</v>
      </c>
      <c r="U615" s="1">
        <f>Games[[#This Row],[PointsFor]]-Games[[#This Row],[PointsAgainst]]</f>
        <v>9</v>
      </c>
      <c r="V615" s="1">
        <f>IF(Games[[#This Row],[MOV]]&gt;0,1,IF(Games[[#This Row],[MOV]]=0,0.5,0))</f>
        <v>1</v>
      </c>
      <c r="W615" s="4">
        <f>((ABS(Games[[#This Row],[MOV]])+5)^0.6)/(12+0.01*(ABS(Games[[#This Row],[PreGmRate]]-Games[[#This Row],[OppPreGmRate]])))*IF(Games[[#This Row],[OT]]=1,0.9,1)</f>
        <v>0.34492346927836909</v>
      </c>
      <c r="X615" s="7" cm="1">
        <f t="array" ref="X6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615" s="9">
        <f>MAX(kmin, kmax - 0.15 * MIN(Games[[#This Row],[GamesPlayed]], 82))</f>
        <v>68.2</v>
      </c>
      <c r="Z615" s="4">
        <f>Games[[#This Row],[K]]*Games[[#This Row],[POMult]]</f>
        <v>81.84</v>
      </c>
      <c r="AA615" s="4">
        <f>(Games[[#This Row],[Keff]]*Games[[#This Row],[MOVMult]])*(Games[[#This Row],[Result]]-Games[[#This Row],[ExpectedWin%]])</f>
        <v>8.1994903211619459</v>
      </c>
      <c r="AB615" s="4">
        <f>Games[[#This Row],[PreGmRate]]+Games[[#This Row],[RatingChange]]</f>
        <v>1674.0108581823335</v>
      </c>
      <c r="AC615" s="2">
        <f>IF(Games[[#This Row],[Type]]="R",IF(Games[[#This Row],[Result]]&gt;0.5,1,0),0)</f>
        <v>0</v>
      </c>
      <c r="AD615" s="2">
        <f>IF(Games[[#This Row],[Type]]="R",IF(Games[[#This Row],[Result]]&lt;0.5,1,0),0)</f>
        <v>0</v>
      </c>
      <c r="AE615" s="2">
        <f>IF(AND(Games[[#This Row],[Type]]="P",Games[[#This Row],[Round]]=1),IF(Games[[#This Row],[Result]]&gt;0.5,1,0),0)</f>
        <v>0</v>
      </c>
      <c r="AF615" s="2">
        <f>IF(AND(Games[[#This Row],[Type]]="P",Games[[#This Row],[Round]]=1),IF(Games[[#This Row],[Result]]&lt;0.5,1,0),0)</f>
        <v>0</v>
      </c>
      <c r="AG615" s="2">
        <f>IF(AND(Games[[#This Row],[Type]]="P",Games[[#This Row],[Round]]=2),IF(Games[[#This Row],[Result]]&gt;0.5,1,0),0)</f>
        <v>1</v>
      </c>
      <c r="AH615" s="2">
        <f>IF(AND(Games[[#This Row],[Type]]="P",Games[[#This Row],[Round]]=2),IF(Games[[#This Row],[Result]]&lt;0.5,1,0),0)</f>
        <v>0</v>
      </c>
      <c r="AI615" s="2">
        <f>IF(AND(Games[[#This Row],[Type]]="P",Games[[#This Row],[Round]]=3),IF(Games[[#This Row],[Result]]&gt;0.5,1,0),0)</f>
        <v>0</v>
      </c>
      <c r="AJ615" s="2">
        <f>IF(AND(Games[[#This Row],[Type]]="P",Games[[#This Row],[Round]]=3),IF(Games[[#This Row],[Result]]&lt;0.5,1,0),0)</f>
        <v>0</v>
      </c>
      <c r="AK615" s="2">
        <f>IF(AND(Games[[#This Row],[Type]]="P",Games[[#This Row],[Round]]=4),IF(Games[[#This Row],[Result]]&gt;0.5,1,0),0)</f>
        <v>0</v>
      </c>
      <c r="AL615" s="2">
        <f>IF(AND(Games[[#This Row],[Type]]="P",Games[[#This Row],[Round]]=4),IF(Games[[#This Row],[Result]]&lt;0.5,1,0),0)</f>
        <v>0</v>
      </c>
    </row>
    <row r="616" spans="1:38" x14ac:dyDescent="0.35">
      <c r="A616" s="10">
        <v>45933</v>
      </c>
      <c r="B616" s="2">
        <v>2025</v>
      </c>
      <c r="C616" s="2">
        <f>COUNTIFS(Games[Team],Games[[#This Row],[Team]],Games[Season],Games[[#This Row],[Season]],Games[Date],"&lt;=" &amp; Games[[#This Row],[Date]])</f>
        <v>52</v>
      </c>
      <c r="D616" s="2" t="s">
        <v>83</v>
      </c>
      <c r="E616" s="2">
        <v>3</v>
      </c>
      <c r="F616" s="1" t="s">
        <v>40</v>
      </c>
      <c r="G616" s="1" t="s">
        <v>86</v>
      </c>
      <c r="H616" s="1" t="s">
        <v>81</v>
      </c>
      <c r="I616" s="2" cm="1">
        <f t="array" ref="I616">IFERROR(
    Games[[#This Row],[Date]]
    - LOOKUP(
        2,
        1/((Games[Team]=Games[[#This Row],[Team]]) * (Games[Date] &lt; Games[[#This Row],[Date]])),
        Games[Date]
    )
    - 1,
Games[[#This Row],[Date]]-$A$2)</f>
        <v>4</v>
      </c>
      <c r="J616" s="2" cm="1">
        <f t="array" ref="J6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16" s="2">
        <f>Games[[#This Row],[DaysOff]]-Games[[#This Row],[OppDaysOff]]</f>
        <v>2</v>
      </c>
      <c r="L616" s="2">
        <f>Games[[#This Row],[OppDaysOff]]-Games[[#This Row],[DaysOff]]</f>
        <v>-2</v>
      </c>
      <c r="M616" s="1">
        <f>MAX(-16, MIN(16, Games[[#This Row],[RestDiff]]*8))</f>
        <v>16</v>
      </c>
      <c r="N616" s="1">
        <f>MAX(-16, MIN(16, Games[[#This Row],[OppRestDiff]]*8))</f>
        <v>-16</v>
      </c>
      <c r="O616" s="4" cm="1">
        <f t="array" ref="O6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1618.1860490164324</v>
      </c>
      <c r="P616" s="4" cm="1">
        <f t="array" ref="P6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1674.0108581823335</v>
      </c>
      <c r="Q616" s="4">
        <f>1/(1+10^(((Games[[#This Row],[OppPreGmRate]]+IF(Games[[#This Row],[HomeAway]]="A",HCA,0)+Games[[#This Row],[OppRestAdj]])-(Games[[#This Row],[PreGmRate]]+IF(Games[[#This Row],[HomeAway]]="H",HCA,0)+Games[[#This Row],[RestAdj]]))/400))</f>
        <v>0.34962465266304932</v>
      </c>
      <c r="R616" s="1">
        <v>86</v>
      </c>
      <c r="S616" s="1">
        <v>89</v>
      </c>
      <c r="T616" s="1">
        <v>0</v>
      </c>
      <c r="U616" s="1">
        <f>Games[[#This Row],[PointsFor]]-Games[[#This Row],[PointsAgainst]]</f>
        <v>-3</v>
      </c>
      <c r="V616" s="1">
        <f>IF(Games[[#This Row],[MOV]]&gt;0,1,IF(Games[[#This Row],[MOV]]=0,0.5,0))</f>
        <v>0</v>
      </c>
      <c r="W616" s="4">
        <f>((ABS(Games[[#This Row],[MOV]])+5)^0.6)/(12+0.01*(ABS(Games[[#This Row],[PreGmRate]]-Games[[#This Row],[OppPreGmRate]])))*IF(Games[[#This Row],[OT]]=1,0.9,1)</f>
        <v>0.27728407877985145</v>
      </c>
      <c r="X616" s="7" cm="1">
        <f t="array" ref="X6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616" s="9">
        <f>MAX(kmin, kmax - 0.15 * MIN(Games[[#This Row],[GamesPlayed]], 82))</f>
        <v>68.2</v>
      </c>
      <c r="Z616" s="4">
        <f>Games[[#This Row],[K]]*Games[[#This Row],[POMult]]</f>
        <v>92.070000000000007</v>
      </c>
      <c r="AA616" s="4">
        <f>(Games[[#This Row],[Keff]]*Games[[#This Row],[MOVMult]])*(Games[[#This Row],[Result]]-Games[[#This Row],[ExpectedWin%]])</f>
        <v>-8.9257583498619919</v>
      </c>
      <c r="AB616" s="4">
        <f>Games[[#This Row],[PreGmRate]]+Games[[#This Row],[RatingChange]]</f>
        <v>1609.2602906665704</v>
      </c>
      <c r="AC616" s="2">
        <f>IF(Games[[#This Row],[Type]]="R",IF(Games[[#This Row],[Result]]&gt;0.5,1,0),0)</f>
        <v>0</v>
      </c>
      <c r="AD616" s="2">
        <f>IF(Games[[#This Row],[Type]]="R",IF(Games[[#This Row],[Result]]&lt;0.5,1,0),0)</f>
        <v>0</v>
      </c>
      <c r="AE616" s="2">
        <f>IF(AND(Games[[#This Row],[Type]]="P",Games[[#This Row],[Round]]=1),IF(Games[[#This Row],[Result]]&gt;0.5,1,0),0)</f>
        <v>0</v>
      </c>
      <c r="AF616" s="2">
        <f>IF(AND(Games[[#This Row],[Type]]="P",Games[[#This Row],[Round]]=1),IF(Games[[#This Row],[Result]]&lt;0.5,1,0),0)</f>
        <v>0</v>
      </c>
      <c r="AG616" s="2">
        <f>IF(AND(Games[[#This Row],[Type]]="P",Games[[#This Row],[Round]]=2),IF(Games[[#This Row],[Result]]&gt;0.5,1,0),0)</f>
        <v>0</v>
      </c>
      <c r="AH616" s="2">
        <f>IF(AND(Games[[#This Row],[Type]]="P",Games[[#This Row],[Round]]=2),IF(Games[[#This Row],[Result]]&lt;0.5,1,0),0)</f>
        <v>0</v>
      </c>
      <c r="AI616" s="2">
        <f>IF(AND(Games[[#This Row],[Type]]="P",Games[[#This Row],[Round]]=3),IF(Games[[#This Row],[Result]]&gt;0.5,1,0),0)</f>
        <v>0</v>
      </c>
      <c r="AJ616" s="2">
        <f>IF(AND(Games[[#This Row],[Type]]="P",Games[[#This Row],[Round]]=3),IF(Games[[#This Row],[Result]]&lt;0.5,1,0),0)</f>
        <v>1</v>
      </c>
      <c r="AK616" s="2">
        <f>IF(AND(Games[[#This Row],[Type]]="P",Games[[#This Row],[Round]]=4),IF(Games[[#This Row],[Result]]&gt;0.5,1,0),0)</f>
        <v>0</v>
      </c>
      <c r="AL616" s="2">
        <f>IF(AND(Games[[#This Row],[Type]]="P",Games[[#This Row],[Round]]=4),IF(Games[[#This Row],[Result]]&lt;0.5,1,0),0)</f>
        <v>0</v>
      </c>
    </row>
    <row r="617" spans="1:38" x14ac:dyDescent="0.35">
      <c r="A617" s="10">
        <v>45933</v>
      </c>
      <c r="B617" s="2">
        <v>2025</v>
      </c>
      <c r="C617" s="2">
        <f>COUNTIFS(Games[Team],Games[[#This Row],[Team]],Games[Season],Games[[#This Row],[Season]],Games[Date],"&lt;=" &amp; Games[[#This Row],[Date]])</f>
        <v>53</v>
      </c>
      <c r="D617" s="2" t="s">
        <v>83</v>
      </c>
      <c r="E617" s="2">
        <v>3</v>
      </c>
      <c r="F617" s="1" t="s">
        <v>86</v>
      </c>
      <c r="G617" s="1" t="s">
        <v>40</v>
      </c>
      <c r="H617" s="1" t="s">
        <v>82</v>
      </c>
      <c r="I617" s="2" cm="1">
        <f t="array" ref="I6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617" s="2" cm="1">
        <f t="array" ref="J61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17" s="2">
        <f>Games[[#This Row],[DaysOff]]-Games[[#This Row],[OppDaysOff]]</f>
        <v>-2</v>
      </c>
      <c r="L617" s="2">
        <f>Games[[#This Row],[OppDaysOff]]-Games[[#This Row],[DaysOff]]</f>
        <v>2</v>
      </c>
      <c r="M617" s="1">
        <f>MAX(-16, MIN(16, Games[[#This Row],[RestDiff]]*8))</f>
        <v>-16</v>
      </c>
      <c r="N617" s="1">
        <f>MAX(-16, MIN(16, Games[[#This Row],[OppRestDiff]]*8))</f>
        <v>16</v>
      </c>
      <c r="O617" s="4" cm="1">
        <f t="array" ref="O6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1674.0108581823335</v>
      </c>
      <c r="P617" s="4" cm="1">
        <f t="array" ref="P6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1618.1860490164324</v>
      </c>
      <c r="Q617" s="4">
        <f>1/(1+10^(((Games[[#This Row],[OppPreGmRate]]+IF(Games[[#This Row],[HomeAway]]="A",HCA,0)+Games[[#This Row],[OppRestAdj]])-(Games[[#This Row],[PreGmRate]]+IF(Games[[#This Row],[HomeAway]]="H",HCA,0)+Games[[#This Row],[RestAdj]]))/400))</f>
        <v>0.65037534733695079</v>
      </c>
      <c r="R617" s="1">
        <v>89</v>
      </c>
      <c r="S617" s="1">
        <v>86</v>
      </c>
      <c r="T617" s="1">
        <v>0</v>
      </c>
      <c r="U617" s="1">
        <f>Games[[#This Row],[PointsFor]]-Games[[#This Row],[PointsAgainst]]</f>
        <v>3</v>
      </c>
      <c r="V617" s="1">
        <f>IF(Games[[#This Row],[MOV]]&gt;0,1,IF(Games[[#This Row],[MOV]]=0,0.5,0))</f>
        <v>1</v>
      </c>
      <c r="W617" s="4">
        <f>((ABS(Games[[#This Row],[MOV]])+5)^0.6)/(12+0.01*(ABS(Games[[#This Row],[PreGmRate]]-Games[[#This Row],[OppPreGmRate]])))*IF(Games[[#This Row],[OT]]=1,0.9,1)</f>
        <v>0.27728407877985145</v>
      </c>
      <c r="X617" s="7" cm="1">
        <f t="array" ref="X6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617" s="9">
        <f>MAX(kmin, kmax - 0.15 * MIN(Games[[#This Row],[GamesPlayed]], 82))</f>
        <v>68.05</v>
      </c>
      <c r="Z617" s="4">
        <f>Games[[#This Row],[K]]*Games[[#This Row],[POMult]]</f>
        <v>91.867500000000007</v>
      </c>
      <c r="AA617" s="4">
        <f>(Games[[#This Row],[Keff]]*Games[[#This Row],[MOVMult]])*(Games[[#This Row],[Result]]-Games[[#This Row],[ExpectedWin%]])</f>
        <v>8.9061269165411776</v>
      </c>
      <c r="AB617" s="4">
        <f>Games[[#This Row],[PreGmRate]]+Games[[#This Row],[RatingChange]]</f>
        <v>1682.9169850988746</v>
      </c>
      <c r="AC617" s="2">
        <f>IF(Games[[#This Row],[Type]]="R",IF(Games[[#This Row],[Result]]&gt;0.5,1,0),0)</f>
        <v>0</v>
      </c>
      <c r="AD617" s="2">
        <f>IF(Games[[#This Row],[Type]]="R",IF(Games[[#This Row],[Result]]&lt;0.5,1,0),0)</f>
        <v>0</v>
      </c>
      <c r="AE617" s="2">
        <f>IF(AND(Games[[#This Row],[Type]]="P",Games[[#This Row],[Round]]=1),IF(Games[[#This Row],[Result]]&gt;0.5,1,0),0)</f>
        <v>0</v>
      </c>
      <c r="AF617" s="2">
        <f>IF(AND(Games[[#This Row],[Type]]="P",Games[[#This Row],[Round]]=1),IF(Games[[#This Row],[Result]]&lt;0.5,1,0),0)</f>
        <v>0</v>
      </c>
      <c r="AG617" s="2">
        <f>IF(AND(Games[[#This Row],[Type]]="P",Games[[#This Row],[Round]]=2),IF(Games[[#This Row],[Result]]&gt;0.5,1,0),0)</f>
        <v>0</v>
      </c>
      <c r="AH617" s="2">
        <f>IF(AND(Games[[#This Row],[Type]]="P",Games[[#This Row],[Round]]=2),IF(Games[[#This Row],[Result]]&lt;0.5,1,0),0)</f>
        <v>0</v>
      </c>
      <c r="AI617" s="2">
        <f>IF(AND(Games[[#This Row],[Type]]="P",Games[[#This Row],[Round]]=3),IF(Games[[#This Row],[Result]]&gt;0.5,1,0),0)</f>
        <v>1</v>
      </c>
      <c r="AJ617" s="2">
        <f>IF(AND(Games[[#This Row],[Type]]="P",Games[[#This Row],[Round]]=3),IF(Games[[#This Row],[Result]]&lt;0.5,1,0),0)</f>
        <v>0</v>
      </c>
      <c r="AK617" s="2">
        <f>IF(AND(Games[[#This Row],[Type]]="P",Games[[#This Row],[Round]]=4),IF(Games[[#This Row],[Result]]&gt;0.5,1,0),0)</f>
        <v>0</v>
      </c>
      <c r="AL617" s="2">
        <f>IF(AND(Games[[#This Row],[Type]]="P",Games[[#This Row],[Round]]=4),IF(Games[[#This Row],[Result]]&lt;0.5,1,0),0)</f>
        <v>0</v>
      </c>
    </row>
    <row r="618" spans="1:38" x14ac:dyDescent="0.35">
      <c r="A618" s="10">
        <v>45935</v>
      </c>
      <c r="B618" s="2">
        <v>2025</v>
      </c>
      <c r="C618" s="2">
        <f>COUNTIFS(Games[Team],Games[[#This Row],[Team]],Games[Season],Games[[#This Row],[Season]],Games[Date],"&lt;=" &amp; Games[[#This Row],[Date]])</f>
        <v>53</v>
      </c>
      <c r="D618" s="2" t="s">
        <v>83</v>
      </c>
      <c r="E618" s="2">
        <v>3</v>
      </c>
      <c r="F618" s="1" t="s">
        <v>40</v>
      </c>
      <c r="G618" s="1" t="s">
        <v>86</v>
      </c>
      <c r="H618" s="1" t="s">
        <v>81</v>
      </c>
      <c r="I618" s="2" cm="1">
        <f t="array" ref="I6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8" s="2" cm="1">
        <f t="array" ref="J6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8" s="2">
        <f>Games[[#This Row],[DaysOff]]-Games[[#This Row],[OppDaysOff]]</f>
        <v>0</v>
      </c>
      <c r="L618" s="2">
        <f>Games[[#This Row],[OppDaysOff]]-Games[[#This Row],[DaysOff]]</f>
        <v>0</v>
      </c>
      <c r="M618" s="1">
        <f>MAX(-16, MIN(16, Games[[#This Row],[RestDiff]]*8))</f>
        <v>0</v>
      </c>
      <c r="N618" s="1">
        <f>MAX(-16, MIN(16, Games[[#This Row],[OppRestDiff]]*8))</f>
        <v>0</v>
      </c>
      <c r="O618" s="4" cm="1">
        <f t="array" ref="O6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1609.2602906665704</v>
      </c>
      <c r="P618" s="4" cm="1">
        <f t="array" ref="P6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1682.9169850988746</v>
      </c>
      <c r="Q618" s="4">
        <f>1/(1+10^(((Games[[#This Row],[OppPreGmRate]]+IF(Games[[#This Row],[HomeAway]]="A",HCA,0)+Games[[#This Row],[OppRestAdj]])-(Games[[#This Row],[PreGmRate]]+IF(Games[[#This Row],[HomeAway]]="H",HCA,0)+Games[[#This Row],[RestAdj]]))/400))</f>
        <v>0.28750249211072887</v>
      </c>
      <c r="R618" s="1">
        <v>78</v>
      </c>
      <c r="S618" s="1">
        <v>91</v>
      </c>
      <c r="T618" s="1">
        <v>0</v>
      </c>
      <c r="U618" s="1">
        <f>Games[[#This Row],[PointsFor]]-Games[[#This Row],[PointsAgainst]]</f>
        <v>-13</v>
      </c>
      <c r="V618" s="1">
        <f>IF(Games[[#This Row],[MOV]]&gt;0,1,IF(Games[[#This Row],[MOV]]=0,0.5,0))</f>
        <v>0</v>
      </c>
      <c r="W618" s="4">
        <f>((ABS(Games[[#This Row],[MOV]])+5)^0.6)/(12+0.01*(ABS(Games[[#This Row],[PreGmRate]]-Games[[#This Row],[OppPreGmRate]])))*IF(Games[[#This Row],[OT]]=1,0.9,1)</f>
        <v>0.4447450472746276</v>
      </c>
      <c r="X618" s="7" cm="1">
        <f t="array" ref="X6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618" s="9">
        <f>MAX(kmin, kmax - 0.15 * MIN(Games[[#This Row],[GamesPlayed]], 82))</f>
        <v>68.05</v>
      </c>
      <c r="Z618" s="4">
        <f>Games[[#This Row],[K]]*Games[[#This Row],[POMult]]</f>
        <v>91.867500000000007</v>
      </c>
      <c r="AA618" s="4">
        <f>(Games[[#This Row],[Keff]]*Games[[#This Row],[MOVMult]])*(Games[[#This Row],[Result]]-Games[[#This Row],[ExpectedWin%]])</f>
        <v>-11.746666315471552</v>
      </c>
      <c r="AB618" s="4">
        <f>Games[[#This Row],[PreGmRate]]+Games[[#This Row],[RatingChange]]</f>
        <v>1597.5136243510988</v>
      </c>
      <c r="AC618" s="2">
        <f>IF(Games[[#This Row],[Type]]="R",IF(Games[[#This Row],[Result]]&gt;0.5,1,0),0)</f>
        <v>0</v>
      </c>
      <c r="AD618" s="2">
        <f>IF(Games[[#This Row],[Type]]="R",IF(Games[[#This Row],[Result]]&lt;0.5,1,0),0)</f>
        <v>0</v>
      </c>
      <c r="AE618" s="2">
        <f>IF(AND(Games[[#This Row],[Type]]="P",Games[[#This Row],[Round]]=1),IF(Games[[#This Row],[Result]]&gt;0.5,1,0),0)</f>
        <v>0</v>
      </c>
      <c r="AF618" s="2">
        <f>IF(AND(Games[[#This Row],[Type]]="P",Games[[#This Row],[Round]]=1),IF(Games[[#This Row],[Result]]&lt;0.5,1,0),0)</f>
        <v>0</v>
      </c>
      <c r="AG618" s="2">
        <f>IF(AND(Games[[#This Row],[Type]]="P",Games[[#This Row],[Round]]=2),IF(Games[[#This Row],[Result]]&gt;0.5,1,0),0)</f>
        <v>0</v>
      </c>
      <c r="AH618" s="2">
        <f>IF(AND(Games[[#This Row],[Type]]="P",Games[[#This Row],[Round]]=2),IF(Games[[#This Row],[Result]]&lt;0.5,1,0),0)</f>
        <v>0</v>
      </c>
      <c r="AI618" s="2">
        <f>IF(AND(Games[[#This Row],[Type]]="P",Games[[#This Row],[Round]]=3),IF(Games[[#This Row],[Result]]&gt;0.5,1,0),0)</f>
        <v>0</v>
      </c>
      <c r="AJ618" s="2">
        <f>IF(AND(Games[[#This Row],[Type]]="P",Games[[#This Row],[Round]]=3),IF(Games[[#This Row],[Result]]&lt;0.5,1,0),0)</f>
        <v>1</v>
      </c>
      <c r="AK618" s="2">
        <f>IF(AND(Games[[#This Row],[Type]]="P",Games[[#This Row],[Round]]=4),IF(Games[[#This Row],[Result]]&gt;0.5,1,0),0)</f>
        <v>0</v>
      </c>
      <c r="AL618" s="2">
        <f>IF(AND(Games[[#This Row],[Type]]="P",Games[[#This Row],[Round]]=4),IF(Games[[#This Row],[Result]]&lt;0.5,1,0),0)</f>
        <v>0</v>
      </c>
    </row>
    <row r="619" spans="1:38" x14ac:dyDescent="0.35">
      <c r="A619" s="10">
        <v>45935</v>
      </c>
      <c r="B619" s="2">
        <v>2025</v>
      </c>
      <c r="C619" s="2">
        <f>COUNTIFS(Games[Team],Games[[#This Row],[Team]],Games[Season],Games[[#This Row],[Season]],Games[Date],"&lt;=" &amp; Games[[#This Row],[Date]])</f>
        <v>54</v>
      </c>
      <c r="D619" s="2" t="s">
        <v>83</v>
      </c>
      <c r="E619" s="2">
        <v>3</v>
      </c>
      <c r="F619" s="1" t="s">
        <v>86</v>
      </c>
      <c r="G619" s="1" t="s">
        <v>40</v>
      </c>
      <c r="H619" s="1" t="s">
        <v>82</v>
      </c>
      <c r="I619" s="2" cm="1">
        <f t="array" ref="I6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9" s="2" cm="1">
        <f t="array" ref="J6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9" s="2">
        <f>Games[[#This Row],[DaysOff]]-Games[[#This Row],[OppDaysOff]]</f>
        <v>0</v>
      </c>
      <c r="L619" s="2">
        <f>Games[[#This Row],[OppDaysOff]]-Games[[#This Row],[DaysOff]]</f>
        <v>0</v>
      </c>
      <c r="M619" s="1">
        <f>MAX(-16, MIN(16, Games[[#This Row],[RestDiff]]*8))</f>
        <v>0</v>
      </c>
      <c r="N619" s="1">
        <f>MAX(-16, MIN(16, Games[[#This Row],[OppRestDiff]]*8))</f>
        <v>0</v>
      </c>
      <c r="O619" s="4" cm="1">
        <f t="array" ref="O6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1682.9169850988746</v>
      </c>
      <c r="P619" s="4" cm="1">
        <f t="array" ref="P6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1609.2602906665704</v>
      </c>
      <c r="Q619" s="4">
        <f>1/(1+10^(((Games[[#This Row],[OppPreGmRate]]+IF(Games[[#This Row],[HomeAway]]="A",HCA,0)+Games[[#This Row],[OppRestAdj]])-(Games[[#This Row],[PreGmRate]]+IF(Games[[#This Row],[HomeAway]]="H",HCA,0)+Games[[#This Row],[RestAdj]]))/400))</f>
        <v>0.71249750788927113</v>
      </c>
      <c r="R619" s="1">
        <v>91</v>
      </c>
      <c r="S619" s="1">
        <v>78</v>
      </c>
      <c r="T619" s="1">
        <v>0</v>
      </c>
      <c r="U619" s="1">
        <f>Games[[#This Row],[PointsFor]]-Games[[#This Row],[PointsAgainst]]</f>
        <v>13</v>
      </c>
      <c r="V619" s="1">
        <f>IF(Games[[#This Row],[MOV]]&gt;0,1,IF(Games[[#This Row],[MOV]]=0,0.5,0))</f>
        <v>1</v>
      </c>
      <c r="W619" s="4">
        <f>((ABS(Games[[#This Row],[MOV]])+5)^0.6)/(12+0.01*(ABS(Games[[#This Row],[PreGmRate]]-Games[[#This Row],[OppPreGmRate]])))*IF(Games[[#This Row],[OT]]=1,0.9,1)</f>
        <v>0.4447450472746276</v>
      </c>
      <c r="X619" s="7" cm="1">
        <f t="array" ref="X6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619" s="9">
        <f>MAX(kmin, kmax - 0.15 * MIN(Games[[#This Row],[GamesPlayed]], 82))</f>
        <v>67.900000000000006</v>
      </c>
      <c r="Z619" s="4">
        <f>Games[[#This Row],[K]]*Games[[#This Row],[POMult]]</f>
        <v>91.66500000000002</v>
      </c>
      <c r="AA619" s="4">
        <f>(Games[[#This Row],[Keff]]*Games[[#This Row],[MOVMult]])*(Games[[#This Row],[Result]]-Games[[#This Row],[ExpectedWin%]])</f>
        <v>11.72077359030887</v>
      </c>
      <c r="AB619" s="4">
        <f>Games[[#This Row],[PreGmRate]]+Games[[#This Row],[RatingChange]]</f>
        <v>1694.6377586891836</v>
      </c>
      <c r="AC619" s="2">
        <f>IF(Games[[#This Row],[Type]]="R",IF(Games[[#This Row],[Result]]&gt;0.5,1,0),0)</f>
        <v>0</v>
      </c>
      <c r="AD619" s="2">
        <f>IF(Games[[#This Row],[Type]]="R",IF(Games[[#This Row],[Result]]&lt;0.5,1,0),0)</f>
        <v>0</v>
      </c>
      <c r="AE619" s="2">
        <f>IF(AND(Games[[#This Row],[Type]]="P",Games[[#This Row],[Round]]=1),IF(Games[[#This Row],[Result]]&gt;0.5,1,0),0)</f>
        <v>0</v>
      </c>
      <c r="AF619" s="2">
        <f>IF(AND(Games[[#This Row],[Type]]="P",Games[[#This Row],[Round]]=1),IF(Games[[#This Row],[Result]]&lt;0.5,1,0),0)</f>
        <v>0</v>
      </c>
      <c r="AG619" s="2">
        <f>IF(AND(Games[[#This Row],[Type]]="P",Games[[#This Row],[Round]]=2),IF(Games[[#This Row],[Result]]&gt;0.5,1,0),0)</f>
        <v>0</v>
      </c>
      <c r="AH619" s="2">
        <f>IF(AND(Games[[#This Row],[Type]]="P",Games[[#This Row],[Round]]=2),IF(Games[[#This Row],[Result]]&lt;0.5,1,0),0)</f>
        <v>0</v>
      </c>
      <c r="AI619" s="2">
        <f>IF(AND(Games[[#This Row],[Type]]="P",Games[[#This Row],[Round]]=3),IF(Games[[#This Row],[Result]]&gt;0.5,1,0),0)</f>
        <v>1</v>
      </c>
      <c r="AJ619" s="2">
        <f>IF(AND(Games[[#This Row],[Type]]="P",Games[[#This Row],[Round]]=3),IF(Games[[#This Row],[Result]]&lt;0.5,1,0),0)</f>
        <v>0</v>
      </c>
      <c r="AK619" s="2">
        <f>IF(AND(Games[[#This Row],[Type]]="P",Games[[#This Row],[Round]]=4),IF(Games[[#This Row],[Result]]&gt;0.5,1,0),0)</f>
        <v>0</v>
      </c>
      <c r="AL619" s="2">
        <f>IF(AND(Games[[#This Row],[Type]]="P",Games[[#This Row],[Round]]=4),IF(Games[[#This Row],[Result]]&lt;0.5,1,0),0)</f>
        <v>0</v>
      </c>
    </row>
    <row r="620" spans="1:38" x14ac:dyDescent="0.35">
      <c r="A620" s="10">
        <v>45938</v>
      </c>
      <c r="B620" s="2">
        <v>2025</v>
      </c>
      <c r="C620" s="2">
        <f>COUNTIFS(Games[Team],Games[[#This Row],[Team]],Games[Season],Games[[#This Row],[Season]],Games[Date],"&lt;=" &amp; Games[[#This Row],[Date]])</f>
        <v>55</v>
      </c>
      <c r="D620" s="2" t="s">
        <v>83</v>
      </c>
      <c r="E620" s="2">
        <v>3</v>
      </c>
      <c r="F620" s="1" t="s">
        <v>86</v>
      </c>
      <c r="G620" s="1" t="s">
        <v>40</v>
      </c>
      <c r="H620" s="1" t="s">
        <v>81</v>
      </c>
      <c r="I620" s="2" cm="1">
        <f t="array" ref="I6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620" s="2" cm="1">
        <f t="array" ref="J6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20" s="2">
        <f>Games[[#This Row],[DaysOff]]-Games[[#This Row],[OppDaysOff]]</f>
        <v>0</v>
      </c>
      <c r="L620" s="2">
        <f>Games[[#This Row],[OppDaysOff]]-Games[[#This Row],[DaysOff]]</f>
        <v>0</v>
      </c>
      <c r="M620" s="1">
        <f>MAX(-16, MIN(16, Games[[#This Row],[RestDiff]]*8))</f>
        <v>0</v>
      </c>
      <c r="N620" s="1">
        <f>MAX(-16, MIN(16, Games[[#This Row],[OppRestDiff]]*8))</f>
        <v>0</v>
      </c>
      <c r="O620" s="4" cm="1">
        <f t="array" ref="O6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1694.6377586891836</v>
      </c>
      <c r="P620" s="4" cm="1">
        <f t="array" ref="P6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1597.5136243510988</v>
      </c>
      <c r="Q620" s="4">
        <f>1/(1+10^(((Games[[#This Row],[OppPreGmRate]]+IF(Games[[#This Row],[HomeAway]]="A",HCA,0)+Games[[#This Row],[OppRestAdj]])-(Games[[#This Row],[PreGmRate]]+IF(Games[[#This Row],[HomeAway]]="H",HCA,0)+Games[[#This Row],[RestAdj]]))/400))</f>
        <v>0.51887816933729536</v>
      </c>
      <c r="R620" s="1">
        <v>90</v>
      </c>
      <c r="S620" s="1">
        <v>88</v>
      </c>
      <c r="T620" s="1">
        <v>0</v>
      </c>
      <c r="U620" s="1">
        <f>Games[[#This Row],[PointsFor]]-Games[[#This Row],[PointsAgainst]]</f>
        <v>2</v>
      </c>
      <c r="V620" s="1">
        <f>IF(Games[[#This Row],[MOV]]&gt;0,1,IF(Games[[#This Row],[MOV]]=0,0.5,0))</f>
        <v>1</v>
      </c>
      <c r="W620" s="4">
        <f>((ABS(Games[[#This Row],[MOV]])+5)^0.6)/(12+0.01*(ABS(Games[[#This Row],[PreGmRate]]-Games[[#This Row],[OppPreGmRate]])))*IF(Games[[#This Row],[OT]]=1,0.9,1)</f>
        <v>0.24778629620951223</v>
      </c>
      <c r="X620" s="7" cm="1">
        <f t="array" ref="X6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620" s="9">
        <f>MAX(kmin, kmax - 0.15 * MIN(Games[[#This Row],[GamesPlayed]], 82))</f>
        <v>67.75</v>
      </c>
      <c r="Z620" s="4">
        <f>Games[[#This Row],[K]]*Games[[#This Row],[POMult]]</f>
        <v>91.462500000000006</v>
      </c>
      <c r="AA620" s="4">
        <f>(Games[[#This Row],[Keff]]*Games[[#This Row],[MOVMult]])*(Games[[#This Row],[Result]]-Games[[#This Row],[ExpectedWin%]])</f>
        <v>10.903738197392128</v>
      </c>
      <c r="AB620" s="4">
        <f>Games[[#This Row],[PreGmRate]]+Games[[#This Row],[RatingChange]]</f>
        <v>1705.5414968865757</v>
      </c>
      <c r="AC620" s="2">
        <f>IF(Games[[#This Row],[Type]]="R",IF(Games[[#This Row],[Result]]&gt;0.5,1,0),0)</f>
        <v>0</v>
      </c>
      <c r="AD620" s="2">
        <f>IF(Games[[#This Row],[Type]]="R",IF(Games[[#This Row],[Result]]&lt;0.5,1,0),0)</f>
        <v>0</v>
      </c>
      <c r="AE620" s="2">
        <f>IF(AND(Games[[#This Row],[Type]]="P",Games[[#This Row],[Round]]=1),IF(Games[[#This Row],[Result]]&gt;0.5,1,0),0)</f>
        <v>0</v>
      </c>
      <c r="AF620" s="2">
        <f>IF(AND(Games[[#This Row],[Type]]="P",Games[[#This Row],[Round]]=1),IF(Games[[#This Row],[Result]]&lt;0.5,1,0),0)</f>
        <v>0</v>
      </c>
      <c r="AG620" s="2">
        <f>IF(AND(Games[[#This Row],[Type]]="P",Games[[#This Row],[Round]]=2),IF(Games[[#This Row],[Result]]&gt;0.5,1,0),0)</f>
        <v>0</v>
      </c>
      <c r="AH620" s="2">
        <f>IF(AND(Games[[#This Row],[Type]]="P",Games[[#This Row],[Round]]=2),IF(Games[[#This Row],[Result]]&lt;0.5,1,0),0)</f>
        <v>0</v>
      </c>
      <c r="AI620" s="2">
        <f>IF(AND(Games[[#This Row],[Type]]="P",Games[[#This Row],[Round]]=3),IF(Games[[#This Row],[Result]]&gt;0.5,1,0),0)</f>
        <v>1</v>
      </c>
      <c r="AJ620" s="2">
        <f>IF(AND(Games[[#This Row],[Type]]="P",Games[[#This Row],[Round]]=3),IF(Games[[#This Row],[Result]]&lt;0.5,1,0),0)</f>
        <v>0</v>
      </c>
      <c r="AK620" s="2">
        <f>IF(AND(Games[[#This Row],[Type]]="P",Games[[#This Row],[Round]]=4),IF(Games[[#This Row],[Result]]&gt;0.5,1,0),0)</f>
        <v>0</v>
      </c>
      <c r="AL620" s="2">
        <f>IF(AND(Games[[#This Row],[Type]]="P",Games[[#This Row],[Round]]=4),IF(Games[[#This Row],[Result]]&lt;0.5,1,0),0)</f>
        <v>0</v>
      </c>
    </row>
    <row r="621" spans="1:38" x14ac:dyDescent="0.35">
      <c r="A621" s="10">
        <v>45938</v>
      </c>
      <c r="B621" s="2">
        <v>2025</v>
      </c>
      <c r="C621" s="2">
        <f>COUNTIFS(Games[Team],Games[[#This Row],[Team]],Games[Season],Games[[#This Row],[Season]],Games[Date],"&lt;=" &amp; Games[[#This Row],[Date]])</f>
        <v>54</v>
      </c>
      <c r="D621" s="2" t="s">
        <v>83</v>
      </c>
      <c r="E621" s="2">
        <v>3</v>
      </c>
      <c r="F621" s="1" t="s">
        <v>40</v>
      </c>
      <c r="G621" s="1" t="s">
        <v>86</v>
      </c>
      <c r="H621" s="1" t="s">
        <v>82</v>
      </c>
      <c r="I621" s="2" cm="1">
        <f t="array" ref="I6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621" s="2" cm="1">
        <f t="array" ref="J6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21" s="2">
        <f>Games[[#This Row],[DaysOff]]-Games[[#This Row],[OppDaysOff]]</f>
        <v>0</v>
      </c>
      <c r="L621" s="2">
        <f>Games[[#This Row],[OppDaysOff]]-Games[[#This Row],[DaysOff]]</f>
        <v>0</v>
      </c>
      <c r="M621" s="1">
        <f>MAX(-16, MIN(16, Games[[#This Row],[RestDiff]]*8))</f>
        <v>0</v>
      </c>
      <c r="N621" s="1">
        <f>MAX(-16, MIN(16, Games[[#This Row],[OppRestDiff]]*8))</f>
        <v>0</v>
      </c>
      <c r="O621" s="4" cm="1">
        <f t="array" ref="O6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1597.5136243510988</v>
      </c>
      <c r="P621" s="4" cm="1">
        <f t="array" ref="P6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1694.6377586891836</v>
      </c>
      <c r="Q621" s="4">
        <f>1/(1+10^(((Games[[#This Row],[OppPreGmRate]]+IF(Games[[#This Row],[HomeAway]]="A",HCA,0)+Games[[#This Row],[OppRestAdj]])-(Games[[#This Row],[PreGmRate]]+IF(Games[[#This Row],[HomeAway]]="H",HCA,0)+Games[[#This Row],[RestAdj]]))/400))</f>
        <v>0.48112183066270459</v>
      </c>
      <c r="R621" s="1">
        <v>88</v>
      </c>
      <c r="S621" s="1">
        <v>90</v>
      </c>
      <c r="T621" s="1">
        <v>0</v>
      </c>
      <c r="U621" s="1">
        <f>Games[[#This Row],[PointsFor]]-Games[[#This Row],[PointsAgainst]]</f>
        <v>-2</v>
      </c>
      <c r="V621" s="1">
        <f>IF(Games[[#This Row],[MOV]]&gt;0,1,IF(Games[[#This Row],[MOV]]=0,0.5,0))</f>
        <v>0</v>
      </c>
      <c r="W621" s="4">
        <f>((ABS(Games[[#This Row],[MOV]])+5)^0.6)/(12+0.01*(ABS(Games[[#This Row],[PreGmRate]]-Games[[#This Row],[OppPreGmRate]])))*IF(Games[[#This Row],[OT]]=1,0.9,1)</f>
        <v>0.24778629620951223</v>
      </c>
      <c r="X621" s="7" cm="1">
        <f t="array" ref="X6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621" s="9">
        <f>MAX(kmin, kmax - 0.15 * MIN(Games[[#This Row],[GamesPlayed]], 82))</f>
        <v>67.900000000000006</v>
      </c>
      <c r="Z621" s="4">
        <f>Games[[#This Row],[K]]*Games[[#This Row],[POMult]]</f>
        <v>91.66500000000002</v>
      </c>
      <c r="AA621" s="4">
        <f>(Games[[#This Row],[Keff]]*Games[[#This Row],[MOVMult]])*(Games[[#This Row],[Result]]-Games[[#This Row],[ExpectedWin%]])</f>
        <v>-10.927879315172332</v>
      </c>
      <c r="AB621" s="4">
        <f>Games[[#This Row],[PreGmRate]]+Games[[#This Row],[RatingChange]]</f>
        <v>1586.5857450359265</v>
      </c>
      <c r="AC621" s="2">
        <f>IF(Games[[#This Row],[Type]]="R",IF(Games[[#This Row],[Result]]&gt;0.5,1,0),0)</f>
        <v>0</v>
      </c>
      <c r="AD621" s="2">
        <f>IF(Games[[#This Row],[Type]]="R",IF(Games[[#This Row],[Result]]&lt;0.5,1,0),0)</f>
        <v>0</v>
      </c>
      <c r="AE621" s="2">
        <f>IF(AND(Games[[#This Row],[Type]]="P",Games[[#This Row],[Round]]=1),IF(Games[[#This Row],[Result]]&gt;0.5,1,0),0)</f>
        <v>0</v>
      </c>
      <c r="AF621" s="2">
        <f>IF(AND(Games[[#This Row],[Type]]="P",Games[[#This Row],[Round]]=1),IF(Games[[#This Row],[Result]]&lt;0.5,1,0),0)</f>
        <v>0</v>
      </c>
      <c r="AG621" s="2">
        <f>IF(AND(Games[[#This Row],[Type]]="P",Games[[#This Row],[Round]]=2),IF(Games[[#This Row],[Result]]&gt;0.5,1,0),0)</f>
        <v>0</v>
      </c>
      <c r="AH621" s="2">
        <f>IF(AND(Games[[#This Row],[Type]]="P",Games[[#This Row],[Round]]=2),IF(Games[[#This Row],[Result]]&lt;0.5,1,0),0)</f>
        <v>0</v>
      </c>
      <c r="AI621" s="2">
        <f>IF(AND(Games[[#This Row],[Type]]="P",Games[[#This Row],[Round]]=3),IF(Games[[#This Row],[Result]]&gt;0.5,1,0),0)</f>
        <v>0</v>
      </c>
      <c r="AJ621" s="2">
        <f>IF(AND(Games[[#This Row],[Type]]="P",Games[[#This Row],[Round]]=3),IF(Games[[#This Row],[Result]]&lt;0.5,1,0),0)</f>
        <v>1</v>
      </c>
      <c r="AK621" s="2">
        <f>IF(AND(Games[[#This Row],[Type]]="P",Games[[#This Row],[Round]]=4),IF(Games[[#This Row],[Result]]&gt;0.5,1,0),0)</f>
        <v>0</v>
      </c>
      <c r="AL621" s="2">
        <f>IF(AND(Games[[#This Row],[Type]]="P",Games[[#This Row],[Round]]=4),IF(Games[[#This Row],[Result]]&lt;0.5,1,0),0)</f>
        <v>0</v>
      </c>
    </row>
    <row r="622" spans="1:38" x14ac:dyDescent="0.35">
      <c r="A622" s="10">
        <v>45940</v>
      </c>
      <c r="B622" s="2">
        <v>2025</v>
      </c>
      <c r="C622" s="2">
        <f>COUNTIFS(Games[Team],Games[[#This Row],[Team]],Games[Season],Games[[#This Row],[Season]],Games[Date],"&lt;=" &amp; Games[[#This Row],[Date]])</f>
        <v>56</v>
      </c>
      <c r="D622" s="2" t="s">
        <v>83</v>
      </c>
      <c r="E622" s="2">
        <v>3</v>
      </c>
      <c r="F622" s="1" t="s">
        <v>86</v>
      </c>
      <c r="G622" s="1" t="s">
        <v>40</v>
      </c>
      <c r="H622" s="1" t="s">
        <v>81</v>
      </c>
      <c r="I622" s="2" cm="1">
        <f t="array" ref="I6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2" s="2" cm="1">
        <f t="array" ref="J6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2" s="2">
        <f>Games[[#This Row],[DaysOff]]-Games[[#This Row],[OppDaysOff]]</f>
        <v>0</v>
      </c>
      <c r="L622" s="2">
        <f>Games[[#This Row],[OppDaysOff]]-Games[[#This Row],[DaysOff]]</f>
        <v>0</v>
      </c>
      <c r="M622" s="1">
        <f>MAX(-16, MIN(16, Games[[#This Row],[RestDiff]]*8))</f>
        <v>0</v>
      </c>
      <c r="N622" s="1">
        <f>MAX(-16, MIN(16, Games[[#This Row],[OppRestDiff]]*8))</f>
        <v>0</v>
      </c>
      <c r="O622" s="4" cm="1">
        <f t="array" ref="O6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1705.5414968865757</v>
      </c>
      <c r="P622" s="4" cm="1">
        <f t="array" ref="P6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1586.5857450359265</v>
      </c>
      <c r="Q622" s="4">
        <f>1/(1+10^(((Games[[#This Row],[OppPreGmRate]]+IF(Games[[#This Row],[HomeAway]]="A",HCA,0)+Games[[#This Row],[OppRestAdj]])-(Games[[#This Row],[PreGmRate]]+IF(Games[[#This Row],[HomeAway]]="H",HCA,0)+Games[[#This Row],[RestAdj]]))/400))</f>
        <v>0.5501363161121412</v>
      </c>
      <c r="R622" s="1">
        <v>97</v>
      </c>
      <c r="S622" s="1">
        <v>86</v>
      </c>
      <c r="T622" s="1">
        <v>0</v>
      </c>
      <c r="U622" s="1">
        <f>Games[[#This Row],[PointsFor]]-Games[[#This Row],[PointsAgainst]]</f>
        <v>11</v>
      </c>
      <c r="V622" s="1">
        <f>IF(Games[[#This Row],[MOV]]&gt;0,1,IF(Games[[#This Row],[MOV]]=0,0.5,0))</f>
        <v>1</v>
      </c>
      <c r="W622" s="4">
        <f>((ABS(Games[[#This Row],[MOV]])+5)^0.6)/(12+0.01*(ABS(Games[[#This Row],[PreGmRate]]-Games[[#This Row],[OppPreGmRate]])))*IF(Games[[#This Row],[OT]]=1,0.9,1)</f>
        <v>0.40016745335739135</v>
      </c>
      <c r="X622" s="7" cm="1">
        <f t="array" ref="X6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622" s="9">
        <f>MAX(kmin, kmax - 0.15 * MIN(Games[[#This Row],[GamesPlayed]], 82))</f>
        <v>67.599999999999994</v>
      </c>
      <c r="Z622" s="4">
        <f>Games[[#This Row],[K]]*Games[[#This Row],[POMult]]</f>
        <v>91.26</v>
      </c>
      <c r="AA622" s="4">
        <f>(Games[[#This Row],[Keff]]*Games[[#This Row],[MOVMult]])*(Games[[#This Row],[Result]]-Games[[#This Row],[ExpectedWin%]])</f>
        <v>16.428698640515726</v>
      </c>
      <c r="AB622" s="4">
        <f>Games[[#This Row],[PreGmRate]]+Games[[#This Row],[RatingChange]]</f>
        <v>1721.9701955270914</v>
      </c>
      <c r="AC622" s="2">
        <f>IF(Games[[#This Row],[Type]]="R",IF(Games[[#This Row],[Result]]&gt;0.5,1,0),0)</f>
        <v>0</v>
      </c>
      <c r="AD622" s="2">
        <f>IF(Games[[#This Row],[Type]]="R",IF(Games[[#This Row],[Result]]&lt;0.5,1,0),0)</f>
        <v>0</v>
      </c>
      <c r="AE622" s="2">
        <f>IF(AND(Games[[#This Row],[Type]]="P",Games[[#This Row],[Round]]=1),IF(Games[[#This Row],[Result]]&gt;0.5,1,0),0)</f>
        <v>0</v>
      </c>
      <c r="AF622" s="2">
        <f>IF(AND(Games[[#This Row],[Type]]="P",Games[[#This Row],[Round]]=1),IF(Games[[#This Row],[Result]]&lt;0.5,1,0),0)</f>
        <v>0</v>
      </c>
      <c r="AG622" s="2">
        <f>IF(AND(Games[[#This Row],[Type]]="P",Games[[#This Row],[Round]]=2),IF(Games[[#This Row],[Result]]&gt;0.5,1,0),0)</f>
        <v>0</v>
      </c>
      <c r="AH622" s="2">
        <f>IF(AND(Games[[#This Row],[Type]]="P",Games[[#This Row],[Round]]=2),IF(Games[[#This Row],[Result]]&lt;0.5,1,0),0)</f>
        <v>0</v>
      </c>
      <c r="AI622" s="2">
        <f>IF(AND(Games[[#This Row],[Type]]="P",Games[[#This Row],[Round]]=3),IF(Games[[#This Row],[Result]]&gt;0.5,1,0),0)</f>
        <v>1</v>
      </c>
      <c r="AJ622" s="2">
        <f>IF(AND(Games[[#This Row],[Type]]="P",Games[[#This Row],[Round]]=3),IF(Games[[#This Row],[Result]]&lt;0.5,1,0),0)</f>
        <v>0</v>
      </c>
      <c r="AK622" s="2">
        <f>IF(AND(Games[[#This Row],[Type]]="P",Games[[#This Row],[Round]]=4),IF(Games[[#This Row],[Result]]&gt;0.5,1,0),0)</f>
        <v>0</v>
      </c>
      <c r="AL622" s="2">
        <f>IF(AND(Games[[#This Row],[Type]]="P",Games[[#This Row],[Round]]=4),IF(Games[[#This Row],[Result]]&lt;0.5,1,0),0)</f>
        <v>0</v>
      </c>
    </row>
    <row r="623" spans="1:38" x14ac:dyDescent="0.35">
      <c r="A623" s="10">
        <v>45940</v>
      </c>
      <c r="B623" s="2">
        <v>2025</v>
      </c>
      <c r="C623" s="2">
        <f>COUNTIFS(Games[Team],Games[[#This Row],[Team]],Games[Season],Games[[#This Row],[Season]],Games[Date],"&lt;=" &amp; Games[[#This Row],[Date]])</f>
        <v>55</v>
      </c>
      <c r="D623" s="2" t="s">
        <v>83</v>
      </c>
      <c r="E623" s="2">
        <v>3</v>
      </c>
      <c r="F623" s="1" t="s">
        <v>40</v>
      </c>
      <c r="G623" s="1" t="s">
        <v>86</v>
      </c>
      <c r="H623" s="1" t="s">
        <v>82</v>
      </c>
      <c r="I623" s="2" cm="1">
        <f t="array" ref="I6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3" s="2" cm="1">
        <f t="array" ref="J6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3" s="2">
        <f>Games[[#This Row],[DaysOff]]-Games[[#This Row],[OppDaysOff]]</f>
        <v>0</v>
      </c>
      <c r="L623" s="2">
        <f>Games[[#This Row],[OppDaysOff]]-Games[[#This Row],[DaysOff]]</f>
        <v>0</v>
      </c>
      <c r="M623" s="1">
        <f>MAX(-16, MIN(16, Games[[#This Row],[RestDiff]]*8))</f>
        <v>0</v>
      </c>
      <c r="N623" s="1">
        <f>MAX(-16, MIN(16, Games[[#This Row],[OppRestDiff]]*8))</f>
        <v>0</v>
      </c>
      <c r="O623" s="4" cm="1">
        <f t="array" ref="O6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1586.5857450359265</v>
      </c>
      <c r="P623" s="4" cm="1">
        <f t="array" ref="P6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1705.5414968865757</v>
      </c>
      <c r="Q623" s="4">
        <f>1/(1+10^(((Games[[#This Row],[OppPreGmRate]]+IF(Games[[#This Row],[HomeAway]]="A",HCA,0)+Games[[#This Row],[OppRestAdj]])-(Games[[#This Row],[PreGmRate]]+IF(Games[[#This Row],[HomeAway]]="H",HCA,0)+Games[[#This Row],[RestAdj]]))/400))</f>
        <v>0.44986368388785869</v>
      </c>
      <c r="R623" s="1">
        <v>86</v>
      </c>
      <c r="S623" s="1">
        <v>97</v>
      </c>
      <c r="T623" s="1">
        <v>0</v>
      </c>
      <c r="U623" s="1">
        <f>Games[[#This Row],[PointsFor]]-Games[[#This Row],[PointsAgainst]]</f>
        <v>-11</v>
      </c>
      <c r="V623" s="1">
        <f>IF(Games[[#This Row],[MOV]]&gt;0,1,IF(Games[[#This Row],[MOV]]=0,0.5,0))</f>
        <v>0</v>
      </c>
      <c r="W623" s="4">
        <f>((ABS(Games[[#This Row],[MOV]])+5)^0.6)/(12+0.01*(ABS(Games[[#This Row],[PreGmRate]]-Games[[#This Row],[OppPreGmRate]])))*IF(Games[[#This Row],[OT]]=1,0.9,1)</f>
        <v>0.40016745335739135</v>
      </c>
      <c r="X623" s="7" cm="1">
        <f t="array" ref="X6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623" s="9">
        <f>MAX(kmin, kmax - 0.15 * MIN(Games[[#This Row],[GamesPlayed]], 82))</f>
        <v>67.75</v>
      </c>
      <c r="Z623" s="4">
        <f>Games[[#This Row],[K]]*Games[[#This Row],[POMult]]</f>
        <v>91.462500000000006</v>
      </c>
      <c r="AA623" s="4">
        <f>(Games[[#This Row],[Keff]]*Games[[#This Row],[MOVMult]])*(Games[[#This Row],[Result]]-Games[[#This Row],[ExpectedWin%]])</f>
        <v>-16.465152853475445</v>
      </c>
      <c r="AB623" s="4">
        <f>Games[[#This Row],[PreGmRate]]+Games[[#This Row],[RatingChange]]</f>
        <v>1570.120592182451</v>
      </c>
      <c r="AC623" s="2">
        <f>IF(Games[[#This Row],[Type]]="R",IF(Games[[#This Row],[Result]]&gt;0.5,1,0),0)</f>
        <v>0</v>
      </c>
      <c r="AD623" s="2">
        <f>IF(Games[[#This Row],[Type]]="R",IF(Games[[#This Row],[Result]]&lt;0.5,1,0),0)</f>
        <v>0</v>
      </c>
      <c r="AE623" s="2">
        <f>IF(AND(Games[[#This Row],[Type]]="P",Games[[#This Row],[Round]]=1),IF(Games[[#This Row],[Result]]&gt;0.5,1,0),0)</f>
        <v>0</v>
      </c>
      <c r="AF623" s="2">
        <f>IF(AND(Games[[#This Row],[Type]]="P",Games[[#This Row],[Round]]=1),IF(Games[[#This Row],[Result]]&lt;0.5,1,0),0)</f>
        <v>0</v>
      </c>
      <c r="AG623" s="2">
        <f>IF(AND(Games[[#This Row],[Type]]="P",Games[[#This Row],[Round]]=2),IF(Games[[#This Row],[Result]]&gt;0.5,1,0),0)</f>
        <v>0</v>
      </c>
      <c r="AH623" s="2">
        <f>IF(AND(Games[[#This Row],[Type]]="P",Games[[#This Row],[Round]]=2),IF(Games[[#This Row],[Result]]&lt;0.5,1,0),0)</f>
        <v>0</v>
      </c>
      <c r="AI623" s="2">
        <f>IF(AND(Games[[#This Row],[Type]]="P",Games[[#This Row],[Round]]=3),IF(Games[[#This Row],[Result]]&gt;0.5,1,0),0)</f>
        <v>0</v>
      </c>
      <c r="AJ623" s="2">
        <f>IF(AND(Games[[#This Row],[Type]]="P",Games[[#This Row],[Round]]=3),IF(Games[[#This Row],[Result]]&lt;0.5,1,0),0)</f>
        <v>1</v>
      </c>
      <c r="AK623" s="2">
        <f>IF(AND(Games[[#This Row],[Type]]="P",Games[[#This Row],[Round]]=4),IF(Games[[#This Row],[Result]]&gt;0.5,1,0),0)</f>
        <v>0</v>
      </c>
      <c r="AL623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2026-08-26T00:00:17Z</dcterms:modified>
</cp:coreProperties>
</file>
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C0578A5D-54A0-4F3B-B557-A3C3D3C92FAA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3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29" i="3"/>
  <c r="D29" i="3"/>
  <c r="C29" i="3"/>
  <c r="B29" i="3"/>
  <c r="E35" i="3"/>
  <c r="D35" i="3"/>
  <c r="C35" i="3"/>
  <c r="B35" i="3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F26" i="3" l="1"/>
  <c r="F29" i="3"/>
  <c r="Z19" i="2"/>
  <c r="Z20" i="2"/>
  <c r="Z21" i="2"/>
  <c r="Z22" i="2"/>
  <c r="Z23" i="2"/>
  <c r="Z24" i="2"/>
  <c r="Z25" i="2"/>
  <c r="Z26" i="2"/>
  <c r="F25" i="3"/>
  <c r="F28" i="3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P31" i="2" l="1" a="1"/>
  <c r="O30" i="2" a="1"/>
  <c r="O31" i="2" a="1"/>
  <c r="P30" i="2" a="1"/>
  <c r="AA26" i="2"/>
  <c r="AB26" i="2" s="1"/>
  <c r="AA27" i="2"/>
  <c r="AB27" i="2" s="1"/>
  <c r="O29" i="2" l="1" a="1"/>
  <c r="P29" i="2" a="1"/>
  <c r="O28" i="2" a="1"/>
  <c r="P28" i="2" a="1"/>
  <c r="Q31" i="2"/>
  <c r="Q30" i="2"/>
  <c r="W31" i="2"/>
  <c r="W30" i="2"/>
  <c r="Q28" i="2" l="1"/>
  <c r="Q29" i="2"/>
  <c r="W28" i="2"/>
  <c r="W29" i="2"/>
  <c r="AA31" i="2"/>
  <c r="AB31" i="2" s="1"/>
  <c r="AA30" i="2"/>
  <c r="AB30" i="2" s="1"/>
  <c r="AA28" i="2" l="1"/>
  <c r="AB28" i="2" s="1"/>
  <c r="AA29" i="2"/>
  <c r="AB29" i="2" s="1"/>
  <c r="P32" i="2" a="1"/>
  <c r="P33" i="2" a="1"/>
  <c r="O33" i="2" a="1"/>
  <c r="O32" i="2" a="1"/>
  <c r="W32" i="2" l="1"/>
  <c r="Q33" i="2"/>
  <c r="Q32" i="2"/>
  <c r="W33" i="2"/>
  <c r="AA32" i="2" l="1"/>
  <c r="AB32" i="2" s="1"/>
  <c r="AA33" i="2"/>
  <c r="AB33" i="2" s="1"/>
  <c r="O35" i="2" l="1" a="1"/>
  <c r="O34" i="2" a="1"/>
  <c r="P34" i="2" a="1"/>
  <c r="P35" i="2" a="1"/>
  <c r="O37" i="2" a="1"/>
  <c r="P36" i="2" a="1"/>
  <c r="O36" i="2" a="1"/>
  <c r="P37" i="2" a="1"/>
  <c r="Q34" i="2" l="1"/>
  <c r="Q35" i="2"/>
  <c r="W35" i="2"/>
  <c r="W34" i="2"/>
  <c r="W36" i="2"/>
  <c r="Q37" i="2"/>
  <c r="W37" i="2"/>
  <c r="Q36" i="2"/>
  <c r="AA35" i="2" l="1"/>
  <c r="AB35" i="2" s="1"/>
  <c r="AA34" i="2"/>
  <c r="AB34" i="2" s="1"/>
  <c r="AA37" i="2"/>
  <c r="AB37" i="2" s="1"/>
  <c r="P39" i="2" a="1"/>
  <c r="P38" i="2" a="1"/>
  <c r="O38" i="2" a="1"/>
  <c r="O39" i="2" a="1"/>
  <c r="AA36" i="2"/>
  <c r="AB36" i="2" s="1"/>
  <c r="W38" i="2" l="1"/>
  <c r="Q39" i="2"/>
  <c r="Q38" i="2"/>
  <c r="W39" i="2"/>
  <c r="AA38" i="2" l="1"/>
  <c r="AB38" i="2" s="1"/>
  <c r="AA39" i="2"/>
  <c r="AB39" i="2" s="1"/>
  <c r="P40" i="2" l="1" a="1"/>
  <c r="O41" i="2" a="1"/>
  <c r="P41" i="2" a="1"/>
  <c r="O40" i="2" a="1"/>
  <c r="W41" i="2" l="1"/>
  <c r="W40" i="2"/>
  <c r="Q41" i="2"/>
  <c r="Q40" i="2"/>
  <c r="O43" i="2" a="1"/>
  <c r="O42" i="2" a="1"/>
  <c r="P43" i="2" a="1"/>
  <c r="P42" i="2" a="1"/>
  <c r="AA41" i="2" l="1"/>
  <c r="AB41" i="2" s="1"/>
  <c r="AA40" i="2"/>
  <c r="AB40" i="2" s="1"/>
  <c r="Q43" i="2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O59" i="2" s="1" a="1"/>
  <c r="O58" i="2" a="1"/>
  <c r="P59" i="2" a="1"/>
  <c r="P58" i="2" a="1"/>
  <c r="Q57" i="2" l="1"/>
  <c r="Q56" i="2"/>
  <c r="W57" i="2"/>
  <c r="W56" i="2"/>
  <c r="Q59" i="2"/>
  <c r="Q58" i="2"/>
  <c r="W59" i="2"/>
  <c r="W58" i="2"/>
  <c r="AA57" i="2" l="1"/>
  <c r="AB57" i="2" s="1"/>
  <c r="AA56" i="2"/>
  <c r="AB56" i="2" s="1"/>
  <c r="AA59" i="2"/>
  <c r="AB59" i="2" s="1"/>
  <c r="AA58" i="2"/>
  <c r="AB58" i="2" s="1"/>
  <c r="O60" i="2" l="1" a="1"/>
  <c r="P60" i="2" a="1"/>
  <c r="P61" i="2" a="1"/>
  <c r="O61" i="2" a="1"/>
  <c r="Q60" i="2" l="1"/>
  <c r="W61" i="2"/>
  <c r="Q61" i="2"/>
  <c r="W60" i="2"/>
  <c r="AA60" i="2" l="1"/>
  <c r="AB60" i="2" s="1"/>
  <c r="AA61" i="2"/>
  <c r="AB61" i="2" s="1"/>
  <c r="P64" i="2" a="1"/>
  <c r="P65" i="2" a="1"/>
  <c r="O64" i="2" a="1"/>
  <c r="O65" i="2" a="1"/>
  <c r="P63" i="2" l="1" a="1"/>
  <c r="O62" i="2" a="1"/>
  <c r="O63" i="2" a="1"/>
  <c r="P62" i="2" a="1"/>
  <c r="Q65" i="2"/>
  <c r="W64" i="2"/>
  <c r="W65" i="2"/>
  <c r="Q64" i="2"/>
  <c r="W62" i="2" l="1"/>
  <c r="W63" i="2"/>
  <c r="Q63" i="2"/>
  <c r="Q62" i="2"/>
  <c r="AA64" i="2"/>
  <c r="AB64" i="2" s="1"/>
  <c r="AA65" i="2"/>
  <c r="AB65" i="2" s="1"/>
  <c r="AA62" i="2" l="1"/>
  <c r="AB62" i="2" s="1"/>
  <c r="AA63" i="2"/>
  <c r="AB63" i="2" s="1"/>
  <c r="O67" i="2" a="1"/>
  <c r="P66" i="2" a="1"/>
  <c r="P67" i="2" a="1"/>
  <c r="O66" i="2" a="1"/>
  <c r="W67" i="2" l="1"/>
  <c r="W66" i="2"/>
  <c r="Q66" i="2"/>
  <c r="Q67" i="2"/>
  <c r="AA67" i="2" l="1"/>
  <c r="AB67" i="2" s="1"/>
  <c r="AA66" i="2"/>
  <c r="AB66" i="2" s="1"/>
  <c r="P68" i="2" l="1" a="1"/>
  <c r="O68" i="2" a="1"/>
  <c r="P69" i="2" a="1"/>
  <c r="O69" i="2" a="1"/>
  <c r="W68" i="2" l="1"/>
  <c r="Q69" i="2"/>
  <c r="W69" i="2"/>
  <c r="P70" i="2" a="1"/>
  <c r="O70" i="2" a="1"/>
  <c r="P71" i="2" a="1"/>
  <c r="O71" i="2" a="1"/>
  <c r="Q68" i="2"/>
  <c r="AA69" i="2" l="1"/>
  <c r="AB69" i="2" s="1"/>
  <c r="AA68" i="2"/>
  <c r="AB68" i="2" s="1"/>
  <c r="Q70" i="2"/>
  <c r="W71" i="2"/>
  <c r="W70" i="2"/>
  <c r="Q71" i="2"/>
  <c r="AA70" i="2" l="1"/>
  <c r="AB70" i="2" s="1"/>
  <c r="AA71" i="2"/>
  <c r="AB71" i="2" s="1"/>
  <c r="P73" i="2" a="1"/>
  <c r="O73" i="2" a="1"/>
  <c r="P72" i="2" a="1"/>
  <c r="O72" i="2" a="1"/>
  <c r="Q72" i="2" l="1"/>
  <c r="Q73" i="2"/>
  <c r="W73" i="2"/>
  <c r="W72" i="2"/>
  <c r="AA72" i="2" l="1"/>
  <c r="AB72" i="2" s="1"/>
  <c r="AA73" i="2"/>
  <c r="AB73" i="2" s="1"/>
  <c r="O79" i="2" a="1"/>
  <c r="P79" i="2" a="1"/>
  <c r="P78" i="2" a="1"/>
  <c r="O78" i="2" a="1"/>
  <c r="P75" i="2" l="1" a="1"/>
  <c r="P76" i="2" a="1"/>
  <c r="Q76" i="2" s="1"/>
  <c r="O76" i="2" a="1"/>
  <c r="O74" i="2" a="1"/>
  <c r="P77" i="2" a="1"/>
  <c r="P74" i="2" a="1"/>
  <c r="O77" i="2" a="1"/>
  <c r="O75" i="2" a="1"/>
  <c r="W78" i="2"/>
  <c r="Q79" i="2"/>
  <c r="W79" i="2"/>
  <c r="Q78" i="2"/>
  <c r="W74" i="2" l="1"/>
  <c r="Q75" i="2"/>
  <c r="Q77" i="2"/>
  <c r="Q74" i="2"/>
  <c r="AA74" i="2" s="1"/>
  <c r="AB74" i="2" s="1"/>
  <c r="W76" i="2"/>
  <c r="AA76" i="2" s="1"/>
  <c r="AB76" i="2" s="1"/>
  <c r="W77" i="2"/>
  <c r="W75" i="2"/>
  <c r="AA78" i="2"/>
  <c r="AB78" i="2" s="1"/>
  <c r="AA79" i="2"/>
  <c r="AB79" i="2" s="1"/>
  <c r="O85" i="2" a="1"/>
  <c r="O84" i="2" a="1"/>
  <c r="P85" i="2" a="1"/>
  <c r="P84" i="2" a="1"/>
  <c r="AA77" i="2" l="1"/>
  <c r="AB77" i="2" s="1"/>
  <c r="AA75" i="2"/>
  <c r="AB75" i="2" s="1"/>
  <c r="P83" i="2" a="1"/>
  <c r="O83" i="2" a="1"/>
  <c r="O82" i="2" a="1"/>
  <c r="P82" i="2" a="1"/>
  <c r="O81" i="2" a="1"/>
  <c r="P80" i="2" a="1"/>
  <c r="P81" i="2" a="1"/>
  <c r="O80" i="2" a="1"/>
  <c r="W84" i="2"/>
  <c r="Q85" i="2"/>
  <c r="W85" i="2"/>
  <c r="Q84" i="2"/>
  <c r="Q81" i="2" l="1"/>
  <c r="Q82" i="2"/>
  <c r="W83" i="2"/>
  <c r="W80" i="2"/>
  <c r="Q83" i="2"/>
  <c r="W82" i="2"/>
  <c r="W81" i="2"/>
  <c r="Q80" i="2"/>
  <c r="AA84" i="2"/>
  <c r="AB84" i="2" s="1"/>
  <c r="AA85" i="2"/>
  <c r="AB85" i="2" s="1"/>
  <c r="AA81" i="2" l="1"/>
  <c r="AB81" i="2" s="1"/>
  <c r="AA83" i="2"/>
  <c r="AB83" i="2" s="1"/>
  <c r="AA82" i="2"/>
  <c r="AB82" i="2" s="1"/>
  <c r="AA80" i="2"/>
  <c r="AB80" i="2" s="1"/>
  <c r="O86" i="2" a="1"/>
  <c r="P87" i="2" a="1"/>
  <c r="P86" i="2" a="1"/>
  <c r="O87" i="2" a="1"/>
  <c r="O88" i="2" a="1"/>
  <c r="P89" i="2" a="1"/>
  <c r="P88" i="2" a="1"/>
  <c r="O89" i="2" a="1"/>
  <c r="W86" i="2" l="1"/>
  <c r="Q87" i="2"/>
  <c r="Q86" i="2"/>
  <c r="W87" i="2"/>
  <c r="Q88" i="2"/>
  <c r="W89" i="2"/>
  <c r="Q89" i="2"/>
  <c r="W88" i="2"/>
  <c r="AA87" i="2" l="1"/>
  <c r="AB87" i="2" s="1"/>
  <c r="AA86" i="2"/>
  <c r="AB86" i="2" s="1"/>
  <c r="AA89" i="2"/>
  <c r="AB89" i="2" s="1"/>
  <c r="AA88" i="2"/>
  <c r="AB88" i="2" s="1"/>
  <c r="O91" i="2" l="1" a="1"/>
  <c r="O90" i="2" a="1"/>
  <c r="P90" i="2" a="1"/>
  <c r="P91" i="2" a="1"/>
  <c r="Q90" i="2" l="1"/>
  <c r="W91" i="2"/>
  <c r="W90" i="2"/>
  <c r="Q91" i="2"/>
  <c r="AA90" i="2" l="1"/>
  <c r="AB90" i="2" s="1"/>
  <c r="AA91" i="2"/>
  <c r="AB91" i="2" s="1"/>
  <c r="P92" i="2" a="1"/>
  <c r="O93" i="2" a="1"/>
  <c r="O94" i="2" a="1"/>
  <c r="O92" i="2" a="1"/>
  <c r="P94" i="2" a="1"/>
  <c r="P95" i="2" a="1"/>
  <c r="O95" i="2" a="1"/>
  <c r="P93" i="2" a="1"/>
  <c r="Q93" i="2" l="1"/>
  <c r="W92" i="2"/>
  <c r="W94" i="2"/>
  <c r="W95" i="2"/>
  <c r="Q94" i="2"/>
  <c r="Q95" i="2"/>
  <c r="W93" i="2"/>
  <c r="Q92" i="2"/>
  <c r="AA93" i="2" l="1"/>
  <c r="AB93" i="2" s="1"/>
  <c r="AA94" i="2"/>
  <c r="AB94" i="2" s="1"/>
  <c r="AA95" i="2"/>
  <c r="AB95" i="2" s="1"/>
  <c r="AA92" i="2"/>
  <c r="AB92" i="2" s="1"/>
  <c r="O97" i="2" l="1" a="1"/>
  <c r="P97" i="2" a="1"/>
  <c r="O96" i="2" a="1"/>
  <c r="P96" i="2" a="1"/>
  <c r="W97" i="2" l="1"/>
  <c r="W96" i="2"/>
  <c r="Q97" i="2"/>
  <c r="Q96" i="2"/>
  <c r="AA96" i="2" l="1"/>
  <c r="AB96" i="2" s="1"/>
  <c r="AA97" i="2"/>
  <c r="AB97" i="2" s="1"/>
  <c r="O101" i="2" a="1"/>
  <c r="P102" i="2" a="1"/>
  <c r="O100" i="2" a="1"/>
  <c r="P103" i="2" a="1"/>
  <c r="P101" i="2" a="1"/>
  <c r="O103" i="2" a="1"/>
  <c r="P100" i="2" a="1"/>
  <c r="O102" i="2" a="1"/>
  <c r="Q101" i="2" l="1"/>
  <c r="P98" i="2" a="1"/>
  <c r="O99" i="2" a="1"/>
  <c r="O98" i="2" a="1"/>
  <c r="P99" i="2" a="1"/>
  <c r="W103" i="2"/>
  <c r="Q100" i="2"/>
  <c r="Q102" i="2"/>
  <c r="Q103" i="2"/>
  <c r="W101" i="2"/>
  <c r="W100" i="2"/>
  <c r="W102" i="2"/>
  <c r="AA101" i="2" l="1"/>
  <c r="AB101" i="2" s="1"/>
  <c r="W99" i="2"/>
  <c r="Q98" i="2"/>
  <c r="W98" i="2"/>
  <c r="Q99" i="2"/>
  <c r="AA103" i="2"/>
  <c r="AB103" i="2" s="1"/>
  <c r="AA100" i="2"/>
  <c r="AB100" i="2" s="1"/>
  <c r="AA102" i="2"/>
  <c r="AB102" i="2" s="1"/>
  <c r="P109" i="2" a="1"/>
  <c r="O108" i="2" a="1"/>
  <c r="P108" i="2" a="1"/>
  <c r="O109" i="2" a="1"/>
  <c r="O107" i="2" a="1"/>
  <c r="P106" i="2" a="1"/>
  <c r="P107" i="2" a="1"/>
  <c r="O106" i="2" a="1"/>
  <c r="AA98" i="2" l="1"/>
  <c r="AB98" i="2" s="1"/>
  <c r="AA99" i="2"/>
  <c r="AB99" i="2" s="1"/>
  <c r="P105" i="2" a="1"/>
  <c r="O105" i="2" a="1"/>
  <c r="W105" i="2" s="1"/>
  <c r="O104" i="2" a="1"/>
  <c r="P104" i="2" a="1"/>
  <c r="W108" i="2"/>
  <c r="Q109" i="2"/>
  <c r="W107" i="2"/>
  <c r="W106" i="2"/>
  <c r="Q108" i="2"/>
  <c r="W109" i="2"/>
  <c r="Q106" i="2"/>
  <c r="Q107" i="2"/>
  <c r="W104" i="2" l="1"/>
  <c r="Q104" i="2"/>
  <c r="AA104" i="2" s="1"/>
  <c r="AB104" i="2" s="1"/>
  <c r="Q105" i="2"/>
  <c r="AA105" i="2" s="1"/>
  <c r="AB105" i="2" s="1"/>
  <c r="AA109" i="2"/>
  <c r="AB109" i="2" s="1"/>
  <c r="AA108" i="2"/>
  <c r="AB108" i="2" s="1"/>
  <c r="AA106" i="2"/>
  <c r="AB106" i="2" s="1"/>
  <c r="AA107" i="2"/>
  <c r="AB107" i="2" s="1"/>
  <c r="O110" i="2" a="1"/>
  <c r="P110" i="2" a="1"/>
  <c r="O111" i="2" a="1"/>
  <c r="P111" i="2" a="1"/>
  <c r="P113" i="2" a="1"/>
  <c r="O113" i="2" a="1"/>
  <c r="O112" i="2" a="1"/>
  <c r="P112" i="2" a="1"/>
  <c r="O114" i="2" a="1"/>
  <c r="P114" i="2" a="1"/>
  <c r="P115" i="2" a="1"/>
  <c r="O115" i="2" a="1"/>
  <c r="W111" i="2" l="1"/>
  <c r="Q113" i="2"/>
  <c r="W110" i="2"/>
  <c r="W112" i="2"/>
  <c r="Q110" i="2"/>
  <c r="Q111" i="2"/>
  <c r="W113" i="2"/>
  <c r="Q112" i="2"/>
  <c r="W115" i="2"/>
  <c r="Q114" i="2"/>
  <c r="W114" i="2"/>
  <c r="Q115" i="2"/>
  <c r="AA114" i="2" l="1"/>
  <c r="AB114" i="2" s="1"/>
  <c r="AA111" i="2"/>
  <c r="AB111" i="2" s="1"/>
  <c r="AA113" i="2"/>
  <c r="AB113" i="2" s="1"/>
  <c r="AA110" i="2"/>
  <c r="AB110" i="2" s="1"/>
  <c r="AA112" i="2"/>
  <c r="AB112" i="2" s="1"/>
  <c r="AA115" i="2"/>
  <c r="AB115" i="2" s="1"/>
  <c r="P116" i="2" l="1" a="1"/>
  <c r="O117" i="2" a="1"/>
  <c r="W117" i="2" s="1"/>
  <c r="P117" i="2" a="1"/>
  <c r="O116" i="2" a="1"/>
  <c r="O118" i="2" a="1"/>
  <c r="P118" i="2" a="1"/>
  <c r="P119" i="2" a="1"/>
  <c r="O119" i="2" a="1"/>
  <c r="P121" i="2" a="1"/>
  <c r="O121" i="2" a="1"/>
  <c r="O120" i="2" a="1"/>
  <c r="P120" i="2" a="1"/>
  <c r="Q116" i="2" l="1"/>
  <c r="Q117" i="2"/>
  <c r="AA117" i="2" s="1"/>
  <c r="AB117" i="2" s="1"/>
  <c r="W116" i="2"/>
  <c r="W118" i="2"/>
  <c r="Q119" i="2"/>
  <c r="W119" i="2"/>
  <c r="W121" i="2"/>
  <c r="Q120" i="2"/>
  <c r="Q121" i="2"/>
  <c r="AA121" i="2" s="1"/>
  <c r="AB121" i="2" s="1"/>
  <c r="W120" i="2"/>
  <c r="Q118" i="2"/>
  <c r="P125" i="2" a="1"/>
  <c r="P124" i="2" a="1"/>
  <c r="O124" i="2" a="1"/>
  <c r="O125" i="2" a="1"/>
  <c r="P122" i="2" a="1"/>
  <c r="O123" i="2" a="1"/>
  <c r="P123" i="2" a="1"/>
  <c r="O122" i="2" a="1"/>
  <c r="AA116" i="2" l="1"/>
  <c r="AB116" i="2" s="1"/>
  <c r="AA119" i="2"/>
  <c r="AB119" i="2" s="1"/>
  <c r="AA118" i="2"/>
  <c r="AB118" i="2" s="1"/>
  <c r="W124" i="2"/>
  <c r="W123" i="2"/>
  <c r="AA120" i="2"/>
  <c r="AB120" i="2" s="1"/>
  <c r="Q125" i="2"/>
  <c r="Q122" i="2"/>
  <c r="Q124" i="2"/>
  <c r="W125" i="2"/>
  <c r="Q123" i="2"/>
  <c r="W122" i="2"/>
  <c r="AA124" i="2" l="1"/>
  <c r="AB124" i="2" s="1"/>
  <c r="AA123" i="2"/>
  <c r="AB123" i="2" s="1"/>
  <c r="AA125" i="2"/>
  <c r="AB125" i="2" s="1"/>
  <c r="AA122" i="2"/>
  <c r="AB122" i="2" s="1"/>
  <c r="O127" i="2" a="1"/>
  <c r="O126" i="2" a="1"/>
  <c r="P126" i="2" a="1"/>
  <c r="P127" i="2" a="1"/>
  <c r="Q126" i="2" l="1"/>
  <c r="Q127" i="2"/>
  <c r="W126" i="2"/>
  <c r="AA126" i="2" s="1"/>
  <c r="AB126" i="2" s="1"/>
  <c r="W127" i="2"/>
  <c r="AA127" i="2" l="1"/>
  <c r="AB127" i="2" s="1"/>
  <c r="P128" i="2" a="1"/>
  <c r="O128" i="2" a="1"/>
  <c r="P129" i="2" a="1"/>
  <c r="O129" i="2" a="1"/>
  <c r="W128" i="2" l="1"/>
  <c r="W129" i="2"/>
  <c r="P130" i="2" a="1"/>
  <c r="O132" i="2" a="1"/>
  <c r="P132" i="2" a="1"/>
  <c r="O131" i="2" a="1"/>
  <c r="P133" i="2" a="1"/>
  <c r="O133" i="2" a="1"/>
  <c r="O130" i="2" a="1"/>
  <c r="P131" i="2" a="1"/>
  <c r="Q128" i="2"/>
  <c r="Q129" i="2"/>
  <c r="W130" i="2" l="1"/>
  <c r="AA128" i="2"/>
  <c r="AB128" i="2" s="1"/>
  <c r="W133" i="2"/>
  <c r="Q131" i="2"/>
  <c r="W132" i="2"/>
  <c r="AA129" i="2"/>
  <c r="AB129" i="2" s="1"/>
  <c r="Q130" i="2"/>
  <c r="Q132" i="2"/>
  <c r="Q133" i="2"/>
  <c r="W131" i="2"/>
  <c r="AA130" i="2" l="1"/>
  <c r="AB130" i="2" s="1"/>
  <c r="AA133" i="2"/>
  <c r="AB133" i="2" s="1"/>
  <c r="AA131" i="2"/>
  <c r="AB131" i="2" s="1"/>
  <c r="AA132" i="2"/>
  <c r="AB132" i="2" s="1"/>
  <c r="O135" i="2" l="1" a="1"/>
  <c r="O134" i="2" a="1"/>
  <c r="P135" i="2" a="1"/>
  <c r="Q135" i="2" s="1"/>
  <c r="O137" i="2" a="1"/>
  <c r="P137" i="2" a="1"/>
  <c r="P136" i="2" a="1"/>
  <c r="P134" i="2" a="1"/>
  <c r="O136" i="2" a="1"/>
  <c r="Q137" i="2" l="1"/>
  <c r="W134" i="2"/>
  <c r="W136" i="2"/>
  <c r="W137" i="2"/>
  <c r="Q136" i="2"/>
  <c r="AA136" i="2" s="1"/>
  <c r="AB136" i="2" s="1"/>
  <c r="Q134" i="2"/>
  <c r="W135" i="2"/>
  <c r="AA135" i="2" s="1"/>
  <c r="AB135" i="2" s="1"/>
  <c r="P138" i="2" a="1"/>
  <c r="O139" i="2" a="1"/>
  <c r="O138" i="2" a="1"/>
  <c r="P139" i="2" a="1"/>
  <c r="AA137" i="2" l="1"/>
  <c r="AB137" i="2" s="1"/>
  <c r="AA134" i="2"/>
  <c r="AB134" i="2" s="1"/>
  <c r="W139" i="2"/>
  <c r="Q138" i="2"/>
  <c r="W138" i="2"/>
  <c r="Q139" i="2"/>
  <c r="AA139" i="2" l="1"/>
  <c r="AB139" i="2" s="1"/>
  <c r="AA138" i="2"/>
  <c r="AB138" i="2" s="1"/>
  <c r="P140" i="2" l="1" a="1"/>
  <c r="O141" i="2" a="1"/>
  <c r="P141" i="2" a="1"/>
  <c r="O140" i="2" a="1"/>
  <c r="P144" i="2" a="1"/>
  <c r="P142" i="2" a="1"/>
  <c r="O142" i="2" a="1"/>
  <c r="P143" i="2" a="1"/>
  <c r="P145" i="2" a="1"/>
  <c r="O143" i="2" a="1"/>
  <c r="O144" i="2" a="1"/>
  <c r="W144" i="2" s="1"/>
  <c r="O145" i="2" a="1"/>
  <c r="Q142" i="2" l="1"/>
  <c r="W140" i="2"/>
  <c r="Q141" i="2"/>
  <c r="Q145" i="2"/>
  <c r="W143" i="2"/>
  <c r="Q140" i="2"/>
  <c r="AA140" i="2" s="1"/>
  <c r="AB140" i="2" s="1"/>
  <c r="W141" i="2"/>
  <c r="Q144" i="2"/>
  <c r="AA144" i="2" s="1"/>
  <c r="AB144" i="2" s="1"/>
  <c r="W142" i="2"/>
  <c r="Q143" i="2"/>
  <c r="W145" i="2"/>
  <c r="AA142" i="2" l="1"/>
  <c r="AB142" i="2" s="1"/>
  <c r="AA143" i="2"/>
  <c r="AB143" i="2" s="1"/>
  <c r="AA141" i="2"/>
  <c r="AB141" i="2" s="1"/>
  <c r="AA145" i="2"/>
  <c r="AB145" i="2" s="1"/>
  <c r="O147" i="2" a="1"/>
  <c r="P146" i="2" a="1"/>
  <c r="O148" i="2" a="1"/>
  <c r="O149" i="2" a="1"/>
  <c r="P148" i="2" a="1"/>
  <c r="Q148" i="2" s="1"/>
  <c r="P147" i="2" a="1"/>
  <c r="P149" i="2" a="1"/>
  <c r="O146" i="2" a="1"/>
  <c r="Q147" i="2" l="1"/>
  <c r="Q149" i="2"/>
  <c r="W146" i="2"/>
  <c r="W148" i="2"/>
  <c r="AA148" i="2" s="1"/>
  <c r="AB148" i="2" s="1"/>
  <c r="W149" i="2"/>
  <c r="W147" i="2"/>
  <c r="Q146" i="2"/>
  <c r="O151" i="2" a="1"/>
  <c r="P150" i="2" a="1"/>
  <c r="O150" i="2" a="1"/>
  <c r="P151" i="2" a="1"/>
  <c r="AA147" i="2" l="1"/>
  <c r="AB147" i="2" s="1"/>
  <c r="AA149" i="2"/>
  <c r="AB149" i="2" s="1"/>
  <c r="AA146" i="2"/>
  <c r="AB146" i="2" s="1"/>
  <c r="Q150" i="2"/>
  <c r="W151" i="2"/>
  <c r="W150" i="2"/>
  <c r="Q151" i="2"/>
  <c r="AA150" i="2" l="1"/>
  <c r="AB150" i="2" s="1"/>
  <c r="AA151" i="2"/>
  <c r="AB151" i="2" s="1"/>
  <c r="P154" i="2" a="1"/>
  <c r="P155" i="2" a="1"/>
  <c r="O154" i="2" a="1"/>
  <c r="O155" i="2" a="1"/>
  <c r="O156" i="2" a="1"/>
  <c r="P157" i="2" a="1"/>
  <c r="P156" i="2" a="1"/>
  <c r="P152" i="2" a="1"/>
  <c r="O153" i="2" a="1"/>
  <c r="O152" i="2" a="1"/>
  <c r="O157" i="2" a="1"/>
  <c r="P153" i="2" a="1"/>
  <c r="W154" i="2" l="1"/>
  <c r="W152" i="2"/>
  <c r="Q157" i="2"/>
  <c r="Q153" i="2"/>
  <c r="W155" i="2"/>
  <c r="Q156" i="2"/>
  <c r="Q154" i="2"/>
  <c r="AA154" i="2" s="1"/>
  <c r="AB154" i="2" s="1"/>
  <c r="W156" i="2"/>
  <c r="Q152" i="2"/>
  <c r="W153" i="2"/>
  <c r="W157" i="2"/>
  <c r="Q155" i="2"/>
  <c r="AA156" i="2" l="1"/>
  <c r="AB156" i="2" s="1"/>
  <c r="AA152" i="2"/>
  <c r="AB152" i="2" s="1"/>
  <c r="AA153" i="2"/>
  <c r="AB153" i="2" s="1"/>
  <c r="AA157" i="2"/>
  <c r="AB157" i="2" s="1"/>
  <c r="AA155" i="2"/>
  <c r="AB155" i="2" s="1"/>
  <c r="P159" i="2" a="1"/>
  <c r="P158" i="2" a="1"/>
  <c r="O159" i="2" a="1"/>
  <c r="O158" i="2" a="1"/>
  <c r="Q159" i="2" l="1"/>
  <c r="Q158" i="2"/>
  <c r="W159" i="2"/>
  <c r="W158" i="2"/>
  <c r="AA159" i="2" l="1"/>
  <c r="AB159" i="2" s="1"/>
  <c r="AA158" i="2"/>
  <c r="AB158" i="2" s="1"/>
  <c r="P160" i="2" a="1"/>
  <c r="P161" i="2" a="1"/>
  <c r="O160" i="2" a="1"/>
  <c r="O161" i="2" a="1"/>
  <c r="Q160" i="2" l="1"/>
  <c r="Q161" i="2"/>
  <c r="W161" i="2"/>
  <c r="W160" i="2"/>
  <c r="O162" i="2" a="1"/>
  <c r="P163" i="2" a="1"/>
  <c r="P162" i="2" a="1"/>
  <c r="O163" i="2" a="1"/>
  <c r="AA161" i="2" l="1"/>
  <c r="AB161" i="2" s="1"/>
  <c r="AA160" i="2"/>
  <c r="AB160" i="2" s="1"/>
  <c r="Q162" i="2"/>
  <c r="W163" i="2"/>
  <c r="W162" i="2"/>
  <c r="Q163" i="2"/>
  <c r="AA162" i="2" l="1"/>
  <c r="AB162" i="2" s="1"/>
  <c r="AA163" i="2"/>
  <c r="AB163" i="2" s="1"/>
  <c r="O164" i="2" l="1" a="1"/>
  <c r="O165" i="2" a="1"/>
  <c r="P165" i="2" a="1"/>
  <c r="P164" i="2" a="1"/>
  <c r="Q164" i="2" s="1"/>
  <c r="P167" i="2" a="1"/>
  <c r="P166" i="2" a="1"/>
  <c r="O166" i="2" a="1"/>
  <c r="O167" i="2" a="1"/>
  <c r="P168" i="2" a="1"/>
  <c r="O169" i="2" a="1"/>
  <c r="O168" i="2" a="1"/>
  <c r="P169" i="2" a="1"/>
  <c r="W166" i="2" l="1"/>
  <c r="W165" i="2"/>
  <c r="Q167" i="2"/>
  <c r="W164" i="2"/>
  <c r="AA164" i="2" s="1"/>
  <c r="AB164" i="2" s="1"/>
  <c r="Q165" i="2"/>
  <c r="Q166" i="2"/>
  <c r="AA166" i="2" s="1"/>
  <c r="AB166" i="2" s="1"/>
  <c r="W167" i="2"/>
  <c r="AA167" i="2" s="1"/>
  <c r="AB167" i="2" s="1"/>
  <c r="W168" i="2"/>
  <c r="Q169" i="2"/>
  <c r="Q168" i="2"/>
  <c r="W169" i="2"/>
  <c r="AA165" i="2" l="1"/>
  <c r="AB165" i="2" s="1"/>
  <c r="AA168" i="2"/>
  <c r="AB168" i="2" s="1"/>
  <c r="AA169" i="2"/>
  <c r="AB169" i="2" s="1"/>
  <c r="P172" i="2" a="1"/>
  <c r="P173" i="2" a="1"/>
  <c r="O172" i="2" a="1"/>
  <c r="O173" i="2" a="1"/>
  <c r="P170" i="2" l="1" a="1"/>
  <c r="P171" i="2" a="1"/>
  <c r="O170" i="2" a="1"/>
  <c r="W170" i="2" s="1"/>
  <c r="O171" i="2" a="1"/>
  <c r="Q173" i="2"/>
  <c r="W172" i="2"/>
  <c r="W173" i="2"/>
  <c r="Q172" i="2"/>
  <c r="P175" i="2" a="1"/>
  <c r="O174" i="2" a="1"/>
  <c r="P174" i="2" a="1"/>
  <c r="O175" i="2" a="1"/>
  <c r="W171" i="2" l="1"/>
  <c r="Q170" i="2"/>
  <c r="AA170" i="2" s="1"/>
  <c r="AB170" i="2" s="1"/>
  <c r="Q171" i="2"/>
  <c r="AA173" i="2"/>
  <c r="AB173" i="2" s="1"/>
  <c r="AA172" i="2"/>
  <c r="AB172" i="2" s="1"/>
  <c r="Q175" i="2"/>
  <c r="W174" i="2"/>
  <c r="Q174" i="2"/>
  <c r="W175" i="2"/>
  <c r="AA171" i="2" l="1"/>
  <c r="AB171" i="2" s="1"/>
  <c r="AA174" i="2"/>
  <c r="AB174" i="2" s="1"/>
  <c r="AA175" i="2"/>
  <c r="AB175" i="2" s="1"/>
  <c r="O177" i="2" l="1" a="1"/>
  <c r="P177" i="2" a="1"/>
  <c r="O176" i="2" a="1"/>
  <c r="P176" i="2" a="1"/>
  <c r="W177" i="2" l="1"/>
  <c r="Q176" i="2"/>
  <c r="Q177" i="2"/>
  <c r="W176" i="2"/>
  <c r="AA176" i="2" l="1"/>
  <c r="AB176" i="2" s="1"/>
  <c r="AA177" i="2"/>
  <c r="AB177" i="2" s="1"/>
  <c r="P181" i="2" a="1"/>
  <c r="P180" i="2" a="1"/>
  <c r="O181" i="2" a="1"/>
  <c r="O180" i="2" a="1"/>
  <c r="P178" i="2" l="1" a="1"/>
  <c r="O179" i="2" a="1"/>
  <c r="P179" i="2" a="1"/>
  <c r="O178" i="2" a="1"/>
  <c r="W181" i="2"/>
  <c r="W180" i="2"/>
  <c r="Q180" i="2"/>
  <c r="Q181" i="2"/>
  <c r="W178" i="2" l="1"/>
  <c r="W179" i="2"/>
  <c r="Q178" i="2"/>
  <c r="AA178" i="2" s="1"/>
  <c r="AB178" i="2" s="1"/>
  <c r="Q179" i="2"/>
  <c r="AA180" i="2"/>
  <c r="AB180" i="2" s="1"/>
  <c r="AA181" i="2"/>
  <c r="AB181" i="2" s="1"/>
  <c r="O182" i="2" l="1" a="1"/>
  <c r="P183" i="2" a="1"/>
  <c r="P182" i="2" a="1"/>
  <c r="O183" i="2" a="1"/>
  <c r="O185" i="2" a="1"/>
  <c r="O184" i="2" a="1"/>
  <c r="P187" i="2" a="1"/>
  <c r="P185" i="2" a="1"/>
  <c r="O187" i="2" a="1"/>
  <c r="P184" i="2" a="1"/>
  <c r="O186" i="2" a="1"/>
  <c r="P186" i="2" a="1"/>
  <c r="AA179" i="2"/>
  <c r="AB179" i="2" s="1"/>
  <c r="W187" i="2" l="1"/>
  <c r="W182" i="2"/>
  <c r="Q183" i="2"/>
  <c r="W184" i="2"/>
  <c r="Q185" i="2"/>
  <c r="W186" i="2"/>
  <c r="Q182" i="2"/>
  <c r="AA182" i="2" s="1"/>
  <c r="AB182" i="2" s="1"/>
  <c r="W183" i="2"/>
  <c r="AA183" i="2" s="1"/>
  <c r="AB183" i="2" s="1"/>
  <c r="W185" i="2"/>
  <c r="Q187" i="2"/>
  <c r="Q184" i="2"/>
  <c r="Q186" i="2"/>
  <c r="P188" i="2" a="1"/>
  <c r="P189" i="2" a="1"/>
  <c r="O188" i="2" a="1"/>
  <c r="O189" i="2" a="1"/>
  <c r="AA185" i="2" l="1"/>
  <c r="AB185" i="2" s="1"/>
  <c r="AA187" i="2"/>
  <c r="AB187" i="2" s="1"/>
  <c r="AA184" i="2"/>
  <c r="AB184" i="2" s="1"/>
  <c r="AA186" i="2"/>
  <c r="AB186" i="2" s="1"/>
  <c r="Q188" i="2"/>
  <c r="Q189" i="2"/>
  <c r="W189" i="2"/>
  <c r="W188" i="2"/>
  <c r="AA188" i="2" l="1"/>
  <c r="AB188" i="2" s="1"/>
  <c r="AA189" i="2"/>
  <c r="AB189" i="2" s="1"/>
  <c r="P191" i="2" a="1"/>
  <c r="O191" i="2" a="1"/>
  <c r="O190" i="2" a="1"/>
  <c r="P190" i="2" a="1"/>
  <c r="W191" i="2" l="1"/>
  <c r="Q190" i="2"/>
  <c r="Q191" i="2"/>
  <c r="AA191" i="2" s="1"/>
  <c r="AB191" i="2" s="1"/>
  <c r="W190" i="2"/>
  <c r="O194" i="2" l="1" a="1"/>
  <c r="P197" i="2" a="1"/>
  <c r="P192" i="2" a="1"/>
  <c r="O196" i="2" a="1"/>
  <c r="W196" i="2" s="1"/>
  <c r="P193" i="2" a="1"/>
  <c r="P196" i="2" a="1"/>
  <c r="O195" i="2" a="1"/>
  <c r="W195" i="2" s="1"/>
  <c r="O192" i="2" a="1"/>
  <c r="O197" i="2" a="1"/>
  <c r="O193" i="2" a="1"/>
  <c r="W193" i="2" s="1"/>
  <c r="P194" i="2" a="1"/>
  <c r="P195" i="2" a="1"/>
  <c r="AA190" i="2"/>
  <c r="AB190" i="2" s="1"/>
  <c r="W192" i="2" l="1"/>
  <c r="Q194" i="2"/>
  <c r="Q197" i="2"/>
  <c r="Q193" i="2"/>
  <c r="AA193" i="2" s="1"/>
  <c r="AB193" i="2" s="1"/>
  <c r="Q196" i="2"/>
  <c r="AA196" i="2" s="1"/>
  <c r="AB196" i="2" s="1"/>
  <c r="W197" i="2"/>
  <c r="Q195" i="2"/>
  <c r="AA195" i="2" s="1"/>
  <c r="AB195" i="2" s="1"/>
  <c r="W194" i="2"/>
  <c r="Q192" i="2"/>
  <c r="P203" i="2" a="1"/>
  <c r="O203" i="2" a="1"/>
  <c r="P202" i="2" a="1"/>
  <c r="O202" i="2" a="1"/>
  <c r="AA197" i="2" l="1"/>
  <c r="AB197" i="2" s="1"/>
  <c r="AA194" i="2"/>
  <c r="AB194" i="2" s="1"/>
  <c r="AA192" i="2"/>
  <c r="AB192" i="2" s="1"/>
  <c r="O198" i="2" a="1"/>
  <c r="P199" i="2" a="1"/>
  <c r="O199" i="2" a="1"/>
  <c r="P198" i="2" a="1"/>
  <c r="P200" i="2" a="1"/>
  <c r="O200" i="2" a="1"/>
  <c r="P201" i="2" a="1"/>
  <c r="O201" i="2" a="1"/>
  <c r="Q203" i="2"/>
  <c r="W202" i="2"/>
  <c r="Q202" i="2"/>
  <c r="W203" i="2"/>
  <c r="W199" i="2" l="1"/>
  <c r="Q198" i="2"/>
  <c r="W198" i="2"/>
  <c r="Q199" i="2"/>
  <c r="W200" i="2"/>
  <c r="W201" i="2"/>
  <c r="AA202" i="2"/>
  <c r="AB202" i="2" s="1"/>
  <c r="Q200" i="2"/>
  <c r="Q201" i="2"/>
  <c r="AA203" i="2"/>
  <c r="AB203" i="2" s="1"/>
  <c r="AA198" i="2" l="1"/>
  <c r="AB198" i="2" s="1"/>
  <c r="AA199" i="2"/>
  <c r="AB199" i="2" s="1"/>
  <c r="P205" i="2" a="1"/>
  <c r="O204" i="2" a="1"/>
  <c r="P204" i="2" a="1"/>
  <c r="Q204" i="2" s="1"/>
  <c r="O205" i="2" a="1"/>
  <c r="AA200" i="2"/>
  <c r="AB200" i="2" s="1"/>
  <c r="AA201" i="2"/>
  <c r="AB201" i="2" s="1"/>
  <c r="Q205" i="2" l="1"/>
  <c r="W204" i="2"/>
  <c r="AA204" i="2" s="1"/>
  <c r="AB204" i="2" s="1"/>
  <c r="W205" i="2"/>
  <c r="O207" i="2" a="1"/>
  <c r="P206" i="2" a="1"/>
  <c r="O206" i="2" a="1"/>
  <c r="P207" i="2" a="1"/>
  <c r="AA205" i="2" l="1"/>
  <c r="AB205" i="2" s="1"/>
  <c r="W206" i="2"/>
  <c r="W207" i="2"/>
  <c r="Q206" i="2"/>
  <c r="Q207" i="2"/>
  <c r="AA207" i="2" l="1"/>
  <c r="AB207" i="2" s="1"/>
  <c r="AA206" i="2"/>
  <c r="AB206" i="2" s="1"/>
  <c r="O209" i="2" a="1"/>
  <c r="O208" i="2" a="1"/>
  <c r="P209" i="2" a="1"/>
  <c r="P208" i="2" a="1"/>
  <c r="Q208" i="2" l="1"/>
  <c r="W209" i="2"/>
  <c r="W208" i="2"/>
  <c r="AA208" i="2" s="1"/>
  <c r="AB208" i="2" s="1"/>
  <c r="Q209" i="2"/>
  <c r="AA209" i="2" l="1"/>
  <c r="AB209" i="2" s="1"/>
  <c r="O211" i="2" l="1" a="1"/>
  <c r="O210" i="2" a="1"/>
  <c r="P211" i="2" a="1"/>
  <c r="P210" i="2" a="1"/>
  <c r="O212" i="2" a="1"/>
  <c r="P212" i="2" a="1"/>
  <c r="O213" i="2" a="1"/>
  <c r="P213" i="2" a="1"/>
  <c r="W213" i="2" l="1"/>
  <c r="W210" i="2"/>
  <c r="Q211" i="2"/>
  <c r="Q212" i="2"/>
  <c r="W211" i="2"/>
  <c r="Q210" i="2"/>
  <c r="W212" i="2"/>
  <c r="Q213" i="2"/>
  <c r="P214" i="2" a="1"/>
  <c r="O215" i="2" a="1"/>
  <c r="O214" i="2" a="1"/>
  <c r="P215" i="2" a="1"/>
  <c r="AA213" i="2" l="1"/>
  <c r="AB213" i="2" s="1"/>
  <c r="AA210" i="2"/>
  <c r="AB210" i="2" s="1"/>
  <c r="AA211" i="2"/>
  <c r="AB211" i="2" s="1"/>
  <c r="AA212" i="2"/>
  <c r="AB212" i="2" s="1"/>
  <c r="Q214" i="2"/>
  <c r="Q215" i="2"/>
  <c r="W215" i="2"/>
  <c r="W214" i="2"/>
  <c r="AA214" i="2" l="1"/>
  <c r="AB214" i="2" s="1"/>
  <c r="AA215" i="2"/>
  <c r="AB215" i="2" s="1"/>
  <c r="P219" i="2" a="1"/>
  <c r="O219" i="2" a="1"/>
  <c r="O218" i="2" a="1"/>
  <c r="P218" i="2" a="1"/>
  <c r="P221" i="2" a="1"/>
  <c r="O220" i="2" a="1"/>
  <c r="P220" i="2" a="1"/>
  <c r="O221" i="2" a="1"/>
  <c r="P216" i="2" l="1" a="1"/>
  <c r="O217" i="2" a="1"/>
  <c r="P217" i="2" a="1"/>
  <c r="O216" i="2" a="1"/>
  <c r="W216" i="2" s="1"/>
  <c r="W218" i="2"/>
  <c r="Q219" i="2"/>
  <c r="W219" i="2"/>
  <c r="Q218" i="2"/>
  <c r="W221" i="2"/>
  <c r="W220" i="2"/>
  <c r="Q221" i="2"/>
  <c r="Q220" i="2"/>
  <c r="Q217" i="2" l="1"/>
  <c r="W217" i="2"/>
  <c r="AA217" i="2" s="1"/>
  <c r="AB217" i="2" s="1"/>
  <c r="Q216" i="2"/>
  <c r="AA216" i="2" s="1"/>
  <c r="AB216" i="2" s="1"/>
  <c r="AA218" i="2"/>
  <c r="AB218" i="2" s="1"/>
  <c r="AA219" i="2"/>
  <c r="AB219" i="2" s="1"/>
  <c r="AA221" i="2"/>
  <c r="AB221" i="2" s="1"/>
  <c r="AA220" i="2"/>
  <c r="AB220" i="2" s="1"/>
  <c r="O224" i="2" a="1"/>
  <c r="O225" i="2" a="1"/>
  <c r="P224" i="2" a="1"/>
  <c r="P225" i="2" a="1"/>
  <c r="P222" i="2" l="1" a="1"/>
  <c r="O223" i="2" a="1"/>
  <c r="O222" i="2" a="1"/>
  <c r="P223" i="2" a="1"/>
  <c r="Q225" i="2"/>
  <c r="W224" i="2"/>
  <c r="W225" i="2"/>
  <c r="Q224" i="2"/>
  <c r="W222" i="2" l="1"/>
  <c r="W223" i="2"/>
  <c r="Q222" i="2"/>
  <c r="Q223" i="2"/>
  <c r="AA225" i="2"/>
  <c r="AB225" i="2" s="1"/>
  <c r="AA224" i="2"/>
  <c r="AB224" i="2" s="1"/>
  <c r="AA222" i="2" l="1"/>
  <c r="AB222" i="2" s="1"/>
  <c r="AA223" i="2"/>
  <c r="AB223" i="2" s="1"/>
  <c r="O227" i="2" a="1"/>
  <c r="O226" i="2" a="1"/>
  <c r="P226" i="2" a="1"/>
  <c r="P227" i="2" a="1"/>
  <c r="W227" i="2" l="1"/>
  <c r="W226" i="2"/>
  <c r="Q227" i="2"/>
  <c r="Q226" i="2"/>
  <c r="AA227" i="2" l="1"/>
  <c r="AB227" i="2" s="1"/>
  <c r="AA226" i="2"/>
  <c r="AB226" i="2" s="1"/>
  <c r="O229" i="2" l="1" a="1"/>
  <c r="P228" i="2" a="1"/>
  <c r="P229" i="2" a="1"/>
  <c r="O228" i="2" a="1"/>
  <c r="W228" i="2" s="1"/>
  <c r="Q229" i="2" l="1"/>
  <c r="Q228" i="2"/>
  <c r="AA228" i="2" s="1"/>
  <c r="AB228" i="2" s="1"/>
  <c r="W229" i="2"/>
  <c r="AA229" i="2" l="1"/>
  <c r="AB229" i="2" s="1"/>
  <c r="O231" i="2" a="1"/>
  <c r="W231" i="2" s="1"/>
  <c r="P230" i="2" a="1"/>
  <c r="O230" i="2" a="1"/>
  <c r="P231" i="2" a="1"/>
  <c r="O232" i="2" a="1"/>
  <c r="P232" i="2" a="1"/>
  <c r="P233" i="2" a="1"/>
  <c r="O233" i="2" a="1"/>
  <c r="Q230" i="2" l="1"/>
  <c r="W230" i="2"/>
  <c r="AA230" i="2" s="1"/>
  <c r="AB230" i="2" s="1"/>
  <c r="Q231" i="2"/>
  <c r="AA231" i="2" s="1"/>
  <c r="AB231" i="2" s="1"/>
  <c r="Q233" i="2"/>
  <c r="W232" i="2"/>
  <c r="Q232" i="2"/>
  <c r="W233" i="2"/>
  <c r="AA232" i="2" l="1"/>
  <c r="AB232" i="2" s="1"/>
  <c r="AA233" i="2"/>
  <c r="AB233" i="2" s="1"/>
  <c r="P234" i="2" l="1" a="1"/>
  <c r="P235" i="2" a="1"/>
  <c r="O234" i="2" a="1"/>
  <c r="O235" i="2" a="1"/>
  <c r="Q234" i="2" l="1"/>
  <c r="Q235" i="2"/>
  <c r="W234" i="2"/>
  <c r="W235" i="2"/>
  <c r="AA234" i="2" l="1"/>
  <c r="AB234" i="2" s="1"/>
  <c r="AA235" i="2"/>
  <c r="AB235" i="2" s="1"/>
  <c r="O240" i="2" a="1"/>
  <c r="O241" i="2" a="1"/>
  <c r="P240" i="2" a="1"/>
  <c r="P241" i="2" a="1"/>
  <c r="P239" i="2" l="1" a="1"/>
  <c r="P238" i="2" a="1"/>
  <c r="O239" i="2" a="1"/>
  <c r="O238" i="2" a="1"/>
  <c r="P236" i="2" a="1"/>
  <c r="P237" i="2" a="1"/>
  <c r="Q237" i="2" s="1"/>
  <c r="O236" i="2" a="1"/>
  <c r="O237" i="2" a="1"/>
  <c r="W241" i="2"/>
  <c r="W240" i="2"/>
  <c r="Q241" i="2"/>
  <c r="Q240" i="2"/>
  <c r="W239" i="2" l="1"/>
  <c r="W236" i="2"/>
  <c r="Q238" i="2"/>
  <c r="Q239" i="2"/>
  <c r="AA239" i="2" s="1"/>
  <c r="AB239" i="2" s="1"/>
  <c r="W238" i="2"/>
  <c r="AA238" i="2" s="1"/>
  <c r="AB238" i="2" s="1"/>
  <c r="Q236" i="2"/>
  <c r="W237" i="2"/>
  <c r="AA237" i="2" s="1"/>
  <c r="AB237" i="2" s="1"/>
  <c r="AA241" i="2"/>
  <c r="AB241" i="2" s="1"/>
  <c r="AA240" i="2"/>
  <c r="AB240" i="2" s="1"/>
  <c r="AA236" i="2" l="1"/>
  <c r="AB236" i="2" s="1"/>
  <c r="O245" i="2" a="1"/>
  <c r="O247" i="2" a="1"/>
  <c r="O244" i="2" a="1"/>
  <c r="O243" i="2" a="1"/>
  <c r="W243" i="2" s="1"/>
  <c r="P246" i="2" a="1"/>
  <c r="P243" i="2" a="1"/>
  <c r="O242" i="2" a="1"/>
  <c r="W242" i="2" s="1"/>
  <c r="P245" i="2" a="1"/>
  <c r="P244" i="2" a="1"/>
  <c r="Q244" i="2" s="1"/>
  <c r="P242" i="2" a="1"/>
  <c r="O246" i="2" a="1"/>
  <c r="W246" i="2" s="1"/>
  <c r="P247" i="2" a="1"/>
  <c r="Q243" i="2" l="1"/>
  <c r="AA243" i="2" s="1"/>
  <c r="AB243" i="2" s="1"/>
  <c r="Q247" i="2"/>
  <c r="W245" i="2"/>
  <c r="W247" i="2"/>
  <c r="AA247" i="2" s="1"/>
  <c r="AB247" i="2" s="1"/>
  <c r="Q246" i="2"/>
  <c r="AA246" i="2" s="1"/>
  <c r="AB246" i="2" s="1"/>
  <c r="Q245" i="2"/>
  <c r="Q242" i="2"/>
  <c r="AA242" i="2" s="1"/>
  <c r="AB242" i="2" s="1"/>
  <c r="W244" i="2"/>
  <c r="AA244" i="2" s="1"/>
  <c r="AB244" i="2" s="1"/>
  <c r="P252" i="2" a="1"/>
  <c r="O252" i="2" a="1"/>
  <c r="O251" i="2" a="1"/>
  <c r="P250" i="2" a="1"/>
  <c r="O253" i="2" a="1"/>
  <c r="P253" i="2" a="1"/>
  <c r="O250" i="2" a="1"/>
  <c r="P251" i="2" a="1"/>
  <c r="AA245" i="2" l="1"/>
  <c r="AB245" i="2" s="1"/>
  <c r="P249" i="2" a="1"/>
  <c r="P248" i="2" a="1"/>
  <c r="O248" i="2" a="1"/>
  <c r="O249" i="2" a="1"/>
  <c r="W252" i="2"/>
  <c r="W250" i="2"/>
  <c r="W251" i="2"/>
  <c r="W253" i="2"/>
  <c r="Q252" i="2"/>
  <c r="Q250" i="2"/>
  <c r="Q253" i="2"/>
  <c r="Q251" i="2"/>
  <c r="W249" i="2" l="1"/>
  <c r="Q248" i="2"/>
  <c r="Q249" i="2"/>
  <c r="W248" i="2"/>
  <c r="AA252" i="2"/>
  <c r="AB252" i="2" s="1"/>
  <c r="AA250" i="2"/>
  <c r="AB250" i="2" s="1"/>
  <c r="AA253" i="2"/>
  <c r="AB253" i="2" s="1"/>
  <c r="AA251" i="2"/>
  <c r="AB251" i="2" s="1"/>
  <c r="AA249" i="2" l="1"/>
  <c r="AB249" i="2" s="1"/>
  <c r="AA248" i="2"/>
  <c r="AB248" i="2" s="1"/>
  <c r="P254" i="2" a="1"/>
  <c r="O254" i="2" a="1"/>
  <c r="W254" i="2" s="1"/>
  <c r="P255" i="2" a="1"/>
  <c r="O255" i="2" a="1"/>
  <c r="W255" i="2" s="1"/>
  <c r="P256" i="2" a="1"/>
  <c r="Q256" i="2" s="1"/>
  <c r="O256" i="2" a="1"/>
  <c r="P257" i="2" a="1"/>
  <c r="P258" i="2" a="1"/>
  <c r="O257" i="2" a="1"/>
  <c r="O258" i="2" a="1"/>
  <c r="O259" i="2" a="1"/>
  <c r="P259" i="2" a="1"/>
  <c r="Q259" i="2" s="1"/>
  <c r="W257" i="2" l="1"/>
  <c r="W258" i="2"/>
  <c r="Q254" i="2"/>
  <c r="AA254" i="2" s="1"/>
  <c r="AB254" i="2" s="1"/>
  <c r="Q255" i="2"/>
  <c r="AA255" i="2" s="1"/>
  <c r="AB255" i="2" s="1"/>
  <c r="Q257" i="2"/>
  <c r="W259" i="2"/>
  <c r="AA259" i="2" s="1"/>
  <c r="AB259" i="2" s="1"/>
  <c r="Q258" i="2"/>
  <c r="W256" i="2"/>
  <c r="AA256" i="2" s="1"/>
  <c r="AB256" i="2" s="1"/>
  <c r="O263" i="2" a="1"/>
  <c r="O262" i="2" a="1"/>
  <c r="P262" i="2" a="1"/>
  <c r="P263" i="2" a="1"/>
  <c r="AA257" i="2" l="1"/>
  <c r="AB257" i="2" s="1"/>
  <c r="AA258" i="2"/>
  <c r="AB258" i="2" s="1"/>
  <c r="O261" i="2" a="1"/>
  <c r="W261" i="2" s="1"/>
  <c r="P261" i="2" a="1"/>
  <c r="O260" i="2" a="1"/>
  <c r="P260" i="2" a="1"/>
  <c r="Q263" i="2"/>
  <c r="W262" i="2"/>
  <c r="Q262" i="2"/>
  <c r="W263" i="2"/>
  <c r="Q260" i="2" l="1"/>
  <c r="Q261" i="2"/>
  <c r="AA261" i="2" s="1"/>
  <c r="AB261" i="2" s="1"/>
  <c r="W260" i="2"/>
  <c r="AA263" i="2"/>
  <c r="AB263" i="2" s="1"/>
  <c r="AA262" i="2"/>
  <c r="AB262" i="2" s="1"/>
  <c r="O264" i="2" a="1"/>
  <c r="P265" i="2" a="1"/>
  <c r="O265" i="2" a="1"/>
  <c r="P264" i="2" a="1"/>
  <c r="AA260" i="2" l="1"/>
  <c r="AB260" i="2" s="1"/>
  <c r="W264" i="2"/>
  <c r="W265" i="2"/>
  <c r="Q264" i="2"/>
  <c r="Q265" i="2"/>
  <c r="AA264" i="2" l="1"/>
  <c r="AB264" i="2" s="1"/>
  <c r="AA265" i="2"/>
  <c r="AB265" i="2" s="1"/>
  <c r="O267" i="2" a="1"/>
  <c r="P266" i="2" a="1"/>
  <c r="P267" i="2" a="1"/>
  <c r="O266" i="2" a="1"/>
  <c r="W267" i="2" l="1"/>
  <c r="Q266" i="2"/>
  <c r="Q267" i="2"/>
  <c r="W266" i="2"/>
  <c r="P268" i="2" a="1"/>
  <c r="O268" i="2" a="1"/>
  <c r="O269" i="2" a="1"/>
  <c r="P269" i="2" a="1"/>
  <c r="AA267" i="2" l="1"/>
  <c r="AB267" i="2" s="1"/>
  <c r="W268" i="2"/>
  <c r="Q269" i="2"/>
  <c r="AA266" i="2"/>
  <c r="AB266" i="2" s="1"/>
  <c r="Q268" i="2"/>
  <c r="W269" i="2"/>
  <c r="AA268" i="2" l="1"/>
  <c r="AB268" i="2" s="1"/>
  <c r="AA269" i="2"/>
  <c r="AB269" i="2" s="1"/>
  <c r="O270" i="2" l="1" a="1"/>
  <c r="O271" i="2" a="1"/>
  <c r="P271" i="2" a="1"/>
  <c r="P270" i="2" a="1"/>
  <c r="P272" i="2" a="1"/>
  <c r="O273" i="2" a="1"/>
  <c r="O272" i="2" a="1"/>
  <c r="P273" i="2" a="1"/>
  <c r="W272" i="2" l="1"/>
  <c r="Q271" i="2"/>
  <c r="Q270" i="2"/>
  <c r="Q273" i="2"/>
  <c r="W270" i="2"/>
  <c r="AA270" i="2" s="1"/>
  <c r="AB270" i="2" s="1"/>
  <c r="W271" i="2"/>
  <c r="AA271" i="2" s="1"/>
  <c r="AB271" i="2" s="1"/>
  <c r="Q272" i="2"/>
  <c r="AA272" i="2" s="1"/>
  <c r="AB272" i="2" s="1"/>
  <c r="W273" i="2"/>
  <c r="AA273" i="2" l="1"/>
  <c r="AB273" i="2" s="1"/>
  <c r="P274" i="2" a="1"/>
  <c r="O274" i="2" a="1"/>
  <c r="P275" i="2" a="1"/>
  <c r="O275" i="2" a="1"/>
  <c r="W275" i="2" l="1"/>
  <c r="W274" i="2"/>
  <c r="Q274" i="2"/>
  <c r="AA274" i="2" s="1"/>
  <c r="AB274" i="2" s="1"/>
  <c r="Q275" i="2"/>
  <c r="AA275" i="2" l="1"/>
  <c r="AB275" i="2" s="1"/>
  <c r="P276" i="2" a="1"/>
  <c r="P277" i="2" a="1"/>
  <c r="O276" i="2" a="1"/>
  <c r="W276" i="2" s="1"/>
  <c r="O277" i="2" a="1"/>
  <c r="P279" i="2" a="1"/>
  <c r="O279" i="2" a="1"/>
  <c r="W279" i="2" s="1"/>
  <c r="P278" i="2" a="1"/>
  <c r="O278" i="2" a="1"/>
  <c r="W277" i="2" l="1"/>
  <c r="W278" i="2"/>
  <c r="Q276" i="2"/>
  <c r="AA276" i="2" s="1"/>
  <c r="AB276" i="2" s="1"/>
  <c r="Q279" i="2"/>
  <c r="AA279" i="2" s="1"/>
  <c r="AB279" i="2" s="1"/>
  <c r="Q278" i="2"/>
  <c r="Q277" i="2"/>
  <c r="O283" i="2" a="1"/>
  <c r="P282" i="2" a="1"/>
  <c r="O281" i="2" a="1"/>
  <c r="P280" i="2" a="1"/>
  <c r="AA278" i="2" l="1"/>
  <c r="AB278" i="2" s="1"/>
  <c r="AA277" i="2"/>
  <c r="AB277" i="2" s="1"/>
  <c r="O282" i="2" l="1" a="1"/>
  <c r="P283" i="2" a="1"/>
  <c r="O280" i="2" a="1"/>
  <c r="P281" i="2" a="1"/>
  <c r="Q282" i="2" l="1"/>
  <c r="W282" i="2"/>
  <c r="W283" i="2"/>
  <c r="Q283" i="2"/>
  <c r="W280" i="2"/>
  <c r="Q280" i="2"/>
  <c r="W281" i="2"/>
  <c r="Q281" i="2"/>
  <c r="AA282" i="2" l="1"/>
  <c r="AB282" i="2" s="1"/>
  <c r="AA283" i="2"/>
  <c r="AB283" i="2" s="1"/>
  <c r="AA280" i="2"/>
  <c r="AB280" i="2" s="1"/>
  <c r="AA281" i="2"/>
  <c r="AB281" i="2" s="1"/>
  <c r="O287" i="2" l="1" a="1"/>
  <c r="P286" i="2" a="1"/>
  <c r="O286" i="2" a="1"/>
  <c r="W286" i="2" s="1"/>
  <c r="P287" i="2" a="1"/>
  <c r="Q287" i="2" s="1"/>
  <c r="O284" i="2" a="1"/>
  <c r="W284" i="2" s="1"/>
  <c r="P285" i="2" a="1"/>
  <c r="Q285" i="2" s="1"/>
  <c r="O285" i="2" a="1"/>
  <c r="P284" i="2" a="1"/>
  <c r="Q284" i="2" l="1"/>
  <c r="AA284" i="2" s="1"/>
  <c r="AB284" i="2" s="1"/>
  <c r="W287" i="2"/>
  <c r="AA287" i="2" s="1"/>
  <c r="AB287" i="2" s="1"/>
  <c r="Q286" i="2"/>
  <c r="AA286" i="2" s="1"/>
  <c r="AB286" i="2" s="1"/>
  <c r="W285" i="2"/>
  <c r="AA285" i="2" s="1"/>
  <c r="AB285" i="2" s="1"/>
  <c r="O290" i="2" l="1" a="1"/>
  <c r="P291" i="2" a="1"/>
  <c r="O288" i="2" a="1"/>
  <c r="W288" i="2" s="1"/>
  <c r="P289" i="2" a="1"/>
  <c r="O289" i="2" a="1"/>
  <c r="P288" i="2" a="1"/>
  <c r="W289" i="2" l="1"/>
  <c r="Q288" i="2"/>
  <c r="AA288" i="2" s="1"/>
  <c r="AB288" i="2" s="1"/>
  <c r="Q289" i="2"/>
  <c r="AA289" i="2" s="1"/>
  <c r="AB289" i="2" s="1"/>
  <c r="P290" i="2" l="1" a="1"/>
  <c r="O291" i="2" a="1"/>
  <c r="W290" i="2" l="1"/>
  <c r="Q290" i="2"/>
  <c r="AA290" i="2" s="1"/>
  <c r="AB290" i="2" s="1"/>
  <c r="Q291" i="2"/>
  <c r="W291" i="2"/>
  <c r="AA291" i="2" l="1"/>
  <c r="AB291" i="2" s="1"/>
  <c r="P293" i="2" a="1"/>
  <c r="O292" i="2" a="1"/>
  <c r="P292" i="2" a="1"/>
  <c r="Q292" i="2" s="1"/>
  <c r="O293" i="2" a="1"/>
  <c r="Q293" i="2" l="1"/>
  <c r="W292" i="2"/>
  <c r="AA292" i="2" s="1"/>
  <c r="AB292" i="2" s="1"/>
  <c r="W293" i="2"/>
  <c r="AA293" i="2" l="1"/>
  <c r="AB293" i="2" s="1"/>
  <c r="O295" i="2" a="1"/>
  <c r="P294" i="2" a="1"/>
  <c r="O294" i="2" a="1"/>
  <c r="P295" i="2" a="1"/>
  <c r="Q295" i="2" s="1"/>
  <c r="W294" i="2" l="1"/>
  <c r="W295" i="2"/>
  <c r="AA295" i="2" s="1"/>
  <c r="AB295" i="2" s="1"/>
  <c r="Q294" i="2"/>
  <c r="AA294" i="2" s="1"/>
  <c r="AB294" i="2" s="1"/>
  <c r="AX5" i="3" l="1" a="1"/>
  <c r="AX2" i="3" l="1" a="1"/>
  <c r="G26" i="3" l="1" a="1"/>
  <c r="AX9" i="3" a="1"/>
  <c r="AX4" i="3" l="1" a="1"/>
  <c r="G25" i="3" l="1" a="1"/>
  <c r="AX6" i="3" l="1" a="1"/>
  <c r="G34" i="3" a="1"/>
  <c r="G27" i="3" l="1" a="1"/>
  <c r="G36" i="3" a="1"/>
  <c r="G35" i="3" a="1"/>
  <c r="AX8" i="3" l="1" a="1"/>
  <c r="AX7" i="3" l="1" a="1"/>
  <c r="G30" i="3" a="1"/>
  <c r="G32" i="3" l="1" a="1"/>
  <c r="AX3" i="3" a="1"/>
  <c r="G33" i="3" a="1"/>
  <c r="G29" i="3" l="1" a="1"/>
  <c r="G28" i="3" a="1"/>
  <c r="G31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<sst xmlns="http://schemas.openxmlformats.org/spreadsheetml/2006/main" count="1552" uniqueCount="87">
  <si>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</si>
  <si>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</si>
  <si>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</si>
  <si>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</si>
  <si>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</si>
  <si>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</si>
  <si>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</si>
  <si>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</si>
  <si>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</si>
  <si>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</si>
  <si>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</si>
  <si>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</si>
  <si>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</si>
  <si>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</si>
  <si>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</si>
  <si>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</si>
  <si>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</si>
  <si>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</si>
  <si>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</si>
  <si>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</si>
  <si>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</si>
  <si>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</si>
  <si>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</si>
  <si>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</si>
  <si>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</si>
  <si>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</si>
  <si>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</si>
  <si>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</si>
  <si>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</si>
  <si>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</si>
  <si>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</si>
  <si>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</si>
  <si>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</si>
  <si>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</si>
  <si>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</si>
  <si>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</si>
  <si>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</si>
  <si>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</si>
  <si>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</si>
  <si>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</si>
  <si>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</si>
  <si>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</si>
  <si>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</si>
  <si>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</si>
  <si>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</si>
  <si>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</si>
  <si>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</si>
  <si>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</si>
  <si>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</si>
  <si>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</si>
  <si>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</si>
  <si>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</si>
  <si>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</si>
  <si>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</si>
  <si>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</si>
  <si>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</si>
  <si>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</si>
  <si>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</si>
  <si>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</si>
  <si>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</si>
  <si>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</si>
  <si>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</si>
  <si>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</si>
  <si>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</si>
  <si>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</si>
  <si>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</si>
  <si>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</si>
  <si>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</si>
  <si>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</si>
  <si>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</si>
  <si>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</si>
  <si>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</si>
  <si>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</si>
  <si>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</si>
  <si>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</si>
  <si>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</si>
  <si>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</si>
  <si>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</si>
  <si>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</si>
  <si>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</si>
  <si>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</si>
  <si>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P</t>
  </si>
  <si>
    <t>Dallas Wings</t>
  </si>
  <si>
    <t>DAL</t>
  </si>
  <si>
    <t>LVA</t>
  </si>
  <si>
    <t>Las Vegas Aces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</si>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</sst>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5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8729050926" createdVersion="8" refreshedVersion="8" minRefreshableVersion="3" recordCount="44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9-05-24T00:00:00" maxDate="2019-10-11T00:00:00"/>
    </cacheField>
    <cacheField name="Season" numFmtId="1">
      <sharedItems containsSemiMixedTypes="0" containsString="0" containsNumber="1" containsInteger="1" minValue="2019" maxValue="2019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5" maxValue="3"/>
    </cacheField>
    <cacheField name="Team" numFmtId="0">
      <sharedItems containsBlank="1" count="59">
        <s v="DAL"/>
        <s v="ATL"/>
        <s v="IND"/>
        <s v="NYL"/>
        <s v="WAS"/>
        <s v="CON"/>
        <s v="CHI"/>
        <s v="MIN"/>
        <s v="PHX"/>
        <s v="SEA"/>
        <s v="LAS"/>
        <s v="LVA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03.9683014480397" maxValue="1718.4711672450724"/>
    </cacheField>
    <cacheField name="OppPreGmRate" numFmtId="165">
      <sharedItems containsSemiMixedTypes="0" containsString="0" containsNumber="1" minValue="1303.9683014480397" maxValue="1718.4711672450724"/>
    </cacheField>
    <cacheField name="ExpectedWin%" numFmtId="165">
      <sharedItems containsSemiMixedTypes="0" containsString="0" containsNumber="1" minValue="8.195306113862659E-2" maxValue="0.91804693886137334"/>
    </cacheField>
    <cacheField name="PointsFor" numFmtId="0">
      <sharedItems containsSemiMixedTypes="0" containsString="0" containsNumber="1" containsInteger="1" minValue="52" maxValue="109"/>
    </cacheField>
    <cacheField name="PointsAgainst" numFmtId="0">
      <sharedItems containsSemiMixedTypes="0" containsString="0" containsNumber="1" containsInteger="1" minValue="52" maxValue="109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3" maxValue="43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293214243738584" maxValue="0.82860493627564236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905000000000001"/>
    </cacheField>
    <cacheField name="RatingChange" numFmtId="165">
      <sharedItems containsSemiMixedTypes="0" containsString="0" containsNumber="1" minValue="-31.482544296568864" maxValue="31.546446619227662"/>
    </cacheField>
    <cacheField name="PostGmRate" numFmtId="165">
      <sharedItems containsSemiMixedTypes="0" containsString="0" containsNumber="1" minValue="1303.9683014480397" maxValue="1718.4711672450724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19-05-24T00:00:00"/>
    <n v="2019"/>
    <x v="0"/>
    <s v="R"/>
    <s v="RS"/>
    <x v="0"/>
    <s v="ATL"/>
    <s v="A"/>
    <n v="0"/>
    <n v="0"/>
    <n v="0"/>
    <n v="0"/>
    <n v="0"/>
    <n v="0"/>
    <n v="1475.7648020364356"/>
    <n v="1534.0297405143997"/>
    <n v="0.30598811667846687"/>
    <n v="72"/>
    <n v="76"/>
    <n v="0"/>
    <n v="-4"/>
    <n v="0"/>
    <n v="0.29701159943049638"/>
    <n v="1"/>
    <n v="75.849999999999994"/>
    <n v="75.849999999999994"/>
    <n v="-6.893401212554946"/>
    <n v="1468.8714008238808"/>
    <n v="0"/>
    <n v="1"/>
    <n v="0"/>
    <n v="0"/>
    <n v="0"/>
    <n v="0"/>
    <n v="0"/>
    <n v="0"/>
    <n v="0"/>
    <n v="0"/>
  </r>
  <r>
    <d v="2019-05-24T00:00:00"/>
    <n v="2019"/>
    <x v="0"/>
    <s v="R"/>
    <s v="RS"/>
    <x v="1"/>
    <s v="DAL"/>
    <s v="H"/>
    <n v="0"/>
    <n v="0"/>
    <n v="0"/>
    <n v="0"/>
    <n v="0"/>
    <n v="0"/>
    <n v="1534.0297405143997"/>
    <n v="1475.7648020364356"/>
    <n v="0.69401188332153307"/>
    <n v="76"/>
    <n v="72"/>
    <n v="0"/>
    <n v="4"/>
    <n v="1"/>
    <n v="0.29701159943049638"/>
    <n v="1"/>
    <n v="75.849999999999994"/>
    <n v="75.849999999999994"/>
    <n v="6.8934012125549469"/>
    <n v="1540.9231417269546"/>
    <n v="1"/>
    <n v="0"/>
    <n v="0"/>
    <n v="0"/>
    <n v="0"/>
    <n v="0"/>
    <n v="0"/>
    <n v="0"/>
    <n v="0"/>
    <n v="0"/>
  </r>
  <r>
    <d v="2019-05-24T00:00:00"/>
    <n v="2019"/>
    <x v="0"/>
    <s v="R"/>
    <s v="RS"/>
    <x v="2"/>
    <s v="NYL"/>
    <s v="A"/>
    <n v="0"/>
    <n v="0"/>
    <n v="0"/>
    <n v="0"/>
    <n v="0"/>
    <n v="0"/>
    <n v="1403.8758426140951"/>
    <n v="1413.374624833551"/>
    <n v="0.36860122779140359"/>
    <n v="81"/>
    <n v="80"/>
    <n v="0"/>
    <n v="1"/>
    <n v="1"/>
    <n v="0.24226200924374827"/>
    <n v="1"/>
    <n v="75.849999999999994"/>
    <n v="75.849999999999994"/>
    <n v="11.602314484107668"/>
    <n v="1415.4781570982027"/>
    <n v="1"/>
    <n v="0"/>
    <n v="0"/>
    <n v="0"/>
    <n v="0"/>
    <n v="0"/>
    <n v="0"/>
    <n v="0"/>
    <n v="0"/>
    <n v="0"/>
  </r>
  <r>
    <d v="2019-05-24T00:00:00"/>
    <n v="2019"/>
    <x v="0"/>
    <s v="R"/>
    <s v="RS"/>
    <x v="3"/>
    <s v="IND"/>
    <s v="H"/>
    <n v="0"/>
    <n v="0"/>
    <n v="0"/>
    <n v="0"/>
    <n v="0"/>
    <n v="0"/>
    <n v="1413.374624833551"/>
    <n v="1403.8758426140951"/>
    <n v="0.63139877220859641"/>
    <n v="80"/>
    <n v="81"/>
    <n v="0"/>
    <n v="-1"/>
    <n v="0"/>
    <n v="0.24226200924374827"/>
    <n v="1"/>
    <n v="75.849999999999994"/>
    <n v="75.849999999999994"/>
    <n v="-11.602314484107668"/>
    <n v="1401.7723103494434"/>
    <n v="0"/>
    <n v="1"/>
    <n v="0"/>
    <n v="0"/>
    <n v="0"/>
    <n v="0"/>
    <n v="0"/>
    <n v="0"/>
    <n v="0"/>
    <n v="0"/>
  </r>
  <r>
    <d v="2019-05-25T00:00:00"/>
    <n v="2019"/>
    <x v="0"/>
    <s v="R"/>
    <s v="RS"/>
    <x v="4"/>
    <s v="CON"/>
    <s v="A"/>
    <n v="1"/>
    <n v="1"/>
    <n v="0"/>
    <n v="0"/>
    <n v="0"/>
    <n v="0"/>
    <n v="1540.5793256941115"/>
    <n v="1543.7865160891447"/>
    <n v="0.37706961591215643"/>
    <n v="69"/>
    <n v="84"/>
    <n v="0"/>
    <n v="-15"/>
    <n v="0"/>
    <n v="0.50150766922894141"/>
    <n v="1"/>
    <n v="75.849999999999994"/>
    <n v="75.849999999999994"/>
    <n v="-14.343485624568013"/>
    <n v="1526.2358400695434"/>
    <n v="0"/>
    <n v="1"/>
    <n v="0"/>
    <n v="0"/>
    <n v="0"/>
    <n v="0"/>
    <n v="0"/>
    <n v="0"/>
    <n v="0"/>
    <n v="0"/>
  </r>
  <r>
    <d v="2019-05-25T00:00:00"/>
    <n v="2019"/>
    <x v="0"/>
    <s v="R"/>
    <s v="RS"/>
    <x v="5"/>
    <s v="WAS"/>
    <s v="H"/>
    <n v="1"/>
    <n v="1"/>
    <n v="0"/>
    <n v="0"/>
    <n v="0"/>
    <n v="0"/>
    <n v="1543.7865160891447"/>
    <n v="1540.5793256941115"/>
    <n v="0.62293038408784351"/>
    <n v="84"/>
    <n v="69"/>
    <n v="0"/>
    <n v="15"/>
    <n v="1"/>
    <n v="0.50150766922894141"/>
    <n v="1"/>
    <n v="75.849999999999994"/>
    <n v="75.849999999999994"/>
    <n v="14.343485624568014"/>
    <n v="1558.1300017137128"/>
    <n v="1"/>
    <n v="0"/>
    <n v="0"/>
    <n v="0"/>
    <n v="0"/>
    <n v="0"/>
    <n v="0"/>
    <n v="0"/>
    <n v="0"/>
    <n v="0"/>
  </r>
  <r>
    <d v="2019-05-25T00:00:00"/>
    <n v="2019"/>
    <x v="0"/>
    <s v="R"/>
    <s v="RS"/>
    <x v="6"/>
    <s v="MIN"/>
    <s v="A"/>
    <n v="1"/>
    <n v="1"/>
    <n v="0"/>
    <n v="0"/>
    <n v="0"/>
    <n v="0"/>
    <n v="1450.5964228476666"/>
    <n v="1517.0126325624542"/>
    <n v="0.29611537362739776"/>
    <n v="71"/>
    <n v="89"/>
    <n v="0"/>
    <n v="-18"/>
    <n v="0"/>
    <n v="0.51815565334509572"/>
    <n v="1"/>
    <n v="75.849999999999994"/>
    <n v="75.849999999999994"/>
    <n v="-11.637957893211674"/>
    <n v="1438.9584649544549"/>
    <n v="0"/>
    <n v="1"/>
    <n v="0"/>
    <n v="0"/>
    <n v="0"/>
    <n v="0"/>
    <n v="0"/>
    <n v="0"/>
    <n v="0"/>
    <n v="0"/>
  </r>
  <r>
    <d v="2019-05-25T00:00:00"/>
    <n v="2019"/>
    <x v="0"/>
    <s v="R"/>
    <s v="RS"/>
    <x v="7"/>
    <s v="CHI"/>
    <s v="H"/>
    <n v="1"/>
    <n v="1"/>
    <n v="0"/>
    <n v="0"/>
    <n v="0"/>
    <n v="0"/>
    <n v="1517.0126325624542"/>
    <n v="1450.5964228476666"/>
    <n v="0.70388462637260218"/>
    <n v="89"/>
    <n v="71"/>
    <n v="0"/>
    <n v="18"/>
    <n v="1"/>
    <n v="0.51815565334509572"/>
    <n v="1"/>
    <n v="75.849999999999994"/>
    <n v="75.849999999999994"/>
    <n v="11.637957893211675"/>
    <n v="1528.6505904556659"/>
    <n v="1"/>
    <n v="0"/>
    <n v="0"/>
    <n v="0"/>
    <n v="0"/>
    <n v="0"/>
    <n v="0"/>
    <n v="0"/>
    <n v="0"/>
    <n v="0"/>
  </r>
  <r>
    <d v="2019-05-25T00:00:00"/>
    <n v="2019"/>
    <x v="0"/>
    <s v="R"/>
    <s v="RS"/>
    <x v="8"/>
    <s v="SEA"/>
    <s v="A"/>
    <n v="1"/>
    <n v="1"/>
    <n v="0"/>
    <n v="0"/>
    <n v="0"/>
    <n v="0"/>
    <n v="1541.9743435075707"/>
    <n v="1599.1683045364787"/>
    <n v="0.30729888483016399"/>
    <n v="68"/>
    <n v="77"/>
    <n v="0"/>
    <n v="-9"/>
    <n v="0"/>
    <n v="0.38750252361854087"/>
    <n v="1"/>
    <n v="75.849999999999994"/>
    <n v="75.849999999999994"/>
    <n v="-9.0321492326342163"/>
    <n v="1532.9421942749364"/>
    <n v="0"/>
    <n v="1"/>
    <n v="0"/>
    <n v="0"/>
    <n v="0"/>
    <n v="0"/>
    <n v="0"/>
    <n v="0"/>
    <n v="0"/>
    <n v="0"/>
  </r>
  <r>
    <d v="2019-05-25T00:00:00"/>
    <n v="2019"/>
    <x v="0"/>
    <s v="R"/>
    <s v="RS"/>
    <x v="9"/>
    <s v="PHX"/>
    <s v="H"/>
    <n v="1"/>
    <n v="1"/>
    <n v="0"/>
    <n v="0"/>
    <n v="0"/>
    <n v="0"/>
    <n v="1599.1683045364787"/>
    <n v="1541.9743435075707"/>
    <n v="0.69270111516983601"/>
    <n v="77"/>
    <n v="68"/>
    <n v="0"/>
    <n v="9"/>
    <n v="1"/>
    <n v="0.38750252361854087"/>
    <n v="1"/>
    <n v="75.849999999999994"/>
    <n v="75.849999999999994"/>
    <n v="9.0321492326342163"/>
    <n v="1608.200453769113"/>
    <n v="1"/>
    <n v="0"/>
    <n v="0"/>
    <n v="0"/>
    <n v="0"/>
    <n v="0"/>
    <n v="0"/>
    <n v="0"/>
    <n v="0"/>
    <n v="0"/>
  </r>
  <r>
    <d v="2019-05-26T00:00:00"/>
    <n v="2019"/>
    <x v="0"/>
    <s v="R"/>
    <s v="RS"/>
    <x v="10"/>
    <s v="LVA"/>
    <s v="A"/>
    <n v="2"/>
    <n v="2"/>
    <n v="0"/>
    <n v="0"/>
    <n v="0"/>
    <n v="0"/>
    <n v="1517.9940452464459"/>
    <n v="1461.8978441074273"/>
    <n v="0.45992932400920455"/>
    <n v="70"/>
    <n v="83"/>
    <n v="0"/>
    <n v="-13"/>
    <n v="0"/>
    <n v="0.45096267806819745"/>
    <n v="1"/>
    <n v="75.849999999999994"/>
    <n v="75.849999999999994"/>
    <n v="-15.732121291522187"/>
    <n v="1502.2619239549238"/>
    <n v="0"/>
    <n v="1"/>
    <n v="0"/>
    <n v="0"/>
    <n v="0"/>
    <n v="0"/>
    <n v="0"/>
    <n v="0"/>
    <n v="0"/>
    <n v="0"/>
  </r>
  <r>
    <d v="2019-05-26T00:00:00"/>
    <n v="2019"/>
    <x v="0"/>
    <s v="R"/>
    <s v="RS"/>
    <x v="11"/>
    <s v="LAS"/>
    <s v="H"/>
    <n v="2"/>
    <n v="2"/>
    <n v="0"/>
    <n v="0"/>
    <n v="0"/>
    <n v="0"/>
    <n v="1461.8978441074273"/>
    <n v="1517.9940452464459"/>
    <n v="0.54007067599079539"/>
    <n v="83"/>
    <n v="70"/>
    <n v="0"/>
    <n v="13"/>
    <n v="1"/>
    <n v="0.45096267806819745"/>
    <n v="1"/>
    <n v="75.849999999999994"/>
    <n v="75.849999999999994"/>
    <n v="15.732121291522189"/>
    <n v="1477.6299653989495"/>
    <n v="1"/>
    <n v="0"/>
    <n v="0"/>
    <n v="0"/>
    <n v="0"/>
    <n v="0"/>
    <n v="0"/>
    <n v="0"/>
    <n v="0"/>
    <n v="0"/>
  </r>
  <r>
    <d v="2019-05-28T00:00:00"/>
    <n v="2019"/>
    <x v="1"/>
    <s v="R"/>
    <s v="RS"/>
    <x v="2"/>
    <s v="CON"/>
    <s v="A"/>
    <n v="3"/>
    <n v="2"/>
    <n v="1"/>
    <n v="-1"/>
    <n v="8"/>
    <n v="-8"/>
    <n v="1415.4781570982027"/>
    <n v="1558.1300017137128"/>
    <n v="0.22923965692588588"/>
    <n v="77"/>
    <n v="88"/>
    <n v="0"/>
    <n v="-11"/>
    <n v="0"/>
    <n v="0.39310500814178123"/>
    <n v="1"/>
    <n v="75.7"/>
    <n v="75.7"/>
    <n v="-6.8217249702118021"/>
    <n v="1408.6564321279909"/>
    <n v="0"/>
    <n v="1"/>
    <n v="0"/>
    <n v="0"/>
    <n v="0"/>
    <n v="0"/>
    <n v="0"/>
    <n v="0"/>
    <n v="0"/>
    <n v="0"/>
  </r>
  <r>
    <d v="2019-05-28T00:00:00"/>
    <n v="2019"/>
    <x v="1"/>
    <s v="R"/>
    <s v="RS"/>
    <x v="5"/>
    <s v="IND"/>
    <s v="H"/>
    <n v="2"/>
    <n v="3"/>
    <n v="-1"/>
    <n v="1"/>
    <n v="-8"/>
    <n v="8"/>
    <n v="1558.1300017137128"/>
    <n v="1415.4781570982027"/>
    <n v="0.77076034307411412"/>
    <n v="88"/>
    <n v="77"/>
    <n v="0"/>
    <n v="11"/>
    <n v="1"/>
    <n v="0.39310500814178123"/>
    <n v="1"/>
    <n v="75.7"/>
    <n v="75.7"/>
    <n v="6.8217249702118021"/>
    <n v="1564.9517266839246"/>
    <n v="1"/>
    <n v="0"/>
    <n v="0"/>
    <n v="0"/>
    <n v="0"/>
    <n v="0"/>
    <n v="0"/>
    <n v="0"/>
    <n v="0"/>
    <n v="0"/>
  </r>
  <r>
    <d v="2019-05-29T00:00:00"/>
    <n v="2019"/>
    <x v="1"/>
    <s v="R"/>
    <s v="RS"/>
    <x v="9"/>
    <s v="MIN"/>
    <s v="A"/>
    <n v="3"/>
    <n v="3"/>
    <n v="0"/>
    <n v="0"/>
    <n v="0"/>
    <n v="0"/>
    <n v="1608.200453769113"/>
    <n v="1528.6505904556659"/>
    <n v="0.49359608870336913"/>
    <n v="61"/>
    <n v="72"/>
    <n v="0"/>
    <n v="-11"/>
    <n v="0"/>
    <n v="0.41249128263152607"/>
    <n v="1"/>
    <n v="75.7"/>
    <n v="75.7"/>
    <n v="-15.412829138448604"/>
    <n v="1592.7876246306644"/>
    <n v="0"/>
    <n v="1"/>
    <n v="0"/>
    <n v="0"/>
    <n v="0"/>
    <n v="0"/>
    <n v="0"/>
    <n v="0"/>
    <n v="0"/>
    <n v="0"/>
  </r>
  <r>
    <d v="2019-05-29T00:00:00"/>
    <n v="2019"/>
    <x v="1"/>
    <s v="R"/>
    <s v="RS"/>
    <x v="7"/>
    <s v="SEA"/>
    <s v="H"/>
    <n v="3"/>
    <n v="3"/>
    <n v="0"/>
    <n v="0"/>
    <n v="0"/>
    <n v="0"/>
    <n v="1528.6505904556659"/>
    <n v="1608.200453769113"/>
    <n v="0.50640391129663087"/>
    <n v="72"/>
    <n v="61"/>
    <n v="0"/>
    <n v="11"/>
    <n v="1"/>
    <n v="0.41249128263152607"/>
    <n v="1"/>
    <n v="75.7"/>
    <n v="75.7"/>
    <n v="15.412829138448604"/>
    <n v="1544.0634195941145"/>
    <n v="1"/>
    <n v="0"/>
    <n v="0"/>
    <n v="0"/>
    <n v="0"/>
    <n v="0"/>
    <n v="0"/>
    <n v="0"/>
    <n v="0"/>
    <n v="0"/>
  </r>
  <r>
    <d v="2019-05-31T00:00:00"/>
    <n v="2019"/>
    <x v="2"/>
    <s v="R"/>
    <s v="RS"/>
    <x v="9"/>
    <s v="ATL"/>
    <s v="A"/>
    <n v="1"/>
    <n v="6"/>
    <n v="-5"/>
    <n v="5"/>
    <n v="-16"/>
    <n v="16"/>
    <n v="1592.7876246306644"/>
    <n v="1540.9231417269546"/>
    <n v="0.4087358630496904"/>
    <n v="82"/>
    <n v="66"/>
    <n v="0"/>
    <n v="16"/>
    <n v="1"/>
    <n v="0.49633426558668997"/>
    <n v="1"/>
    <n v="75.55"/>
    <n v="75.55"/>
    <n v="22.171254396723036"/>
    <n v="1614.9588790273874"/>
    <n v="1"/>
    <n v="0"/>
    <n v="0"/>
    <n v="0"/>
    <n v="0"/>
    <n v="0"/>
    <n v="0"/>
    <n v="0"/>
    <n v="0"/>
    <n v="0"/>
  </r>
  <r>
    <d v="2019-05-31T00:00:00"/>
    <n v="2019"/>
    <x v="1"/>
    <s v="R"/>
    <s v="RS"/>
    <x v="1"/>
    <s v="SEA"/>
    <s v="H"/>
    <n v="6"/>
    <n v="1"/>
    <n v="5"/>
    <n v="-5"/>
    <n v="16"/>
    <n v="-16"/>
    <n v="1540.9231417269546"/>
    <n v="1592.7876246306644"/>
    <n v="0.59126413695030966"/>
    <n v="66"/>
    <n v="82"/>
    <n v="0"/>
    <n v="-16"/>
    <n v="0"/>
    <n v="0.49633426558668997"/>
    <n v="1"/>
    <n v="75.7"/>
    <n v="75.7"/>
    <n v="-22.215274094400186"/>
    <n v="1518.7078676325543"/>
    <n v="0"/>
    <n v="1"/>
    <n v="0"/>
    <n v="0"/>
    <n v="0"/>
    <n v="0"/>
    <n v="0"/>
    <n v="0"/>
    <n v="0"/>
    <n v="0"/>
  </r>
  <r>
    <d v="2019-05-31T00:00:00"/>
    <n v="2019"/>
    <x v="2"/>
    <s v="R"/>
    <s v="RS"/>
    <x v="5"/>
    <s v="LAS"/>
    <s v="A"/>
    <n v="2"/>
    <n v="4"/>
    <n v="-2"/>
    <n v="2"/>
    <n v="-16"/>
    <n v="16"/>
    <n v="1564.9517266839246"/>
    <n v="1502.2619239549238"/>
    <n v="0.42387692598309107"/>
    <n v="70"/>
    <n v="77"/>
    <n v="0"/>
    <n v="-7"/>
    <n v="0"/>
    <n v="0.35173215624669391"/>
    <n v="1"/>
    <n v="75.55"/>
    <n v="75.55"/>
    <n v="-11.263836016781555"/>
    <n v="1553.6878906671429"/>
    <n v="0"/>
    <n v="1"/>
    <n v="0"/>
    <n v="0"/>
    <n v="0"/>
    <n v="0"/>
    <n v="0"/>
    <n v="0"/>
    <n v="0"/>
    <n v="0"/>
  </r>
  <r>
    <d v="2019-05-31T00:00:00"/>
    <n v="2019"/>
    <x v="1"/>
    <s v="R"/>
    <s v="RS"/>
    <x v="10"/>
    <s v="CON"/>
    <s v="H"/>
    <n v="4"/>
    <n v="2"/>
    <n v="2"/>
    <n v="-2"/>
    <n v="16"/>
    <n v="-16"/>
    <n v="1502.2619239549238"/>
    <n v="1564.9517266839246"/>
    <n v="0.57612307401690899"/>
    <n v="77"/>
    <n v="70"/>
    <n v="0"/>
    <n v="7"/>
    <n v="1"/>
    <n v="0.35173215624669391"/>
    <n v="1"/>
    <n v="75.7"/>
    <n v="75.7"/>
    <n v="11.286199688555444"/>
    <n v="1513.5481236434791"/>
    <n v="1"/>
    <n v="0"/>
    <n v="0"/>
    <n v="0"/>
    <n v="0"/>
    <n v="0"/>
    <n v="0"/>
    <n v="0"/>
    <n v="0"/>
    <n v="0"/>
  </r>
  <r>
    <d v="2019-05-31T00:00:00"/>
    <n v="2019"/>
    <x v="1"/>
    <s v="R"/>
    <s v="RS"/>
    <x v="11"/>
    <s v="PHX"/>
    <s v="A"/>
    <n v="4"/>
    <n v="5"/>
    <n v="-1"/>
    <n v="1"/>
    <n v="-8"/>
    <n v="8"/>
    <n v="1477.6299653989495"/>
    <n v="1532.9421942749364"/>
    <n v="0.29027495140622117"/>
    <n v="84"/>
    <n v="86"/>
    <n v="0"/>
    <n v="-2"/>
    <n v="0"/>
    <n v="0.25603955540160367"/>
    <n v="1"/>
    <n v="75.7"/>
    <n v="75.7"/>
    <n v="-5.6261655213219139"/>
    <n v="1472.0037998776277"/>
    <n v="0"/>
    <n v="1"/>
    <n v="0"/>
    <n v="0"/>
    <n v="0"/>
    <n v="0"/>
    <n v="0"/>
    <n v="0"/>
    <n v="0"/>
    <n v="0"/>
  </r>
  <r>
    <d v="2019-05-31T00:00:00"/>
    <n v="2019"/>
    <x v="1"/>
    <s v="R"/>
    <s v="RS"/>
    <x v="8"/>
    <s v="LVA"/>
    <s v="H"/>
    <n v="5"/>
    <n v="4"/>
    <n v="1"/>
    <n v="-1"/>
    <n v="8"/>
    <n v="-8"/>
    <n v="1532.9421942749364"/>
    <n v="1477.6299653989495"/>
    <n v="0.70972504859377894"/>
    <n v="86"/>
    <n v="84"/>
    <n v="0"/>
    <n v="2"/>
    <n v="1"/>
    <n v="0.25603955540160367"/>
    <n v="1"/>
    <n v="75.7"/>
    <n v="75.7"/>
    <n v="5.6261655213219113"/>
    <n v="1538.5683597962582"/>
    <n v="1"/>
    <n v="0"/>
    <n v="0"/>
    <n v="0"/>
    <n v="0"/>
    <n v="0"/>
    <n v="0"/>
    <n v="0"/>
    <n v="0"/>
    <n v="0"/>
  </r>
  <r>
    <d v="2019-06-01T00:00:00"/>
    <n v="2019"/>
    <x v="3"/>
    <s v="R"/>
    <s v="RS"/>
    <x v="9"/>
    <s v="CHI"/>
    <s v="A"/>
    <n v="0"/>
    <n v="6"/>
    <n v="-6"/>
    <n v="6"/>
    <n v="-16"/>
    <n v="16"/>
    <n v="1614.9588790273874"/>
    <n v="1438.9584649544549"/>
    <n v="0.58549925714640294"/>
    <n v="79"/>
    <n v="83"/>
    <n v="0"/>
    <n v="-4"/>
    <n v="0"/>
    <n v="0.27159823359242596"/>
    <n v="1"/>
    <n v="75.400000000000006"/>
    <n v="75.400000000000006"/>
    <n v="-11.990150526402303"/>
    <n v="1602.9687285009852"/>
    <n v="0"/>
    <n v="1"/>
    <n v="0"/>
    <n v="0"/>
    <n v="0"/>
    <n v="0"/>
    <n v="0"/>
    <n v="0"/>
    <n v="0"/>
    <n v="0"/>
  </r>
  <r>
    <d v="2019-06-01T00:00:00"/>
    <n v="2019"/>
    <x v="1"/>
    <s v="R"/>
    <s v="RS"/>
    <x v="6"/>
    <s v="SEA"/>
    <s v="H"/>
    <n v="6"/>
    <n v="0"/>
    <n v="6"/>
    <n v="-6"/>
    <n v="16"/>
    <n v="-16"/>
    <n v="1438.9584649544549"/>
    <n v="1614.9588790273874"/>
    <n v="0.41450074285359706"/>
    <n v="83"/>
    <n v="79"/>
    <n v="0"/>
    <n v="4"/>
    <n v="1"/>
    <n v="0.27159823359242596"/>
    <n v="1"/>
    <n v="75.7"/>
    <n v="75.7"/>
    <n v="12.037856695605495"/>
    <n v="1450.9963216500605"/>
    <n v="1"/>
    <n v="0"/>
    <n v="0"/>
    <n v="0"/>
    <n v="0"/>
    <n v="0"/>
    <n v="0"/>
    <n v="0"/>
    <n v="0"/>
    <n v="0"/>
  </r>
  <r>
    <d v="2019-06-01T00:00:00"/>
    <n v="2019"/>
    <x v="2"/>
    <s v="R"/>
    <s v="RS"/>
    <x v="7"/>
    <s v="DAL"/>
    <s v="A"/>
    <n v="2"/>
    <n v="7"/>
    <n v="-5"/>
    <n v="5"/>
    <n v="-16"/>
    <n v="16"/>
    <n v="1544.0634195941145"/>
    <n v="1468.8714008238808"/>
    <n v="0.4415411728028007"/>
    <n v="70"/>
    <n v="67"/>
    <n v="0"/>
    <n v="3"/>
    <n v="1"/>
    <n v="0.27307277664289753"/>
    <n v="1"/>
    <n v="75.55"/>
    <n v="75.55"/>
    <n v="11.521367640181561"/>
    <n v="1555.5847872342961"/>
    <n v="1"/>
    <n v="0"/>
    <n v="0"/>
    <n v="0"/>
    <n v="0"/>
    <n v="0"/>
    <n v="0"/>
    <n v="0"/>
    <n v="0"/>
    <n v="0"/>
  </r>
  <r>
    <d v="2019-06-01T00:00:00"/>
    <n v="2019"/>
    <x v="1"/>
    <s v="R"/>
    <s v="RS"/>
    <x v="0"/>
    <s v="MIN"/>
    <s v="H"/>
    <n v="7"/>
    <n v="2"/>
    <n v="5"/>
    <n v="-5"/>
    <n v="16"/>
    <n v="-16"/>
    <n v="1468.8714008238808"/>
    <n v="1544.0634195941145"/>
    <n v="0.5584588271971993"/>
    <n v="67"/>
    <n v="70"/>
    <n v="0"/>
    <n v="-3"/>
    <n v="0"/>
    <n v="0.27307277664289753"/>
    <n v="1"/>
    <n v="75.7"/>
    <n v="75.7"/>
    <n v="-11.544242625569082"/>
    <n v="1457.3271581983117"/>
    <n v="0"/>
    <n v="1"/>
    <n v="0"/>
    <n v="0"/>
    <n v="0"/>
    <n v="0"/>
    <n v="0"/>
    <n v="0"/>
    <n v="0"/>
    <n v="0"/>
  </r>
  <r>
    <d v="2019-06-01T00:00:00"/>
    <n v="2019"/>
    <x v="1"/>
    <s v="R"/>
    <s v="RS"/>
    <x v="3"/>
    <s v="IND"/>
    <s v="A"/>
    <n v="7"/>
    <n v="3"/>
    <n v="4"/>
    <n v="-4"/>
    <n v="16"/>
    <n v="-16"/>
    <n v="1401.7723103494434"/>
    <n v="1408.6564321279909"/>
    <n v="0.4160610944211986"/>
    <n v="77"/>
    <n v="92"/>
    <n v="0"/>
    <n v="-15"/>
    <n v="0"/>
    <n v="0.49997976008274797"/>
    <n v="1"/>
    <n v="75.7"/>
    <n v="75.7"/>
    <n v="-15.747274950953665"/>
    <n v="1386.0250353984898"/>
    <n v="0"/>
    <n v="1"/>
    <n v="0"/>
    <n v="0"/>
    <n v="0"/>
    <n v="0"/>
    <n v="0"/>
    <n v="0"/>
    <n v="0"/>
    <n v="0"/>
  </r>
  <r>
    <d v="2019-06-01T00:00:00"/>
    <n v="2019"/>
    <x v="2"/>
    <s v="R"/>
    <s v="RS"/>
    <x v="2"/>
    <s v="NYL"/>
    <s v="H"/>
    <n v="3"/>
    <n v="7"/>
    <n v="-4"/>
    <n v="4"/>
    <n v="-16"/>
    <n v="16"/>
    <n v="1408.6564321279909"/>
    <n v="1401.7723103494434"/>
    <n v="0.58393890557880135"/>
    <n v="92"/>
    <n v="77"/>
    <n v="0"/>
    <n v="15"/>
    <n v="1"/>
    <n v="0.49997976008274797"/>
    <n v="1"/>
    <n v="75.55"/>
    <n v="75.55"/>
    <n v="15.716071632028395"/>
    <n v="1424.3725037600193"/>
    <n v="1"/>
    <n v="0"/>
    <n v="0"/>
    <n v="0"/>
    <n v="0"/>
    <n v="0"/>
    <n v="0"/>
    <n v="0"/>
    <n v="0"/>
    <n v="0"/>
  </r>
  <r>
    <d v="2019-06-01T00:00:00"/>
    <n v="2019"/>
    <x v="2"/>
    <s v="R"/>
    <s v="RS"/>
    <x v="1"/>
    <s v="WAS"/>
    <s v="A"/>
    <n v="0"/>
    <n v="6"/>
    <n v="-6"/>
    <n v="6"/>
    <n v="-16"/>
    <n v="16"/>
    <n v="1518.7078676325543"/>
    <n v="1526.2358400695434"/>
    <n v="0.32935932258068618"/>
    <n v="75"/>
    <n v="96"/>
    <n v="0"/>
    <n v="-21"/>
    <n v="0"/>
    <n v="0.58490698637769245"/>
    <n v="1"/>
    <n v="75.55"/>
    <n v="75.55"/>
    <n v="-14.554297173298393"/>
    <n v="1504.1535704592559"/>
    <n v="0"/>
    <n v="1"/>
    <n v="0"/>
    <n v="0"/>
    <n v="0"/>
    <n v="0"/>
    <n v="0"/>
    <n v="0"/>
    <n v="0"/>
    <n v="0"/>
  </r>
  <r>
    <d v="2019-06-01T00:00:00"/>
    <n v="2019"/>
    <x v="1"/>
    <s v="R"/>
    <s v="RS"/>
    <x v="4"/>
    <s v="ATL"/>
    <s v="H"/>
    <n v="6"/>
    <n v="0"/>
    <n v="6"/>
    <n v="-6"/>
    <n v="16"/>
    <n v="-16"/>
    <n v="1526.2358400695434"/>
    <n v="1518.7078676325543"/>
    <n v="0.67064067741931377"/>
    <n v="96"/>
    <n v="75"/>
    <n v="0"/>
    <n v="21"/>
    <n v="1"/>
    <n v="0.58490698637769245"/>
    <n v="1"/>
    <n v="75.7"/>
    <n v="75.7"/>
    <n v="14.583193858619307"/>
    <n v="1540.8190339281628"/>
    <n v="1"/>
    <n v="0"/>
    <n v="0"/>
    <n v="0"/>
    <n v="0"/>
    <n v="0"/>
    <n v="0"/>
    <n v="0"/>
    <n v="0"/>
    <n v="0"/>
  </r>
  <r>
    <d v="2019-06-02T00:00:00"/>
    <n v="2019"/>
    <x v="3"/>
    <s v="R"/>
    <s v="RS"/>
    <x v="5"/>
    <s v="LVA"/>
    <s v="A"/>
    <n v="1"/>
    <n v="1"/>
    <n v="0"/>
    <n v="0"/>
    <n v="0"/>
    <n v="0"/>
    <n v="1553.6878906671429"/>
    <n v="1472.0037998776277"/>
    <n v="0.49666718809536742"/>
    <n v="80"/>
    <n v="74"/>
    <n v="0"/>
    <n v="6"/>
    <n v="1"/>
    <n v="0.32889299035421748"/>
    <n v="1"/>
    <n v="75.400000000000006"/>
    <n v="75.400000000000006"/>
    <n v="12.481914577263645"/>
    <n v="1566.1698052444067"/>
    <n v="1"/>
    <n v="0"/>
    <n v="0"/>
    <n v="0"/>
    <n v="0"/>
    <n v="0"/>
    <n v="0"/>
    <n v="0"/>
    <n v="0"/>
    <n v="0"/>
  </r>
  <r>
    <d v="2019-06-02T00:00:00"/>
    <n v="2019"/>
    <x v="2"/>
    <s v="R"/>
    <s v="RS"/>
    <x v="11"/>
    <s v="CON"/>
    <s v="H"/>
    <n v="1"/>
    <n v="1"/>
    <n v="0"/>
    <n v="0"/>
    <n v="0"/>
    <n v="0"/>
    <n v="1472.0037998776277"/>
    <n v="1553.6878906671429"/>
    <n v="0.50333281190463264"/>
    <n v="74"/>
    <n v="80"/>
    <n v="0"/>
    <n v="-6"/>
    <n v="0"/>
    <n v="0.32889299035421748"/>
    <n v="1"/>
    <n v="75.55"/>
    <n v="75.55"/>
    <n v="-12.506745972311254"/>
    <n v="1459.4970539053163"/>
    <n v="0"/>
    <n v="1"/>
    <n v="0"/>
    <n v="0"/>
    <n v="0"/>
    <n v="0"/>
    <n v="0"/>
    <n v="0"/>
    <n v="0"/>
    <n v="0"/>
  </r>
  <r>
    <d v="2019-06-04T00:00:00"/>
    <n v="2019"/>
    <x v="2"/>
    <s v="R"/>
    <s v="RS"/>
    <x v="10"/>
    <s v="NYL"/>
    <s v="A"/>
    <n v="3"/>
    <n v="2"/>
    <n v="1"/>
    <n v="-1"/>
    <n v="8"/>
    <n v="-8"/>
    <n v="1513.5481236434791"/>
    <n v="1386.0250353984898"/>
    <n v="0.58483225987127141"/>
    <n v="78"/>
    <n v="73"/>
    <n v="0"/>
    <n v="5"/>
    <n v="1"/>
    <n v="0.29988719147612153"/>
    <n v="1"/>
    <n v="75.55"/>
    <n v="75.55"/>
    <n v="9.4062384865702313"/>
    <n v="1522.9543621300493"/>
    <n v="1"/>
    <n v="0"/>
    <n v="0"/>
    <n v="0"/>
    <n v="0"/>
    <n v="0"/>
    <n v="0"/>
    <n v="0"/>
    <n v="0"/>
    <n v="0"/>
  </r>
  <r>
    <d v="2019-06-04T00:00:00"/>
    <n v="2019"/>
    <x v="2"/>
    <s v="R"/>
    <s v="RS"/>
    <x v="3"/>
    <s v="LAS"/>
    <s v="H"/>
    <n v="2"/>
    <n v="3"/>
    <n v="-1"/>
    <n v="1"/>
    <n v="-8"/>
    <n v="8"/>
    <n v="1386.0250353984898"/>
    <n v="1513.5481236434791"/>
    <n v="0.41516774012872854"/>
    <n v="73"/>
    <n v="78"/>
    <n v="0"/>
    <n v="-5"/>
    <n v="0"/>
    <n v="0.29988719147612153"/>
    <n v="1"/>
    <n v="75.55"/>
    <n v="75.55"/>
    <n v="-9.4062384865702313"/>
    <n v="1376.6187969119196"/>
    <n v="0"/>
    <n v="1"/>
    <n v="0"/>
    <n v="0"/>
    <n v="0"/>
    <n v="0"/>
    <n v="0"/>
    <n v="0"/>
    <n v="0"/>
    <n v="0"/>
  </r>
  <r>
    <d v="2019-06-04T00:00:00"/>
    <n v="2019"/>
    <x v="3"/>
    <s v="R"/>
    <s v="RS"/>
    <x v="7"/>
    <s v="SEA"/>
    <s v="A"/>
    <n v="2"/>
    <n v="2"/>
    <n v="0"/>
    <n v="0"/>
    <n v="0"/>
    <n v="0"/>
    <n v="1555.5847872342961"/>
    <n v="1602.9687285009852"/>
    <n v="0.31944864475869744"/>
    <n v="77"/>
    <n v="84"/>
    <n v="0"/>
    <n v="-7"/>
    <n v="0"/>
    <n v="0.35604803965456044"/>
    <n v="1"/>
    <n v="75.400000000000006"/>
    <n v="75.400000000000006"/>
    <n v="-8.5759254057426801"/>
    <n v="1547.0088618285533"/>
    <n v="0"/>
    <n v="1"/>
    <n v="0"/>
    <n v="0"/>
    <n v="0"/>
    <n v="0"/>
    <n v="0"/>
    <n v="0"/>
    <n v="0"/>
    <n v="0"/>
  </r>
  <r>
    <d v="2019-06-04T00:00:00"/>
    <n v="2019"/>
    <x v="4"/>
    <s v="R"/>
    <s v="RS"/>
    <x v="9"/>
    <s v="MIN"/>
    <s v="H"/>
    <n v="2"/>
    <n v="2"/>
    <n v="0"/>
    <n v="0"/>
    <n v="0"/>
    <n v="0"/>
    <n v="1602.9687285009852"/>
    <n v="1555.5847872342961"/>
    <n v="0.68055135524130261"/>
    <n v="84"/>
    <n v="77"/>
    <n v="0"/>
    <n v="7"/>
    <n v="1"/>
    <n v="0.35604803965456044"/>
    <n v="1"/>
    <n v="75.25"/>
    <n v="75.25"/>
    <n v="8.558864546182182"/>
    <n v="1611.5275930471673"/>
    <n v="1"/>
    <n v="0"/>
    <n v="0"/>
    <n v="0"/>
    <n v="0"/>
    <n v="0"/>
    <n v="0"/>
    <n v="0"/>
    <n v="0"/>
    <n v="0"/>
  </r>
  <r>
    <d v="2019-06-05T00:00:00"/>
    <n v="2019"/>
    <x v="2"/>
    <s v="R"/>
    <s v="RS"/>
    <x v="6"/>
    <s v="WAS"/>
    <s v="A"/>
    <n v="3"/>
    <n v="3"/>
    <n v="0"/>
    <n v="0"/>
    <n v="0"/>
    <n v="0"/>
    <n v="1450.9963216500605"/>
    <n v="1540.8190339281628"/>
    <n v="0.26882269115960794"/>
    <n v="85"/>
    <n v="103"/>
    <n v="0"/>
    <n v="-18"/>
    <n v="0"/>
    <n v="0.50875264662737629"/>
    <n v="1"/>
    <n v="75.55"/>
    <n v="75.55"/>
    <n v="-10.332539510651344"/>
    <n v="1440.6637821394092"/>
    <n v="0"/>
    <n v="1"/>
    <n v="0"/>
    <n v="0"/>
    <n v="0"/>
    <n v="0"/>
    <n v="0"/>
    <n v="0"/>
    <n v="0"/>
    <n v="0"/>
  </r>
  <r>
    <d v="2019-06-05T00:00:00"/>
    <n v="2019"/>
    <x v="2"/>
    <s v="R"/>
    <s v="RS"/>
    <x v="4"/>
    <s v="CHI"/>
    <s v="H"/>
    <n v="3"/>
    <n v="3"/>
    <n v="0"/>
    <n v="0"/>
    <n v="0"/>
    <n v="0"/>
    <n v="1540.8190339281628"/>
    <n v="1450.9963216500605"/>
    <n v="0.73117730884039212"/>
    <n v="103"/>
    <n v="85"/>
    <n v="0"/>
    <n v="18"/>
    <n v="1"/>
    <n v="0.50875264662737629"/>
    <n v="1"/>
    <n v="75.55"/>
    <n v="75.55"/>
    <n v="10.332539510651342"/>
    <n v="1551.151573438814"/>
    <n v="1"/>
    <n v="0"/>
    <n v="0"/>
    <n v="0"/>
    <n v="0"/>
    <n v="0"/>
    <n v="0"/>
    <n v="0"/>
    <n v="0"/>
    <n v="0"/>
  </r>
  <r>
    <d v="2019-06-06T00:00:00"/>
    <n v="2019"/>
    <x v="3"/>
    <s v="R"/>
    <s v="RS"/>
    <x v="11"/>
    <s v="ATL"/>
    <s v="A"/>
    <n v="3"/>
    <n v="4"/>
    <n v="-1"/>
    <n v="1"/>
    <n v="-8"/>
    <n v="8"/>
    <n v="1459.4970539053163"/>
    <n v="1504.1535704592559"/>
    <n v="0.30307239243951795"/>
    <n v="92"/>
    <n v="69"/>
    <n v="0"/>
    <n v="23"/>
    <n v="1"/>
    <n v="0.59326031981797922"/>
    <n v="1"/>
    <n v="75.400000000000006"/>
    <n v="75.400000000000006"/>
    <n v="31.174845949488827"/>
    <n v="1490.6718998548051"/>
    <n v="1"/>
    <n v="0"/>
    <n v="0"/>
    <n v="0"/>
    <n v="0"/>
    <n v="0"/>
    <n v="0"/>
    <n v="0"/>
    <n v="0"/>
    <n v="0"/>
  </r>
  <r>
    <d v="2019-06-06T00:00:00"/>
    <n v="2019"/>
    <x v="3"/>
    <s v="R"/>
    <s v="RS"/>
    <x v="1"/>
    <s v="LVA"/>
    <s v="H"/>
    <n v="4"/>
    <n v="3"/>
    <n v="1"/>
    <n v="-1"/>
    <n v="8"/>
    <n v="-8"/>
    <n v="1504.1535704592559"/>
    <n v="1459.4970539053163"/>
    <n v="0.69692760756048211"/>
    <n v="69"/>
    <n v="92"/>
    <n v="0"/>
    <n v="-23"/>
    <n v="0"/>
    <n v="0.59326031981797922"/>
    <n v="1"/>
    <n v="75.400000000000006"/>
    <n v="75.400000000000006"/>
    <n v="-31.17484594948883"/>
    <n v="1472.9787245097671"/>
    <n v="0"/>
    <n v="1"/>
    <n v="0"/>
    <n v="0"/>
    <n v="0"/>
    <n v="0"/>
    <n v="0"/>
    <n v="0"/>
    <n v="0"/>
    <n v="0"/>
  </r>
  <r>
    <d v="2019-06-06T00:00:00"/>
    <n v="2019"/>
    <x v="3"/>
    <s v="R"/>
    <s v="RS"/>
    <x v="10"/>
    <s v="CON"/>
    <s v="A"/>
    <n v="1"/>
    <n v="3"/>
    <n v="-2"/>
    <n v="2"/>
    <n v="-16"/>
    <n v="16"/>
    <n v="1522.9543621300493"/>
    <n v="1566.1698052444067"/>
    <n v="0.28566795473383982"/>
    <n v="77"/>
    <n v="89"/>
    <n v="0"/>
    <n v="-12"/>
    <n v="0"/>
    <n v="0.44027391609669719"/>
    <n v="1"/>
    <n v="75.400000000000006"/>
    <n v="75.400000000000006"/>
    <n v="-9.483220044703728"/>
    <n v="1513.4711420853455"/>
    <n v="0"/>
    <n v="1"/>
    <n v="0"/>
    <n v="0"/>
    <n v="0"/>
    <n v="0"/>
    <n v="0"/>
    <n v="0"/>
    <n v="0"/>
    <n v="0"/>
  </r>
  <r>
    <d v="2019-06-06T00:00:00"/>
    <n v="2019"/>
    <x v="4"/>
    <s v="R"/>
    <s v="RS"/>
    <x v="5"/>
    <s v="LAS"/>
    <s v="H"/>
    <n v="3"/>
    <n v="1"/>
    <n v="2"/>
    <n v="-2"/>
    <n v="16"/>
    <n v="-16"/>
    <n v="1566.1698052444067"/>
    <n v="1522.9543621300493"/>
    <n v="0.71433204526616012"/>
    <n v="89"/>
    <n v="77"/>
    <n v="0"/>
    <n v="12"/>
    <n v="1"/>
    <n v="0.44027391609669719"/>
    <n v="1"/>
    <n v="75.25"/>
    <n v="75.25"/>
    <n v="9.464354222333629"/>
    <n v="1575.6341594667404"/>
    <n v="1"/>
    <n v="0"/>
    <n v="0"/>
    <n v="0"/>
    <n v="0"/>
    <n v="0"/>
    <n v="0"/>
    <n v="0"/>
    <n v="0"/>
    <n v="0"/>
  </r>
  <r>
    <d v="2019-06-06T00:00:00"/>
    <n v="2019"/>
    <x v="2"/>
    <s v="R"/>
    <s v="RS"/>
    <x v="8"/>
    <s v="MIN"/>
    <s v="A"/>
    <n v="5"/>
    <n v="1"/>
    <n v="4"/>
    <n v="-4"/>
    <n v="16"/>
    <n v="-16"/>
    <n v="1538.5683597962582"/>
    <n v="1547.0088618285533"/>
    <n v="0.41388605793811345"/>
    <n v="56"/>
    <n v="58"/>
    <n v="0"/>
    <n v="-2"/>
    <n v="0"/>
    <n v="0.26597055000314301"/>
    <n v="1"/>
    <n v="75.55"/>
    <n v="75.55"/>
    <n v="-8.316657511490094"/>
    <n v="1530.251702284768"/>
    <n v="0"/>
    <n v="1"/>
    <n v="0"/>
    <n v="0"/>
    <n v="0"/>
    <n v="0"/>
    <n v="0"/>
    <n v="0"/>
    <n v="0"/>
    <n v="0"/>
  </r>
  <r>
    <d v="2019-06-06T00:00:00"/>
    <n v="2019"/>
    <x v="4"/>
    <s v="R"/>
    <s v="RS"/>
    <x v="7"/>
    <s v="PHX"/>
    <s v="H"/>
    <n v="1"/>
    <n v="5"/>
    <n v="-4"/>
    <n v="4"/>
    <n v="-16"/>
    <n v="16"/>
    <n v="1547.0088618285533"/>
    <n v="1538.5683597962582"/>
    <n v="0.58611394206188649"/>
    <n v="58"/>
    <n v="56"/>
    <n v="0"/>
    <n v="2"/>
    <n v="1"/>
    <n v="0.26597055000314301"/>
    <n v="1"/>
    <n v="75.25"/>
    <n v="75.25"/>
    <n v="8.2836330607495654"/>
    <n v="1555.2924948893028"/>
    <n v="1"/>
    <n v="0"/>
    <n v="0"/>
    <n v="0"/>
    <n v="0"/>
    <n v="0"/>
    <n v="0"/>
    <n v="0"/>
    <n v="0"/>
    <n v="0"/>
  </r>
  <r>
    <d v="2019-06-07T00:00:00"/>
    <n v="2019"/>
    <x v="2"/>
    <s v="R"/>
    <s v="RS"/>
    <x v="0"/>
    <s v="IND"/>
    <s v="A"/>
    <n v="5"/>
    <n v="5"/>
    <n v="0"/>
    <n v="0"/>
    <n v="0"/>
    <n v="0"/>
    <n v="1457.3271581983117"/>
    <n v="1424.3725037600193"/>
    <n v="0.42706387847654625"/>
    <n v="64"/>
    <n v="79"/>
    <n v="0"/>
    <n v="-15"/>
    <n v="0"/>
    <n v="0.48940780707739834"/>
    <n v="1"/>
    <n v="75.55"/>
    <n v="75.55"/>
    <n v="-15.790584336474074"/>
    <n v="1441.5365738618377"/>
    <n v="0"/>
    <n v="1"/>
    <n v="0"/>
    <n v="0"/>
    <n v="0"/>
    <n v="0"/>
    <n v="0"/>
    <n v="0"/>
    <n v="0"/>
    <n v="0"/>
  </r>
  <r>
    <d v="2019-06-07T00:00:00"/>
    <n v="2019"/>
    <x v="3"/>
    <s v="R"/>
    <s v="RS"/>
    <x v="2"/>
    <s v="DAL"/>
    <s v="H"/>
    <n v="5"/>
    <n v="5"/>
    <n v="0"/>
    <n v="0"/>
    <n v="0"/>
    <n v="0"/>
    <n v="1424.3725037600193"/>
    <n v="1457.3271581983117"/>
    <n v="0.57293612152345375"/>
    <n v="79"/>
    <n v="64"/>
    <n v="0"/>
    <n v="15"/>
    <n v="1"/>
    <n v="0.48940780707739834"/>
    <n v="1"/>
    <n v="75.400000000000006"/>
    <n v="75.400000000000006"/>
    <n v="15.759233077036999"/>
    <n v="1440.1317368370562"/>
    <n v="1"/>
    <n v="0"/>
    <n v="0"/>
    <n v="0"/>
    <n v="0"/>
    <n v="0"/>
    <n v="0"/>
    <n v="0"/>
    <n v="0"/>
    <n v="0"/>
  </r>
  <r>
    <d v="2019-06-07T00:00:00"/>
    <n v="2019"/>
    <x v="3"/>
    <s v="R"/>
    <s v="RS"/>
    <x v="4"/>
    <s v="NYL"/>
    <s v="A"/>
    <n v="1"/>
    <n v="2"/>
    <n v="-1"/>
    <n v="1"/>
    <n v="-8"/>
    <n v="8"/>
    <n v="1551.151573438814"/>
    <n v="1376.6187969119196"/>
    <n v="0.60564563613494216"/>
    <n v="94"/>
    <n v="85"/>
    <n v="0"/>
    <n v="9"/>
    <n v="1"/>
    <n v="0.35442285618509539"/>
    <n v="1"/>
    <n v="75.400000000000006"/>
    <n v="75.400000000000006"/>
    <n v="10.538522279254307"/>
    <n v="1561.6900957180683"/>
    <n v="1"/>
    <n v="0"/>
    <n v="0"/>
    <n v="0"/>
    <n v="0"/>
    <n v="0"/>
    <n v="0"/>
    <n v="0"/>
    <n v="0"/>
    <n v="0"/>
  </r>
  <r>
    <d v="2019-06-07T00:00:00"/>
    <n v="2019"/>
    <x v="3"/>
    <s v="R"/>
    <s v="RS"/>
    <x v="3"/>
    <s v="WAS"/>
    <s v="H"/>
    <n v="2"/>
    <n v="1"/>
    <n v="1"/>
    <n v="-1"/>
    <n v="8"/>
    <n v="-8"/>
    <n v="1376.6187969119196"/>
    <n v="1551.151573438814"/>
    <n v="0.3943543638650579"/>
    <n v="85"/>
    <n v="94"/>
    <n v="0"/>
    <n v="-9"/>
    <n v="0"/>
    <n v="0.35442285618509539"/>
    <n v="1"/>
    <n v="75.400000000000006"/>
    <n v="75.400000000000006"/>
    <n v="-10.538522279254309"/>
    <n v="1366.0802746326654"/>
    <n v="0"/>
    <n v="1"/>
    <n v="0"/>
    <n v="0"/>
    <n v="0"/>
    <n v="0"/>
    <n v="0"/>
    <n v="0"/>
    <n v="0"/>
    <n v="0"/>
  </r>
  <r>
    <d v="2019-06-08T00:00:00"/>
    <n v="2019"/>
    <x v="4"/>
    <s v="R"/>
    <s v="RS"/>
    <x v="10"/>
    <s v="MIN"/>
    <s v="A"/>
    <n v="1"/>
    <n v="1"/>
    <n v="0"/>
    <n v="0"/>
    <n v="0"/>
    <n v="0"/>
    <n v="1513.4711420853455"/>
    <n v="1555.2924948893028"/>
    <n v="0.32644989141099595"/>
    <n v="89"/>
    <n v="85"/>
    <n v="0"/>
    <n v="4"/>
    <n v="1"/>
    <n v="0.3009444804929628"/>
    <n v="1"/>
    <n v="75.25"/>
    <n v="75.25"/>
    <n v="15.253264360526062"/>
    <n v="1528.7244064458716"/>
    <n v="1"/>
    <n v="0"/>
    <n v="0"/>
    <n v="0"/>
    <n v="0"/>
    <n v="0"/>
    <n v="0"/>
    <n v="0"/>
    <n v="0"/>
    <n v="0"/>
  </r>
  <r>
    <d v="2019-06-08T00:00:00"/>
    <n v="2019"/>
    <x v="5"/>
    <s v="R"/>
    <s v="RS"/>
    <x v="7"/>
    <s v="LAS"/>
    <s v="H"/>
    <n v="1"/>
    <n v="1"/>
    <n v="0"/>
    <n v="0"/>
    <n v="0"/>
    <n v="0"/>
    <n v="1555.2924948893028"/>
    <n v="1513.4711420853455"/>
    <n v="0.67355010858900399"/>
    <n v="85"/>
    <n v="89"/>
    <n v="0"/>
    <n v="-4"/>
    <n v="0"/>
    <n v="0.3009444804929628"/>
    <n v="1"/>
    <n v="75.099999999999994"/>
    <n v="75.099999999999994"/>
    <n v="-15.222859182398764"/>
    <n v="1540.0696357069041"/>
    <n v="0"/>
    <n v="1"/>
    <n v="0"/>
    <n v="0"/>
    <n v="0"/>
    <n v="0"/>
    <n v="0"/>
    <n v="0"/>
    <n v="0"/>
    <n v="0"/>
  </r>
  <r>
    <d v="2019-06-09T00:00:00"/>
    <n v="2019"/>
    <x v="5"/>
    <s v="R"/>
    <s v="RS"/>
    <x v="5"/>
    <s v="ATL"/>
    <s v="A"/>
    <n v="2"/>
    <n v="2"/>
    <n v="0"/>
    <n v="0"/>
    <n v="0"/>
    <n v="0"/>
    <n v="1575.6341594667404"/>
    <n v="1472.9787245097671"/>
    <n v="0.52682155741863945"/>
    <n v="65"/>
    <n v="59"/>
    <n v="0"/>
    <n v="6"/>
    <n v="1"/>
    <n v="0.32359816878445175"/>
    <n v="1"/>
    <n v="75.099999999999994"/>
    <n v="75.099999999999994"/>
    <n v="11.499287782323293"/>
    <n v="1587.1334472490637"/>
    <n v="1"/>
    <n v="0"/>
    <n v="0"/>
    <n v="0"/>
    <n v="0"/>
    <n v="0"/>
    <n v="0"/>
    <n v="0"/>
    <n v="0"/>
    <n v="0"/>
  </r>
  <r>
    <d v="2019-06-09T00:00:00"/>
    <n v="2019"/>
    <x v="4"/>
    <s v="R"/>
    <s v="RS"/>
    <x v="1"/>
    <s v="CON"/>
    <s v="H"/>
    <n v="2"/>
    <n v="2"/>
    <n v="0"/>
    <n v="0"/>
    <n v="0"/>
    <n v="0"/>
    <n v="1472.9787245097671"/>
    <n v="1575.6341594667404"/>
    <n v="0.47317844258136049"/>
    <n v="59"/>
    <n v="65"/>
    <n v="0"/>
    <n v="-6"/>
    <n v="0"/>
    <n v="0.32359816878445175"/>
    <n v="1"/>
    <n v="75.25"/>
    <n v="75.25"/>
    <n v="-11.522255733952434"/>
    <n v="1461.4564687758145"/>
    <n v="0"/>
    <n v="1"/>
    <n v="0"/>
    <n v="0"/>
    <n v="0"/>
    <n v="0"/>
    <n v="0"/>
    <n v="0"/>
    <n v="0"/>
    <n v="0"/>
  </r>
  <r>
    <d v="2019-06-09T00:00:00"/>
    <n v="2019"/>
    <x v="5"/>
    <s v="R"/>
    <s v="RS"/>
    <x v="9"/>
    <s v="CHI"/>
    <s v="A"/>
    <n v="4"/>
    <n v="3"/>
    <n v="1"/>
    <n v="-1"/>
    <n v="8"/>
    <n v="-8"/>
    <n v="1611.5275930471673"/>
    <n v="1440.6637821394092"/>
    <n v="0.64385410566942425"/>
    <n v="71"/>
    <n v="78"/>
    <n v="0"/>
    <n v="-7"/>
    <n v="0"/>
    <n v="0.32397719120653645"/>
    <n v="1"/>
    <n v="75.099999999999994"/>
    <n v="75.099999999999994"/>
    <n v="-15.665412757088399"/>
    <n v="1595.8621802900789"/>
    <n v="0"/>
    <n v="1"/>
    <n v="0"/>
    <n v="0"/>
    <n v="0"/>
    <n v="0"/>
    <n v="0"/>
    <n v="0"/>
    <n v="0"/>
    <n v="0"/>
  </r>
  <r>
    <d v="2019-06-09T00:00:00"/>
    <n v="2019"/>
    <x v="3"/>
    <s v="R"/>
    <s v="RS"/>
    <x v="6"/>
    <s v="SEA"/>
    <s v="H"/>
    <n v="3"/>
    <n v="4"/>
    <n v="-1"/>
    <n v="1"/>
    <n v="-8"/>
    <n v="8"/>
    <n v="1440.6637821394092"/>
    <n v="1611.5275930471673"/>
    <n v="0.35614589433057581"/>
    <n v="78"/>
    <n v="71"/>
    <n v="0"/>
    <n v="7"/>
    <n v="1"/>
    <n v="0.32397719120653645"/>
    <n v="1"/>
    <n v="75.400000000000006"/>
    <n v="75.400000000000006"/>
    <n v="15.727990970498874"/>
    <n v="1456.3917731099082"/>
    <n v="1"/>
    <n v="0"/>
    <n v="0"/>
    <n v="0"/>
    <n v="0"/>
    <n v="0"/>
    <n v="0"/>
    <n v="0"/>
    <n v="0"/>
    <n v="0"/>
  </r>
  <r>
    <d v="2019-06-09T00:00:00"/>
    <n v="2019"/>
    <x v="3"/>
    <s v="R"/>
    <s v="RS"/>
    <x v="8"/>
    <s v="IND"/>
    <s v="A"/>
    <n v="2"/>
    <n v="1"/>
    <n v="1"/>
    <n v="-1"/>
    <n v="8"/>
    <n v="-8"/>
    <n v="1530.251702284768"/>
    <n v="1440.1317368370562"/>
    <n v="0.53179024784297613"/>
    <n v="94"/>
    <n v="87"/>
    <n v="0"/>
    <n v="7"/>
    <n v="1"/>
    <n v="0.34425372746669924"/>
    <n v="1"/>
    <n v="75.400000000000006"/>
    <n v="75.400000000000006"/>
    <n v="12.153194612190143"/>
    <n v="1542.4048968969582"/>
    <n v="1"/>
    <n v="0"/>
    <n v="0"/>
    <n v="0"/>
    <n v="0"/>
    <n v="0"/>
    <n v="0"/>
    <n v="0"/>
    <n v="0"/>
    <n v="0"/>
  </r>
  <r>
    <d v="2019-06-09T00:00:00"/>
    <n v="2019"/>
    <x v="4"/>
    <s v="R"/>
    <s v="RS"/>
    <x v="2"/>
    <s v="PHX"/>
    <s v="H"/>
    <n v="1"/>
    <n v="2"/>
    <n v="-1"/>
    <n v="1"/>
    <n v="-8"/>
    <n v="8"/>
    <n v="1440.1317368370562"/>
    <n v="1530.251702284768"/>
    <n v="0.46820975215702387"/>
    <n v="87"/>
    <n v="94"/>
    <n v="0"/>
    <n v="-7"/>
    <n v="0"/>
    <n v="0.34425372746669924"/>
    <n v="1"/>
    <n v="75.25"/>
    <n v="75.25"/>
    <n v="-12.129017169327696"/>
    <n v="1428.0027196677286"/>
    <n v="0"/>
    <n v="1"/>
    <n v="0"/>
    <n v="0"/>
    <n v="0"/>
    <n v="0"/>
    <n v="0"/>
    <n v="0"/>
    <n v="0"/>
    <n v="0"/>
  </r>
  <r>
    <d v="2019-06-09T00:00:00"/>
    <n v="2019"/>
    <x v="4"/>
    <s v="R"/>
    <s v="RS"/>
    <x v="11"/>
    <s v="NYL"/>
    <s v="A"/>
    <n v="2"/>
    <n v="1"/>
    <n v="1"/>
    <n v="-1"/>
    <n v="8"/>
    <n v="-8"/>
    <n v="1490.6718998548051"/>
    <n v="1366.0802746326654"/>
    <n v="0.58072920929718264"/>
    <n v="78"/>
    <n v="88"/>
    <n v="0"/>
    <n v="-10"/>
    <n v="0"/>
    <n v="0.38332994828771311"/>
    <n v="1"/>
    <n v="75.25"/>
    <n v="75.25"/>
    <n v="-16.751470057121278"/>
    <n v="1473.9204297976839"/>
    <n v="0"/>
    <n v="1"/>
    <n v="0"/>
    <n v="0"/>
    <n v="0"/>
    <n v="0"/>
    <n v="0"/>
    <n v="0"/>
    <n v="0"/>
    <n v="0"/>
  </r>
  <r>
    <d v="2019-06-09T00:00:00"/>
    <n v="2019"/>
    <x v="4"/>
    <s v="R"/>
    <s v="RS"/>
    <x v="3"/>
    <s v="LVA"/>
    <s v="H"/>
    <n v="1"/>
    <n v="2"/>
    <n v="-1"/>
    <n v="1"/>
    <n v="-8"/>
    <n v="8"/>
    <n v="1366.0802746326654"/>
    <n v="1490.6718998548051"/>
    <n v="0.41927079070281731"/>
    <n v="88"/>
    <n v="78"/>
    <n v="0"/>
    <n v="10"/>
    <n v="1"/>
    <n v="0.38332994828771311"/>
    <n v="1"/>
    <n v="75.25"/>
    <n v="75.25"/>
    <n v="16.751470057121281"/>
    <n v="1382.8317446897865"/>
    <n v="1"/>
    <n v="0"/>
    <n v="0"/>
    <n v="0"/>
    <n v="0"/>
    <n v="0"/>
    <n v="0"/>
    <n v="0"/>
    <n v="0"/>
    <n v="0"/>
  </r>
  <r>
    <d v="2019-06-09T00:00:00"/>
    <n v="2019"/>
    <x v="3"/>
    <s v="R"/>
    <s v="RS"/>
    <x v="0"/>
    <s v="WAS"/>
    <s v="A"/>
    <n v="1"/>
    <n v="1"/>
    <n v="0"/>
    <n v="0"/>
    <n v="0"/>
    <n v="0"/>
    <n v="1441.5365738618377"/>
    <n v="1561.6900957180683"/>
    <n v="0.2359159605289822"/>
    <n v="62"/>
    <n v="86"/>
    <n v="0"/>
    <n v="-24"/>
    <n v="0"/>
    <n v="0.57123440937188974"/>
    <n v="1"/>
    <n v="75.400000000000006"/>
    <n v="75.400000000000006"/>
    <n v="-10.16115390381281"/>
    <n v="1431.3754199580248"/>
    <n v="0"/>
    <n v="1"/>
    <n v="0"/>
    <n v="0"/>
    <n v="0"/>
    <n v="0"/>
    <n v="0"/>
    <n v="0"/>
    <n v="0"/>
    <n v="0"/>
  </r>
  <r>
    <d v="2019-06-09T00:00:00"/>
    <n v="2019"/>
    <x v="4"/>
    <s v="R"/>
    <s v="RS"/>
    <x v="4"/>
    <s v="DAL"/>
    <s v="H"/>
    <n v="1"/>
    <n v="1"/>
    <n v="0"/>
    <n v="0"/>
    <n v="0"/>
    <n v="0"/>
    <n v="1561.6900957180683"/>
    <n v="1441.5365738618377"/>
    <n v="0.76408403947101777"/>
    <n v="86"/>
    <n v="62"/>
    <n v="0"/>
    <n v="24"/>
    <n v="1"/>
    <n v="0.57123440937188974"/>
    <n v="1"/>
    <n v="75.25"/>
    <n v="75.25"/>
    <n v="10.140939406656685"/>
    <n v="1571.8310351247251"/>
    <n v="1"/>
    <n v="0"/>
    <n v="0"/>
    <n v="0"/>
    <n v="0"/>
    <n v="0"/>
    <n v="0"/>
    <n v="0"/>
    <n v="0"/>
    <n v="0"/>
  </r>
  <r>
    <d v="2019-06-11T00:00:00"/>
    <n v="2019"/>
    <x v="4"/>
    <s v="R"/>
    <s v="RS"/>
    <x v="8"/>
    <s v="CHI"/>
    <s v="A"/>
    <n v="1"/>
    <n v="1"/>
    <n v="0"/>
    <n v="0"/>
    <n v="0"/>
    <n v="0"/>
    <n v="1542.4048968969582"/>
    <n v="1456.3917731099082"/>
    <n v="0.50289708559263069"/>
    <n v="75"/>
    <n v="82"/>
    <n v="0"/>
    <n v="-7"/>
    <n v="0"/>
    <n v="0.34535309070308284"/>
    <n v="1"/>
    <n v="75.25"/>
    <n v="75.25"/>
    <n v="-13.069198976827831"/>
    <n v="1529.3356979201303"/>
    <n v="0"/>
    <n v="1"/>
    <n v="0"/>
    <n v="0"/>
    <n v="0"/>
    <n v="0"/>
    <n v="0"/>
    <n v="0"/>
    <n v="0"/>
    <n v="0"/>
  </r>
  <r>
    <d v="2019-06-11T00:00:00"/>
    <n v="2019"/>
    <x v="4"/>
    <s v="R"/>
    <s v="RS"/>
    <x v="6"/>
    <s v="PHX"/>
    <s v="H"/>
    <n v="1"/>
    <n v="1"/>
    <n v="0"/>
    <n v="0"/>
    <n v="0"/>
    <n v="0"/>
    <n v="1456.3917731099082"/>
    <n v="1542.4048968969582"/>
    <n v="0.49710291440736931"/>
    <n v="82"/>
    <n v="75"/>
    <n v="0"/>
    <n v="7"/>
    <n v="1"/>
    <n v="0.34535309070308284"/>
    <n v="1"/>
    <n v="75.25"/>
    <n v="75.25"/>
    <n v="13.069198976827831"/>
    <n v="1469.4609720867361"/>
    <n v="1"/>
    <n v="0"/>
    <n v="0"/>
    <n v="0"/>
    <n v="0"/>
    <n v="0"/>
    <n v="0"/>
    <n v="0"/>
    <n v="0"/>
    <n v="0"/>
  </r>
  <r>
    <d v="2019-06-11T00:00:00"/>
    <n v="2019"/>
    <x v="5"/>
    <s v="R"/>
    <s v="RS"/>
    <x v="4"/>
    <s v="CON"/>
    <s v="A"/>
    <n v="1"/>
    <n v="1"/>
    <n v="0"/>
    <n v="0"/>
    <n v="0"/>
    <n v="0"/>
    <n v="1571.8310351247251"/>
    <n v="1587.1334472490637"/>
    <n v="0.36086064961927222"/>
    <n v="75"/>
    <n v="83"/>
    <n v="0"/>
    <n v="-8"/>
    <n v="0"/>
    <n v="0.38342608173473447"/>
    <n v="1"/>
    <n v="75.099999999999994"/>
    <n v="75.099999999999994"/>
    <n v="-10.391090208676211"/>
    <n v="1561.4399449160489"/>
    <n v="0"/>
    <n v="1"/>
    <n v="0"/>
    <n v="0"/>
    <n v="0"/>
    <n v="0"/>
    <n v="0"/>
    <n v="0"/>
    <n v="0"/>
    <n v="0"/>
  </r>
  <r>
    <d v="2019-06-11T00:00:00"/>
    <n v="2019"/>
    <x v="6"/>
    <s v="R"/>
    <s v="RS"/>
    <x v="5"/>
    <s v="WAS"/>
    <s v="H"/>
    <n v="1"/>
    <n v="1"/>
    <n v="0"/>
    <n v="0"/>
    <n v="0"/>
    <n v="0"/>
    <n v="1587.1334472490637"/>
    <n v="1571.8310351247251"/>
    <n v="0.63913935038072778"/>
    <n v="83"/>
    <n v="75"/>
    <n v="0"/>
    <n v="8"/>
    <n v="1"/>
    <n v="0.38342608173473447"/>
    <n v="1"/>
    <n v="74.95"/>
    <n v="74.95"/>
    <n v="10.370335700935845"/>
    <n v="1597.5037829499995"/>
    <n v="1"/>
    <n v="0"/>
    <n v="0"/>
    <n v="0"/>
    <n v="0"/>
    <n v="0"/>
    <n v="0"/>
    <n v="0"/>
    <n v="0"/>
    <n v="0"/>
  </r>
  <r>
    <d v="2019-06-11T00:00:00"/>
    <n v="2019"/>
    <x v="6"/>
    <s v="R"/>
    <s v="RS"/>
    <x v="9"/>
    <s v="IND"/>
    <s v="A"/>
    <n v="1"/>
    <n v="1"/>
    <n v="0"/>
    <n v="0"/>
    <n v="0"/>
    <n v="0"/>
    <n v="1595.8621802900789"/>
    <n v="1428.0027196677286"/>
    <n v="0.61839322781461059"/>
    <n v="84"/>
    <n v="82"/>
    <n v="0"/>
    <n v="2"/>
    <n v="1"/>
    <n v="0.23497266658182012"/>
    <n v="1"/>
    <n v="74.95"/>
    <n v="74.95"/>
    <n v="6.7205537054138533"/>
    <n v="1602.5827339954926"/>
    <n v="1"/>
    <n v="0"/>
    <n v="0"/>
    <n v="0"/>
    <n v="0"/>
    <n v="0"/>
    <n v="0"/>
    <n v="0"/>
    <n v="0"/>
    <n v="0"/>
  </r>
  <r>
    <d v="2019-06-11T00:00:00"/>
    <n v="2019"/>
    <x v="5"/>
    <s v="R"/>
    <s v="RS"/>
    <x v="2"/>
    <s v="SEA"/>
    <s v="H"/>
    <n v="1"/>
    <n v="1"/>
    <n v="0"/>
    <n v="0"/>
    <n v="0"/>
    <n v="0"/>
    <n v="1428.0027196677286"/>
    <n v="1595.8621802900789"/>
    <n v="0.38160677218538946"/>
    <n v="82"/>
    <n v="84"/>
    <n v="0"/>
    <n v="-2"/>
    <n v="0"/>
    <n v="0.23497266658182012"/>
    <n v="1"/>
    <n v="75.099999999999994"/>
    <n v="75.099999999999994"/>
    <n v="-6.7340037795407657"/>
    <n v="1421.2687158881879"/>
    <n v="0"/>
    <n v="1"/>
    <n v="0"/>
    <n v="0"/>
    <n v="0"/>
    <n v="0"/>
    <n v="0"/>
    <n v="0"/>
    <n v="0"/>
    <n v="0"/>
  </r>
  <r>
    <d v="2019-06-12T00:00:00"/>
    <n v="2019"/>
    <x v="6"/>
    <s v="R"/>
    <s v="RS"/>
    <x v="7"/>
    <s v="NYL"/>
    <s v="A"/>
    <n v="3"/>
    <n v="2"/>
    <n v="1"/>
    <n v="-1"/>
    <n v="8"/>
    <n v="-8"/>
    <n v="1540.0696357069041"/>
    <n v="1382.8317446897865"/>
    <n v="0.62567217337380809"/>
    <n v="69"/>
    <n v="75"/>
    <n v="0"/>
    <n v="-6"/>
    <n v="0"/>
    <n v="0.31058439798883686"/>
    <n v="1"/>
    <n v="74.95"/>
    <n v="74.95"/>
    <n v="-14.564584947160068"/>
    <n v="1525.5050507597441"/>
    <n v="0"/>
    <n v="1"/>
    <n v="0"/>
    <n v="0"/>
    <n v="0"/>
    <n v="0"/>
    <n v="0"/>
    <n v="0"/>
    <n v="0"/>
    <n v="0"/>
  </r>
  <r>
    <d v="2019-06-12T00:00:00"/>
    <n v="2019"/>
    <x v="5"/>
    <s v="R"/>
    <s v="RS"/>
    <x v="3"/>
    <s v="MIN"/>
    <s v="H"/>
    <n v="2"/>
    <n v="3"/>
    <n v="-1"/>
    <n v="1"/>
    <n v="-8"/>
    <n v="8"/>
    <n v="1382.8317446897865"/>
    <n v="1540.0696357069041"/>
    <n v="0.37432782662619185"/>
    <n v="75"/>
    <n v="69"/>
    <n v="0"/>
    <n v="6"/>
    <n v="1"/>
    <n v="0.31058439798883686"/>
    <n v="1"/>
    <n v="75.099999999999994"/>
    <n v="75.099999999999994"/>
    <n v="14.593733549455919"/>
    <n v="1397.4254782392425"/>
    <n v="1"/>
    <n v="0"/>
    <n v="0"/>
    <n v="0"/>
    <n v="0"/>
    <n v="0"/>
    <n v="0"/>
    <n v="0"/>
    <n v="0"/>
    <n v="0"/>
  </r>
  <r>
    <d v="2019-06-13T00:00:00"/>
    <n v="2019"/>
    <x v="6"/>
    <s v="R"/>
    <s v="RS"/>
    <x v="2"/>
    <s v="DAL"/>
    <s v="A"/>
    <n v="1"/>
    <n v="3"/>
    <n v="-2"/>
    <n v="2"/>
    <n v="-16"/>
    <n v="16"/>
    <n v="1421.2687158881879"/>
    <n v="1431.3754199580248"/>
    <n v="0.32608881588463667"/>
    <n v="76"/>
    <n v="72"/>
    <n v="0"/>
    <n v="4"/>
    <n v="1"/>
    <n v="0.30883167627099384"/>
    <n v="1"/>
    <n v="74.95"/>
    <n v="74.95"/>
    <n v="15.598977792576445"/>
    <n v="1436.8676936807644"/>
    <n v="1"/>
    <n v="0"/>
    <n v="0"/>
    <n v="0"/>
    <n v="0"/>
    <n v="0"/>
    <n v="0"/>
    <n v="0"/>
    <n v="0"/>
    <n v="0"/>
  </r>
  <r>
    <d v="2019-06-13T00:00:00"/>
    <n v="2019"/>
    <x v="4"/>
    <s v="R"/>
    <s v="RS"/>
    <x v="0"/>
    <s v="IND"/>
    <s v="H"/>
    <n v="3"/>
    <n v="1"/>
    <n v="2"/>
    <n v="-2"/>
    <n v="16"/>
    <n v="-16"/>
    <n v="1431.3754199580248"/>
    <n v="1421.2687158881879"/>
    <n v="0.67391118411536333"/>
    <n v="72"/>
    <n v="76"/>
    <n v="0"/>
    <n v="-4"/>
    <n v="0"/>
    <n v="0.30883167627099384"/>
    <n v="1"/>
    <n v="75.25"/>
    <n v="75.25"/>
    <n v="-15.661415328770881"/>
    <n v="1415.7140046292541"/>
    <n v="0"/>
    <n v="1"/>
    <n v="0"/>
    <n v="0"/>
    <n v="0"/>
    <n v="0"/>
    <n v="0"/>
    <n v="0"/>
    <n v="0"/>
    <n v="0"/>
  </r>
  <r>
    <d v="2019-06-14T00:00:00"/>
    <n v="2019"/>
    <x v="6"/>
    <s v="R"/>
    <s v="RS"/>
    <x v="3"/>
    <s v="LVA"/>
    <s v="A"/>
    <n v="1"/>
    <n v="4"/>
    <n v="-3"/>
    <n v="3"/>
    <n v="-16"/>
    <n v="16"/>
    <n v="1397.4254782392425"/>
    <n v="1473.9204297976839"/>
    <n v="0.2482271402838469"/>
    <n v="65"/>
    <n v="100"/>
    <n v="0"/>
    <n v="-35"/>
    <n v="0"/>
    <n v="0.71650115242369528"/>
    <n v="1"/>
    <n v="74.95"/>
    <n v="74.95"/>
    <n v="-13.330234654112283"/>
    <n v="1384.0952435851302"/>
    <n v="0"/>
    <n v="1"/>
    <n v="0"/>
    <n v="0"/>
    <n v="0"/>
    <n v="0"/>
    <n v="0"/>
    <n v="0"/>
    <n v="0"/>
    <n v="0"/>
  </r>
  <r>
    <d v="2019-06-14T00:00:00"/>
    <n v="2019"/>
    <x v="5"/>
    <s v="R"/>
    <s v="RS"/>
    <x v="11"/>
    <s v="NYL"/>
    <s v="H"/>
    <n v="4"/>
    <n v="1"/>
    <n v="3"/>
    <n v="-3"/>
    <n v="16"/>
    <n v="-16"/>
    <n v="1473.9204297976839"/>
    <n v="1397.4254782392425"/>
    <n v="0.75177285971615304"/>
    <n v="100"/>
    <n v="65"/>
    <n v="0"/>
    <n v="35"/>
    <n v="1"/>
    <n v="0.71650115242369528"/>
    <n v="1"/>
    <n v="75.099999999999994"/>
    <n v="75.099999999999994"/>
    <n v="13.356912908923716"/>
    <n v="1487.2773427066077"/>
    <n v="1"/>
    <n v="0"/>
    <n v="0"/>
    <n v="0"/>
    <n v="0"/>
    <n v="0"/>
    <n v="0"/>
    <n v="0"/>
    <n v="0"/>
    <n v="0"/>
  </r>
  <r>
    <d v="2019-06-14T00:00:00"/>
    <n v="2019"/>
    <x v="7"/>
    <s v="R"/>
    <s v="RS"/>
    <x v="5"/>
    <s v="MIN"/>
    <s v="A"/>
    <n v="2"/>
    <n v="1"/>
    <n v="1"/>
    <n v="-1"/>
    <n v="8"/>
    <n v="-8"/>
    <n v="1597.5037829499995"/>
    <n v="1525.5050507597441"/>
    <n v="0.50575438412799645"/>
    <n v="85"/>
    <n v="81"/>
    <n v="0"/>
    <n v="4"/>
    <n v="1"/>
    <n v="0.2938047597273527"/>
    <n v="1"/>
    <n v="74.8"/>
    <n v="74.8"/>
    <n v="10.861836238434346"/>
    <n v="1608.3656191884338"/>
    <n v="1"/>
    <n v="0"/>
    <n v="0"/>
    <n v="0"/>
    <n v="0"/>
    <n v="0"/>
    <n v="0"/>
    <n v="0"/>
    <n v="0"/>
    <n v="0"/>
  </r>
  <r>
    <d v="2019-06-14T00:00:00"/>
    <n v="2019"/>
    <x v="7"/>
    <s v="R"/>
    <s v="RS"/>
    <x v="7"/>
    <s v="CON"/>
    <s v="H"/>
    <n v="1"/>
    <n v="2"/>
    <n v="-1"/>
    <n v="1"/>
    <n v="-8"/>
    <n v="8"/>
    <n v="1525.5050507597441"/>
    <n v="1597.5037829499995"/>
    <n v="0.49424561587200361"/>
    <n v="81"/>
    <n v="85"/>
    <n v="0"/>
    <n v="-4"/>
    <n v="0"/>
    <n v="0.2938047597273527"/>
    <n v="1"/>
    <n v="74.8"/>
    <n v="74.8"/>
    <n v="-10.861836238434346"/>
    <n v="1514.6432145213098"/>
    <n v="0"/>
    <n v="1"/>
    <n v="0"/>
    <n v="0"/>
    <n v="0"/>
    <n v="0"/>
    <n v="0"/>
    <n v="0"/>
    <n v="0"/>
    <n v="0"/>
  </r>
  <r>
    <d v="2019-06-14T00:00:00"/>
    <n v="2019"/>
    <x v="5"/>
    <s v="R"/>
    <s v="RS"/>
    <x v="10"/>
    <s v="PHX"/>
    <s v="A"/>
    <n v="5"/>
    <n v="2"/>
    <n v="3"/>
    <n v="-3"/>
    <n v="16"/>
    <n v="-16"/>
    <n v="1528.7244064458716"/>
    <n v="1529.3356979201303"/>
    <n v="0.42485971846782511"/>
    <n v="85"/>
    <n v="68"/>
    <n v="0"/>
    <n v="17"/>
    <n v="1"/>
    <n v="0.53217097609821662"/>
    <n v="1"/>
    <n v="75.099999999999994"/>
    <n v="75.099999999999994"/>
    <n v="22.986079672730181"/>
    <n v="1551.7104861186019"/>
    <n v="1"/>
    <n v="0"/>
    <n v="0"/>
    <n v="0"/>
    <n v="0"/>
    <n v="0"/>
    <n v="0"/>
    <n v="0"/>
    <n v="0"/>
    <n v="0"/>
  </r>
  <r>
    <d v="2019-06-14T00:00:00"/>
    <n v="2019"/>
    <x v="5"/>
    <s v="R"/>
    <s v="RS"/>
    <x v="8"/>
    <s v="LAS"/>
    <s v="H"/>
    <n v="2"/>
    <n v="5"/>
    <n v="-3"/>
    <n v="3"/>
    <n v="-16"/>
    <n v="16"/>
    <n v="1529.3356979201303"/>
    <n v="1528.7244064458716"/>
    <n v="0.57514028153217489"/>
    <n v="68"/>
    <n v="85"/>
    <n v="0"/>
    <n v="-17"/>
    <n v="0"/>
    <n v="0.53217097609821662"/>
    <n v="1"/>
    <n v="75.099999999999994"/>
    <n v="75.099999999999994"/>
    <n v="-22.986079672730181"/>
    <n v="1506.3496182474"/>
    <n v="0"/>
    <n v="1"/>
    <n v="0"/>
    <n v="0"/>
    <n v="0"/>
    <n v="0"/>
    <n v="0"/>
    <n v="0"/>
    <n v="0"/>
    <n v="0"/>
  </r>
  <r>
    <d v="2019-06-14T00:00:00"/>
    <n v="2019"/>
    <x v="7"/>
    <s v="R"/>
    <s v="RS"/>
    <x v="9"/>
    <s v="WAS"/>
    <s v="A"/>
    <n v="2"/>
    <n v="2"/>
    <n v="0"/>
    <n v="0"/>
    <n v="0"/>
    <n v="0"/>
    <n v="1602.5827339954926"/>
    <n v="1561.4399449160489"/>
    <n v="0.43863444552975095"/>
    <n v="74"/>
    <n v="71"/>
    <n v="0"/>
    <n v="3"/>
    <n v="1"/>
    <n v="0.28056419324381265"/>
    <n v="1"/>
    <n v="74.8"/>
    <n v="74.8"/>
    <n v="11.780930728079861"/>
    <n v="1614.3636647235726"/>
    <n v="1"/>
    <n v="0"/>
    <n v="0"/>
    <n v="0"/>
    <n v="0"/>
    <n v="0"/>
    <n v="0"/>
    <n v="0"/>
    <n v="0"/>
    <n v="0"/>
  </r>
  <r>
    <d v="2019-06-14T00:00:00"/>
    <n v="2019"/>
    <x v="6"/>
    <s v="R"/>
    <s v="RS"/>
    <x v="4"/>
    <s v="SEA"/>
    <s v="H"/>
    <n v="2"/>
    <n v="2"/>
    <n v="0"/>
    <n v="0"/>
    <n v="0"/>
    <n v="0"/>
    <n v="1561.4399449160489"/>
    <n v="1602.5827339954926"/>
    <n v="0.56136555447024905"/>
    <n v="71"/>
    <n v="74"/>
    <n v="0"/>
    <n v="-3"/>
    <n v="0"/>
    <n v="0.28056419324381265"/>
    <n v="1"/>
    <n v="74.95"/>
    <n v="74.95"/>
    <n v="-11.804555589165584"/>
    <n v="1549.6353893268833"/>
    <n v="0"/>
    <n v="1"/>
    <n v="0"/>
    <n v="0"/>
    <n v="0"/>
    <n v="0"/>
    <n v="0"/>
    <n v="0"/>
    <n v="0"/>
    <n v="0"/>
  </r>
  <r>
    <d v="2019-06-15T00:00:00"/>
    <n v="2019"/>
    <x v="5"/>
    <s v="R"/>
    <s v="RS"/>
    <x v="1"/>
    <s v="DAL"/>
    <s v="A"/>
    <n v="5"/>
    <n v="1"/>
    <n v="4"/>
    <n v="-4"/>
    <n v="16"/>
    <n v="-16"/>
    <n v="1461.4564687758145"/>
    <n v="1415.7140046292541"/>
    <n v="0.49099565561333947"/>
    <n v="61"/>
    <n v="71"/>
    <n v="0"/>
    <n v="-10"/>
    <n v="0"/>
    <n v="0.40759278407242588"/>
    <n v="1"/>
    <n v="75.099999999999994"/>
    <n v="75.099999999999994"/>
    <n v="-15.029484096541919"/>
    <n v="1446.4269846792727"/>
    <n v="0"/>
    <n v="1"/>
    <n v="0"/>
    <n v="0"/>
    <n v="0"/>
    <n v="0"/>
    <n v="0"/>
    <n v="0"/>
    <n v="0"/>
    <n v="0"/>
  </r>
  <r>
    <d v="2019-06-15T00:00:00"/>
    <n v="2019"/>
    <x v="5"/>
    <s v="R"/>
    <s v="RS"/>
    <x v="0"/>
    <s v="ATL"/>
    <s v="H"/>
    <n v="1"/>
    <n v="5"/>
    <n v="-4"/>
    <n v="4"/>
    <n v="-16"/>
    <n v="16"/>
    <n v="1415.7140046292541"/>
    <n v="1461.4564687758145"/>
    <n v="0.50900434438666053"/>
    <n v="71"/>
    <n v="61"/>
    <n v="0"/>
    <n v="10"/>
    <n v="1"/>
    <n v="0.40759278407242588"/>
    <n v="1"/>
    <n v="75.099999999999994"/>
    <n v="75.099999999999994"/>
    <n v="15.029484096541919"/>
    <n v="1430.7434887257959"/>
    <n v="1"/>
    <n v="0"/>
    <n v="0"/>
    <n v="0"/>
    <n v="0"/>
    <n v="0"/>
    <n v="0"/>
    <n v="0"/>
    <n v="0"/>
    <n v="0"/>
  </r>
  <r>
    <d v="2019-06-15T00:00:00"/>
    <n v="2019"/>
    <x v="5"/>
    <s v="R"/>
    <s v="RS"/>
    <x v="6"/>
    <s v="IND"/>
    <s v="A"/>
    <n v="3"/>
    <n v="1"/>
    <n v="2"/>
    <n v="-2"/>
    <n v="16"/>
    <n v="-16"/>
    <n v="1469.4609720867361"/>
    <n v="1436.8676936807644"/>
    <n v="0.47210049212832861"/>
    <n v="70"/>
    <n v="64"/>
    <n v="0"/>
    <n v="6"/>
    <n v="1"/>
    <n v="0.3419918968358604"/>
    <n v="1"/>
    <n v="75.099999999999994"/>
    <n v="75.099999999999994"/>
    <n v="13.558355288084833"/>
    <n v="1483.0193273748209"/>
    <n v="1"/>
    <n v="0"/>
    <n v="0"/>
    <n v="0"/>
    <n v="0"/>
    <n v="0"/>
    <n v="0"/>
    <n v="0"/>
    <n v="0"/>
    <n v="0"/>
  </r>
  <r>
    <d v="2019-06-15T00:00:00"/>
    <n v="2019"/>
    <x v="7"/>
    <s v="R"/>
    <s v="RS"/>
    <x v="2"/>
    <s v="CHI"/>
    <s v="H"/>
    <n v="1"/>
    <n v="3"/>
    <n v="-2"/>
    <n v="2"/>
    <n v="-16"/>
    <n v="16"/>
    <n v="1436.8676936807644"/>
    <n v="1469.4609720867361"/>
    <n v="0.52789950787167139"/>
    <n v="64"/>
    <n v="70"/>
    <n v="0"/>
    <n v="-6"/>
    <n v="0"/>
    <n v="0.3419918968358604"/>
    <n v="1"/>
    <n v="74.8"/>
    <n v="74.8"/>
    <n v="-13.504194081874108"/>
    <n v="1423.3634995988903"/>
    <n v="0"/>
    <n v="1"/>
    <n v="0"/>
    <n v="0"/>
    <n v="0"/>
    <n v="0"/>
    <n v="0"/>
    <n v="0"/>
    <n v="0"/>
    <n v="0"/>
  </r>
  <r>
    <d v="2019-06-15T00:00:00"/>
    <n v="2019"/>
    <x v="7"/>
    <s v="R"/>
    <s v="RS"/>
    <x v="3"/>
    <s v="LAS"/>
    <s v="A"/>
    <n v="0"/>
    <n v="0"/>
    <n v="0"/>
    <n v="0"/>
    <n v="0"/>
    <n v="0"/>
    <n v="1384.0952435851302"/>
    <n v="1551.7104861186019"/>
    <n v="0.19024580893076729"/>
    <n v="98"/>
    <n v="92"/>
    <n v="0"/>
    <n v="6"/>
    <n v="1"/>
    <n v="0.30822770922639314"/>
    <n v="1"/>
    <n v="74.8"/>
    <n v="74.8"/>
    <n v="18.669233215360602"/>
    <n v="1402.7644768004909"/>
    <n v="1"/>
    <n v="0"/>
    <n v="0"/>
    <n v="0"/>
    <n v="0"/>
    <n v="0"/>
    <n v="0"/>
    <n v="0"/>
    <n v="0"/>
    <n v="0"/>
  </r>
  <r>
    <d v="2019-06-15T00:00:00"/>
    <n v="2019"/>
    <x v="6"/>
    <s v="R"/>
    <s v="RS"/>
    <x v="10"/>
    <s v="NYL"/>
    <s v="H"/>
    <n v="0"/>
    <n v="0"/>
    <n v="0"/>
    <n v="0"/>
    <n v="0"/>
    <n v="0"/>
    <n v="1551.7104861186019"/>
    <n v="1384.0952435851302"/>
    <n v="0.80975419106923274"/>
    <n v="92"/>
    <n v="98"/>
    <n v="0"/>
    <n v="-6"/>
    <n v="0"/>
    <n v="0.30822770922639314"/>
    <n v="1"/>
    <n v="74.95"/>
    <n v="74.95"/>
    <n v="-18.706671517263064"/>
    <n v="1533.0038146013389"/>
    <n v="0"/>
    <n v="1"/>
    <n v="0"/>
    <n v="0"/>
    <n v="0"/>
    <n v="0"/>
    <n v="0"/>
    <n v="0"/>
    <n v="0"/>
    <n v="0"/>
  </r>
  <r>
    <d v="2019-06-16T00:00:00"/>
    <n v="2019"/>
    <x v="8"/>
    <s v="R"/>
    <s v="RS"/>
    <x v="9"/>
    <s v="CON"/>
    <s v="A"/>
    <n v="1"/>
    <n v="1"/>
    <n v="0"/>
    <n v="0"/>
    <n v="0"/>
    <n v="0"/>
    <n v="1614.3636647235726"/>
    <n v="1608.3656191884338"/>
    <n v="0.38959490234021843"/>
    <n v="67"/>
    <n v="81"/>
    <n v="0"/>
    <n v="-14"/>
    <n v="0"/>
    <n v="0.48518297886733414"/>
    <n v="1"/>
    <n v="74.650000000000006"/>
    <n v="74.650000000000006"/>
    <n v="-14.110702459827515"/>
    <n v="1600.2529622637451"/>
    <n v="0"/>
    <n v="1"/>
    <n v="0"/>
    <n v="0"/>
    <n v="0"/>
    <n v="0"/>
    <n v="0"/>
    <n v="0"/>
    <n v="0"/>
    <n v="0"/>
  </r>
  <r>
    <d v="2019-06-16T00:00:00"/>
    <n v="2019"/>
    <x v="8"/>
    <s v="R"/>
    <s v="RS"/>
    <x v="5"/>
    <s v="SEA"/>
    <s v="H"/>
    <n v="1"/>
    <n v="1"/>
    <n v="0"/>
    <n v="0"/>
    <n v="0"/>
    <n v="0"/>
    <n v="1608.3656191884338"/>
    <n v="1614.3636647235726"/>
    <n v="0.61040509765978168"/>
    <n v="81"/>
    <n v="67"/>
    <n v="0"/>
    <n v="14"/>
    <n v="1"/>
    <n v="0.48518297886733414"/>
    <n v="1"/>
    <n v="74.650000000000006"/>
    <n v="74.650000000000006"/>
    <n v="14.110702459827511"/>
    <n v="1622.4763216482613"/>
    <n v="1"/>
    <n v="0"/>
    <n v="0"/>
    <n v="0"/>
    <n v="0"/>
    <n v="0"/>
    <n v="0"/>
    <n v="0"/>
    <n v="0"/>
    <n v="0"/>
  </r>
  <r>
    <d v="2019-06-16T00:00:00"/>
    <n v="2019"/>
    <x v="6"/>
    <s v="R"/>
    <s v="RS"/>
    <x v="11"/>
    <s v="MIN"/>
    <s v="A"/>
    <n v="1"/>
    <n v="1"/>
    <n v="0"/>
    <n v="0"/>
    <n v="0"/>
    <n v="0"/>
    <n v="1487.2773427066077"/>
    <n v="1514.6432145213098"/>
    <n v="0.34500391566731781"/>
    <n v="80"/>
    <n v="75"/>
    <n v="0"/>
    <n v="5"/>
    <n v="1"/>
    <n v="0.32435900304518184"/>
    <n v="1"/>
    <n v="74.95"/>
    <n v="74.95"/>
    <n v="15.923418074602866"/>
    <n v="1503.2007607812106"/>
    <n v="1"/>
    <n v="0"/>
    <n v="0"/>
    <n v="0"/>
    <n v="0"/>
    <n v="0"/>
    <n v="0"/>
    <n v="0"/>
    <n v="0"/>
    <n v="0"/>
  </r>
  <r>
    <d v="2019-06-16T00:00:00"/>
    <n v="2019"/>
    <x v="8"/>
    <s v="R"/>
    <s v="RS"/>
    <x v="7"/>
    <s v="LVA"/>
    <s v="H"/>
    <n v="1"/>
    <n v="1"/>
    <n v="0"/>
    <n v="0"/>
    <n v="0"/>
    <n v="0"/>
    <n v="1514.6432145213098"/>
    <n v="1487.2773427066077"/>
    <n v="0.65499608433268208"/>
    <n v="75"/>
    <n v="80"/>
    <n v="0"/>
    <n v="-5"/>
    <n v="0"/>
    <n v="0.32435900304518184"/>
    <n v="1"/>
    <n v="74.650000000000006"/>
    <n v="74.650000000000006"/>
    <n v="-15.859681911529069"/>
    <n v="1498.7835326097807"/>
    <n v="0"/>
    <n v="1"/>
    <n v="0"/>
    <n v="0"/>
    <n v="0"/>
    <n v="0"/>
    <n v="0"/>
    <n v="0"/>
    <n v="0"/>
    <n v="0"/>
  </r>
  <r>
    <d v="2019-06-18T00:00:00"/>
    <n v="2019"/>
    <x v="7"/>
    <s v="R"/>
    <s v="RS"/>
    <x v="4"/>
    <s v="LAS"/>
    <s v="A"/>
    <n v="3"/>
    <n v="2"/>
    <n v="1"/>
    <n v="-1"/>
    <n v="8"/>
    <n v="-8"/>
    <n v="1549.6353893268833"/>
    <n v="1533.0038146013389"/>
    <n v="0.42660888476167691"/>
    <n v="81"/>
    <n v="52"/>
    <n v="0"/>
    <n v="29"/>
    <n v="1"/>
    <n v="0.68191189613033321"/>
    <n v="1"/>
    <n v="74.8"/>
    <n v="74.8"/>
    <n v="29.246966251710557"/>
    <n v="1578.8823555785939"/>
    <n v="1"/>
    <n v="0"/>
    <n v="0"/>
    <n v="0"/>
    <n v="0"/>
    <n v="0"/>
    <n v="0"/>
    <n v="0"/>
    <n v="0"/>
    <n v="0"/>
  </r>
  <r>
    <d v="2019-06-18T00:00:00"/>
    <n v="2019"/>
    <x v="7"/>
    <s v="R"/>
    <s v="RS"/>
    <x v="10"/>
    <s v="WAS"/>
    <s v="H"/>
    <n v="2"/>
    <n v="3"/>
    <n v="-1"/>
    <n v="1"/>
    <n v="-8"/>
    <n v="8"/>
    <n v="1533.0038146013389"/>
    <n v="1549.6353893268833"/>
    <n v="0.57339111523832309"/>
    <n v="52"/>
    <n v="81"/>
    <n v="0"/>
    <n v="-29"/>
    <n v="0"/>
    <n v="0.68191189613033321"/>
    <n v="1"/>
    <n v="74.8"/>
    <n v="74.8"/>
    <n v="-29.246966251710557"/>
    <n v="1503.7568483496284"/>
    <n v="0"/>
    <n v="1"/>
    <n v="0"/>
    <n v="0"/>
    <n v="0"/>
    <n v="0"/>
    <n v="0"/>
    <n v="0"/>
    <n v="0"/>
    <n v="0"/>
  </r>
  <r>
    <d v="2019-06-19T00:00:00"/>
    <n v="2019"/>
    <x v="8"/>
    <s v="R"/>
    <s v="RS"/>
    <x v="2"/>
    <s v="ATL"/>
    <s v="A"/>
    <n v="3"/>
    <n v="3"/>
    <n v="0"/>
    <n v="0"/>
    <n v="0"/>
    <n v="0"/>
    <n v="1423.3634995988903"/>
    <n v="1446.4269846792727"/>
    <n v="0.35062184055221668"/>
    <n v="78"/>
    <n v="88"/>
    <n v="0"/>
    <n v="-10"/>
    <n v="0"/>
    <n v="0.41515068137723848"/>
    <n v="1"/>
    <n v="74.650000000000006"/>
    <n v="74.650000000000006"/>
    <n v="-10.86612088722072"/>
    <n v="1412.4973787116696"/>
    <n v="0"/>
    <n v="1"/>
    <n v="0"/>
    <n v="0"/>
    <n v="0"/>
    <n v="0"/>
    <n v="0"/>
    <n v="0"/>
    <n v="0"/>
    <n v="0"/>
  </r>
  <r>
    <d v="2019-06-19T00:00:00"/>
    <n v="2019"/>
    <x v="6"/>
    <s v="R"/>
    <s v="RS"/>
    <x v="1"/>
    <s v="IND"/>
    <s v="H"/>
    <n v="3"/>
    <n v="3"/>
    <n v="0"/>
    <n v="0"/>
    <n v="0"/>
    <n v="0"/>
    <n v="1446.4269846792727"/>
    <n v="1423.3634995988903"/>
    <n v="0.64937815944778321"/>
    <n v="88"/>
    <n v="78"/>
    <n v="0"/>
    <n v="10"/>
    <n v="1"/>
    <n v="0.41515068137723848"/>
    <n v="1"/>
    <n v="74.95"/>
    <n v="74.95"/>
    <n v="10.909789156024022"/>
    <n v="1457.3367738352968"/>
    <n v="1"/>
    <n v="0"/>
    <n v="0"/>
    <n v="0"/>
    <n v="0"/>
    <n v="0"/>
    <n v="0"/>
    <n v="0"/>
    <n v="0"/>
    <n v="0"/>
  </r>
  <r>
    <d v="2019-06-19T00:00:00"/>
    <n v="2019"/>
    <x v="6"/>
    <s v="R"/>
    <s v="RS"/>
    <x v="6"/>
    <s v="NYL"/>
    <s v="A"/>
    <n v="3"/>
    <n v="3"/>
    <n v="0"/>
    <n v="0"/>
    <n v="0"/>
    <n v="0"/>
    <n v="1483.0193273748209"/>
    <n v="1402.7644768004909"/>
    <n v="0.49461050546946222"/>
    <n v="91"/>
    <n v="83"/>
    <n v="0"/>
    <n v="8"/>
    <n v="1"/>
    <n v="0.36397334624005978"/>
    <n v="1"/>
    <n v="74.95"/>
    <n v="74.95"/>
    <n v="13.786925495639974"/>
    <n v="1496.8062528704609"/>
    <n v="1"/>
    <n v="0"/>
    <n v="0"/>
    <n v="0"/>
    <n v="0"/>
    <n v="0"/>
    <n v="0"/>
    <n v="0"/>
    <n v="0"/>
    <n v="0"/>
  </r>
  <r>
    <d v="2019-06-19T00:00:00"/>
    <n v="2019"/>
    <x v="8"/>
    <s v="R"/>
    <s v="RS"/>
    <x v="3"/>
    <s v="CHI"/>
    <s v="H"/>
    <n v="3"/>
    <n v="3"/>
    <n v="0"/>
    <n v="0"/>
    <n v="0"/>
    <n v="0"/>
    <n v="1402.7644768004909"/>
    <n v="1483.0193273748209"/>
    <n v="0.50538949453053783"/>
    <n v="83"/>
    <n v="91"/>
    <n v="0"/>
    <n v="-8"/>
    <n v="0"/>
    <n v="0.36397334624005978"/>
    <n v="1"/>
    <n v="74.650000000000006"/>
    <n v="74.650000000000006"/>
    <n v="-13.731741003996321"/>
    <n v="1389.0327357964945"/>
    <n v="0"/>
    <n v="1"/>
    <n v="0"/>
    <n v="0"/>
    <n v="0"/>
    <n v="0"/>
    <n v="0"/>
    <n v="0"/>
    <n v="0"/>
    <n v="0"/>
  </r>
  <r>
    <d v="2019-06-20T00:00:00"/>
    <n v="2019"/>
    <x v="6"/>
    <s v="R"/>
    <s v="RS"/>
    <x v="8"/>
    <s v="DAL"/>
    <s v="A"/>
    <n v="5"/>
    <n v="4"/>
    <n v="1"/>
    <n v="-1"/>
    <n v="8"/>
    <n v="-8"/>
    <n v="1506.3496182474"/>
    <n v="1430.7434887257959"/>
    <n v="0.51094435191074472"/>
    <n v="54"/>
    <n v="69"/>
    <n v="0"/>
    <n v="-15"/>
    <n v="0"/>
    <n v="0.47304384926467735"/>
    <n v="1"/>
    <n v="74.95"/>
    <n v="74.95"/>
    <n v="-18.115346269943451"/>
    <n v="1488.2342719774565"/>
    <n v="0"/>
    <n v="1"/>
    <n v="0"/>
    <n v="0"/>
    <n v="0"/>
    <n v="0"/>
    <n v="0"/>
    <n v="0"/>
    <n v="0"/>
    <n v="0"/>
  </r>
  <r>
    <d v="2019-06-20T00:00:00"/>
    <n v="2019"/>
    <x v="6"/>
    <s v="R"/>
    <s v="RS"/>
    <x v="0"/>
    <s v="PHX"/>
    <s v="H"/>
    <n v="4"/>
    <n v="5"/>
    <n v="-1"/>
    <n v="1"/>
    <n v="-8"/>
    <n v="8"/>
    <n v="1430.7434887257959"/>
    <n v="1506.3496182474"/>
    <n v="0.48905564808925528"/>
    <n v="69"/>
    <n v="54"/>
    <n v="0"/>
    <n v="15"/>
    <n v="1"/>
    <n v="0.47304384926467735"/>
    <n v="1"/>
    <n v="74.95"/>
    <n v="74.95"/>
    <n v="18.115346269943451"/>
    <n v="1448.8588349957395"/>
    <n v="1"/>
    <n v="0"/>
    <n v="0"/>
    <n v="0"/>
    <n v="0"/>
    <n v="0"/>
    <n v="0"/>
    <n v="0"/>
    <n v="0"/>
    <n v="0"/>
  </r>
  <r>
    <d v="2019-06-20T00:00:00"/>
    <n v="2019"/>
    <x v="8"/>
    <s v="R"/>
    <s v="RS"/>
    <x v="4"/>
    <s v="LVA"/>
    <s v="A"/>
    <n v="1"/>
    <n v="3"/>
    <n v="-2"/>
    <n v="2"/>
    <n v="-16"/>
    <n v="16"/>
    <n v="1578.8823555785939"/>
    <n v="1503.2007607812106"/>
    <n v="0.44223621228619248"/>
    <n v="95"/>
    <n v="72"/>
    <n v="0"/>
    <n v="23"/>
    <n v="1"/>
    <n v="0.57883199544914898"/>
    <n v="1"/>
    <n v="74.650000000000006"/>
    <n v="74.650000000000006"/>
    <n v="24.100866433193328"/>
    <n v="1602.9832220117871"/>
    <n v="1"/>
    <n v="0"/>
    <n v="0"/>
    <n v="0"/>
    <n v="0"/>
    <n v="0"/>
    <n v="0"/>
    <n v="0"/>
    <n v="0"/>
    <n v="0"/>
  </r>
  <r>
    <d v="2019-06-20T00:00:00"/>
    <n v="2019"/>
    <x v="7"/>
    <s v="R"/>
    <s v="RS"/>
    <x v="11"/>
    <s v="WAS"/>
    <s v="H"/>
    <n v="3"/>
    <n v="1"/>
    <n v="2"/>
    <n v="-2"/>
    <n v="16"/>
    <n v="-16"/>
    <n v="1503.2007607812106"/>
    <n v="1578.8823555785939"/>
    <n v="0.55776378771380741"/>
    <n v="72"/>
    <n v="95"/>
    <n v="0"/>
    <n v="-23"/>
    <n v="0"/>
    <n v="0.57883199544914898"/>
    <n v="1"/>
    <n v="74.8"/>
    <n v="74.8"/>
    <n v="-24.149294162128069"/>
    <n v="1479.0514666190825"/>
    <n v="0"/>
    <n v="1"/>
    <n v="0"/>
    <n v="0"/>
    <n v="0"/>
    <n v="0"/>
    <n v="0"/>
    <n v="0"/>
    <n v="0"/>
    <n v="0"/>
  </r>
  <r>
    <d v="2019-06-21T00:00:00"/>
    <n v="2019"/>
    <x v="9"/>
    <s v="R"/>
    <s v="RS"/>
    <x v="2"/>
    <s v="CHI"/>
    <s v="A"/>
    <n v="1"/>
    <n v="1"/>
    <n v="0"/>
    <n v="0"/>
    <n v="0"/>
    <n v="0"/>
    <n v="1412.4973787116696"/>
    <n v="1496.8062528704609"/>
    <n v="0.27510703653727792"/>
    <n v="76"/>
    <n v="69"/>
    <n v="0"/>
    <n v="7"/>
    <n v="1"/>
    <n v="0.34581136665857232"/>
    <n v="1"/>
    <n v="74.5"/>
    <n v="74.5"/>
    <n v="18.675378865028872"/>
    <n v="1431.1727575766986"/>
    <n v="1"/>
    <n v="0"/>
    <n v="0"/>
    <n v="0"/>
    <n v="0"/>
    <n v="0"/>
    <n v="0"/>
    <n v="0"/>
    <n v="0"/>
    <n v="0"/>
  </r>
  <r>
    <d v="2019-06-21T00:00:00"/>
    <n v="2019"/>
    <x v="7"/>
    <s v="R"/>
    <s v="RS"/>
    <x v="6"/>
    <s v="IND"/>
    <s v="H"/>
    <n v="1"/>
    <n v="1"/>
    <n v="0"/>
    <n v="0"/>
    <n v="0"/>
    <n v="0"/>
    <n v="1496.8062528704609"/>
    <n v="1412.4973787116696"/>
    <n v="0.72489296346272203"/>
    <n v="69"/>
    <n v="76"/>
    <n v="0"/>
    <n v="-7"/>
    <n v="0"/>
    <n v="0.34581136665857232"/>
    <n v="1"/>
    <n v="74.8"/>
    <n v="74.8"/>
    <n v="-18.750581732941736"/>
    <n v="1478.0556711375191"/>
    <n v="0"/>
    <n v="1"/>
    <n v="0"/>
    <n v="0"/>
    <n v="0"/>
    <n v="0"/>
    <n v="0"/>
    <n v="0"/>
    <n v="0"/>
    <n v="0"/>
  </r>
  <r>
    <d v="2019-06-21T00:00:00"/>
    <n v="2019"/>
    <x v="7"/>
    <s v="R"/>
    <s v="RS"/>
    <x v="1"/>
    <s v="CON"/>
    <s v="A"/>
    <n v="1"/>
    <n v="4"/>
    <n v="-3"/>
    <n v="3"/>
    <n v="-16"/>
    <n v="16"/>
    <n v="1457.3367738352968"/>
    <n v="1622.4763216482613"/>
    <n v="0.16542988235888528"/>
    <n v="76"/>
    <n v="86"/>
    <n v="0"/>
    <n v="-10"/>
    <n v="0"/>
    <n v="0.37194412835830282"/>
    <n v="1"/>
    <n v="74.8"/>
    <n v="74.8"/>
    <n v="-4.6024943701997341"/>
    <n v="1452.734279465097"/>
    <n v="0"/>
    <n v="1"/>
    <n v="0"/>
    <n v="0"/>
    <n v="0"/>
    <n v="0"/>
    <n v="0"/>
    <n v="0"/>
    <n v="0"/>
    <n v="0"/>
  </r>
  <r>
    <d v="2019-06-21T00:00:00"/>
    <n v="2019"/>
    <x v="9"/>
    <s v="R"/>
    <s v="RS"/>
    <x v="5"/>
    <s v="ATL"/>
    <s v="H"/>
    <n v="4"/>
    <n v="1"/>
    <n v="3"/>
    <n v="-3"/>
    <n v="16"/>
    <n v="-16"/>
    <n v="1622.4763216482613"/>
    <n v="1457.3367738352968"/>
    <n v="0.83457011764111477"/>
    <n v="86"/>
    <n v="76"/>
    <n v="0"/>
    <n v="10"/>
    <n v="1"/>
    <n v="0.37194412835830282"/>
    <n v="1"/>
    <n v="74.5"/>
    <n v="74.5"/>
    <n v="4.5840351681802147"/>
    <n v="1627.0603568164415"/>
    <n v="1"/>
    <n v="0"/>
    <n v="0"/>
    <n v="0"/>
    <n v="0"/>
    <n v="0"/>
    <n v="0"/>
    <n v="0"/>
    <n v="0"/>
    <n v="0"/>
  </r>
  <r>
    <d v="2019-06-21T00:00:00"/>
    <n v="2019"/>
    <x v="8"/>
    <s v="R"/>
    <s v="RS"/>
    <x v="10"/>
    <s v="SEA"/>
    <s v="A"/>
    <n v="2"/>
    <n v="4"/>
    <n v="-2"/>
    <n v="2"/>
    <n v="-16"/>
    <n v="16"/>
    <n v="1503.7568483496284"/>
    <n v="1600.2529622637451"/>
    <n v="0.22736923975307391"/>
    <n v="62"/>
    <n v="84"/>
    <n v="0"/>
    <n v="-22"/>
    <n v="0"/>
    <n v="0.55724610188231216"/>
    <n v="1"/>
    <n v="74.650000000000006"/>
    <n v="74.650000000000006"/>
    <n v="-9.4582014726367767"/>
    <n v="1494.2986468769916"/>
    <n v="0"/>
    <n v="1"/>
    <n v="0"/>
    <n v="0"/>
    <n v="0"/>
    <n v="0"/>
    <n v="0"/>
    <n v="0"/>
    <n v="0"/>
    <n v="0"/>
  </r>
  <r>
    <d v="2019-06-21T00:00:00"/>
    <n v="2019"/>
    <x v="9"/>
    <s v="R"/>
    <s v="RS"/>
    <x v="9"/>
    <s v="LAS"/>
    <s v="H"/>
    <n v="4"/>
    <n v="2"/>
    <n v="2"/>
    <n v="-2"/>
    <n v="16"/>
    <n v="-16"/>
    <n v="1600.2529622637451"/>
    <n v="1503.7568483496284"/>
    <n v="0.77263076024692612"/>
    <n v="84"/>
    <n v="62"/>
    <n v="0"/>
    <n v="22"/>
    <n v="1"/>
    <n v="0.55724610188231216"/>
    <n v="1"/>
    <n v="74.5"/>
    <n v="74.5"/>
    <n v="9.4391963792557227"/>
    <n v="1609.6921586430008"/>
    <n v="1"/>
    <n v="0"/>
    <n v="0"/>
    <n v="0"/>
    <n v="0"/>
    <n v="0"/>
    <n v="0"/>
    <n v="0"/>
    <n v="0"/>
    <n v="0"/>
  </r>
  <r>
    <d v="2019-06-22T00:00:00"/>
    <n v="2019"/>
    <x v="7"/>
    <s v="R"/>
    <s v="RS"/>
    <x v="0"/>
    <s v="LVA"/>
    <s v="A"/>
    <n v="1"/>
    <n v="1"/>
    <n v="0"/>
    <n v="0"/>
    <n v="0"/>
    <n v="0"/>
    <n v="1448.8588349957395"/>
    <n v="1479.0514666190825"/>
    <n v="0.34133613115963879"/>
    <n v="68"/>
    <n v="86"/>
    <n v="0"/>
    <n v="-18"/>
    <n v="0"/>
    <n v="0.53341298076681953"/>
    <n v="1"/>
    <n v="74.8"/>
    <n v="74.8"/>
    <n v="-13.619069612762718"/>
    <n v="1435.2397653829767"/>
    <n v="0"/>
    <n v="1"/>
    <n v="0"/>
    <n v="0"/>
    <n v="0"/>
    <n v="0"/>
    <n v="0"/>
    <n v="0"/>
    <n v="0"/>
    <n v="0"/>
  </r>
  <r>
    <d v="2019-06-22T00:00:00"/>
    <n v="2019"/>
    <x v="8"/>
    <s v="R"/>
    <s v="RS"/>
    <x v="11"/>
    <s v="DAL"/>
    <s v="H"/>
    <n v="1"/>
    <n v="1"/>
    <n v="0"/>
    <n v="0"/>
    <n v="0"/>
    <n v="0"/>
    <n v="1479.0514666190825"/>
    <n v="1448.8588349957395"/>
    <n v="0.65866386884036121"/>
    <n v="86"/>
    <n v="68"/>
    <n v="0"/>
    <n v="18"/>
    <n v="1"/>
    <n v="0.53341298076681953"/>
    <n v="1"/>
    <n v="74.650000000000006"/>
    <n v="74.650000000000006"/>
    <n v="13.591758644287928"/>
    <n v="1492.6432252633704"/>
    <n v="1"/>
    <n v="0"/>
    <n v="0"/>
    <n v="0"/>
    <n v="0"/>
    <n v="0"/>
    <n v="0"/>
    <n v="0"/>
    <n v="0"/>
    <n v="0"/>
  </r>
  <r>
    <d v="2019-06-22T00:00:00"/>
    <n v="2019"/>
    <x v="9"/>
    <s v="R"/>
    <s v="RS"/>
    <x v="3"/>
    <s v="MIN"/>
    <s v="A"/>
    <n v="2"/>
    <n v="5"/>
    <n v="-3"/>
    <n v="3"/>
    <n v="-16"/>
    <n v="16"/>
    <n v="1389.0327357964945"/>
    <n v="1498.7835326097807"/>
    <n v="0.21424479299364507"/>
    <n v="83"/>
    <n v="92"/>
    <n v="0"/>
    <n v="-9"/>
    <n v="0"/>
    <n v="0.37195307211264877"/>
    <n v="1"/>
    <n v="74.5"/>
    <n v="74.5"/>
    <n v="-5.9368311658902959"/>
    <n v="1383.0959046306043"/>
    <n v="0"/>
    <n v="1"/>
    <n v="0"/>
    <n v="0"/>
    <n v="0"/>
    <n v="0"/>
    <n v="0"/>
    <n v="0"/>
    <n v="0"/>
    <n v="0"/>
  </r>
  <r>
    <d v="2019-06-22T00:00:00"/>
    <n v="2019"/>
    <x v="9"/>
    <s v="R"/>
    <s v="RS"/>
    <x v="7"/>
    <s v="NYL"/>
    <s v="H"/>
    <n v="5"/>
    <n v="2"/>
    <n v="3"/>
    <n v="-3"/>
    <n v="16"/>
    <n v="-16"/>
    <n v="1498.7835326097807"/>
    <n v="1389.0327357964945"/>
    <n v="0.78575520700635493"/>
    <n v="92"/>
    <n v="83"/>
    <n v="0"/>
    <n v="9"/>
    <n v="1"/>
    <n v="0.37195307211264877"/>
    <n v="1"/>
    <n v="74.5"/>
    <n v="74.5"/>
    <n v="5.9368311658902959"/>
    <n v="1504.7203637756709"/>
    <n v="1"/>
    <n v="0"/>
    <n v="0"/>
    <n v="0"/>
    <n v="0"/>
    <n v="0"/>
    <n v="0"/>
    <n v="0"/>
    <n v="0"/>
    <n v="0"/>
  </r>
  <r>
    <d v="2019-06-23T00:00:00"/>
    <n v="2019"/>
    <x v="9"/>
    <s v="R"/>
    <s v="RS"/>
    <x v="4"/>
    <s v="ATL"/>
    <s v="A"/>
    <n v="2"/>
    <n v="1"/>
    <n v="1"/>
    <n v="-1"/>
    <n v="8"/>
    <n v="-8"/>
    <n v="1602.9832220117871"/>
    <n v="1452.734279465097"/>
    <n v="0.61620306736101171"/>
    <n v="89"/>
    <n v="73"/>
    <n v="0"/>
    <n v="16"/>
    <n v="1"/>
    <n v="0.46016939481112673"/>
    <n v="1"/>
    <n v="74.5"/>
    <n v="74.5"/>
    <n v="13.157564365602324"/>
    <n v="1616.1407863773895"/>
    <n v="1"/>
    <n v="0"/>
    <n v="0"/>
    <n v="0"/>
    <n v="0"/>
    <n v="0"/>
    <n v="0"/>
    <n v="0"/>
    <n v="0"/>
    <n v="0"/>
  </r>
  <r>
    <d v="2019-06-23T00:00:00"/>
    <n v="2019"/>
    <x v="8"/>
    <s v="R"/>
    <s v="RS"/>
    <x v="1"/>
    <s v="WAS"/>
    <s v="H"/>
    <n v="1"/>
    <n v="2"/>
    <n v="-1"/>
    <n v="1"/>
    <n v="-8"/>
    <n v="8"/>
    <n v="1452.734279465097"/>
    <n v="1602.9832220117871"/>
    <n v="0.38379693263898818"/>
    <n v="73"/>
    <n v="89"/>
    <n v="0"/>
    <n v="-16"/>
    <n v="0"/>
    <n v="0.46016939481112673"/>
    <n v="1"/>
    <n v="74.650000000000006"/>
    <n v="74.650000000000006"/>
    <n v="-13.184056105935751"/>
    <n v="1439.5502233591612"/>
    <n v="0"/>
    <n v="1"/>
    <n v="0"/>
    <n v="0"/>
    <n v="0"/>
    <n v="0"/>
    <n v="0"/>
    <n v="0"/>
    <n v="0"/>
    <n v="0"/>
  </r>
  <r>
    <d v="2019-06-23T00:00:00"/>
    <n v="2019"/>
    <x v="10"/>
    <s v="R"/>
    <s v="RS"/>
    <x v="5"/>
    <s v="CHI"/>
    <s v="A"/>
    <n v="1"/>
    <n v="1"/>
    <n v="0"/>
    <n v="0"/>
    <n v="0"/>
    <n v="0"/>
    <n v="1627.0603568164415"/>
    <n v="1478.0556711375191"/>
    <n v="0.5924727431834057"/>
    <n v="75"/>
    <n v="93"/>
    <n v="0"/>
    <n v="-18"/>
    <n v="0"/>
    <n v="0.48643323890408507"/>
    <n v="1"/>
    <n v="74.349999999999994"/>
    <n v="74.349999999999994"/>
    <n v="-21.427553674153007"/>
    <n v="1605.6328031422886"/>
    <n v="0"/>
    <n v="1"/>
    <n v="0"/>
    <n v="0"/>
    <n v="0"/>
    <n v="0"/>
    <n v="0"/>
    <n v="0"/>
    <n v="0"/>
    <n v="0"/>
  </r>
  <r>
    <d v="2019-06-23T00:00:00"/>
    <n v="2019"/>
    <x v="8"/>
    <s v="R"/>
    <s v="RS"/>
    <x v="6"/>
    <s v="CON"/>
    <s v="H"/>
    <n v="1"/>
    <n v="1"/>
    <n v="0"/>
    <n v="0"/>
    <n v="0"/>
    <n v="0"/>
    <n v="1478.0556711375191"/>
    <n v="1627.0603568164415"/>
    <n v="0.40752725681659424"/>
    <n v="93"/>
    <n v="75"/>
    <n v="0"/>
    <n v="18"/>
    <n v="1"/>
    <n v="0.48643323890408507"/>
    <n v="1"/>
    <n v="74.650000000000006"/>
    <n v="74.650000000000006"/>
    <n v="21.51401320478174"/>
    <n v="1499.5696843423009"/>
    <n v="1"/>
    <n v="0"/>
    <n v="0"/>
    <n v="0"/>
    <n v="0"/>
    <n v="0"/>
    <n v="0"/>
    <n v="0"/>
    <n v="0"/>
    <n v="0"/>
  </r>
  <r>
    <d v="2019-06-23T00:00:00"/>
    <n v="2019"/>
    <x v="9"/>
    <s v="R"/>
    <s v="RS"/>
    <x v="10"/>
    <s v="PHX"/>
    <s v="A"/>
    <n v="1"/>
    <n v="2"/>
    <n v="-1"/>
    <n v="1"/>
    <n v="-8"/>
    <n v="8"/>
    <n v="1494.2986468769916"/>
    <n v="1488.2342719774565"/>
    <n v="0.36801617135175829"/>
    <n v="72"/>
    <n v="82"/>
    <n v="0"/>
    <n v="-10"/>
    <n v="0"/>
    <n v="0.42100210383963677"/>
    <n v="1"/>
    <n v="74.5"/>
    <n v="74.5"/>
    <n v="-11.542700887764338"/>
    <n v="1482.7559459892273"/>
    <n v="0"/>
    <n v="1"/>
    <n v="0"/>
    <n v="0"/>
    <n v="0"/>
    <n v="0"/>
    <n v="0"/>
    <n v="0"/>
    <n v="0"/>
    <n v="0"/>
  </r>
  <r>
    <d v="2019-06-23T00:00:00"/>
    <n v="2019"/>
    <x v="7"/>
    <s v="R"/>
    <s v="RS"/>
    <x v="8"/>
    <s v="LAS"/>
    <s v="H"/>
    <n v="2"/>
    <n v="1"/>
    <n v="1"/>
    <n v="-1"/>
    <n v="8"/>
    <n v="-8"/>
    <n v="1488.2342719774565"/>
    <n v="1494.2986468769916"/>
    <n v="0.63198382864824176"/>
    <n v="82"/>
    <n v="72"/>
    <n v="0"/>
    <n v="10"/>
    <n v="1"/>
    <n v="0.42100210383963677"/>
    <n v="1"/>
    <n v="74.8"/>
    <n v="74.8"/>
    <n v="11.589181562480166"/>
    <n v="1499.8234535399367"/>
    <n v="1"/>
    <n v="0"/>
    <n v="0"/>
    <n v="0"/>
    <n v="0"/>
    <n v="0"/>
    <n v="0"/>
    <n v="0"/>
    <n v="0"/>
    <n v="0"/>
  </r>
  <r>
    <d v="2019-06-23T00:00:00"/>
    <n v="2019"/>
    <x v="10"/>
    <s v="R"/>
    <s v="RS"/>
    <x v="2"/>
    <s v="SEA"/>
    <s v="A"/>
    <n v="1"/>
    <n v="1"/>
    <n v="0"/>
    <n v="0"/>
    <n v="0"/>
    <n v="0"/>
    <n v="1431.1727575766986"/>
    <n v="1609.6921586430008"/>
    <n v="0.18076351675139066"/>
    <n v="61"/>
    <n v="65"/>
    <n v="0"/>
    <n v="-4"/>
    <n v="0"/>
    <n v="0.27110193849689651"/>
    <n v="1"/>
    <n v="74.349999999999994"/>
    <n v="74.349999999999994"/>
    <n v="-3.6435470141908355"/>
    <n v="1427.5292105625078"/>
    <n v="0"/>
    <n v="1"/>
    <n v="0"/>
    <n v="0"/>
    <n v="0"/>
    <n v="0"/>
    <n v="0"/>
    <n v="0"/>
    <n v="0"/>
    <n v="0"/>
  </r>
  <r>
    <d v="2019-06-23T00:00:00"/>
    <n v="2019"/>
    <x v="10"/>
    <s v="R"/>
    <s v="RS"/>
    <x v="9"/>
    <s v="IND"/>
    <s v="H"/>
    <n v="1"/>
    <n v="1"/>
    <n v="0"/>
    <n v="0"/>
    <n v="0"/>
    <n v="0"/>
    <n v="1609.6921586430008"/>
    <n v="1431.1727575766986"/>
    <n v="0.81923648324860932"/>
    <n v="65"/>
    <n v="61"/>
    <n v="0"/>
    <n v="4"/>
    <n v="1"/>
    <n v="0.27110193849689651"/>
    <n v="1"/>
    <n v="74.349999999999994"/>
    <n v="74.349999999999994"/>
    <n v="3.6435470141908359"/>
    <n v="1613.3357056571915"/>
    <n v="1"/>
    <n v="0"/>
    <n v="0"/>
    <n v="0"/>
    <n v="0"/>
    <n v="0"/>
    <n v="0"/>
    <n v="0"/>
    <n v="0"/>
    <n v="0"/>
  </r>
  <r>
    <d v="2019-06-25T00:00:00"/>
    <n v="2019"/>
    <x v="10"/>
    <s v="R"/>
    <s v="RS"/>
    <x v="7"/>
    <s v="IND"/>
    <s v="A"/>
    <n v="2"/>
    <n v="1"/>
    <n v="1"/>
    <n v="-1"/>
    <n v="8"/>
    <n v="-8"/>
    <n v="1504.7203637756709"/>
    <n v="1427.5292105625078"/>
    <n v="0.51322404802520905"/>
    <n v="78"/>
    <n v="74"/>
    <n v="0"/>
    <n v="4"/>
    <n v="1"/>
    <n v="0.29261029638707614"/>
    <n v="1"/>
    <n v="74.349999999999994"/>
    <n v="74.349999999999994"/>
    <n v="10.590090992480414"/>
    <n v="1515.3104547681512"/>
    <n v="1"/>
    <n v="0"/>
    <n v="0"/>
    <n v="0"/>
    <n v="0"/>
    <n v="0"/>
    <n v="0"/>
    <n v="0"/>
    <n v="0"/>
    <n v="0"/>
  </r>
  <r>
    <d v="2019-06-25T00:00:00"/>
    <n v="2019"/>
    <x v="11"/>
    <s v="R"/>
    <s v="RS"/>
    <x v="2"/>
    <s v="MIN"/>
    <s v="H"/>
    <n v="1"/>
    <n v="2"/>
    <n v="-1"/>
    <n v="1"/>
    <n v="-8"/>
    <n v="8"/>
    <n v="1427.5292105625078"/>
    <n v="1504.7203637756709"/>
    <n v="0.4867759519747909"/>
    <n v="74"/>
    <n v="78"/>
    <n v="0"/>
    <n v="-4"/>
    <n v="0"/>
    <n v="0.29261029638707614"/>
    <n v="1"/>
    <n v="74.2"/>
    <n v="74.2"/>
    <n v="-10.568725644143196"/>
    <n v="1416.9604849183647"/>
    <n v="0"/>
    <n v="1"/>
    <n v="0"/>
    <n v="0"/>
    <n v="0"/>
    <n v="0"/>
    <n v="0"/>
    <n v="0"/>
    <n v="0"/>
    <n v="0"/>
  </r>
  <r>
    <d v="2019-06-25T00:00:00"/>
    <n v="2019"/>
    <x v="11"/>
    <s v="R"/>
    <s v="RS"/>
    <x v="9"/>
    <s v="LVA"/>
    <s v="A"/>
    <n v="1"/>
    <n v="2"/>
    <n v="-1"/>
    <n v="1"/>
    <n v="-8"/>
    <n v="8"/>
    <n v="1613.3357056571915"/>
    <n v="1492.6432252633704"/>
    <n v="0.52974371314698065"/>
    <n v="56"/>
    <n v="60"/>
    <n v="0"/>
    <n v="-4"/>
    <n v="0"/>
    <n v="0.28297221906890452"/>
    <n v="1"/>
    <n v="74.2"/>
    <n v="74.2"/>
    <n v="-11.122784350287573"/>
    <n v="1602.212921306904"/>
    <n v="0"/>
    <n v="1"/>
    <n v="0"/>
    <n v="0"/>
    <n v="0"/>
    <n v="0"/>
    <n v="0"/>
    <n v="0"/>
    <n v="0"/>
    <n v="0"/>
  </r>
  <r>
    <d v="2019-06-25T00:00:00"/>
    <n v="2019"/>
    <x v="9"/>
    <s v="R"/>
    <s v="RS"/>
    <x v="11"/>
    <s v="SEA"/>
    <s v="H"/>
    <n v="2"/>
    <n v="1"/>
    <n v="1"/>
    <n v="-1"/>
    <n v="8"/>
    <n v="-8"/>
    <n v="1492.6432252633704"/>
    <n v="1613.3357056571915"/>
    <n v="0.47025628685301929"/>
    <n v="60"/>
    <n v="56"/>
    <n v="0"/>
    <n v="4"/>
    <n v="1"/>
    <n v="0.28297221906890452"/>
    <n v="1"/>
    <n v="74.5"/>
    <n v="74.5"/>
    <n v="11.167755176501673"/>
    <n v="1503.8109804398721"/>
    <n v="1"/>
    <n v="0"/>
    <n v="0"/>
    <n v="0"/>
    <n v="0"/>
    <n v="0"/>
    <n v="0"/>
    <n v="0"/>
    <n v="0"/>
    <n v="0"/>
  </r>
  <r>
    <d v="2019-06-26T00:00:00"/>
    <n v="2019"/>
    <x v="10"/>
    <s v="R"/>
    <s v="RS"/>
    <x v="4"/>
    <s v="CHI"/>
    <s v="A"/>
    <n v="2"/>
    <n v="2"/>
    <n v="0"/>
    <n v="0"/>
    <n v="0"/>
    <n v="0"/>
    <n v="1616.1407863773895"/>
    <n v="1499.5696843423009"/>
    <n v="0.54673674811437256"/>
    <n v="81"/>
    <n v="74"/>
    <n v="0"/>
    <n v="7"/>
    <n v="1"/>
    <n v="0.33733735025633826"/>
    <n v="1"/>
    <n v="74.349999999999994"/>
    <n v="74.349999999999994"/>
    <n v="11.368310121141374"/>
    <n v="1627.5090964985309"/>
    <n v="1"/>
    <n v="0"/>
    <n v="0"/>
    <n v="0"/>
    <n v="0"/>
    <n v="0"/>
    <n v="0"/>
    <n v="0"/>
    <n v="0"/>
    <n v="0"/>
  </r>
  <r>
    <d v="2019-06-26T00:00:00"/>
    <n v="2019"/>
    <x v="9"/>
    <s v="R"/>
    <s v="RS"/>
    <x v="6"/>
    <s v="WAS"/>
    <s v="H"/>
    <n v="2"/>
    <n v="2"/>
    <n v="0"/>
    <n v="0"/>
    <n v="0"/>
    <n v="0"/>
    <n v="1499.5696843423009"/>
    <n v="1616.1407863773895"/>
    <n v="0.45326325188562749"/>
    <n v="74"/>
    <n v="81"/>
    <n v="0"/>
    <n v="-7"/>
    <n v="0"/>
    <n v="0.33733735025633826"/>
    <n v="1"/>
    <n v="74.5"/>
    <n v="74.5"/>
    <n v="-11.391245514795326"/>
    <n v="1488.1784388275055"/>
    <n v="0"/>
    <n v="1"/>
    <n v="0"/>
    <n v="0"/>
    <n v="0"/>
    <n v="0"/>
    <n v="0"/>
    <n v="0"/>
    <n v="0"/>
    <n v="0"/>
  </r>
  <r>
    <d v="2019-06-26T00:00:00"/>
    <n v="2019"/>
    <x v="11"/>
    <s v="R"/>
    <s v="RS"/>
    <x v="5"/>
    <s v="DAL"/>
    <s v="A"/>
    <n v="2"/>
    <n v="3"/>
    <n v="-1"/>
    <n v="1"/>
    <n v="-8"/>
    <n v="8"/>
    <n v="1605.6328031422886"/>
    <n v="1435.2397653829767"/>
    <n v="0.59993994818889496"/>
    <n v="73"/>
    <n v="74"/>
    <n v="0"/>
    <n v="-1"/>
    <n v="0"/>
    <n v="0.21381866156986104"/>
    <n v="1"/>
    <n v="74.2"/>
    <n v="74.2"/>
    <n v="-9.5182540704078651"/>
    <n v="1596.1145490718807"/>
    <n v="0"/>
    <n v="1"/>
    <n v="0"/>
    <n v="0"/>
    <n v="0"/>
    <n v="0"/>
    <n v="0"/>
    <n v="0"/>
    <n v="0"/>
    <n v="0"/>
  </r>
  <r>
    <d v="2019-06-26T00:00:00"/>
    <n v="2019"/>
    <x v="8"/>
    <s v="R"/>
    <s v="RS"/>
    <x v="0"/>
    <s v="CON"/>
    <s v="H"/>
    <n v="3"/>
    <n v="2"/>
    <n v="1"/>
    <n v="-1"/>
    <n v="8"/>
    <n v="-8"/>
    <n v="1435.2397653829767"/>
    <n v="1605.6328031422886"/>
    <n v="0.40006005181110504"/>
    <n v="74"/>
    <n v="73"/>
    <n v="0"/>
    <n v="1"/>
    <n v="1"/>
    <n v="0.21381866156986104"/>
    <n v="1"/>
    <n v="74.650000000000006"/>
    <n v="74.650000000000006"/>
    <n v="9.5759793309426833"/>
    <n v="1444.8157447139192"/>
    <n v="1"/>
    <n v="0"/>
    <n v="0"/>
    <n v="0"/>
    <n v="0"/>
    <n v="0"/>
    <n v="0"/>
    <n v="0"/>
    <n v="0"/>
    <n v="0"/>
  </r>
  <r>
    <d v="2019-06-27T00:00:00"/>
    <n v="2019"/>
    <x v="10"/>
    <s v="R"/>
    <s v="RS"/>
    <x v="11"/>
    <s v="LAS"/>
    <s v="A"/>
    <n v="1"/>
    <n v="3"/>
    <n v="-2"/>
    <n v="2"/>
    <n v="-16"/>
    <n v="16"/>
    <n v="1503.8109804398721"/>
    <n v="1482.7559459892273"/>
    <n v="0.3666658656271905"/>
    <n v="74"/>
    <n v="86"/>
    <n v="0"/>
    <n v="-12"/>
    <n v="0"/>
    <n v="0.44826426020847226"/>
    <n v="1"/>
    <n v="74.349999999999994"/>
    <n v="74.349999999999994"/>
    <n v="-12.220404142980977"/>
    <n v="1491.5905762968912"/>
    <n v="0"/>
    <n v="1"/>
    <n v="0"/>
    <n v="0"/>
    <n v="0"/>
    <n v="0"/>
    <n v="0"/>
    <n v="0"/>
    <n v="0"/>
    <n v="0"/>
  </r>
  <r>
    <d v="2019-06-27T00:00:00"/>
    <n v="2019"/>
    <x v="10"/>
    <s v="R"/>
    <s v="RS"/>
    <x v="10"/>
    <s v="LVA"/>
    <s v="H"/>
    <n v="3"/>
    <n v="1"/>
    <n v="2"/>
    <n v="-2"/>
    <n v="16"/>
    <n v="-16"/>
    <n v="1482.7559459892273"/>
    <n v="1503.8109804398721"/>
    <n v="0.6333341343728095"/>
    <n v="86"/>
    <n v="74"/>
    <n v="0"/>
    <n v="12"/>
    <n v="1"/>
    <n v="0.44826426020847226"/>
    <n v="1"/>
    <n v="74.349999999999994"/>
    <n v="74.349999999999994"/>
    <n v="12.220404142980977"/>
    <n v="1494.9763501322082"/>
    <n v="1"/>
    <n v="0"/>
    <n v="0"/>
    <n v="0"/>
    <n v="0"/>
    <n v="0"/>
    <n v="0"/>
    <n v="0"/>
    <n v="0"/>
    <n v="0"/>
  </r>
  <r>
    <d v="2019-06-28T00:00:00"/>
    <n v="2019"/>
    <x v="9"/>
    <s v="R"/>
    <s v="RS"/>
    <x v="0"/>
    <s v="NYL"/>
    <s v="A"/>
    <n v="1"/>
    <n v="5"/>
    <n v="-4"/>
    <n v="4"/>
    <n v="-16"/>
    <n v="16"/>
    <n v="1444.8157447139192"/>
    <n v="1383.0959046306043"/>
    <n v="0.42251397551774456"/>
    <n v="68"/>
    <n v="69"/>
    <n v="0"/>
    <n v="-1"/>
    <n v="0"/>
    <n v="0.23223507774832441"/>
    <n v="1"/>
    <n v="74.5"/>
    <n v="74.5"/>
    <n v="-7.3101311635817208"/>
    <n v="1437.5056135503376"/>
    <n v="0"/>
    <n v="1"/>
    <n v="0"/>
    <n v="0"/>
    <n v="0"/>
    <n v="0"/>
    <n v="0"/>
    <n v="0"/>
    <n v="0"/>
    <n v="0"/>
  </r>
  <r>
    <d v="2019-06-28T00:00:00"/>
    <n v="2019"/>
    <x v="10"/>
    <s v="R"/>
    <s v="RS"/>
    <x v="3"/>
    <s v="DAL"/>
    <s v="H"/>
    <n v="5"/>
    <n v="1"/>
    <n v="4"/>
    <n v="-4"/>
    <n v="16"/>
    <n v="-16"/>
    <n v="1383.0959046306043"/>
    <n v="1444.8157447139192"/>
    <n v="0.57748602448225539"/>
    <n v="69"/>
    <n v="68"/>
    <n v="0"/>
    <n v="1"/>
    <n v="1"/>
    <n v="0.23223507774832441"/>
    <n v="1"/>
    <n v="74.349999999999994"/>
    <n v="74.349999999999994"/>
    <n v="7.2954127786886023"/>
    <n v="1390.3913174092929"/>
    <n v="1"/>
    <n v="0"/>
    <n v="0"/>
    <n v="0"/>
    <n v="0"/>
    <n v="0"/>
    <n v="0"/>
    <n v="0"/>
    <n v="0"/>
    <n v="0"/>
  </r>
  <r>
    <d v="2019-06-28T00:00:00"/>
    <n v="2019"/>
    <x v="12"/>
    <s v="R"/>
    <s v="RS"/>
    <x v="2"/>
    <s v="PHX"/>
    <s v="A"/>
    <n v="2"/>
    <n v="4"/>
    <n v="-2"/>
    <n v="2"/>
    <n v="-16"/>
    <n v="16"/>
    <n v="1416.9604849183647"/>
    <n v="1499.8234535399367"/>
    <n v="0.241449823465995"/>
    <n v="69"/>
    <n v="91"/>
    <n v="0"/>
    <n v="-22"/>
    <n v="0"/>
    <n v="0.56316802593537652"/>
    <n v="1"/>
    <n v="74.05"/>
    <n v="74.05"/>
    <n v="-10.069083553862617"/>
    <n v="1406.8914013645021"/>
    <n v="0"/>
    <n v="1"/>
    <n v="0"/>
    <n v="0"/>
    <n v="0"/>
    <n v="0"/>
    <n v="0"/>
    <n v="0"/>
    <n v="0"/>
    <n v="0"/>
  </r>
  <r>
    <d v="2019-06-28T00:00:00"/>
    <n v="2019"/>
    <x v="8"/>
    <s v="R"/>
    <s v="RS"/>
    <x v="8"/>
    <s v="IND"/>
    <s v="H"/>
    <n v="4"/>
    <n v="2"/>
    <n v="2"/>
    <n v="-2"/>
    <n v="16"/>
    <n v="-16"/>
    <n v="1499.8234535399367"/>
    <n v="1416.9604849183647"/>
    <n v="0.75855017653400492"/>
    <n v="91"/>
    <n v="69"/>
    <n v="0"/>
    <n v="22"/>
    <n v="1"/>
    <n v="0.56316802593537652"/>
    <n v="1"/>
    <n v="74.650000000000006"/>
    <n v="74.650000000000006"/>
    <n v="10.150669646128895"/>
    <n v="1509.9741231860655"/>
    <n v="1"/>
    <n v="0"/>
    <n v="0"/>
    <n v="0"/>
    <n v="0"/>
    <n v="0"/>
    <n v="0"/>
    <n v="0"/>
    <n v="0"/>
    <n v="0"/>
  </r>
  <r>
    <d v="2019-06-28T00:00:00"/>
    <n v="2019"/>
    <x v="10"/>
    <s v="R"/>
    <s v="RS"/>
    <x v="6"/>
    <s v="SEA"/>
    <s v="A"/>
    <n v="1"/>
    <n v="2"/>
    <n v="-1"/>
    <n v="1"/>
    <n v="-8"/>
    <n v="8"/>
    <n v="1488.1784388275055"/>
    <n v="1602.212921306904"/>
    <n v="0.22581731837957045"/>
    <n v="76"/>
    <n v="79"/>
    <n v="0"/>
    <n v="-3"/>
    <n v="0"/>
    <n v="0.26500082757448418"/>
    <n v="1"/>
    <n v="74.349999999999994"/>
    <n v="74.349999999999994"/>
    <n v="-4.4492360642794662"/>
    <n v="1483.7292027632261"/>
    <n v="0"/>
    <n v="1"/>
    <n v="0"/>
    <n v="0"/>
    <n v="0"/>
    <n v="0"/>
    <n v="0"/>
    <n v="0"/>
    <n v="0"/>
    <n v="0"/>
  </r>
  <r>
    <d v="2019-06-28T00:00:00"/>
    <n v="2019"/>
    <x v="12"/>
    <s v="R"/>
    <s v="RS"/>
    <x v="9"/>
    <s v="CHI"/>
    <s v="H"/>
    <n v="2"/>
    <n v="1"/>
    <n v="1"/>
    <n v="-1"/>
    <n v="8"/>
    <n v="-8"/>
    <n v="1602.212921306904"/>
    <n v="1488.1784388275055"/>
    <n v="0.77418268162042947"/>
    <n v="79"/>
    <n v="76"/>
    <n v="0"/>
    <n v="3"/>
    <n v="1"/>
    <n v="0.26500082757448418"/>
    <n v="1"/>
    <n v="74.05"/>
    <n v="74.05"/>
    <n v="4.4312835314040973"/>
    <n v="1606.644204838308"/>
    <n v="1"/>
    <n v="0"/>
    <n v="0"/>
    <n v="0"/>
    <n v="0"/>
    <n v="0"/>
    <n v="0"/>
    <n v="0"/>
    <n v="0"/>
    <n v="0"/>
  </r>
  <r>
    <d v="2019-06-29T00:00:00"/>
    <n v="2019"/>
    <x v="13"/>
    <s v="R"/>
    <s v="RS"/>
    <x v="2"/>
    <s v="LVA"/>
    <s v="A"/>
    <n v="0"/>
    <n v="1"/>
    <n v="-1"/>
    <n v="1"/>
    <n v="-8"/>
    <n v="8"/>
    <n v="1406.8914013645021"/>
    <n v="1491.5905762968912"/>
    <n v="0.256695750151192"/>
    <n v="97"/>
    <n v="102"/>
    <n v="1"/>
    <n v="-5"/>
    <n v="0"/>
    <n v="0.27889521569670495"/>
    <n v="1"/>
    <n v="73.900000000000006"/>
    <n v="73.900000000000006"/>
    <n v="-5.2905909072457851"/>
    <n v="1401.6008104572563"/>
    <n v="0"/>
    <n v="1"/>
    <n v="0"/>
    <n v="0"/>
    <n v="0"/>
    <n v="0"/>
    <n v="0"/>
    <n v="0"/>
    <n v="0"/>
    <n v="0"/>
  </r>
  <r>
    <d v="2019-06-29T00:00:00"/>
    <n v="2019"/>
    <x v="11"/>
    <s v="R"/>
    <s v="RS"/>
    <x v="11"/>
    <s v="IND"/>
    <s v="H"/>
    <n v="1"/>
    <n v="0"/>
    <n v="1"/>
    <n v="-1"/>
    <n v="8"/>
    <n v="-8"/>
    <n v="1491.5905762968912"/>
    <n v="1406.8914013645021"/>
    <n v="0.74330424984880794"/>
    <n v="102"/>
    <n v="97"/>
    <n v="1"/>
    <n v="5"/>
    <n v="1"/>
    <n v="0.27889521569670495"/>
    <n v="1"/>
    <n v="74.2"/>
    <n v="74.2"/>
    <n v="5.3120682722278394"/>
    <n v="1496.902644569119"/>
    <n v="1"/>
    <n v="0"/>
    <n v="0"/>
    <n v="0"/>
    <n v="0"/>
    <n v="0"/>
    <n v="0"/>
    <n v="0"/>
    <n v="0"/>
    <n v="0"/>
  </r>
  <r>
    <d v="2019-06-29T00:00:00"/>
    <n v="2019"/>
    <x v="12"/>
    <s v="R"/>
    <s v="RS"/>
    <x v="5"/>
    <s v="WAS"/>
    <s v="A"/>
    <n v="2"/>
    <n v="2"/>
    <n v="0"/>
    <n v="0"/>
    <n v="0"/>
    <n v="0"/>
    <n v="1596.1145490718807"/>
    <n v="1627.5090964985309"/>
    <n v="0.33978232218784343"/>
    <n v="59"/>
    <n v="102"/>
    <n v="0"/>
    <n v="-43"/>
    <n v="0"/>
    <n v="0.82860493627564236"/>
    <n v="1"/>
    <n v="74.05"/>
    <n v="74.05"/>
    <n v="-20.84843016285074"/>
    <n v="1575.26611890903"/>
    <n v="0"/>
    <n v="1"/>
    <n v="0"/>
    <n v="0"/>
    <n v="0"/>
    <n v="0"/>
    <n v="0"/>
    <n v="0"/>
    <n v="0"/>
    <n v="0"/>
  </r>
  <r>
    <d v="2019-06-29T00:00:00"/>
    <n v="2019"/>
    <x v="11"/>
    <s v="R"/>
    <s v="RS"/>
    <x v="4"/>
    <s v="CON"/>
    <s v="H"/>
    <n v="2"/>
    <n v="2"/>
    <n v="0"/>
    <n v="0"/>
    <n v="0"/>
    <n v="0"/>
    <n v="1627.5090964985309"/>
    <n v="1596.1145490718807"/>
    <n v="0.66021767781215657"/>
    <n v="102"/>
    <n v="59"/>
    <n v="0"/>
    <n v="43"/>
    <n v="1"/>
    <n v="0.82860493627564236"/>
    <n v="1"/>
    <n v="74.2"/>
    <n v="74.2"/>
    <n v="20.890661959264346"/>
    <n v="1648.3997584577953"/>
    <n v="1"/>
    <n v="0"/>
    <n v="0"/>
    <n v="0"/>
    <n v="0"/>
    <n v="0"/>
    <n v="0"/>
    <n v="0"/>
    <n v="0"/>
    <n v="0"/>
  </r>
  <r>
    <d v="2019-06-30T00:00:00"/>
    <n v="2019"/>
    <x v="11"/>
    <s v="R"/>
    <s v="RS"/>
    <x v="3"/>
    <s v="ATL"/>
    <s v="A"/>
    <n v="1"/>
    <n v="6"/>
    <n v="-5"/>
    <n v="5"/>
    <n v="-16"/>
    <n v="16"/>
    <n v="1390.3913174092929"/>
    <n v="1439.5502233591612"/>
    <n v="0.27873781823830712"/>
    <n v="74"/>
    <n v="58"/>
    <n v="0"/>
    <n v="16"/>
    <n v="1"/>
    <n v="0.49740928538119095"/>
    <n v="1"/>
    <n v="74.2"/>
    <n v="74.2"/>
    <n v="26.620177975070124"/>
    <n v="1417.0114953843631"/>
    <n v="1"/>
    <n v="0"/>
    <n v="0"/>
    <n v="0"/>
    <n v="0"/>
    <n v="0"/>
    <n v="0"/>
    <n v="0"/>
    <n v="0"/>
    <n v="0"/>
  </r>
  <r>
    <d v="2019-06-30T00:00:00"/>
    <n v="2019"/>
    <x v="9"/>
    <s v="R"/>
    <s v="RS"/>
    <x v="1"/>
    <s v="NYL"/>
    <s v="H"/>
    <n v="6"/>
    <n v="1"/>
    <n v="5"/>
    <n v="-5"/>
    <n v="16"/>
    <n v="-16"/>
    <n v="1439.5502233591612"/>
    <n v="1390.3913174092929"/>
    <n v="0.72126218176169277"/>
    <n v="58"/>
    <n v="74"/>
    <n v="0"/>
    <n v="-16"/>
    <n v="0"/>
    <n v="0.49740928538119095"/>
    <n v="1"/>
    <n v="74.5"/>
    <n v="74.5"/>
    <n v="-26.727806726990888"/>
    <n v="1412.8224166321704"/>
    <n v="0"/>
    <n v="1"/>
    <n v="0"/>
    <n v="0"/>
    <n v="0"/>
    <n v="0"/>
    <n v="0"/>
    <n v="0"/>
    <n v="0"/>
    <n v="0"/>
  </r>
  <r>
    <d v="2019-06-30T00:00:00"/>
    <n v="2019"/>
    <x v="11"/>
    <s v="R"/>
    <s v="RS"/>
    <x v="7"/>
    <s v="DAL"/>
    <s v="A"/>
    <n v="4"/>
    <n v="1"/>
    <n v="3"/>
    <n v="-3"/>
    <n v="16"/>
    <n v="-16"/>
    <n v="1515.3104547681512"/>
    <n v="1437.5056135503376"/>
    <n v="0.53706801639011503"/>
    <n v="86"/>
    <n v="89"/>
    <n v="0"/>
    <n v="-3"/>
    <n v="0"/>
    <n v="0.27251440445833486"/>
    <n v="1"/>
    <n v="74.2"/>
    <n v="74.2"/>
    <n v="-10.859820781500721"/>
    <n v="1504.4506339866505"/>
    <n v="0"/>
    <n v="1"/>
    <n v="0"/>
    <n v="0"/>
    <n v="0"/>
    <n v="0"/>
    <n v="0"/>
    <n v="0"/>
    <n v="0"/>
    <n v="0"/>
  </r>
  <r>
    <d v="2019-06-30T00:00:00"/>
    <n v="2019"/>
    <x v="10"/>
    <s v="R"/>
    <s v="RS"/>
    <x v="0"/>
    <s v="MIN"/>
    <s v="H"/>
    <n v="1"/>
    <n v="4"/>
    <n v="-3"/>
    <n v="3"/>
    <n v="-16"/>
    <n v="16"/>
    <n v="1437.5056135503376"/>
    <n v="1515.3104547681512"/>
    <n v="0.46293198360988497"/>
    <n v="89"/>
    <n v="86"/>
    <n v="0"/>
    <n v="3"/>
    <n v="1"/>
    <n v="0.27251440445833486"/>
    <n v="1"/>
    <n v="74.349999999999994"/>
    <n v="74.349999999999994"/>
    <n v="10.881774597096744"/>
    <n v="1448.3873881474342"/>
    <n v="1"/>
    <n v="0"/>
    <n v="0"/>
    <n v="0"/>
    <n v="0"/>
    <n v="0"/>
    <n v="0"/>
    <n v="0"/>
    <n v="0"/>
    <n v="0"/>
  </r>
  <r>
    <d v="2019-06-30T00:00:00"/>
    <n v="2019"/>
    <x v="11"/>
    <s v="R"/>
    <s v="RS"/>
    <x v="6"/>
    <s v="LAS"/>
    <s v="A"/>
    <n v="1"/>
    <n v="2"/>
    <n v="-1"/>
    <n v="1"/>
    <n v="-8"/>
    <n v="8"/>
    <n v="1483.7292027632261"/>
    <n v="1494.9763501322082"/>
    <n v="0.34515837158996171"/>
    <n v="69"/>
    <n v="94"/>
    <n v="0"/>
    <n v="-25"/>
    <n v="0"/>
    <n v="0.63538942960099332"/>
    <n v="1"/>
    <n v="74.2"/>
    <n v="74.2"/>
    <n v="-16.27280057881427"/>
    <n v="1467.4564021844119"/>
    <n v="0"/>
    <n v="1"/>
    <n v="0"/>
    <n v="0"/>
    <n v="0"/>
    <n v="0"/>
    <n v="0"/>
    <n v="0"/>
    <n v="0"/>
    <n v="0"/>
  </r>
  <r>
    <d v="2019-06-30T00:00:00"/>
    <n v="2019"/>
    <x v="11"/>
    <s v="R"/>
    <s v="RS"/>
    <x v="10"/>
    <s v="CHI"/>
    <s v="H"/>
    <n v="2"/>
    <n v="1"/>
    <n v="1"/>
    <n v="-1"/>
    <n v="8"/>
    <n v="-8"/>
    <n v="1494.9763501322082"/>
    <n v="1483.7292027632261"/>
    <n v="0.65484162841003823"/>
    <n v="94"/>
    <n v="69"/>
    <n v="0"/>
    <n v="25"/>
    <n v="1"/>
    <n v="0.63538942960099332"/>
    <n v="1"/>
    <n v="74.2"/>
    <n v="74.2"/>
    <n v="16.27280057881427"/>
    <n v="1511.2491507110224"/>
    <n v="1"/>
    <n v="0"/>
    <n v="0"/>
    <n v="0"/>
    <n v="0"/>
    <n v="0"/>
    <n v="0"/>
    <n v="0"/>
    <n v="0"/>
    <n v="0"/>
  </r>
  <r>
    <d v="2019-06-30T00:00:00"/>
    <n v="2019"/>
    <x v="9"/>
    <s v="R"/>
    <s v="RS"/>
    <x v="8"/>
    <s v="SEA"/>
    <s v="A"/>
    <n v="1"/>
    <n v="1"/>
    <n v="0"/>
    <n v="0"/>
    <n v="0"/>
    <n v="0"/>
    <n v="1509.9741231860655"/>
    <n v="1606.644204838308"/>
    <n v="0.26114602071310489"/>
    <n v="69"/>
    <n v="67"/>
    <n v="0"/>
    <n v="2"/>
    <n v="1"/>
    <n v="0.24787306310180104"/>
    <n v="1"/>
    <n v="74.5"/>
    <n v="74.5"/>
    <n v="13.644078927794403"/>
    <n v="1523.61820211386"/>
    <n v="1"/>
    <n v="0"/>
    <n v="0"/>
    <n v="0"/>
    <n v="0"/>
    <n v="0"/>
    <n v="0"/>
    <n v="0"/>
    <n v="0"/>
    <n v="0"/>
  </r>
  <r>
    <d v="2019-06-30T00:00:00"/>
    <n v="2019"/>
    <x v="13"/>
    <s v="R"/>
    <s v="RS"/>
    <x v="9"/>
    <s v="PHX"/>
    <s v="H"/>
    <n v="1"/>
    <n v="1"/>
    <n v="0"/>
    <n v="0"/>
    <n v="0"/>
    <n v="0"/>
    <n v="1606.644204838308"/>
    <n v="1509.9741231860655"/>
    <n v="0.73885397928689511"/>
    <n v="67"/>
    <n v="69"/>
    <n v="0"/>
    <n v="-2"/>
    <n v="0"/>
    <n v="0.24787306310180104"/>
    <n v="1"/>
    <n v="73.900000000000006"/>
    <n v="73.900000000000006"/>
    <n v="-13.534193728375925"/>
    <n v="1593.1100111099322"/>
    <n v="0"/>
    <n v="1"/>
    <n v="0"/>
    <n v="0"/>
    <n v="0"/>
    <n v="0"/>
    <n v="0"/>
    <n v="0"/>
    <n v="0"/>
    <n v="0"/>
  </r>
  <r>
    <d v="2019-07-02T00:00:00"/>
    <n v="2019"/>
    <x v="12"/>
    <s v="R"/>
    <s v="RS"/>
    <x v="6"/>
    <s v="LVA"/>
    <s v="A"/>
    <n v="1"/>
    <n v="2"/>
    <n v="-1"/>
    <n v="1"/>
    <n v="-8"/>
    <n v="8"/>
    <n v="1467.4564021844119"/>
    <n v="1496.902644569119"/>
    <n v="0.3218784694706503"/>
    <n v="82"/>
    <n v="90"/>
    <n v="0"/>
    <n v="-8"/>
    <n v="0"/>
    <n v="0.3790150605526002"/>
    <n v="1"/>
    <n v="74.05"/>
    <n v="74.05"/>
    <n v="-9.0338621215576129"/>
    <n v="1458.4225400628543"/>
    <n v="0"/>
    <n v="1"/>
    <n v="0"/>
    <n v="0"/>
    <n v="0"/>
    <n v="0"/>
    <n v="0"/>
    <n v="0"/>
    <n v="0"/>
    <n v="0"/>
  </r>
  <r>
    <d v="2019-07-02T00:00:00"/>
    <n v="2019"/>
    <x v="12"/>
    <s v="R"/>
    <s v="RS"/>
    <x v="11"/>
    <s v="CHI"/>
    <s v="H"/>
    <n v="2"/>
    <n v="1"/>
    <n v="1"/>
    <n v="-1"/>
    <n v="8"/>
    <n v="-8"/>
    <n v="1496.902644569119"/>
    <n v="1467.4564021844119"/>
    <n v="0.67812153052934965"/>
    <n v="90"/>
    <n v="82"/>
    <n v="0"/>
    <n v="8"/>
    <n v="1"/>
    <n v="0.3790150605526002"/>
    <n v="1"/>
    <n v="74.05"/>
    <n v="74.05"/>
    <n v="9.0338621215576129"/>
    <n v="1505.9365066906767"/>
    <n v="1"/>
    <n v="0"/>
    <n v="0"/>
    <n v="0"/>
    <n v="0"/>
    <n v="0"/>
    <n v="0"/>
    <n v="0"/>
    <n v="0"/>
    <n v="0"/>
  </r>
  <r>
    <d v="2019-07-02T00:00:00"/>
    <n v="2019"/>
    <x v="10"/>
    <s v="R"/>
    <s v="RS"/>
    <x v="1"/>
    <s v="MIN"/>
    <s v="A"/>
    <n v="1"/>
    <n v="1"/>
    <n v="0"/>
    <n v="0"/>
    <n v="0"/>
    <n v="0"/>
    <n v="1412.8224166321704"/>
    <n v="1504.4506339866505"/>
    <n v="0.26678472526001074"/>
    <n v="68"/>
    <n v="85"/>
    <n v="0"/>
    <n v="-17"/>
    <n v="0"/>
    <n v="0.49467058269062725"/>
    <n v="1"/>
    <n v="74.349999999999994"/>
    <n v="74.349999999999994"/>
    <n v="-9.812010801226366"/>
    <n v="1403.0104058309441"/>
    <n v="0"/>
    <n v="1"/>
    <n v="0"/>
    <n v="0"/>
    <n v="0"/>
    <n v="0"/>
    <n v="0"/>
    <n v="0"/>
    <n v="0"/>
    <n v="0"/>
  </r>
  <r>
    <d v="2019-07-02T00:00:00"/>
    <n v="2019"/>
    <x v="12"/>
    <s v="R"/>
    <s v="RS"/>
    <x v="7"/>
    <s v="ATL"/>
    <s v="H"/>
    <n v="1"/>
    <n v="1"/>
    <n v="0"/>
    <n v="0"/>
    <n v="0"/>
    <n v="0"/>
    <n v="1504.4506339866505"/>
    <n v="1412.8224166321704"/>
    <n v="0.73321527473998938"/>
    <n v="85"/>
    <n v="68"/>
    <n v="0"/>
    <n v="17"/>
    <n v="1"/>
    <n v="0.49467058269062725"/>
    <n v="1"/>
    <n v="74.05"/>
    <n v="74.05"/>
    <n v="9.7724196345771652"/>
    <n v="1514.2230536212276"/>
    <n v="1"/>
    <n v="0"/>
    <n v="0"/>
    <n v="0"/>
    <n v="0"/>
    <n v="0"/>
    <n v="0"/>
    <n v="0"/>
    <n v="0"/>
    <n v="0"/>
  </r>
  <r>
    <d v="2019-07-03T00:00:00"/>
    <n v="2019"/>
    <x v="12"/>
    <s v="R"/>
    <s v="RS"/>
    <x v="3"/>
    <s v="SEA"/>
    <s v="A"/>
    <n v="2"/>
    <n v="2"/>
    <n v="0"/>
    <n v="0"/>
    <n v="0"/>
    <n v="0"/>
    <n v="1417.0114953843631"/>
    <n v="1593.1100111099322"/>
    <n v="0.18283642138600087"/>
    <n v="84"/>
    <n v="83"/>
    <n v="0"/>
    <n v="1"/>
    <n v="1"/>
    <n v="0.21293214243738584"/>
    <n v="1"/>
    <n v="74.05"/>
    <n v="74.05"/>
    <n v="12.884728991765723"/>
    <n v="1429.8962243761289"/>
    <n v="1"/>
    <n v="0"/>
    <n v="0"/>
    <n v="0"/>
    <n v="0"/>
    <n v="0"/>
    <n v="0"/>
    <n v="0"/>
    <n v="0"/>
    <n v="0"/>
  </r>
  <r>
    <d v="2019-07-03T00:00:00"/>
    <n v="2019"/>
    <x v="14"/>
    <s v="R"/>
    <s v="RS"/>
    <x v="9"/>
    <s v="NYL"/>
    <s v="H"/>
    <n v="2"/>
    <n v="2"/>
    <n v="0"/>
    <n v="0"/>
    <n v="0"/>
    <n v="0"/>
    <n v="1593.1100111099322"/>
    <n v="1417.0114953843631"/>
    <n v="0.81716357861399913"/>
    <n v="83"/>
    <n v="84"/>
    <n v="0"/>
    <n v="-1"/>
    <n v="0"/>
    <n v="0.21293214243738584"/>
    <n v="1"/>
    <n v="73.75"/>
    <n v="73.75"/>
    <n v="-12.832528874310901"/>
    <n v="1580.2774822356214"/>
    <n v="0"/>
    <n v="1"/>
    <n v="0"/>
    <n v="0"/>
    <n v="0"/>
    <n v="0"/>
    <n v="0"/>
    <n v="0"/>
    <n v="0"/>
    <n v="0"/>
  </r>
  <r>
    <d v="2019-07-05T00:00:00"/>
    <n v="2019"/>
    <x v="14"/>
    <s v="R"/>
    <s v="RS"/>
    <x v="2"/>
    <s v="DAL"/>
    <s v="A"/>
    <n v="5"/>
    <n v="4"/>
    <n v="1"/>
    <n v="-1"/>
    <n v="8"/>
    <n v="-8"/>
    <n v="1401.6008104572563"/>
    <n v="1448.3873881474342"/>
    <n v="0.34056786295990132"/>
    <n v="76"/>
    <n v="56"/>
    <n v="0"/>
    <n v="20"/>
    <n v="1"/>
    <n v="0.55331429057302239"/>
    <n v="1"/>
    <n v="73.75"/>
    <n v="73.75"/>
    <n v="26.909400350195327"/>
    <n v="1428.5102108074516"/>
    <n v="1"/>
    <n v="0"/>
    <n v="0"/>
    <n v="0"/>
    <n v="0"/>
    <n v="0"/>
    <n v="0"/>
    <n v="0"/>
    <n v="0"/>
    <n v="0"/>
  </r>
  <r>
    <d v="2019-07-05T00:00:00"/>
    <n v="2019"/>
    <x v="11"/>
    <s v="R"/>
    <s v="RS"/>
    <x v="0"/>
    <s v="IND"/>
    <s v="H"/>
    <n v="4"/>
    <n v="5"/>
    <n v="-1"/>
    <n v="1"/>
    <n v="-8"/>
    <n v="8"/>
    <n v="1448.3873881474342"/>
    <n v="1401.6008104572563"/>
    <n v="0.65943213704009862"/>
    <n v="56"/>
    <n v="76"/>
    <n v="0"/>
    <n v="-20"/>
    <n v="0"/>
    <n v="0.55331429057302239"/>
    <n v="1"/>
    <n v="74.2"/>
    <n v="74.2"/>
    <n v="-27.073593301484657"/>
    <n v="1421.3137948459496"/>
    <n v="0"/>
    <n v="1"/>
    <n v="0"/>
    <n v="0"/>
    <n v="0"/>
    <n v="0"/>
    <n v="0"/>
    <n v="0"/>
    <n v="0"/>
    <n v="0"/>
  </r>
  <r>
    <d v="2019-07-05T00:00:00"/>
    <n v="2019"/>
    <x v="13"/>
    <s v="R"/>
    <s v="RS"/>
    <x v="3"/>
    <s v="PHX"/>
    <s v="A"/>
    <n v="1"/>
    <n v="4"/>
    <n v="-3"/>
    <n v="3"/>
    <n v="-16"/>
    <n v="16"/>
    <n v="1429.8962243761289"/>
    <n v="1523.61820211386"/>
    <n v="0.23018679748052756"/>
    <n v="80"/>
    <n v="76"/>
    <n v="0"/>
    <n v="4"/>
    <n v="1"/>
    <n v="0.28887140229167318"/>
    <n v="1"/>
    <n v="73.900000000000006"/>
    <n v="73.900000000000006"/>
    <n v="16.433661727337398"/>
    <n v="1446.3298861034664"/>
    <n v="1"/>
    <n v="0"/>
    <n v="0"/>
    <n v="0"/>
    <n v="0"/>
    <n v="0"/>
    <n v="0"/>
    <n v="0"/>
    <n v="0"/>
    <n v="0"/>
  </r>
  <r>
    <d v="2019-07-05T00:00:00"/>
    <n v="2019"/>
    <x v="10"/>
    <s v="R"/>
    <s v="RS"/>
    <x v="8"/>
    <s v="NYL"/>
    <s v="H"/>
    <n v="4"/>
    <n v="1"/>
    <n v="3"/>
    <n v="-3"/>
    <n v="16"/>
    <n v="-16"/>
    <n v="1523.61820211386"/>
    <n v="1429.8962243761289"/>
    <n v="0.76981320251947249"/>
    <n v="76"/>
    <n v="80"/>
    <n v="0"/>
    <n v="-4"/>
    <n v="0"/>
    <n v="0.28887140229167318"/>
    <n v="1"/>
    <n v="74.349999999999994"/>
    <n v="74.349999999999994"/>
    <n v="-16.533731386028897"/>
    <n v="1507.0844707278311"/>
    <n v="0"/>
    <n v="1"/>
    <n v="0"/>
    <n v="0"/>
    <n v="0"/>
    <n v="0"/>
    <n v="0"/>
    <n v="0"/>
    <n v="0"/>
    <n v="0"/>
  </r>
  <r>
    <d v="2019-07-05T00:00:00"/>
    <n v="2019"/>
    <x v="11"/>
    <s v="R"/>
    <s v="RS"/>
    <x v="1"/>
    <s v="SEA"/>
    <s v="A"/>
    <n v="2"/>
    <n v="1"/>
    <n v="1"/>
    <n v="-1"/>
    <n v="8"/>
    <n v="-8"/>
    <n v="1403.0104058309441"/>
    <n v="1580.2774822356214"/>
    <n v="0.19593915216172675"/>
    <n v="77"/>
    <n v="66"/>
    <n v="0"/>
    <n v="11"/>
    <n v="1"/>
    <n v="0.38322499197975113"/>
    <n v="1"/>
    <n v="74.2"/>
    <n v="74.2"/>
    <n v="22.863706927732817"/>
    <n v="1425.874112758677"/>
    <n v="1"/>
    <n v="0"/>
    <n v="0"/>
    <n v="0"/>
    <n v="0"/>
    <n v="0"/>
    <n v="0"/>
    <n v="0"/>
    <n v="0"/>
    <n v="0"/>
  </r>
  <r>
    <d v="2019-07-05T00:00:00"/>
    <n v="2019"/>
    <x v="15"/>
    <s v="R"/>
    <s v="RS"/>
    <x v="9"/>
    <s v="ATL"/>
    <s v="H"/>
    <n v="1"/>
    <n v="2"/>
    <n v="-1"/>
    <n v="1"/>
    <n v="-8"/>
    <n v="8"/>
    <n v="1580.2774822356214"/>
    <n v="1403.0104058309441"/>
    <n v="0.80406084783827325"/>
    <n v="66"/>
    <n v="77"/>
    <n v="0"/>
    <n v="-11"/>
    <n v="0"/>
    <n v="0.38322499197975113"/>
    <n v="1"/>
    <n v="73.599999999999994"/>
    <n v="73.599999999999994"/>
    <n v="-22.678825200554382"/>
    <n v="1557.5986570350669"/>
    <n v="0"/>
    <n v="1"/>
    <n v="0"/>
    <n v="0"/>
    <n v="0"/>
    <n v="0"/>
    <n v="0"/>
    <n v="0"/>
    <n v="0"/>
    <n v="0"/>
  </r>
  <r>
    <d v="2019-07-06T00:00:00"/>
    <n v="2019"/>
    <x v="13"/>
    <s v="R"/>
    <s v="RS"/>
    <x v="7"/>
    <s v="CON"/>
    <s v="A"/>
    <n v="3"/>
    <n v="6"/>
    <n v="-3"/>
    <n v="3"/>
    <n v="-16"/>
    <n v="16"/>
    <n v="1514.2230536212276"/>
    <n v="1575.26611890903"/>
    <n v="0.26519459975930909"/>
    <n v="74"/>
    <n v="71"/>
    <n v="0"/>
    <n v="3"/>
    <n v="1"/>
    <n v="0.27613666408686594"/>
    <n v="1"/>
    <n v="73.900000000000006"/>
    <n v="73.900000000000006"/>
    <n v="14.994806014987882"/>
    <n v="1529.2178596362155"/>
    <n v="1"/>
    <n v="0"/>
    <n v="0"/>
    <n v="0"/>
    <n v="0"/>
    <n v="0"/>
    <n v="0"/>
    <n v="0"/>
    <n v="0"/>
    <n v="0"/>
  </r>
  <r>
    <d v="2019-07-06T00:00:00"/>
    <n v="2019"/>
    <x v="13"/>
    <s v="R"/>
    <s v="RS"/>
    <x v="5"/>
    <s v="MIN"/>
    <s v="H"/>
    <n v="6"/>
    <n v="3"/>
    <n v="3"/>
    <n v="-3"/>
    <n v="16"/>
    <n v="-16"/>
    <n v="1575.26611890903"/>
    <n v="1514.2230536212276"/>
    <n v="0.73480540024069096"/>
    <n v="71"/>
    <n v="74"/>
    <n v="0"/>
    <n v="-3"/>
    <n v="0"/>
    <n v="0.27613666408686594"/>
    <n v="1"/>
    <n v="73.900000000000006"/>
    <n v="73.900000000000006"/>
    <n v="-14.994806014987882"/>
    <n v="1560.271312894042"/>
    <n v="0"/>
    <n v="1"/>
    <n v="0"/>
    <n v="0"/>
    <n v="0"/>
    <n v="0"/>
    <n v="0"/>
    <n v="0"/>
    <n v="0"/>
    <n v="0"/>
  </r>
  <r>
    <d v="2019-07-07T00:00:00"/>
    <n v="2019"/>
    <x v="12"/>
    <s v="R"/>
    <s v="RS"/>
    <x v="0"/>
    <s v="CHI"/>
    <s v="A"/>
    <n v="1"/>
    <n v="4"/>
    <n v="-3"/>
    <n v="3"/>
    <n v="-16"/>
    <n v="16"/>
    <n v="1421.3137948459496"/>
    <n v="1458.4225400628543"/>
    <n v="0.29289504159687396"/>
    <n v="66"/>
    <n v="78"/>
    <n v="0"/>
    <n v="-12"/>
    <n v="0"/>
    <n v="0.44244722528081393"/>
    <n v="1"/>
    <n v="74.05"/>
    <n v="74.05"/>
    <n v="-9.5961838154480148"/>
    <n v="1411.7176110305015"/>
    <n v="0"/>
    <n v="1"/>
    <n v="0"/>
    <n v="0"/>
    <n v="0"/>
    <n v="0"/>
    <n v="0"/>
    <n v="0"/>
    <n v="0"/>
    <n v="0"/>
  </r>
  <r>
    <d v="2019-07-07T00:00:00"/>
    <n v="2019"/>
    <x v="13"/>
    <s v="R"/>
    <s v="RS"/>
    <x v="6"/>
    <s v="DAL"/>
    <s v="H"/>
    <n v="4"/>
    <n v="1"/>
    <n v="3"/>
    <n v="-3"/>
    <n v="16"/>
    <n v="-16"/>
    <n v="1458.4225400628543"/>
    <n v="1421.3137948459496"/>
    <n v="0.70710495840312604"/>
    <n v="78"/>
    <n v="66"/>
    <n v="0"/>
    <n v="12"/>
    <n v="1"/>
    <n v="0.44244722528081393"/>
    <n v="1"/>
    <n v="73.900000000000006"/>
    <n v="73.900000000000006"/>
    <n v="9.5767452256800603"/>
    <n v="1467.9992852885343"/>
    <n v="1"/>
    <n v="0"/>
    <n v="0"/>
    <n v="0"/>
    <n v="0"/>
    <n v="0"/>
    <n v="0"/>
    <n v="0"/>
    <n v="0"/>
    <n v="0"/>
  </r>
  <r>
    <d v="2019-07-07T00:00:00"/>
    <n v="2019"/>
    <x v="12"/>
    <s v="R"/>
    <s v="RS"/>
    <x v="4"/>
    <s v="LAS"/>
    <s v="A"/>
    <n v="7"/>
    <n v="6"/>
    <n v="1"/>
    <n v="-1"/>
    <n v="8"/>
    <n v="-8"/>
    <n v="1648.3997584577953"/>
    <n v="1511.2491507110224"/>
    <n v="0.59822216131944705"/>
    <n v="81"/>
    <n v="98"/>
    <n v="0"/>
    <n v="-17"/>
    <n v="0"/>
    <n v="0.47782985641015857"/>
    <n v="1"/>
    <n v="74.05"/>
    <n v="74.05"/>
    <n v="-21.167074719376043"/>
    <n v="1627.2326837384194"/>
    <n v="0"/>
    <n v="1"/>
    <n v="0"/>
    <n v="0"/>
    <n v="0"/>
    <n v="0"/>
    <n v="0"/>
    <n v="0"/>
    <n v="0"/>
    <n v="0"/>
  </r>
  <r>
    <d v="2019-07-07T00:00:00"/>
    <n v="2019"/>
    <x v="12"/>
    <s v="R"/>
    <s v="RS"/>
    <x v="10"/>
    <s v="WAS"/>
    <s v="H"/>
    <n v="6"/>
    <n v="7"/>
    <n v="-1"/>
    <n v="1"/>
    <n v="-8"/>
    <n v="8"/>
    <n v="1511.2491507110224"/>
    <n v="1648.3997584577953"/>
    <n v="0.40177783868055289"/>
    <n v="98"/>
    <n v="81"/>
    <n v="0"/>
    <n v="17"/>
    <n v="1"/>
    <n v="0.47782985641015857"/>
    <n v="1"/>
    <n v="74.05"/>
    <n v="74.05"/>
    <n v="21.167074719376046"/>
    <n v="1532.4162254303983"/>
    <n v="1"/>
    <n v="0"/>
    <n v="0"/>
    <n v="0"/>
    <n v="0"/>
    <n v="0"/>
    <n v="0"/>
    <n v="0"/>
    <n v="0"/>
    <n v="0"/>
  </r>
  <r>
    <d v="2019-07-07T00:00:00"/>
    <n v="2019"/>
    <x v="13"/>
    <s v="R"/>
    <s v="RS"/>
    <x v="11"/>
    <s v="NYL"/>
    <s v="A"/>
    <n v="4"/>
    <n v="1"/>
    <n v="3"/>
    <n v="-3"/>
    <n v="16"/>
    <n v="-16"/>
    <n v="1505.9365066906767"/>
    <n v="1446.3298861034664"/>
    <n v="0.51094505827234726"/>
    <n v="90"/>
    <n v="58"/>
    <n v="0"/>
    <n v="32"/>
    <n v="1"/>
    <n v="0.69292479144061703"/>
    <n v="1"/>
    <n v="73.900000000000006"/>
    <n v="73.900000000000006"/>
    <n v="25.04310588962317"/>
    <n v="1530.9796125802998"/>
    <n v="1"/>
    <n v="0"/>
    <n v="0"/>
    <n v="0"/>
    <n v="0"/>
    <n v="0"/>
    <n v="0"/>
    <n v="0"/>
    <n v="0"/>
    <n v="0"/>
  </r>
  <r>
    <d v="2019-07-07T00:00:00"/>
    <n v="2019"/>
    <x v="14"/>
    <s v="R"/>
    <s v="RS"/>
    <x v="3"/>
    <s v="LVA"/>
    <s v="H"/>
    <n v="1"/>
    <n v="4"/>
    <n v="-3"/>
    <n v="3"/>
    <n v="-16"/>
    <n v="16"/>
    <n v="1446.3298861034664"/>
    <n v="1505.9365066906767"/>
    <n v="0.48905494172765274"/>
    <n v="58"/>
    <n v="90"/>
    <n v="0"/>
    <n v="-32"/>
    <n v="0"/>
    <n v="0.69292479144061703"/>
    <n v="1"/>
    <n v="73.75"/>
    <n v="73.75"/>
    <n v="-24.99227414559822"/>
    <n v="1421.3376119578681"/>
    <n v="0"/>
    <n v="1"/>
    <n v="0"/>
    <n v="0"/>
    <n v="0"/>
    <n v="0"/>
    <n v="0"/>
    <n v="0"/>
    <n v="0"/>
    <n v="0"/>
  </r>
  <r>
    <d v="2019-07-07T00:00:00"/>
    <n v="2019"/>
    <x v="12"/>
    <s v="R"/>
    <s v="RS"/>
    <x v="1"/>
    <s v="PHX"/>
    <s v="A"/>
    <n v="1"/>
    <n v="1"/>
    <n v="0"/>
    <n v="0"/>
    <n v="0"/>
    <n v="0"/>
    <n v="1425.874112758677"/>
    <n v="1507.0844707278311"/>
    <n v="0.27867827688306823"/>
    <n v="63"/>
    <n v="65"/>
    <n v="0"/>
    <n v="-2"/>
    <n v="0"/>
    <n v="0.25086402320464379"/>
    <n v="1"/>
    <n v="74.05"/>
    <n v="74.05"/>
    <n v="-5.1768616928641205"/>
    <n v="1420.6972510658129"/>
    <n v="0"/>
    <n v="1"/>
    <n v="0"/>
    <n v="0"/>
    <n v="0"/>
    <n v="0"/>
    <n v="0"/>
    <n v="0"/>
    <n v="0"/>
    <n v="0"/>
  </r>
  <r>
    <d v="2019-07-07T00:00:00"/>
    <n v="2019"/>
    <x v="11"/>
    <s v="R"/>
    <s v="RS"/>
    <x v="8"/>
    <s v="ATL"/>
    <s v="H"/>
    <n v="1"/>
    <n v="1"/>
    <n v="0"/>
    <n v="0"/>
    <n v="0"/>
    <n v="0"/>
    <n v="1507.0844707278311"/>
    <n v="1425.874112758677"/>
    <n v="0.72132172311693177"/>
    <n v="65"/>
    <n v="63"/>
    <n v="0"/>
    <n v="2"/>
    <n v="1"/>
    <n v="0.25086402320464379"/>
    <n v="1"/>
    <n v="74.2"/>
    <n v="74.2"/>
    <n v="5.187348245921914"/>
    <n v="1512.2718189737529"/>
    <n v="1"/>
    <n v="0"/>
    <n v="0"/>
    <n v="0"/>
    <n v="0"/>
    <n v="0"/>
    <n v="0"/>
    <n v="0"/>
    <n v="0"/>
    <n v="0"/>
  </r>
  <r>
    <d v="2019-07-09T00:00:00"/>
    <n v="2019"/>
    <x v="13"/>
    <s v="R"/>
    <s v="RS"/>
    <x v="10"/>
    <s v="DAL"/>
    <s v="A"/>
    <n v="1"/>
    <n v="1"/>
    <n v="0"/>
    <n v="0"/>
    <n v="0"/>
    <n v="0"/>
    <n v="1532.4162254303983"/>
    <n v="1411.7176110305015"/>
    <n v="0.55261800906612912"/>
    <n v="62"/>
    <n v="74"/>
    <n v="0"/>
    <n v="-12"/>
    <n v="0"/>
    <n v="0.41444378431528672"/>
    <n v="1"/>
    <n v="73.900000000000006"/>
    <n v="73.900000000000006"/>
    <n v="-16.925250413006989"/>
    <n v="1515.4909750173913"/>
    <n v="0"/>
    <n v="1"/>
    <n v="0"/>
    <n v="0"/>
    <n v="0"/>
    <n v="0"/>
    <n v="0"/>
    <n v="0"/>
    <n v="0"/>
    <n v="0"/>
  </r>
  <r>
    <d v="2019-07-09T00:00:00"/>
    <n v="2019"/>
    <x v="13"/>
    <s v="R"/>
    <s v="RS"/>
    <x v="0"/>
    <s v="LAS"/>
    <s v="H"/>
    <n v="1"/>
    <n v="1"/>
    <n v="0"/>
    <n v="0"/>
    <n v="0"/>
    <n v="0"/>
    <n v="1411.7176110305015"/>
    <n v="1532.4162254303983"/>
    <n v="0.44738199093387088"/>
    <n v="74"/>
    <n v="62"/>
    <n v="0"/>
    <n v="12"/>
    <n v="1"/>
    <n v="0.41444378431528672"/>
    <n v="1"/>
    <n v="73.900000000000006"/>
    <n v="73.900000000000006"/>
    <n v="16.925250413006989"/>
    <n v="1428.6428614435085"/>
    <n v="1"/>
    <n v="0"/>
    <n v="0"/>
    <n v="0"/>
    <n v="0"/>
    <n v="0"/>
    <n v="0"/>
    <n v="0"/>
    <n v="0"/>
    <n v="0"/>
  </r>
  <r>
    <d v="2019-07-10T00:00:00"/>
    <n v="2019"/>
    <x v="14"/>
    <s v="R"/>
    <s v="RS"/>
    <x v="5"/>
    <s v="ATL"/>
    <s v="A"/>
    <n v="3"/>
    <n v="2"/>
    <n v="1"/>
    <n v="-1"/>
    <n v="8"/>
    <n v="-8"/>
    <n v="1560.271312894042"/>
    <n v="1420.6972510658129"/>
    <n v="0.60157056067624537"/>
    <n v="75"/>
    <n v="78"/>
    <n v="0"/>
    <n v="-3"/>
    <n v="0"/>
    <n v="0.25994846812964134"/>
    <n v="1"/>
    <n v="73.75"/>
    <n v="73.75"/>
    <n v="-11.53282924682636"/>
    <n v="1548.7384836472156"/>
    <n v="0"/>
    <n v="1"/>
    <n v="0"/>
    <n v="0"/>
    <n v="0"/>
    <n v="0"/>
    <n v="0"/>
    <n v="0"/>
    <n v="0"/>
    <n v="0"/>
  </r>
  <r>
    <d v="2019-07-10T00:00:00"/>
    <n v="2019"/>
    <x v="13"/>
    <s v="R"/>
    <s v="RS"/>
    <x v="1"/>
    <s v="CON"/>
    <s v="H"/>
    <n v="2"/>
    <n v="3"/>
    <n v="-1"/>
    <n v="1"/>
    <n v="-8"/>
    <n v="8"/>
    <n v="1420.6972510658129"/>
    <n v="1560.271312894042"/>
    <n v="0.39842943932375458"/>
    <n v="78"/>
    <n v="75"/>
    <n v="0"/>
    <n v="3"/>
    <n v="1"/>
    <n v="0.25994846812964134"/>
    <n v="1"/>
    <n v="73.900000000000006"/>
    <n v="73.900000000000006"/>
    <n v="11.556285848684311"/>
    <n v="1432.2535369144973"/>
    <n v="1"/>
    <n v="0"/>
    <n v="0"/>
    <n v="0"/>
    <n v="0"/>
    <n v="0"/>
    <n v="0"/>
    <n v="0"/>
    <n v="0"/>
    <n v="0"/>
  </r>
  <r>
    <d v="2019-07-10T00:00:00"/>
    <n v="2019"/>
    <x v="14"/>
    <s v="R"/>
    <s v="RS"/>
    <x v="7"/>
    <s v="CHI"/>
    <s v="A"/>
    <n v="3"/>
    <n v="2"/>
    <n v="1"/>
    <n v="-1"/>
    <n v="8"/>
    <n v="-8"/>
    <n v="1529.2178596362155"/>
    <n v="1467.9992852885343"/>
    <n v="0.49024198313643536"/>
    <n v="73"/>
    <n v="72"/>
    <n v="0"/>
    <n v="1"/>
    <n v="1"/>
    <n v="0.23232737855125837"/>
    <n v="1"/>
    <n v="73.75"/>
    <n v="73.75"/>
    <n v="8.7342673518132603"/>
    <n v="1537.9521269880288"/>
    <n v="1"/>
    <n v="0"/>
    <n v="0"/>
    <n v="0"/>
    <n v="0"/>
    <n v="0"/>
    <n v="0"/>
    <n v="0"/>
    <n v="0"/>
    <n v="0"/>
  </r>
  <r>
    <d v="2019-07-10T00:00:00"/>
    <n v="2019"/>
    <x v="14"/>
    <s v="R"/>
    <s v="RS"/>
    <x v="6"/>
    <s v="MIN"/>
    <s v="H"/>
    <n v="2"/>
    <n v="3"/>
    <n v="-1"/>
    <n v="1"/>
    <n v="-8"/>
    <n v="8"/>
    <n v="1467.9992852885343"/>
    <n v="1529.2178596362155"/>
    <n v="0.5097580168635647"/>
    <n v="72"/>
    <n v="73"/>
    <n v="0"/>
    <n v="-1"/>
    <n v="0"/>
    <n v="0.23232737855125837"/>
    <n v="1"/>
    <n v="73.75"/>
    <n v="73.75"/>
    <n v="-8.7342673518132603"/>
    <n v="1459.2650179367211"/>
    <n v="0"/>
    <n v="1"/>
    <n v="0"/>
    <n v="0"/>
    <n v="0"/>
    <n v="0"/>
    <n v="0"/>
    <n v="0"/>
    <n v="0"/>
    <n v="0"/>
  </r>
  <r>
    <d v="2019-07-10T00:00:00"/>
    <n v="2019"/>
    <x v="14"/>
    <s v="R"/>
    <s v="RS"/>
    <x v="11"/>
    <s v="IND"/>
    <s v="A"/>
    <n v="2"/>
    <n v="4"/>
    <n v="-2"/>
    <n v="2"/>
    <n v="-16"/>
    <n v="16"/>
    <n v="1530.9796125802998"/>
    <n v="1428.5102108074516"/>
    <n v="0.48053774203981148"/>
    <n v="74"/>
    <n v="71"/>
    <n v="0"/>
    <n v="3"/>
    <n v="1"/>
    <n v="0.26735386247421383"/>
    <n v="1"/>
    <n v="73.75"/>
    <n v="73.75"/>
    <n v="10.242417779298421"/>
    <n v="1541.2220303595982"/>
    <n v="1"/>
    <n v="0"/>
    <n v="0"/>
    <n v="0"/>
    <n v="0"/>
    <n v="0"/>
    <n v="0"/>
    <n v="0"/>
    <n v="0"/>
    <n v="0"/>
  </r>
  <r>
    <d v="2019-07-10T00:00:00"/>
    <n v="2019"/>
    <x v="15"/>
    <s v="R"/>
    <s v="RS"/>
    <x v="2"/>
    <s v="LVA"/>
    <s v="H"/>
    <n v="4"/>
    <n v="2"/>
    <n v="2"/>
    <n v="-2"/>
    <n v="16"/>
    <n v="-16"/>
    <n v="1428.5102108074516"/>
    <n v="1530.9796125802998"/>
    <n v="0.51946225796018852"/>
    <n v="71"/>
    <n v="74"/>
    <n v="0"/>
    <n v="-3"/>
    <n v="0"/>
    <n v="0.26735386247421383"/>
    <n v="1"/>
    <n v="73.599999999999994"/>
    <n v="73.599999999999994"/>
    <n v="-10.221585743137135"/>
    <n v="1418.2886250643144"/>
    <n v="0"/>
    <n v="1"/>
    <n v="0"/>
    <n v="0"/>
    <n v="0"/>
    <n v="0"/>
    <n v="0"/>
    <n v="0"/>
    <n v="0"/>
    <n v="0"/>
  </r>
  <r>
    <d v="2019-07-10T00:00:00"/>
    <n v="2019"/>
    <x v="12"/>
    <s v="R"/>
    <s v="RS"/>
    <x v="8"/>
    <s v="WAS"/>
    <s v="A"/>
    <n v="2"/>
    <n v="2"/>
    <n v="0"/>
    <n v="0"/>
    <n v="0"/>
    <n v="0"/>
    <n v="1512.2718189737529"/>
    <n v="1627.2326837384194"/>
    <n v="0.24134662596025325"/>
    <n v="91"/>
    <n v="68"/>
    <n v="0"/>
    <n v="23"/>
    <n v="1"/>
    <n v="0.56154167234967234"/>
    <n v="1"/>
    <n v="74.05"/>
    <n v="74.05"/>
    <n v="31.546446619227662"/>
    <n v="1543.8182655929807"/>
    <n v="1"/>
    <n v="0"/>
    <n v="0"/>
    <n v="0"/>
    <n v="0"/>
    <n v="0"/>
    <n v="0"/>
    <n v="0"/>
    <n v="0"/>
    <n v="0"/>
  </r>
  <r>
    <d v="2019-07-10T00:00:00"/>
    <n v="2019"/>
    <x v="13"/>
    <s v="R"/>
    <s v="RS"/>
    <x v="4"/>
    <s v="PHX"/>
    <s v="H"/>
    <n v="2"/>
    <n v="2"/>
    <n v="0"/>
    <n v="0"/>
    <n v="0"/>
    <n v="0"/>
    <n v="1627.2326837384194"/>
    <n v="1512.2718189737529"/>
    <n v="0.75865337403974675"/>
    <n v="68"/>
    <n v="91"/>
    <n v="0"/>
    <n v="-23"/>
    <n v="0"/>
    <n v="0.56154167234967234"/>
    <n v="1"/>
    <n v="73.900000000000006"/>
    <n v="73.900000000000006"/>
    <n v="-31.482544296568864"/>
    <n v="1595.7501394418505"/>
    <n v="0"/>
    <n v="1"/>
    <n v="0"/>
    <n v="0"/>
    <n v="0"/>
    <n v="0"/>
    <n v="0"/>
    <n v="0"/>
    <n v="0"/>
    <n v="0"/>
  </r>
  <r>
    <d v="2019-07-12T00:00:00"/>
    <n v="2019"/>
    <x v="15"/>
    <s v="R"/>
    <s v="RS"/>
    <x v="7"/>
    <s v="ATL"/>
    <s v="A"/>
    <n v="1"/>
    <n v="1"/>
    <n v="0"/>
    <n v="0"/>
    <n v="0"/>
    <n v="0"/>
    <n v="1537.9521269880288"/>
    <n v="1432.2535369144973"/>
    <n v="0.53118624504564027"/>
    <n v="53"/>
    <n v="60"/>
    <n v="0"/>
    <n v="-7"/>
    <n v="0"/>
    <n v="0.34014634798646182"/>
    <n v="1"/>
    <n v="73.599999999999994"/>
    <n v="73.599999999999994"/>
    <n v="-13.298126115574641"/>
    <n v="1524.6540008724542"/>
    <n v="0"/>
    <n v="1"/>
    <n v="0"/>
    <n v="0"/>
    <n v="0"/>
    <n v="0"/>
    <n v="0"/>
    <n v="0"/>
    <n v="0"/>
    <n v="0"/>
  </r>
  <r>
    <d v="2019-07-12T00:00:00"/>
    <n v="2019"/>
    <x v="14"/>
    <s v="R"/>
    <s v="RS"/>
    <x v="1"/>
    <s v="MIN"/>
    <s v="H"/>
    <n v="1"/>
    <n v="1"/>
    <n v="0"/>
    <n v="0"/>
    <n v="0"/>
    <n v="0"/>
    <n v="1432.2535369144973"/>
    <n v="1537.9521269880288"/>
    <n v="0.46881375495435973"/>
    <n v="60"/>
    <n v="53"/>
    <n v="0"/>
    <n v="7"/>
    <n v="1"/>
    <n v="0.34014634798646182"/>
    <n v="1"/>
    <n v="73.75"/>
    <n v="73.75"/>
    <n v="13.325228274777579"/>
    <n v="1445.5787651892749"/>
    <n v="1"/>
    <n v="0"/>
    <n v="0"/>
    <n v="0"/>
    <n v="0"/>
    <n v="0"/>
    <n v="0"/>
    <n v="0"/>
    <n v="0"/>
    <n v="0"/>
  </r>
  <r>
    <d v="2019-07-12T00:00:00"/>
    <n v="2019"/>
    <x v="15"/>
    <s v="R"/>
    <s v="RS"/>
    <x v="3"/>
    <s v="CHI"/>
    <s v="A"/>
    <n v="4"/>
    <n v="1"/>
    <n v="3"/>
    <n v="-3"/>
    <n v="16"/>
    <n v="-16"/>
    <n v="1421.3376119578681"/>
    <n v="1459.2650179367211"/>
    <n v="0.37339868654145758"/>
    <n v="83"/>
    <n v="99"/>
    <n v="0"/>
    <n v="-16"/>
    <n v="0"/>
    <n v="0.50192219328464283"/>
    <n v="1"/>
    <n v="73.599999999999994"/>
    <n v="73.599999999999994"/>
    <n v="-13.7938976560811"/>
    <n v="1407.5437143017871"/>
    <n v="0"/>
    <n v="1"/>
    <n v="0"/>
    <n v="0"/>
    <n v="0"/>
    <n v="0"/>
    <n v="0"/>
    <n v="0"/>
    <n v="0"/>
    <n v="0"/>
  </r>
  <r>
    <d v="2019-07-12T00:00:00"/>
    <n v="2019"/>
    <x v="15"/>
    <s v="R"/>
    <s v="RS"/>
    <x v="6"/>
    <s v="NYL"/>
    <s v="H"/>
    <n v="1"/>
    <n v="4"/>
    <n v="-3"/>
    <n v="3"/>
    <n v="-16"/>
    <n v="16"/>
    <n v="1459.2650179367211"/>
    <n v="1421.3376119578681"/>
    <n v="0.62660131345854242"/>
    <n v="99"/>
    <n v="83"/>
    <n v="0"/>
    <n v="16"/>
    <n v="1"/>
    <n v="0.50192219328464283"/>
    <n v="1"/>
    <n v="73.599999999999994"/>
    <n v="73.599999999999994"/>
    <n v="13.7938976560811"/>
    <n v="1473.0589155928021"/>
    <n v="1"/>
    <n v="0"/>
    <n v="0"/>
    <n v="0"/>
    <n v="0"/>
    <n v="0"/>
    <n v="0"/>
    <n v="0"/>
    <n v="0"/>
    <n v="0"/>
  </r>
  <r>
    <d v="2019-07-12T00:00:00"/>
    <n v="2019"/>
    <x v="13"/>
    <s v="R"/>
    <s v="RS"/>
    <x v="8"/>
    <s v="CON"/>
    <s v="A"/>
    <n v="1"/>
    <n v="1"/>
    <n v="0"/>
    <n v="0"/>
    <n v="0"/>
    <n v="0"/>
    <n v="1543.8182655929807"/>
    <n v="1548.7384836472156"/>
    <n v="0.37475621196701653"/>
    <n v="64"/>
    <n v="79"/>
    <n v="0"/>
    <n v="-15"/>
    <n v="0"/>
    <n v="0.5007946788617631"/>
    <n v="1"/>
    <n v="73.900000000000006"/>
    <n v="73.900000000000006"/>
    <n v="-13.869250253254647"/>
    <n v="1529.949015339726"/>
    <n v="0"/>
    <n v="1"/>
    <n v="0"/>
    <n v="0"/>
    <n v="0"/>
    <n v="0"/>
    <n v="0"/>
    <n v="0"/>
    <n v="0"/>
    <n v="0"/>
  </r>
  <r>
    <d v="2019-07-12T00:00:00"/>
    <n v="2019"/>
    <x v="15"/>
    <s v="R"/>
    <s v="RS"/>
    <x v="5"/>
    <s v="PHX"/>
    <s v="H"/>
    <n v="1"/>
    <n v="1"/>
    <n v="0"/>
    <n v="0"/>
    <n v="0"/>
    <n v="0"/>
    <n v="1548.7384836472156"/>
    <n v="1543.8182655929807"/>
    <n v="0.62524378803298342"/>
    <n v="79"/>
    <n v="64"/>
    <n v="0"/>
    <n v="15"/>
    <n v="1"/>
    <n v="0.5007946788617631"/>
    <n v="1"/>
    <n v="73.599999999999994"/>
    <n v="73.599999999999994"/>
    <n v="13.812947478207604"/>
    <n v="1562.5514311254233"/>
    <n v="1"/>
    <n v="0"/>
    <n v="0"/>
    <n v="0"/>
    <n v="0"/>
    <n v="0"/>
    <n v="0"/>
    <n v="0"/>
    <n v="0"/>
    <n v="0"/>
  </r>
  <r>
    <d v="2019-07-12T00:00:00"/>
    <n v="2019"/>
    <x v="14"/>
    <s v="R"/>
    <s v="RS"/>
    <x v="10"/>
    <s v="IND"/>
    <s v="A"/>
    <n v="2"/>
    <n v="1"/>
    <n v="1"/>
    <n v="-1"/>
    <n v="8"/>
    <n v="-8"/>
    <n v="1515.4909750173913"/>
    <n v="1418.2886250643144"/>
    <n v="0.54192687420170249"/>
    <n v="90"/>
    <n v="84"/>
    <n v="0"/>
    <n v="6"/>
    <n v="1"/>
    <n v="0.32495848725870569"/>
    <n v="1"/>
    <n v="73.75"/>
    <n v="73.75"/>
    <n v="10.978037813479514"/>
    <n v="1526.4690128308707"/>
    <n v="1"/>
    <n v="0"/>
    <n v="0"/>
    <n v="0"/>
    <n v="0"/>
    <n v="0"/>
    <n v="0"/>
    <n v="0"/>
    <n v="0"/>
    <n v="0"/>
  </r>
  <r>
    <d v="2019-07-12T00:00:00"/>
    <n v="2019"/>
    <x v="16"/>
    <s v="R"/>
    <s v="RS"/>
    <x v="2"/>
    <s v="LAS"/>
    <s v="H"/>
    <n v="1"/>
    <n v="2"/>
    <n v="-1"/>
    <n v="1"/>
    <n v="-8"/>
    <n v="8"/>
    <n v="1418.2886250643144"/>
    <n v="1515.4909750173913"/>
    <n v="0.45807312579829756"/>
    <n v="84"/>
    <n v="90"/>
    <n v="0"/>
    <n v="-6"/>
    <n v="0"/>
    <n v="0.32495848725870569"/>
    <n v="1"/>
    <n v="73.45"/>
    <n v="73.45"/>
    <n v="-10.933381388475532"/>
    <n v="1407.3552436758389"/>
    <n v="0"/>
    <n v="1"/>
    <n v="0"/>
    <n v="0"/>
    <n v="0"/>
    <n v="0"/>
    <n v="0"/>
    <n v="0"/>
    <n v="0"/>
    <n v="0"/>
  </r>
  <r>
    <d v="2019-07-12T00:00:00"/>
    <n v="2019"/>
    <x v="14"/>
    <s v="R"/>
    <s v="RS"/>
    <x v="0"/>
    <s v="SEA"/>
    <s v="A"/>
    <n v="2"/>
    <n v="6"/>
    <n v="-4"/>
    <n v="4"/>
    <n v="-16"/>
    <n v="16"/>
    <n v="1428.6428614435085"/>
    <n v="1557.5986570350669"/>
    <n v="0.1962216107333791"/>
    <n v="81"/>
    <n v="95"/>
    <n v="0"/>
    <n v="-14"/>
    <n v="0"/>
    <n v="0.44029284208092312"/>
    <n v="1"/>
    <n v="73.75"/>
    <n v="73.75"/>
    <n v="-6.3716290867278333"/>
    <n v="1422.2712323567807"/>
    <n v="0"/>
    <n v="1"/>
    <n v="0"/>
    <n v="0"/>
    <n v="0"/>
    <n v="0"/>
    <n v="0"/>
    <n v="0"/>
    <n v="0"/>
    <n v="0"/>
  </r>
  <r>
    <d v="2019-07-12T00:00:00"/>
    <n v="2019"/>
    <x v="16"/>
    <s v="R"/>
    <s v="RS"/>
    <x v="9"/>
    <s v="DAL"/>
    <s v="H"/>
    <n v="6"/>
    <n v="2"/>
    <n v="4"/>
    <n v="-4"/>
    <n v="16"/>
    <n v="-16"/>
    <n v="1557.5986570350669"/>
    <n v="1428.6428614435085"/>
    <n v="0.80377838926662093"/>
    <n v="95"/>
    <n v="81"/>
    <n v="0"/>
    <n v="14"/>
    <n v="1"/>
    <n v="0.44029284208092312"/>
    <n v="1"/>
    <n v="73.45"/>
    <n v="73.45"/>
    <n v="6.3457105955275841"/>
    <n v="1563.9443676305946"/>
    <n v="1"/>
    <n v="0"/>
    <n v="0"/>
    <n v="0"/>
    <n v="0"/>
    <n v="0"/>
    <n v="0"/>
    <n v="0"/>
    <n v="0"/>
    <n v="0"/>
  </r>
  <r>
    <d v="2019-07-13T00:00:00"/>
    <n v="2019"/>
    <x v="15"/>
    <s v="R"/>
    <s v="RS"/>
    <x v="11"/>
    <s v="WAS"/>
    <s v="A"/>
    <n v="2"/>
    <n v="2"/>
    <n v="0"/>
    <n v="0"/>
    <n v="0"/>
    <n v="0"/>
    <n v="1541.2220303595982"/>
    <n v="1595.7501394418505"/>
    <n v="0.31057512877268778"/>
    <n v="85"/>
    <n v="81"/>
    <n v="0"/>
    <n v="4"/>
    <n v="1"/>
    <n v="0.29789629995460915"/>
    <n v="1"/>
    <n v="73.599999999999994"/>
    <n v="73.599999999999994"/>
    <n v="15.115755902118019"/>
    <n v="1556.3377862617162"/>
    <n v="1"/>
    <n v="0"/>
    <n v="0"/>
    <n v="0"/>
    <n v="0"/>
    <n v="0"/>
    <n v="0"/>
    <n v="0"/>
    <n v="0"/>
    <n v="0"/>
  </r>
  <r>
    <d v="2019-07-13T00:00:00"/>
    <n v="2019"/>
    <x v="14"/>
    <s v="R"/>
    <s v="RS"/>
    <x v="4"/>
    <s v="LVA"/>
    <s v="H"/>
    <n v="2"/>
    <n v="2"/>
    <n v="0"/>
    <n v="0"/>
    <n v="0"/>
    <n v="0"/>
    <n v="1595.7501394418505"/>
    <n v="1541.2220303595982"/>
    <n v="0.68942487122731211"/>
    <n v="81"/>
    <n v="85"/>
    <n v="0"/>
    <n v="-4"/>
    <n v="0"/>
    <n v="0.29789629995460915"/>
    <n v="1"/>
    <n v="73.75"/>
    <n v="73.75"/>
    <n v="-15.146562469853311"/>
    <n v="1580.6035769719972"/>
    <n v="0"/>
    <n v="1"/>
    <n v="0"/>
    <n v="0"/>
    <n v="0"/>
    <n v="0"/>
    <n v="0"/>
    <n v="0"/>
    <n v="0"/>
    <n v="0"/>
  </r>
  <r>
    <d v="2019-07-14T00:00:00"/>
    <n v="2019"/>
    <x v="15"/>
    <s v="R"/>
    <s v="RS"/>
    <x v="10"/>
    <s v="ATL"/>
    <s v="A"/>
    <n v="1"/>
    <n v="1"/>
    <n v="0"/>
    <n v="0"/>
    <n v="0"/>
    <n v="0"/>
    <n v="1526.4690128308707"/>
    <n v="1445.5787651892749"/>
    <n v="0.49552482611629944"/>
    <n v="76"/>
    <n v="71"/>
    <n v="1"/>
    <n v="5"/>
    <n v="1"/>
    <n v="0.27972455419802839"/>
    <n v="1"/>
    <n v="73.599999999999994"/>
    <n v="73.599999999999994"/>
    <n v="10.385997253528297"/>
    <n v="1536.8550100843991"/>
    <n v="1"/>
    <n v="0"/>
    <n v="0"/>
    <n v="0"/>
    <n v="0"/>
    <n v="0"/>
    <n v="0"/>
    <n v="0"/>
    <n v="0"/>
    <n v="0"/>
  </r>
  <r>
    <d v="2019-07-14T00:00:00"/>
    <n v="2019"/>
    <x v="15"/>
    <s v="R"/>
    <s v="RS"/>
    <x v="1"/>
    <s v="LAS"/>
    <s v="H"/>
    <n v="1"/>
    <n v="1"/>
    <n v="0"/>
    <n v="0"/>
    <n v="0"/>
    <n v="0"/>
    <n v="1445.5787651892749"/>
    <n v="1526.4690128308707"/>
    <n v="0.50447517388370045"/>
    <n v="71"/>
    <n v="76"/>
    <n v="1"/>
    <n v="-5"/>
    <n v="0"/>
    <n v="0.27972455419802839"/>
    <n v="1"/>
    <n v="73.599999999999994"/>
    <n v="73.599999999999994"/>
    <n v="-10.385997253528295"/>
    <n v="1435.1927679357466"/>
    <n v="0"/>
    <n v="1"/>
    <n v="0"/>
    <n v="0"/>
    <n v="0"/>
    <n v="0"/>
    <n v="0"/>
    <n v="0"/>
    <n v="0"/>
    <n v="0"/>
  </r>
  <r>
    <d v="2019-07-14T00:00:00"/>
    <n v="2019"/>
    <x v="16"/>
    <s v="R"/>
    <s v="RS"/>
    <x v="6"/>
    <s v="DAL"/>
    <s v="A"/>
    <n v="1"/>
    <n v="1"/>
    <n v="0"/>
    <n v="0"/>
    <n v="0"/>
    <n v="0"/>
    <n v="1473.0589155928021"/>
    <n v="1422.2712323567807"/>
    <n v="0.45234869114310627"/>
    <n v="89"/>
    <n v="79"/>
    <n v="0"/>
    <n v="10"/>
    <n v="1"/>
    <n v="0.40594870416782652"/>
    <n v="1"/>
    <n v="73.45"/>
    <n v="73.45"/>
    <n v="16.329282011762544"/>
    <n v="1489.3881976045648"/>
    <n v="1"/>
    <n v="0"/>
    <n v="0"/>
    <n v="0"/>
    <n v="0"/>
    <n v="0"/>
    <n v="0"/>
    <n v="0"/>
    <n v="0"/>
    <n v="0"/>
  </r>
  <r>
    <d v="2019-07-14T00:00:00"/>
    <n v="2019"/>
    <x v="15"/>
    <s v="R"/>
    <s v="RS"/>
    <x v="0"/>
    <s v="CHI"/>
    <s v="H"/>
    <n v="1"/>
    <n v="1"/>
    <n v="0"/>
    <n v="0"/>
    <n v="0"/>
    <n v="0"/>
    <n v="1422.2712323567807"/>
    <n v="1473.0589155928021"/>
    <n v="0.54765130885689373"/>
    <n v="79"/>
    <n v="89"/>
    <n v="0"/>
    <n v="-10"/>
    <n v="0"/>
    <n v="0.40594870416782652"/>
    <n v="1"/>
    <n v="73.599999999999994"/>
    <n v="73.599999999999994"/>
    <n v="-16.362629762637482"/>
    <n v="1405.9086025941433"/>
    <n v="0"/>
    <n v="1"/>
    <n v="0"/>
    <n v="0"/>
    <n v="0"/>
    <n v="0"/>
    <n v="0"/>
    <n v="0"/>
    <n v="0"/>
    <n v="0"/>
  </r>
  <r>
    <d v="2019-07-14T00:00:00"/>
    <n v="2019"/>
    <x v="16"/>
    <s v="R"/>
    <s v="RS"/>
    <x v="5"/>
    <s v="IND"/>
    <s v="A"/>
    <n v="1"/>
    <n v="1"/>
    <n v="0"/>
    <n v="0"/>
    <n v="0"/>
    <n v="0"/>
    <n v="1562.5514311254233"/>
    <n v="1407.3552436758389"/>
    <n v="0.60104908154883929"/>
    <n v="76"/>
    <n v="63"/>
    <n v="0"/>
    <n v="13"/>
    <n v="1"/>
    <n v="0.41798561125159167"/>
    <n v="1"/>
    <n v="73.45"/>
    <n v="73.45"/>
    <n v="12.248209360676725"/>
    <n v="1574.7996404861001"/>
    <n v="1"/>
    <n v="0"/>
    <n v="0"/>
    <n v="0"/>
    <n v="0"/>
    <n v="0"/>
    <n v="0"/>
    <n v="0"/>
    <n v="0"/>
    <n v="0"/>
  </r>
  <r>
    <d v="2019-07-14T00:00:00"/>
    <n v="2019"/>
    <x v="17"/>
    <s v="R"/>
    <s v="RS"/>
    <x v="2"/>
    <s v="CON"/>
    <s v="H"/>
    <n v="1"/>
    <n v="1"/>
    <n v="0"/>
    <n v="0"/>
    <n v="0"/>
    <n v="0"/>
    <n v="1407.3552436758389"/>
    <n v="1562.5514311254233"/>
    <n v="0.39895091845116065"/>
    <n v="63"/>
    <n v="76"/>
    <n v="0"/>
    <n v="-13"/>
    <n v="0"/>
    <n v="0.41798561125159167"/>
    <n v="1"/>
    <n v="73.3"/>
    <n v="73.3"/>
    <n v="-12.223195999150494"/>
    <n v="1395.1320476766884"/>
    <n v="0"/>
    <n v="1"/>
    <n v="0"/>
    <n v="0"/>
    <n v="0"/>
    <n v="0"/>
    <n v="0"/>
    <n v="0"/>
    <n v="0"/>
    <n v="0"/>
  </r>
  <r>
    <d v="2019-07-14T00:00:00"/>
    <n v="2019"/>
    <x v="14"/>
    <s v="R"/>
    <s v="RS"/>
    <x v="8"/>
    <s v="MIN"/>
    <s v="A"/>
    <n v="1"/>
    <n v="1"/>
    <n v="0"/>
    <n v="0"/>
    <n v="0"/>
    <n v="0"/>
    <n v="1529.949015339726"/>
    <n v="1524.6540008724542"/>
    <n v="0.38863292013664485"/>
    <n v="62"/>
    <n v="75"/>
    <n v="0"/>
    <n v="-13"/>
    <n v="0"/>
    <n v="0.46997000732414662"/>
    <n v="1"/>
    <n v="73.75"/>
    <n v="73.75"/>
    <n v="-13.47012895382298"/>
    <n v="1516.478886385903"/>
    <n v="0"/>
    <n v="1"/>
    <n v="0"/>
    <n v="0"/>
    <n v="0"/>
    <n v="0"/>
    <n v="0"/>
    <n v="0"/>
    <n v="0"/>
    <n v="0"/>
  </r>
  <r>
    <d v="2019-07-14T00:00:00"/>
    <n v="2019"/>
    <x v="16"/>
    <s v="R"/>
    <s v="RS"/>
    <x v="7"/>
    <s v="PHX"/>
    <s v="H"/>
    <n v="1"/>
    <n v="1"/>
    <n v="0"/>
    <n v="0"/>
    <n v="0"/>
    <n v="0"/>
    <n v="1524.6540008724542"/>
    <n v="1529.949015339726"/>
    <n v="0.61136707986335515"/>
    <n v="75"/>
    <n v="62"/>
    <n v="0"/>
    <n v="13"/>
    <n v="1"/>
    <n v="0.46997000732414662"/>
    <n v="1"/>
    <n v="73.45"/>
    <n v="73.45"/>
    <n v="13.415335208926075"/>
    <n v="1538.0693360813802"/>
    <n v="1"/>
    <n v="0"/>
    <n v="0"/>
    <n v="0"/>
    <n v="0"/>
    <n v="0"/>
    <n v="0"/>
    <n v="0"/>
    <n v="0"/>
    <n v="0"/>
  </r>
  <r>
    <d v="2019-07-14T00:00:00"/>
    <n v="2019"/>
    <x v="16"/>
    <s v="R"/>
    <s v="RS"/>
    <x v="3"/>
    <s v="SEA"/>
    <s v="A"/>
    <n v="1"/>
    <n v="1"/>
    <n v="0"/>
    <n v="0"/>
    <n v="0"/>
    <n v="0"/>
    <n v="1407.5437143017871"/>
    <n v="1563.9443676305946"/>
    <n v="0.20039019857511942"/>
    <n v="69"/>
    <n v="78"/>
    <n v="0"/>
    <n v="-9"/>
    <n v="0"/>
    <n v="0.35916071802318472"/>
    <n v="1"/>
    <n v="73.45"/>
    <n v="73.45"/>
    <n v="-5.2863645245908089"/>
    <n v="1402.2573497771962"/>
    <n v="0"/>
    <n v="1"/>
    <n v="0"/>
    <n v="0"/>
    <n v="0"/>
    <n v="0"/>
    <n v="0"/>
    <n v="0"/>
    <n v="0"/>
    <n v="0"/>
  </r>
  <r>
    <d v="2019-07-14T00:00:00"/>
    <n v="2019"/>
    <x v="17"/>
    <s v="R"/>
    <s v="RS"/>
    <x v="9"/>
    <s v="NYL"/>
    <s v="H"/>
    <n v="1"/>
    <n v="1"/>
    <n v="0"/>
    <n v="0"/>
    <n v="0"/>
    <n v="0"/>
    <n v="1563.9443676305946"/>
    <n v="1407.5437143017871"/>
    <n v="0.79960980142488047"/>
    <n v="78"/>
    <n v="69"/>
    <n v="0"/>
    <n v="9"/>
    <n v="1"/>
    <n v="0.35916071802318472"/>
    <n v="1"/>
    <n v="73.3"/>
    <n v="73.3"/>
    <n v="5.2755686814500544"/>
    <n v="1569.2199363120446"/>
    <n v="1"/>
    <n v="0"/>
    <n v="0"/>
    <n v="0"/>
    <n v="0"/>
    <n v="0"/>
    <n v="0"/>
    <n v="0"/>
    <n v="0"/>
    <n v="0"/>
  </r>
  <r>
    <d v="2019-07-17T00:00:00"/>
    <n v="2019"/>
    <x v="16"/>
    <s v="R"/>
    <s v="RS"/>
    <x v="1"/>
    <s v="CHI"/>
    <s v="A"/>
    <n v="2"/>
    <n v="2"/>
    <n v="0"/>
    <n v="0"/>
    <n v="0"/>
    <n v="0"/>
    <n v="1435.1927679357466"/>
    <n v="1489.3881976045648"/>
    <n v="0.31098532596676198"/>
    <n v="76"/>
    <n v="77"/>
    <n v="0"/>
    <n v="-1"/>
    <n v="0"/>
    <n v="0.23362834708760308"/>
    <n v="1"/>
    <n v="73.45"/>
    <n v="73.45"/>
    <n v="-5.336508844663677"/>
    <n v="1429.8562590910828"/>
    <n v="0"/>
    <n v="1"/>
    <n v="0"/>
    <n v="0"/>
    <n v="0"/>
    <n v="0"/>
    <n v="0"/>
    <n v="0"/>
    <n v="0"/>
    <n v="0"/>
  </r>
  <r>
    <d v="2019-07-17T00:00:00"/>
    <n v="2019"/>
    <x v="17"/>
    <s v="R"/>
    <s v="RS"/>
    <x v="6"/>
    <s v="ATL"/>
    <s v="H"/>
    <n v="2"/>
    <n v="2"/>
    <n v="0"/>
    <n v="0"/>
    <n v="0"/>
    <n v="0"/>
    <n v="1489.3881976045648"/>
    <n v="1435.1927679357466"/>
    <n v="0.68901467403323802"/>
    <n v="77"/>
    <n v="76"/>
    <n v="0"/>
    <n v="1"/>
    <n v="1"/>
    <n v="0.23362834708760308"/>
    <n v="1"/>
    <n v="73.3"/>
    <n v="73.3"/>
    <n v="5.3256105965125595"/>
    <n v="1494.7138082010774"/>
    <n v="1"/>
    <n v="0"/>
    <n v="0"/>
    <n v="0"/>
    <n v="0"/>
    <n v="0"/>
    <n v="0"/>
    <n v="0"/>
    <n v="0"/>
    <n v="0"/>
  </r>
  <r>
    <d v="2019-07-17T00:00:00"/>
    <n v="2019"/>
    <x v="18"/>
    <s v="R"/>
    <s v="RS"/>
    <x v="9"/>
    <s v="MIN"/>
    <s v="A"/>
    <n v="2"/>
    <n v="2"/>
    <n v="0"/>
    <n v="0"/>
    <n v="0"/>
    <n v="0"/>
    <n v="1569.2199363120446"/>
    <n v="1538.0693360813802"/>
    <n v="0.42452482646952683"/>
    <n v="90"/>
    <n v="79"/>
    <n v="0"/>
    <n v="11"/>
    <n v="1"/>
    <n v="0.42870723062659449"/>
    <n v="1"/>
    <n v="73.150000000000006"/>
    <n v="73.150000000000006"/>
    <n v="18.046863414709179"/>
    <n v="1587.2667997267538"/>
    <n v="1"/>
    <n v="0"/>
    <n v="0"/>
    <n v="0"/>
    <n v="0"/>
    <n v="0"/>
    <n v="0"/>
    <n v="0"/>
    <n v="0"/>
    <n v="0"/>
  </r>
  <r>
    <d v="2019-07-17T00:00:00"/>
    <n v="2019"/>
    <x v="17"/>
    <s v="R"/>
    <s v="RS"/>
    <x v="7"/>
    <s v="SEA"/>
    <s v="H"/>
    <n v="2"/>
    <n v="2"/>
    <n v="0"/>
    <n v="0"/>
    <n v="0"/>
    <n v="0"/>
    <n v="1538.0693360813802"/>
    <n v="1569.2199363120446"/>
    <n v="0.57547517353047317"/>
    <n v="79"/>
    <n v="90"/>
    <n v="0"/>
    <n v="-11"/>
    <n v="0"/>
    <n v="0.42870723062659449"/>
    <n v="1"/>
    <n v="73.3"/>
    <n v="73.3"/>
    <n v="-18.083869969899968"/>
    <n v="1519.9854661114803"/>
    <n v="0"/>
    <n v="1"/>
    <n v="0"/>
    <n v="0"/>
    <n v="0"/>
    <n v="0"/>
    <n v="0"/>
    <n v="0"/>
    <n v="0"/>
    <n v="0"/>
  </r>
  <r>
    <d v="2019-07-17T00:00:00"/>
    <n v="2019"/>
    <x v="16"/>
    <s v="R"/>
    <s v="RS"/>
    <x v="0"/>
    <s v="PHX"/>
    <s v="A"/>
    <n v="2"/>
    <n v="2"/>
    <n v="0"/>
    <n v="0"/>
    <n v="0"/>
    <n v="0"/>
    <n v="1405.9086025941433"/>
    <n v="1516.478886385903"/>
    <n v="0.24600449700923532"/>
    <n v="64"/>
    <n v="69"/>
    <n v="0"/>
    <n v="-5"/>
    <n v="0"/>
    <n v="0.30376636451857292"/>
    <n v="1"/>
    <n v="73.45"/>
    <n v="73.45"/>
    <n v="-5.4887636462255074"/>
    <n v="1400.4198389479177"/>
    <n v="0"/>
    <n v="1"/>
    <n v="0"/>
    <n v="0"/>
    <n v="0"/>
    <n v="0"/>
    <n v="0"/>
    <n v="0"/>
    <n v="0"/>
    <n v="0"/>
  </r>
  <r>
    <d v="2019-07-17T00:00:00"/>
    <n v="2019"/>
    <x v="15"/>
    <s v="R"/>
    <s v="RS"/>
    <x v="8"/>
    <s v="DAL"/>
    <s v="H"/>
    <n v="2"/>
    <n v="2"/>
    <n v="0"/>
    <n v="0"/>
    <n v="0"/>
    <n v="0"/>
    <n v="1516.478886385903"/>
    <n v="1405.9086025941433"/>
    <n v="0.75399550299076468"/>
    <n v="69"/>
    <n v="64"/>
    <n v="0"/>
    <n v="5"/>
    <n v="1"/>
    <n v="0.30376636451857292"/>
    <n v="1"/>
    <n v="73.599999999999994"/>
    <n v="73.599999999999994"/>
    <n v="5.4999728299822648"/>
    <n v="1521.9788592158852"/>
    <n v="1"/>
    <n v="0"/>
    <n v="0"/>
    <n v="0"/>
    <n v="0"/>
    <n v="0"/>
    <n v="0"/>
    <n v="0"/>
    <n v="0"/>
    <n v="0"/>
  </r>
  <r>
    <d v="2019-07-18T00:00:00"/>
    <n v="2019"/>
    <x v="17"/>
    <s v="R"/>
    <s v="RS"/>
    <x v="0"/>
    <s v="LAS"/>
    <s v="A"/>
    <n v="0"/>
    <n v="3"/>
    <n v="-3"/>
    <n v="3"/>
    <n v="-16"/>
    <n v="16"/>
    <n v="1400.4198389479177"/>
    <n v="1536.8550100843991"/>
    <n v="0.18951976189820191"/>
    <n v="64"/>
    <n v="69"/>
    <n v="0"/>
    <n v="-5"/>
    <n v="0"/>
    <n v="0.29788737916479241"/>
    <n v="1"/>
    <n v="73.3"/>
    <n v="73.3"/>
    <n v="-4.1381914610922692"/>
    <n v="1396.2816474868255"/>
    <n v="0"/>
    <n v="1"/>
    <n v="0"/>
    <n v="0"/>
    <n v="0"/>
    <n v="0"/>
    <n v="0"/>
    <n v="0"/>
    <n v="0"/>
    <n v="0"/>
  </r>
  <r>
    <d v="2019-07-18T00:00:00"/>
    <n v="2019"/>
    <x v="16"/>
    <s v="R"/>
    <s v="RS"/>
    <x v="10"/>
    <s v="DAL"/>
    <s v="H"/>
    <n v="3"/>
    <n v="0"/>
    <n v="3"/>
    <n v="-3"/>
    <n v="16"/>
    <n v="-16"/>
    <n v="1536.8550100843991"/>
    <n v="1400.4198389479177"/>
    <n v="0.81048023810179803"/>
    <n v="69"/>
    <n v="64"/>
    <n v="0"/>
    <n v="5"/>
    <n v="1"/>
    <n v="0.29788737916479241"/>
    <n v="1"/>
    <n v="73.45"/>
    <n v="73.45"/>
    <n v="4.1466597928680393"/>
    <n v="1541.0016698772672"/>
    <n v="1"/>
    <n v="0"/>
    <n v="0"/>
    <n v="0"/>
    <n v="0"/>
    <n v="0"/>
    <n v="0"/>
    <n v="0"/>
    <n v="0"/>
    <n v="0"/>
  </r>
  <r>
    <d v="2019-07-19T00:00:00"/>
    <n v="2019"/>
    <x v="17"/>
    <s v="R"/>
    <s v="RS"/>
    <x v="1"/>
    <s v="CON"/>
    <s v="A"/>
    <n v="1"/>
    <n v="4"/>
    <n v="-3"/>
    <n v="3"/>
    <n v="-16"/>
    <n v="16"/>
    <n v="1429.8562590910828"/>
    <n v="1574.7996404861001"/>
    <n v="0.18211090899443269"/>
    <n v="69"/>
    <n v="98"/>
    <n v="0"/>
    <n v="-29"/>
    <n v="0"/>
    <n v="0.61685536766061133"/>
    <n v="1"/>
    <n v="73.3"/>
    <n v="73.3"/>
    <n v="-8.2342355232789615"/>
    <n v="1421.6220235678038"/>
    <n v="0"/>
    <n v="1"/>
    <n v="0"/>
    <n v="0"/>
    <n v="0"/>
    <n v="0"/>
    <n v="0"/>
    <n v="0"/>
    <n v="0"/>
    <n v="0"/>
  </r>
  <r>
    <d v="2019-07-19T00:00:00"/>
    <n v="2019"/>
    <x v="17"/>
    <s v="R"/>
    <s v="RS"/>
    <x v="5"/>
    <s v="ATL"/>
    <s v="H"/>
    <n v="4"/>
    <n v="1"/>
    <n v="3"/>
    <n v="-3"/>
    <n v="16"/>
    <n v="-16"/>
    <n v="1574.7996404861001"/>
    <n v="1429.8562590910828"/>
    <n v="0.81788909100556739"/>
    <n v="98"/>
    <n v="69"/>
    <n v="0"/>
    <n v="29"/>
    <n v="1"/>
    <n v="0.61685536766061133"/>
    <n v="1"/>
    <n v="73.3"/>
    <n v="73.3"/>
    <n v="8.2342355232789579"/>
    <n v="1583.0338760093791"/>
    <n v="1"/>
    <n v="0"/>
    <n v="0"/>
    <n v="0"/>
    <n v="0"/>
    <n v="0"/>
    <n v="0"/>
    <n v="0"/>
    <n v="0"/>
    <n v="0"/>
  </r>
  <r>
    <d v="2019-07-19T00:00:00"/>
    <n v="2019"/>
    <x v="15"/>
    <s v="R"/>
    <s v="RS"/>
    <x v="4"/>
    <s v="IND"/>
    <s v="A"/>
    <n v="5"/>
    <n v="4"/>
    <n v="1"/>
    <n v="-1"/>
    <n v="8"/>
    <n v="-8"/>
    <n v="1580.6035769719972"/>
    <n v="1395.1320476766884"/>
    <n v="0.66289462646377828"/>
    <n v="95"/>
    <n v="88"/>
    <n v="1"/>
    <n v="7"/>
    <n v="1"/>
    <n v="0.2885052040653861"/>
    <n v="1"/>
    <n v="73.599999999999994"/>
    <n v="73.599999999999994"/>
    <n v="7.1580897773533909"/>
    <n v="1587.7616667493505"/>
    <n v="1"/>
    <n v="0"/>
    <n v="0"/>
    <n v="0"/>
    <n v="0"/>
    <n v="0"/>
    <n v="0"/>
    <n v="0"/>
    <n v="0"/>
    <n v="0"/>
  </r>
  <r>
    <d v="2019-07-19T00:00:00"/>
    <n v="2019"/>
    <x v="18"/>
    <s v="R"/>
    <s v="RS"/>
    <x v="2"/>
    <s v="WAS"/>
    <s v="H"/>
    <n v="4"/>
    <n v="5"/>
    <n v="-1"/>
    <n v="1"/>
    <n v="-8"/>
    <n v="8"/>
    <n v="1395.1320476766884"/>
    <n v="1580.6035769719972"/>
    <n v="0.33710537353622166"/>
    <n v="88"/>
    <n v="95"/>
    <n v="1"/>
    <n v="-7"/>
    <n v="0"/>
    <n v="0.2885052040653861"/>
    <n v="1"/>
    <n v="73.150000000000006"/>
    <n v="73.150000000000006"/>
    <n v="-7.1143242827907676"/>
    <n v="1388.0177233938978"/>
    <n v="0"/>
    <n v="1"/>
    <n v="0"/>
    <n v="0"/>
    <n v="0"/>
    <n v="0"/>
    <n v="0"/>
    <n v="0"/>
    <n v="0"/>
    <n v="0"/>
  </r>
  <r>
    <d v="2019-07-19T00:00:00"/>
    <n v="2019"/>
    <x v="16"/>
    <s v="R"/>
    <s v="RS"/>
    <x v="11"/>
    <s v="SEA"/>
    <s v="A"/>
    <n v="5"/>
    <n v="1"/>
    <n v="4"/>
    <n v="-4"/>
    <n v="16"/>
    <n v="-16"/>
    <n v="1556.3377862617162"/>
    <n v="1587.2667997267538"/>
    <n v="0.38287151626170768"/>
    <n v="66"/>
    <n v="69"/>
    <n v="0"/>
    <n v="-3"/>
    <n v="0"/>
    <n v="0.28289220703167728"/>
    <n v="1"/>
    <n v="73.45"/>
    <n v="73.45"/>
    <n v="-7.9554699975834406"/>
    <n v="1548.3823162641329"/>
    <n v="0"/>
    <n v="1"/>
    <n v="0"/>
    <n v="0"/>
    <n v="0"/>
    <n v="0"/>
    <n v="0"/>
    <n v="0"/>
    <n v="0"/>
    <n v="0"/>
  </r>
  <r>
    <d v="2019-07-19T00:00:00"/>
    <n v="2019"/>
    <x v="19"/>
    <s v="R"/>
    <s v="RS"/>
    <x v="9"/>
    <s v="LVA"/>
    <s v="H"/>
    <n v="1"/>
    <n v="5"/>
    <n v="-4"/>
    <n v="4"/>
    <n v="-16"/>
    <n v="16"/>
    <n v="1587.2667997267538"/>
    <n v="1556.3377862617162"/>
    <n v="0.61712848373829232"/>
    <n v="69"/>
    <n v="66"/>
    <n v="0"/>
    <n v="3"/>
    <n v="1"/>
    <n v="0.28289220703167728"/>
    <n v="1"/>
    <n v="73"/>
    <n v="73"/>
    <n v="7.9067298818732619"/>
    <n v="1595.1735296086269"/>
    <n v="1"/>
    <n v="0"/>
    <n v="0"/>
    <n v="0"/>
    <n v="0"/>
    <n v="0"/>
    <n v="0"/>
    <n v="0"/>
    <n v="0"/>
    <n v="0"/>
  </r>
  <r>
    <d v="2019-07-20T00:00:00"/>
    <n v="2019"/>
    <x v="16"/>
    <s v="R"/>
    <s v="RS"/>
    <x v="8"/>
    <s v="DAL"/>
    <s v="A"/>
    <n v="2"/>
    <n v="1"/>
    <n v="1"/>
    <n v="-1"/>
    <n v="8"/>
    <n v="-8"/>
    <n v="1521.9788592158852"/>
    <n v="1396.2816474868255"/>
    <n v="0.5822779979728715"/>
    <n v="70"/>
    <n v="66"/>
    <n v="0"/>
    <n v="4"/>
    <n v="1"/>
    <n v="0.28190395105170846"/>
    <n v="1"/>
    <n v="73.45"/>
    <n v="73.45"/>
    <n v="8.6492871125911481"/>
    <n v="1530.6281463284763"/>
    <n v="1"/>
    <n v="0"/>
    <n v="0"/>
    <n v="0"/>
    <n v="0"/>
    <n v="0"/>
    <n v="0"/>
    <n v="0"/>
    <n v="0"/>
    <n v="0"/>
  </r>
  <r>
    <d v="2019-07-20T00:00:00"/>
    <n v="2019"/>
    <x v="18"/>
    <s v="R"/>
    <s v="RS"/>
    <x v="0"/>
    <s v="PHX"/>
    <s v="H"/>
    <n v="1"/>
    <n v="2"/>
    <n v="-1"/>
    <n v="1"/>
    <n v="-8"/>
    <n v="8"/>
    <n v="1396.2816474868255"/>
    <n v="1521.9788592158852"/>
    <n v="0.4177220020271285"/>
    <n v="66"/>
    <n v="70"/>
    <n v="0"/>
    <n v="-4"/>
    <n v="0"/>
    <n v="0.28190395105170846"/>
    <n v="1"/>
    <n v="73.150000000000006"/>
    <n v="73.150000000000006"/>
    <n v="-8.6139598677473455"/>
    <n v="1387.6676876190782"/>
    <n v="0"/>
    <n v="1"/>
    <n v="0"/>
    <n v="0"/>
    <n v="0"/>
    <n v="0"/>
    <n v="0"/>
    <n v="0"/>
    <n v="0"/>
    <n v="0"/>
  </r>
  <r>
    <d v="2019-07-20T00:00:00"/>
    <n v="2019"/>
    <x v="17"/>
    <s v="R"/>
    <s v="RS"/>
    <x v="10"/>
    <s v="NYL"/>
    <s v="A"/>
    <n v="1"/>
    <n v="5"/>
    <n v="-4"/>
    <n v="4"/>
    <n v="-16"/>
    <n v="16"/>
    <n v="1541.0016698772672"/>
    <n v="1402.2573497771962"/>
    <n v="0.53268503097418274"/>
    <n v="78"/>
    <n v="83"/>
    <n v="0"/>
    <n v="-5"/>
    <n v="0"/>
    <n v="0.29737356459800984"/>
    <n v="1"/>
    <n v="73.3"/>
    <n v="73.3"/>
    <n v="-11.611192526162601"/>
    <n v="1529.3904773511047"/>
    <n v="0"/>
    <n v="1"/>
    <n v="0"/>
    <n v="0"/>
    <n v="0"/>
    <n v="0"/>
    <n v="0"/>
    <n v="0"/>
    <n v="0"/>
    <n v="0"/>
  </r>
  <r>
    <d v="2019-07-20T00:00:00"/>
    <n v="2019"/>
    <x v="17"/>
    <s v="R"/>
    <s v="RS"/>
    <x v="3"/>
    <s v="LAS"/>
    <s v="H"/>
    <n v="5"/>
    <n v="1"/>
    <n v="4"/>
    <n v="-4"/>
    <n v="16"/>
    <n v="-16"/>
    <n v="1402.2573497771962"/>
    <n v="1541.0016698772672"/>
    <n v="0.46731496902581715"/>
    <n v="83"/>
    <n v="78"/>
    <n v="0"/>
    <n v="5"/>
    <n v="1"/>
    <n v="0.29737356459800984"/>
    <n v="1"/>
    <n v="73.3"/>
    <n v="73.3"/>
    <n v="11.611192526162602"/>
    <n v="1413.8685423033587"/>
    <n v="1"/>
    <n v="0"/>
    <n v="0"/>
    <n v="0"/>
    <n v="0"/>
    <n v="0"/>
    <n v="0"/>
    <n v="0"/>
    <n v="0"/>
    <n v="0"/>
  </r>
  <r>
    <d v="2019-07-21T00:00:00"/>
    <n v="2019"/>
    <x v="19"/>
    <s v="R"/>
    <s v="RS"/>
    <x v="2"/>
    <s v="CHI"/>
    <s v="A"/>
    <n v="1"/>
    <n v="3"/>
    <n v="-2"/>
    <n v="2"/>
    <n v="-16"/>
    <n v="16"/>
    <n v="1388.0177233938978"/>
    <n v="1494.7138082010774"/>
    <n v="0.21721988236448464"/>
    <n v="70"/>
    <n v="78"/>
    <n v="0"/>
    <n v="-8"/>
    <n v="0"/>
    <n v="0.35660827901873438"/>
    <n v="1"/>
    <n v="73"/>
    <n v="73"/>
    <n v="-5.6547558145615078"/>
    <n v="1382.3629675793363"/>
    <n v="0"/>
    <n v="1"/>
    <n v="0"/>
    <n v="0"/>
    <n v="0"/>
    <n v="0"/>
    <n v="0"/>
    <n v="0"/>
    <n v="0"/>
    <n v="0"/>
  </r>
  <r>
    <d v="2019-07-21T00:00:00"/>
    <n v="2019"/>
    <x v="18"/>
    <s v="R"/>
    <s v="RS"/>
    <x v="6"/>
    <s v="IND"/>
    <s v="H"/>
    <n v="3"/>
    <n v="1"/>
    <n v="2"/>
    <n v="-2"/>
    <n v="16"/>
    <n v="-16"/>
    <n v="1494.7138082010774"/>
    <n v="1388.0177233938978"/>
    <n v="0.78278011763551536"/>
    <n v="78"/>
    <n v="70"/>
    <n v="0"/>
    <n v="8"/>
    <n v="1"/>
    <n v="0.35660827901873438"/>
    <n v="1"/>
    <n v="73.150000000000006"/>
    <n v="73.150000000000006"/>
    <n v="5.6663751758243066"/>
    <n v="1500.3801833769016"/>
    <n v="1"/>
    <n v="0"/>
    <n v="0"/>
    <n v="0"/>
    <n v="0"/>
    <n v="0"/>
    <n v="0"/>
    <n v="0"/>
    <n v="0"/>
    <n v="0"/>
  </r>
  <r>
    <d v="2019-07-21T00:00:00"/>
    <n v="2019"/>
    <x v="18"/>
    <s v="R"/>
    <s v="RS"/>
    <x v="7"/>
    <s v="LVA"/>
    <s v="A"/>
    <n v="3"/>
    <n v="1"/>
    <n v="2"/>
    <n v="-2"/>
    <n v="16"/>
    <n v="-16"/>
    <n v="1519.9854661114803"/>
    <n v="1548.3823162641329"/>
    <n v="0.38632144768068427"/>
    <n v="74"/>
    <n v="79"/>
    <n v="0"/>
    <n v="-5"/>
    <n v="0"/>
    <n v="0.32408677253122603"/>
    <n v="1"/>
    <n v="73.150000000000006"/>
    <n v="73.150000000000006"/>
    <n v="-9.1585022437757058"/>
    <n v="1510.8269638677045"/>
    <n v="0"/>
    <n v="1"/>
    <n v="0"/>
    <n v="0"/>
    <n v="0"/>
    <n v="0"/>
    <n v="0"/>
    <n v="0"/>
    <n v="0"/>
    <n v="0"/>
  </r>
  <r>
    <d v="2019-07-21T00:00:00"/>
    <n v="2019"/>
    <x v="17"/>
    <s v="R"/>
    <s v="RS"/>
    <x v="11"/>
    <s v="MIN"/>
    <s v="H"/>
    <n v="1"/>
    <n v="3"/>
    <n v="-2"/>
    <n v="2"/>
    <n v="-16"/>
    <n v="16"/>
    <n v="1548.3823162641329"/>
    <n v="1519.9854661114803"/>
    <n v="0.61367855231931567"/>
    <n v="79"/>
    <n v="74"/>
    <n v="0"/>
    <n v="5"/>
    <n v="1"/>
    <n v="0.32408677253122603"/>
    <n v="1"/>
    <n v="73.3"/>
    <n v="73.3"/>
    <n v="9.1772824944464695"/>
    <n v="1557.5595987585793"/>
    <n v="1"/>
    <n v="0"/>
    <n v="0"/>
    <n v="0"/>
    <n v="0"/>
    <n v="0"/>
    <n v="0"/>
    <n v="0"/>
    <n v="0"/>
    <n v="0"/>
  </r>
  <r>
    <d v="2019-07-21T00:00:00"/>
    <n v="2019"/>
    <x v="18"/>
    <s v="R"/>
    <s v="RS"/>
    <x v="1"/>
    <s v="WAS"/>
    <s v="A"/>
    <n v="1"/>
    <n v="1"/>
    <n v="0"/>
    <n v="0"/>
    <n v="0"/>
    <n v="0"/>
    <n v="1421.6220235678038"/>
    <n v="1587.7616667493505"/>
    <n v="0.19155780950852419"/>
    <n v="65"/>
    <n v="93"/>
    <n v="0"/>
    <n v="-28"/>
    <n v="0"/>
    <n v="0.59650387583181319"/>
    <n v="1"/>
    <n v="73.150000000000006"/>
    <n v="73.150000000000006"/>
    <n v="-8.3584829810637924"/>
    <n v="1413.26354058674"/>
    <n v="0"/>
    <n v="1"/>
    <n v="0"/>
    <n v="0"/>
    <n v="0"/>
    <n v="0"/>
    <n v="0"/>
    <n v="0"/>
    <n v="0"/>
    <n v="0"/>
  </r>
  <r>
    <d v="2019-07-21T00:00:00"/>
    <n v="2019"/>
    <x v="16"/>
    <s v="R"/>
    <s v="RS"/>
    <x v="4"/>
    <s v="ATL"/>
    <s v="H"/>
    <n v="1"/>
    <n v="1"/>
    <n v="0"/>
    <n v="0"/>
    <n v="0"/>
    <n v="0"/>
    <n v="1587.7616667493505"/>
    <n v="1421.6220235678038"/>
    <n v="0.80844219049147581"/>
    <n v="93"/>
    <n v="65"/>
    <n v="0"/>
    <n v="28"/>
    <n v="1"/>
    <n v="0.59650387583181319"/>
    <n v="1"/>
    <n v="73.45"/>
    <n v="73.45"/>
    <n v="8.392762473809098"/>
    <n v="1596.1544292231597"/>
    <n v="1"/>
    <n v="0"/>
    <n v="0"/>
    <n v="0"/>
    <n v="0"/>
    <n v="0"/>
    <n v="0"/>
    <n v="0"/>
    <n v="0"/>
    <n v="0"/>
  </r>
  <r>
    <d v="2019-07-23T00:00:00"/>
    <n v="2019"/>
    <x v="18"/>
    <s v="R"/>
    <s v="RS"/>
    <x v="10"/>
    <s v="ATL"/>
    <s v="A"/>
    <n v="2"/>
    <n v="1"/>
    <n v="1"/>
    <n v="-1"/>
    <n v="8"/>
    <n v="-8"/>
    <n v="1529.3904773511047"/>
    <n v="1413.26354058674"/>
    <n v="0.56882061674705775"/>
    <n v="78"/>
    <n v="66"/>
    <n v="0"/>
    <n v="12"/>
    <n v="1"/>
    <n v="0.41588338966566235"/>
    <n v="1"/>
    <n v="73.150000000000006"/>
    <n v="73.150000000000006"/>
    <n v="13.117283124185562"/>
    <n v="1542.5077604752903"/>
    <n v="1"/>
    <n v="0"/>
    <n v="0"/>
    <n v="0"/>
    <n v="0"/>
    <n v="0"/>
    <n v="0"/>
    <n v="0"/>
    <n v="0"/>
    <n v="0"/>
  </r>
  <r>
    <d v="2019-07-23T00:00:00"/>
    <n v="2019"/>
    <x v="19"/>
    <s v="R"/>
    <s v="RS"/>
    <x v="1"/>
    <s v="LAS"/>
    <s v="H"/>
    <n v="1"/>
    <n v="2"/>
    <n v="-1"/>
    <n v="1"/>
    <n v="-8"/>
    <n v="8"/>
    <n v="1413.26354058674"/>
    <n v="1529.3904773511047"/>
    <n v="0.43117938325294231"/>
    <n v="66"/>
    <n v="78"/>
    <n v="0"/>
    <n v="-12"/>
    <n v="0"/>
    <n v="0.41588338966566235"/>
    <n v="1"/>
    <n v="73"/>
    <n v="73"/>
    <n v="-13.090385072666386"/>
    <n v="1400.1731555140736"/>
    <n v="0"/>
    <n v="1"/>
    <n v="0"/>
    <n v="0"/>
    <n v="0"/>
    <n v="0"/>
    <n v="0"/>
    <n v="0"/>
    <n v="0"/>
    <n v="0"/>
  </r>
  <r>
    <d v="2019-07-23T00:00:00"/>
    <n v="2019"/>
    <x v="20"/>
    <s v="R"/>
    <s v="RS"/>
    <x v="9"/>
    <s v="LVA"/>
    <s v="A"/>
    <n v="3"/>
    <n v="1"/>
    <n v="2"/>
    <n v="-2"/>
    <n v="16"/>
    <n v="-16"/>
    <n v="1595.1735296086269"/>
    <n v="1557.5595987585793"/>
    <n v="0.47930860599914271"/>
    <n v="62"/>
    <n v="79"/>
    <n v="0"/>
    <n v="-17"/>
    <n v="0"/>
    <n v="0.51625993128531711"/>
    <n v="1"/>
    <n v="72.849999999999994"/>
    <n v="72.849999999999994"/>
    <n v="-18.026574269623595"/>
    <n v="1577.1469553390034"/>
    <n v="0"/>
    <n v="1"/>
    <n v="0"/>
    <n v="0"/>
    <n v="0"/>
    <n v="0"/>
    <n v="0"/>
    <n v="0"/>
    <n v="0"/>
    <n v="0"/>
  </r>
  <r>
    <d v="2019-07-23T00:00:00"/>
    <n v="2019"/>
    <x v="18"/>
    <s v="R"/>
    <s v="RS"/>
    <x v="11"/>
    <s v="SEA"/>
    <s v="H"/>
    <n v="1"/>
    <n v="3"/>
    <n v="-2"/>
    <n v="2"/>
    <n v="-16"/>
    <n v="16"/>
    <n v="1557.5595987585793"/>
    <n v="1595.1735296086269"/>
    <n v="0.52069139400085729"/>
    <n v="79"/>
    <n v="62"/>
    <n v="0"/>
    <n v="17"/>
    <n v="1"/>
    <n v="0.51625993128531711"/>
    <n v="1"/>
    <n v="73.150000000000006"/>
    <n v="73.150000000000006"/>
    <n v="18.100808618022874"/>
    <n v="1575.6604073766023"/>
    <n v="1"/>
    <n v="0"/>
    <n v="0"/>
    <n v="0"/>
    <n v="0"/>
    <n v="0"/>
    <n v="0"/>
    <n v="0"/>
    <n v="0"/>
    <n v="0"/>
  </r>
  <r>
    <d v="2019-07-23T00:00:00"/>
    <n v="2019"/>
    <x v="20"/>
    <s v="R"/>
    <s v="RS"/>
    <x v="2"/>
    <s v="PHX"/>
    <s v="A"/>
    <n v="1"/>
    <n v="2"/>
    <n v="-1"/>
    <n v="1"/>
    <n v="-8"/>
    <n v="8"/>
    <n v="1382.3629675793363"/>
    <n v="1530.6281463284763"/>
    <n v="0.1932343935441381"/>
    <n v="77"/>
    <n v="95"/>
    <n v="0"/>
    <n v="-18"/>
    <n v="0"/>
    <n v="0.48670004157518859"/>
    <n v="1"/>
    <n v="72.849999999999994"/>
    <n v="72.849999999999994"/>
    <n v="-6.851337600027497"/>
    <n v="1375.5116299793087"/>
    <n v="0"/>
    <n v="1"/>
    <n v="0"/>
    <n v="0"/>
    <n v="0"/>
    <n v="0"/>
    <n v="0"/>
    <n v="0"/>
    <n v="0"/>
    <n v="0"/>
  </r>
  <r>
    <d v="2019-07-23T00:00:00"/>
    <n v="2019"/>
    <x v="17"/>
    <s v="R"/>
    <s v="RS"/>
    <x v="8"/>
    <s v="IND"/>
    <s v="H"/>
    <n v="2"/>
    <n v="1"/>
    <n v="1"/>
    <n v="-1"/>
    <n v="8"/>
    <n v="-8"/>
    <n v="1530.6281463284763"/>
    <n v="1382.3629675793363"/>
    <n v="0.80676560645586182"/>
    <n v="95"/>
    <n v="77"/>
    <n v="0"/>
    <n v="18"/>
    <n v="1"/>
    <n v="0.48670004157518859"/>
    <n v="1"/>
    <n v="73.3"/>
    <n v="73.3"/>
    <n v="6.8936588343447598"/>
    <n v="1537.521805162821"/>
    <n v="1"/>
    <n v="0"/>
    <n v="0"/>
    <n v="0"/>
    <n v="0"/>
    <n v="0"/>
    <n v="0"/>
    <n v="0"/>
    <n v="0"/>
    <n v="0"/>
  </r>
  <r>
    <d v="2019-07-24T00:00:00"/>
    <n v="2019"/>
    <x v="18"/>
    <s v="R"/>
    <s v="RS"/>
    <x v="3"/>
    <s v="CON"/>
    <s v="A"/>
    <n v="3"/>
    <n v="4"/>
    <n v="-1"/>
    <n v="1"/>
    <n v="-8"/>
    <n v="8"/>
    <n v="1413.8685423033587"/>
    <n v="1583.0338760093791"/>
    <n v="0.17516713359664521"/>
    <n v="63"/>
    <n v="70"/>
    <n v="0"/>
    <n v="-7"/>
    <n v="0"/>
    <n v="0.32437909144429511"/>
    <n v="1"/>
    <n v="73.150000000000006"/>
    <n v="73.150000000000006"/>
    <n v="-4.1564236455766777"/>
    <n v="1409.712118657782"/>
    <n v="0"/>
    <n v="1"/>
    <n v="0"/>
    <n v="0"/>
    <n v="0"/>
    <n v="0"/>
    <n v="0"/>
    <n v="0"/>
    <n v="0"/>
    <n v="0"/>
  </r>
  <r>
    <d v="2019-07-24T00:00:00"/>
    <n v="2019"/>
    <x v="18"/>
    <s v="R"/>
    <s v="RS"/>
    <x v="5"/>
    <s v="NYL"/>
    <s v="H"/>
    <n v="4"/>
    <n v="3"/>
    <n v="1"/>
    <n v="-1"/>
    <n v="8"/>
    <n v="-8"/>
    <n v="1583.0338760093791"/>
    <n v="1413.8685423033587"/>
    <n v="0.82483286640335485"/>
    <n v="70"/>
    <n v="63"/>
    <n v="0"/>
    <n v="7"/>
    <n v="1"/>
    <n v="0.32437909144429511"/>
    <n v="1"/>
    <n v="73.150000000000006"/>
    <n v="73.150000000000006"/>
    <n v="4.1564236455766759"/>
    <n v="1587.1902996549559"/>
    <n v="1"/>
    <n v="0"/>
    <n v="0"/>
    <n v="0"/>
    <n v="0"/>
    <n v="0"/>
    <n v="0"/>
    <n v="0"/>
    <n v="0"/>
    <n v="0"/>
  </r>
  <r>
    <d v="2019-07-24T00:00:00"/>
    <n v="2019"/>
    <x v="17"/>
    <s v="R"/>
    <s v="RS"/>
    <x v="4"/>
    <s v="MIN"/>
    <s v="A"/>
    <n v="2"/>
    <n v="2"/>
    <n v="0"/>
    <n v="0"/>
    <n v="0"/>
    <n v="0"/>
    <n v="1596.1544292231597"/>
    <n v="1510.8269638677045"/>
    <n v="0.50191036691590429"/>
    <n v="79"/>
    <n v="71"/>
    <n v="0"/>
    <n v="8"/>
    <n v="1"/>
    <n v="0.36253690562407842"/>
    <n v="1"/>
    <n v="73.3"/>
    <n v="73.3"/>
    <n v="13.236211586317589"/>
    <n v="1609.3906408094772"/>
    <n v="1"/>
    <n v="0"/>
    <n v="0"/>
    <n v="0"/>
    <n v="0"/>
    <n v="0"/>
    <n v="0"/>
    <n v="0"/>
    <n v="0"/>
    <n v="0"/>
  </r>
  <r>
    <d v="2019-07-24T00:00:00"/>
    <n v="2019"/>
    <x v="19"/>
    <s v="R"/>
    <s v="RS"/>
    <x v="7"/>
    <s v="WAS"/>
    <s v="H"/>
    <n v="2"/>
    <n v="2"/>
    <n v="0"/>
    <n v="0"/>
    <n v="0"/>
    <n v="0"/>
    <n v="1510.8269638677045"/>
    <n v="1596.1544292231597"/>
    <n v="0.49808963308409571"/>
    <n v="71"/>
    <n v="79"/>
    <n v="0"/>
    <n v="-8"/>
    <n v="0"/>
    <n v="0.36253690562407842"/>
    <n v="1"/>
    <n v="73"/>
    <n v="73"/>
    <n v="-13.182038824027067"/>
    <n v="1497.6449250436774"/>
    <n v="0"/>
    <n v="1"/>
    <n v="0"/>
    <n v="0"/>
    <n v="0"/>
    <n v="0"/>
    <n v="0"/>
    <n v="0"/>
    <n v="0"/>
    <n v="0"/>
  </r>
  <r>
    <d v="2019-07-30T00:00:00"/>
    <n v="2019"/>
    <x v="19"/>
    <s v="R"/>
    <s v="RS"/>
    <x v="6"/>
    <s v="CON"/>
    <s v="A"/>
    <n v="8"/>
    <n v="5"/>
    <n v="3"/>
    <n v="-3"/>
    <n v="16"/>
    <n v="-16"/>
    <n v="1500.3801833769016"/>
    <n v="1587.1902996549559"/>
    <n v="0.31022764391404201"/>
    <n v="94"/>
    <n v="100"/>
    <n v="0"/>
    <n v="-6"/>
    <n v="0"/>
    <n v="0.32758284068238103"/>
    <n v="1"/>
    <n v="73"/>
    <n v="73"/>
    <n v="-7.4186434581641763"/>
    <n v="1492.9615399187376"/>
    <n v="0"/>
    <n v="1"/>
    <n v="0"/>
    <n v="0"/>
    <n v="0"/>
    <n v="0"/>
    <n v="0"/>
    <n v="0"/>
    <n v="0"/>
    <n v="0"/>
  </r>
  <r>
    <d v="2019-07-30T00:00:00"/>
    <n v="2019"/>
    <x v="19"/>
    <s v="R"/>
    <s v="RS"/>
    <x v="5"/>
    <s v="CHI"/>
    <s v="H"/>
    <n v="5"/>
    <n v="8"/>
    <n v="-3"/>
    <n v="3"/>
    <n v="-16"/>
    <n v="16"/>
    <n v="1587.1902996549559"/>
    <n v="1500.3801833769016"/>
    <n v="0.68977235608595799"/>
    <n v="100"/>
    <n v="94"/>
    <n v="0"/>
    <n v="6"/>
    <n v="1"/>
    <n v="0.32758284068238103"/>
    <n v="1"/>
    <n v="73"/>
    <n v="73"/>
    <n v="7.4186434581641763"/>
    <n v="1594.6089431131199"/>
    <n v="1"/>
    <n v="0"/>
    <n v="0"/>
    <n v="0"/>
    <n v="0"/>
    <n v="0"/>
    <n v="0"/>
    <n v="0"/>
    <n v="0"/>
    <n v="0"/>
  </r>
  <r>
    <d v="2019-07-30T00:00:00"/>
    <n v="2019"/>
    <x v="19"/>
    <s v="R"/>
    <s v="RS"/>
    <x v="0"/>
    <s v="LVA"/>
    <s v="A"/>
    <n v="9"/>
    <n v="6"/>
    <n v="3"/>
    <n v="-3"/>
    <n v="16"/>
    <n v="-16"/>
    <n v="1387.6676876190782"/>
    <n v="1575.6604073766023"/>
    <n v="0.20076673343481807"/>
    <n v="54"/>
    <n v="86"/>
    <n v="0"/>
    <n v="-32"/>
    <n v="0"/>
    <n v="0.62883085944434147"/>
    <n v="1"/>
    <n v="73"/>
    <n v="73"/>
    <n v="-9.2161271799564251"/>
    <n v="1378.4515604391217"/>
    <n v="0"/>
    <n v="1"/>
    <n v="0"/>
    <n v="0"/>
    <n v="0"/>
    <n v="0"/>
    <n v="0"/>
    <n v="0"/>
    <n v="0"/>
    <n v="0"/>
  </r>
  <r>
    <d v="2019-07-30T00:00:00"/>
    <n v="2019"/>
    <x v="19"/>
    <s v="R"/>
    <s v="RS"/>
    <x v="11"/>
    <s v="DAL"/>
    <s v="H"/>
    <n v="6"/>
    <n v="9"/>
    <n v="-3"/>
    <n v="3"/>
    <n v="-16"/>
    <n v="16"/>
    <n v="1575.6604073766023"/>
    <n v="1387.6676876190782"/>
    <n v="0.7992332665651819"/>
    <n v="86"/>
    <n v="54"/>
    <n v="0"/>
    <n v="32"/>
    <n v="1"/>
    <n v="0.62883085944434147"/>
    <n v="1"/>
    <n v="73"/>
    <n v="73"/>
    <n v="9.2161271799564251"/>
    <n v="1584.8765345565587"/>
    <n v="1"/>
    <n v="0"/>
    <n v="0"/>
    <n v="0"/>
    <n v="0"/>
    <n v="0"/>
    <n v="0"/>
    <n v="0"/>
    <n v="0"/>
    <n v="0"/>
  </r>
  <r>
    <d v="2019-07-30T00:00:00"/>
    <n v="2019"/>
    <x v="18"/>
    <s v="R"/>
    <s v="RS"/>
    <x v="8"/>
    <s v="WAS"/>
    <s v="A"/>
    <n v="6"/>
    <n v="5"/>
    <n v="1"/>
    <n v="-1"/>
    <n v="8"/>
    <n v="-8"/>
    <n v="1537.521805162821"/>
    <n v="1609.3906408094772"/>
    <n v="0.30892501865942157"/>
    <n v="93"/>
    <n v="99"/>
    <n v="0"/>
    <n v="-6"/>
    <n v="0"/>
    <n v="0.33143112048568124"/>
    <n v="1"/>
    <n v="73.150000000000006"/>
    <n v="73.150000000000006"/>
    <n v="-7.4896357556277549"/>
    <n v="1530.0321694071934"/>
    <n v="0"/>
    <n v="1"/>
    <n v="0"/>
    <n v="0"/>
    <n v="0"/>
    <n v="0"/>
    <n v="0"/>
    <n v="0"/>
    <n v="0"/>
    <n v="0"/>
  </r>
  <r>
    <d v="2019-07-30T00:00:00"/>
    <n v="2019"/>
    <x v="18"/>
    <s v="R"/>
    <s v="RS"/>
    <x v="4"/>
    <s v="PHX"/>
    <s v="H"/>
    <n v="5"/>
    <n v="6"/>
    <n v="-1"/>
    <n v="1"/>
    <n v="-8"/>
    <n v="8"/>
    <n v="1609.3906408094772"/>
    <n v="1537.521805162821"/>
    <n v="0.69107498134057832"/>
    <n v="99"/>
    <n v="93"/>
    <n v="0"/>
    <n v="6"/>
    <n v="1"/>
    <n v="0.33143112048568124"/>
    <n v="1"/>
    <n v="73.150000000000006"/>
    <n v="73.150000000000006"/>
    <n v="7.4896357556277575"/>
    <n v="1616.8802765651049"/>
    <n v="1"/>
    <n v="0"/>
    <n v="0"/>
    <n v="0"/>
    <n v="0"/>
    <n v="0"/>
    <n v="0"/>
    <n v="0"/>
    <n v="0"/>
    <n v="0"/>
  </r>
  <r>
    <d v="2019-07-31T00:00:00"/>
    <n v="2019"/>
    <x v="20"/>
    <s v="R"/>
    <s v="RS"/>
    <x v="1"/>
    <s v="IND"/>
    <s v="A"/>
    <n v="7"/>
    <n v="7"/>
    <n v="0"/>
    <n v="0"/>
    <n v="0"/>
    <n v="0"/>
    <n v="1400.1731555140736"/>
    <n v="1375.5116299793087"/>
    <n v="0.41542579606032926"/>
    <n v="59"/>
    <n v="61"/>
    <n v="0"/>
    <n v="-2"/>
    <n v="0"/>
    <n v="0.26244768719361539"/>
    <n v="1"/>
    <n v="72.849999999999994"/>
    <n v="72.849999999999994"/>
    <n v="-7.9426562435853061"/>
    <n v="1392.2304992704883"/>
    <n v="0"/>
    <n v="1"/>
    <n v="0"/>
    <n v="0"/>
    <n v="0"/>
    <n v="0"/>
    <n v="0"/>
    <n v="0"/>
    <n v="0"/>
    <n v="0"/>
  </r>
  <r>
    <d v="2019-07-31T00:00:00"/>
    <n v="2019"/>
    <x v="21"/>
    <s v="R"/>
    <s v="RS"/>
    <x v="2"/>
    <s v="ATL"/>
    <s v="H"/>
    <n v="7"/>
    <n v="7"/>
    <n v="0"/>
    <n v="0"/>
    <n v="0"/>
    <n v="0"/>
    <n v="1375.5116299793087"/>
    <n v="1400.1731555140736"/>
    <n v="0.58457420393967074"/>
    <n v="61"/>
    <n v="59"/>
    <n v="0"/>
    <n v="2"/>
    <n v="1"/>
    <n v="0.26244768719361539"/>
    <n v="1"/>
    <n v="72.7"/>
    <n v="72.7"/>
    <n v="7.9263021126788162"/>
    <n v="1383.4379320919875"/>
    <n v="1"/>
    <n v="0"/>
    <n v="0"/>
    <n v="0"/>
    <n v="0"/>
    <n v="0"/>
    <n v="0"/>
    <n v="0"/>
    <n v="0"/>
    <n v="0"/>
  </r>
  <r>
    <d v="2019-08-01T00:00:00"/>
    <n v="2019"/>
    <x v="19"/>
    <s v="R"/>
    <s v="RS"/>
    <x v="8"/>
    <s v="CON"/>
    <s v="A"/>
    <n v="1"/>
    <n v="1"/>
    <n v="0"/>
    <n v="0"/>
    <n v="0"/>
    <n v="0"/>
    <n v="1530.0321694071934"/>
    <n v="1594.6089431131199"/>
    <n v="0.29832713029701252"/>
    <n v="62"/>
    <n v="68"/>
    <n v="0"/>
    <n v="-6"/>
    <n v="0"/>
    <n v="0.33334228658482151"/>
    <n v="1"/>
    <n v="73"/>
    <n v="73"/>
    <n v="-7.259488486735072"/>
    <n v="1522.7726809204582"/>
    <n v="0"/>
    <n v="1"/>
    <n v="0"/>
    <n v="0"/>
    <n v="0"/>
    <n v="0"/>
    <n v="0"/>
    <n v="0"/>
    <n v="0"/>
    <n v="0"/>
  </r>
  <r>
    <d v="2019-08-01T00:00:00"/>
    <n v="2019"/>
    <x v="20"/>
    <s v="R"/>
    <s v="RS"/>
    <x v="5"/>
    <s v="PHX"/>
    <s v="H"/>
    <n v="1"/>
    <n v="1"/>
    <n v="0"/>
    <n v="0"/>
    <n v="0"/>
    <n v="0"/>
    <n v="1594.6089431131199"/>
    <n v="1530.0321694071934"/>
    <n v="0.70167286970298748"/>
    <n v="68"/>
    <n v="62"/>
    <n v="0"/>
    <n v="6"/>
    <n v="1"/>
    <n v="0.33334228658482151"/>
    <n v="1"/>
    <n v="72.849999999999994"/>
    <n v="72.849999999999994"/>
    <n v="7.2445717295705476"/>
    <n v="1601.8535148426904"/>
    <n v="1"/>
    <n v="0"/>
    <n v="0"/>
    <n v="0"/>
    <n v="0"/>
    <n v="0"/>
    <n v="0"/>
    <n v="0"/>
    <n v="0"/>
    <n v="0"/>
  </r>
  <r>
    <d v="2019-08-01T00:00:00"/>
    <n v="2019"/>
    <x v="19"/>
    <s v="R"/>
    <s v="RS"/>
    <x v="3"/>
    <s v="DAL"/>
    <s v="A"/>
    <n v="7"/>
    <n v="1"/>
    <n v="6"/>
    <n v="-6"/>
    <n v="16"/>
    <n v="-16"/>
    <n v="1409.712118657782"/>
    <n v="1378.4515604391217"/>
    <n v="0.47018894368477532"/>
    <n v="64"/>
    <n v="87"/>
    <n v="0"/>
    <n v="-23"/>
    <n v="0"/>
    <n v="0.59971491667256693"/>
    <n v="1"/>
    <n v="73"/>
    <n v="73"/>
    <n v="-20.584490592306242"/>
    <n v="1389.1276280654756"/>
    <n v="0"/>
    <n v="1"/>
    <n v="0"/>
    <n v="0"/>
    <n v="0"/>
    <n v="0"/>
    <n v="0"/>
    <n v="0"/>
    <n v="0"/>
    <n v="0"/>
  </r>
  <r>
    <d v="2019-08-01T00:00:00"/>
    <n v="2019"/>
    <x v="20"/>
    <s v="R"/>
    <s v="RS"/>
    <x v="0"/>
    <s v="NYL"/>
    <s v="H"/>
    <n v="1"/>
    <n v="7"/>
    <n v="-6"/>
    <n v="6"/>
    <n v="-16"/>
    <n v="16"/>
    <n v="1378.4515604391217"/>
    <n v="1409.712118657782"/>
    <n v="0.52981105631522474"/>
    <n v="87"/>
    <n v="64"/>
    <n v="0"/>
    <n v="23"/>
    <n v="1"/>
    <n v="0.59971491667256693"/>
    <n v="1"/>
    <n v="72.849999999999994"/>
    <n v="72.849999999999994"/>
    <n v="20.542193693828896"/>
    <n v="1398.9937541329507"/>
    <n v="1"/>
    <n v="0"/>
    <n v="0"/>
    <n v="0"/>
    <n v="0"/>
    <n v="0"/>
    <n v="0"/>
    <n v="0"/>
    <n v="0"/>
    <n v="0"/>
  </r>
  <r>
    <d v="2019-08-01T00:00:00"/>
    <n v="2019"/>
    <x v="20"/>
    <s v="R"/>
    <s v="RS"/>
    <x v="11"/>
    <s v="LAS"/>
    <s v="A"/>
    <n v="1"/>
    <n v="8"/>
    <n v="-7"/>
    <n v="7"/>
    <n v="-16"/>
    <n v="16"/>
    <n v="1584.8765345565587"/>
    <n v="1542.5077604752903"/>
    <n v="0.39559455394633936"/>
    <n v="68"/>
    <n v="76"/>
    <n v="0"/>
    <n v="-8"/>
    <n v="0"/>
    <n v="0.37507272536545982"/>
    <n v="1"/>
    <n v="72.849999999999994"/>
    <n v="72.849999999999994"/>
    <n v="-10.809244597528986"/>
    <n v="1574.0672899590297"/>
    <n v="0"/>
    <n v="1"/>
    <n v="0"/>
    <n v="0"/>
    <n v="0"/>
    <n v="0"/>
    <n v="0"/>
    <n v="0"/>
    <n v="0"/>
    <n v="0"/>
  </r>
  <r>
    <d v="2019-08-01T00:00:00"/>
    <n v="2019"/>
    <x v="19"/>
    <s v="R"/>
    <s v="RS"/>
    <x v="10"/>
    <s v="LVA"/>
    <s v="H"/>
    <n v="8"/>
    <n v="1"/>
    <n v="7"/>
    <n v="-7"/>
    <n v="16"/>
    <n v="-16"/>
    <n v="1542.5077604752903"/>
    <n v="1584.8765345565587"/>
    <n v="0.60440544605366064"/>
    <n v="76"/>
    <n v="68"/>
    <n v="0"/>
    <n v="8"/>
    <n v="1"/>
    <n v="0.37507272536545982"/>
    <n v="1"/>
    <n v="73"/>
    <n v="73"/>
    <n v="10.831501106652246"/>
    <n v="1553.3392615819425"/>
    <n v="1"/>
    <n v="0"/>
    <n v="0"/>
    <n v="0"/>
    <n v="0"/>
    <n v="0"/>
    <n v="0"/>
    <n v="0"/>
    <n v="0"/>
    <n v="0"/>
  </r>
  <r>
    <d v="2019-08-02T00:00:00"/>
    <n v="2019"/>
    <x v="19"/>
    <s v="R"/>
    <s v="RS"/>
    <x v="4"/>
    <s v="SEA"/>
    <s v="A"/>
    <n v="2"/>
    <n v="9"/>
    <n v="-7"/>
    <n v="7"/>
    <n v="-16"/>
    <n v="16"/>
    <n v="1616.8802765651049"/>
    <n v="1577.1469553390034"/>
    <n v="0.39197300832136156"/>
    <n v="99"/>
    <n v="79"/>
    <n v="0"/>
    <n v="20"/>
    <n v="1"/>
    <n v="0.55646228016871246"/>
    <n v="1"/>
    <n v="73"/>
    <n v="73"/>
    <n v="24.699118292134109"/>
    <n v="1641.5793948572389"/>
    <n v="1"/>
    <n v="0"/>
    <n v="0"/>
    <n v="0"/>
    <n v="0"/>
    <n v="0"/>
    <n v="0"/>
    <n v="0"/>
    <n v="0"/>
    <n v="0"/>
  </r>
  <r>
    <d v="2019-08-02T00:00:00"/>
    <n v="2019"/>
    <x v="21"/>
    <s v="R"/>
    <s v="RS"/>
    <x v="9"/>
    <s v="WAS"/>
    <s v="H"/>
    <n v="9"/>
    <n v="2"/>
    <n v="7"/>
    <n v="-7"/>
    <n v="16"/>
    <n v="-16"/>
    <n v="1577.1469553390034"/>
    <n v="1616.8802765651049"/>
    <n v="0.6080269916786385"/>
    <n v="79"/>
    <n v="99"/>
    <n v="0"/>
    <n v="-20"/>
    <n v="0"/>
    <n v="0.55646228016871246"/>
    <n v="1"/>
    <n v="72.7"/>
    <n v="72.7"/>
    <n v="-24.597615066276024"/>
    <n v="1552.5493402727275"/>
    <n v="0"/>
    <n v="1"/>
    <n v="0"/>
    <n v="0"/>
    <n v="0"/>
    <n v="0"/>
    <n v="0"/>
    <n v="0"/>
    <n v="0"/>
    <n v="0"/>
  </r>
  <r>
    <d v="2019-08-03T00:00:00"/>
    <n v="2019"/>
    <x v="20"/>
    <s v="R"/>
    <s v="RS"/>
    <x v="6"/>
    <s v="ATL"/>
    <s v="A"/>
    <n v="3"/>
    <n v="2"/>
    <n v="1"/>
    <n v="-1"/>
    <n v="8"/>
    <n v="-8"/>
    <n v="1492.9615399187376"/>
    <n v="1392.2304992704883"/>
    <n v="0.54696489738308685"/>
    <n v="87"/>
    <n v="75"/>
    <n v="0"/>
    <n v="12"/>
    <n v="1"/>
    <n v="0.42080592727229893"/>
    <n v="1"/>
    <n v="72.849999999999994"/>
    <n v="72.849999999999994"/>
    <n v="13.888113541917077"/>
    <n v="1506.8496534606547"/>
    <n v="1"/>
    <n v="0"/>
    <n v="0"/>
    <n v="0"/>
    <n v="0"/>
    <n v="0"/>
    <n v="0"/>
    <n v="0"/>
    <n v="0"/>
    <n v="0"/>
  </r>
  <r>
    <d v="2019-08-03T00:00:00"/>
    <n v="2019"/>
    <x v="21"/>
    <s v="R"/>
    <s v="RS"/>
    <x v="1"/>
    <s v="CHI"/>
    <s v="H"/>
    <n v="2"/>
    <n v="3"/>
    <n v="-1"/>
    <n v="1"/>
    <n v="-8"/>
    <n v="8"/>
    <n v="1392.2304992704883"/>
    <n v="1492.9615399187376"/>
    <n v="0.4530351026169131"/>
    <n v="75"/>
    <n v="87"/>
    <n v="0"/>
    <n v="-12"/>
    <n v="0"/>
    <n v="0.42080592727229893"/>
    <n v="1"/>
    <n v="72.7"/>
    <n v="72.7"/>
    <n v="-13.859517563450536"/>
    <n v="1378.3709817070378"/>
    <n v="0"/>
    <n v="1"/>
    <n v="0"/>
    <n v="0"/>
    <n v="0"/>
    <n v="0"/>
    <n v="0"/>
    <n v="0"/>
    <n v="0"/>
    <n v="0"/>
  </r>
  <r>
    <d v="2019-08-03T00:00:00"/>
    <n v="2019"/>
    <x v="21"/>
    <s v="R"/>
    <s v="RS"/>
    <x v="11"/>
    <s v="DAL"/>
    <s v="A"/>
    <n v="1"/>
    <n v="1"/>
    <n v="0"/>
    <n v="0"/>
    <n v="0"/>
    <n v="0"/>
    <n v="1574.0672899590297"/>
    <n v="1398.9937541329507"/>
    <n v="0.62814368651574037"/>
    <n v="75"/>
    <n v="70"/>
    <n v="0"/>
    <n v="5"/>
    <n v="1"/>
    <n v="0.28951700413195236"/>
    <n v="1"/>
    <n v="72.7"/>
    <n v="72.7"/>
    <n v="7.8267893691143389"/>
    <n v="1581.894079328144"/>
    <n v="1"/>
    <n v="0"/>
    <n v="0"/>
    <n v="0"/>
    <n v="0"/>
    <n v="0"/>
    <n v="0"/>
    <n v="0"/>
    <n v="0"/>
    <n v="0"/>
  </r>
  <r>
    <d v="2019-08-03T00:00:00"/>
    <n v="2019"/>
    <x v="21"/>
    <s v="R"/>
    <s v="RS"/>
    <x v="0"/>
    <s v="LVA"/>
    <s v="H"/>
    <n v="1"/>
    <n v="1"/>
    <n v="0"/>
    <n v="0"/>
    <n v="0"/>
    <n v="0"/>
    <n v="1398.9937541329507"/>
    <n v="1574.0672899590297"/>
    <n v="0.37185631348425963"/>
    <n v="70"/>
    <n v="75"/>
    <n v="0"/>
    <n v="-5"/>
    <n v="0"/>
    <n v="0.28951700413195236"/>
    <n v="1"/>
    <n v="72.7"/>
    <n v="72.7"/>
    <n v="-7.8267893691143389"/>
    <n v="1391.1669647638364"/>
    <n v="0"/>
    <n v="1"/>
    <n v="0"/>
    <n v="0"/>
    <n v="0"/>
    <n v="0"/>
    <n v="0"/>
    <n v="0"/>
    <n v="0"/>
    <n v="0"/>
  </r>
  <r>
    <d v="2019-08-03T00:00:00"/>
    <n v="2019"/>
    <x v="20"/>
    <s v="R"/>
    <s v="RS"/>
    <x v="7"/>
    <s v="IND"/>
    <s v="A"/>
    <n v="9"/>
    <n v="2"/>
    <n v="7"/>
    <n v="-7"/>
    <n v="16"/>
    <n v="-16"/>
    <n v="1497.6449250436774"/>
    <n v="1383.4379320919875"/>
    <n v="0.58857854002177046"/>
    <n v="75"/>
    <n v="86"/>
    <n v="0"/>
    <n v="-11"/>
    <n v="0"/>
    <n v="0.40161341945359713"/>
    <n v="1"/>
    <n v="72.849999999999994"/>
    <n v="72.849999999999994"/>
    <n v="-17.220358769474611"/>
    <n v="1480.4245662742028"/>
    <n v="0"/>
    <n v="1"/>
    <n v="0"/>
    <n v="0"/>
    <n v="0"/>
    <n v="0"/>
    <n v="0"/>
    <n v="0"/>
    <n v="0"/>
    <n v="0"/>
  </r>
  <r>
    <d v="2019-08-03T00:00:00"/>
    <n v="2019"/>
    <x v="22"/>
    <s v="R"/>
    <s v="RS"/>
    <x v="2"/>
    <s v="MIN"/>
    <s v="H"/>
    <n v="2"/>
    <n v="9"/>
    <n v="-7"/>
    <n v="7"/>
    <n v="-16"/>
    <n v="16"/>
    <n v="1383.4379320919875"/>
    <n v="1497.6449250436774"/>
    <n v="0.41142145997822954"/>
    <n v="86"/>
    <n v="75"/>
    <n v="0"/>
    <n v="11"/>
    <n v="1"/>
    <n v="0.40161341945359713"/>
    <n v="1"/>
    <n v="72.55"/>
    <n v="72.55"/>
    <n v="17.149444457452066"/>
    <n v="1400.5873765494396"/>
    <n v="1"/>
    <n v="0"/>
    <n v="0"/>
    <n v="0"/>
    <n v="0"/>
    <n v="0"/>
    <n v="0"/>
    <n v="0"/>
    <n v="0"/>
    <n v="0"/>
  </r>
  <r>
    <d v="2019-08-04T00:00:00"/>
    <n v="2019"/>
    <x v="22"/>
    <s v="R"/>
    <s v="RS"/>
    <x v="9"/>
    <s v="LAS"/>
    <s v="A"/>
    <n v="1"/>
    <n v="2"/>
    <n v="-1"/>
    <n v="1"/>
    <n v="-8"/>
    <n v="8"/>
    <n v="1552.5493402727275"/>
    <n v="1553.3392615819425"/>
    <n v="0.35888808759955593"/>
    <n v="75"/>
    <n v="83"/>
    <n v="0"/>
    <n v="-8"/>
    <n v="0"/>
    <n v="0.38806008755932303"/>
    <n v="1"/>
    <n v="72.55"/>
    <n v="72.55"/>
    <n v="-10.104048852731315"/>
    <n v="1542.4452914199962"/>
    <n v="0"/>
    <n v="1"/>
    <n v="0"/>
    <n v="0"/>
    <n v="0"/>
    <n v="0"/>
    <n v="0"/>
    <n v="0"/>
    <n v="0"/>
    <n v="0"/>
  </r>
  <r>
    <d v="2019-08-04T00:00:00"/>
    <n v="2019"/>
    <x v="20"/>
    <s v="R"/>
    <s v="RS"/>
    <x v="10"/>
    <s v="SEA"/>
    <s v="H"/>
    <n v="2"/>
    <n v="1"/>
    <n v="1"/>
    <n v="-1"/>
    <n v="8"/>
    <n v="-8"/>
    <n v="1553.3392615819425"/>
    <n v="1552.5493402727275"/>
    <n v="0.64111191240044407"/>
    <n v="83"/>
    <n v="75"/>
    <n v="0"/>
    <n v="8"/>
    <n v="1"/>
    <n v="0.38806008755932303"/>
    <n v="1"/>
    <n v="72.849999999999994"/>
    <n v="72.849999999999994"/>
    <n v="10.145829895540679"/>
    <n v="1563.4850914774831"/>
    <n v="1"/>
    <n v="0"/>
    <n v="0"/>
    <n v="0"/>
    <n v="0"/>
    <n v="0"/>
    <n v="0"/>
    <n v="0"/>
    <n v="0"/>
    <n v="0"/>
  </r>
  <r>
    <d v="2019-08-04T00:00:00"/>
    <n v="2019"/>
    <x v="21"/>
    <s v="R"/>
    <s v="RS"/>
    <x v="5"/>
    <s v="NYL"/>
    <s v="A"/>
    <n v="2"/>
    <n v="2"/>
    <n v="0"/>
    <n v="0"/>
    <n v="0"/>
    <n v="0"/>
    <n v="1601.8535148426904"/>
    <n v="1389.1276280654756"/>
    <n v="0.67721575126860711"/>
    <n v="94"/>
    <n v="79"/>
    <n v="0"/>
    <n v="15"/>
    <n v="1"/>
    <n v="0.42713001814602863"/>
    <n v="1"/>
    <n v="72.7"/>
    <n v="72.7"/>
    <n v="10.023210214700754"/>
    <n v="1611.8767250573912"/>
    <n v="1"/>
    <n v="0"/>
    <n v="0"/>
    <n v="0"/>
    <n v="0"/>
    <n v="0"/>
    <n v="0"/>
    <n v="0"/>
    <n v="0"/>
    <n v="0"/>
  </r>
  <r>
    <d v="2019-08-04T00:00:00"/>
    <n v="2019"/>
    <x v="20"/>
    <s v="R"/>
    <s v="RS"/>
    <x v="3"/>
    <s v="CON"/>
    <s v="H"/>
    <n v="2"/>
    <n v="2"/>
    <n v="0"/>
    <n v="0"/>
    <n v="0"/>
    <n v="0"/>
    <n v="1389.1276280654756"/>
    <n v="1601.8535148426904"/>
    <n v="0.32278424873139294"/>
    <n v="79"/>
    <n v="94"/>
    <n v="0"/>
    <n v="-15"/>
    <n v="0"/>
    <n v="0.42713001814602863"/>
    <n v="1"/>
    <n v="72.849999999999994"/>
    <n v="72.849999999999994"/>
    <n v="-10.043890841003437"/>
    <n v="1379.0837372244721"/>
    <n v="0"/>
    <n v="1"/>
    <n v="0"/>
    <n v="0"/>
    <n v="0"/>
    <n v="0"/>
    <n v="0"/>
    <n v="0"/>
    <n v="0"/>
    <n v="0"/>
  </r>
  <r>
    <d v="2019-08-04T00:00:00"/>
    <n v="2019"/>
    <x v="20"/>
    <s v="R"/>
    <s v="RS"/>
    <x v="4"/>
    <s v="PHX"/>
    <s v="A"/>
    <n v="1"/>
    <n v="2"/>
    <n v="-1"/>
    <n v="1"/>
    <n v="-8"/>
    <n v="8"/>
    <n v="1641.5793948572389"/>
    <n v="1522.7726809204582"/>
    <n v="0.52703863381415073"/>
    <n v="82"/>
    <n v="103"/>
    <n v="0"/>
    <n v="-21"/>
    <n v="0"/>
    <n v="0.53555349685514408"/>
    <n v="1"/>
    <n v="72.849999999999994"/>
    <n v="72.849999999999994"/>
    <n v="-20.562450374638072"/>
    <n v="1621.0169444826008"/>
    <n v="0"/>
    <n v="1"/>
    <n v="0"/>
    <n v="0"/>
    <n v="0"/>
    <n v="0"/>
    <n v="0"/>
    <n v="0"/>
    <n v="0"/>
    <n v="0"/>
  </r>
  <r>
    <d v="2019-08-04T00:00:00"/>
    <n v="2019"/>
    <x v="20"/>
    <s v="R"/>
    <s v="RS"/>
    <x v="8"/>
    <s v="WAS"/>
    <s v="H"/>
    <n v="2"/>
    <n v="1"/>
    <n v="1"/>
    <n v="-1"/>
    <n v="8"/>
    <n v="-8"/>
    <n v="1522.7726809204582"/>
    <n v="1641.5793948572389"/>
    <n v="0.47296136618584927"/>
    <n v="103"/>
    <n v="82"/>
    <n v="0"/>
    <n v="21"/>
    <n v="1"/>
    <n v="0.53555349685514408"/>
    <n v="1"/>
    <n v="72.849999999999994"/>
    <n v="72.849999999999994"/>
    <n v="20.562450374638072"/>
    <n v="1543.3351312950963"/>
    <n v="1"/>
    <n v="0"/>
    <n v="0"/>
    <n v="0"/>
    <n v="0"/>
    <n v="0"/>
    <n v="0"/>
    <n v="0"/>
    <n v="0"/>
    <n v="0"/>
  </r>
  <r>
    <d v="2019-08-05T00:00:00"/>
    <n v="2019"/>
    <x v="21"/>
    <s v="R"/>
    <s v="RS"/>
    <x v="4"/>
    <s v="LVA"/>
    <s v="A"/>
    <n v="0"/>
    <n v="1"/>
    <n v="-1"/>
    <n v="1"/>
    <n v="-8"/>
    <n v="8"/>
    <n v="1621.0169444826008"/>
    <n v="1581.894079328144"/>
    <n v="0.41327646391819539"/>
    <n v="99"/>
    <n v="70"/>
    <n v="0"/>
    <n v="29"/>
    <n v="1"/>
    <n v="0.66953452909588185"/>
    <n v="1"/>
    <n v="72.7"/>
    <n v="72.7"/>
    <n v="28.558862150188123"/>
    <n v="1649.575806632789"/>
    <n v="1"/>
    <n v="0"/>
    <n v="0"/>
    <n v="0"/>
    <n v="0"/>
    <n v="0"/>
    <n v="0"/>
    <n v="0"/>
    <n v="0"/>
    <n v="0"/>
  </r>
  <r>
    <d v="2019-08-05T00:00:00"/>
    <n v="2019"/>
    <x v="22"/>
    <s v="R"/>
    <s v="RS"/>
    <x v="11"/>
    <s v="WAS"/>
    <s v="H"/>
    <n v="1"/>
    <n v="0"/>
    <n v="1"/>
    <n v="-1"/>
    <n v="8"/>
    <n v="-8"/>
    <n v="1581.894079328144"/>
    <n v="1621.0169444826008"/>
    <n v="0.58672353608180461"/>
    <n v="70"/>
    <n v="99"/>
    <n v="0"/>
    <n v="-29"/>
    <n v="0"/>
    <n v="0.66953452909588185"/>
    <n v="1"/>
    <n v="72.55"/>
    <n v="72.55"/>
    <n v="-28.49993740022212"/>
    <n v="1553.394141927922"/>
    <n v="0"/>
    <n v="1"/>
    <n v="0"/>
    <n v="0"/>
    <n v="0"/>
    <n v="0"/>
    <n v="0"/>
    <n v="0"/>
    <n v="0"/>
    <n v="0"/>
  </r>
  <r>
    <d v="2019-08-06T00:00:00"/>
    <n v="2019"/>
    <x v="21"/>
    <s v="R"/>
    <s v="RS"/>
    <x v="7"/>
    <s v="ATL"/>
    <s v="A"/>
    <n v="2"/>
    <n v="2"/>
    <n v="0"/>
    <n v="0"/>
    <n v="0"/>
    <n v="0"/>
    <n v="1480.4245662742028"/>
    <n v="1378.3709817070378"/>
    <n v="0.52595783805573437"/>
    <n v="85"/>
    <n v="69"/>
    <n v="0"/>
    <n v="16"/>
    <n v="1"/>
    <n v="0.47720251002006508"/>
    <n v="1"/>
    <n v="72.7"/>
    <n v="72.7"/>
    <n v="16.445765763204804"/>
    <n v="1496.8703320374075"/>
    <n v="1"/>
    <n v="0"/>
    <n v="0"/>
    <n v="0"/>
    <n v="0"/>
    <n v="0"/>
    <n v="0"/>
    <n v="0"/>
    <n v="0"/>
    <n v="0"/>
  </r>
  <r>
    <d v="2019-08-06T00:00:00"/>
    <n v="2019"/>
    <x v="22"/>
    <s v="R"/>
    <s v="RS"/>
    <x v="1"/>
    <s v="MIN"/>
    <s v="H"/>
    <n v="2"/>
    <n v="2"/>
    <n v="0"/>
    <n v="0"/>
    <n v="0"/>
    <n v="0"/>
    <n v="1378.3709817070378"/>
    <n v="1480.4245662742028"/>
    <n v="0.47404216194426568"/>
    <n v="69"/>
    <n v="85"/>
    <n v="0"/>
    <n v="-16"/>
    <n v="0"/>
    <n v="0.47720251002006508"/>
    <n v="1"/>
    <n v="72.55"/>
    <n v="72.55"/>
    <n v="-16.411833646774536"/>
    <n v="1361.9591480602633"/>
    <n v="0"/>
    <n v="1"/>
    <n v="0"/>
    <n v="0"/>
    <n v="0"/>
    <n v="0"/>
    <n v="0"/>
    <n v="0"/>
    <n v="0"/>
    <n v="0"/>
  </r>
  <r>
    <d v="2019-08-07T00:00:00"/>
    <n v="2019"/>
    <x v="21"/>
    <s v="R"/>
    <s v="RS"/>
    <x v="3"/>
    <s v="CHI"/>
    <s v="A"/>
    <n v="2"/>
    <n v="3"/>
    <n v="-1"/>
    <n v="1"/>
    <n v="-8"/>
    <n v="8"/>
    <n v="1379.0837372244721"/>
    <n v="1506.8496534606547"/>
    <n v="0.21229848314861241"/>
    <n v="92"/>
    <n v="101"/>
    <n v="0"/>
    <n v="-9"/>
    <n v="0"/>
    <n v="0.3669064152193785"/>
    <n v="1"/>
    <n v="72.7"/>
    <n v="72.7"/>
    <n v="-5.6628702022029671"/>
    <n v="1373.420867022269"/>
    <n v="0"/>
    <n v="1"/>
    <n v="0"/>
    <n v="0"/>
    <n v="0"/>
    <n v="0"/>
    <n v="0"/>
    <n v="0"/>
    <n v="0"/>
    <n v="0"/>
  </r>
  <r>
    <d v="2019-08-07T00:00:00"/>
    <n v="2019"/>
    <x v="21"/>
    <s v="R"/>
    <s v="RS"/>
    <x v="6"/>
    <s v="NYL"/>
    <s v="H"/>
    <n v="3"/>
    <n v="2"/>
    <n v="1"/>
    <n v="-1"/>
    <n v="8"/>
    <n v="-8"/>
    <n v="1506.8496534606547"/>
    <n v="1379.0837372244721"/>
    <n v="0.78770151685138756"/>
    <n v="101"/>
    <n v="92"/>
    <n v="0"/>
    <n v="9"/>
    <n v="1"/>
    <n v="0.3669064152193785"/>
    <n v="1"/>
    <n v="72.7"/>
    <n v="72.7"/>
    <n v="5.662870202202968"/>
    <n v="1512.5125236628578"/>
    <n v="1"/>
    <n v="0"/>
    <n v="0"/>
    <n v="0"/>
    <n v="0"/>
    <n v="0"/>
    <n v="0"/>
    <n v="0"/>
    <n v="0"/>
    <n v="0"/>
  </r>
  <r>
    <d v="2019-08-08T00:00:00"/>
    <n v="2019"/>
    <x v="21"/>
    <s v="R"/>
    <s v="RS"/>
    <x v="8"/>
    <s v="LAS"/>
    <s v="A"/>
    <n v="3"/>
    <n v="3"/>
    <n v="0"/>
    <n v="0"/>
    <n v="0"/>
    <n v="0"/>
    <n v="1543.3351312950963"/>
    <n v="1563.4850914774831"/>
    <n v="0.35445000227441903"/>
    <n v="74"/>
    <n v="84"/>
    <n v="0"/>
    <n v="-10"/>
    <n v="0"/>
    <n v="0.41614199546655878"/>
    <n v="1"/>
    <n v="72.7"/>
    <n v="72.7"/>
    <n v="-10.723361321119141"/>
    <n v="1532.6117699739771"/>
    <n v="0"/>
    <n v="1"/>
    <n v="0"/>
    <n v="0"/>
    <n v="0"/>
    <n v="0"/>
    <n v="0"/>
    <n v="0"/>
    <n v="0"/>
    <n v="0"/>
  </r>
  <r>
    <d v="2019-08-08T00:00:00"/>
    <n v="2019"/>
    <x v="21"/>
    <s v="R"/>
    <s v="RS"/>
    <x v="10"/>
    <s v="PHX"/>
    <s v="H"/>
    <n v="3"/>
    <n v="3"/>
    <n v="0"/>
    <n v="0"/>
    <n v="0"/>
    <n v="0"/>
    <n v="1563.4850914774831"/>
    <n v="1543.3351312950963"/>
    <n v="0.64554999772558086"/>
    <n v="84"/>
    <n v="74"/>
    <n v="0"/>
    <n v="10"/>
    <n v="1"/>
    <n v="0.41614199546655878"/>
    <n v="1"/>
    <n v="72.7"/>
    <n v="72.7"/>
    <n v="10.723361321119144"/>
    <n v="1574.2084527986024"/>
    <n v="1"/>
    <n v="0"/>
    <n v="0"/>
    <n v="0"/>
    <n v="0"/>
    <n v="0"/>
    <n v="0"/>
    <n v="0"/>
    <n v="0"/>
    <n v="0"/>
  </r>
  <r>
    <d v="2019-08-08T00:00:00"/>
    <n v="2019"/>
    <x v="22"/>
    <s v="R"/>
    <s v="RS"/>
    <x v="0"/>
    <s v="SEA"/>
    <s v="A"/>
    <n v="4"/>
    <n v="3"/>
    <n v="1"/>
    <n v="-1"/>
    <n v="8"/>
    <n v="-8"/>
    <n v="1391.1669647638364"/>
    <n v="1542.4452914199962"/>
    <n v="0.22058379904248673"/>
    <n v="57"/>
    <n v="69"/>
    <n v="0"/>
    <n v="-12"/>
    <n v="0"/>
    <n v="0.4050648344566592"/>
    <n v="1"/>
    <n v="72.55"/>
    <n v="72.55"/>
    <n v="-6.4823961901171732"/>
    <n v="1384.6845685737192"/>
    <n v="0"/>
    <n v="1"/>
    <n v="0"/>
    <n v="0"/>
    <n v="0"/>
    <n v="0"/>
    <n v="0"/>
    <n v="0"/>
    <n v="0"/>
    <n v="0"/>
  </r>
  <r>
    <d v="2019-08-08T00:00:00"/>
    <n v="2019"/>
    <x v="23"/>
    <s v="R"/>
    <s v="RS"/>
    <x v="9"/>
    <s v="DAL"/>
    <s v="H"/>
    <n v="3"/>
    <n v="4"/>
    <n v="-1"/>
    <n v="1"/>
    <n v="-8"/>
    <n v="8"/>
    <n v="1542.4452914199962"/>
    <n v="1391.1669647638364"/>
    <n v="0.77941620095751341"/>
    <n v="69"/>
    <n v="57"/>
    <n v="0"/>
    <n v="12"/>
    <n v="1"/>
    <n v="0.4050648344566592"/>
    <n v="1"/>
    <n v="72.400000000000006"/>
    <n v="72.400000000000006"/>
    <n v="6.4689935791107249"/>
    <n v="1548.9142849991069"/>
    <n v="1"/>
    <n v="0"/>
    <n v="0"/>
    <n v="0"/>
    <n v="0"/>
    <n v="0"/>
    <n v="0"/>
    <n v="0"/>
    <n v="0"/>
    <n v="0"/>
  </r>
  <r>
    <d v="2019-08-08T00:00:00"/>
    <n v="2019"/>
    <x v="23"/>
    <s v="R"/>
    <s v="RS"/>
    <x v="2"/>
    <s v="WAS"/>
    <s v="A"/>
    <n v="4"/>
    <n v="2"/>
    <n v="2"/>
    <n v="-2"/>
    <n v="16"/>
    <n v="-16"/>
    <n v="1400.5873765494396"/>
    <n v="1649.575806632789"/>
    <n v="0.1502516514160013"/>
    <n v="78"/>
    <n v="91"/>
    <n v="0"/>
    <n v="-13"/>
    <n v="0"/>
    <n v="0.39092962719126562"/>
    <n v="1"/>
    <n v="72.400000000000006"/>
    <n v="72.400000000000006"/>
    <n v="-4.2526183180800876"/>
    <n v="1396.3347582313595"/>
    <n v="0"/>
    <n v="1"/>
    <n v="0"/>
    <n v="0"/>
    <n v="0"/>
    <n v="0"/>
    <n v="0"/>
    <n v="0"/>
    <n v="0"/>
    <n v="0"/>
  </r>
  <r>
    <d v="2019-08-08T00:00:00"/>
    <n v="2019"/>
    <x v="22"/>
    <s v="R"/>
    <s v="RS"/>
    <x v="4"/>
    <s v="IND"/>
    <s v="H"/>
    <n v="2"/>
    <n v="4"/>
    <n v="-2"/>
    <n v="2"/>
    <n v="-16"/>
    <n v="16"/>
    <n v="1649.575806632789"/>
    <n v="1400.5873765494396"/>
    <n v="0.84974834858399861"/>
    <n v="91"/>
    <n v="78"/>
    <n v="0"/>
    <n v="13"/>
    <n v="1"/>
    <n v="0.39092962719126562"/>
    <n v="1"/>
    <n v="72.55"/>
    <n v="72.55"/>
    <n v="4.2614289913910293"/>
    <n v="1653.83723562418"/>
    <n v="1"/>
    <n v="0"/>
    <n v="0"/>
    <n v="0"/>
    <n v="0"/>
    <n v="0"/>
    <n v="0"/>
    <n v="0"/>
    <n v="0"/>
    <n v="0"/>
  </r>
  <r>
    <d v="2019-08-09T00:00:00"/>
    <n v="2019"/>
    <x v="22"/>
    <s v="R"/>
    <s v="RS"/>
    <x v="6"/>
    <s v="LVA"/>
    <s v="A"/>
    <n v="1"/>
    <n v="3"/>
    <n v="-2"/>
    <n v="2"/>
    <n v="-16"/>
    <n v="16"/>
    <n v="1512.5125236628578"/>
    <n v="1553.394141927922"/>
    <n v="0.2884173134198374"/>
    <n v="87"/>
    <n v="84"/>
    <n v="0"/>
    <n v="3"/>
    <n v="1"/>
    <n v="0.28062324414581385"/>
    <n v="1"/>
    <n v="72.55"/>
    <n v="72.55"/>
    <n v="14.487265876092943"/>
    <n v="1526.9997895389508"/>
    <n v="1"/>
    <n v="0"/>
    <n v="0"/>
    <n v="0"/>
    <n v="0"/>
    <n v="0"/>
    <n v="0"/>
    <n v="0"/>
    <n v="0"/>
    <n v="0"/>
  </r>
  <r>
    <d v="2019-08-09T00:00:00"/>
    <n v="2019"/>
    <x v="23"/>
    <s v="R"/>
    <s v="RS"/>
    <x v="11"/>
    <s v="CHI"/>
    <s v="H"/>
    <n v="3"/>
    <n v="1"/>
    <n v="2"/>
    <n v="-2"/>
    <n v="16"/>
    <n v="-16"/>
    <n v="1553.394141927922"/>
    <n v="1512.5125236628578"/>
    <n v="0.71158268658016255"/>
    <n v="84"/>
    <n v="87"/>
    <n v="0"/>
    <n v="-3"/>
    <n v="0"/>
    <n v="0.28062324414581385"/>
    <n v="1"/>
    <n v="72.400000000000006"/>
    <n v="72.400000000000006"/>
    <n v="-14.457312879795024"/>
    <n v="1538.936829048127"/>
    <n v="0"/>
    <n v="1"/>
    <n v="0"/>
    <n v="0"/>
    <n v="0"/>
    <n v="0"/>
    <n v="0"/>
    <n v="0"/>
    <n v="0"/>
    <n v="0"/>
  </r>
  <r>
    <d v="2019-08-09T00:00:00"/>
    <n v="2019"/>
    <x v="22"/>
    <s v="R"/>
    <s v="RS"/>
    <x v="5"/>
    <s v="MIN"/>
    <s v="A"/>
    <n v="4"/>
    <n v="2"/>
    <n v="2"/>
    <n v="-2"/>
    <n v="16"/>
    <n v="-16"/>
    <n v="1611.8767250573912"/>
    <n v="1496.8703320374075"/>
    <n v="0.58969240740916973"/>
    <n v="57"/>
    <n v="89"/>
    <n v="0"/>
    <n v="-32"/>
    <n v="0"/>
    <n v="0.66373263240428149"/>
    <n v="1"/>
    <n v="72.55"/>
    <n v="72.55"/>
    <n v="-28.395931710885627"/>
    <n v="1583.4807933465056"/>
    <n v="0"/>
    <n v="1"/>
    <n v="0"/>
    <n v="0"/>
    <n v="0"/>
    <n v="0"/>
    <n v="0"/>
    <n v="0"/>
    <n v="0"/>
    <n v="0"/>
  </r>
  <r>
    <d v="2019-08-09T00:00:00"/>
    <n v="2019"/>
    <x v="22"/>
    <s v="R"/>
    <s v="RS"/>
    <x v="7"/>
    <s v="CON"/>
    <s v="H"/>
    <n v="2"/>
    <n v="4"/>
    <n v="-2"/>
    <n v="2"/>
    <n v="-16"/>
    <n v="16"/>
    <n v="1496.8703320374075"/>
    <n v="1611.8767250573912"/>
    <n v="0.41030759259083027"/>
    <n v="89"/>
    <n v="57"/>
    <n v="0"/>
    <n v="32"/>
    <n v="1"/>
    <n v="0.66373263240428149"/>
    <n v="1"/>
    <n v="72.55"/>
    <n v="72.55"/>
    <n v="28.395931710885627"/>
    <n v="1525.2662637482931"/>
    <n v="1"/>
    <n v="0"/>
    <n v="0"/>
    <n v="0"/>
    <n v="0"/>
    <n v="0"/>
    <n v="0"/>
    <n v="0"/>
    <n v="0"/>
    <n v="0"/>
  </r>
  <r>
    <d v="2019-08-10T00:00:00"/>
    <n v="2019"/>
    <x v="23"/>
    <s v="R"/>
    <s v="RS"/>
    <x v="1"/>
    <s v="IND"/>
    <s v="A"/>
    <n v="3"/>
    <n v="1"/>
    <n v="2"/>
    <n v="-2"/>
    <n v="16"/>
    <n v="-16"/>
    <n v="1361.9591480602633"/>
    <n v="1396.3347582313595"/>
    <n v="0.37819467599144857"/>
    <n v="82"/>
    <n v="87"/>
    <n v="0"/>
    <n v="-5"/>
    <n v="0"/>
    <n v="0.32251704203578346"/>
    <n v="1"/>
    <n v="72.400000000000006"/>
    <n v="72.400000000000006"/>
    <n v="-8.8309341227257114"/>
    <n v="1353.1282139375376"/>
    <n v="0"/>
    <n v="1"/>
    <n v="0"/>
    <n v="0"/>
    <n v="0"/>
    <n v="0"/>
    <n v="0"/>
    <n v="0"/>
    <n v="0"/>
    <n v="0"/>
  </r>
  <r>
    <d v="2019-08-10T00:00:00"/>
    <n v="2019"/>
    <x v="24"/>
    <s v="R"/>
    <s v="RS"/>
    <x v="2"/>
    <s v="ATL"/>
    <s v="H"/>
    <n v="1"/>
    <n v="3"/>
    <n v="-2"/>
    <n v="2"/>
    <n v="-16"/>
    <n v="16"/>
    <n v="1396.3347582313595"/>
    <n v="1361.9591480602633"/>
    <n v="0.62180532400855149"/>
    <n v="87"/>
    <n v="82"/>
    <n v="0"/>
    <n v="5"/>
    <n v="1"/>
    <n v="0.32251704203578346"/>
    <n v="1"/>
    <n v="72.25"/>
    <n v="72.25"/>
    <n v="8.8126379884935435"/>
    <n v="1405.1473962198531"/>
    <n v="1"/>
    <n v="0"/>
    <n v="0"/>
    <n v="0"/>
    <n v="0"/>
    <n v="0"/>
    <n v="0"/>
    <n v="0"/>
    <n v="0"/>
    <n v="0"/>
  </r>
  <r>
    <d v="2019-08-10T00:00:00"/>
    <n v="2019"/>
    <x v="23"/>
    <s v="R"/>
    <s v="RS"/>
    <x v="0"/>
    <s v="PHX"/>
    <s v="A"/>
    <n v="1"/>
    <n v="1"/>
    <n v="0"/>
    <n v="0"/>
    <n v="0"/>
    <n v="0"/>
    <n v="1384.6845685737192"/>
    <n v="1532.6117699739771"/>
    <n v="0.20832026704864715"/>
    <n v="80"/>
    <n v="77"/>
    <n v="0"/>
    <n v="3"/>
    <n v="1"/>
    <n v="0.25833756077977388"/>
    <n v="1"/>
    <n v="72.400000000000006"/>
    <n v="72.400000000000006"/>
    <n v="14.807292245771114"/>
    <n v="1399.4918608194903"/>
    <n v="1"/>
    <n v="0"/>
    <n v="0"/>
    <n v="0"/>
    <n v="0"/>
    <n v="0"/>
    <n v="0"/>
    <n v="0"/>
    <n v="0"/>
    <n v="0"/>
  </r>
  <r>
    <d v="2019-08-10T00:00:00"/>
    <n v="2019"/>
    <x v="22"/>
    <s v="R"/>
    <s v="RS"/>
    <x v="8"/>
    <s v="DAL"/>
    <s v="H"/>
    <n v="1"/>
    <n v="1"/>
    <n v="0"/>
    <n v="0"/>
    <n v="0"/>
    <n v="0"/>
    <n v="1532.6117699739771"/>
    <n v="1384.6845685737192"/>
    <n v="0.79167973295135285"/>
    <n v="77"/>
    <n v="80"/>
    <n v="0"/>
    <n v="-3"/>
    <n v="0"/>
    <n v="0.25833756077977388"/>
    <n v="1"/>
    <n v="72.55"/>
    <n v="72.55"/>
    <n v="-14.837970337440527"/>
    <n v="1517.7737996365365"/>
    <n v="0"/>
    <n v="1"/>
    <n v="0"/>
    <n v="0"/>
    <n v="0"/>
    <n v="0"/>
    <n v="0"/>
    <n v="0"/>
    <n v="0"/>
    <n v="0"/>
  </r>
  <r>
    <d v="2019-08-11T00:00:00"/>
    <n v="2019"/>
    <x v="23"/>
    <s v="R"/>
    <s v="RS"/>
    <x v="6"/>
    <s v="LAS"/>
    <s v="A"/>
    <n v="1"/>
    <n v="2"/>
    <n v="-1"/>
    <n v="1"/>
    <n v="-8"/>
    <n v="8"/>
    <n v="1526.9997895389508"/>
    <n v="1574.2084527986024"/>
    <n v="0.29997830249954638"/>
    <n v="81"/>
    <n v="84"/>
    <n v="0"/>
    <n v="-3"/>
    <n v="0"/>
    <n v="0.27919965245298739"/>
    <n v="1"/>
    <n v="72.400000000000006"/>
    <n v="72.400000000000006"/>
    <n v="-6.0637778568148786"/>
    <n v="1520.936011682136"/>
    <n v="0"/>
    <n v="1"/>
    <n v="0"/>
    <n v="0"/>
    <n v="0"/>
    <n v="0"/>
    <n v="0"/>
    <n v="0"/>
    <n v="0"/>
    <n v="0"/>
  </r>
  <r>
    <d v="2019-08-11T00:00:00"/>
    <n v="2019"/>
    <x v="22"/>
    <s v="R"/>
    <s v="RS"/>
    <x v="10"/>
    <s v="CHI"/>
    <s v="H"/>
    <n v="2"/>
    <n v="1"/>
    <n v="1"/>
    <n v="-1"/>
    <n v="8"/>
    <n v="-8"/>
    <n v="1574.2084527986024"/>
    <n v="1526.9997895389508"/>
    <n v="0.70002169750045362"/>
    <n v="84"/>
    <n v="81"/>
    <n v="0"/>
    <n v="3"/>
    <n v="1"/>
    <n v="0.27919965245298739"/>
    <n v="1"/>
    <n v="72.55"/>
    <n v="72.55"/>
    <n v="6.0763409324850741"/>
    <n v="1580.2847937310873"/>
    <n v="1"/>
    <n v="0"/>
    <n v="0"/>
    <n v="0"/>
    <n v="0"/>
    <n v="0"/>
    <n v="0"/>
    <n v="0"/>
    <n v="0"/>
    <n v="0"/>
  </r>
  <r>
    <d v="2019-08-11T00:00:00"/>
    <n v="2019"/>
    <x v="23"/>
    <s v="R"/>
    <s v="RS"/>
    <x v="5"/>
    <s v="LVA"/>
    <s v="A"/>
    <n v="1"/>
    <n v="1"/>
    <n v="0"/>
    <n v="0"/>
    <n v="0"/>
    <n v="0"/>
    <n v="1583.4807933465056"/>
    <n v="1538.936829048127"/>
    <n v="0.44346104665014546"/>
    <n v="81"/>
    <n v="89"/>
    <n v="0"/>
    <n v="-8"/>
    <n v="0"/>
    <n v="0.37441718040576066"/>
    <n v="1"/>
    <n v="72.400000000000006"/>
    <n v="72.400000000000006"/>
    <n v="-12.021255072753132"/>
    <n v="1571.4595382737525"/>
    <n v="0"/>
    <n v="1"/>
    <n v="0"/>
    <n v="0"/>
    <n v="0"/>
    <n v="0"/>
    <n v="0"/>
    <n v="0"/>
    <n v="0"/>
    <n v="0"/>
  </r>
  <r>
    <d v="2019-08-11T00:00:00"/>
    <n v="2019"/>
    <x v="24"/>
    <s v="R"/>
    <s v="RS"/>
    <x v="11"/>
    <s v="CON"/>
    <s v="H"/>
    <n v="1"/>
    <n v="1"/>
    <n v="0"/>
    <n v="0"/>
    <n v="0"/>
    <n v="0"/>
    <n v="1538.936829048127"/>
    <n v="1583.4807933465056"/>
    <n v="0.55653895334985459"/>
    <n v="89"/>
    <n v="81"/>
    <n v="0"/>
    <n v="8"/>
    <n v="1"/>
    <n v="0.37441718040576066"/>
    <n v="1"/>
    <n v="72.25"/>
    <n v="72.25"/>
    <n v="11.996349157547149"/>
    <n v="1550.9331782056743"/>
    <n v="1"/>
    <n v="0"/>
    <n v="0"/>
    <n v="0"/>
    <n v="0"/>
    <n v="0"/>
    <n v="0"/>
    <n v="0"/>
    <n v="0"/>
    <n v="0"/>
  </r>
  <r>
    <d v="2019-08-11T00:00:00"/>
    <n v="2019"/>
    <x v="24"/>
    <s v="R"/>
    <s v="RS"/>
    <x v="9"/>
    <s v="NYL"/>
    <s v="A"/>
    <n v="2"/>
    <n v="3"/>
    <n v="-1"/>
    <n v="1"/>
    <n v="-8"/>
    <n v="8"/>
    <n v="1548.9142849991069"/>
    <n v="1373.420867022269"/>
    <n v="0.60696561662307214"/>
    <n v="84"/>
    <n v="69"/>
    <n v="0"/>
    <n v="15"/>
    <n v="1"/>
    <n v="0.43869176381960495"/>
    <n v="1"/>
    <n v="72.25"/>
    <n v="72.25"/>
    <n v="12.457413412468366"/>
    <n v="1561.3716984115754"/>
    <n v="1"/>
    <n v="0"/>
    <n v="0"/>
    <n v="0"/>
    <n v="0"/>
    <n v="0"/>
    <n v="0"/>
    <n v="0"/>
    <n v="0"/>
    <n v="0"/>
  </r>
  <r>
    <d v="2019-08-11T00:00:00"/>
    <n v="2019"/>
    <x v="22"/>
    <s v="R"/>
    <s v="RS"/>
    <x v="3"/>
    <s v="SEA"/>
    <s v="H"/>
    <n v="3"/>
    <n v="2"/>
    <n v="1"/>
    <n v="-1"/>
    <n v="8"/>
    <n v="-8"/>
    <n v="1373.420867022269"/>
    <n v="1548.9142849991069"/>
    <n v="0.39303438337692786"/>
    <n v="69"/>
    <n v="84"/>
    <n v="0"/>
    <n v="-15"/>
    <n v="0"/>
    <n v="0.43869176381960495"/>
    <n v="1"/>
    <n v="72.55"/>
    <n v="72.55"/>
    <n v="-12.509139696533978"/>
    <n v="1360.911727325735"/>
    <n v="0"/>
    <n v="1"/>
    <n v="0"/>
    <n v="0"/>
    <n v="0"/>
    <n v="0"/>
    <n v="0"/>
    <n v="0"/>
    <n v="0"/>
    <n v="0"/>
  </r>
  <r>
    <d v="2019-08-11T00:00:00"/>
    <n v="2019"/>
    <x v="23"/>
    <s v="R"/>
    <s v="RS"/>
    <x v="7"/>
    <s v="WAS"/>
    <s v="A"/>
    <n v="1"/>
    <n v="2"/>
    <n v="-1"/>
    <n v="1"/>
    <n v="-8"/>
    <n v="8"/>
    <n v="1525.2662637482931"/>
    <n v="1653.83723562418"/>
    <n v="0.21152453701105223"/>
    <n v="78"/>
    <n v="101"/>
    <n v="0"/>
    <n v="-23"/>
    <n v="0"/>
    <n v="0.55578914390378742"/>
    <n v="1"/>
    <n v="72.400000000000006"/>
    <n v="72.400000000000006"/>
    <n v="-8.5115641930172821"/>
    <n v="1516.7546995552759"/>
    <n v="0"/>
    <n v="1"/>
    <n v="0"/>
    <n v="0"/>
    <n v="0"/>
    <n v="0"/>
    <n v="0"/>
    <n v="0"/>
    <n v="0"/>
    <n v="0"/>
  </r>
  <r>
    <d v="2019-08-11T00:00:00"/>
    <n v="2019"/>
    <x v="23"/>
    <s v="R"/>
    <s v="RS"/>
    <x v="4"/>
    <s v="MIN"/>
    <s v="H"/>
    <n v="2"/>
    <n v="1"/>
    <n v="1"/>
    <n v="-1"/>
    <n v="8"/>
    <n v="-8"/>
    <n v="1653.83723562418"/>
    <n v="1525.2662637482931"/>
    <n v="0.78847546298894777"/>
    <n v="101"/>
    <n v="78"/>
    <n v="0"/>
    <n v="23"/>
    <n v="1"/>
    <n v="0.55578914390378742"/>
    <n v="1"/>
    <n v="72.400000000000006"/>
    <n v="72.400000000000006"/>
    <n v="8.5115641930172821"/>
    <n v="1662.3487998171972"/>
    <n v="1"/>
    <n v="0"/>
    <n v="0"/>
    <n v="0"/>
    <n v="0"/>
    <n v="0"/>
    <n v="0"/>
    <n v="0"/>
    <n v="0"/>
    <n v="0"/>
  </r>
  <r>
    <d v="2019-08-13T00:00:00"/>
    <n v="2019"/>
    <x v="24"/>
    <s v="R"/>
    <s v="RS"/>
    <x v="1"/>
    <s v="LVA"/>
    <s v="A"/>
    <n v="2"/>
    <n v="1"/>
    <n v="1"/>
    <n v="-1"/>
    <n v="8"/>
    <n v="-8"/>
    <n v="1353.1282139375376"/>
    <n v="1550.9331782056743"/>
    <n v="0.17797958600829031"/>
    <n v="90"/>
    <n v="94"/>
    <n v="0"/>
    <n v="-4"/>
    <n v="0"/>
    <n v="0.2673615357206342"/>
    <n v="1"/>
    <n v="72.25"/>
    <n v="72.25"/>
    <n v="-3.4380086956916673"/>
    <n v="1349.6902052418459"/>
    <n v="0"/>
    <n v="1"/>
    <n v="0"/>
    <n v="0"/>
    <n v="0"/>
    <n v="0"/>
    <n v="0"/>
    <n v="0"/>
    <n v="0"/>
    <n v="0"/>
  </r>
  <r>
    <d v="2019-08-13T00:00:00"/>
    <n v="2019"/>
    <x v="25"/>
    <s v="R"/>
    <s v="RS"/>
    <x v="11"/>
    <s v="ATL"/>
    <s v="H"/>
    <n v="1"/>
    <n v="2"/>
    <n v="-1"/>
    <n v="1"/>
    <n v="-8"/>
    <n v="8"/>
    <n v="1550.9331782056743"/>
    <n v="1353.1282139375376"/>
    <n v="0.82202041399170966"/>
    <n v="94"/>
    <n v="90"/>
    <n v="0"/>
    <n v="4"/>
    <n v="1"/>
    <n v="0.2673615357206342"/>
    <n v="1"/>
    <n v="72.099999999999994"/>
    <n v="72.099999999999994"/>
    <n v="3.4308709613753527"/>
    <n v="1554.3640491670496"/>
    <n v="1"/>
    <n v="0"/>
    <n v="0"/>
    <n v="0"/>
    <n v="0"/>
    <n v="0"/>
    <n v="0"/>
    <n v="0"/>
    <n v="0"/>
    <n v="0"/>
  </r>
  <r>
    <d v="2019-08-13T00:00:00"/>
    <n v="2019"/>
    <x v="24"/>
    <s v="R"/>
    <s v="RS"/>
    <x v="7"/>
    <s v="NYL"/>
    <s v="A"/>
    <n v="1"/>
    <n v="1"/>
    <n v="0"/>
    <n v="0"/>
    <n v="0"/>
    <n v="0"/>
    <n v="1516.7546995552759"/>
    <n v="1360.911727325735"/>
    <n v="0.60194152566942849"/>
    <n v="89"/>
    <n v="73"/>
    <n v="0"/>
    <n v="16"/>
    <n v="1"/>
    <n v="0.4582707964435887"/>
    <n v="1"/>
    <n v="72.25"/>
    <n v="72.25"/>
    <n v="13.179741976022186"/>
    <n v="1529.934441531298"/>
    <n v="1"/>
    <n v="0"/>
    <n v="0"/>
    <n v="0"/>
    <n v="0"/>
    <n v="0"/>
    <n v="0"/>
    <n v="0"/>
    <n v="0"/>
    <n v="0"/>
  </r>
  <r>
    <d v="2019-08-13T00:00:00"/>
    <n v="2019"/>
    <x v="23"/>
    <s v="R"/>
    <s v="RS"/>
    <x v="3"/>
    <s v="MIN"/>
    <s v="H"/>
    <n v="1"/>
    <n v="1"/>
    <n v="0"/>
    <n v="0"/>
    <n v="0"/>
    <n v="0"/>
    <n v="1360.911727325735"/>
    <n v="1516.7546995552759"/>
    <n v="0.39805847433057151"/>
    <n v="73"/>
    <n v="89"/>
    <n v="0"/>
    <n v="-16"/>
    <n v="0"/>
    <n v="0.4582707964435887"/>
    <n v="1"/>
    <n v="72.400000000000006"/>
    <n v="72.400000000000006"/>
    <n v="-13.207104762131577"/>
    <n v="1347.7046225636034"/>
    <n v="0"/>
    <n v="1"/>
    <n v="0"/>
    <n v="0"/>
    <n v="0"/>
    <n v="0"/>
    <n v="0"/>
    <n v="0"/>
    <n v="0"/>
    <n v="0"/>
  </r>
  <r>
    <d v="2019-08-14T00:00:00"/>
    <n v="2019"/>
    <x v="23"/>
    <s v="R"/>
    <s v="RS"/>
    <x v="10"/>
    <s v="DAL"/>
    <s v="A"/>
    <n v="2"/>
    <n v="3"/>
    <n v="-1"/>
    <n v="1"/>
    <n v="-8"/>
    <n v="8"/>
    <n v="1580.2847937310873"/>
    <n v="1399.4918608194903"/>
    <n v="0.61421895645264013"/>
    <n v="78"/>
    <n v="84"/>
    <n v="0"/>
    <n v="-6"/>
    <n v="0"/>
    <n v="0.30528611731834393"/>
    <n v="1"/>
    <n v="72.400000000000006"/>
    <n v="72.400000000000006"/>
    <n v="-13.575906476869608"/>
    <n v="1566.7088872542176"/>
    <n v="0"/>
    <n v="1"/>
    <n v="0"/>
    <n v="0"/>
    <n v="0"/>
    <n v="0"/>
    <n v="0"/>
    <n v="0"/>
    <n v="0"/>
    <n v="0"/>
  </r>
  <r>
    <d v="2019-08-14T00:00:00"/>
    <n v="2019"/>
    <x v="24"/>
    <s v="R"/>
    <s v="RS"/>
    <x v="0"/>
    <s v="LAS"/>
    <s v="H"/>
    <n v="3"/>
    <n v="2"/>
    <n v="1"/>
    <n v="-1"/>
    <n v="8"/>
    <n v="-8"/>
    <n v="1399.4918608194903"/>
    <n v="1580.2847937310873"/>
    <n v="0.38578104354735987"/>
    <n v="84"/>
    <n v="78"/>
    <n v="0"/>
    <n v="6"/>
    <n v="1"/>
    <n v="0.30528611731834393"/>
    <n v="1"/>
    <n v="72.25"/>
    <n v="72.25"/>
    <n v="13.547779598809793"/>
    <n v="1413.0396404183"/>
    <n v="1"/>
    <n v="0"/>
    <n v="0"/>
    <n v="0"/>
    <n v="0"/>
    <n v="0"/>
    <n v="0"/>
    <n v="0"/>
    <n v="0"/>
    <n v="0"/>
  </r>
  <r>
    <d v="2019-08-14T00:00:00"/>
    <n v="2019"/>
    <x v="24"/>
    <s v="R"/>
    <s v="RS"/>
    <x v="5"/>
    <s v="PHX"/>
    <s v="A"/>
    <n v="2"/>
    <n v="3"/>
    <n v="-1"/>
    <n v="1"/>
    <n v="-8"/>
    <n v="8"/>
    <n v="1571.4595382737525"/>
    <n v="1517.7737996365365"/>
    <n v="0.43374042758864045"/>
    <n v="78"/>
    <n v="71"/>
    <n v="0"/>
    <n v="7"/>
    <n v="1"/>
    <n v="0.35425832271759072"/>
    <n v="1"/>
    <n v="72.25"/>
    <n v="72.25"/>
    <n v="14.493506518442747"/>
    <n v="1585.9530447921952"/>
    <n v="1"/>
    <n v="0"/>
    <n v="0"/>
    <n v="0"/>
    <n v="0"/>
    <n v="0"/>
    <n v="0"/>
    <n v="0"/>
    <n v="0"/>
    <n v="0"/>
  </r>
  <r>
    <d v="2019-08-14T00:00:00"/>
    <n v="2019"/>
    <x v="23"/>
    <s v="R"/>
    <s v="RS"/>
    <x v="8"/>
    <s v="CON"/>
    <s v="H"/>
    <n v="3"/>
    <n v="2"/>
    <n v="1"/>
    <n v="-1"/>
    <n v="8"/>
    <n v="-8"/>
    <n v="1517.7737996365365"/>
    <n v="1571.4595382737525"/>
    <n v="0.5662595724113596"/>
    <n v="71"/>
    <n v="78"/>
    <n v="0"/>
    <n v="-7"/>
    <n v="0"/>
    <n v="0.35425832271759072"/>
    <n v="1"/>
    <n v="72.400000000000006"/>
    <n v="72.400000000000006"/>
    <n v="-14.523596843394534"/>
    <n v="1503.2502027931421"/>
    <n v="0"/>
    <n v="1"/>
    <n v="0"/>
    <n v="0"/>
    <n v="0"/>
    <n v="0"/>
    <n v="0"/>
    <n v="0"/>
    <n v="0"/>
    <n v="0"/>
  </r>
  <r>
    <d v="2019-08-14T00:00:00"/>
    <n v="2019"/>
    <x v="25"/>
    <s v="R"/>
    <s v="RS"/>
    <x v="9"/>
    <s v="WAS"/>
    <s v="A"/>
    <n v="2"/>
    <n v="2"/>
    <n v="0"/>
    <n v="0"/>
    <n v="0"/>
    <n v="0"/>
    <n v="1561.3716984115754"/>
    <n v="1662.3487998171972"/>
    <n v="0.25639060828579491"/>
    <n v="59"/>
    <n v="88"/>
    <n v="0"/>
    <n v="-29"/>
    <n v="0"/>
    <n v="0.63770188046873499"/>
    <n v="1"/>
    <n v="72.099999999999994"/>
    <n v="72.099999999999994"/>
    <n v="-11.788405736066782"/>
    <n v="1549.5832926755086"/>
    <n v="0"/>
    <n v="1"/>
    <n v="0"/>
    <n v="0"/>
    <n v="0"/>
    <n v="0"/>
    <n v="0"/>
    <n v="0"/>
    <n v="0"/>
    <n v="0"/>
  </r>
  <r>
    <d v="2019-08-14T00:00:00"/>
    <n v="2019"/>
    <x v="24"/>
    <s v="R"/>
    <s v="RS"/>
    <x v="4"/>
    <s v="SEA"/>
    <s v="H"/>
    <n v="2"/>
    <n v="2"/>
    <n v="0"/>
    <n v="0"/>
    <n v="0"/>
    <n v="0"/>
    <n v="1662.3487998171972"/>
    <n v="1561.3716984115754"/>
    <n v="0.74360939171420515"/>
    <n v="88"/>
    <n v="59"/>
    <n v="0"/>
    <n v="29"/>
    <n v="1"/>
    <n v="0.63770188046873499"/>
    <n v="1"/>
    <n v="72.25"/>
    <n v="72.25"/>
    <n v="11.812930852022538"/>
    <n v="1674.1617306692199"/>
    <n v="1"/>
    <n v="0"/>
    <n v="0"/>
    <n v="0"/>
    <n v="0"/>
    <n v="0"/>
    <n v="0"/>
    <n v="0"/>
    <n v="0"/>
    <n v="0"/>
  </r>
  <r>
    <d v="2019-08-16T00:00:00"/>
    <n v="2019"/>
    <x v="24"/>
    <s v="R"/>
    <s v="RS"/>
    <x v="10"/>
    <s v="CHI"/>
    <s v="A"/>
    <n v="1"/>
    <n v="4"/>
    <n v="-3"/>
    <n v="3"/>
    <n v="-16"/>
    <n v="16"/>
    <n v="1566.7088872542176"/>
    <n v="1520.936011682136"/>
    <n v="0.40028930288119868"/>
    <n v="81"/>
    <n v="91"/>
    <n v="0"/>
    <n v="-10"/>
    <n v="0"/>
    <n v="0.40758283404233708"/>
    <n v="1"/>
    <n v="72.25"/>
    <n v="72.25"/>
    <n v="-11.787663254497117"/>
    <n v="1554.9212239997205"/>
    <n v="0"/>
    <n v="1"/>
    <n v="0"/>
    <n v="0"/>
    <n v="0"/>
    <n v="0"/>
    <n v="0"/>
    <n v="0"/>
    <n v="0"/>
    <n v="0"/>
  </r>
  <r>
    <d v="2019-08-16T00:00:00"/>
    <n v="2019"/>
    <x v="24"/>
    <s v="R"/>
    <s v="RS"/>
    <x v="6"/>
    <s v="LAS"/>
    <s v="H"/>
    <n v="4"/>
    <n v="1"/>
    <n v="3"/>
    <n v="-3"/>
    <n v="16"/>
    <n v="-16"/>
    <n v="1520.936011682136"/>
    <n v="1566.7088872542176"/>
    <n v="0.59971069711880121"/>
    <n v="91"/>
    <n v="81"/>
    <n v="0"/>
    <n v="10"/>
    <n v="1"/>
    <n v="0.40758283404233708"/>
    <n v="1"/>
    <n v="72.25"/>
    <n v="72.25"/>
    <n v="11.787663254497119"/>
    <n v="1532.7236749366332"/>
    <n v="1"/>
    <n v="0"/>
    <n v="0"/>
    <n v="0"/>
    <n v="0"/>
    <n v="0"/>
    <n v="0"/>
    <n v="0"/>
    <n v="0"/>
    <n v="0"/>
  </r>
  <r>
    <d v="2019-08-16T00:00:00"/>
    <n v="2019"/>
    <x v="26"/>
    <s v="R"/>
    <s v="RS"/>
    <x v="9"/>
    <s v="CON"/>
    <s v="A"/>
    <n v="1"/>
    <n v="1"/>
    <n v="0"/>
    <n v="0"/>
    <n v="0"/>
    <n v="0"/>
    <n v="1549.5832926755086"/>
    <n v="1585.9530447921952"/>
    <n v="0.33338737738616292"/>
    <n v="78"/>
    <n v="79"/>
    <n v="0"/>
    <n v="-1"/>
    <n v="0"/>
    <n v="0.23699674361711315"/>
    <n v="1"/>
    <n v="71.95"/>
    <n v="71.95"/>
    <n v="-5.6848934557168764"/>
    <n v="1543.8983992197916"/>
    <n v="0"/>
    <n v="1"/>
    <n v="0"/>
    <n v="0"/>
    <n v="0"/>
    <n v="0"/>
    <n v="0"/>
    <n v="0"/>
    <n v="0"/>
    <n v="0"/>
  </r>
  <r>
    <d v="2019-08-16T00:00:00"/>
    <n v="2019"/>
    <x v="25"/>
    <s v="R"/>
    <s v="RS"/>
    <x v="5"/>
    <s v="SEA"/>
    <s v="H"/>
    <n v="1"/>
    <n v="1"/>
    <n v="0"/>
    <n v="0"/>
    <n v="0"/>
    <n v="0"/>
    <n v="1585.9530447921952"/>
    <n v="1549.5832926755086"/>
    <n v="0.66661262261383702"/>
    <n v="79"/>
    <n v="78"/>
    <n v="0"/>
    <n v="1"/>
    <n v="1"/>
    <n v="0.23699674361711315"/>
    <n v="1"/>
    <n v="72.099999999999994"/>
    <n v="72.099999999999994"/>
    <n v="5.6967452141374118"/>
    <n v="1591.6497900063325"/>
    <n v="1"/>
    <n v="0"/>
    <n v="0"/>
    <n v="0"/>
    <n v="0"/>
    <n v="0"/>
    <n v="0"/>
    <n v="0"/>
    <n v="0"/>
    <n v="0"/>
  </r>
  <r>
    <d v="2019-08-16T00:00:00"/>
    <n v="2019"/>
    <x v="24"/>
    <s v="R"/>
    <s v="RS"/>
    <x v="3"/>
    <s v="DAL"/>
    <s v="A"/>
    <n v="2"/>
    <n v="1"/>
    <n v="1"/>
    <n v="-1"/>
    <n v="8"/>
    <n v="-8"/>
    <n v="1347.7046225636034"/>
    <n v="1413.0396404183"/>
    <n v="0.31701191352465363"/>
    <n v="77"/>
    <n v="83"/>
    <n v="0"/>
    <n v="-6"/>
    <n v="0"/>
    <n v="0.3331425332904181"/>
    <n v="1"/>
    <n v="72.25"/>
    <n v="72.25"/>
    <n v="-7.6303334787376276"/>
    <n v="1340.0742890848658"/>
    <n v="0"/>
    <n v="1"/>
    <n v="0"/>
    <n v="0"/>
    <n v="0"/>
    <n v="0"/>
    <n v="0"/>
    <n v="0"/>
    <n v="0"/>
    <n v="0"/>
  </r>
  <r>
    <d v="2019-08-16T00:00:00"/>
    <n v="2019"/>
    <x v="25"/>
    <s v="R"/>
    <s v="RS"/>
    <x v="0"/>
    <s v="NYL"/>
    <s v="H"/>
    <n v="1"/>
    <n v="2"/>
    <n v="-1"/>
    <n v="1"/>
    <n v="-8"/>
    <n v="8"/>
    <n v="1413.0396404183"/>
    <n v="1347.7046225636034"/>
    <n v="0.68298808647534626"/>
    <n v="83"/>
    <n v="77"/>
    <n v="0"/>
    <n v="6"/>
    <n v="1"/>
    <n v="0.3331425332904181"/>
    <n v="1"/>
    <n v="72.099999999999994"/>
    <n v="72.099999999999994"/>
    <n v="7.6144919559444029"/>
    <n v="1420.6541323742445"/>
    <n v="1"/>
    <n v="0"/>
    <n v="0"/>
    <n v="0"/>
    <n v="0"/>
    <n v="0"/>
    <n v="0"/>
    <n v="0"/>
    <n v="0"/>
    <n v="0"/>
  </r>
  <r>
    <d v="2019-08-16T00:00:00"/>
    <n v="2019"/>
    <x v="25"/>
    <s v="R"/>
    <s v="RS"/>
    <x v="4"/>
    <s v="MIN"/>
    <s v="A"/>
    <n v="1"/>
    <n v="2"/>
    <n v="-1"/>
    <n v="1"/>
    <n v="-8"/>
    <n v="8"/>
    <n v="1674.1617306692199"/>
    <n v="1529.934441531298"/>
    <n v="0.56330660644667474"/>
    <n v="86"/>
    <n v="79"/>
    <n v="0"/>
    <n v="7"/>
    <n v="1"/>
    <n v="0.33039695784588036"/>
    <n v="1"/>
    <n v="72.099999999999994"/>
    <n v="72.099999999999994"/>
    <n v="10.402744366255837"/>
    <n v="1684.5644750354757"/>
    <n v="1"/>
    <n v="0"/>
    <n v="0"/>
    <n v="0"/>
    <n v="0"/>
    <n v="0"/>
    <n v="0"/>
    <n v="0"/>
    <n v="0"/>
    <n v="0"/>
  </r>
  <r>
    <d v="2019-08-16T00:00:00"/>
    <n v="2019"/>
    <x v="25"/>
    <s v="R"/>
    <s v="RS"/>
    <x v="7"/>
    <s v="WAS"/>
    <s v="H"/>
    <n v="2"/>
    <n v="1"/>
    <n v="1"/>
    <n v="-1"/>
    <n v="8"/>
    <n v="-8"/>
    <n v="1529.934441531298"/>
    <n v="1674.1617306692199"/>
    <n v="0.4366933935533252"/>
    <n v="79"/>
    <n v="86"/>
    <n v="0"/>
    <n v="-7"/>
    <n v="0"/>
    <n v="0.33039695784588036"/>
    <n v="1"/>
    <n v="72.099999999999994"/>
    <n v="72.099999999999994"/>
    <n v="-10.402744366255837"/>
    <n v="1519.5316971650423"/>
    <n v="0"/>
    <n v="1"/>
    <n v="0"/>
    <n v="0"/>
    <n v="0"/>
    <n v="0"/>
    <n v="0"/>
    <n v="0"/>
    <n v="0"/>
    <n v="0"/>
  </r>
  <r>
    <d v="2019-08-16T00:00:00"/>
    <n v="2019"/>
    <x v="25"/>
    <s v="R"/>
    <s v="RS"/>
    <x v="1"/>
    <s v="PHX"/>
    <s v="A"/>
    <n v="2"/>
    <n v="1"/>
    <n v="1"/>
    <n v="-1"/>
    <n v="8"/>
    <n v="-8"/>
    <n v="1349.6902052418459"/>
    <n v="1503.2502027931421"/>
    <n v="0.21833394368460662"/>
    <n v="68"/>
    <n v="77"/>
    <n v="0"/>
    <n v="-9"/>
    <n v="0"/>
    <n v="0.35991447254500381"/>
    <n v="1"/>
    <n v="72.099999999999994"/>
    <n v="72.099999999999994"/>
    <n v="-5.665729479571926"/>
    <n v="1344.0244757622741"/>
    <n v="0"/>
    <n v="1"/>
    <n v="0"/>
    <n v="0"/>
    <n v="0"/>
    <n v="0"/>
    <n v="0"/>
    <n v="0"/>
    <n v="0"/>
    <n v="0"/>
  </r>
  <r>
    <d v="2019-08-16T00:00:00"/>
    <n v="2019"/>
    <x v="24"/>
    <s v="R"/>
    <s v="RS"/>
    <x v="8"/>
    <s v="ATL"/>
    <s v="H"/>
    <n v="1"/>
    <n v="2"/>
    <n v="-1"/>
    <n v="1"/>
    <n v="-8"/>
    <n v="8"/>
    <n v="1503.2502027931421"/>
    <n v="1349.6902052418459"/>
    <n v="0.78166605631539343"/>
    <n v="77"/>
    <n v="68"/>
    <n v="0"/>
    <n v="9"/>
    <n v="1"/>
    <n v="0.35991447254500381"/>
    <n v="1"/>
    <n v="72.25"/>
    <n v="72.25"/>
    <n v="5.677516711498912"/>
    <n v="1508.9277195046409"/>
    <n v="1"/>
    <n v="0"/>
    <n v="0"/>
    <n v="0"/>
    <n v="0"/>
    <n v="0"/>
    <n v="0"/>
    <n v="0"/>
    <n v="0"/>
    <n v="0"/>
  </r>
  <r>
    <d v="2019-08-18T00:00:00"/>
    <n v="2019"/>
    <x v="26"/>
    <s v="R"/>
    <s v="RS"/>
    <x v="11"/>
    <s v="CHI"/>
    <s v="A"/>
    <n v="4"/>
    <n v="1"/>
    <n v="3"/>
    <n v="-3"/>
    <n v="16"/>
    <n v="-16"/>
    <n v="1554.3640491670496"/>
    <n v="1532.7236749366332"/>
    <n v="0.45641985046704225"/>
    <n v="100"/>
    <n v="85"/>
    <n v="0"/>
    <n v="15"/>
    <n v="1"/>
    <n v="0.49394048067103602"/>
    <n v="1"/>
    <n v="71.95"/>
    <n v="71.95"/>
    <n v="19.318304492717903"/>
    <n v="1573.6823536597676"/>
    <n v="1"/>
    <n v="0"/>
    <n v="0"/>
    <n v="0"/>
    <n v="0"/>
    <n v="0"/>
    <n v="0"/>
    <n v="0"/>
    <n v="0"/>
    <n v="0"/>
  </r>
  <r>
    <d v="2019-08-18T00:00:00"/>
    <n v="2019"/>
    <x v="25"/>
    <s v="R"/>
    <s v="RS"/>
    <x v="6"/>
    <s v="LVA"/>
    <s v="H"/>
    <n v="1"/>
    <n v="4"/>
    <n v="-3"/>
    <n v="3"/>
    <n v="-16"/>
    <n v="16"/>
    <n v="1532.7236749366332"/>
    <n v="1554.3640491670496"/>
    <n v="0.54358014953295775"/>
    <n v="85"/>
    <n v="100"/>
    <n v="0"/>
    <n v="-15"/>
    <n v="0"/>
    <n v="0.49394048067103602"/>
    <n v="1"/>
    <n v="72.099999999999994"/>
    <n v="72.099999999999994"/>
    <n v="-19.358578928769433"/>
    <n v="1513.3650960078637"/>
    <n v="0"/>
    <n v="1"/>
    <n v="0"/>
    <n v="0"/>
    <n v="0"/>
    <n v="0"/>
    <n v="0"/>
    <n v="0"/>
    <n v="0"/>
    <n v="0"/>
  </r>
  <r>
    <d v="2019-08-18T00:00:00"/>
    <n v="2019"/>
    <x v="26"/>
    <s v="R"/>
    <s v="RS"/>
    <x v="0"/>
    <s v="CON"/>
    <s v="A"/>
    <n v="1"/>
    <n v="1"/>
    <n v="0"/>
    <n v="0"/>
    <n v="0"/>
    <n v="0"/>
    <n v="1420.6541323742445"/>
    <n v="1591.6497900063325"/>
    <n v="0.18726612276633606"/>
    <n v="68"/>
    <n v="78"/>
    <n v="0"/>
    <n v="-10"/>
    <n v="0"/>
    <n v="0.37035539563685393"/>
    <n v="1"/>
    <n v="71.95"/>
    <n v="71.95"/>
    <n v="-4.9900936160791103"/>
    <n v="1415.6640387581654"/>
    <n v="0"/>
    <n v="1"/>
    <n v="0"/>
    <n v="0"/>
    <n v="0"/>
    <n v="0"/>
    <n v="0"/>
    <n v="0"/>
    <n v="0"/>
    <n v="0"/>
  </r>
  <r>
    <d v="2019-08-18T00:00:00"/>
    <n v="2019"/>
    <x v="26"/>
    <s v="R"/>
    <s v="RS"/>
    <x v="5"/>
    <s v="DAL"/>
    <s v="H"/>
    <n v="1"/>
    <n v="1"/>
    <n v="0"/>
    <n v="0"/>
    <n v="0"/>
    <n v="0"/>
    <n v="1591.6497900063325"/>
    <n v="1420.6541323742445"/>
    <n v="0.81273387723366386"/>
    <n v="78"/>
    <n v="68"/>
    <n v="0"/>
    <n v="10"/>
    <n v="1"/>
    <n v="0.37035539563685393"/>
    <n v="1"/>
    <n v="71.95"/>
    <n v="71.95"/>
    <n v="4.9900936160791129"/>
    <n v="1596.6398836224116"/>
    <n v="1"/>
    <n v="0"/>
    <n v="0"/>
    <n v="0"/>
    <n v="0"/>
    <n v="0"/>
    <n v="0"/>
    <n v="0"/>
    <n v="0"/>
    <n v="0"/>
  </r>
  <r>
    <d v="2019-08-18T00:00:00"/>
    <n v="2019"/>
    <x v="25"/>
    <s v="R"/>
    <s v="RS"/>
    <x v="3"/>
    <s v="PHX"/>
    <s v="A"/>
    <n v="1"/>
    <n v="1"/>
    <n v="0"/>
    <n v="0"/>
    <n v="0"/>
    <n v="0"/>
    <n v="1340.0742890848658"/>
    <n v="1508.9277195046409"/>
    <n v="0.18915021166823415"/>
    <n v="72"/>
    <n v="78"/>
    <n v="0"/>
    <n v="-6"/>
    <n v="0"/>
    <n v="0.30794890376241429"/>
    <n v="1"/>
    <n v="72.099999999999994"/>
    <n v="72.099999999999994"/>
    <n v="-4.1997240837685812"/>
    <n v="1335.8745650010972"/>
    <n v="0"/>
    <n v="1"/>
    <n v="0"/>
    <n v="0"/>
    <n v="0"/>
    <n v="0"/>
    <n v="0"/>
    <n v="0"/>
    <n v="0"/>
    <n v="0"/>
  </r>
  <r>
    <d v="2019-08-18T00:00:00"/>
    <n v="2019"/>
    <x v="25"/>
    <s v="R"/>
    <s v="RS"/>
    <x v="8"/>
    <s v="NYL"/>
    <s v="H"/>
    <n v="1"/>
    <n v="1"/>
    <n v="0"/>
    <n v="0"/>
    <n v="0"/>
    <n v="0"/>
    <n v="1508.9277195046409"/>
    <n v="1340.0742890848658"/>
    <n v="0.8108497883317658"/>
    <n v="78"/>
    <n v="72"/>
    <n v="0"/>
    <n v="6"/>
    <n v="1"/>
    <n v="0.30794890376241429"/>
    <n v="1"/>
    <n v="72.099999999999994"/>
    <n v="72.099999999999994"/>
    <n v="4.199724083768583"/>
    <n v="1513.1274435884095"/>
    <n v="1"/>
    <n v="0"/>
    <n v="0"/>
    <n v="0"/>
    <n v="0"/>
    <n v="0"/>
    <n v="0"/>
    <n v="0"/>
    <n v="0"/>
    <n v="0"/>
  </r>
  <r>
    <d v="2019-08-18T00:00:00"/>
    <n v="2019"/>
    <x v="26"/>
    <s v="R"/>
    <s v="RS"/>
    <x v="7"/>
    <s v="SEA"/>
    <s v="A"/>
    <n v="1"/>
    <n v="1"/>
    <n v="0"/>
    <n v="0"/>
    <n v="0"/>
    <n v="0"/>
    <n v="1519.5316971650423"/>
    <n v="1543.8983992197916"/>
    <n v="0.34891567713382327"/>
    <n v="74"/>
    <n v="82"/>
    <n v="0"/>
    <n v="-8"/>
    <n v="0"/>
    <n v="0.38058748348970511"/>
    <n v="1"/>
    <n v="71.95"/>
    <n v="71.95"/>
    <n v="-9.554451997778191"/>
    <n v="1509.9772451672641"/>
    <n v="0"/>
    <n v="1"/>
    <n v="0"/>
    <n v="0"/>
    <n v="0"/>
    <n v="0"/>
    <n v="0"/>
    <n v="0"/>
    <n v="0"/>
    <n v="0"/>
  </r>
  <r>
    <d v="2019-08-18T00:00:00"/>
    <n v="2019"/>
    <x v="27"/>
    <s v="R"/>
    <s v="RS"/>
    <x v="9"/>
    <s v="MIN"/>
    <s v="H"/>
    <n v="1"/>
    <n v="1"/>
    <n v="0"/>
    <n v="0"/>
    <n v="0"/>
    <n v="0"/>
    <n v="1543.8983992197916"/>
    <n v="1519.5316971650423"/>
    <n v="0.65108432286617679"/>
    <n v="82"/>
    <n v="74"/>
    <n v="0"/>
    <n v="8"/>
    <n v="1"/>
    <n v="0.38058748348970511"/>
    <n v="1"/>
    <n v="71.8"/>
    <n v="71.8"/>
    <n v="9.5345330568516182"/>
    <n v="1553.4329322766432"/>
    <n v="1"/>
    <n v="0"/>
    <n v="0"/>
    <n v="0"/>
    <n v="0"/>
    <n v="0"/>
    <n v="0"/>
    <n v="0"/>
    <n v="0"/>
    <n v="0"/>
  </r>
  <r>
    <d v="2019-08-18T00:00:00"/>
    <n v="2019"/>
    <x v="25"/>
    <s v="R"/>
    <s v="RS"/>
    <x v="2"/>
    <s v="WAS"/>
    <s v="A"/>
    <n v="7"/>
    <n v="1"/>
    <n v="6"/>
    <n v="-6"/>
    <n v="16"/>
    <n v="-16"/>
    <n v="1405.1473962198531"/>
    <n v="1684.5644750354757"/>
    <n v="0.12922933067977971"/>
    <n v="68"/>
    <n v="107"/>
    <n v="0"/>
    <n v="-39"/>
    <n v="0"/>
    <n v="0.65460750159305359"/>
    <n v="1"/>
    <n v="72.099999999999994"/>
    <n v="72.099999999999994"/>
    <n v="-6.0992626777248695"/>
    <n v="1399.0481335421282"/>
    <n v="0"/>
    <n v="1"/>
    <n v="0"/>
    <n v="0"/>
    <n v="0"/>
    <n v="0"/>
    <n v="0"/>
    <n v="0"/>
    <n v="0"/>
    <n v="0"/>
  </r>
  <r>
    <d v="2019-08-18T00:00:00"/>
    <n v="2019"/>
    <x v="26"/>
    <s v="R"/>
    <s v="RS"/>
    <x v="4"/>
    <s v="IND"/>
    <s v="H"/>
    <n v="1"/>
    <n v="7"/>
    <n v="-6"/>
    <n v="6"/>
    <n v="-16"/>
    <n v="16"/>
    <n v="1684.5644750354757"/>
    <n v="1405.1473962198531"/>
    <n v="0.87077066932022029"/>
    <n v="107"/>
    <n v="68"/>
    <n v="0"/>
    <n v="39"/>
    <n v="1"/>
    <n v="0.65460750159305359"/>
    <n v="1"/>
    <n v="71.95"/>
    <n v="71.95"/>
    <n v="6.086573504331545"/>
    <n v="1690.6510485398071"/>
    <n v="1"/>
    <n v="0"/>
    <n v="0"/>
    <n v="0"/>
    <n v="0"/>
    <n v="0"/>
    <n v="0"/>
    <n v="0"/>
    <n v="0"/>
    <n v="0"/>
  </r>
  <r>
    <d v="2019-08-20T00:00:00"/>
    <n v="2019"/>
    <x v="26"/>
    <s v="R"/>
    <s v="RS"/>
    <x v="6"/>
    <s v="ATL"/>
    <s v="A"/>
    <n v="1"/>
    <n v="3"/>
    <n v="-2"/>
    <n v="2"/>
    <n v="-16"/>
    <n v="16"/>
    <n v="1513.3650960078637"/>
    <n v="1344.0244757622741"/>
    <n v="0.57616584080420852"/>
    <n v="87"/>
    <n v="83"/>
    <n v="0"/>
    <n v="4"/>
    <n v="1"/>
    <n v="0.2729191527361754"/>
    <n v="1"/>
    <n v="71.95"/>
    <n v="71.95"/>
    <n v="8.3226334702608398"/>
    <n v="1521.6877294781245"/>
    <n v="1"/>
    <n v="0"/>
    <n v="0"/>
    <n v="0"/>
    <n v="0"/>
    <n v="0"/>
    <n v="0"/>
    <n v="0"/>
    <n v="0"/>
    <n v="0"/>
  </r>
  <r>
    <d v="2019-08-20T00:00:00"/>
    <n v="2019"/>
    <x v="26"/>
    <s v="R"/>
    <s v="RS"/>
    <x v="1"/>
    <s v="CHI"/>
    <s v="H"/>
    <n v="3"/>
    <n v="1"/>
    <n v="2"/>
    <n v="-2"/>
    <n v="16"/>
    <n v="-16"/>
    <n v="1344.0244757622741"/>
    <n v="1513.3650960078637"/>
    <n v="0.42383415919579143"/>
    <n v="83"/>
    <n v="87"/>
    <n v="0"/>
    <n v="-4"/>
    <n v="0"/>
    <n v="0.2729191527361754"/>
    <n v="1"/>
    <n v="71.95"/>
    <n v="71.95"/>
    <n v="-8.322633470260838"/>
    <n v="1335.7018422920132"/>
    <n v="0"/>
    <n v="1"/>
    <n v="0"/>
    <n v="0"/>
    <n v="0"/>
    <n v="0"/>
    <n v="0"/>
    <n v="0"/>
    <n v="0"/>
    <n v="0"/>
  </r>
  <r>
    <d v="2019-08-20T00:00:00"/>
    <n v="2019"/>
    <x v="26"/>
    <s v="R"/>
    <s v="RS"/>
    <x v="3"/>
    <s v="IND"/>
    <s v="A"/>
    <n v="1"/>
    <n v="1"/>
    <n v="0"/>
    <n v="0"/>
    <n v="0"/>
    <n v="0"/>
    <n v="1335.8745650010972"/>
    <n v="1399.0481335421282"/>
    <n v="0.3000207269626467"/>
    <n v="82"/>
    <n v="76"/>
    <n v="0"/>
    <n v="6"/>
    <n v="1"/>
    <n v="0.33371258218778777"/>
    <n v="1"/>
    <n v="71.95"/>
    <n v="71.95"/>
    <n v="16.806936534658089"/>
    <n v="1352.6815015357552"/>
    <n v="1"/>
    <n v="0"/>
    <n v="0"/>
    <n v="0"/>
    <n v="0"/>
    <n v="0"/>
    <n v="0"/>
    <n v="0"/>
    <n v="0"/>
    <n v="0"/>
  </r>
  <r>
    <d v="2019-08-20T00:00:00"/>
    <n v="2019"/>
    <x v="26"/>
    <s v="R"/>
    <s v="RS"/>
    <x v="2"/>
    <s v="NYL"/>
    <s v="H"/>
    <n v="1"/>
    <n v="1"/>
    <n v="0"/>
    <n v="0"/>
    <n v="0"/>
    <n v="0"/>
    <n v="1399.0481335421282"/>
    <n v="1335.8745650010972"/>
    <n v="0.6999792730373533"/>
    <n v="76"/>
    <n v="82"/>
    <n v="0"/>
    <n v="-6"/>
    <n v="0"/>
    <n v="0.33371258218778777"/>
    <n v="1"/>
    <n v="71.95"/>
    <n v="71.95"/>
    <n v="-16.806936534658089"/>
    <n v="1382.2411970074702"/>
    <n v="0"/>
    <n v="1"/>
    <n v="0"/>
    <n v="0"/>
    <n v="0"/>
    <n v="0"/>
    <n v="0"/>
    <n v="0"/>
    <n v="0"/>
    <n v="0"/>
  </r>
  <r>
    <d v="2019-08-20T00:00:00"/>
    <n v="2019"/>
    <x v="27"/>
    <s v="R"/>
    <s v="RS"/>
    <x v="7"/>
    <s v="LAS"/>
    <s v="A"/>
    <n v="1"/>
    <n v="3"/>
    <n v="-2"/>
    <n v="2"/>
    <n v="-16"/>
    <n v="16"/>
    <n v="1509.9772451672641"/>
    <n v="1554.9212239997205"/>
    <n v="0.28364182652374426"/>
    <n v="71"/>
    <n v="81"/>
    <n v="0"/>
    <n v="-10"/>
    <n v="0"/>
    <n v="0.40785420696192953"/>
    <n v="1"/>
    <n v="71.8"/>
    <n v="71.8"/>
    <n v="-8.306147977257778"/>
    <n v="1501.6710971900063"/>
    <n v="0"/>
    <n v="1"/>
    <n v="0"/>
    <n v="0"/>
    <n v="0"/>
    <n v="0"/>
    <n v="0"/>
    <n v="0"/>
    <n v="0"/>
    <n v="0"/>
  </r>
  <r>
    <d v="2019-08-20T00:00:00"/>
    <n v="2019"/>
    <x v="25"/>
    <s v="R"/>
    <s v="RS"/>
    <x v="10"/>
    <s v="MIN"/>
    <s v="H"/>
    <n v="3"/>
    <n v="1"/>
    <n v="2"/>
    <n v="-2"/>
    <n v="16"/>
    <n v="-16"/>
    <n v="1554.9212239997205"/>
    <n v="1509.9772451672641"/>
    <n v="0.71635817347625574"/>
    <n v="81"/>
    <n v="71"/>
    <n v="0"/>
    <n v="10"/>
    <n v="1"/>
    <n v="0.40785420696192953"/>
    <n v="1"/>
    <n v="72.099999999999994"/>
    <n v="72.099999999999994"/>
    <n v="8.3408533309231991"/>
    <n v="1563.2620773306437"/>
    <n v="1"/>
    <n v="0"/>
    <n v="0"/>
    <n v="0"/>
    <n v="0"/>
    <n v="0"/>
    <n v="0"/>
    <n v="0"/>
    <n v="0"/>
    <n v="0"/>
  </r>
  <r>
    <d v="2019-08-20T00:00:00"/>
    <n v="2019"/>
    <x v="26"/>
    <s v="R"/>
    <s v="RS"/>
    <x v="8"/>
    <s v="LVA"/>
    <s v="A"/>
    <n v="1"/>
    <n v="1"/>
    <n v="0"/>
    <n v="0"/>
    <n v="0"/>
    <n v="0"/>
    <n v="1513.1274435884095"/>
    <n v="1573.6823536597676"/>
    <n v="0.30319594768099528"/>
    <n v="79"/>
    <n v="84"/>
    <n v="1"/>
    <n v="-5"/>
    <n v="0"/>
    <n v="0.28423708529909653"/>
    <n v="1"/>
    <n v="71.95"/>
    <n v="71.95"/>
    <n v="-6.2006173592985618"/>
    <n v="1506.9268262291109"/>
    <n v="0"/>
    <n v="1"/>
    <n v="0"/>
    <n v="0"/>
    <n v="0"/>
    <n v="0"/>
    <n v="0"/>
    <n v="0"/>
    <n v="0"/>
    <n v="0"/>
  </r>
  <r>
    <d v="2019-08-20T00:00:00"/>
    <n v="2019"/>
    <x v="27"/>
    <s v="R"/>
    <s v="RS"/>
    <x v="11"/>
    <s v="PHX"/>
    <s v="H"/>
    <n v="1"/>
    <n v="1"/>
    <n v="0"/>
    <n v="0"/>
    <n v="0"/>
    <n v="0"/>
    <n v="1573.6823536597676"/>
    <n v="1513.1274435884095"/>
    <n v="0.69680405231900466"/>
    <n v="84"/>
    <n v="79"/>
    <n v="1"/>
    <n v="5"/>
    <n v="1"/>
    <n v="0.28423708529909653"/>
    <n v="1"/>
    <n v="71.8"/>
    <n v="71.8"/>
    <n v="6.1876904294320623"/>
    <n v="1579.8700440891996"/>
    <n v="1"/>
    <n v="0"/>
    <n v="0"/>
    <n v="0"/>
    <n v="0"/>
    <n v="0"/>
    <n v="0"/>
    <n v="0"/>
    <n v="0"/>
    <n v="0"/>
  </r>
  <r>
    <d v="2019-08-22T00:00:00"/>
    <n v="2019"/>
    <x v="27"/>
    <s v="R"/>
    <s v="RS"/>
    <x v="2"/>
    <s v="LAS"/>
    <s v="A"/>
    <n v="1"/>
    <n v="1"/>
    <n v="0"/>
    <n v="0"/>
    <n v="0"/>
    <n v="0"/>
    <n v="1382.2411970074702"/>
    <n v="1563.2620773306437"/>
    <n v="0.17864089130651162"/>
    <n v="65"/>
    <n v="98"/>
    <n v="0"/>
    <n v="-33"/>
    <n v="0"/>
    <n v="0.64219942596529311"/>
    <n v="1"/>
    <n v="71.8"/>
    <n v="71.8"/>
    <n v="-8.2371169896996506"/>
    <n v="1374.0040800177705"/>
    <n v="0"/>
    <n v="1"/>
    <n v="0"/>
    <n v="0"/>
    <n v="0"/>
    <n v="0"/>
    <n v="0"/>
    <n v="0"/>
    <n v="0"/>
    <n v="0"/>
  </r>
  <r>
    <d v="2019-08-22T00:00:00"/>
    <n v="2019"/>
    <x v="26"/>
    <s v="R"/>
    <s v="RS"/>
    <x v="10"/>
    <s v="IND"/>
    <s v="H"/>
    <n v="1"/>
    <n v="1"/>
    <n v="0"/>
    <n v="0"/>
    <n v="0"/>
    <n v="0"/>
    <n v="1563.2620773306437"/>
    <n v="1382.2411970074702"/>
    <n v="0.82135910869348849"/>
    <n v="98"/>
    <n v="65"/>
    <n v="0"/>
    <n v="33"/>
    <n v="1"/>
    <n v="0.64219942596529311"/>
    <n v="1"/>
    <n v="71.95"/>
    <n v="71.95"/>
    <n v="8.2543254513772926"/>
    <n v="1571.516402782021"/>
    <n v="1"/>
    <n v="0"/>
    <n v="0"/>
    <n v="0"/>
    <n v="0"/>
    <n v="0"/>
    <n v="0"/>
    <n v="0"/>
    <n v="0"/>
    <n v="0"/>
  </r>
  <r>
    <d v="2019-08-22T00:00:00"/>
    <n v="2019"/>
    <x v="27"/>
    <s v="R"/>
    <s v="RS"/>
    <x v="0"/>
    <s v="MIN"/>
    <s v="A"/>
    <n v="3"/>
    <n v="1"/>
    <n v="2"/>
    <n v="-2"/>
    <n v="16"/>
    <n v="-16"/>
    <n v="1415.6640387581654"/>
    <n v="1501.6710971900063"/>
    <n v="0.31121772142389414"/>
    <n v="70"/>
    <n v="86"/>
    <n v="0"/>
    <n v="-16"/>
    <n v="0"/>
    <n v="0.48315694277272569"/>
    <n v="1"/>
    <n v="71.8"/>
    <n v="71.8"/>
    <n v="-10.796350802466128"/>
    <n v="1404.8676879556992"/>
    <n v="0"/>
    <n v="1"/>
    <n v="0"/>
    <n v="0"/>
    <n v="0"/>
    <n v="0"/>
    <n v="0"/>
    <n v="0"/>
    <n v="0"/>
    <n v="0"/>
  </r>
  <r>
    <d v="2019-08-22T00:00:00"/>
    <n v="2019"/>
    <x v="28"/>
    <s v="R"/>
    <s v="RS"/>
    <x v="7"/>
    <s v="DAL"/>
    <s v="H"/>
    <n v="1"/>
    <n v="3"/>
    <n v="-2"/>
    <n v="2"/>
    <n v="-16"/>
    <n v="16"/>
    <n v="1501.6710971900063"/>
    <n v="1415.6640387581654"/>
    <n v="0.68878227857610586"/>
    <n v="86"/>
    <n v="70"/>
    <n v="0"/>
    <n v="16"/>
    <n v="1"/>
    <n v="0.48315694277272569"/>
    <n v="1"/>
    <n v="71.650000000000006"/>
    <n v="71.650000000000006"/>
    <n v="10.773795752043149"/>
    <n v="1512.4448929420494"/>
    <n v="1"/>
    <n v="0"/>
    <n v="0"/>
    <n v="0"/>
    <n v="0"/>
    <n v="0"/>
    <n v="0"/>
    <n v="0"/>
    <n v="0"/>
    <n v="0"/>
  </r>
  <r>
    <d v="2019-08-23T00:00:00"/>
    <n v="2019"/>
    <x v="27"/>
    <s v="R"/>
    <s v="RS"/>
    <x v="4"/>
    <s v="CHI"/>
    <s v="A"/>
    <n v="4"/>
    <n v="2"/>
    <n v="2"/>
    <n v="-2"/>
    <n v="16"/>
    <n v="-16"/>
    <n v="1690.6510485398071"/>
    <n v="1521.6877294781245"/>
    <n v="0.66224056889076"/>
    <n v="78"/>
    <n v="85"/>
    <n v="0"/>
    <n v="-7"/>
    <n v="0"/>
    <n v="0.32442695929135595"/>
    <n v="1"/>
    <n v="71.8"/>
    <n v="71.8"/>
    <n v="-15.426136235274782"/>
    <n v="1675.2249123045324"/>
    <n v="0"/>
    <n v="1"/>
    <n v="0"/>
    <n v="0"/>
    <n v="0"/>
    <n v="0"/>
    <n v="0"/>
    <n v="0"/>
    <n v="0"/>
    <n v="0"/>
  </r>
  <r>
    <d v="2019-08-23T00:00:00"/>
    <n v="2019"/>
    <x v="27"/>
    <s v="R"/>
    <s v="RS"/>
    <x v="6"/>
    <s v="WAS"/>
    <s v="H"/>
    <n v="2"/>
    <n v="4"/>
    <n v="-2"/>
    <n v="2"/>
    <n v="-16"/>
    <n v="16"/>
    <n v="1521.6877294781245"/>
    <n v="1690.6510485398071"/>
    <n v="0.33775943110923995"/>
    <n v="85"/>
    <n v="78"/>
    <n v="0"/>
    <n v="7"/>
    <n v="1"/>
    <n v="0.32442695929135595"/>
    <n v="1"/>
    <n v="71.8"/>
    <n v="71.8"/>
    <n v="15.426136235274782"/>
    <n v="1537.1138657133993"/>
    <n v="1"/>
    <n v="0"/>
    <n v="0"/>
    <n v="0"/>
    <n v="0"/>
    <n v="0"/>
    <n v="0"/>
    <n v="0"/>
    <n v="0"/>
    <n v="0"/>
  </r>
  <r>
    <d v="2019-08-23T00:00:00"/>
    <n v="2019"/>
    <x v="28"/>
    <s v="R"/>
    <s v="RS"/>
    <x v="11"/>
    <s v="CON"/>
    <s v="A"/>
    <n v="2"/>
    <n v="4"/>
    <n v="-2"/>
    <n v="2"/>
    <n v="-16"/>
    <n v="16"/>
    <n v="1579.8700440891996"/>
    <n v="1596.6398836224116"/>
    <n v="0.3177167496424439"/>
    <n v="85"/>
    <n v="89"/>
    <n v="0"/>
    <n v="-4"/>
    <n v="0"/>
    <n v="0.30714048766036534"/>
    <n v="1"/>
    <n v="71.650000000000006"/>
    <n v="71.650000000000006"/>
    <n v="-6.9918704873612763"/>
    <n v="1572.8781736018384"/>
    <n v="0"/>
    <n v="1"/>
    <n v="0"/>
    <n v="0"/>
    <n v="0"/>
    <n v="0"/>
    <n v="0"/>
    <n v="0"/>
    <n v="0"/>
    <n v="0"/>
  </r>
  <r>
    <d v="2019-08-23T00:00:00"/>
    <n v="2019"/>
    <x v="27"/>
    <s v="R"/>
    <s v="RS"/>
    <x v="5"/>
    <s v="LVA"/>
    <s v="H"/>
    <n v="4"/>
    <n v="2"/>
    <n v="2"/>
    <n v="-2"/>
    <n v="16"/>
    <n v="-16"/>
    <n v="1596.6398836224116"/>
    <n v="1579.8700440891996"/>
    <n v="0.6822832503575561"/>
    <n v="89"/>
    <n v="85"/>
    <n v="0"/>
    <n v="4"/>
    <n v="1"/>
    <n v="0.30714048766036534"/>
    <n v="1"/>
    <n v="71.8"/>
    <n v="71.8"/>
    <n v="7.0065080389747321"/>
    <n v="1603.6463916613864"/>
    <n v="1"/>
    <n v="0"/>
    <n v="0"/>
    <n v="0"/>
    <n v="0"/>
    <n v="0"/>
    <n v="0"/>
    <n v="0"/>
    <n v="0"/>
    <n v="0"/>
  </r>
  <r>
    <d v="2019-08-23T00:00:00"/>
    <n v="2019"/>
    <x v="27"/>
    <s v="R"/>
    <s v="RS"/>
    <x v="1"/>
    <s v="NYL"/>
    <s v="A"/>
    <n v="2"/>
    <n v="2"/>
    <n v="0"/>
    <n v="0"/>
    <n v="0"/>
    <n v="0"/>
    <n v="1335.7018422920132"/>
    <n v="1352.6815015357552"/>
    <n v="0.3586368204101027"/>
    <n v="90"/>
    <n v="87"/>
    <n v="0"/>
    <n v="3"/>
    <n v="1"/>
    <n v="0.28613479500129146"/>
    <n v="1"/>
    <n v="71.8"/>
    <n v="71.8"/>
    <n v="13.176471913377219"/>
    <n v="1348.8783142053906"/>
    <n v="1"/>
    <n v="0"/>
    <n v="0"/>
    <n v="0"/>
    <n v="0"/>
    <n v="0"/>
    <n v="0"/>
    <n v="0"/>
    <n v="0"/>
    <n v="0"/>
  </r>
  <r>
    <d v="2019-08-23T00:00:00"/>
    <n v="2019"/>
    <x v="27"/>
    <s v="R"/>
    <s v="RS"/>
    <x v="3"/>
    <s v="ATL"/>
    <s v="H"/>
    <n v="2"/>
    <n v="2"/>
    <n v="0"/>
    <n v="0"/>
    <n v="0"/>
    <n v="0"/>
    <n v="1352.6815015357552"/>
    <n v="1335.7018422920132"/>
    <n v="0.6413631795898973"/>
    <n v="87"/>
    <n v="90"/>
    <n v="0"/>
    <n v="-3"/>
    <n v="0"/>
    <n v="0.28613479500129146"/>
    <n v="1"/>
    <n v="71.8"/>
    <n v="71.8"/>
    <n v="-13.176471913377219"/>
    <n v="1339.5050296223778"/>
    <n v="0"/>
    <n v="1"/>
    <n v="0"/>
    <n v="0"/>
    <n v="0"/>
    <n v="0"/>
    <n v="0"/>
    <n v="0"/>
    <n v="0"/>
    <n v="0"/>
  </r>
  <r>
    <d v="2019-08-25T00:00:00"/>
    <n v="2019"/>
    <x v="28"/>
    <s v="R"/>
    <s v="RS"/>
    <x v="1"/>
    <s v="DAL"/>
    <s v="A"/>
    <n v="1"/>
    <n v="2"/>
    <n v="-1"/>
    <n v="1"/>
    <n v="-8"/>
    <n v="8"/>
    <n v="1348.8783142053906"/>
    <n v="1404.8676879556992"/>
    <n v="0.28947256872353028"/>
    <n v="77"/>
    <n v="73"/>
    <n v="0"/>
    <n v="4"/>
    <n v="1"/>
    <n v="0.29754971633936039"/>
    <n v="1"/>
    <n v="71.650000000000006"/>
    <n v="71.650000000000006"/>
    <n v="15.148044932720978"/>
    <n v="1364.0263591381115"/>
    <n v="1"/>
    <n v="0"/>
    <n v="0"/>
    <n v="0"/>
    <n v="0"/>
    <n v="0"/>
    <n v="0"/>
    <n v="0"/>
    <n v="0"/>
    <n v="0"/>
  </r>
  <r>
    <d v="2019-08-25T00:00:00"/>
    <n v="2019"/>
    <x v="28"/>
    <s v="R"/>
    <s v="RS"/>
    <x v="0"/>
    <s v="ATL"/>
    <s v="H"/>
    <n v="2"/>
    <n v="1"/>
    <n v="1"/>
    <n v="-1"/>
    <n v="8"/>
    <n v="-8"/>
    <n v="1404.8676879556992"/>
    <n v="1348.8783142053906"/>
    <n v="0.71052743127646967"/>
    <n v="73"/>
    <n v="77"/>
    <n v="0"/>
    <n v="-4"/>
    <n v="0"/>
    <n v="0.29754971633936039"/>
    <n v="1"/>
    <n v="71.650000000000006"/>
    <n v="71.650000000000006"/>
    <n v="-15.148044932720975"/>
    <n v="1389.7196430229783"/>
    <n v="0"/>
    <n v="1"/>
    <n v="0"/>
    <n v="0"/>
    <n v="0"/>
    <n v="0"/>
    <n v="0"/>
    <n v="0"/>
    <n v="0"/>
    <n v="0"/>
  </r>
  <r>
    <d v="2019-08-25T00:00:00"/>
    <n v="2019"/>
    <x v="28"/>
    <s v="R"/>
    <s v="RS"/>
    <x v="5"/>
    <s v="LAS"/>
    <s v="A"/>
    <n v="1"/>
    <n v="2"/>
    <n v="-1"/>
    <n v="1"/>
    <n v="-8"/>
    <n v="8"/>
    <n v="1603.6463916613864"/>
    <n v="1571.516402782021"/>
    <n v="0.40355092194076364"/>
    <n v="72"/>
    <n v="84"/>
    <n v="0"/>
    <n v="-12"/>
    <n v="0"/>
    <n v="0.44423505363234772"/>
    <n v="1"/>
    <n v="71.650000000000006"/>
    <n v="71.650000000000006"/>
    <n v="-12.844800499617065"/>
    <n v="1590.8015911617692"/>
    <n v="0"/>
    <n v="1"/>
    <n v="0"/>
    <n v="0"/>
    <n v="0"/>
    <n v="0"/>
    <n v="0"/>
    <n v="0"/>
    <n v="0"/>
    <n v="0"/>
  </r>
  <r>
    <d v="2019-08-25T00:00:00"/>
    <n v="2019"/>
    <x v="27"/>
    <s v="R"/>
    <s v="RS"/>
    <x v="10"/>
    <s v="CON"/>
    <s v="H"/>
    <n v="2"/>
    <n v="1"/>
    <n v="1"/>
    <n v="-1"/>
    <n v="8"/>
    <n v="-8"/>
    <n v="1571.516402782021"/>
    <n v="1603.6463916613864"/>
    <n v="0.5964490780592363"/>
    <n v="84"/>
    <n v="72"/>
    <n v="0"/>
    <n v="12"/>
    <n v="1"/>
    <n v="0.44423505363234772"/>
    <n v="1"/>
    <n v="71.8"/>
    <n v="71.8"/>
    <n v="12.871691219434826"/>
    <n v="1584.3880940014558"/>
    <n v="1"/>
    <n v="0"/>
    <n v="0"/>
    <n v="0"/>
    <n v="0"/>
    <n v="0"/>
    <n v="0"/>
    <n v="0"/>
    <n v="0"/>
    <n v="0"/>
  </r>
  <r>
    <d v="2019-08-25T00:00:00"/>
    <n v="2019"/>
    <x v="29"/>
    <s v="R"/>
    <s v="RS"/>
    <x v="11"/>
    <s v="MIN"/>
    <s v="A"/>
    <n v="1"/>
    <n v="2"/>
    <n v="-1"/>
    <n v="1"/>
    <n v="-8"/>
    <n v="8"/>
    <n v="1572.8781736018384"/>
    <n v="1512.4448929420494"/>
    <n v="0.44330380249540169"/>
    <n v="77"/>
    <n v="98"/>
    <n v="0"/>
    <n v="-21"/>
    <n v="0"/>
    <n v="0.56035615542868544"/>
    <n v="1"/>
    <n v="71.5"/>
    <n v="71.5"/>
    <n v="-17.761173033406699"/>
    <n v="1555.1170005684316"/>
    <n v="0"/>
    <n v="1"/>
    <n v="0"/>
    <n v="0"/>
    <n v="0"/>
    <n v="0"/>
    <n v="0"/>
    <n v="0"/>
    <n v="0"/>
    <n v="0"/>
  </r>
  <r>
    <d v="2019-08-25T00:00:00"/>
    <n v="2019"/>
    <x v="29"/>
    <s v="R"/>
    <s v="RS"/>
    <x v="7"/>
    <s v="LVA"/>
    <s v="H"/>
    <n v="2"/>
    <n v="1"/>
    <n v="1"/>
    <n v="-1"/>
    <n v="8"/>
    <n v="-8"/>
    <n v="1512.4448929420494"/>
    <n v="1572.8781736018384"/>
    <n v="0.55669619750459831"/>
    <n v="98"/>
    <n v="77"/>
    <n v="0"/>
    <n v="21"/>
    <n v="1"/>
    <n v="0.56035615542868544"/>
    <n v="1"/>
    <n v="71.5"/>
    <n v="71.5"/>
    <n v="17.761173033406699"/>
    <n v="1530.2060659754561"/>
    <n v="1"/>
    <n v="0"/>
    <n v="0"/>
    <n v="0"/>
    <n v="0"/>
    <n v="0"/>
    <n v="0"/>
    <n v="0"/>
    <n v="0"/>
    <n v="0"/>
  </r>
  <r>
    <d v="2019-08-25T00:00:00"/>
    <n v="2019"/>
    <x v="28"/>
    <s v="R"/>
    <s v="RS"/>
    <x v="6"/>
    <s v="PHX"/>
    <s v="A"/>
    <n v="1"/>
    <n v="4"/>
    <n v="-3"/>
    <n v="3"/>
    <n v="-16"/>
    <n v="16"/>
    <n v="1537.1138657133993"/>
    <n v="1506.9268262291109"/>
    <n v="0.37895664023166314"/>
    <n v="94"/>
    <n v="86"/>
    <n v="0"/>
    <n v="8"/>
    <n v="1"/>
    <n v="0.37878682431815525"/>
    <n v="1"/>
    <n v="71.650000000000006"/>
    <n v="71.650000000000006"/>
    <n v="16.855163960054185"/>
    <n v="1553.9690296734534"/>
    <n v="1"/>
    <n v="0"/>
    <n v="0"/>
    <n v="0"/>
    <n v="0"/>
    <n v="0"/>
    <n v="0"/>
    <n v="0"/>
    <n v="0"/>
    <n v="0"/>
  </r>
  <r>
    <d v="2019-08-25T00:00:00"/>
    <n v="2019"/>
    <x v="27"/>
    <s v="R"/>
    <s v="RS"/>
    <x v="8"/>
    <s v="CHI"/>
    <s v="H"/>
    <n v="4"/>
    <n v="1"/>
    <n v="3"/>
    <n v="-3"/>
    <n v="16"/>
    <n v="-16"/>
    <n v="1506.9268262291109"/>
    <n v="1537.1138657133993"/>
    <n v="0.62104335976833691"/>
    <n v="86"/>
    <n v="94"/>
    <n v="0"/>
    <n v="-8"/>
    <n v="0"/>
    <n v="0.37878682431815525"/>
    <n v="1"/>
    <n v="71.8"/>
    <n v="71.8"/>
    <n v="-16.890450416355758"/>
    <n v="1490.0363758127551"/>
    <n v="0"/>
    <n v="1"/>
    <n v="0"/>
    <n v="0"/>
    <n v="0"/>
    <n v="0"/>
    <n v="0"/>
    <n v="0"/>
    <n v="0"/>
    <n v="0"/>
  </r>
  <r>
    <d v="2019-08-25T00:00:00"/>
    <n v="2019"/>
    <x v="28"/>
    <s v="R"/>
    <s v="RS"/>
    <x v="2"/>
    <s v="SEA"/>
    <s v="A"/>
    <n v="2"/>
    <n v="6"/>
    <n v="-4"/>
    <n v="4"/>
    <n v="-16"/>
    <n v="16"/>
    <n v="1374.0040800177705"/>
    <n v="1553.4329322766432"/>
    <n v="0.15438363086434789"/>
    <n v="63"/>
    <n v="54"/>
    <n v="0"/>
    <n v="9"/>
    <n v="1"/>
    <n v="0.35316488543714081"/>
    <n v="1"/>
    <n v="71.650000000000006"/>
    <n v="71.650000000000006"/>
    <n v="21.397699882483231"/>
    <n v="1395.4017799002538"/>
    <n v="1"/>
    <n v="0"/>
    <n v="0"/>
    <n v="0"/>
    <n v="0"/>
    <n v="0"/>
    <n v="0"/>
    <n v="0"/>
    <n v="0"/>
    <n v="0"/>
  </r>
  <r>
    <d v="2019-08-25T00:00:00"/>
    <n v="2019"/>
    <x v="28"/>
    <s v="R"/>
    <s v="RS"/>
    <x v="9"/>
    <s v="IND"/>
    <s v="H"/>
    <n v="6"/>
    <n v="2"/>
    <n v="4"/>
    <n v="-4"/>
    <n v="16"/>
    <n v="-16"/>
    <n v="1553.4329322766432"/>
    <n v="1374.0040800177705"/>
    <n v="0.84561636913565219"/>
    <n v="54"/>
    <n v="63"/>
    <n v="0"/>
    <n v="-9"/>
    <n v="0"/>
    <n v="0.35316488543714081"/>
    <n v="1"/>
    <n v="71.650000000000006"/>
    <n v="71.650000000000006"/>
    <n v="-21.397699882483231"/>
    <n v="1532.0352323941599"/>
    <n v="0"/>
    <n v="1"/>
    <n v="0"/>
    <n v="0"/>
    <n v="0"/>
    <n v="0"/>
    <n v="0"/>
    <n v="0"/>
    <n v="0"/>
    <n v="0"/>
  </r>
  <r>
    <d v="2019-08-25T00:00:00"/>
    <n v="2019"/>
    <x v="28"/>
    <s v="R"/>
    <s v="RS"/>
    <x v="3"/>
    <s v="WAS"/>
    <s v="A"/>
    <n v="1"/>
    <n v="1"/>
    <n v="0"/>
    <n v="0"/>
    <n v="0"/>
    <n v="0"/>
    <n v="1339.5050296223778"/>
    <n v="1675.2249123045324"/>
    <n v="8.195306113862659E-2"/>
    <n v="72"/>
    <n v="101"/>
    <n v="0"/>
    <n v="-29"/>
    <n v="0"/>
    <n v="0.54022582722843959"/>
    <n v="1"/>
    <n v="71.650000000000006"/>
    <n v="71.650000000000006"/>
    <n v="-3.1721719317346246"/>
    <n v="1336.3328576906431"/>
    <n v="0"/>
    <n v="1"/>
    <n v="0"/>
    <n v="0"/>
    <n v="0"/>
    <n v="0"/>
    <n v="0"/>
    <n v="0"/>
    <n v="0"/>
    <n v="0"/>
  </r>
  <r>
    <d v="2019-08-25T00:00:00"/>
    <n v="2019"/>
    <x v="28"/>
    <s v="R"/>
    <s v="RS"/>
    <x v="4"/>
    <s v="NYL"/>
    <s v="H"/>
    <n v="1"/>
    <n v="1"/>
    <n v="0"/>
    <n v="0"/>
    <n v="0"/>
    <n v="0"/>
    <n v="1675.2249123045324"/>
    <n v="1339.5050296223778"/>
    <n v="0.91804693886137334"/>
    <n v="101"/>
    <n v="72"/>
    <n v="0"/>
    <n v="29"/>
    <n v="1"/>
    <n v="0.54022582722843959"/>
    <n v="1"/>
    <n v="71.650000000000006"/>
    <n v="71.650000000000006"/>
    <n v="3.1721719317346273"/>
    <n v="1678.3970842362671"/>
    <n v="1"/>
    <n v="0"/>
    <n v="0"/>
    <n v="0"/>
    <n v="0"/>
    <n v="0"/>
    <n v="0"/>
    <n v="0"/>
    <n v="0"/>
    <n v="0"/>
  </r>
  <r>
    <d v="2019-08-27T00:00:00"/>
    <n v="2019"/>
    <x v="30"/>
    <s v="R"/>
    <s v="RS"/>
    <x v="11"/>
    <s v="IND"/>
    <s v="A"/>
    <n v="1"/>
    <n v="1"/>
    <n v="0"/>
    <n v="0"/>
    <n v="0"/>
    <n v="0"/>
    <n v="1555.1170005684316"/>
    <n v="1395.4017799002538"/>
    <n v="0.60727016604227879"/>
    <n v="71"/>
    <n v="86"/>
    <n v="0"/>
    <n v="-15"/>
    <n v="0"/>
    <n v="0.44378236301421309"/>
    <n v="1"/>
    <n v="71.349999999999994"/>
    <n v="71.349999999999994"/>
    <n v="-19.228524564719592"/>
    <n v="1535.888476003712"/>
    <n v="0"/>
    <n v="1"/>
    <n v="0"/>
    <n v="0"/>
    <n v="0"/>
    <n v="0"/>
    <n v="0"/>
    <n v="0"/>
    <n v="0"/>
    <n v="0"/>
  </r>
  <r>
    <d v="2019-08-27T00:00:00"/>
    <n v="2019"/>
    <x v="29"/>
    <s v="R"/>
    <s v="RS"/>
    <x v="2"/>
    <s v="LVA"/>
    <s v="H"/>
    <n v="1"/>
    <n v="1"/>
    <n v="0"/>
    <n v="0"/>
    <n v="0"/>
    <n v="0"/>
    <n v="1395.4017799002538"/>
    <n v="1555.1170005684316"/>
    <n v="0.39272983395772115"/>
    <n v="86"/>
    <n v="71"/>
    <n v="0"/>
    <n v="15"/>
    <n v="1"/>
    <n v="0.44378236301421309"/>
    <n v="1"/>
    <n v="71.5"/>
    <n v="71.5"/>
    <n v="19.268948933110735"/>
    <n v="1414.6707288333646"/>
    <n v="1"/>
    <n v="0"/>
    <n v="0"/>
    <n v="0"/>
    <n v="0"/>
    <n v="0"/>
    <n v="0"/>
    <n v="0"/>
    <n v="0"/>
    <n v="0"/>
  </r>
  <r>
    <d v="2019-08-27T00:00:00"/>
    <n v="2019"/>
    <x v="29"/>
    <s v="R"/>
    <s v="RS"/>
    <x v="6"/>
    <s v="MIN"/>
    <s v="A"/>
    <n v="1"/>
    <n v="1"/>
    <n v="0"/>
    <n v="0"/>
    <n v="0"/>
    <n v="0"/>
    <n v="1553.9690296734534"/>
    <n v="1530.2060659754561"/>
    <n v="0.4141702118072208"/>
    <n v="85"/>
    <n v="93"/>
    <n v="0"/>
    <n v="-8"/>
    <n v="0"/>
    <n v="0.38077524473816465"/>
    <n v="1"/>
    <n v="71.5"/>
    <n v="71.5"/>
    <n v="-11.275962109136866"/>
    <n v="1542.6930675643166"/>
    <n v="0"/>
    <n v="1"/>
    <n v="0"/>
    <n v="0"/>
    <n v="0"/>
    <n v="0"/>
    <n v="0"/>
    <n v="0"/>
    <n v="0"/>
    <n v="0"/>
  </r>
  <r>
    <d v="2019-08-27T00:00:00"/>
    <n v="2019"/>
    <x v="30"/>
    <s v="R"/>
    <s v="RS"/>
    <x v="7"/>
    <s v="CHI"/>
    <s v="H"/>
    <n v="1"/>
    <n v="1"/>
    <n v="0"/>
    <n v="0"/>
    <n v="0"/>
    <n v="0"/>
    <n v="1530.2060659754561"/>
    <n v="1553.9690296734534"/>
    <n v="0.5858297881927792"/>
    <n v="93"/>
    <n v="85"/>
    <n v="0"/>
    <n v="8"/>
    <n v="1"/>
    <n v="0.38077524473816465"/>
    <n v="1"/>
    <n v="71.349999999999994"/>
    <n v="71.349999999999994"/>
    <n v="11.252306244572244"/>
    <n v="1541.4583722200284"/>
    <n v="1"/>
    <n v="0"/>
    <n v="0"/>
    <n v="0"/>
    <n v="0"/>
    <n v="0"/>
    <n v="0"/>
    <n v="0"/>
    <n v="0"/>
    <n v="0"/>
  </r>
  <r>
    <d v="2019-08-27T00:00:00"/>
    <n v="2019"/>
    <x v="28"/>
    <s v="R"/>
    <s v="RS"/>
    <x v="8"/>
    <s v="NYL"/>
    <s v="A"/>
    <n v="1"/>
    <n v="1"/>
    <n v="0"/>
    <n v="0"/>
    <n v="0"/>
    <n v="0"/>
    <n v="1490.0363758127551"/>
    <n v="1336.3328576906431"/>
    <n v="0.59898691715083952"/>
    <n v="95"/>
    <n v="82"/>
    <n v="0"/>
    <n v="13"/>
    <n v="1"/>
    <n v="0.41844650560023422"/>
    <n v="1"/>
    <n v="71.650000000000006"/>
    <n v="71.650000000000006"/>
    <n v="12.023050788584635"/>
    <n v="1502.0594266013397"/>
    <n v="1"/>
    <n v="0"/>
    <n v="0"/>
    <n v="0"/>
    <n v="0"/>
    <n v="0"/>
    <n v="0"/>
    <n v="0"/>
    <n v="0"/>
    <n v="0"/>
  </r>
  <r>
    <d v="2019-08-27T00:00:00"/>
    <n v="2019"/>
    <x v="29"/>
    <s v="R"/>
    <s v="RS"/>
    <x v="3"/>
    <s v="PHX"/>
    <s v="H"/>
    <n v="1"/>
    <n v="1"/>
    <n v="0"/>
    <n v="0"/>
    <n v="0"/>
    <n v="0"/>
    <n v="1336.3328576906431"/>
    <n v="1490.0363758127551"/>
    <n v="0.40101308284916054"/>
    <n v="82"/>
    <n v="95"/>
    <n v="0"/>
    <n v="-13"/>
    <n v="0"/>
    <n v="0.41844650560023422"/>
    <n v="1"/>
    <n v="71.5"/>
    <n v="71.5"/>
    <n v="-11.997880410101905"/>
    <n v="1324.3349772805411"/>
    <n v="0"/>
    <n v="1"/>
    <n v="0"/>
    <n v="0"/>
    <n v="0"/>
    <n v="0"/>
    <n v="0"/>
    <n v="0"/>
    <n v="0"/>
    <n v="0"/>
  </r>
  <r>
    <d v="2019-08-27T00:00:00"/>
    <n v="2019"/>
    <x v="29"/>
    <s v="R"/>
    <s v="RS"/>
    <x v="5"/>
    <s v="SEA"/>
    <s v="A"/>
    <n v="1"/>
    <n v="1"/>
    <n v="0"/>
    <n v="0"/>
    <n v="0"/>
    <n v="0"/>
    <n v="1590.8015911617692"/>
    <n v="1532.0352323941599"/>
    <n v="0.46374958742046135"/>
    <n v="89"/>
    <n v="70"/>
    <n v="0"/>
    <n v="19"/>
    <n v="1"/>
    <n v="0.53478795534922574"/>
    <n v="1"/>
    <n v="71.5"/>
    <n v="71.5"/>
    <n v="20.504788711449198"/>
    <n v="1611.3063798732185"/>
    <n v="1"/>
    <n v="0"/>
    <n v="0"/>
    <n v="0"/>
    <n v="0"/>
    <n v="0"/>
    <n v="0"/>
    <n v="0"/>
    <n v="0"/>
    <n v="0"/>
  </r>
  <r>
    <d v="2019-08-27T00:00:00"/>
    <n v="2019"/>
    <x v="29"/>
    <s v="R"/>
    <s v="RS"/>
    <x v="9"/>
    <s v="CON"/>
    <s v="H"/>
    <n v="1"/>
    <n v="1"/>
    <n v="0"/>
    <n v="0"/>
    <n v="0"/>
    <n v="0"/>
    <n v="1532.0352323941599"/>
    <n v="1590.8015911617692"/>
    <n v="0.53625041257953854"/>
    <n v="70"/>
    <n v="89"/>
    <n v="0"/>
    <n v="-19"/>
    <n v="0"/>
    <n v="0.53478795534922574"/>
    <n v="1"/>
    <n v="71.5"/>
    <n v="71.5"/>
    <n v="-20.504788711449194"/>
    <n v="1511.5304436827107"/>
    <n v="0"/>
    <n v="1"/>
    <n v="0"/>
    <n v="0"/>
    <n v="0"/>
    <n v="0"/>
    <n v="0"/>
    <n v="0"/>
    <n v="0"/>
    <n v="0"/>
  </r>
  <r>
    <d v="2019-08-27T00:00:00"/>
    <n v="2019"/>
    <x v="28"/>
    <s v="R"/>
    <s v="RS"/>
    <x v="10"/>
    <s v="WAS"/>
    <s v="A"/>
    <n v="1"/>
    <n v="1"/>
    <n v="0"/>
    <n v="0"/>
    <n v="0"/>
    <n v="0"/>
    <n v="1584.3880940014558"/>
    <n v="1678.3970842362671"/>
    <n v="0.26411249741721199"/>
    <n v="66"/>
    <n v="95"/>
    <n v="0"/>
    <n v="-29"/>
    <n v="0"/>
    <n v="0.64113584238899546"/>
    <n v="1"/>
    <n v="71.650000000000006"/>
    <n v="71.650000000000006"/>
    <n v="-12.132636977246317"/>
    <n v="1572.2554570242094"/>
    <n v="0"/>
    <n v="1"/>
    <n v="0"/>
    <n v="0"/>
    <n v="0"/>
    <n v="0"/>
    <n v="0"/>
    <n v="0"/>
    <n v="0"/>
    <n v="0"/>
  </r>
  <r>
    <d v="2019-08-27T00:00:00"/>
    <n v="2019"/>
    <x v="29"/>
    <s v="R"/>
    <s v="RS"/>
    <x v="4"/>
    <s v="LAS"/>
    <s v="H"/>
    <n v="1"/>
    <n v="1"/>
    <n v="0"/>
    <n v="0"/>
    <n v="0"/>
    <n v="0"/>
    <n v="1678.3970842362671"/>
    <n v="1584.3880940014558"/>
    <n v="0.73588750258278801"/>
    <n v="95"/>
    <n v="66"/>
    <n v="0"/>
    <n v="29"/>
    <n v="1"/>
    <n v="0.64113584238899546"/>
    <n v="1"/>
    <n v="71.5"/>
    <n v="71.5"/>
    <n v="12.107237178968759"/>
    <n v="1690.5043214152358"/>
    <n v="1"/>
    <n v="0"/>
    <n v="0"/>
    <n v="0"/>
    <n v="0"/>
    <n v="0"/>
    <n v="0"/>
    <n v="0"/>
    <n v="0"/>
    <n v="0"/>
  </r>
  <r>
    <d v="2019-08-29T00:00:00"/>
    <n v="2019"/>
    <x v="29"/>
    <s v="R"/>
    <s v="RS"/>
    <x v="8"/>
    <s v="ATL"/>
    <s v="A"/>
    <n v="1"/>
    <n v="3"/>
    <n v="-2"/>
    <n v="2"/>
    <n v="-16"/>
    <n v="16"/>
    <n v="1502.0594266013397"/>
    <n v="1364.0263591381115"/>
    <n v="0.53166569514992768"/>
    <n v="65"/>
    <n v="58"/>
    <n v="0"/>
    <n v="7"/>
    <n v="1"/>
    <n v="0.3319264805813848"/>
    <n v="1"/>
    <n v="71.5"/>
    <n v="71.5"/>
    <n v="11.114857864425593"/>
    <n v="1513.1742844657654"/>
    <n v="1"/>
    <n v="0"/>
    <n v="0"/>
    <n v="0"/>
    <n v="0"/>
    <n v="0"/>
    <n v="0"/>
    <n v="0"/>
    <n v="0"/>
    <n v="0"/>
  </r>
  <r>
    <d v="2019-08-29T00:00:00"/>
    <n v="2019"/>
    <x v="29"/>
    <s v="R"/>
    <s v="RS"/>
    <x v="1"/>
    <s v="PHX"/>
    <s v="H"/>
    <n v="3"/>
    <n v="1"/>
    <n v="2"/>
    <n v="-2"/>
    <n v="16"/>
    <n v="-16"/>
    <n v="1364.0263591381115"/>
    <n v="1502.0594266013397"/>
    <n v="0.46833430485007232"/>
    <n v="58"/>
    <n v="65"/>
    <n v="0"/>
    <n v="-7"/>
    <n v="0"/>
    <n v="0.3319264805813848"/>
    <n v="1"/>
    <n v="71.5"/>
    <n v="71.5"/>
    <n v="-11.114857864425593"/>
    <n v="1352.9115012736859"/>
    <n v="0"/>
    <n v="1"/>
    <n v="0"/>
    <n v="0"/>
    <n v="0"/>
    <n v="0"/>
    <n v="0"/>
    <n v="0"/>
    <n v="0"/>
    <n v="0"/>
  </r>
  <r>
    <d v="2019-08-29T00:00:00"/>
    <n v="2019"/>
    <x v="29"/>
    <s v="R"/>
    <s v="RS"/>
    <x v="0"/>
    <s v="CHI"/>
    <s v="A"/>
    <n v="3"/>
    <n v="1"/>
    <n v="2"/>
    <n v="-2"/>
    <n v="16"/>
    <n v="-16"/>
    <n v="1389.7196430229783"/>
    <n v="1542.6930675643166"/>
    <n v="0.23506624279679517"/>
    <n v="88"/>
    <n v="83"/>
    <n v="0"/>
    <n v="5"/>
    <n v="1"/>
    <n v="0.2942461125490744"/>
    <n v="1"/>
    <n v="71.5"/>
    <n v="71.5"/>
    <n v="16.093133085643942"/>
    <n v="1405.8127761086223"/>
    <n v="1"/>
    <n v="0"/>
    <n v="0"/>
    <n v="0"/>
    <n v="0"/>
    <n v="0"/>
    <n v="0"/>
    <n v="0"/>
    <n v="0"/>
    <n v="0"/>
  </r>
  <r>
    <d v="2019-08-29T00:00:00"/>
    <n v="2019"/>
    <x v="30"/>
    <s v="R"/>
    <s v="RS"/>
    <x v="6"/>
    <s v="DAL"/>
    <s v="H"/>
    <n v="1"/>
    <n v="3"/>
    <n v="-2"/>
    <n v="2"/>
    <n v="-16"/>
    <n v="16"/>
    <n v="1542.6930675643166"/>
    <n v="1389.7196430229783"/>
    <n v="0.76493375720320478"/>
    <n v="83"/>
    <n v="88"/>
    <n v="0"/>
    <n v="-5"/>
    <n v="0"/>
    <n v="0.2942461125490744"/>
    <n v="1"/>
    <n v="71.349999999999994"/>
    <n v="71.349999999999994"/>
    <n v="-16.059371267981746"/>
    <n v="1526.6336962963348"/>
    <n v="0"/>
    <n v="1"/>
    <n v="0"/>
    <n v="0"/>
    <n v="0"/>
    <n v="0"/>
    <n v="0"/>
    <n v="0"/>
    <n v="0"/>
    <n v="0"/>
  </r>
  <r>
    <d v="2019-08-29T00:00:00"/>
    <n v="2019"/>
    <x v="29"/>
    <s v="R"/>
    <s v="RS"/>
    <x v="10"/>
    <s v="IND"/>
    <s v="A"/>
    <n v="1"/>
    <n v="1"/>
    <n v="0"/>
    <n v="0"/>
    <n v="0"/>
    <n v="0"/>
    <n v="1572.2554570242094"/>
    <n v="1414.6707288333646"/>
    <n v="0.60434144630975561"/>
    <n v="87"/>
    <n v="83"/>
    <n v="0"/>
    <n v="4"/>
    <n v="1"/>
    <n v="0.27528247344287965"/>
    <n v="1"/>
    <n v="71.5"/>
    <n v="71.5"/>
    <n v="7.7876273688558246"/>
    <n v="1580.0430843930651"/>
    <n v="1"/>
    <n v="0"/>
    <n v="0"/>
    <n v="0"/>
    <n v="0"/>
    <n v="0"/>
    <n v="0"/>
    <n v="0"/>
    <n v="0"/>
    <n v="0"/>
  </r>
  <r>
    <d v="2019-08-29T00:00:00"/>
    <n v="2019"/>
    <x v="30"/>
    <s v="R"/>
    <s v="RS"/>
    <x v="2"/>
    <s v="LAS"/>
    <s v="H"/>
    <n v="1"/>
    <n v="1"/>
    <n v="0"/>
    <n v="0"/>
    <n v="0"/>
    <n v="0"/>
    <n v="1414.6707288333646"/>
    <n v="1572.2554570242094"/>
    <n v="0.39565855369024444"/>
    <n v="83"/>
    <n v="87"/>
    <n v="0"/>
    <n v="-4"/>
    <n v="0"/>
    <n v="0.27528247344287965"/>
    <n v="1"/>
    <n v="71.349999999999994"/>
    <n v="71.349999999999994"/>
    <n v="-7.7712896890610237"/>
    <n v="1406.8994391443036"/>
    <n v="0"/>
    <n v="1"/>
    <n v="0"/>
    <n v="0"/>
    <n v="0"/>
    <n v="0"/>
    <n v="0"/>
    <n v="0"/>
    <n v="0"/>
    <n v="0"/>
  </r>
  <r>
    <d v="2019-08-30T00:00:00"/>
    <n v="2019"/>
    <x v="30"/>
    <s v="R"/>
    <s v="RS"/>
    <x v="5"/>
    <s v="NYL"/>
    <s v="A"/>
    <n v="2"/>
    <n v="2"/>
    <n v="0"/>
    <n v="0"/>
    <n v="0"/>
    <n v="0"/>
    <n v="1611.3063798732185"/>
    <n v="1324.3349772805411"/>
    <n v="0.76285520067633483"/>
    <n v="94"/>
    <n v="84"/>
    <n v="0"/>
    <n v="10"/>
    <n v="1"/>
    <n v="0.3414696734001878"/>
    <n v="1"/>
    <n v="71.349999999999994"/>
    <n v="71.349999999999994"/>
    <n v="5.777762974336718"/>
    <n v="1617.0841428475551"/>
    <n v="1"/>
    <n v="0"/>
    <n v="0"/>
    <n v="0"/>
    <n v="0"/>
    <n v="0"/>
    <n v="0"/>
    <n v="0"/>
    <n v="0"/>
    <n v="0"/>
  </r>
  <r>
    <d v="2019-08-30T00:00:00"/>
    <n v="2019"/>
    <x v="30"/>
    <s v="R"/>
    <s v="RS"/>
    <x v="3"/>
    <s v="CON"/>
    <s v="H"/>
    <n v="2"/>
    <n v="2"/>
    <n v="0"/>
    <n v="0"/>
    <n v="0"/>
    <n v="0"/>
    <n v="1324.3349772805411"/>
    <n v="1611.3063798732185"/>
    <n v="0.23714479932366517"/>
    <n v="84"/>
    <n v="94"/>
    <n v="0"/>
    <n v="-10"/>
    <n v="0"/>
    <n v="0.3414696734001878"/>
    <n v="1"/>
    <n v="71.349999999999994"/>
    <n v="71.349999999999994"/>
    <n v="-5.777762974336718"/>
    <n v="1318.5572143062045"/>
    <n v="0"/>
    <n v="1"/>
    <n v="0"/>
    <n v="0"/>
    <n v="0"/>
    <n v="0"/>
    <n v="0"/>
    <n v="0"/>
    <n v="0"/>
    <n v="0"/>
  </r>
  <r>
    <d v="2019-08-31T00:00:00"/>
    <n v="2019"/>
    <x v="30"/>
    <s v="R"/>
    <s v="RS"/>
    <x v="4"/>
    <s v="DAL"/>
    <s v="A"/>
    <n v="3"/>
    <n v="1"/>
    <n v="2"/>
    <n v="-2"/>
    <n v="16"/>
    <n v="-16"/>
    <n v="1690.5043214152358"/>
    <n v="1405.8127761086223"/>
    <n v="0.79240444895902684"/>
    <n v="91"/>
    <n v="85"/>
    <n v="0"/>
    <n v="6"/>
    <n v="1"/>
    <n v="0.28392221579071203"/>
    <n v="1"/>
    <n v="71.349999999999994"/>
    <n v="71.349999999999994"/>
    <n v="4.20543955372308"/>
    <n v="1694.709760968959"/>
    <n v="1"/>
    <n v="0"/>
    <n v="0"/>
    <n v="0"/>
    <n v="0"/>
    <n v="0"/>
    <n v="0"/>
    <n v="0"/>
    <n v="0"/>
    <n v="0"/>
  </r>
  <r>
    <d v="2019-08-31T00:00:00"/>
    <n v="2019"/>
    <x v="30"/>
    <s v="R"/>
    <s v="RS"/>
    <x v="0"/>
    <s v="WAS"/>
    <s v="H"/>
    <n v="1"/>
    <n v="3"/>
    <n v="-2"/>
    <n v="2"/>
    <n v="-16"/>
    <n v="16"/>
    <n v="1405.8127761086223"/>
    <n v="1690.5043214152358"/>
    <n v="0.2075955510409731"/>
    <n v="85"/>
    <n v="91"/>
    <n v="0"/>
    <n v="-6"/>
    <n v="0"/>
    <n v="0.28392221579071203"/>
    <n v="1"/>
    <n v="71.349999999999994"/>
    <n v="71.349999999999994"/>
    <n v="-4.2054395537230782"/>
    <n v="1401.6073365548991"/>
    <n v="0"/>
    <n v="1"/>
    <n v="0"/>
    <n v="0"/>
    <n v="0"/>
    <n v="0"/>
    <n v="0"/>
    <n v="0"/>
    <n v="0"/>
    <n v="0"/>
  </r>
  <r>
    <d v="2019-08-31T00:00:00"/>
    <n v="2019"/>
    <x v="30"/>
    <s v="R"/>
    <s v="RS"/>
    <x v="10"/>
    <s v="LVA"/>
    <s v="A"/>
    <n v="1"/>
    <n v="3"/>
    <n v="-2"/>
    <n v="2"/>
    <n v="-16"/>
    <n v="16"/>
    <n v="1580.0430843930651"/>
    <n v="1535.888476003712"/>
    <n v="0.39805513729724201"/>
    <n v="86"/>
    <n v="92"/>
    <n v="0"/>
    <n v="-6"/>
    <n v="0"/>
    <n v="0.33881393073397814"/>
    <n v="1"/>
    <n v="71.349999999999994"/>
    <n v="71.349999999999994"/>
    <n v="-9.6227337448745516"/>
    <n v="1570.4203506481906"/>
    <n v="0"/>
    <n v="1"/>
    <n v="0"/>
    <n v="0"/>
    <n v="0"/>
    <n v="0"/>
    <n v="0"/>
    <n v="0"/>
    <n v="0"/>
    <n v="0"/>
  </r>
  <r>
    <d v="2019-08-31T00:00:00"/>
    <n v="2019"/>
    <x v="31"/>
    <s v="R"/>
    <s v="RS"/>
    <x v="11"/>
    <s v="LAS"/>
    <s v="H"/>
    <n v="3"/>
    <n v="1"/>
    <n v="2"/>
    <n v="-2"/>
    <n v="16"/>
    <n v="-16"/>
    <n v="1535.888476003712"/>
    <n v="1580.0430843930651"/>
    <n v="0.60194486270275804"/>
    <n v="92"/>
    <n v="86"/>
    <n v="0"/>
    <n v="6"/>
    <n v="1"/>
    <n v="0.33881393073397814"/>
    <n v="1"/>
    <n v="71.2"/>
    <n v="71.2"/>
    <n v="9.6025037510170712"/>
    <n v="1545.4909797547291"/>
    <n v="1"/>
    <n v="0"/>
    <n v="0"/>
    <n v="0"/>
    <n v="0"/>
    <n v="0"/>
    <n v="0"/>
    <n v="0"/>
    <n v="0"/>
    <n v="0"/>
  </r>
  <r>
    <d v="2019-09-01T00:00:00"/>
    <n v="2019"/>
    <x v="30"/>
    <s v="R"/>
    <s v="RS"/>
    <x v="8"/>
    <s v="CHI"/>
    <s v="A"/>
    <n v="2"/>
    <n v="2"/>
    <n v="0"/>
    <n v="0"/>
    <n v="0"/>
    <n v="0"/>
    <n v="1513.1742844657654"/>
    <n v="1526.6336962963348"/>
    <n v="0.36331114373587453"/>
    <n v="78"/>
    <n v="105"/>
    <n v="0"/>
    <n v="-27"/>
    <n v="0"/>
    <n v="0.65927215381119042"/>
    <n v="1"/>
    <n v="71.349999999999994"/>
    <n v="71.349999999999994"/>
    <n v="-17.089817658721369"/>
    <n v="1496.084466807044"/>
    <n v="0"/>
    <n v="1"/>
    <n v="0"/>
    <n v="0"/>
    <n v="0"/>
    <n v="0"/>
    <n v="0"/>
    <n v="0"/>
    <n v="0"/>
    <n v="0"/>
  </r>
  <r>
    <d v="2019-09-01T00:00:00"/>
    <n v="2019"/>
    <x v="31"/>
    <s v="R"/>
    <s v="RS"/>
    <x v="6"/>
    <s v="PHX"/>
    <s v="H"/>
    <n v="2"/>
    <n v="2"/>
    <n v="0"/>
    <n v="0"/>
    <n v="0"/>
    <n v="0"/>
    <n v="1526.6336962963348"/>
    <n v="1513.1742844657654"/>
    <n v="0.63668885626412552"/>
    <n v="105"/>
    <n v="78"/>
    <n v="0"/>
    <n v="27"/>
    <n v="1"/>
    <n v="0.65927215381119042"/>
    <n v="1"/>
    <n v="71.2"/>
    <n v="71.2"/>
    <n v="17.053889520686216"/>
    <n v="1543.687585817021"/>
    <n v="1"/>
    <n v="0"/>
    <n v="0"/>
    <n v="0"/>
    <n v="0"/>
    <n v="0"/>
    <n v="0"/>
    <n v="0"/>
    <n v="0"/>
    <n v="0"/>
  </r>
  <r>
    <d v="2019-09-01T00:00:00"/>
    <n v="2019"/>
    <x v="31"/>
    <s v="R"/>
    <s v="RS"/>
    <x v="2"/>
    <s v="MIN"/>
    <s v="A"/>
    <n v="2"/>
    <n v="4"/>
    <n v="-2"/>
    <n v="2"/>
    <n v="-16"/>
    <n v="16"/>
    <n v="1406.8994391443036"/>
    <n v="1541.4583722200284"/>
    <n v="0.19118430528455851"/>
    <n v="73"/>
    <n v="81"/>
    <n v="0"/>
    <n v="-8"/>
    <n v="0"/>
    <n v="0.34916303091215101"/>
    <n v="1"/>
    <n v="71.2"/>
    <n v="71.2"/>
    <n v="-4.7529197945145185"/>
    <n v="1402.1465193497891"/>
    <n v="0"/>
    <n v="1"/>
    <n v="0"/>
    <n v="0"/>
    <n v="0"/>
    <n v="0"/>
    <n v="0"/>
    <n v="0"/>
    <n v="0"/>
    <n v="0"/>
  </r>
  <r>
    <d v="2019-09-01T00:00:00"/>
    <n v="2019"/>
    <x v="31"/>
    <s v="R"/>
    <s v="RS"/>
    <x v="7"/>
    <s v="IND"/>
    <s v="H"/>
    <n v="4"/>
    <n v="2"/>
    <n v="2"/>
    <n v="-2"/>
    <n v="16"/>
    <n v="-16"/>
    <n v="1541.4583722200284"/>
    <n v="1406.8994391443036"/>
    <n v="0.80881569471544146"/>
    <n v="81"/>
    <n v="73"/>
    <n v="0"/>
    <n v="8"/>
    <n v="1"/>
    <n v="0.34916303091215101"/>
    <n v="1"/>
    <n v="71.2"/>
    <n v="71.2"/>
    <n v="4.7529197945145194"/>
    <n v="1546.211292014543"/>
    <n v="1"/>
    <n v="0"/>
    <n v="0"/>
    <n v="0"/>
    <n v="0"/>
    <n v="0"/>
    <n v="0"/>
    <n v="0"/>
    <n v="0"/>
    <n v="0"/>
  </r>
  <r>
    <d v="2019-09-01T00:00:00"/>
    <n v="2019"/>
    <x v="30"/>
    <s v="R"/>
    <s v="RS"/>
    <x v="1"/>
    <s v="SEA"/>
    <s v="A"/>
    <n v="2"/>
    <n v="4"/>
    <n v="-2"/>
    <n v="2"/>
    <n v="-16"/>
    <n v="16"/>
    <n v="1352.9115012736859"/>
    <n v="1511.5304436827107"/>
    <n v="0.17067744109865121"/>
    <n v="75"/>
    <n v="92"/>
    <n v="0"/>
    <n v="-17"/>
    <n v="0"/>
    <n v="0.47027938662880858"/>
    <n v="1"/>
    <n v="71.349999999999994"/>
    <n v="71.349999999999994"/>
    <n v="-5.726984972907565"/>
    <n v="1347.1845163007783"/>
    <n v="0"/>
    <n v="1"/>
    <n v="0"/>
    <n v="0"/>
    <n v="0"/>
    <n v="0"/>
    <n v="0"/>
    <n v="0"/>
    <n v="0"/>
    <n v="0"/>
  </r>
  <r>
    <d v="2019-09-01T00:00:00"/>
    <n v="2019"/>
    <x v="30"/>
    <s v="R"/>
    <s v="RS"/>
    <x v="9"/>
    <s v="ATL"/>
    <s v="H"/>
    <n v="4"/>
    <n v="2"/>
    <n v="2"/>
    <n v="-2"/>
    <n v="16"/>
    <n v="-16"/>
    <n v="1511.5304436827107"/>
    <n v="1352.9115012736859"/>
    <n v="0.82932255890134876"/>
    <n v="92"/>
    <n v="75"/>
    <n v="0"/>
    <n v="17"/>
    <n v="1"/>
    <n v="0.47027938662880858"/>
    <n v="1"/>
    <n v="71.349999999999994"/>
    <n v="71.349999999999994"/>
    <n v="5.7269849729075659"/>
    <n v="1517.2574286556182"/>
    <n v="1"/>
    <n v="0"/>
    <n v="0"/>
    <n v="0"/>
    <n v="0"/>
    <n v="0"/>
    <n v="0"/>
    <n v="0"/>
    <n v="0"/>
    <n v="0"/>
  </r>
  <r>
    <d v="2019-09-03T00:00:00"/>
    <n v="2019"/>
    <x v="31"/>
    <s v="R"/>
    <s v="RS"/>
    <x v="1"/>
    <s v="LAS"/>
    <s v="A"/>
    <n v="1"/>
    <n v="2"/>
    <n v="-1"/>
    <n v="1"/>
    <n v="-8"/>
    <n v="8"/>
    <n v="1347.1845163007783"/>
    <n v="1570.4203506481906"/>
    <n v="0.13462206062221055"/>
    <n v="60"/>
    <n v="70"/>
    <n v="0"/>
    <n v="-10"/>
    <n v="0"/>
    <n v="0.35676142136454769"/>
    <n v="1"/>
    <n v="71.2"/>
    <n v="71.2"/>
    <n v="-3.419590587855815"/>
    <n v="1343.7649257129226"/>
    <n v="0"/>
    <n v="1"/>
    <n v="0"/>
    <n v="0"/>
    <n v="0"/>
    <n v="0"/>
    <n v="0"/>
    <n v="0"/>
    <n v="0"/>
    <n v="0"/>
  </r>
  <r>
    <d v="2019-09-03T00:00:00"/>
    <n v="2019"/>
    <x v="31"/>
    <s v="R"/>
    <s v="RS"/>
    <x v="10"/>
    <s v="ATL"/>
    <s v="H"/>
    <n v="2"/>
    <n v="1"/>
    <n v="1"/>
    <n v="-1"/>
    <n v="8"/>
    <n v="-8"/>
    <n v="1570.4203506481906"/>
    <n v="1347.1845163007783"/>
    <n v="0.8653779393777894"/>
    <n v="70"/>
    <n v="60"/>
    <n v="0"/>
    <n v="10"/>
    <n v="1"/>
    <n v="0.35676142136454769"/>
    <n v="1"/>
    <n v="71.2"/>
    <n v="71.2"/>
    <n v="3.4195905878558164"/>
    <n v="1573.8399412360463"/>
    <n v="1"/>
    <n v="0"/>
    <n v="0"/>
    <n v="0"/>
    <n v="0"/>
    <n v="0"/>
    <n v="0"/>
    <n v="0"/>
    <n v="0"/>
    <n v="0"/>
  </r>
  <r>
    <d v="2019-09-03T00:00:00"/>
    <n v="2019"/>
    <x v="31"/>
    <s v="R"/>
    <s v="RS"/>
    <x v="4"/>
    <s v="NYL"/>
    <s v="A"/>
    <n v="2"/>
    <n v="3"/>
    <n v="-1"/>
    <n v="1"/>
    <n v="-8"/>
    <n v="8"/>
    <n v="1694.709760968959"/>
    <n v="1318.5572143062045"/>
    <n v="0.83056852147512183"/>
    <n v="93"/>
    <n v="77"/>
    <n v="0"/>
    <n v="16"/>
    <n v="1"/>
    <n v="0.39421516657868366"/>
    <n v="1"/>
    <n v="71.2"/>
    <n v="71.2"/>
    <n v="4.7556230473614542"/>
    <n v="1699.4653840163205"/>
    <n v="1"/>
    <n v="0"/>
    <n v="0"/>
    <n v="0"/>
    <n v="0"/>
    <n v="0"/>
    <n v="0"/>
    <n v="0"/>
    <n v="0"/>
    <n v="0"/>
  </r>
  <r>
    <d v="2019-09-03T00:00:00"/>
    <n v="2019"/>
    <x v="31"/>
    <s v="R"/>
    <s v="RS"/>
    <x v="3"/>
    <s v="WAS"/>
    <s v="H"/>
    <n v="3"/>
    <n v="2"/>
    <n v="1"/>
    <n v="-1"/>
    <n v="8"/>
    <n v="-8"/>
    <n v="1318.5572143062045"/>
    <n v="1694.709760968959"/>
    <n v="0.16943147852487817"/>
    <n v="77"/>
    <n v="93"/>
    <n v="0"/>
    <n v="-16"/>
    <n v="0"/>
    <n v="0.39421516657868366"/>
    <n v="1"/>
    <n v="71.2"/>
    <n v="71.2"/>
    <n v="-4.7556230473614542"/>
    <n v="1313.801591258843"/>
    <n v="0"/>
    <n v="1"/>
    <n v="0"/>
    <n v="0"/>
    <n v="0"/>
    <n v="0"/>
    <n v="0"/>
    <n v="0"/>
    <n v="0"/>
    <n v="0"/>
  </r>
  <r>
    <d v="2019-09-03T00:00:00"/>
    <n v="2019"/>
    <x v="31"/>
    <s v="R"/>
    <s v="RS"/>
    <x v="9"/>
    <s v="PHX"/>
    <s v="A"/>
    <n v="1"/>
    <n v="1"/>
    <n v="0"/>
    <n v="0"/>
    <n v="0"/>
    <n v="0"/>
    <n v="1517.2574286556182"/>
    <n v="1496.084466807044"/>
    <n v="0.41055742233149495"/>
    <n v="82"/>
    <n v="70"/>
    <n v="0"/>
    <n v="12"/>
    <n v="1"/>
    <n v="0.44822097179688541"/>
    <n v="1"/>
    <n v="71.2"/>
    <n v="71.2"/>
    <n v="18.811077378649937"/>
    <n v="1536.0685060342682"/>
    <n v="1"/>
    <n v="0"/>
    <n v="0"/>
    <n v="0"/>
    <n v="0"/>
    <n v="0"/>
    <n v="0"/>
    <n v="0"/>
    <n v="0"/>
    <n v="0"/>
  </r>
  <r>
    <d v="2019-09-03T00:00:00"/>
    <n v="2019"/>
    <x v="31"/>
    <s v="R"/>
    <s v="RS"/>
    <x v="8"/>
    <s v="SEA"/>
    <s v="H"/>
    <n v="1"/>
    <n v="1"/>
    <n v="0"/>
    <n v="0"/>
    <n v="0"/>
    <n v="0"/>
    <n v="1496.084466807044"/>
    <n v="1517.2574286556182"/>
    <n v="0.58944257766850505"/>
    <n v="70"/>
    <n v="82"/>
    <n v="0"/>
    <n v="-12"/>
    <n v="0"/>
    <n v="0.44822097179688541"/>
    <n v="1"/>
    <n v="71.2"/>
    <n v="71.2"/>
    <n v="-18.811077378649937"/>
    <n v="1477.273389428394"/>
    <n v="0"/>
    <n v="1"/>
    <n v="0"/>
    <n v="0"/>
    <n v="0"/>
    <n v="0"/>
    <n v="0"/>
    <n v="0"/>
    <n v="0"/>
    <n v="0"/>
  </r>
  <r>
    <d v="2019-09-04T00:00:00"/>
    <n v="2019"/>
    <x v="31"/>
    <s v="R"/>
    <s v="RS"/>
    <x v="0"/>
    <s v="CON"/>
    <s v="A"/>
    <n v="3"/>
    <n v="4"/>
    <n v="-1"/>
    <n v="1"/>
    <n v="-8"/>
    <n v="8"/>
    <n v="1401.6073365548991"/>
    <n v="1617.0841428475551"/>
    <n v="0.13991086615118992"/>
    <n v="72"/>
    <n v="102"/>
    <n v="0"/>
    <n v="-30"/>
    <n v="0"/>
    <n v="0.59640059644697008"/>
    <n v="1"/>
    <n v="71.2"/>
    <n v="71.2"/>
    <n v="-5.9411361903651088"/>
    <n v="1395.666200364534"/>
    <n v="0"/>
    <n v="1"/>
    <n v="0"/>
    <n v="0"/>
    <n v="0"/>
    <n v="0"/>
    <n v="0"/>
    <n v="0"/>
    <n v="0"/>
    <n v="0"/>
  </r>
  <r>
    <d v="2019-09-04T00:00:00"/>
    <n v="2019"/>
    <x v="31"/>
    <s v="R"/>
    <s v="RS"/>
    <x v="5"/>
    <s v="DAL"/>
    <s v="H"/>
    <n v="4"/>
    <n v="3"/>
    <n v="1"/>
    <n v="-1"/>
    <n v="8"/>
    <n v="-8"/>
    <n v="1617.0841428475551"/>
    <n v="1401.6073365548991"/>
    <n v="0.86008913384881014"/>
    <n v="102"/>
    <n v="72"/>
    <n v="0"/>
    <n v="30"/>
    <n v="1"/>
    <n v="0.59640059644697008"/>
    <n v="1"/>
    <n v="71.2"/>
    <n v="71.2"/>
    <n v="5.9411361903651061"/>
    <n v="1623.0252790379202"/>
    <n v="1"/>
    <n v="0"/>
    <n v="0"/>
    <n v="0"/>
    <n v="0"/>
    <n v="0"/>
    <n v="0"/>
    <n v="0"/>
    <n v="0"/>
    <n v="0"/>
  </r>
  <r>
    <d v="2019-09-05T00:00:00"/>
    <n v="2019"/>
    <x v="32"/>
    <s v="R"/>
    <s v="RS"/>
    <x v="11"/>
    <s v="ATL"/>
    <s v="A"/>
    <n v="4"/>
    <n v="1"/>
    <n v="3"/>
    <n v="-3"/>
    <n v="16"/>
    <n v="-16"/>
    <n v="1545.4909797547291"/>
    <n v="1343.7649257129226"/>
    <n v="0.70305588972141086"/>
    <n v="74"/>
    <n v="78"/>
    <n v="0"/>
    <n v="-4"/>
    <n v="0"/>
    <n v="0.2666136373844622"/>
    <n v="1"/>
    <n v="71.05"/>
    <n v="71.05"/>
    <n v="-13.317916665468982"/>
    <n v="1532.17306308926"/>
    <n v="0"/>
    <n v="1"/>
    <n v="0"/>
    <n v="0"/>
    <n v="0"/>
    <n v="0"/>
    <n v="0"/>
    <n v="0"/>
    <n v="0"/>
    <n v="0"/>
  </r>
  <r>
    <d v="2019-09-05T00:00:00"/>
    <n v="2019"/>
    <x v="32"/>
    <s v="R"/>
    <s v="RS"/>
    <x v="1"/>
    <s v="LVA"/>
    <s v="H"/>
    <n v="1"/>
    <n v="4"/>
    <n v="-3"/>
    <n v="3"/>
    <n v="-16"/>
    <n v="16"/>
    <n v="1343.7649257129226"/>
    <n v="1545.4909797547291"/>
    <n v="0.29694411027858902"/>
    <n v="78"/>
    <n v="74"/>
    <n v="0"/>
    <n v="4"/>
    <n v="1"/>
    <n v="0.2666136373844622"/>
    <n v="1"/>
    <n v="71.05"/>
    <n v="71.05"/>
    <n v="13.317916665468983"/>
    <n v="1357.0828423783917"/>
    <n v="1"/>
    <n v="0"/>
    <n v="0"/>
    <n v="0"/>
    <n v="0"/>
    <n v="0"/>
    <n v="0"/>
    <n v="0"/>
    <n v="0"/>
    <n v="0"/>
  </r>
  <r>
    <d v="2019-09-05T00:00:00"/>
    <n v="2019"/>
    <x v="32"/>
    <s v="R"/>
    <s v="RS"/>
    <x v="9"/>
    <s v="LAS"/>
    <s v="A"/>
    <n v="1"/>
    <n v="1"/>
    <n v="0"/>
    <n v="0"/>
    <n v="0"/>
    <n v="0"/>
    <n v="1536.0685060342682"/>
    <n v="1573.8399412360463"/>
    <n v="0.3315965966689905"/>
    <n v="68"/>
    <n v="102"/>
    <n v="0"/>
    <n v="-34"/>
    <n v="0"/>
    <n v="0.72777696949857995"/>
    <n v="1"/>
    <n v="71.05"/>
    <n v="71.05"/>
    <n v="-17.146380419916849"/>
    <n v="1518.9221256143514"/>
    <n v="0"/>
    <n v="1"/>
    <n v="0"/>
    <n v="0"/>
    <n v="0"/>
    <n v="0"/>
    <n v="0"/>
    <n v="0"/>
    <n v="0"/>
    <n v="0"/>
  </r>
  <r>
    <d v="2019-09-05T00:00:00"/>
    <n v="2019"/>
    <x v="32"/>
    <s v="R"/>
    <s v="RS"/>
    <x v="10"/>
    <s v="SEA"/>
    <s v="H"/>
    <n v="1"/>
    <n v="1"/>
    <n v="0"/>
    <n v="0"/>
    <n v="0"/>
    <n v="0"/>
    <n v="1573.8399412360463"/>
    <n v="1536.0685060342682"/>
    <n v="0.66840340333100956"/>
    <n v="102"/>
    <n v="68"/>
    <n v="0"/>
    <n v="34"/>
    <n v="1"/>
    <n v="0.72777696949857995"/>
    <n v="1"/>
    <n v="71.05"/>
    <n v="71.05"/>
    <n v="17.146380419916845"/>
    <n v="1590.9863216559631"/>
    <n v="1"/>
    <n v="0"/>
    <n v="0"/>
    <n v="0"/>
    <n v="0"/>
    <n v="0"/>
    <n v="0"/>
    <n v="0"/>
    <n v="0"/>
    <n v="0"/>
  </r>
  <r>
    <d v="2019-09-06T00:00:00"/>
    <n v="2019"/>
    <x v="32"/>
    <s v="R"/>
    <s v="RS"/>
    <x v="6"/>
    <s v="CON"/>
    <s v="A"/>
    <n v="4"/>
    <n v="1"/>
    <n v="3"/>
    <n v="-3"/>
    <n v="16"/>
    <n v="-16"/>
    <n v="1543.687585817021"/>
    <n v="1623.0252790379202"/>
    <n v="0.3195065252101989"/>
    <n v="109"/>
    <n v="104"/>
    <n v="1"/>
    <n v="5"/>
    <n v="1"/>
    <n v="0.28006401702750555"/>
    <n v="1"/>
    <n v="71.05"/>
    <n v="71.05"/>
    <n v="13.540832350660779"/>
    <n v="1557.2284181676819"/>
    <n v="1"/>
    <n v="0"/>
    <n v="0"/>
    <n v="0"/>
    <n v="0"/>
    <n v="0"/>
    <n v="0"/>
    <n v="0"/>
    <n v="0"/>
    <n v="0"/>
  </r>
  <r>
    <d v="2019-09-06T00:00:00"/>
    <n v="2019"/>
    <x v="32"/>
    <s v="R"/>
    <s v="RS"/>
    <x v="5"/>
    <s v="CHI"/>
    <s v="H"/>
    <n v="1"/>
    <n v="4"/>
    <n v="-3"/>
    <n v="3"/>
    <n v="-16"/>
    <n v="16"/>
    <n v="1623.0252790379202"/>
    <n v="1543.687585817021"/>
    <n v="0.68049347478980116"/>
    <n v="104"/>
    <n v="109"/>
    <n v="1"/>
    <n v="-5"/>
    <n v="0"/>
    <n v="0.28006401702750555"/>
    <n v="1"/>
    <n v="71.05"/>
    <n v="71.05"/>
    <n v="-13.54083235066078"/>
    <n v="1609.4844466872594"/>
    <n v="0"/>
    <n v="1"/>
    <n v="0"/>
    <n v="0"/>
    <n v="0"/>
    <n v="0"/>
    <n v="0"/>
    <n v="0"/>
    <n v="0"/>
    <n v="0"/>
  </r>
  <r>
    <d v="2019-09-06T00:00:00"/>
    <n v="2019"/>
    <x v="32"/>
    <s v="R"/>
    <s v="RS"/>
    <x v="2"/>
    <s v="NYL"/>
    <s v="A"/>
    <n v="4"/>
    <n v="2"/>
    <n v="2"/>
    <n v="-2"/>
    <n v="16"/>
    <n v="-16"/>
    <n v="1402.1465193497891"/>
    <n v="1313.801591258843"/>
    <n v="0.55211459672733887"/>
    <n v="86"/>
    <n v="81"/>
    <n v="0"/>
    <n v="5"/>
    <n v="1"/>
    <n v="0.30900666574083363"/>
    <n v="1"/>
    <n v="71.05"/>
    <n v="71.05"/>
    <n v="9.8332898108033948"/>
    <n v="1411.9798091605924"/>
    <n v="1"/>
    <n v="0"/>
    <n v="0"/>
    <n v="0"/>
    <n v="0"/>
    <n v="0"/>
    <n v="0"/>
    <n v="0"/>
    <n v="0"/>
    <n v="0"/>
  </r>
  <r>
    <d v="2019-09-06T00:00:00"/>
    <n v="2019"/>
    <x v="32"/>
    <s v="R"/>
    <s v="RS"/>
    <x v="3"/>
    <s v="IND"/>
    <s v="H"/>
    <n v="2"/>
    <n v="4"/>
    <n v="-2"/>
    <n v="2"/>
    <n v="-16"/>
    <n v="16"/>
    <n v="1313.801591258843"/>
    <n v="1402.1465193497891"/>
    <n v="0.44788540327266119"/>
    <n v="81"/>
    <n v="86"/>
    <n v="0"/>
    <n v="-5"/>
    <n v="0"/>
    <n v="0.30900666574083363"/>
    <n v="1"/>
    <n v="71.05"/>
    <n v="71.05"/>
    <n v="-9.8332898108033948"/>
    <n v="1303.9683014480397"/>
    <n v="0"/>
    <n v="1"/>
    <n v="0"/>
    <n v="0"/>
    <n v="0"/>
    <n v="0"/>
    <n v="0"/>
    <n v="0"/>
    <n v="0"/>
    <n v="0"/>
  </r>
  <r>
    <d v="2019-09-06T00:00:00"/>
    <n v="2019"/>
    <x v="32"/>
    <s v="R"/>
    <s v="RS"/>
    <x v="7"/>
    <s v="PHX"/>
    <s v="A"/>
    <n v="4"/>
    <n v="2"/>
    <n v="2"/>
    <n v="-2"/>
    <n v="16"/>
    <n v="-16"/>
    <n v="1546.211292014543"/>
    <n v="1477.273389428394"/>
    <n v="0.5243563085924301"/>
    <n v="83"/>
    <n v="69"/>
    <n v="0"/>
    <n v="14"/>
    <n v="1"/>
    <n v="0.46111769775999478"/>
    <n v="1"/>
    <n v="71.05"/>
    <n v="71.05"/>
    <n v="15.583234785647402"/>
    <n v="1561.7945268001904"/>
    <n v="1"/>
    <n v="0"/>
    <n v="0"/>
    <n v="0"/>
    <n v="0"/>
    <n v="0"/>
    <n v="0"/>
    <n v="0"/>
    <n v="0"/>
    <n v="0"/>
  </r>
  <r>
    <d v="2019-09-06T00:00:00"/>
    <n v="2019"/>
    <x v="32"/>
    <s v="R"/>
    <s v="RS"/>
    <x v="8"/>
    <s v="MIN"/>
    <s v="H"/>
    <n v="2"/>
    <n v="4"/>
    <n v="-2"/>
    <n v="2"/>
    <n v="-16"/>
    <n v="16"/>
    <n v="1477.273389428394"/>
    <n v="1546.211292014543"/>
    <n v="0.4756436914075699"/>
    <n v="69"/>
    <n v="83"/>
    <n v="0"/>
    <n v="-14"/>
    <n v="0"/>
    <n v="0.46111769775999478"/>
    <n v="1"/>
    <n v="71.05"/>
    <n v="71.05"/>
    <n v="-15.583234785647402"/>
    <n v="1461.6901546427466"/>
    <n v="0"/>
    <n v="1"/>
    <n v="0"/>
    <n v="0"/>
    <n v="0"/>
    <n v="0"/>
    <n v="0"/>
    <n v="0"/>
    <n v="0"/>
    <n v="0"/>
  </r>
  <r>
    <d v="2019-09-06T00:00:00"/>
    <n v="2019"/>
    <x v="32"/>
    <s v="R"/>
    <s v="RS"/>
    <x v="0"/>
    <s v="WAS"/>
    <s v="A"/>
    <n v="1"/>
    <n v="2"/>
    <n v="-1"/>
    <n v="1"/>
    <n v="-8"/>
    <n v="8"/>
    <n v="1395.666200364534"/>
    <n v="1699.4653840163205"/>
    <n v="8.9117762520306509E-2"/>
    <n v="73"/>
    <n v="86"/>
    <n v="0"/>
    <n v="-13"/>
    <n v="0"/>
    <n v="0.37668095111036215"/>
    <n v="1"/>
    <n v="71.05"/>
    <n v="71.05"/>
    <n v="-2.3850748600126761"/>
    <n v="1393.2811255045212"/>
    <n v="0"/>
    <n v="1"/>
    <n v="0"/>
    <n v="0"/>
    <n v="0"/>
    <n v="0"/>
    <n v="0"/>
    <n v="0"/>
    <n v="0"/>
    <n v="0"/>
  </r>
  <r>
    <d v="2019-09-06T00:00:00"/>
    <n v="2019"/>
    <x v="32"/>
    <s v="R"/>
    <s v="RS"/>
    <x v="4"/>
    <s v="DAL"/>
    <s v="H"/>
    <n v="2"/>
    <n v="1"/>
    <n v="1"/>
    <n v="-1"/>
    <n v="8"/>
    <n v="-8"/>
    <n v="1699.4653840163205"/>
    <n v="1395.666200364534"/>
    <n v="0.91088223747969344"/>
    <n v="86"/>
    <n v="73"/>
    <n v="0"/>
    <n v="13"/>
    <n v="1"/>
    <n v="0.37668095111036215"/>
    <n v="1"/>
    <n v="71.05"/>
    <n v="71.05"/>
    <n v="2.3850748600126774"/>
    <n v="1701.8504588763333"/>
    <n v="1"/>
    <n v="0"/>
    <n v="0"/>
    <n v="0"/>
    <n v="0"/>
    <n v="0"/>
    <n v="0"/>
    <n v="0"/>
    <n v="0"/>
    <n v="0"/>
  </r>
  <r>
    <d v="2019-09-08T00:00:00"/>
    <n v="2019"/>
    <x v="33"/>
    <s v="R"/>
    <s v="RS"/>
    <x v="3"/>
    <s v="ATL"/>
    <s v="A"/>
    <n v="1"/>
    <n v="2"/>
    <n v="-1"/>
    <n v="1"/>
    <n v="-8"/>
    <n v="8"/>
    <n v="1303.9683014480397"/>
    <n v="1357.0828423783917"/>
    <n v="0.29288813195555502"/>
    <n v="71"/>
    <n v="63"/>
    <n v="0"/>
    <n v="8"/>
    <n v="1"/>
    <n v="0.37185638406019078"/>
    <n v="1"/>
    <n v="70.900000000000006"/>
    <n v="70.900000000000006"/>
    <n v="18.642734022533137"/>
    <n v="1322.6110354705729"/>
    <n v="1"/>
    <n v="0"/>
    <n v="0"/>
    <n v="0"/>
    <n v="0"/>
    <n v="0"/>
    <n v="0"/>
    <n v="0"/>
    <n v="0"/>
    <n v="0"/>
  </r>
  <r>
    <d v="2019-09-08T00:00:00"/>
    <n v="2019"/>
    <x v="33"/>
    <s v="R"/>
    <s v="RS"/>
    <x v="1"/>
    <s v="NYL"/>
    <s v="H"/>
    <n v="2"/>
    <n v="1"/>
    <n v="1"/>
    <n v="-1"/>
    <n v="8"/>
    <n v="-8"/>
    <n v="1357.0828423783917"/>
    <n v="1303.9683014480397"/>
    <n v="0.70711186804444492"/>
    <n v="63"/>
    <n v="71"/>
    <n v="0"/>
    <n v="-8"/>
    <n v="0"/>
    <n v="0.37185638406019078"/>
    <n v="1"/>
    <n v="70.900000000000006"/>
    <n v="70.900000000000006"/>
    <n v="-18.642734022533133"/>
    <n v="1338.4401083558585"/>
    <n v="0"/>
    <n v="1"/>
    <n v="0"/>
    <n v="0"/>
    <n v="0"/>
    <n v="0"/>
    <n v="0"/>
    <n v="0"/>
    <n v="0"/>
    <n v="0"/>
  </r>
  <r>
    <d v="2019-09-08T00:00:00"/>
    <n v="2019"/>
    <x v="33"/>
    <s v="R"/>
    <s v="RS"/>
    <x v="9"/>
    <s v="DAL"/>
    <s v="A"/>
    <n v="2"/>
    <n v="1"/>
    <n v="1"/>
    <n v="-1"/>
    <n v="8"/>
    <n v="-8"/>
    <n v="1518.9221256143514"/>
    <n v="1393.2811255045212"/>
    <n v="0.58219929138540127"/>
    <n v="78"/>
    <n v="64"/>
    <n v="0"/>
    <n v="14"/>
    <n v="1"/>
    <n v="0.44139380435007902"/>
    <n v="1"/>
    <n v="70.900000000000006"/>
    <n v="70.900000000000006"/>
    <n v="13.074998276300962"/>
    <n v="1531.9971238906523"/>
    <n v="1"/>
    <n v="0"/>
    <n v="0"/>
    <n v="0"/>
    <n v="0"/>
    <n v="0"/>
    <n v="0"/>
    <n v="0"/>
    <n v="0"/>
    <n v="0"/>
  </r>
  <r>
    <d v="2019-09-08T00:00:00"/>
    <n v="2019"/>
    <x v="33"/>
    <s v="R"/>
    <s v="RS"/>
    <x v="0"/>
    <s v="SEA"/>
    <s v="H"/>
    <n v="1"/>
    <n v="2"/>
    <n v="-1"/>
    <n v="1"/>
    <n v="-8"/>
    <n v="8"/>
    <n v="1393.2811255045212"/>
    <n v="1518.9221256143514"/>
    <n v="0.41780070861459873"/>
    <n v="64"/>
    <n v="78"/>
    <n v="0"/>
    <n v="-14"/>
    <n v="0"/>
    <n v="0.44139380435007902"/>
    <n v="1"/>
    <n v="70.900000000000006"/>
    <n v="70.900000000000006"/>
    <n v="-13.074998276300962"/>
    <n v="1380.2061272282203"/>
    <n v="0"/>
    <n v="1"/>
    <n v="0"/>
    <n v="0"/>
    <n v="0"/>
    <n v="0"/>
    <n v="0"/>
    <n v="0"/>
    <n v="0"/>
    <n v="0"/>
  </r>
  <r>
    <d v="2019-09-08T00:00:00"/>
    <n v="2019"/>
    <x v="33"/>
    <s v="R"/>
    <s v="RS"/>
    <x v="5"/>
    <s v="IND"/>
    <s v="A"/>
    <n v="1"/>
    <n v="1"/>
    <n v="0"/>
    <n v="0"/>
    <n v="0"/>
    <n v="0"/>
    <n v="1609.4844466872594"/>
    <n v="1411.9798091605924"/>
    <n v="0.65777290735860705"/>
    <n v="76"/>
    <n v="104"/>
    <n v="0"/>
    <n v="-28"/>
    <n v="0"/>
    <n v="0.58311619883245858"/>
    <n v="1"/>
    <n v="70.900000000000006"/>
    <n v="70.900000000000006"/>
    <n v="-27.194264854065349"/>
    <n v="1582.2901818331941"/>
    <n v="0"/>
    <n v="1"/>
    <n v="0"/>
    <n v="0"/>
    <n v="0"/>
    <n v="0"/>
    <n v="0"/>
    <n v="0"/>
    <n v="0"/>
    <n v="0"/>
  </r>
  <r>
    <d v="2019-09-08T00:00:00"/>
    <n v="2019"/>
    <x v="33"/>
    <s v="R"/>
    <s v="RS"/>
    <x v="2"/>
    <s v="CON"/>
    <s v="H"/>
    <n v="1"/>
    <n v="1"/>
    <n v="0"/>
    <n v="0"/>
    <n v="0"/>
    <n v="0"/>
    <n v="1411.9798091605924"/>
    <n v="1609.4844466872594"/>
    <n v="0.34222709264139295"/>
    <n v="104"/>
    <n v="76"/>
    <n v="0"/>
    <n v="28"/>
    <n v="1"/>
    <n v="0.58311619883245858"/>
    <n v="1"/>
    <n v="70.900000000000006"/>
    <n v="70.900000000000006"/>
    <n v="27.194264854065349"/>
    <n v="1439.1740740146577"/>
    <n v="1"/>
    <n v="0"/>
    <n v="0"/>
    <n v="0"/>
    <n v="0"/>
    <n v="0"/>
    <n v="0"/>
    <n v="0"/>
    <n v="0"/>
    <n v="0"/>
  </r>
  <r>
    <d v="2019-09-08T00:00:00"/>
    <n v="2019"/>
    <x v="33"/>
    <s v="R"/>
    <s v="RS"/>
    <x v="7"/>
    <s v="LAS"/>
    <s v="A"/>
    <n v="1"/>
    <n v="2"/>
    <n v="-1"/>
    <n v="1"/>
    <n v="-8"/>
    <n v="8"/>
    <n v="1561.7945268001904"/>
    <n v="1590.9863216559631"/>
    <n v="0.32219826076711156"/>
    <n v="68"/>
    <n v="77"/>
    <n v="0"/>
    <n v="-9"/>
    <n v="0"/>
    <n v="0.3963302021828522"/>
    <n v="1"/>
    <n v="70.900000000000006"/>
    <n v="70.900000000000006"/>
    <n v="-9.0537103399450007"/>
    <n v="1552.7408164602455"/>
    <n v="0"/>
    <n v="1"/>
    <n v="0"/>
    <n v="0"/>
    <n v="0"/>
    <n v="0"/>
    <n v="0"/>
    <n v="0"/>
    <n v="0"/>
    <n v="0"/>
  </r>
  <r>
    <d v="2019-09-08T00:00:00"/>
    <n v="2019"/>
    <x v="33"/>
    <s v="R"/>
    <s v="RS"/>
    <x v="10"/>
    <s v="MIN"/>
    <s v="H"/>
    <n v="2"/>
    <n v="1"/>
    <n v="1"/>
    <n v="-1"/>
    <n v="8"/>
    <n v="-8"/>
    <n v="1590.9863216559631"/>
    <n v="1561.7945268001904"/>
    <n v="0.67780173923288844"/>
    <n v="77"/>
    <n v="68"/>
    <n v="0"/>
    <n v="9"/>
    <n v="1"/>
    <n v="0.3963302021828522"/>
    <n v="1"/>
    <n v="70.900000000000006"/>
    <n v="70.900000000000006"/>
    <n v="9.0537103399450007"/>
    <n v="1600.0400319959081"/>
    <n v="1"/>
    <n v="0"/>
    <n v="0"/>
    <n v="0"/>
    <n v="0"/>
    <n v="0"/>
    <n v="0"/>
    <n v="0"/>
    <n v="0"/>
    <n v="0"/>
  </r>
  <r>
    <d v="2019-09-08T00:00:00"/>
    <n v="2019"/>
    <x v="33"/>
    <s v="R"/>
    <s v="RS"/>
    <x v="11"/>
    <s v="PHX"/>
    <s v="A"/>
    <n v="2"/>
    <n v="1"/>
    <n v="1"/>
    <n v="-1"/>
    <n v="8"/>
    <n v="-8"/>
    <n v="1532.17306308926"/>
    <n v="1461.6901546427466"/>
    <n v="0.50357313165775308"/>
    <n v="98"/>
    <n v="89"/>
    <n v="0"/>
    <n v="9"/>
    <n v="1"/>
    <n v="0.38344933988319041"/>
    <n v="1"/>
    <n v="70.900000000000006"/>
    <n v="70.900000000000006"/>
    <n v="13.496137947097488"/>
    <n v="1545.6692010363574"/>
    <n v="1"/>
    <n v="0"/>
    <n v="0"/>
    <n v="0"/>
    <n v="0"/>
    <n v="0"/>
    <n v="0"/>
    <n v="0"/>
    <n v="0"/>
    <n v="0"/>
  </r>
  <r>
    <d v="2019-09-08T00:00:00"/>
    <n v="2019"/>
    <x v="33"/>
    <s v="R"/>
    <s v="RS"/>
    <x v="8"/>
    <s v="LVA"/>
    <s v="H"/>
    <n v="1"/>
    <n v="2"/>
    <n v="-1"/>
    <n v="1"/>
    <n v="-8"/>
    <n v="8"/>
    <n v="1461.6901546427466"/>
    <n v="1532.17306308926"/>
    <n v="0.49642686834224692"/>
    <n v="89"/>
    <n v="98"/>
    <n v="0"/>
    <n v="-9"/>
    <n v="0"/>
    <n v="0.38344933988319041"/>
    <n v="1"/>
    <n v="70.900000000000006"/>
    <n v="70.900000000000006"/>
    <n v="-13.496137947097488"/>
    <n v="1448.1940166956492"/>
    <n v="0"/>
    <n v="1"/>
    <n v="0"/>
    <n v="0"/>
    <n v="0"/>
    <n v="0"/>
    <n v="0"/>
    <n v="0"/>
    <n v="0"/>
    <n v="0"/>
  </r>
  <r>
    <d v="2019-09-08T00:00:00"/>
    <n v="2019"/>
    <x v="33"/>
    <s v="R"/>
    <s v="RS"/>
    <x v="6"/>
    <s v="WAS"/>
    <s v="A"/>
    <n v="1"/>
    <n v="1"/>
    <n v="0"/>
    <n v="0"/>
    <n v="0"/>
    <n v="0"/>
    <n v="1557.2284181676819"/>
    <n v="1701.8504588763333"/>
    <n v="0.21147551131897255"/>
    <n v="86"/>
    <n v="100"/>
    <n v="0"/>
    <n v="-14"/>
    <n v="0"/>
    <n v="0.43516297258710906"/>
    <n v="1"/>
    <n v="70.900000000000006"/>
    <n v="70.900000000000006"/>
    <n v="-6.5246655303674546"/>
    <n v="1550.7037526373144"/>
    <n v="0"/>
    <n v="1"/>
    <n v="0"/>
    <n v="0"/>
    <n v="0"/>
    <n v="0"/>
    <n v="0"/>
    <n v="0"/>
    <n v="0"/>
    <n v="0"/>
  </r>
  <r>
    <d v="2019-09-08T00:00:00"/>
    <n v="2019"/>
    <x v="33"/>
    <s v="R"/>
    <s v="RS"/>
    <x v="4"/>
    <s v="CHI"/>
    <s v="H"/>
    <n v="1"/>
    <n v="1"/>
    <n v="0"/>
    <n v="0"/>
    <n v="0"/>
    <n v="0"/>
    <n v="1701.8504588763333"/>
    <n v="1557.2284181676819"/>
    <n v="0.78852448868102754"/>
    <n v="100"/>
    <n v="86"/>
    <n v="0"/>
    <n v="14"/>
    <n v="1"/>
    <n v="0.43516297258710906"/>
    <n v="1"/>
    <n v="70.900000000000006"/>
    <n v="70.900000000000006"/>
    <n v="6.5246655303674519"/>
    <n v="1708.3751244067007"/>
    <n v="1"/>
    <n v="0"/>
    <n v="0"/>
    <n v="0"/>
    <n v="0"/>
    <n v="0"/>
    <n v="0"/>
    <n v="0"/>
    <n v="0"/>
    <n v="0"/>
  </r>
  <r>
    <d v="2019-09-11T00:00:00"/>
    <n v="2019"/>
    <x v="34"/>
    <s v="P"/>
    <n v="0.5"/>
    <x v="8"/>
    <s v="CHI"/>
    <s v="A"/>
    <n v="2"/>
    <n v="2"/>
    <n v="0"/>
    <n v="0"/>
    <n v="0"/>
    <n v="0"/>
    <n v="1448.1940166956492"/>
    <n v="1550.7037526373144"/>
    <n v="0.25471216734566487"/>
    <n v="76"/>
    <n v="105"/>
    <n v="0"/>
    <n v="-29"/>
    <n v="0"/>
    <n v="0.636951510702785"/>
    <n v="1.05"/>
    <n v="70.75"/>
    <n v="74.287500000000009"/>
    <n v="-12.052351982793182"/>
    <n v="1436.141664712856"/>
    <n v="0"/>
    <n v="0"/>
    <n v="0"/>
    <n v="0"/>
    <n v="0"/>
    <n v="0"/>
    <n v="0"/>
    <n v="0"/>
    <n v="0"/>
    <n v="0"/>
  </r>
  <r>
    <d v="2019-09-11T00:00:00"/>
    <n v="2019"/>
    <x v="34"/>
    <s v="P"/>
    <n v="0.5"/>
    <x v="6"/>
    <s v="PHX"/>
    <s v="H"/>
    <n v="2"/>
    <n v="2"/>
    <n v="0"/>
    <n v="0"/>
    <n v="0"/>
    <n v="0"/>
    <n v="1550.7037526373144"/>
    <n v="1448.1940166956492"/>
    <n v="0.74528783265433507"/>
    <n v="105"/>
    <n v="76"/>
    <n v="0"/>
    <n v="29"/>
    <n v="1"/>
    <n v="0.636951510702785"/>
    <n v="1.05"/>
    <n v="70.75"/>
    <n v="74.287500000000009"/>
    <n v="12.052351982793185"/>
    <n v="1562.7561046201076"/>
    <n v="0"/>
    <n v="0"/>
    <n v="0"/>
    <n v="0"/>
    <n v="0"/>
    <n v="0"/>
    <n v="0"/>
    <n v="0"/>
    <n v="0"/>
    <n v="0"/>
  </r>
  <r>
    <d v="2019-09-11T00:00:00"/>
    <n v="2019"/>
    <x v="34"/>
    <s v="P"/>
    <n v="0.5"/>
    <x v="7"/>
    <s v="SEA"/>
    <s v="A"/>
    <n v="2"/>
    <n v="2"/>
    <n v="0"/>
    <n v="0"/>
    <n v="0"/>
    <n v="0"/>
    <n v="1552.7408164602455"/>
    <n v="1531.9971238906523"/>
    <n v="0.40995955514246091"/>
    <n v="74"/>
    <n v="84"/>
    <n v="0"/>
    <n v="-10"/>
    <n v="0"/>
    <n v="0.41593959673053499"/>
    <n v="1.05"/>
    <n v="70.75"/>
    <n v="74.287500000000009"/>
    <n v="-12.667386534554083"/>
    <n v="1540.0734299256915"/>
    <n v="0"/>
    <n v="0"/>
    <n v="0"/>
    <n v="0"/>
    <n v="0"/>
    <n v="0"/>
    <n v="0"/>
    <n v="0"/>
    <n v="0"/>
    <n v="0"/>
  </r>
  <r>
    <d v="2019-09-11T00:00:00"/>
    <n v="2019"/>
    <x v="34"/>
    <s v="P"/>
    <n v="0.5"/>
    <x v="9"/>
    <s v="MIN"/>
    <s v="H"/>
    <n v="2"/>
    <n v="2"/>
    <n v="0"/>
    <n v="0"/>
    <n v="0"/>
    <n v="0"/>
    <n v="1531.9971238906523"/>
    <n v="1552.7408164602455"/>
    <n v="0.59004044485753904"/>
    <n v="84"/>
    <n v="74"/>
    <n v="0"/>
    <n v="10"/>
    <n v="1"/>
    <n v="0.41593959673053499"/>
    <n v="1.05"/>
    <n v="70.75"/>
    <n v="74.287500000000009"/>
    <n v="12.667386534554085"/>
    <n v="1544.6645104252063"/>
    <n v="0"/>
    <n v="0"/>
    <n v="0"/>
    <n v="0"/>
    <n v="0"/>
    <n v="0"/>
    <n v="0"/>
    <n v="0"/>
    <n v="0"/>
    <n v="0"/>
  </r>
  <r>
    <d v="2019-09-15T00:00:00"/>
    <n v="2019"/>
    <x v="35"/>
    <s v="P"/>
    <n v="1"/>
    <x v="9"/>
    <s v="LAS"/>
    <s v="A"/>
    <n v="3"/>
    <n v="6"/>
    <n v="-3"/>
    <n v="3"/>
    <n v="-16"/>
    <n v="16"/>
    <n v="1544.6645104252063"/>
    <n v="1600.0400319959081"/>
    <n v="0.27160062297537252"/>
    <n v="69"/>
    <n v="92"/>
    <n v="0"/>
    <n v="-23"/>
    <n v="0"/>
    <n v="0.58819477549669241"/>
    <n v="1.1000000000000001"/>
    <n v="70.599999999999994"/>
    <n v="77.66"/>
    <n v="-12.406500878614402"/>
    <n v="1532.2580095465919"/>
    <n v="0"/>
    <n v="0"/>
    <n v="0"/>
    <n v="1"/>
    <n v="0"/>
    <n v="0"/>
    <n v="0"/>
    <n v="0"/>
    <n v="0"/>
    <n v="0"/>
  </r>
  <r>
    <d v="2019-09-15T00:00:00"/>
    <n v="2019"/>
    <x v="34"/>
    <s v="P"/>
    <n v="1"/>
    <x v="10"/>
    <s v="SEA"/>
    <s v="H"/>
    <n v="6"/>
    <n v="3"/>
    <n v="3"/>
    <n v="-3"/>
    <n v="16"/>
    <n v="-16"/>
    <n v="1600.0400319959081"/>
    <n v="1544.6645104252063"/>
    <n v="0.72839937702462743"/>
    <n v="92"/>
    <n v="69"/>
    <n v="0"/>
    <n v="23"/>
    <n v="1"/>
    <n v="0.58819477549669241"/>
    <n v="1.1000000000000001"/>
    <n v="70.75"/>
    <n v="77.825000000000003"/>
    <n v="12.432860299744606"/>
    <n v="1612.4728922956526"/>
    <n v="0"/>
    <n v="0"/>
    <n v="1"/>
    <n v="0"/>
    <n v="0"/>
    <n v="0"/>
    <n v="0"/>
    <n v="0"/>
    <n v="0"/>
    <n v="0"/>
  </r>
  <r>
    <d v="2019-09-15T00:00:00"/>
    <n v="2019"/>
    <x v="35"/>
    <s v="P"/>
    <n v="1"/>
    <x v="6"/>
    <s v="LVA"/>
    <s v="A"/>
    <n v="3"/>
    <n v="6"/>
    <n v="-3"/>
    <n v="3"/>
    <n v="-16"/>
    <n v="16"/>
    <n v="1562.7561046201076"/>
    <n v="1545.6692010363574"/>
    <n v="0.36137769417551852"/>
    <n v="92"/>
    <n v="93"/>
    <n v="0"/>
    <n v="-1"/>
    <n v="0"/>
    <n v="0.24075158831761198"/>
    <n v="1.1000000000000001"/>
    <n v="70.599999999999994"/>
    <n v="77.66"/>
    <n v="-6.7565950344035546"/>
    <n v="1555.9995095857041"/>
    <n v="0"/>
    <n v="0"/>
    <n v="0"/>
    <n v="1"/>
    <n v="0"/>
    <n v="0"/>
    <n v="0"/>
    <n v="0"/>
    <n v="0"/>
    <n v="0"/>
  </r>
  <r>
    <d v="2019-09-15T00:00:00"/>
    <n v="2019"/>
    <x v="34"/>
    <s v="P"/>
    <n v="1"/>
    <x v="11"/>
    <s v="CHI"/>
    <s v="H"/>
    <n v="6"/>
    <n v="3"/>
    <n v="3"/>
    <n v="-3"/>
    <n v="16"/>
    <n v="-16"/>
    <n v="1545.6692010363574"/>
    <n v="1562.7561046201076"/>
    <n v="0.63862230582448143"/>
    <n v="93"/>
    <n v="92"/>
    <n v="0"/>
    <n v="1"/>
    <n v="1"/>
    <n v="0.24075158831761198"/>
    <n v="1.1000000000000001"/>
    <n v="70.75"/>
    <n v="77.825000000000003"/>
    <n v="6.7709504062896828"/>
    <n v="1552.4401514426472"/>
    <n v="0"/>
    <n v="0"/>
    <n v="1"/>
    <n v="0"/>
    <n v="0"/>
    <n v="0"/>
    <n v="0"/>
    <n v="0"/>
    <n v="0"/>
    <n v="0"/>
  </r>
  <r>
    <d v="2019-09-17T00:00:00"/>
    <n v="2019"/>
    <x v="35"/>
    <s v="P"/>
    <n v="2"/>
    <x v="10"/>
    <s v="CON"/>
    <s v="A"/>
    <n v="1"/>
    <n v="8"/>
    <n v="-7"/>
    <n v="7"/>
    <n v="-16"/>
    <n v="16"/>
    <n v="1612.4728922956526"/>
    <n v="1582.2901818331941"/>
    <n v="0.37895077539924399"/>
    <n v="75"/>
    <n v="84"/>
    <n v="0"/>
    <n v="-9"/>
    <n v="0"/>
    <n v="0.39601095709884648"/>
    <n v="1.2"/>
    <n v="70.599999999999994"/>
    <n v="84.719999999999985"/>
    <n v="-12.713816812439815"/>
    <n v="1599.7590754832129"/>
    <n v="0"/>
    <n v="0"/>
    <n v="0"/>
    <n v="0"/>
    <n v="0"/>
    <n v="1"/>
    <n v="0"/>
    <n v="0"/>
    <n v="0"/>
    <n v="0"/>
  </r>
  <r>
    <d v="2019-09-17T00:00:00"/>
    <n v="2019"/>
    <x v="34"/>
    <s v="P"/>
    <n v="2"/>
    <x v="5"/>
    <s v="LAS"/>
    <s v="H"/>
    <n v="8"/>
    <n v="1"/>
    <n v="7"/>
    <n v="-7"/>
    <n v="16"/>
    <n v="-16"/>
    <n v="1582.2901818331941"/>
    <n v="1612.4728922956526"/>
    <n v="0.62104922460075607"/>
    <n v="84"/>
    <n v="75"/>
    <n v="0"/>
    <n v="9"/>
    <n v="1"/>
    <n v="0.39601095709884648"/>
    <n v="1.2"/>
    <n v="70.75"/>
    <n v="84.899999999999991"/>
    <n v="12.740829171106469"/>
    <n v="1595.0310110043006"/>
    <n v="0"/>
    <n v="0"/>
    <n v="0"/>
    <n v="0"/>
    <n v="1"/>
    <n v="0"/>
    <n v="0"/>
    <n v="0"/>
    <n v="0"/>
    <n v="0"/>
  </r>
  <r>
    <d v="2019-09-17T00:00:00"/>
    <n v="2019"/>
    <x v="35"/>
    <s v="P"/>
    <n v="2"/>
    <x v="11"/>
    <s v="WAS"/>
    <s v="A"/>
    <n v="1"/>
    <n v="8"/>
    <n v="-7"/>
    <n v="7"/>
    <n v="-16"/>
    <n v="16"/>
    <n v="1552.4401514426472"/>
    <n v="1708.3751244067007"/>
    <n v="0.17287550115215733"/>
    <n v="95"/>
    <n v="97"/>
    <n v="0"/>
    <n v="-2"/>
    <n v="0"/>
    <n v="0.23703908474977034"/>
    <n v="1.2"/>
    <n v="70.599999999999994"/>
    <n v="84.719999999999985"/>
    <n v="-3.4716773881857907"/>
    <n v="1548.9684740544615"/>
    <n v="0"/>
    <n v="0"/>
    <n v="0"/>
    <n v="0"/>
    <n v="0"/>
    <n v="1"/>
    <n v="0"/>
    <n v="0"/>
    <n v="0"/>
    <n v="0"/>
  </r>
  <r>
    <d v="2019-09-17T00:00:00"/>
    <n v="2019"/>
    <x v="34"/>
    <s v="P"/>
    <n v="2"/>
    <x v="4"/>
    <s v="LVA"/>
    <s v="H"/>
    <n v="8"/>
    <n v="1"/>
    <n v="7"/>
    <n v="-7"/>
    <n v="16"/>
    <n v="-16"/>
    <n v="1708.3751244067007"/>
    <n v="1552.4401514426472"/>
    <n v="0.82712449884784256"/>
    <n v="97"/>
    <n v="95"/>
    <n v="0"/>
    <n v="2"/>
    <n v="1"/>
    <n v="0.23703908474977034"/>
    <n v="1.2"/>
    <n v="70.75"/>
    <n v="84.899999999999991"/>
    <n v="3.4790534732881704"/>
    <n v="1711.8541778799888"/>
    <n v="0"/>
    <n v="0"/>
    <n v="0"/>
    <n v="0"/>
    <n v="1"/>
    <n v="0"/>
    <n v="0"/>
    <n v="0"/>
    <n v="0"/>
    <n v="0"/>
  </r>
  <r>
    <d v="2019-09-19T00:00:00"/>
    <n v="2019"/>
    <x v="36"/>
    <s v="P"/>
    <n v="2"/>
    <x v="10"/>
    <s v="CON"/>
    <s v="A"/>
    <n v="1"/>
    <n v="1"/>
    <n v="0"/>
    <n v="0"/>
    <n v="0"/>
    <n v="0"/>
    <n v="1599.7590754832129"/>
    <n v="1595.0310110043006"/>
    <n v="0.38785777348028821"/>
    <n v="68"/>
    <n v="94"/>
    <n v="0"/>
    <n v="-26"/>
    <n v="0"/>
    <n v="0.65152035530914831"/>
    <n v="1.2"/>
    <n v="70.45"/>
    <n v="84.54"/>
    <n v="-21.363024195101712"/>
    <n v="1578.3960512881113"/>
    <n v="0"/>
    <n v="0"/>
    <n v="0"/>
    <n v="0"/>
    <n v="0"/>
    <n v="1"/>
    <n v="0"/>
    <n v="0"/>
    <n v="0"/>
    <n v="0"/>
  </r>
  <r>
    <d v="2019-09-19T00:00:00"/>
    <n v="2019"/>
    <x v="35"/>
    <s v="P"/>
    <n v="2"/>
    <x v="5"/>
    <s v="LAS"/>
    <s v="H"/>
    <n v="1"/>
    <n v="1"/>
    <n v="0"/>
    <n v="0"/>
    <n v="0"/>
    <n v="0"/>
    <n v="1595.0310110043006"/>
    <n v="1599.7590754832129"/>
    <n v="0.61214222651971173"/>
    <n v="94"/>
    <n v="68"/>
    <n v="0"/>
    <n v="26"/>
    <n v="1"/>
    <n v="0.65152035530914831"/>
    <n v="1.2"/>
    <n v="70.599999999999994"/>
    <n v="84.719999999999985"/>
    <n v="21.408509697291425"/>
    <n v="1616.4395207015921"/>
    <n v="0"/>
    <n v="0"/>
    <n v="0"/>
    <n v="0"/>
    <n v="1"/>
    <n v="0"/>
    <n v="0"/>
    <n v="0"/>
    <n v="0"/>
    <n v="0"/>
  </r>
  <r>
    <d v="2019-09-19T00:00:00"/>
    <n v="2019"/>
    <x v="36"/>
    <s v="P"/>
    <n v="2"/>
    <x v="11"/>
    <s v="WAS"/>
    <s v="A"/>
    <n v="1"/>
    <n v="1"/>
    <n v="0"/>
    <n v="0"/>
    <n v="0"/>
    <n v="0"/>
    <n v="1548.9684740544615"/>
    <n v="1711.8541778799888"/>
    <n v="0.19447535488697981"/>
    <n v="91"/>
    <n v="103"/>
    <n v="0"/>
    <n v="-12"/>
    <n v="0"/>
    <n v="0.40161499247916371"/>
    <n v="1.2"/>
    <n v="70.45"/>
    <n v="84.54"/>
    <n v="-6.6029306058094077"/>
    <n v="1542.365543448652"/>
    <n v="0"/>
    <n v="0"/>
    <n v="0"/>
    <n v="0"/>
    <n v="0"/>
    <n v="1"/>
    <n v="0"/>
    <n v="0"/>
    <n v="0"/>
    <n v="0"/>
  </r>
  <r>
    <d v="2019-09-19T00:00:00"/>
    <n v="2019"/>
    <x v="35"/>
    <s v="P"/>
    <n v="2"/>
    <x v="4"/>
    <s v="LVA"/>
    <s v="H"/>
    <n v="1"/>
    <n v="1"/>
    <n v="0"/>
    <n v="0"/>
    <n v="0"/>
    <n v="0"/>
    <n v="1711.8541778799888"/>
    <n v="1548.9684740544615"/>
    <n v="0.80552464511302013"/>
    <n v="103"/>
    <n v="91"/>
    <n v="0"/>
    <n v="12"/>
    <n v="1"/>
    <n v="0.40161499247916371"/>
    <n v="1.2"/>
    <n v="70.599999999999994"/>
    <n v="84.719999999999985"/>
    <n v="6.6169893650836649"/>
    <n v="1718.4711672450724"/>
    <n v="0"/>
    <n v="0"/>
    <n v="0"/>
    <n v="0"/>
    <n v="1"/>
    <n v="0"/>
    <n v="0"/>
    <n v="0"/>
    <n v="0"/>
    <n v="0"/>
  </r>
  <r>
    <d v="2019-09-22T00:00:00"/>
    <n v="2019"/>
    <x v="36"/>
    <s v="P"/>
    <n v="2"/>
    <x v="5"/>
    <s v="LAS"/>
    <s v="A"/>
    <n v="2"/>
    <n v="2"/>
    <n v="0"/>
    <n v="0"/>
    <n v="0"/>
    <n v="0"/>
    <n v="1616.4395207015921"/>
    <n v="1578.3960512881113"/>
    <n v="0.43424627155077383"/>
    <n v="78"/>
    <n v="56"/>
    <n v="0"/>
    <n v="22"/>
    <n v="1"/>
    <n v="0.5835557663629326"/>
    <n v="1.2"/>
    <n v="70.45"/>
    <n v="84.54"/>
    <n v="27.910783827853528"/>
    <n v="1644.3503045294456"/>
    <n v="0"/>
    <n v="0"/>
    <n v="0"/>
    <n v="0"/>
    <n v="1"/>
    <n v="0"/>
    <n v="0"/>
    <n v="0"/>
    <n v="0"/>
    <n v="0"/>
  </r>
  <r>
    <d v="2019-09-22T00:00:00"/>
    <n v="2019"/>
    <x v="37"/>
    <s v="P"/>
    <n v="2"/>
    <x v="10"/>
    <s v="CON"/>
    <s v="H"/>
    <n v="2"/>
    <n v="2"/>
    <n v="0"/>
    <n v="0"/>
    <n v="0"/>
    <n v="0"/>
    <n v="1578.3960512881113"/>
    <n v="1616.4395207015921"/>
    <n v="0.56575372844922622"/>
    <n v="56"/>
    <n v="78"/>
    <n v="0"/>
    <n v="-22"/>
    <n v="0"/>
    <n v="0.5835557663629326"/>
    <n v="1.2"/>
    <n v="70.3"/>
    <n v="84.36"/>
    <n v="-27.851357034749505"/>
    <n v="1550.5446942533617"/>
    <n v="0"/>
    <n v="0"/>
    <n v="0"/>
    <n v="0"/>
    <n v="0"/>
    <n v="1"/>
    <n v="0"/>
    <n v="0"/>
    <n v="0"/>
    <n v="0"/>
  </r>
  <r>
    <d v="2019-09-22T00:00:00"/>
    <n v="2019"/>
    <x v="36"/>
    <s v="P"/>
    <n v="2"/>
    <x v="4"/>
    <s v="LVA"/>
    <s v="A"/>
    <n v="2"/>
    <n v="2"/>
    <n v="0"/>
    <n v="0"/>
    <n v="0"/>
    <n v="0"/>
    <n v="1718.4711672450724"/>
    <n v="1542.365543448652"/>
    <n v="0.62953036182396827"/>
    <n v="75"/>
    <n v="92"/>
    <n v="0"/>
    <n v="-17"/>
    <n v="0"/>
    <n v="0.46430337312023046"/>
    <n v="1.2"/>
    <n v="70.45"/>
    <n v="84.54"/>
    <n v="-24.710456178080577"/>
    <n v="1693.7607110669917"/>
    <n v="0"/>
    <n v="0"/>
    <n v="0"/>
    <n v="0"/>
    <n v="0"/>
    <n v="1"/>
    <n v="0"/>
    <n v="0"/>
    <n v="0"/>
    <n v="0"/>
  </r>
  <r>
    <d v="2019-09-22T00:00:00"/>
    <n v="2019"/>
    <x v="37"/>
    <s v="P"/>
    <n v="2"/>
    <x v="11"/>
    <s v="WAS"/>
    <s v="H"/>
    <n v="2"/>
    <n v="2"/>
    <n v="0"/>
    <n v="0"/>
    <n v="0"/>
    <n v="0"/>
    <n v="1542.365543448652"/>
    <n v="1718.4711672450724"/>
    <n v="0.37046963817603168"/>
    <n v="92"/>
    <n v="75"/>
    <n v="0"/>
    <n v="17"/>
    <n v="1"/>
    <n v="0.46430337312023046"/>
    <n v="1.2"/>
    <n v="70.3"/>
    <n v="84.36"/>
    <n v="24.657843425394809"/>
    <n v="1567.0233868740468"/>
    <n v="0"/>
    <n v="0"/>
    <n v="0"/>
    <n v="0"/>
    <n v="1"/>
    <n v="0"/>
    <n v="0"/>
    <n v="0"/>
    <n v="0"/>
    <n v="0"/>
  </r>
  <r>
    <d v="2019-09-24T00:00:00"/>
    <n v="2019"/>
    <x v="37"/>
    <s v="P"/>
    <n v="2"/>
    <x v="4"/>
    <s v="LVA"/>
    <s v="A"/>
    <n v="1"/>
    <n v="1"/>
    <n v="0"/>
    <n v="0"/>
    <n v="0"/>
    <n v="0"/>
    <n v="1693.7607110669917"/>
    <n v="1567.0233868740468"/>
    <n v="0.56119561522976669"/>
    <n v="94"/>
    <n v="90"/>
    <n v="0"/>
    <n v="4"/>
    <n v="1"/>
    <n v="0.28168294889268219"/>
    <n v="1.2"/>
    <n v="70.3"/>
    <n v="84.36"/>
    <n v="10.427209236198035"/>
    <n v="1704.1879203031897"/>
    <n v="0"/>
    <n v="0"/>
    <n v="0"/>
    <n v="0"/>
    <n v="1"/>
    <n v="0"/>
    <n v="0"/>
    <n v="0"/>
    <n v="0"/>
    <n v="0"/>
  </r>
  <r>
    <d v="2019-09-24T00:00:00"/>
    <n v="2019"/>
    <x v="38"/>
    <s v="P"/>
    <n v="2"/>
    <x v="11"/>
    <s v="WAS"/>
    <s v="H"/>
    <n v="1"/>
    <n v="1"/>
    <n v="0"/>
    <n v="0"/>
    <n v="0"/>
    <n v="0"/>
    <n v="1567.0233868740468"/>
    <n v="1693.7607110669917"/>
    <n v="0.43880438477023326"/>
    <n v="90"/>
    <n v="94"/>
    <n v="0"/>
    <n v="-4"/>
    <n v="0"/>
    <n v="0.28168294889268219"/>
    <n v="1.2"/>
    <n v="70.150000000000006"/>
    <n v="84.18"/>
    <n v="-10.404960567841993"/>
    <n v="1556.6184263062048"/>
    <n v="0"/>
    <n v="0"/>
    <n v="0"/>
    <n v="0"/>
    <n v="0"/>
    <n v="1"/>
    <n v="0"/>
    <n v="0"/>
    <n v="0"/>
    <n v="0"/>
  </r>
  <r>
    <d v="2019-09-29T00:00:00"/>
    <n v="2019"/>
    <x v="37"/>
    <s v="P"/>
    <n v="3"/>
    <x v="5"/>
    <s v="WAS"/>
    <s v="A"/>
    <n v="6"/>
    <n v="4"/>
    <n v="2"/>
    <n v="-2"/>
    <n v="16"/>
    <n v="-16"/>
    <n v="1644.3503045294456"/>
    <n v="1704.1879203031897"/>
    <n v="0.3443905185251383"/>
    <n v="86"/>
    <n v="95"/>
    <n v="0"/>
    <n v="-9"/>
    <n v="0"/>
    <n v="0.38668938478828702"/>
    <n v="1.35"/>
    <n v="70.3"/>
    <n v="94.905000000000001"/>
    <n v="-12.638703629878602"/>
    <n v="1631.711600899567"/>
    <n v="0"/>
    <n v="0"/>
    <n v="0"/>
    <n v="0"/>
    <n v="0"/>
    <n v="0"/>
    <n v="0"/>
    <n v="1"/>
    <n v="0"/>
    <n v="0"/>
  </r>
  <r>
    <d v="2019-09-29T00:00:00"/>
    <n v="2019"/>
    <x v="38"/>
    <s v="P"/>
    <n v="3"/>
    <x v="4"/>
    <s v="CON"/>
    <s v="H"/>
    <n v="4"/>
    <n v="6"/>
    <n v="-2"/>
    <n v="2"/>
    <n v="-16"/>
    <n v="16"/>
    <n v="1704.1879203031897"/>
    <n v="1644.3503045294456"/>
    <n v="0.65560948147486175"/>
    <n v="95"/>
    <n v="86"/>
    <n v="0"/>
    <n v="9"/>
    <n v="1"/>
    <n v="0.38668938478828702"/>
    <n v="1.35"/>
    <n v="70.150000000000006"/>
    <n v="94.702500000000015"/>
    <n v="12.611736267937181"/>
    <n v="1716.7996565711269"/>
    <n v="0"/>
    <n v="0"/>
    <n v="0"/>
    <n v="0"/>
    <n v="0"/>
    <n v="0"/>
    <n v="1"/>
    <n v="0"/>
    <n v="0"/>
    <n v="0"/>
  </r>
  <r>
    <d v="2019-10-01T00:00:00"/>
    <n v="2019"/>
    <x v="38"/>
    <s v="P"/>
    <n v="3"/>
    <x v="5"/>
    <s v="WAS"/>
    <s v="A"/>
    <n v="1"/>
    <n v="1"/>
    <n v="0"/>
    <n v="0"/>
    <n v="0"/>
    <n v="0"/>
    <n v="1631.711600899567"/>
    <n v="1716.7996565711269"/>
    <n v="0.2742134608739783"/>
    <n v="99"/>
    <n v="87"/>
    <n v="0"/>
    <n v="12"/>
    <n v="1"/>
    <n v="0.42592826948797097"/>
    <n v="1.35"/>
    <n v="70.150000000000006"/>
    <n v="94.702500000000015"/>
    <n v="29.275668370746235"/>
    <n v="1660.9872692703132"/>
    <n v="0"/>
    <n v="0"/>
    <n v="0"/>
    <n v="0"/>
    <n v="0"/>
    <n v="0"/>
    <n v="1"/>
    <n v="0"/>
    <n v="0"/>
    <n v="0"/>
  </r>
  <r>
    <d v="2019-10-01T00:00:00"/>
    <n v="2019"/>
    <x v="39"/>
    <s v="P"/>
    <n v="3"/>
    <x v="4"/>
    <s v="CON"/>
    <s v="H"/>
    <n v="1"/>
    <n v="1"/>
    <n v="0"/>
    <n v="0"/>
    <n v="0"/>
    <n v="0"/>
    <n v="1716.7996565711269"/>
    <n v="1631.711600899567"/>
    <n v="0.72578653912602176"/>
    <n v="87"/>
    <n v="99"/>
    <n v="0"/>
    <n v="-12"/>
    <n v="0"/>
    <n v="0.42592826948797097"/>
    <n v="1.35"/>
    <n v="70"/>
    <n v="94.5"/>
    <n v="-29.213068937309142"/>
    <n v="1687.5865876338178"/>
    <n v="0"/>
    <n v="0"/>
    <n v="0"/>
    <n v="0"/>
    <n v="0"/>
    <n v="0"/>
    <n v="0"/>
    <n v="1"/>
    <n v="0"/>
    <n v="0"/>
  </r>
  <r>
    <d v="2019-10-06T00:00:00"/>
    <n v="2019"/>
    <x v="40"/>
    <s v="P"/>
    <n v="3"/>
    <x v="4"/>
    <s v="CON"/>
    <s v="A"/>
    <n v="4"/>
    <n v="4"/>
    <n v="0"/>
    <n v="0"/>
    <n v="0"/>
    <n v="0"/>
    <n v="1687.5865876338178"/>
    <n v="1660.9872692703132"/>
    <n v="0.41813724576811229"/>
    <n v="94"/>
    <n v="81"/>
    <n v="0"/>
    <n v="13"/>
    <n v="1"/>
    <n v="0.46180728971273727"/>
    <n v="1.35"/>
    <n v="69.849999999999994"/>
    <n v="94.297499999999999"/>
    <n v="25.338536149863156"/>
    <n v="1712.9251237836809"/>
    <n v="0"/>
    <n v="0"/>
    <n v="0"/>
    <n v="0"/>
    <n v="0"/>
    <n v="0"/>
    <n v="1"/>
    <n v="0"/>
    <n v="0"/>
    <n v="0"/>
  </r>
  <r>
    <d v="2019-10-06T00:00:00"/>
    <n v="2019"/>
    <x v="39"/>
    <s v="P"/>
    <n v="3"/>
    <x v="5"/>
    <s v="WAS"/>
    <s v="H"/>
    <n v="4"/>
    <n v="4"/>
    <n v="0"/>
    <n v="0"/>
    <n v="0"/>
    <n v="0"/>
    <n v="1660.9872692703132"/>
    <n v="1687.5865876338178"/>
    <n v="0.58186275423188782"/>
    <n v="81"/>
    <n v="94"/>
    <n v="0"/>
    <n v="-13"/>
    <n v="0"/>
    <n v="0.46180728971273727"/>
    <n v="1.35"/>
    <n v="70"/>
    <n v="94.5"/>
    <n v="-25.392949613320276"/>
    <n v="1635.5943196569929"/>
    <n v="0"/>
    <n v="0"/>
    <n v="0"/>
    <n v="0"/>
    <n v="0"/>
    <n v="0"/>
    <n v="0"/>
    <n v="1"/>
    <n v="0"/>
    <n v="0"/>
  </r>
  <r>
    <d v="2019-10-08T00:00:00"/>
    <n v="2019"/>
    <x v="41"/>
    <s v="P"/>
    <n v="3"/>
    <x v="4"/>
    <s v="CON"/>
    <s v="A"/>
    <n v="1"/>
    <n v="1"/>
    <n v="0"/>
    <n v="0"/>
    <n v="0"/>
    <n v="0"/>
    <n v="1712.9251237836809"/>
    <n v="1635.5943196569929"/>
    <n v="0.49040343426787475"/>
    <n v="86"/>
    <n v="90"/>
    <n v="0"/>
    <n v="-4"/>
    <n v="0"/>
    <n v="0.29257830522623884"/>
    <n v="1.35"/>
    <n v="69.7"/>
    <n v="94.095000000000013"/>
    <n v="-13.500882867010016"/>
    <n v="1699.4242409166709"/>
    <n v="0"/>
    <n v="0"/>
    <n v="0"/>
    <n v="0"/>
    <n v="0"/>
    <n v="0"/>
    <n v="0"/>
    <n v="1"/>
    <n v="0"/>
    <n v="0"/>
  </r>
  <r>
    <d v="2019-10-08T00:00:00"/>
    <n v="2019"/>
    <x v="40"/>
    <s v="P"/>
    <n v="3"/>
    <x v="5"/>
    <s v="WAS"/>
    <s v="H"/>
    <n v="1"/>
    <n v="1"/>
    <n v="0"/>
    <n v="0"/>
    <n v="0"/>
    <n v="0"/>
    <n v="1635.5943196569929"/>
    <n v="1712.9251237836809"/>
    <n v="0.5095965657321252"/>
    <n v="90"/>
    <n v="86"/>
    <n v="0"/>
    <n v="4"/>
    <n v="1"/>
    <n v="0.29257830522623884"/>
    <n v="1.35"/>
    <n v="69.849999999999994"/>
    <n v="94.297499999999999"/>
    <n v="13.52993785165925"/>
    <n v="1649.1242575086521"/>
    <n v="0"/>
    <n v="0"/>
    <n v="0"/>
    <n v="0"/>
    <n v="0"/>
    <n v="0"/>
    <n v="1"/>
    <n v="0"/>
    <n v="0"/>
    <n v="0"/>
  </r>
  <r>
    <d v="2019-10-10T00:00:00"/>
    <n v="2019"/>
    <x v="41"/>
    <s v="P"/>
    <n v="3"/>
    <x v="5"/>
    <s v="WAS"/>
    <s v="A"/>
    <n v="1"/>
    <n v="1"/>
    <n v="0"/>
    <n v="0"/>
    <n v="0"/>
    <n v="0"/>
    <n v="1649.1242575086521"/>
    <n v="1699.4242409166709"/>
    <n v="0.31581044088504584"/>
    <n v="78"/>
    <n v="89"/>
    <n v="0"/>
    <n v="-11"/>
    <n v="0"/>
    <n v="0.42214122315709585"/>
    <n v="1.35"/>
    <n v="69.7"/>
    <n v="94.095000000000013"/>
    <n v="-12.544426022844624"/>
    <n v="1636.5798314858075"/>
    <n v="0"/>
    <n v="0"/>
    <n v="0"/>
    <n v="0"/>
    <n v="0"/>
    <n v="0"/>
    <n v="0"/>
    <n v="1"/>
    <n v="0"/>
    <n v="0"/>
  </r>
  <r>
    <d v="2019-10-10T00:00:00"/>
    <n v="2019"/>
    <x v="42"/>
    <s v="P"/>
    <n v="3"/>
    <x v="4"/>
    <s v="CON"/>
    <s v="H"/>
    <n v="1"/>
    <n v="1"/>
    <n v="0"/>
    <n v="0"/>
    <n v="0"/>
    <n v="0"/>
    <n v="1699.4242409166709"/>
    <n v="1649.1242575086521"/>
    <n v="0.68418955911495427"/>
    <n v="89"/>
    <n v="78"/>
    <n v="0"/>
    <n v="11"/>
    <n v="1"/>
    <n v="0.42214122315709585"/>
    <n v="1.35"/>
    <n v="69.55"/>
    <n v="93.892499999999998"/>
    <n v="12.517429410169916"/>
    <n v="1711.9416703268407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1"/>
        <item m="1" x="51"/>
        <item m="1" x="29"/>
        <item m="1" x="27"/>
        <item m="1" x="39"/>
        <item m="1" x="55"/>
        <item m="1" x="17"/>
        <item x="6"/>
        <item m="1" x="41"/>
        <item m="1" x="18"/>
        <item x="5"/>
        <item x="0"/>
        <item m="1" x="34"/>
        <item m="1" x="14"/>
        <item m="1" x="56"/>
        <item m="1" x="36"/>
        <item m="1" x="16"/>
        <item x="2"/>
        <item m="1" x="50"/>
        <item m="1" x="49"/>
        <item m="1" x="26"/>
        <item m="1" x="25"/>
        <item m="1" x="58"/>
        <item x="10"/>
        <item m="1" x="57"/>
        <item x="11"/>
        <item m="1" x="28"/>
        <item m="1" x="20"/>
        <item m="1" x="35"/>
        <item x="7"/>
        <item m="1" x="43"/>
        <item m="1" x="23"/>
        <item m="1" x="31"/>
        <item m="1" x="44"/>
        <item m="1" x="52"/>
        <item x="3"/>
        <item m="1" x="45"/>
        <item m="1" x="33"/>
        <item m="1" x="22"/>
        <item m="1" x="30"/>
        <item x="8"/>
        <item m="1" x="47"/>
        <item m="1" x="21"/>
        <item m="1" x="32"/>
        <item m="1" x="15"/>
        <item m="1" x="12"/>
        <item m="1" x="42"/>
        <item x="9"/>
        <item m="1" x="53"/>
        <item m="1" x="48"/>
        <item m="1" x="54"/>
        <item m="1" x="46"/>
        <item m="1" x="24"/>
        <item m="1" x="13"/>
        <item m="1" x="19"/>
        <item m="1" x="38"/>
        <item x="4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18"/>
    <tableColumn id="5" xr3:uid="{A9DA91BA-5529-4913-978B-19C8EF225B29}" name="TeamName" dataDxfId="17"/>
    <tableColumn id="2" xr3:uid="{AA4C8157-DB69-4779-8EEE-6F419B992D71}" name="PreSeasonElo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295" totalsRowShown="0" headerRowDxfId="58" dataDxfId="57">
  <autoFilter ref="A1:AL29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6"/>
    <tableColumn id="21" xr3:uid="{D754AB95-C77C-4DD5-B1B9-A24A4FEE7279}" name="Season" dataDxfId="55"/>
    <tableColumn id="19" xr3:uid="{4C42B78B-6AFC-42C3-A5F4-3266E247C458}" name="GamesPlayed" dataDxfId="54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3"/>
    <tableColumn id="14" xr3:uid="{EFA83923-8CCA-4DC9-BC85-5D86949A45D9}" name="Round" dataDxfId="52"/>
    <tableColumn id="2" xr3:uid="{6E102E51-A49B-416B-8CD2-B93B2A4EA389}" name="Team" dataDxfId="51"/>
    <tableColumn id="3" xr3:uid="{19101345-1C34-4AF3-88E6-76A7F19B7FE6}" name="Opponent" dataDxfId="50"/>
    <tableColumn id="16" xr3:uid="{4CBCDF29-B095-48DF-8EF6-06DC7D78C844}" name="HomeAway" dataDxfId="49"/>
    <tableColumn id="32" xr3:uid="{E3FA53E3-DAD6-4BC2-969A-C53F4798E86D}" name="DaysOff" dataDxfId="48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7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6">
      <calculatedColumnFormula>Games[[#This Row],[DaysOff]]-Games[[#This Row],[OppDaysOff]]</calculatedColumnFormula>
    </tableColumn>
    <tableColumn id="35" xr3:uid="{3F2DB366-7372-41BA-8B0C-09F9BA7EA850}" name="OppRestDiff" dataDxfId="45">
      <calculatedColumnFormula>Games[[#This Row],[OppDaysOff]]-Games[[#This Row],[DaysOff]]</calculatedColumnFormula>
    </tableColumn>
    <tableColumn id="36" xr3:uid="{BDD0FD2C-608F-4CCC-867B-4481F0F4B802}" name="RestAdj" dataDxfId="44">
      <calculatedColumnFormula>MAX(-16, MIN(16, Games[[#This Row],[RestDiff]]*8))</calculatedColumnFormula>
    </tableColumn>
    <tableColumn id="37" xr3:uid="{5F89213A-4C28-428C-B766-3B05D4F530A5}" name="OppRestAdj" dataDxfId="43">
      <calculatedColumnFormula>MAX(-16, MIN(16, Games[[#This Row],[OppRestDiff]]*8))</calculatedColumnFormula>
    </tableColumn>
    <tableColumn id="4" xr3:uid="{68053CFA-948B-4F2C-A114-7C46ABD9EA33}" name="PreGmRate" dataDxfId="42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1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40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9"/>
    <tableColumn id="8" xr3:uid="{0CDDF0F9-2F1E-487C-96DD-90F70CE7DAFC}" name="PointsAgainst" dataDxfId="38"/>
    <tableColumn id="22" xr3:uid="{AB7B5B5C-5BAD-4213-990E-8EB9B177497C}" name="OT" dataDxfId="37"/>
    <tableColumn id="9" xr3:uid="{CE171F1D-5E5D-4800-A6DC-8F6DBD74C939}" name="MOV" dataDxfId="36">
      <calculatedColumnFormula>Games[[#This Row],[PointsFor]]-Games[[#This Row],[PointsAgainst]]</calculatedColumnFormula>
    </tableColumn>
    <tableColumn id="10" xr3:uid="{883A3911-25F6-4C39-9637-F1C42D6A1FC2}" name="Result" dataDxfId="35">
      <calculatedColumnFormula>IF(Games[[#This Row],[MOV]]&gt;0,1,IF(Games[[#This Row],[MOV]]=0,0.5,0))</calculatedColumnFormula>
    </tableColumn>
    <tableColumn id="15" xr3:uid="{00048431-5FD6-47EE-807E-5B63FD521193}" name="MOVMult" dataDxfId="34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3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2">
      <calculatedColumnFormula>MAX(kmin, kmax - 0.15 * MIN(Games[[#This Row],[GamesPlayed]], 82))</calculatedColumnFormula>
    </tableColumn>
    <tableColumn id="29" xr3:uid="{FBA5D644-15ED-4725-9E52-1D37FD0FAC64}" name="Keff" dataDxfId="31">
      <calculatedColumnFormula>Games[[#This Row],[K]]*Games[[#This Row],[POMult]]</calculatedColumnFormula>
    </tableColumn>
    <tableColumn id="11" xr3:uid="{309DAEBD-E62C-4090-89E9-A58FD32AB89B}" name="RatingChange" dataDxfId="30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9">
      <calculatedColumnFormula>Games[[#This Row],[PreGmRate]]+Games[[#This Row],[RatingChange]]</calculatedColumnFormula>
    </tableColumn>
    <tableColumn id="17" xr3:uid="{90B7BF87-E472-4474-A10D-555BD3BF8F04}" name="W" dataDxfId="28">
      <calculatedColumnFormula>IF(Games[[#This Row],[Type]]="R",IF(Games[[#This Row],[Result]]&gt;0.5,1,0),0)</calculatedColumnFormula>
    </tableColumn>
    <tableColumn id="18" xr3:uid="{29756EA1-783D-4C76-A7B8-F906AF0EC7E7}" name="L" dataDxfId="27">
      <calculatedColumnFormula>IF(Games[[#This Row],[Type]]="R",IF(Games[[#This Row],[Result]]&lt;0.5,1,0),0)</calculatedColumnFormula>
    </tableColumn>
    <tableColumn id="23" xr3:uid="{C253CFA7-28A4-4AE5-B131-DC1E8F2B73F8}" name="R1W" dataDxfId="26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5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4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3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2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1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0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9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C2" sqref="C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1338.4401083558585</v>
      </c>
    </row>
    <row r="3" spans="1:4" x14ac:dyDescent="0.35">
      <c r="A3" t="s">
        <v>75</v>
      </c>
      <c r="B3" s="8"/>
      <c r="C3" s="15" t="s">
        <v>76</v>
      </c>
      <c r="D3" s="13">
        <v>1555.9995095857041</v>
      </c>
    </row>
    <row r="4" spans="1:4" x14ac:dyDescent="0.35">
      <c r="A4" t="s">
        <v>74</v>
      </c>
      <c r="B4" s="8"/>
      <c r="C4" s="15" t="s">
        <v>73</v>
      </c>
      <c r="D4" s="13">
        <v>1636.5798314858075</v>
      </c>
    </row>
    <row r="5" spans="1:4" x14ac:dyDescent="0.35">
      <c r="A5" t="s">
        <v>83</v>
      </c>
      <c r="B5" s="8"/>
      <c r="C5" s="15" t="s">
        <v>82</v>
      </c>
      <c r="D5" s="13">
        <v>1380.2061272282203</v>
      </c>
    </row>
    <row r="6" spans="1:4" x14ac:dyDescent="0.35">
      <c r="A6" t="s">
        <v>69</v>
      </c>
      <c r="B6" s="8"/>
      <c r="C6" s="15" t="s">
        <v>70</v>
      </c>
      <c r="D6" s="13">
        <v>1439.1740740146577</v>
      </c>
    </row>
    <row r="7" spans="1:4" x14ac:dyDescent="0.35">
      <c r="A7" t="s">
        <v>84</v>
      </c>
      <c r="B7" s="8"/>
      <c r="C7" s="15" t="s">
        <v>85</v>
      </c>
      <c r="D7" s="13">
        <v>1556.6184263062048</v>
      </c>
    </row>
    <row r="8" spans="1:4" x14ac:dyDescent="0.35">
      <c r="A8" t="s">
        <v>63</v>
      </c>
      <c r="B8" s="8"/>
      <c r="C8" s="15" t="s">
        <v>64</v>
      </c>
      <c r="D8" s="13">
        <v>1550.5446942533617</v>
      </c>
    </row>
    <row r="9" spans="1:4" x14ac:dyDescent="0.35">
      <c r="A9" t="s">
        <v>67</v>
      </c>
      <c r="B9" s="8"/>
      <c r="C9" s="15" t="s">
        <v>68</v>
      </c>
      <c r="D9" s="13">
        <v>1540.0734299256915</v>
      </c>
    </row>
    <row r="10" spans="1:4" x14ac:dyDescent="0.35">
      <c r="A10" t="s">
        <v>60</v>
      </c>
      <c r="B10" s="8"/>
      <c r="C10" s="15" t="s">
        <v>61</v>
      </c>
      <c r="D10" s="13">
        <v>1322.6110354705729</v>
      </c>
    </row>
    <row r="11" spans="1:4" x14ac:dyDescent="0.35">
      <c r="A11" t="s">
        <v>40</v>
      </c>
      <c r="B11" s="8"/>
      <c r="C11" s="15" t="s">
        <v>62</v>
      </c>
      <c r="D11" s="13">
        <v>1436.141664712856</v>
      </c>
    </row>
    <row r="12" spans="1:4" x14ac:dyDescent="0.35">
      <c r="A12" t="s">
        <v>71</v>
      </c>
      <c r="B12" s="8"/>
      <c r="C12" s="15" t="s">
        <v>72</v>
      </c>
      <c r="D12" s="13">
        <v>1532.2580095465919</v>
      </c>
    </row>
    <row r="13" spans="1:4" x14ac:dyDescent="0.35">
      <c r="A13" t="s">
        <v>65</v>
      </c>
      <c r="B13" s="8"/>
      <c r="C13" s="15" t="s">
        <v>66</v>
      </c>
      <c r="D13" s="13">
        <v>1711.9416703268407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SEA</v>
      </c>
      <c r="B2">
        <v>0</v>
      </c>
      <c r="C2" t="str">
        <v>Seattle Storm</v>
      </c>
      <c r="D2" s="1">
        <v>18</v>
      </c>
      <c r="E2" s="1">
        <v>16</v>
      </c>
      <c r="F2" s="3">
        <v>0.52941176470588236</v>
      </c>
      <c r="G2" s="9">
        <v>1760.5603827273167</v>
      </c>
      <c r="H2" s="1">
        <v>44110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LVA</v>
      </c>
      <c r="B3">
        <v>0</v>
      </c>
      <c r="C3" t="str">
        <v>Las Vegas Aces</v>
      </c>
      <c r="D3" s="1">
        <v>21</v>
      </c>
      <c r="E3" s="1">
        <v>13</v>
      </c>
      <c r="F3" s="3">
        <v>0.61764705882352944</v>
      </c>
      <c r="G3" s="9">
        <v>1605.9820063040729</v>
      </c>
      <c r="H3" s="1">
        <v>44110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1263.6067883436826</v>
      </c>
      <c r="AY3" s="1">
        <f>_xlfn.MAXIFS(Games[Date], Games[Team], AK3)</f>
        <v>44087</v>
      </c>
      <c r="AZ3">
        <f t="shared" si="2"/>
        <v>0</v>
      </c>
    </row>
    <row r="4" spans="1:68" x14ac:dyDescent="0.35">
      <c r="A4" t="str">
        <v>CON</v>
      </c>
      <c r="B4">
        <v>0</v>
      </c>
      <c r="C4" t="str">
        <v>Connecticut Sun</v>
      </c>
      <c r="D4" s="1">
        <v>23</v>
      </c>
      <c r="E4" s="1">
        <v>11</v>
      </c>
      <c r="F4" s="3">
        <v>0.67647058823529416</v>
      </c>
      <c r="G4" s="9">
        <v>1581.4188020504953</v>
      </c>
      <c r="H4" s="1">
        <v>44103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LAS</v>
      </c>
      <c r="B5">
        <v>0</v>
      </c>
      <c r="C5" t="str">
        <v>Los Angeles Sparks</v>
      </c>
      <c r="D5" s="1">
        <v>22</v>
      </c>
      <c r="E5" s="1">
        <v>12</v>
      </c>
      <c r="F5" s="3">
        <v>0.6470588235294118</v>
      </c>
      <c r="G5" s="9">
        <v>1555.6105071256516</v>
      </c>
      <c r="H5" s="1">
        <v>44091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MIN</v>
      </c>
      <c r="B6">
        <v>0</v>
      </c>
      <c r="C6" t="str">
        <v>Minnesota Lynx</v>
      </c>
      <c r="D6" s="1">
        <v>18</v>
      </c>
      <c r="E6" s="1">
        <v>16</v>
      </c>
      <c r="F6" s="3">
        <v>0.52941176470588236</v>
      </c>
      <c r="G6" s="9">
        <v>1536.5845700094485</v>
      </c>
      <c r="H6" s="1">
        <v>44101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1525.1216922220447</v>
      </c>
      <c r="AY6" s="1">
        <f>_xlfn.MAXIFS(Games[Date], Games[Team], AK6)</f>
        <v>44091</v>
      </c>
      <c r="AZ6">
        <f>SUM(AV6:AW6)</f>
        <v>0</v>
      </c>
      <c r="BO6" s="4"/>
      <c r="BP6" s="1"/>
    </row>
    <row r="7" spans="1:68" x14ac:dyDescent="0.35">
      <c r="A7" t="str">
        <v>PHX</v>
      </c>
      <c r="B7">
        <v>0</v>
      </c>
      <c r="C7" t="str">
        <v>Phoenix Mercury</v>
      </c>
      <c r="D7" s="1">
        <v>15</v>
      </c>
      <c r="E7" s="1">
        <v>19</v>
      </c>
      <c r="F7" s="3">
        <v>0.44117647058823528</v>
      </c>
      <c r="G7" s="9">
        <v>1525.1216922220447</v>
      </c>
      <c r="H7" s="1">
        <v>44091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3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1</v>
      </c>
      <c r="AW7" s="1">
        <f t="shared" si="3"/>
        <v>3</v>
      </c>
      <c r="AX7" s="4" cm="1">
        <f t="array" ref="AX7">_xlfn.IFNA(INDEX(Games[PostGmRate], MATCH(1, (Games[Team]=AK7)*(Games[Date]=AY7), 0)),0)</f>
        <v>1555.6105071256516</v>
      </c>
      <c r="AY7" s="1">
        <f>_xlfn.MAXIFS(Games[Date], Games[Team], AK7)</f>
        <v>44091</v>
      </c>
      <c r="AZ7">
        <f>SUM(AV7:AW7)</f>
        <v>4</v>
      </c>
      <c r="BO7" s="4"/>
      <c r="BP7" s="1"/>
    </row>
    <row r="8" spans="1:68" x14ac:dyDescent="0.35">
      <c r="A8" t="str">
        <v>CHI</v>
      </c>
      <c r="B8">
        <v>0</v>
      </c>
      <c r="C8" t="str">
        <v>Chicago Sky</v>
      </c>
      <c r="D8" s="1">
        <v>20</v>
      </c>
      <c r="E8" s="1">
        <v>14</v>
      </c>
      <c r="F8" s="3">
        <v>0.58823529411764708</v>
      </c>
      <c r="G8" s="9">
        <v>1504.2221160873926</v>
      </c>
      <c r="H8" s="1">
        <v>44089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WAS</v>
      </c>
      <c r="B9">
        <v>0</v>
      </c>
      <c r="C9" t="str">
        <v>Washington Mystics</v>
      </c>
      <c r="D9" s="1">
        <v>26</v>
      </c>
      <c r="E9" s="1">
        <v>8</v>
      </c>
      <c r="F9" s="3">
        <v>0.76470588235294112</v>
      </c>
      <c r="G9" s="9">
        <v>1499.9362403906748</v>
      </c>
      <c r="H9" s="1">
        <v>44089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DAL</v>
      </c>
      <c r="B10">
        <v>0</v>
      </c>
      <c r="C10" t="str">
        <v>Dallas Wings</v>
      </c>
      <c r="D10" s="1">
        <v>10</v>
      </c>
      <c r="E10" s="1">
        <v>24</v>
      </c>
      <c r="F10" s="3">
        <v>0.29411764705882354</v>
      </c>
      <c r="G10" s="9">
        <v>1416.1010542043084</v>
      </c>
      <c r="H10" s="1">
        <v>44087</v>
      </c>
      <c r="O10" s="3"/>
      <c r="P10" s="4"/>
      <c r="Q10" s="1"/>
      <c r="AX10" s="4"/>
      <c r="BO10" s="4"/>
      <c r="BP10" s="1"/>
    </row>
    <row r="11" spans="1:68" x14ac:dyDescent="0.35">
      <c r="A11" t="str">
        <v>ATL</v>
      </c>
      <c r="B11">
        <v>0</v>
      </c>
      <c r="C11" t="str">
        <v>Atlanta Dream</v>
      </c>
      <c r="D11" s="1">
        <v>8</v>
      </c>
      <c r="E11" s="1">
        <v>26</v>
      </c>
      <c r="F11" s="3">
        <v>0.23529411764705882</v>
      </c>
      <c r="G11" s="9">
        <v>1385.141253008896</v>
      </c>
      <c r="H11" s="1">
        <v>44087</v>
      </c>
      <c r="O11" s="3"/>
      <c r="P11" s="4"/>
      <c r="Q11" s="1"/>
      <c r="AX11" s="4"/>
      <c r="BO11" s="4"/>
      <c r="BP11" s="1"/>
    </row>
    <row r="12" spans="1:68" x14ac:dyDescent="0.35">
      <c r="A12" t="str">
        <v>IND</v>
      </c>
      <c r="B12">
        <v>0</v>
      </c>
      <c r="C12" t="str">
        <v>Indiana Fever</v>
      </c>
      <c r="D12" s="1">
        <v>13</v>
      </c>
      <c r="E12" s="1">
        <v>21</v>
      </c>
      <c r="F12" s="3">
        <v>0.38235294117647056</v>
      </c>
      <c r="G12" s="9">
        <v>1366.3027158367483</v>
      </c>
      <c r="H12" s="1">
        <v>44086</v>
      </c>
      <c r="O12" s="3"/>
      <c r="P12" s="4"/>
      <c r="Q12" s="1"/>
      <c r="AX12" s="4"/>
      <c r="BO12" s="4"/>
      <c r="BP12" s="1"/>
    </row>
    <row r="13" spans="1:68" x14ac:dyDescent="0.35">
      <c r="A13" t="str">
        <v>NYL</v>
      </c>
      <c r="B13">
        <v>0</v>
      </c>
      <c r="C13" t="str">
        <v>New York Liberty</v>
      </c>
      <c r="D13" s="1">
        <v>10</v>
      </c>
      <c r="E13" s="1">
        <v>24</v>
      </c>
      <c r="F13" s="3">
        <v>0.29411764705882354</v>
      </c>
      <c r="G13" s="9">
        <v>1263.6067883436826</v>
      </c>
      <c r="H13" s="1">
        <v>44087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8</v>
      </c>
      <c r="E25" s="1">
        <f>_xlfn.XLOOKUP($A25,StandingsPivot!$A$4:$A$35,StandingsPivot!C$4:C$35)</f>
        <v>26</v>
      </c>
      <c r="F25" s="3">
        <f>(D25)/(D25+E25)</f>
        <v>0.23529411764705882</v>
      </c>
      <c r="G25" s="9" cm="1">
        <f t="array" ref="G25">INDEX(Games[PostGmRate], MATCH(1, (Games[Team]=A25)*(Games[Date]=H25), 0))</f>
        <v>1385.141253008896</v>
      </c>
      <c r="H25" s="1">
        <f>_xlfn.MAXIFS(Games[Date], Games[Team], A25)</f>
        <v>44087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20</v>
      </c>
      <c r="E26" s="1">
        <f>_xlfn.XLOOKUP($A26,StandingsPivot!$A$4:$A$35,StandingsPivot!C$4:C$35)</f>
        <v>14</v>
      </c>
      <c r="F26" s="3">
        <f>(D26)/(D26+E26)</f>
        <v>0.58823529411764708</v>
      </c>
      <c r="G26" s="9" cm="1">
        <f t="array" ref="G26">INDEX(Games[PostGmRate], MATCH(1, (Games[Team]=A26)*(Games[Date]=H26), 0))</f>
        <v>1504.2221160873926</v>
      </c>
      <c r="H26" s="1">
        <f>_xlfn.MAXIFS(Games[Date], Games[Team], A26)</f>
        <v>44089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23</v>
      </c>
      <c r="E27" s="1">
        <f>_xlfn.XLOOKUP($A27,StandingsPivot!$A$4:$A$35,StandingsPivot!C$4:C$35)</f>
        <v>11</v>
      </c>
      <c r="F27" s="3">
        <f>(D27)/(D27+E27)</f>
        <v>0.67647058823529416</v>
      </c>
      <c r="G27" s="9" cm="1">
        <f t="array" ref="G27">INDEX(Games[PostGmRate], MATCH(1, (Games[Team]=A27)*(Games[Date]=H27), 0))</f>
        <v>1581.4188020504953</v>
      </c>
      <c r="H27" s="1">
        <f>_xlfn.MAXIFS(Games[Date], Games[Team], A27)</f>
        <v>44103</v>
      </c>
      <c r="AR27" s="3"/>
      <c r="AS27" s="4"/>
      <c r="BD27" s="1"/>
      <c r="BG27" s="3"/>
      <c r="BH27" s="4"/>
    </row>
    <row r="28" spans="1:60" x14ac:dyDescent="0.35">
      <c r="A28" t="s">
        <v>83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10</v>
      </c>
      <c r="E28" s="1">
        <f>_xlfn.XLOOKUP($A28,StandingsPivot!$A$4:$A$35,StandingsPivot!C$4:C$35)</f>
        <v>24</v>
      </c>
      <c r="F28" s="3">
        <f>(D28)/(D28+E28)</f>
        <v>0.29411764705882354</v>
      </c>
      <c r="G28" s="9" cm="1">
        <f t="array" ref="G28">INDEX(Games[PostGmRate], MATCH(1, (Games[Team]=A28)*(Games[Date]=H28), 0))</f>
        <v>1416.1010542043084</v>
      </c>
      <c r="H28" s="1">
        <f>_xlfn.MAXIFS(Games[Date], Games[Team], A28)</f>
        <v>44087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13</v>
      </c>
      <c r="E29" s="1">
        <f>_xlfn.XLOOKUP($A29,StandingsPivot!$A$4:$A$35,StandingsPivot!C$4:C$35)</f>
        <v>21</v>
      </c>
      <c r="F29" s="3">
        <f>(D29)/(D29+E29)</f>
        <v>0.38235294117647056</v>
      </c>
      <c r="G29" s="9" cm="1">
        <f t="array" ref="G29">INDEX(Games[PostGmRate], MATCH(1, (Games[Team]=A29)*(Games[Date]=H29), 0))</f>
        <v>1366.3027158367483</v>
      </c>
      <c r="H29" s="1">
        <f>_xlfn.MAXIFS(Games[Date], Games[Team], A29)</f>
        <v>44086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22</v>
      </c>
      <c r="E30" s="1">
        <f>_xlfn.XLOOKUP($A30,StandingsPivot!$A$4:$A$35,StandingsPivot!C$4:C$35)</f>
        <v>12</v>
      </c>
      <c r="F30" s="3">
        <f>(D30)/(D30+E30)</f>
        <v>0.6470588235294118</v>
      </c>
      <c r="G30" s="9" cm="1">
        <f t="array" ref="G30">INDEX(Games[PostGmRate], MATCH(1, (Games[Team]=A30)*(Games[Date]=H30), 0))</f>
        <v>1555.6105071256516</v>
      </c>
      <c r="H30" s="1">
        <f>_xlfn.MAXIFS(Games[Date], Games[Team], A30)</f>
        <v>44091</v>
      </c>
      <c r="AR30" s="3"/>
      <c r="AS30" s="4"/>
      <c r="BD30" s="1"/>
      <c r="BG30" s="3"/>
      <c r="BH30" s="4"/>
    </row>
    <row r="31" spans="1:60" x14ac:dyDescent="0.35">
      <c r="A31" t="s">
        <v>84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21</v>
      </c>
      <c r="E31" s="1">
        <f>_xlfn.XLOOKUP($A31,StandingsPivot!$A$4:$A$35,StandingsPivot!C$4:C$35)</f>
        <v>13</v>
      </c>
      <c r="F31" s="3">
        <f>(D31)/(D31+E31)</f>
        <v>0.61764705882352944</v>
      </c>
      <c r="G31" s="9" cm="1">
        <f t="array" ref="G31">INDEX(Games[PostGmRate], MATCH(1, (Games[Team]=A31)*(Games[Date]=H31), 0))</f>
        <v>1605.9820063040729</v>
      </c>
      <c r="H31" s="1">
        <f>_xlfn.MAXIFS(Games[Date], Games[Team], A31)</f>
        <v>44110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>(D32)/(D32+E32)</f>
        <v>0.52941176470588236</v>
      </c>
      <c r="G32" s="9" cm="1">
        <f t="array" ref="G32">INDEX(Games[PostGmRate], MATCH(1, (Games[Team]=A32)*(Games[Date]=H32), 0))</f>
        <v>1536.5845700094485</v>
      </c>
      <c r="H32" s="1">
        <f>_xlfn.MAXIFS(Games[Date], Games[Team], A32)</f>
        <v>44101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10</v>
      </c>
      <c r="E33" s="1">
        <f>_xlfn.XLOOKUP($A33,StandingsPivot!$A$4:$A$35,StandingsPivot!C$4:C$35)</f>
        <v>24</v>
      </c>
      <c r="F33" s="3">
        <f>(D33)/(D33+E33)</f>
        <v>0.29411764705882354</v>
      </c>
      <c r="G33" s="9" cm="1">
        <f t="array" ref="G33">INDEX(Games[PostGmRate], MATCH(1, (Games[Team]=A33)*(Games[Date]=H33), 0))</f>
        <v>1263.6067883436826</v>
      </c>
      <c r="H33" s="1">
        <f>_xlfn.MAXIFS(Games[Date], Games[Team], A33)</f>
        <v>44087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15</v>
      </c>
      <c r="E34" s="1">
        <f>_xlfn.XLOOKUP($A34,StandingsPivot!$A$4:$A$35,StandingsPivot!C$4:C$35)</f>
        <v>19</v>
      </c>
      <c r="F34" s="3">
        <f>(D34)/(D34+E34)</f>
        <v>0.44117647058823528</v>
      </c>
      <c r="G34" s="9" cm="1">
        <f t="array" ref="G34">INDEX(Games[PostGmRate], MATCH(1, (Games[Team]=A34)*(Games[Date]=H34), 0))</f>
        <v>1525.1216922220447</v>
      </c>
      <c r="H34" s="1">
        <f>_xlfn.MAXIFS(Games[Date], Games[Team], A34)</f>
        <v>44091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18</v>
      </c>
      <c r="E35" s="1">
        <f>_xlfn.XLOOKUP($A35,StandingsPivot!$A$4:$A$35,StandingsPivot!C$4:C$35)</f>
        <v>16</v>
      </c>
      <c r="F35" s="3">
        <f>(D35)/(D35+E35)</f>
        <v>0.52941176470588236</v>
      </c>
      <c r="G35" s="9" cm="1">
        <f t="array" ref="G35">INDEX(Games[PostGmRate], MATCH(1, (Games[Team]=A35)*(Games[Date]=H35), 0))</f>
        <v>1760.5603827273167</v>
      </c>
      <c r="H35" s="1">
        <f>_xlfn.MAXIFS(Games[Date], Games[Team], A35)</f>
        <v>44110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26</v>
      </c>
      <c r="E36" s="1">
        <f>_xlfn.XLOOKUP($A36,StandingsPivot!$A$4:$A$35,StandingsPivot!C$4:C$35)</f>
        <v>8</v>
      </c>
      <c r="F36" s="3">
        <f>(D36)/(D36+E36)</f>
        <v>0.76470588235294112</v>
      </c>
      <c r="G36" s="9" cm="1">
        <f t="array" ref="G36">INDEX(Games[PostGmRate], MATCH(1, (Games[Team]=A36)*(Games[Date]=H36), 0))</f>
        <v>1499.9362403906748</v>
      </c>
      <c r="H36" s="1">
        <f>_xlfn.MAXIFS(Games[Date], Games[Team], A36)</f>
        <v>44089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8</v>
      </c>
      <c r="C4" s="2">
        <v>26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20</v>
      </c>
      <c r="C5" s="2">
        <v>14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23</v>
      </c>
      <c r="C6" s="2">
        <v>11</v>
      </c>
      <c r="D6" s="2">
        <v>0</v>
      </c>
      <c r="E6" s="2">
        <v>0</v>
      </c>
      <c r="F6" s="2">
        <v>3</v>
      </c>
      <c r="G6" s="2">
        <v>0</v>
      </c>
      <c r="H6" s="2">
        <v>2</v>
      </c>
      <c r="I6" s="2">
        <v>3</v>
      </c>
      <c r="J6" s="2">
        <v>0</v>
      </c>
      <c r="K6" s="2">
        <v>0</v>
      </c>
    </row>
    <row r="7" spans="1:11" x14ac:dyDescent="0.35">
      <c r="A7" s="6" t="s">
        <v>83</v>
      </c>
      <c r="B7" s="2">
        <v>10</v>
      </c>
      <c r="C7" s="2">
        <v>24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13</v>
      </c>
      <c r="C8" s="2">
        <v>21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22</v>
      </c>
      <c r="C9" s="2">
        <v>12</v>
      </c>
      <c r="D9" s="2">
        <v>1</v>
      </c>
      <c r="E9" s="2">
        <v>0</v>
      </c>
      <c r="F9" s="2">
        <v>0</v>
      </c>
      <c r="G9" s="2">
        <v>3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84</v>
      </c>
      <c r="B10" s="2">
        <v>21</v>
      </c>
      <c r="C10" s="2">
        <v>13</v>
      </c>
      <c r="D10" s="2">
        <v>1</v>
      </c>
      <c r="E10" s="2">
        <v>0</v>
      </c>
      <c r="F10" s="2">
        <v>1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67</v>
      </c>
      <c r="B11" s="2">
        <v>18</v>
      </c>
      <c r="C11" s="2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10</v>
      </c>
      <c r="C12" s="2">
        <v>24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40</v>
      </c>
      <c r="B13" s="2">
        <v>15</v>
      </c>
      <c r="C13" s="2">
        <v>19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18</v>
      </c>
      <c r="C14" s="2">
        <v>16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26</v>
      </c>
      <c r="C15" s="2">
        <v>8</v>
      </c>
      <c r="D15" s="2">
        <v>0</v>
      </c>
      <c r="E15" s="2">
        <v>0</v>
      </c>
      <c r="F15" s="2">
        <v>3</v>
      </c>
      <c r="G15" s="2">
        <v>1</v>
      </c>
      <c r="H15" s="2">
        <v>3</v>
      </c>
      <c r="I15" s="2">
        <v>2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2</v>
      </c>
      <c r="E16" s="2">
        <v>2</v>
      </c>
      <c r="F16" s="2">
        <v>7</v>
      </c>
      <c r="G16" s="2">
        <v>7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295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44037</v>
      </c>
      <c r="B2" s="2">
        <v>2020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71</v>
      </c>
      <c r="G2" s="1" t="s">
        <v>60</v>
      </c>
      <c r="H2" s="1" t="s">
        <v>86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1516.1290047732959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1411.3055177352865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0.64643664304888138</v>
      </c>
      <c r="R2" s="1">
        <v>87</v>
      </c>
      <c r="S2" s="1">
        <v>71</v>
      </c>
      <c r="T2" s="1">
        <v>0</v>
      </c>
      <c r="U2" s="1">
        <f>Games[[#This Row],[PointsFor]]-Games[[#This Row],[PointsAgainst]]</f>
        <v>16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0.476189496057082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12.770345441065436</v>
      </c>
      <c r="AB2" s="4">
        <f>Games[[#This Row],[PreGmRate]]+Games[[#This Row],[RatingChange]]</f>
        <v>1528.8993502143614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44037</v>
      </c>
      <c r="B3" s="2">
        <v>2020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60</v>
      </c>
      <c r="G3" s="1" t="s">
        <v>71</v>
      </c>
      <c r="H3" s="1" t="s">
        <v>86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1411.3055177352865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1516.1290047732959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0.35356335695111862</v>
      </c>
      <c r="R3" s="1">
        <v>71</v>
      </c>
      <c r="S3" s="1">
        <v>87</v>
      </c>
      <c r="T3" s="1">
        <v>0</v>
      </c>
      <c r="U3" s="1">
        <f>Games[[#This Row],[PointsFor]]-Games[[#This Row],[PointsAgainst]]</f>
        <v>-16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0.476189496057082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-12.770345441065436</v>
      </c>
      <c r="AB3" s="4">
        <f>Games[[#This Row],[PreGmRate]]+Games[[#This Row],[RatingChange]]</f>
        <v>1398.535172294221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44037</v>
      </c>
      <c r="B4" s="2">
        <v>2020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63</v>
      </c>
      <c r="G4" s="1" t="s">
        <v>40</v>
      </c>
      <c r="H4" s="1" t="s">
        <v>86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1525.2723471266809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1468.0708323564281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0.58158378717844716</v>
      </c>
      <c r="R4" s="1">
        <v>99</v>
      </c>
      <c r="S4" s="1">
        <v>76</v>
      </c>
      <c r="T4" s="1">
        <v>0</v>
      </c>
      <c r="U4" s="1">
        <f>Games[[#This Row],[PointsFor]]-Games[[#This Row],[PointsAgainst]]</f>
        <v>23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0.58734046562874365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18.640347852167416</v>
      </c>
      <c r="AB4" s="4">
        <f>Games[[#This Row],[PreGmRate]]+Games[[#This Row],[RatingChange]]</f>
        <v>1543.9126949788483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44037</v>
      </c>
      <c r="B5" s="2">
        <v>2020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40</v>
      </c>
      <c r="G5" s="1" t="s">
        <v>63</v>
      </c>
      <c r="H5" s="1" t="s">
        <v>86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1468.0708323564281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1525.2723471266809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0.41841621282155289</v>
      </c>
      <c r="R5" s="1">
        <v>76</v>
      </c>
      <c r="S5" s="1">
        <v>99</v>
      </c>
      <c r="T5" s="1">
        <v>0</v>
      </c>
      <c r="U5" s="1">
        <f>Games[[#This Row],[PointsFor]]-Games[[#This Row],[PointsAgainst]]</f>
        <v>-23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0.58734046562874365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-18.64034785216742</v>
      </c>
      <c r="AB5" s="4">
        <f>Games[[#This Row],[PreGmRate]]+Games[[#This Row],[RatingChange]]</f>
        <v>1449.4304845042607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44037</v>
      </c>
      <c r="B6" s="2">
        <v>2020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69</v>
      </c>
      <c r="G6" s="1" t="s">
        <v>65</v>
      </c>
      <c r="H6" s="1" t="s">
        <v>86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1469.5870370073289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1605.9708351634204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0.31322428885788056</v>
      </c>
      <c r="R6" s="1">
        <v>76</v>
      </c>
      <c r="S6" s="1">
        <v>101</v>
      </c>
      <c r="T6" s="1">
        <v>0</v>
      </c>
      <c r="U6" s="1">
        <f>Games[[#This Row],[PointsFor]]-Games[[#This Row],[PointsAgainst]]</f>
        <v>-25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0.57589267030511837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-13.68209394490656</v>
      </c>
      <c r="AB6" s="4">
        <f>Games[[#This Row],[PreGmRate]]+Games[[#This Row],[RatingChange]]</f>
        <v>1455.9049430624225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44037</v>
      </c>
      <c r="B7" s="2">
        <v>2020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65</v>
      </c>
      <c r="G7" s="1" t="s">
        <v>69</v>
      </c>
      <c r="H7" s="1" t="s">
        <v>86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1605.9708351634204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1469.5870370073289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0.68677571114211955</v>
      </c>
      <c r="R7" s="1">
        <v>101</v>
      </c>
      <c r="S7" s="1">
        <v>76</v>
      </c>
      <c r="T7" s="1">
        <v>0</v>
      </c>
      <c r="U7" s="1">
        <f>Games[[#This Row],[PointsFor]]-Games[[#This Row],[PointsAgainst]]</f>
        <v>25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0.57589267030511837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13.682093944906557</v>
      </c>
      <c r="AB7" s="4">
        <f>Games[[#This Row],[PreGmRate]]+Games[[#This Row],[RatingChange]]</f>
        <v>1619.6529291083268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44038</v>
      </c>
      <c r="B8" s="2">
        <v>2020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83</v>
      </c>
      <c r="G8" s="1" t="s">
        <v>77</v>
      </c>
      <c r="H8" s="1" t="s">
        <v>86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1440.1030636141102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1419.2200541779293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0.53001692723699956</v>
      </c>
      <c r="R8" s="1">
        <v>95</v>
      </c>
      <c r="S8" s="1">
        <v>105</v>
      </c>
      <c r="T8" s="1">
        <v>0</v>
      </c>
      <c r="U8" s="1">
        <f>Games[[#This Row],[PointsFor]]-Games[[#This Row],[PointsAgainst]]</f>
        <v>-10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0.41589213321367191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-16.719605678028103</v>
      </c>
      <c r="AB8" s="4">
        <f>Games[[#This Row],[PreGmRate]]+Games[[#This Row],[RatingChange]]</f>
        <v>1423.3834579360821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44038</v>
      </c>
      <c r="B9" s="2">
        <v>2020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77</v>
      </c>
      <c r="G9" s="1" t="s">
        <v>83</v>
      </c>
      <c r="H9" s="1" t="s">
        <v>86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1419.2200541779293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1440.1030636141102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0.46998307276300044</v>
      </c>
      <c r="R9" s="1">
        <v>105</v>
      </c>
      <c r="S9" s="1">
        <v>95</v>
      </c>
      <c r="T9" s="1">
        <v>0</v>
      </c>
      <c r="U9" s="1">
        <f>Games[[#This Row],[PointsFor]]-Games[[#This Row],[PointsAgainst]]</f>
        <v>10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0.41589213321367191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16.719605678028103</v>
      </c>
      <c r="AB9" s="4">
        <f>Games[[#This Row],[PreGmRate]]+Games[[#This Row],[RatingChange]]</f>
        <v>1435.9396598559574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44038</v>
      </c>
      <c r="B10" s="2">
        <v>2020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75</v>
      </c>
      <c r="G10" s="1" t="s">
        <v>84</v>
      </c>
      <c r="H10" s="1" t="s">
        <v>86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1527.9997547928519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1528.3092131531025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0.49955465373825969</v>
      </c>
      <c r="R10" s="1">
        <v>88</v>
      </c>
      <c r="S10" s="1">
        <v>86</v>
      </c>
      <c r="T10" s="1">
        <v>0</v>
      </c>
      <c r="U10" s="1">
        <f>Games[[#This Row],[PointsFor]]-Games[[#This Row],[PointsAgainst]]</f>
        <v>2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0.26777226717073715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10.164308449485327</v>
      </c>
      <c r="AB10" s="4">
        <f>Games[[#This Row],[PreGmRate]]+Games[[#This Row],[RatingChange]]</f>
        <v>1538.1640632423373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44038</v>
      </c>
      <c r="B11" s="2">
        <v>2020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84</v>
      </c>
      <c r="G11" s="1" t="s">
        <v>75</v>
      </c>
      <c r="H11" s="1" t="s">
        <v>86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1528.3092131531025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1527.9997547928519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0.5004453462617402</v>
      </c>
      <c r="R11" s="1">
        <v>86</v>
      </c>
      <c r="S11" s="1">
        <v>88</v>
      </c>
      <c r="T11" s="1">
        <v>0</v>
      </c>
      <c r="U11" s="1">
        <f>Games[[#This Row],[PointsFor]]-Games[[#This Row],[PointsAgainst]]</f>
        <v>-2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0.26777226717073715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-10.164308449485326</v>
      </c>
      <c r="AB11" s="4">
        <f>Games[[#This Row],[PreGmRate]]+Games[[#This Row],[RatingChange]]</f>
        <v>1518.1449047036172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44038</v>
      </c>
      <c r="B12" s="2">
        <v>2020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74</v>
      </c>
      <c r="G12" s="1" t="s">
        <v>67</v>
      </c>
      <c r="H12" s="1" t="s">
        <v>86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1568.2899157429038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1520.0367149628457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0.56899887385993386</v>
      </c>
      <c r="R12" s="1">
        <v>69</v>
      </c>
      <c r="S12" s="1">
        <v>77</v>
      </c>
      <c r="T12" s="1">
        <v>0</v>
      </c>
      <c r="U12" s="1">
        <f>Games[[#This Row],[PointsFor]]-Games[[#This Row],[PointsAgainst]]</f>
        <v>-8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0.37330458412796969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-16.111290002946657</v>
      </c>
      <c r="AB12" s="4">
        <f>Games[[#This Row],[PreGmRate]]+Games[[#This Row],[RatingChange]]</f>
        <v>1552.1786257399572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44038</v>
      </c>
      <c r="B13" s="2">
        <v>2020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67</v>
      </c>
      <c r="G13" s="1" t="s">
        <v>74</v>
      </c>
      <c r="H13" s="1" t="s">
        <v>86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1520.0367149628457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1568.2899157429038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0.43100112614006603</v>
      </c>
      <c r="R13" s="1">
        <v>77</v>
      </c>
      <c r="S13" s="1">
        <v>69</v>
      </c>
      <c r="T13" s="1">
        <v>0</v>
      </c>
      <c r="U13" s="1">
        <f>Games[[#This Row],[PointsFor]]-Games[[#This Row],[PointsAgainst]]</f>
        <v>8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0.37330458412796969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16.11129000294666</v>
      </c>
      <c r="AB13" s="4">
        <f>Games[[#This Row],[PreGmRate]]+Games[[#This Row],[RatingChange]]</f>
        <v>1536.1480049657923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44040</v>
      </c>
      <c r="B14" s="2">
        <v>2020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63</v>
      </c>
      <c r="G14" s="1" t="s">
        <v>75</v>
      </c>
      <c r="H14" s="1" t="s">
        <v>86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1</v>
      </c>
      <c r="L14" s="2">
        <f>Games[[#This Row],[OppDaysOff]]-Games[[#This Row],[DaysOff]]</f>
        <v>-1</v>
      </c>
      <c r="M14" s="1">
        <f>MAX(-16, MIN(16, Games[[#This Row],[RestDiff]]*8))</f>
        <v>8</v>
      </c>
      <c r="N14" s="1">
        <f>MAX(-16, MIN(16, Games[[#This Row],[OppRestDiff]]*8))</f>
        <v>-8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1543.9126949788483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1538.1640632423373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0.53125797997788649</v>
      </c>
      <c r="R14" s="1">
        <v>78</v>
      </c>
      <c r="S14" s="1">
        <v>96</v>
      </c>
      <c r="T14" s="1">
        <v>0</v>
      </c>
      <c r="U14" s="1">
        <f>Games[[#This Row],[PointsFor]]-Games[[#This Row],[PointsAgainst]]</f>
        <v>-18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0.54422679925129136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-21.886749632519436</v>
      </c>
      <c r="AB14" s="4">
        <f>Games[[#This Row],[PreGmRate]]+Games[[#This Row],[RatingChange]]</f>
        <v>1522.0259453463289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44040</v>
      </c>
      <c r="B15" s="2">
        <v>2020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75</v>
      </c>
      <c r="G15" s="1" t="s">
        <v>63</v>
      </c>
      <c r="H15" s="1" t="s">
        <v>86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" s="2">
        <f>Games[[#This Row],[DaysOff]]-Games[[#This Row],[OppDaysOff]]</f>
        <v>-1</v>
      </c>
      <c r="L15" s="2">
        <f>Games[[#This Row],[OppDaysOff]]-Games[[#This Row],[DaysOff]]</f>
        <v>1</v>
      </c>
      <c r="M15" s="1">
        <f>MAX(-16, MIN(16, Games[[#This Row],[RestDiff]]*8))</f>
        <v>-8</v>
      </c>
      <c r="N15" s="1">
        <f>MAX(-16, MIN(16, Games[[#This Row],[OppRestDiff]]*8))</f>
        <v>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1538.1640632423373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1543.9126949788483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0.46874202002211346</v>
      </c>
      <c r="R15" s="1">
        <v>96</v>
      </c>
      <c r="S15" s="1">
        <v>78</v>
      </c>
      <c r="T15" s="1">
        <v>0</v>
      </c>
      <c r="U15" s="1">
        <f>Games[[#This Row],[PointsFor]]-Games[[#This Row],[PointsAgainst]]</f>
        <v>18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0.54422679925129136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21.886749632519436</v>
      </c>
      <c r="AB15" s="4">
        <f>Games[[#This Row],[PreGmRate]]+Games[[#This Row],[RatingChange]]</f>
        <v>1560.0508128748568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44040</v>
      </c>
      <c r="B16" s="2">
        <v>2020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65</v>
      </c>
      <c r="G16" s="1" t="s">
        <v>74</v>
      </c>
      <c r="H16" s="1" t="s">
        <v>86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1</v>
      </c>
      <c r="L16" s="2">
        <f>Games[[#This Row],[OppDaysOff]]-Games[[#This Row],[DaysOff]]</f>
        <v>-1</v>
      </c>
      <c r="M16" s="1">
        <f>MAX(-16, MIN(16, Games[[#This Row],[RestDiff]]*8))</f>
        <v>8</v>
      </c>
      <c r="N16" s="1">
        <f>MAX(-16, MIN(16, Games[[#This Row],[OppRestDiff]]*8))</f>
        <v>-8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1619.6529291083268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1552.1786257399572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0.61786988241095209</v>
      </c>
      <c r="R16" s="1">
        <v>94</v>
      </c>
      <c r="S16" s="1">
        <v>89</v>
      </c>
      <c r="T16" s="1">
        <v>0</v>
      </c>
      <c r="U16" s="1">
        <f>Games[[#This Row],[PointsFor]]-Games[[#This Row],[PointsAgainst]]</f>
        <v>5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0.3140948652730155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9.0859006605276438</v>
      </c>
      <c r="AB16" s="4">
        <f>Games[[#This Row],[PreGmRate]]+Games[[#This Row],[RatingChange]]</f>
        <v>1628.7388297688544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44040</v>
      </c>
      <c r="B17" s="2">
        <v>2020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74</v>
      </c>
      <c r="G17" s="1" t="s">
        <v>65</v>
      </c>
      <c r="H17" s="1" t="s">
        <v>86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-1</v>
      </c>
      <c r="L17" s="2">
        <f>Games[[#This Row],[OppDaysOff]]-Games[[#This Row],[DaysOff]]</f>
        <v>1</v>
      </c>
      <c r="M17" s="1">
        <f>MAX(-16, MIN(16, Games[[#This Row],[RestDiff]]*8))</f>
        <v>-8</v>
      </c>
      <c r="N17" s="1">
        <f>MAX(-16, MIN(16, Games[[#This Row],[OppRestDiff]]*8))</f>
        <v>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1552.1786257399572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1619.6529291083268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0.38213011758904786</v>
      </c>
      <c r="R17" s="1">
        <v>89</v>
      </c>
      <c r="S17" s="1">
        <v>94</v>
      </c>
      <c r="T17" s="1">
        <v>0</v>
      </c>
      <c r="U17" s="1">
        <f>Games[[#This Row],[PointsFor]]-Games[[#This Row],[PointsAgainst]]</f>
        <v>-5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0.3140948652730155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-9.0859006605276438</v>
      </c>
      <c r="AB17" s="4">
        <f>Games[[#This Row],[PreGmRate]]+Games[[#This Row],[RatingChange]]</f>
        <v>1543.0927250794296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44040</v>
      </c>
      <c r="B18" s="2">
        <v>2020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67</v>
      </c>
      <c r="G18" s="1" t="s">
        <v>71</v>
      </c>
      <c r="H18" s="1" t="s">
        <v>86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1536.1480049657923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1528.8993502143614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0.48740846461392229</v>
      </c>
      <c r="R18" s="1">
        <v>66</v>
      </c>
      <c r="S18" s="1">
        <v>90</v>
      </c>
      <c r="T18" s="1">
        <v>0</v>
      </c>
      <c r="U18" s="1">
        <f>Games[[#This Row],[PointsFor]]-Games[[#This Row],[PointsAgainst]]</f>
        <v>-24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0.62465765803071838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-23.047881651763131</v>
      </c>
      <c r="AB18" s="4">
        <f>Games[[#This Row],[PreGmRate]]+Games[[#This Row],[RatingChange]]</f>
        <v>1513.1001233140291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44040</v>
      </c>
      <c r="B19" s="2">
        <v>2020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71</v>
      </c>
      <c r="G19" s="1" t="s">
        <v>67</v>
      </c>
      <c r="H19" s="1" t="s">
        <v>86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1528.8993502143614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1536.1480049657923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0.51259153538607771</v>
      </c>
      <c r="R19" s="1">
        <v>90</v>
      </c>
      <c r="S19" s="1">
        <v>66</v>
      </c>
      <c r="T19" s="1">
        <v>0</v>
      </c>
      <c r="U19" s="1">
        <f>Games[[#This Row],[PointsFor]]-Games[[#This Row],[PointsAgainst]]</f>
        <v>24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0.62465765803071838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23.047881651763131</v>
      </c>
      <c r="AB19" s="4">
        <f>Games[[#This Row],[PreGmRate]]+Games[[#This Row],[RatingChange]]</f>
        <v>1551.9472318661246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44041</v>
      </c>
      <c r="B20" s="2">
        <v>2020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60</v>
      </c>
      <c r="G20" s="1" t="s">
        <v>83</v>
      </c>
      <c r="H20" s="1" t="s">
        <v>86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1398.535172294221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1423.3834579360821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0.48726904563130014</v>
      </c>
      <c r="R20" s="1">
        <v>80</v>
      </c>
      <c r="S20" s="1">
        <v>93</v>
      </c>
      <c r="T20" s="1">
        <v>0</v>
      </c>
      <c r="U20" s="1">
        <f>Games[[#This Row],[PointsFor]]-Games[[#This Row],[PointsAgainst]]</f>
        <v>-13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0.46246748549768446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-17.058699035253063</v>
      </c>
      <c r="AB20" s="4">
        <f>Games[[#This Row],[PreGmRate]]+Games[[#This Row],[RatingChange]]</f>
        <v>1381.4764732589679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44041</v>
      </c>
      <c r="B21" s="2">
        <v>2020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83</v>
      </c>
      <c r="G21" s="1" t="s">
        <v>60</v>
      </c>
      <c r="H21" s="1" t="s">
        <v>86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1423.3834579360821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1398.535172294221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0.51273095436869986</v>
      </c>
      <c r="R21" s="1">
        <v>93</v>
      </c>
      <c r="S21" s="1">
        <v>80</v>
      </c>
      <c r="T21" s="1">
        <v>0</v>
      </c>
      <c r="U21" s="1">
        <f>Games[[#This Row],[PointsFor]]-Games[[#This Row],[PointsAgainst]]</f>
        <v>13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0.46246748549768446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17.058699035253063</v>
      </c>
      <c r="AB21" s="4">
        <f>Games[[#This Row],[PreGmRate]]+Games[[#This Row],[RatingChange]]</f>
        <v>1440.4421569713352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44041</v>
      </c>
      <c r="B22" s="2">
        <v>2020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40</v>
      </c>
      <c r="G22" s="1" t="s">
        <v>69</v>
      </c>
      <c r="H22" s="1" t="s">
        <v>86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1449.4304845042607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1455.9049430624225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0.49068358353934838</v>
      </c>
      <c r="R22" s="1">
        <v>100</v>
      </c>
      <c r="S22" s="1">
        <v>106</v>
      </c>
      <c r="T22" s="1">
        <v>0</v>
      </c>
      <c r="U22" s="1">
        <f>Games[[#This Row],[PointsFor]]-Games[[#This Row],[PointsAgainst]]</f>
        <v>-6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0.34939563810821322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-12.978212676142622</v>
      </c>
      <c r="AB22" s="4">
        <f>Games[[#This Row],[PreGmRate]]+Games[[#This Row],[RatingChange]]</f>
        <v>1436.452271828118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44041</v>
      </c>
      <c r="B23" s="2">
        <v>2020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69</v>
      </c>
      <c r="G23" s="1" t="s">
        <v>40</v>
      </c>
      <c r="H23" s="1" t="s">
        <v>86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1455.9049430624225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1449.4304845042607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0.50931641646065162</v>
      </c>
      <c r="R23" s="1">
        <v>106</v>
      </c>
      <c r="S23" s="1">
        <v>100</v>
      </c>
      <c r="T23" s="1">
        <v>0</v>
      </c>
      <c r="U23" s="1">
        <f>Games[[#This Row],[PointsFor]]-Games[[#This Row],[PointsAgainst]]</f>
        <v>6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0.34939563810821322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12.978212676142622</v>
      </c>
      <c r="AB23" s="4">
        <f>Games[[#This Row],[PreGmRate]]+Games[[#This Row],[RatingChange]]</f>
        <v>1468.8831557385652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44041</v>
      </c>
      <c r="B24" s="2">
        <v>2020</v>
      </c>
      <c r="C24" s="2">
        <f>COUNTIFS(Games[Team],Games[[#This Row],[Team]],Games[Season],Games[[#This Row],[Season]],Games[Date],"&lt;=" &amp; Games[[#This Row],[Date]])</f>
        <v>2</v>
      </c>
      <c r="D24" s="2" t="s">
        <v>79</v>
      </c>
      <c r="E24" s="2" t="s">
        <v>80</v>
      </c>
      <c r="F24" s="1" t="s">
        <v>77</v>
      </c>
      <c r="G24" s="1" t="s">
        <v>84</v>
      </c>
      <c r="H24" s="1" t="s">
        <v>86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1435.9396598559574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1518.1449047036172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0.38385642378214369</v>
      </c>
      <c r="R24" s="1">
        <v>70</v>
      </c>
      <c r="S24" s="1">
        <v>100</v>
      </c>
      <c r="T24" s="1">
        <v>0</v>
      </c>
      <c r="U24" s="1">
        <f>Games[[#This Row],[PointsFor]]-Games[[#This Row],[PointsAgainst]]</f>
        <v>-30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0.65839007828274154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-19.131453650376692</v>
      </c>
      <c r="AB24" s="4">
        <f>Games[[#This Row],[PreGmRate]]+Games[[#This Row],[RatingChange]]</f>
        <v>1416.8082062055807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44041</v>
      </c>
      <c r="B25" s="2">
        <v>2020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84</v>
      </c>
      <c r="G25" s="1" t="s">
        <v>77</v>
      </c>
      <c r="H25" s="1" t="s">
        <v>86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1518.1449047036172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1435.9396598559574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0.61614357621785631</v>
      </c>
      <c r="R25" s="1">
        <v>100</v>
      </c>
      <c r="S25" s="1">
        <v>70</v>
      </c>
      <c r="T25" s="1">
        <v>0</v>
      </c>
      <c r="U25" s="1">
        <f>Games[[#This Row],[PointsFor]]-Games[[#This Row],[PointsAgainst]]</f>
        <v>30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0.65839007828274154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19.131453650376692</v>
      </c>
      <c r="AB25" s="4">
        <f>Games[[#This Row],[PreGmRate]]+Games[[#This Row],[RatingChange]]</f>
        <v>1537.2763583539938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44042</v>
      </c>
      <c r="B26" s="2">
        <v>2020</v>
      </c>
      <c r="C26" s="2">
        <f>COUNTIFS(Games[Team],Games[[#This Row],[Team]],Games[Season],Games[[#This Row],[Season]],Games[Date],"&lt;=" &amp; Games[[#This Row],[Date]])</f>
        <v>3</v>
      </c>
      <c r="D26" s="2" t="s">
        <v>79</v>
      </c>
      <c r="E26" s="2" t="s">
        <v>80</v>
      </c>
      <c r="F26" s="1" t="s">
        <v>74</v>
      </c>
      <c r="G26" s="1" t="s">
        <v>63</v>
      </c>
      <c r="H26" s="1" t="s">
        <v>86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1543.0927250794296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1522.0259453463289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0.53028043240660716</v>
      </c>
      <c r="R26" s="1">
        <v>76</v>
      </c>
      <c r="S26" s="1">
        <v>81</v>
      </c>
      <c r="T26" s="1">
        <v>0</v>
      </c>
      <c r="U26" s="1">
        <f>Games[[#This Row],[PointsFor]]-Games[[#This Row],[PointsAgainst]]</f>
        <v>-5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0.32603226716274686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-13.061728563102852</v>
      </c>
      <c r="AB26" s="4">
        <f>Games[[#This Row],[PreGmRate]]+Games[[#This Row],[RatingChange]]</f>
        <v>1530.0309965163267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44042</v>
      </c>
      <c r="B27" s="2">
        <v>2020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63</v>
      </c>
      <c r="G27" s="1" t="s">
        <v>74</v>
      </c>
      <c r="H27" s="1" t="s">
        <v>86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1522.0259453463289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1543.0927250794296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0.46971956759339289</v>
      </c>
      <c r="R27" s="1">
        <v>81</v>
      </c>
      <c r="S27" s="1">
        <v>76</v>
      </c>
      <c r="T27" s="1">
        <v>0</v>
      </c>
      <c r="U27" s="1">
        <f>Games[[#This Row],[PointsFor]]-Games[[#This Row],[PointsAgainst]]</f>
        <v>5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0.32603226716274686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13.06172856310285</v>
      </c>
      <c r="AB27" s="4">
        <f>Games[[#This Row],[PreGmRate]]+Games[[#This Row],[RatingChange]]</f>
        <v>1535.0876739094317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44042</v>
      </c>
      <c r="B28" s="2">
        <v>2020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75</v>
      </c>
      <c r="G28" s="1" t="s">
        <v>67</v>
      </c>
      <c r="H28" s="1" t="s">
        <v>86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1560.0508128748568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1513.1001233140291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0.5671591625258795</v>
      </c>
      <c r="R28" s="1">
        <v>81</v>
      </c>
      <c r="S28" s="1">
        <v>83</v>
      </c>
      <c r="T28" s="1">
        <v>0</v>
      </c>
      <c r="U28" s="1">
        <f>Games[[#This Row],[PointsFor]]-Games[[#This Row],[PointsAgainst]]</f>
        <v>-2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0.2577564515280098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-11.044573902071484</v>
      </c>
      <c r="AB28" s="4">
        <f>Games[[#This Row],[PreGmRate]]+Games[[#This Row],[RatingChange]]</f>
        <v>1549.0062389727852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44042</v>
      </c>
      <c r="B29" s="2">
        <v>2020</v>
      </c>
      <c r="C29" s="2">
        <f>COUNTIFS(Games[Team],Games[[#This Row],[Team]],Games[Season],Games[[#This Row],[Season]],Games[Date],"&lt;=" &amp; Games[[#This Row],[Date]])</f>
        <v>3</v>
      </c>
      <c r="D29" s="2" t="s">
        <v>79</v>
      </c>
      <c r="E29" s="2" t="s">
        <v>80</v>
      </c>
      <c r="F29" s="1" t="s">
        <v>67</v>
      </c>
      <c r="G29" s="1" t="s">
        <v>75</v>
      </c>
      <c r="H29" s="1" t="s">
        <v>86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1513.1001233140291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1560.0508128748568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0.4328408374741205</v>
      </c>
      <c r="R29" s="1">
        <v>83</v>
      </c>
      <c r="S29" s="1">
        <v>81</v>
      </c>
      <c r="T29" s="1">
        <v>0</v>
      </c>
      <c r="U29" s="1">
        <f>Games[[#This Row],[PointsFor]]-Games[[#This Row],[PointsAgainst]]</f>
        <v>2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0.2577564515280098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11.044573902071484</v>
      </c>
      <c r="AB29" s="4">
        <f>Games[[#This Row],[PreGmRate]]+Games[[#This Row],[RatingChange]]</f>
        <v>1524.1446972161007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44042</v>
      </c>
      <c r="B30" s="2">
        <v>2020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71</v>
      </c>
      <c r="G30" s="1" t="s">
        <v>65</v>
      </c>
      <c r="H30" s="1" t="s">
        <v>86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1551.9472318661246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1628.7388297688544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0.39125308698156169</v>
      </c>
      <c r="R30" s="1">
        <v>71</v>
      </c>
      <c r="S30" s="1">
        <v>89</v>
      </c>
      <c r="T30" s="1">
        <v>0</v>
      </c>
      <c r="U30" s="1">
        <f>Games[[#This Row],[PointsFor]]-Games[[#This Row],[PointsAgainst]]</f>
        <v>-18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0.51394504759388071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-15.191789403274855</v>
      </c>
      <c r="AB30" s="4">
        <f>Games[[#This Row],[PreGmRate]]+Games[[#This Row],[RatingChange]]</f>
        <v>1536.7554424628497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44042</v>
      </c>
      <c r="B31" s="2">
        <v>2020</v>
      </c>
      <c r="C31" s="2">
        <f>COUNTIFS(Games[Team],Games[[#This Row],[Team]],Games[Season],Games[[#This Row],[Season]],Games[Date],"&lt;=" &amp; Games[[#This Row],[Date]])</f>
        <v>3</v>
      </c>
      <c r="D31" s="2" t="s">
        <v>79</v>
      </c>
      <c r="E31" s="2" t="s">
        <v>80</v>
      </c>
      <c r="F31" s="1" t="s">
        <v>65</v>
      </c>
      <c r="G31" s="1" t="s">
        <v>71</v>
      </c>
      <c r="H31" s="1" t="s">
        <v>86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1628.7388297688544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1551.9472318661246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0.60874691301843831</v>
      </c>
      <c r="R31" s="1">
        <v>89</v>
      </c>
      <c r="S31" s="1">
        <v>71</v>
      </c>
      <c r="T31" s="1">
        <v>0</v>
      </c>
      <c r="U31" s="1">
        <f>Games[[#This Row],[PointsFor]]-Games[[#This Row],[PointsAgainst]]</f>
        <v>18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0.51394504759388071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15.191789403274855</v>
      </c>
      <c r="AB31" s="4">
        <f>Games[[#This Row],[PreGmRate]]+Games[[#This Row],[RatingChange]]</f>
        <v>1643.9306191721294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44043</v>
      </c>
      <c r="B32" s="2">
        <v>2020</v>
      </c>
      <c r="C32" s="2">
        <f>COUNTIFS(Games[Team],Games[[#This Row],[Team]],Games[Season],Games[[#This Row],[Season]],Games[Date],"&lt;=" &amp; Games[[#This Row],[Date]])</f>
        <v>3</v>
      </c>
      <c r="D32" s="2" t="s">
        <v>79</v>
      </c>
      <c r="E32" s="2" t="s">
        <v>80</v>
      </c>
      <c r="F32" s="1" t="s">
        <v>60</v>
      </c>
      <c r="G32" s="1" t="s">
        <v>77</v>
      </c>
      <c r="H32" s="1" t="s">
        <v>86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1381.4764732589679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1416.8082062055807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0.44932810226803382</v>
      </c>
      <c r="R32" s="1">
        <v>78</v>
      </c>
      <c r="S32" s="1">
        <v>84</v>
      </c>
      <c r="T32" s="1">
        <v>0</v>
      </c>
      <c r="U32" s="1">
        <f>Games[[#This Row],[PointsFor]]-Games[[#This Row],[PointsAgainst]]</f>
        <v>-6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0.34123377718445402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-11.583773673945911</v>
      </c>
      <c r="AB32" s="4">
        <f>Games[[#This Row],[PreGmRate]]+Games[[#This Row],[RatingChange]]</f>
        <v>1369.892699585022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44043</v>
      </c>
      <c r="B33" s="2">
        <v>2020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77</v>
      </c>
      <c r="G33" s="1" t="s">
        <v>60</v>
      </c>
      <c r="H33" s="1" t="s">
        <v>86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1416.8082062055807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1381.4764732589679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0.55067189773196623</v>
      </c>
      <c r="R33" s="1">
        <v>84</v>
      </c>
      <c r="S33" s="1">
        <v>78</v>
      </c>
      <c r="T33" s="1">
        <v>0</v>
      </c>
      <c r="U33" s="1">
        <f>Games[[#This Row],[PointsFor]]-Games[[#This Row],[PointsAgainst]]</f>
        <v>6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0.34123377718445402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11.58377367394591</v>
      </c>
      <c r="AB33" s="4">
        <f>Games[[#This Row],[PreGmRate]]+Games[[#This Row],[RatingChange]]</f>
        <v>1428.3919798795266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44043</v>
      </c>
      <c r="B34" s="2">
        <v>2020</v>
      </c>
      <c r="C34" s="2">
        <f>COUNTIFS(Games[Team],Games[[#This Row],[Team]],Games[Season],Games[[#This Row],[Season]],Games[Date],"&lt;=" &amp; Games[[#This Row],[Date]])</f>
        <v>3</v>
      </c>
      <c r="D34" s="2" t="s">
        <v>79</v>
      </c>
      <c r="E34" s="2" t="s">
        <v>80</v>
      </c>
      <c r="F34" s="1" t="s">
        <v>69</v>
      </c>
      <c r="G34" s="1" t="s">
        <v>83</v>
      </c>
      <c r="H34" s="1" t="s">
        <v>86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1468.8831557385652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1440.4421569713352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0.54083870772543596</v>
      </c>
      <c r="R34" s="1">
        <v>73</v>
      </c>
      <c r="S34" s="1">
        <v>76</v>
      </c>
      <c r="T34" s="1">
        <v>0</v>
      </c>
      <c r="U34" s="1">
        <f>Games[[#This Row],[PointsFor]]-Games[[#This Row],[PointsAgainst]]</f>
        <v>-3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0.2834651608566443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-11.582489758422366</v>
      </c>
      <c r="AB34" s="4">
        <f>Games[[#This Row],[PreGmRate]]+Games[[#This Row],[RatingChange]]</f>
        <v>1457.3006659801429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44043</v>
      </c>
      <c r="B35" s="2">
        <v>2020</v>
      </c>
      <c r="C35" s="2">
        <f>COUNTIFS(Games[Team],Games[[#This Row],[Team]],Games[Season],Games[[#This Row],[Season]],Games[Date],"&lt;=" &amp; Games[[#This Row],[Date]])</f>
        <v>3</v>
      </c>
      <c r="D35" s="2" t="s">
        <v>79</v>
      </c>
      <c r="E35" s="2" t="s">
        <v>80</v>
      </c>
      <c r="F35" s="1" t="s">
        <v>83</v>
      </c>
      <c r="G35" s="1" t="s">
        <v>69</v>
      </c>
      <c r="H35" s="1" t="s">
        <v>86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1440.4421569713352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1468.8831557385652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0.45916129227456404</v>
      </c>
      <c r="R35" s="1">
        <v>76</v>
      </c>
      <c r="S35" s="1">
        <v>73</v>
      </c>
      <c r="T35" s="1">
        <v>0</v>
      </c>
      <c r="U35" s="1">
        <f>Games[[#This Row],[PointsFor]]-Games[[#This Row],[PointsAgainst]]</f>
        <v>3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0.2834651608566443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11.582489758422366</v>
      </c>
      <c r="AB35" s="4">
        <f>Games[[#This Row],[PreGmRate]]+Games[[#This Row],[RatingChange]]</f>
        <v>1452.0246467297575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44043</v>
      </c>
      <c r="B36" s="2">
        <v>2020</v>
      </c>
      <c r="C36" s="2">
        <f>COUNTIFS(Games[Team],Games[[#This Row],[Team]],Games[Season],Games[[#This Row],[Season]],Games[Date],"&lt;=" &amp; Games[[#This Row],[Date]])</f>
        <v>3</v>
      </c>
      <c r="D36" s="2" t="s">
        <v>79</v>
      </c>
      <c r="E36" s="2" t="s">
        <v>80</v>
      </c>
      <c r="F36" s="1" t="s">
        <v>84</v>
      </c>
      <c r="G36" s="1" t="s">
        <v>40</v>
      </c>
      <c r="H36" s="1" t="s">
        <v>86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1537.2763583539938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1436.452271828118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0.64115716262224154</v>
      </c>
      <c r="R36" s="1">
        <v>95</v>
      </c>
      <c r="S36" s="1">
        <v>102</v>
      </c>
      <c r="T36" s="1">
        <v>0</v>
      </c>
      <c r="U36" s="1">
        <f>Games[[#This Row],[PointsFor]]-Games[[#This Row],[PointsAgainst]]</f>
        <v>-7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0.34142095890207785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-16.538234466504768</v>
      </c>
      <c r="AB36" s="4">
        <f>Games[[#This Row],[PreGmRate]]+Games[[#This Row],[RatingChange]]</f>
        <v>1520.7381238874891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44043</v>
      </c>
      <c r="B37" s="2">
        <v>2020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40</v>
      </c>
      <c r="G37" s="1" t="s">
        <v>84</v>
      </c>
      <c r="H37" s="1" t="s">
        <v>86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1436.452271828118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1537.2763583539938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0.35884283737775852</v>
      </c>
      <c r="R37" s="1">
        <v>102</v>
      </c>
      <c r="S37" s="1">
        <v>95</v>
      </c>
      <c r="T37" s="1">
        <v>0</v>
      </c>
      <c r="U37" s="1">
        <f>Games[[#This Row],[PointsFor]]-Games[[#This Row],[PointsAgainst]]</f>
        <v>7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0.34142095890207785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16.538234466504768</v>
      </c>
      <c r="AB37" s="4">
        <f>Games[[#This Row],[PreGmRate]]+Games[[#This Row],[RatingChange]]</f>
        <v>1452.9905062946227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44044</v>
      </c>
      <c r="B38" s="2">
        <v>2020</v>
      </c>
      <c r="C38" s="2">
        <f>COUNTIFS(Games[Team],Games[[#This Row],[Team]],Games[Season],Games[[#This Row],[Season]],Games[Date],"&lt;=" &amp; Games[[#This Row],[Date]])</f>
        <v>4</v>
      </c>
      <c r="D38" s="2" t="s">
        <v>79</v>
      </c>
      <c r="E38" s="2" t="s">
        <v>80</v>
      </c>
      <c r="F38" s="1" t="s">
        <v>65</v>
      </c>
      <c r="G38" s="1" t="s">
        <v>75</v>
      </c>
      <c r="H38" s="1" t="s">
        <v>86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1643.9306191721294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1549.0062389727852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0.63330661590865733</v>
      </c>
      <c r="R38" s="1">
        <v>86</v>
      </c>
      <c r="S38" s="1">
        <v>88</v>
      </c>
      <c r="T38" s="1">
        <v>0</v>
      </c>
      <c r="U38" s="1">
        <f>Games[[#This Row],[PointsFor]]-Games[[#This Row],[PointsAgainst]]</f>
        <v>-2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0.24820722343811705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-11.852222264663714</v>
      </c>
      <c r="AB38" s="4">
        <f>Games[[#This Row],[PreGmRate]]+Games[[#This Row],[RatingChange]]</f>
        <v>1632.0783969074657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44044</v>
      </c>
      <c r="B39" s="2">
        <v>2020</v>
      </c>
      <c r="C39" s="2">
        <f>COUNTIFS(Games[Team],Games[[#This Row],[Team]],Games[Season],Games[[#This Row],[Season]],Games[Date],"&lt;=" &amp; Games[[#This Row],[Date]])</f>
        <v>4</v>
      </c>
      <c r="D39" s="2" t="s">
        <v>79</v>
      </c>
      <c r="E39" s="2" t="s">
        <v>80</v>
      </c>
      <c r="F39" s="1" t="s">
        <v>75</v>
      </c>
      <c r="G39" s="1" t="s">
        <v>65</v>
      </c>
      <c r="H39" s="1" t="s">
        <v>86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1549.0062389727852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1643.9306191721294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0.36669338409134261</v>
      </c>
      <c r="R39" s="1">
        <v>88</v>
      </c>
      <c r="S39" s="1">
        <v>86</v>
      </c>
      <c r="T39" s="1">
        <v>0</v>
      </c>
      <c r="U39" s="1">
        <f>Games[[#This Row],[PointsFor]]-Games[[#This Row],[PointsAgainst]]</f>
        <v>2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0.24820722343811705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11.852222264663714</v>
      </c>
      <c r="AB39" s="4">
        <f>Games[[#This Row],[PreGmRate]]+Games[[#This Row],[RatingChange]]</f>
        <v>1560.8584612374489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44044</v>
      </c>
      <c r="B40" s="2">
        <v>2020</v>
      </c>
      <c r="C40" s="2">
        <f>COUNTIFS(Games[Team],Games[[#This Row],[Team]],Games[Season],Games[[#This Row],[Season]],Games[Date],"&lt;=" &amp; Games[[#This Row],[Date]])</f>
        <v>4</v>
      </c>
      <c r="D40" s="2" t="s">
        <v>79</v>
      </c>
      <c r="E40" s="2" t="s">
        <v>80</v>
      </c>
      <c r="F40" s="1" t="s">
        <v>67</v>
      </c>
      <c r="G40" s="1" t="s">
        <v>74</v>
      </c>
      <c r="H40" s="1" t="s">
        <v>86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1524.1446972161007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1530.0309965163267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0.491529744768188</v>
      </c>
      <c r="R40" s="1">
        <v>78</v>
      </c>
      <c r="S40" s="1">
        <v>69</v>
      </c>
      <c r="T40" s="1">
        <v>0</v>
      </c>
      <c r="U40" s="1">
        <f>Games[[#This Row],[PointsFor]]-Games[[#This Row],[PointsAgainst]]</f>
        <v>9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0.40398985614099192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15.488428624835718</v>
      </c>
      <c r="AB40" s="4">
        <f>Games[[#This Row],[PreGmRate]]+Games[[#This Row],[RatingChange]]</f>
        <v>1539.6331258409364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44044</v>
      </c>
      <c r="B41" s="2">
        <v>2020</v>
      </c>
      <c r="C41" s="2">
        <f>COUNTIFS(Games[Team],Games[[#This Row],[Team]],Games[Season],Games[[#This Row],[Season]],Games[Date],"&lt;=" &amp; Games[[#This Row],[Date]])</f>
        <v>4</v>
      </c>
      <c r="D41" s="2" t="s">
        <v>79</v>
      </c>
      <c r="E41" s="2" t="s">
        <v>80</v>
      </c>
      <c r="F41" s="1" t="s">
        <v>74</v>
      </c>
      <c r="G41" s="1" t="s">
        <v>67</v>
      </c>
      <c r="H41" s="1" t="s">
        <v>86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1530.0309965163267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1524.1446972161007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0.508470255231812</v>
      </c>
      <c r="R41" s="1">
        <v>69</v>
      </c>
      <c r="S41" s="1">
        <v>78</v>
      </c>
      <c r="T41" s="1">
        <v>0</v>
      </c>
      <c r="U41" s="1">
        <f>Games[[#This Row],[PointsFor]]-Games[[#This Row],[PointsAgainst]]</f>
        <v>-9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0.40398985614099192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-15.488428624835718</v>
      </c>
      <c r="AB41" s="4">
        <f>Games[[#This Row],[PreGmRate]]+Games[[#This Row],[RatingChange]]</f>
        <v>1514.542567891491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44044</v>
      </c>
      <c r="B42" s="2">
        <v>2020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63</v>
      </c>
      <c r="G42" s="1" t="s">
        <v>71</v>
      </c>
      <c r="H42" s="1" t="s">
        <v>86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1535.0876739094317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1536.7554424628497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0.49759990655336767</v>
      </c>
      <c r="R42" s="1">
        <v>75</v>
      </c>
      <c r="S42" s="1">
        <v>81</v>
      </c>
      <c r="T42" s="1">
        <v>0</v>
      </c>
      <c r="U42" s="1">
        <f>Games[[#This Row],[PointsFor]]-Games[[#This Row],[PointsAgainst]]</f>
        <v>-6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0.3507932261648668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-13.161422612563085</v>
      </c>
      <c r="AB42" s="4">
        <f>Games[[#This Row],[PreGmRate]]+Games[[#This Row],[RatingChange]]</f>
        <v>1521.9262512968687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44044</v>
      </c>
      <c r="B43" s="2">
        <v>2020</v>
      </c>
      <c r="C43" s="2">
        <f>COUNTIFS(Games[Team],Games[[#This Row],[Team]],Games[Season],Games[[#This Row],[Season]],Games[Date],"&lt;=" &amp; Games[[#This Row],[Date]])</f>
        <v>4</v>
      </c>
      <c r="D43" s="2" t="s">
        <v>79</v>
      </c>
      <c r="E43" s="2" t="s">
        <v>80</v>
      </c>
      <c r="F43" s="1" t="s">
        <v>71</v>
      </c>
      <c r="G43" s="1" t="s">
        <v>63</v>
      </c>
      <c r="H43" s="1" t="s">
        <v>86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1536.7554424628497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1535.0876739094317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0.50240009344663239</v>
      </c>
      <c r="R43" s="1">
        <v>81</v>
      </c>
      <c r="S43" s="1">
        <v>75</v>
      </c>
      <c r="T43" s="1">
        <v>0</v>
      </c>
      <c r="U43" s="1">
        <f>Games[[#This Row],[PointsFor]]-Games[[#This Row],[PointsAgainst]]</f>
        <v>6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0.3507932261648668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13.161422612563083</v>
      </c>
      <c r="AB43" s="4">
        <f>Games[[#This Row],[PreGmRate]]+Games[[#This Row],[RatingChange]]</f>
        <v>1549.9168650754127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44045</v>
      </c>
      <c r="B44" s="2">
        <v>2020</v>
      </c>
      <c r="C44" s="2">
        <f>COUNTIFS(Games[Team],Games[[#This Row],[Team]],Games[Season],Games[[#This Row],[Season]],Games[Date],"&lt;=" &amp; Games[[#This Row],[Date]])</f>
        <v>4</v>
      </c>
      <c r="D44" s="2" t="s">
        <v>79</v>
      </c>
      <c r="E44" s="2" t="s">
        <v>80</v>
      </c>
      <c r="F44" s="1" t="s">
        <v>77</v>
      </c>
      <c r="G44" s="1" t="s">
        <v>69</v>
      </c>
      <c r="H44" s="1" t="s">
        <v>86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1428.3919798795266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1457.3006659801429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0.45849280009325333</v>
      </c>
      <c r="R44" s="1">
        <v>77</v>
      </c>
      <c r="S44" s="1">
        <v>93</v>
      </c>
      <c r="T44" s="1">
        <v>0</v>
      </c>
      <c r="U44" s="1">
        <f>Games[[#This Row],[PointsFor]]-Games[[#This Row],[PointsAgainst]]</f>
        <v>-16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0.50560570184235976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-17.478969678153685</v>
      </c>
      <c r="AB44" s="4">
        <f>Games[[#This Row],[PreGmRate]]+Games[[#This Row],[RatingChange]]</f>
        <v>1410.913010201373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44045</v>
      </c>
      <c r="B45" s="2">
        <v>2020</v>
      </c>
      <c r="C45" s="2">
        <f>COUNTIFS(Games[Team],Games[[#This Row],[Team]],Games[Season],Games[[#This Row],[Season]],Games[Date],"&lt;=" &amp; Games[[#This Row],[Date]])</f>
        <v>4</v>
      </c>
      <c r="D45" s="2" t="s">
        <v>79</v>
      </c>
      <c r="E45" s="2" t="s">
        <v>80</v>
      </c>
      <c r="F45" s="1" t="s">
        <v>69</v>
      </c>
      <c r="G45" s="1" t="s">
        <v>77</v>
      </c>
      <c r="H45" s="1" t="s">
        <v>86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1457.3006659801429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1428.3919798795266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0.54150719990674667</v>
      </c>
      <c r="R45" s="1">
        <v>93</v>
      </c>
      <c r="S45" s="1">
        <v>77</v>
      </c>
      <c r="T45" s="1">
        <v>0</v>
      </c>
      <c r="U45" s="1">
        <f>Games[[#This Row],[PointsFor]]-Games[[#This Row],[PointsAgainst]]</f>
        <v>16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0.50560570184235976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17.478969678153685</v>
      </c>
      <c r="AB45" s="4">
        <f>Games[[#This Row],[PreGmRate]]+Games[[#This Row],[RatingChange]]</f>
        <v>1474.7796356582965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44045</v>
      </c>
      <c r="B46" s="2">
        <v>2020</v>
      </c>
      <c r="C46" s="2">
        <f>COUNTIFS(Games[Team],Games[[#This Row],[Team]],Games[Season],Games[[#This Row],[Season]],Games[Date],"&lt;=" &amp; Games[[#This Row],[Date]])</f>
        <v>4</v>
      </c>
      <c r="D46" s="2" t="s">
        <v>79</v>
      </c>
      <c r="E46" s="2" t="s">
        <v>80</v>
      </c>
      <c r="F46" s="1" t="s">
        <v>83</v>
      </c>
      <c r="G46" s="1" t="s">
        <v>84</v>
      </c>
      <c r="H46" s="1" t="s">
        <v>86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1452.0246467297575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1520.7381238874891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0.4023827928789554</v>
      </c>
      <c r="R46" s="1">
        <v>70</v>
      </c>
      <c r="S46" s="1">
        <v>79</v>
      </c>
      <c r="T46" s="1">
        <v>0</v>
      </c>
      <c r="U46" s="1">
        <f>Games[[#This Row],[PointsFor]]-Games[[#This Row],[PointsAgainst]]</f>
        <v>-9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0.38398412356119788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-11.649948746103847</v>
      </c>
      <c r="AB46" s="4">
        <f>Games[[#This Row],[PreGmRate]]+Games[[#This Row],[RatingChange]]</f>
        <v>1440.3746979836537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44045</v>
      </c>
      <c r="B47" s="2">
        <v>2020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84</v>
      </c>
      <c r="G47" s="1" t="s">
        <v>83</v>
      </c>
      <c r="H47" s="1" t="s">
        <v>86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1520.7381238874891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1452.0246467297575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0.5976172071210446</v>
      </c>
      <c r="R47" s="1">
        <v>79</v>
      </c>
      <c r="S47" s="1">
        <v>70</v>
      </c>
      <c r="T47" s="1">
        <v>0</v>
      </c>
      <c r="U47" s="1">
        <f>Games[[#This Row],[PointsFor]]-Games[[#This Row],[PointsAgainst]]</f>
        <v>9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0.38398412356119788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11.649948746103847</v>
      </c>
      <c r="AB47" s="4">
        <f>Games[[#This Row],[PreGmRate]]+Games[[#This Row],[RatingChange]]</f>
        <v>1532.3880726335929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44045</v>
      </c>
      <c r="B48" s="2">
        <v>2020</v>
      </c>
      <c r="C48" s="2">
        <f>COUNTIFS(Games[Team],Games[[#This Row],[Team]],Games[Season],Games[[#This Row],[Season]],Games[Date],"&lt;=" &amp; Games[[#This Row],[Date]])</f>
        <v>4</v>
      </c>
      <c r="D48" s="2" t="s">
        <v>79</v>
      </c>
      <c r="E48" s="2" t="s">
        <v>80</v>
      </c>
      <c r="F48" s="1" t="s">
        <v>40</v>
      </c>
      <c r="G48" s="1" t="s">
        <v>60</v>
      </c>
      <c r="H48" s="1" t="s">
        <v>86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1452.9905062946227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1369.892699585022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0.61735804042679643</v>
      </c>
      <c r="R48" s="1">
        <v>96</v>
      </c>
      <c r="S48" s="1">
        <v>67</v>
      </c>
      <c r="T48" s="1">
        <v>0</v>
      </c>
      <c r="U48" s="1">
        <f>Games[[#This Row],[PointsFor]]-Games[[#This Row],[PointsAgainst]]</f>
        <v>29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0.64658792157135836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18.654839868720781</v>
      </c>
      <c r="AB48" s="4">
        <f>Games[[#This Row],[PreGmRate]]+Games[[#This Row],[RatingChange]]</f>
        <v>1471.6453461633434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44045</v>
      </c>
      <c r="B49" s="2">
        <v>2020</v>
      </c>
      <c r="C49" s="2">
        <f>COUNTIFS(Games[Team],Games[[#This Row],[Team]],Games[Season],Games[[#This Row],[Season]],Games[Date],"&lt;=" &amp; Games[[#This Row],[Date]])</f>
        <v>4</v>
      </c>
      <c r="D49" s="2" t="s">
        <v>79</v>
      </c>
      <c r="E49" s="2" t="s">
        <v>80</v>
      </c>
      <c r="F49" s="1" t="s">
        <v>60</v>
      </c>
      <c r="G49" s="1" t="s">
        <v>40</v>
      </c>
      <c r="H49" s="1" t="s">
        <v>86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1369.892699585022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1452.9905062946227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0.38264195957320357</v>
      </c>
      <c r="R49" s="1">
        <v>67</v>
      </c>
      <c r="S49" s="1">
        <v>96</v>
      </c>
      <c r="T49" s="1">
        <v>0</v>
      </c>
      <c r="U49" s="1">
        <f>Games[[#This Row],[PointsFor]]-Games[[#This Row],[PointsAgainst]]</f>
        <v>-29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0.64658792157135836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-18.654839868720781</v>
      </c>
      <c r="AB49" s="4">
        <f>Games[[#This Row],[PreGmRate]]+Games[[#This Row],[RatingChange]]</f>
        <v>1351.2378597163013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44047</v>
      </c>
      <c r="B50" s="2">
        <v>2020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40</v>
      </c>
      <c r="G50" s="1" t="s">
        <v>77</v>
      </c>
      <c r="H50" s="1" t="s">
        <v>86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1471.6453461633434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1410.913010201373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0.58652140808897513</v>
      </c>
      <c r="R50" s="1">
        <v>81</v>
      </c>
      <c r="S50" s="1">
        <v>74</v>
      </c>
      <c r="T50" s="1">
        <v>0</v>
      </c>
      <c r="U50" s="1">
        <f>Games[[#This Row],[PointsFor]]-Games[[#This Row],[PointsAgainst]]</f>
        <v>7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0.35227827058604216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10.960879127028271</v>
      </c>
      <c r="AB50" s="4">
        <f>Games[[#This Row],[PreGmRate]]+Games[[#This Row],[RatingChange]]</f>
        <v>1482.6062252903716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44047</v>
      </c>
      <c r="B51" s="2">
        <v>2020</v>
      </c>
      <c r="C51" s="2">
        <f>COUNTIFS(Games[Team],Games[[#This Row],[Team]],Games[Season],Games[[#This Row],[Season]],Games[Date],"&lt;=" &amp; Games[[#This Row],[Date]])</f>
        <v>5</v>
      </c>
      <c r="D51" s="2" t="s">
        <v>79</v>
      </c>
      <c r="E51" s="2" t="s">
        <v>80</v>
      </c>
      <c r="F51" s="1" t="s">
        <v>77</v>
      </c>
      <c r="G51" s="1" t="s">
        <v>40</v>
      </c>
      <c r="H51" s="1" t="s">
        <v>86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1410.913010201373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1471.6453461633434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0.41347859191102487</v>
      </c>
      <c r="R51" s="1">
        <v>74</v>
      </c>
      <c r="S51" s="1">
        <v>81</v>
      </c>
      <c r="T51" s="1">
        <v>0</v>
      </c>
      <c r="U51" s="1">
        <f>Games[[#This Row],[PointsFor]]-Games[[#This Row],[PointsAgainst]]</f>
        <v>-7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0.35227827058604216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-10.960879127028271</v>
      </c>
      <c r="AB51" s="4">
        <f>Games[[#This Row],[PreGmRate]]+Games[[#This Row],[RatingChange]]</f>
        <v>1399.9521310743448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44047</v>
      </c>
      <c r="B52" s="2">
        <v>2020</v>
      </c>
      <c r="C52" s="2">
        <f>COUNTIFS(Games[Team],Games[[#This Row],[Team]],Games[Season],Games[[#This Row],[Season]],Games[Date],"&lt;=" &amp; Games[[#This Row],[Date]])</f>
        <v>5</v>
      </c>
      <c r="D52" s="2" t="s">
        <v>79</v>
      </c>
      <c r="E52" s="2" t="s">
        <v>80</v>
      </c>
      <c r="F52" s="1" t="s">
        <v>83</v>
      </c>
      <c r="G52" s="1" t="s">
        <v>75</v>
      </c>
      <c r="H52" s="1" t="s">
        <v>86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1440.3746979836537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1560.8584612374489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0.31310051533155375</v>
      </c>
      <c r="R52" s="1">
        <v>79</v>
      </c>
      <c r="S52" s="1">
        <v>82</v>
      </c>
      <c r="T52" s="1">
        <v>0</v>
      </c>
      <c r="U52" s="1">
        <f>Games[[#This Row],[PointsFor]]-Games[[#This Row],[PointsAgainst]]</f>
        <v>-3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0.26370655589160941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-6.2131410555843996</v>
      </c>
      <c r="AB52" s="4">
        <f>Games[[#This Row],[PreGmRate]]+Games[[#This Row],[RatingChange]]</f>
        <v>1434.1615569280693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44047</v>
      </c>
      <c r="B53" s="2">
        <v>2020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75</v>
      </c>
      <c r="G53" s="1" t="s">
        <v>83</v>
      </c>
      <c r="H53" s="1" t="s">
        <v>86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1560.8584612374489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1440.3746979836537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0.68689948466844619</v>
      </c>
      <c r="R53" s="1">
        <v>82</v>
      </c>
      <c r="S53" s="1">
        <v>79</v>
      </c>
      <c r="T53" s="1">
        <v>0</v>
      </c>
      <c r="U53" s="1">
        <f>Games[[#This Row],[PointsFor]]-Games[[#This Row],[PointsAgainst]]</f>
        <v>3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0.26370655589160941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6.2131410555844004</v>
      </c>
      <c r="AB53" s="4">
        <f>Games[[#This Row],[PreGmRate]]+Games[[#This Row],[RatingChange]]</f>
        <v>1567.0716022930333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44047</v>
      </c>
      <c r="B54" s="2">
        <v>2020</v>
      </c>
      <c r="C54" s="2">
        <f>COUNTIFS(Games[Team],Games[[#This Row],[Team]],Games[Season],Games[[#This Row],[Season]],Games[Date],"&lt;=" &amp; Games[[#This Row],[Date]])</f>
        <v>5</v>
      </c>
      <c r="D54" s="2" t="s">
        <v>79</v>
      </c>
      <c r="E54" s="2" t="s">
        <v>80</v>
      </c>
      <c r="F54" s="1" t="s">
        <v>74</v>
      </c>
      <c r="G54" s="1" t="s">
        <v>71</v>
      </c>
      <c r="H54" s="1" t="s">
        <v>86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1514.542567891491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1549.9168650754127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0.44926747728161015</v>
      </c>
      <c r="R54" s="1">
        <v>74</v>
      </c>
      <c r="S54" s="1">
        <v>87</v>
      </c>
      <c r="T54" s="1">
        <v>0</v>
      </c>
      <c r="U54" s="1">
        <f>Games[[#This Row],[PointsFor]]-Games[[#This Row],[PointsAgainst]]</f>
        <v>-13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0.45852702947453988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-15.501596455258642</v>
      </c>
      <c r="AB54" s="4">
        <f>Games[[#This Row],[PreGmRate]]+Games[[#This Row],[RatingChange]]</f>
        <v>1499.0409714362324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44047</v>
      </c>
      <c r="B55" s="2">
        <v>2020</v>
      </c>
      <c r="C55" s="2">
        <f>COUNTIFS(Games[Team],Games[[#This Row],[Team]],Games[Season],Games[[#This Row],[Season]],Games[Date],"&lt;=" &amp; Games[[#This Row],[Date]])</f>
        <v>5</v>
      </c>
      <c r="D55" s="2" t="s">
        <v>79</v>
      </c>
      <c r="E55" s="2" t="s">
        <v>80</v>
      </c>
      <c r="F55" s="1" t="s">
        <v>71</v>
      </c>
      <c r="G55" s="1" t="s">
        <v>74</v>
      </c>
      <c r="H55" s="1" t="s">
        <v>86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1549.9168650754127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1514.542567891491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0.55073252271838991</v>
      </c>
      <c r="R55" s="1">
        <v>87</v>
      </c>
      <c r="S55" s="1">
        <v>74</v>
      </c>
      <c r="T55" s="1">
        <v>0</v>
      </c>
      <c r="U55" s="1">
        <f>Games[[#This Row],[PointsFor]]-Games[[#This Row],[PointsAgainst]]</f>
        <v>13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0.45852702947453988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15.501596455258641</v>
      </c>
      <c r="AB55" s="4">
        <f>Games[[#This Row],[PreGmRate]]+Games[[#This Row],[RatingChange]]</f>
        <v>1565.4184615306713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44048</v>
      </c>
      <c r="B56" s="2">
        <v>2020</v>
      </c>
      <c r="C56" s="2">
        <f>COUNTIFS(Games[Team],Games[[#This Row],[Team]],Games[Season],Games[[#This Row],[Season]],Games[Date],"&lt;=" &amp; Games[[#This Row],[Date]])</f>
        <v>5</v>
      </c>
      <c r="D56" s="2" t="s">
        <v>79</v>
      </c>
      <c r="E56" s="2" t="s">
        <v>80</v>
      </c>
      <c r="F56" s="1" t="s">
        <v>69</v>
      </c>
      <c r="G56" s="1" t="s">
        <v>63</v>
      </c>
      <c r="H56" s="1" t="s">
        <v>86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1474.7796356582965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1521.9262512968687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0.41011230376451907</v>
      </c>
      <c r="R56" s="1">
        <v>75</v>
      </c>
      <c r="S56" s="1">
        <v>86</v>
      </c>
      <c r="T56" s="1">
        <v>0</v>
      </c>
      <c r="U56" s="1">
        <f>Games[[#This Row],[PointsFor]]-Games[[#This Row],[PointsAgainst]]</f>
        <v>-11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0.42320859287174378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-13.060619587416737</v>
      </c>
      <c r="AB56" s="4">
        <f>Games[[#This Row],[PreGmRate]]+Games[[#This Row],[RatingChange]]</f>
        <v>1461.7190160708797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44048</v>
      </c>
      <c r="B57" s="2">
        <v>2020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63</v>
      </c>
      <c r="G57" s="1" t="s">
        <v>69</v>
      </c>
      <c r="H57" s="1" t="s">
        <v>86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1521.9262512968687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1474.7796356582965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0.58988769623548087</v>
      </c>
      <c r="R57" s="1">
        <v>86</v>
      </c>
      <c r="S57" s="1">
        <v>75</v>
      </c>
      <c r="T57" s="1">
        <v>0</v>
      </c>
      <c r="U57" s="1">
        <f>Games[[#This Row],[PointsFor]]-Games[[#This Row],[PointsAgainst]]</f>
        <v>11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0.42320859287174378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13.060619587416738</v>
      </c>
      <c r="AB57" s="4">
        <f>Games[[#This Row],[PreGmRate]]+Games[[#This Row],[RatingChange]]</f>
        <v>1534.9868708842855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44048</v>
      </c>
      <c r="B58" s="2">
        <v>2020</v>
      </c>
      <c r="C58" s="2">
        <f>COUNTIFS(Games[Team],Games[[#This Row],[Team]],Games[Season],Games[[#This Row],[Season]],Games[Date],"&lt;=" &amp; Games[[#This Row],[Date]])</f>
        <v>5</v>
      </c>
      <c r="D58" s="2" t="s">
        <v>79</v>
      </c>
      <c r="E58" s="2" t="s">
        <v>80</v>
      </c>
      <c r="F58" s="1" t="s">
        <v>67</v>
      </c>
      <c r="G58" s="1" t="s">
        <v>60</v>
      </c>
      <c r="H58" s="1" t="s">
        <v>86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1539.6331258409364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1351.2378597163013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0.76433479510071056</v>
      </c>
      <c r="R58" s="1">
        <v>92</v>
      </c>
      <c r="S58" s="1">
        <v>66</v>
      </c>
      <c r="T58" s="1">
        <v>0</v>
      </c>
      <c r="U58" s="1">
        <f>Games[[#This Row],[PointsFor]]-Games[[#This Row],[PointsAgainst]]</f>
        <v>26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0.56533242065213374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10.025495851377027</v>
      </c>
      <c r="AB58" s="4">
        <f>Games[[#This Row],[PreGmRate]]+Games[[#This Row],[RatingChange]]</f>
        <v>1549.6586216923133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44048</v>
      </c>
      <c r="B59" s="2">
        <v>2020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60</v>
      </c>
      <c r="G59" s="1" t="s">
        <v>67</v>
      </c>
      <c r="H59" s="1" t="s">
        <v>86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1351.2378597163013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1539.6331258409364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0.23566520489928941</v>
      </c>
      <c r="R59" s="1">
        <v>66</v>
      </c>
      <c r="S59" s="1">
        <v>92</v>
      </c>
      <c r="T59" s="1">
        <v>0</v>
      </c>
      <c r="U59" s="1">
        <f>Games[[#This Row],[PointsFor]]-Games[[#This Row],[PointsAgainst]]</f>
        <v>-26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0.56533242065213374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-10.025495851377027</v>
      </c>
      <c r="AB59" s="4">
        <f>Games[[#This Row],[PreGmRate]]+Games[[#This Row],[RatingChange]]</f>
        <v>1341.2123638649243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44048</v>
      </c>
      <c r="B60" s="2">
        <v>2020</v>
      </c>
      <c r="C60" s="2">
        <f>COUNTIFS(Games[Team],Games[[#This Row],[Team]],Games[Season],Games[[#This Row],[Season]],Games[Date],"&lt;=" &amp; Games[[#This Row],[Date]])</f>
        <v>5</v>
      </c>
      <c r="D60" s="2" t="s">
        <v>79</v>
      </c>
      <c r="E60" s="2" t="s">
        <v>80</v>
      </c>
      <c r="F60" s="1" t="s">
        <v>84</v>
      </c>
      <c r="G60" s="1" t="s">
        <v>65</v>
      </c>
      <c r="H60" s="1" t="s">
        <v>86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0" s="2">
        <f>Games[[#This Row],[DaysOff]]-Games[[#This Row],[OppDaysOff]]</f>
        <v>-1</v>
      </c>
      <c r="L60" s="2">
        <f>Games[[#This Row],[OppDaysOff]]-Games[[#This Row],[DaysOff]]</f>
        <v>1</v>
      </c>
      <c r="M60" s="1">
        <f>MAX(-16, MIN(16, Games[[#This Row],[RestDiff]]*8))</f>
        <v>-8</v>
      </c>
      <c r="N60" s="1">
        <f>MAX(-16, MIN(16, Games[[#This Row],[OppRestDiff]]*8))</f>
        <v>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1532.3880726335929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1632.0783969074657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0.33940047531248801</v>
      </c>
      <c r="R60" s="1">
        <v>83</v>
      </c>
      <c r="S60" s="1">
        <v>77</v>
      </c>
      <c r="T60" s="1">
        <v>0</v>
      </c>
      <c r="U60" s="1">
        <f>Games[[#This Row],[PointsFor]]-Games[[#This Row],[PointsAgainst]]</f>
        <v>6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0.32433642494391846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16.12280073379916</v>
      </c>
      <c r="AB60" s="4">
        <f>Games[[#This Row],[PreGmRate]]+Games[[#This Row],[RatingChange]]</f>
        <v>1548.5108733673919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44048</v>
      </c>
      <c r="B61" s="2">
        <v>2020</v>
      </c>
      <c r="C61" s="2">
        <f>COUNTIFS(Games[Team],Games[[#This Row],[Team]],Games[Season],Games[[#This Row],[Season]],Games[Date],"&lt;=" &amp; Games[[#This Row],[Date]])</f>
        <v>5</v>
      </c>
      <c r="D61" s="2" t="s">
        <v>79</v>
      </c>
      <c r="E61" s="2" t="s">
        <v>80</v>
      </c>
      <c r="F61" s="1" t="s">
        <v>65</v>
      </c>
      <c r="G61" s="1" t="s">
        <v>84</v>
      </c>
      <c r="H61" s="1" t="s">
        <v>86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1</v>
      </c>
      <c r="L61" s="2">
        <f>Games[[#This Row],[OppDaysOff]]-Games[[#This Row],[DaysOff]]</f>
        <v>-1</v>
      </c>
      <c r="M61" s="1">
        <f>MAX(-16, MIN(16, Games[[#This Row],[RestDiff]]*8))</f>
        <v>8</v>
      </c>
      <c r="N61" s="1">
        <f>MAX(-16, MIN(16, Games[[#This Row],[OppRestDiff]]*8))</f>
        <v>-8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1632.0783969074657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1532.3880726335929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0.66059952468751193</v>
      </c>
      <c r="R61" s="1">
        <v>77</v>
      </c>
      <c r="S61" s="1">
        <v>83</v>
      </c>
      <c r="T61" s="1">
        <v>0</v>
      </c>
      <c r="U61" s="1">
        <f>Games[[#This Row],[PointsFor]]-Games[[#This Row],[PointsAgainst]]</f>
        <v>-6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0.32433642494391846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-16.122800733799156</v>
      </c>
      <c r="AB61" s="4">
        <f>Games[[#This Row],[PreGmRate]]+Games[[#This Row],[RatingChange]]</f>
        <v>1615.9555961736667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44049</v>
      </c>
      <c r="B62" s="2">
        <v>2020</v>
      </c>
      <c r="C62" s="2">
        <f>COUNTIFS(Games[Team],Games[[#This Row],[Team]],Games[Season],Games[[#This Row],[Season]],Games[Date],"&lt;=" &amp; Games[[#This Row],[Date]])</f>
        <v>6</v>
      </c>
      <c r="D62" s="2" t="s">
        <v>79</v>
      </c>
      <c r="E62" s="2" t="s">
        <v>80</v>
      </c>
      <c r="F62" s="1" t="s">
        <v>71</v>
      </c>
      <c r="G62" s="1" t="s">
        <v>77</v>
      </c>
      <c r="H62" s="1" t="s">
        <v>86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1565.4184615306713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1399.9521310743448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0.72161782381248618</v>
      </c>
      <c r="R62" s="1">
        <v>93</v>
      </c>
      <c r="S62" s="1">
        <v>92</v>
      </c>
      <c r="T62" s="1">
        <v>0</v>
      </c>
      <c r="U62" s="1">
        <f>Games[[#This Row],[PointsFor]]-Games[[#This Row],[PointsAgainst]]</f>
        <v>1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0.2145901357087501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4.4863289794198797</v>
      </c>
      <c r="AB62" s="4">
        <f>Games[[#This Row],[PreGmRate]]+Games[[#This Row],[RatingChange]]</f>
        <v>1569.9047905100911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44049</v>
      </c>
      <c r="B63" s="2">
        <v>2020</v>
      </c>
      <c r="C63" s="2">
        <f>COUNTIFS(Games[Team],Games[[#This Row],[Team]],Games[Season],Games[[#This Row],[Season]],Games[Date],"&lt;=" &amp; Games[[#This Row],[Date]])</f>
        <v>6</v>
      </c>
      <c r="D63" s="2" t="s">
        <v>79</v>
      </c>
      <c r="E63" s="2" t="s">
        <v>80</v>
      </c>
      <c r="F63" s="1" t="s">
        <v>77</v>
      </c>
      <c r="G63" s="1" t="s">
        <v>71</v>
      </c>
      <c r="H63" s="1" t="s">
        <v>86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1399.9521310743448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1565.4184615306713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0.27838217618751382</v>
      </c>
      <c r="R63" s="1">
        <v>92</v>
      </c>
      <c r="S63" s="1">
        <v>93</v>
      </c>
      <c r="T63" s="1">
        <v>0</v>
      </c>
      <c r="U63" s="1">
        <f>Games[[#This Row],[PointsFor]]-Games[[#This Row],[PointsAgainst]]</f>
        <v>-1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0.2145901357087501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-4.4863289794198797</v>
      </c>
      <c r="AB63" s="4">
        <f>Games[[#This Row],[PreGmRate]]+Games[[#This Row],[RatingChange]]</f>
        <v>1395.465802094925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44049</v>
      </c>
      <c r="B64" s="2">
        <v>2020</v>
      </c>
      <c r="C64" s="2">
        <f>COUNTIFS(Games[Team],Games[[#This Row],[Team]],Games[Season],Games[[#This Row],[Season]],Games[Date],"&lt;=" &amp; Games[[#This Row],[Date]])</f>
        <v>6</v>
      </c>
      <c r="D64" s="2" t="s">
        <v>79</v>
      </c>
      <c r="E64" s="2" t="s">
        <v>80</v>
      </c>
      <c r="F64" s="1" t="s">
        <v>74</v>
      </c>
      <c r="G64" s="1" t="s">
        <v>83</v>
      </c>
      <c r="H64" s="1" t="s">
        <v>86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1499.0409714362324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1434.1615569280693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0.59229861831039454</v>
      </c>
      <c r="R64" s="1">
        <v>91</v>
      </c>
      <c r="S64" s="1">
        <v>68</v>
      </c>
      <c r="T64" s="1">
        <v>0</v>
      </c>
      <c r="U64" s="1">
        <f>Games[[#This Row],[PointsFor]]-Games[[#This Row],[PointsAgainst]]</f>
        <v>23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0.58377527106917482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17.8742494442956</v>
      </c>
      <c r="AB64" s="4">
        <f>Games[[#This Row],[PreGmRate]]+Games[[#This Row],[RatingChange]]</f>
        <v>1516.9152208805281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44049</v>
      </c>
      <c r="B65" s="2">
        <v>2020</v>
      </c>
      <c r="C65" s="2">
        <f>COUNTIFS(Games[Team],Games[[#This Row],[Team]],Games[Season],Games[[#This Row],[Season]],Games[Date],"&lt;=" &amp; Games[[#This Row],[Date]])</f>
        <v>6</v>
      </c>
      <c r="D65" s="2" t="s">
        <v>79</v>
      </c>
      <c r="E65" s="2" t="s">
        <v>80</v>
      </c>
      <c r="F65" s="1" t="s">
        <v>83</v>
      </c>
      <c r="G65" s="1" t="s">
        <v>74</v>
      </c>
      <c r="H65" s="1" t="s">
        <v>86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1434.1615569280693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1499.0409714362324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0.40770138168960546</v>
      </c>
      <c r="R65" s="1">
        <v>68</v>
      </c>
      <c r="S65" s="1">
        <v>91</v>
      </c>
      <c r="T65" s="1">
        <v>0</v>
      </c>
      <c r="U65" s="1">
        <f>Games[[#This Row],[PointsFor]]-Games[[#This Row],[PointsAgainst]]</f>
        <v>-23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0.58377527106917482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-17.8742494442956</v>
      </c>
      <c r="AB65" s="4">
        <f>Games[[#This Row],[PreGmRate]]+Games[[#This Row],[RatingChange]]</f>
        <v>1416.2873074837737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44049</v>
      </c>
      <c r="B66" s="2">
        <v>2020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75</v>
      </c>
      <c r="G66" s="1" t="s">
        <v>40</v>
      </c>
      <c r="H66" s="1" t="s">
        <v>86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1567.0716022930333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1482.6062252903716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0.61921598075830397</v>
      </c>
      <c r="R66" s="1">
        <v>86</v>
      </c>
      <c r="S66" s="1">
        <v>96</v>
      </c>
      <c r="T66" s="1">
        <v>0</v>
      </c>
      <c r="U66" s="1">
        <f>Games[[#This Row],[PointsFor]]-Games[[#This Row],[PointsAgainst]]</f>
        <v>-10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0.39530504152910972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-18.382917844085146</v>
      </c>
      <c r="AB66" s="4">
        <f>Games[[#This Row],[PreGmRate]]+Games[[#This Row],[RatingChange]]</f>
        <v>1548.6886844489482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44049</v>
      </c>
      <c r="B67" s="2">
        <v>2020</v>
      </c>
      <c r="C67" s="2">
        <f>COUNTIFS(Games[Team],Games[[#This Row],[Team]],Games[Season],Games[[#This Row],[Season]],Games[Date],"&lt;=" &amp; Games[[#This Row],[Date]])</f>
        <v>6</v>
      </c>
      <c r="D67" s="2" t="s">
        <v>79</v>
      </c>
      <c r="E67" s="2" t="s">
        <v>80</v>
      </c>
      <c r="F67" s="1" t="s">
        <v>40</v>
      </c>
      <c r="G67" s="1" t="s">
        <v>75</v>
      </c>
      <c r="H67" s="1" t="s">
        <v>86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1482.6062252903716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1567.0716022930333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0.38078401924169597</v>
      </c>
      <c r="R67" s="1">
        <v>96</v>
      </c>
      <c r="S67" s="1">
        <v>86</v>
      </c>
      <c r="T67" s="1">
        <v>0</v>
      </c>
      <c r="U67" s="1">
        <f>Games[[#This Row],[PointsFor]]-Games[[#This Row],[PointsAgainst]]</f>
        <v>10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0.39530504152910972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18.382917844085146</v>
      </c>
      <c r="AB67" s="4">
        <f>Games[[#This Row],[PreGmRate]]+Games[[#This Row],[RatingChange]]</f>
        <v>1500.9891431344568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44050</v>
      </c>
      <c r="B68" s="2">
        <v>2020</v>
      </c>
      <c r="C68" s="2">
        <f>COUNTIFS(Games[Team],Games[[#This Row],[Team]],Games[Season],Games[[#This Row],[Season]],Games[Date],"&lt;=" &amp; Games[[#This Row],[Date]])</f>
        <v>6</v>
      </c>
      <c r="D68" s="2" t="s">
        <v>79</v>
      </c>
      <c r="E68" s="2" t="s">
        <v>80</v>
      </c>
      <c r="F68" s="1" t="s">
        <v>63</v>
      </c>
      <c r="G68" s="1" t="s">
        <v>84</v>
      </c>
      <c r="H68" s="1" t="s">
        <v>86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1534.9868708842855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1548.5108733673919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0.4805472197039532</v>
      </c>
      <c r="R68" s="1">
        <v>82</v>
      </c>
      <c r="S68" s="1">
        <v>86</v>
      </c>
      <c r="T68" s="1">
        <v>0</v>
      </c>
      <c r="U68" s="1">
        <f>Games[[#This Row],[PointsFor]]-Games[[#This Row],[PointsAgainst]]</f>
        <v>-4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0.30796200249846956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-11.114070334040118</v>
      </c>
      <c r="AB68" s="4">
        <f>Games[[#This Row],[PreGmRate]]+Games[[#This Row],[RatingChange]]</f>
        <v>1523.8728005502453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44050</v>
      </c>
      <c r="B69" s="2">
        <v>2020</v>
      </c>
      <c r="C69" s="2">
        <f>COUNTIFS(Games[Team],Games[[#This Row],[Team]],Games[Season],Games[[#This Row],[Season]],Games[Date],"&lt;=" &amp; Games[[#This Row],[Date]])</f>
        <v>6</v>
      </c>
      <c r="D69" s="2" t="s">
        <v>79</v>
      </c>
      <c r="E69" s="2" t="s">
        <v>80</v>
      </c>
      <c r="F69" s="1" t="s">
        <v>84</v>
      </c>
      <c r="G69" s="1" t="s">
        <v>63</v>
      </c>
      <c r="H69" s="1" t="s">
        <v>86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1548.5108733673919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1534.9868708842855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0.51945278029604669</v>
      </c>
      <c r="R69" s="1">
        <v>86</v>
      </c>
      <c r="S69" s="1">
        <v>82</v>
      </c>
      <c r="T69" s="1">
        <v>0</v>
      </c>
      <c r="U69" s="1">
        <f>Games[[#This Row],[PointsFor]]-Games[[#This Row],[PointsAgainst]]</f>
        <v>4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0.30796200249846956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11.11407033404012</v>
      </c>
      <c r="AB69" s="4">
        <f>Games[[#This Row],[PreGmRate]]+Games[[#This Row],[RatingChange]]</f>
        <v>1559.6249437014321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44050</v>
      </c>
      <c r="B70" s="2">
        <v>2020</v>
      </c>
      <c r="C70" s="2">
        <f>COUNTIFS(Games[Team],Games[[#This Row],[Team]],Games[Season],Games[[#This Row],[Season]],Games[Date],"&lt;=" &amp; Games[[#This Row],[Date]])</f>
        <v>6</v>
      </c>
      <c r="D70" s="2" t="s">
        <v>79</v>
      </c>
      <c r="E70" s="2" t="s">
        <v>80</v>
      </c>
      <c r="F70" s="1" t="s">
        <v>69</v>
      </c>
      <c r="G70" s="1" t="s">
        <v>67</v>
      </c>
      <c r="H70" s="1" t="s">
        <v>86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1461.7190160708797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1549.6586216923133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0.3760798136546018</v>
      </c>
      <c r="R70" s="1">
        <v>80</v>
      </c>
      <c r="S70" s="1">
        <v>87</v>
      </c>
      <c r="T70" s="1">
        <v>0</v>
      </c>
      <c r="U70" s="1">
        <f>Games[[#This Row],[PointsFor]]-Games[[#This Row],[PointsAgainst]]</f>
        <v>-7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0.34483651643765628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-9.7394225685225013</v>
      </c>
      <c r="AB70" s="4">
        <f>Games[[#This Row],[PreGmRate]]+Games[[#This Row],[RatingChange]]</f>
        <v>1451.9795935023571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44050</v>
      </c>
      <c r="B71" s="2">
        <v>2020</v>
      </c>
      <c r="C71" s="2">
        <f>COUNTIFS(Games[Team],Games[[#This Row],[Team]],Games[Season],Games[[#This Row],[Season]],Games[Date],"&lt;=" &amp; Games[[#This Row],[Date]])</f>
        <v>6</v>
      </c>
      <c r="D71" s="2" t="s">
        <v>79</v>
      </c>
      <c r="E71" s="2" t="s">
        <v>80</v>
      </c>
      <c r="F71" s="1" t="s">
        <v>67</v>
      </c>
      <c r="G71" s="1" t="s">
        <v>69</v>
      </c>
      <c r="H71" s="1" t="s">
        <v>86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1549.6586216923133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1461.7190160708797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0.62392018634539825</v>
      </c>
      <c r="R71" s="1">
        <v>87</v>
      </c>
      <c r="S71" s="1">
        <v>80</v>
      </c>
      <c r="T71" s="1">
        <v>0</v>
      </c>
      <c r="U71" s="1">
        <f>Games[[#This Row],[PointsFor]]-Games[[#This Row],[PointsAgainst]]</f>
        <v>7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0.34483651643765628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9.7394225685225013</v>
      </c>
      <c r="AB71" s="4">
        <f>Games[[#This Row],[PreGmRate]]+Games[[#This Row],[RatingChange]]</f>
        <v>1559.3980442608358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44050</v>
      </c>
      <c r="B72" s="2">
        <v>2020</v>
      </c>
      <c r="C72" s="2">
        <f>COUNTIFS(Games[Team],Games[[#This Row],[Team]],Games[Season],Games[[#This Row],[Season]],Games[Date],"&lt;=" &amp; Games[[#This Row],[Date]])</f>
        <v>6</v>
      </c>
      <c r="D72" s="2" t="s">
        <v>79</v>
      </c>
      <c r="E72" s="2" t="s">
        <v>80</v>
      </c>
      <c r="F72" s="1" t="s">
        <v>60</v>
      </c>
      <c r="G72" s="1" t="s">
        <v>65</v>
      </c>
      <c r="H72" s="1" t="s">
        <v>86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1341.2123638649243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1615.9555961736667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0.17057619255107545</v>
      </c>
      <c r="R72" s="1">
        <v>74</v>
      </c>
      <c r="S72" s="1">
        <v>66</v>
      </c>
      <c r="T72" s="1">
        <v>0</v>
      </c>
      <c r="U72" s="1">
        <f>Games[[#This Row],[PointsFor]]-Games[[#This Row],[PointsAgainst]]</f>
        <v>8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0.31597272785860286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19.681855254586942</v>
      </c>
      <c r="AB72" s="4">
        <f>Games[[#This Row],[PreGmRate]]+Games[[#This Row],[RatingChange]]</f>
        <v>1360.8942191195113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44050</v>
      </c>
      <c r="B73" s="2">
        <v>2020</v>
      </c>
      <c r="C73" s="2">
        <f>COUNTIFS(Games[Team],Games[[#This Row],[Team]],Games[Season],Games[[#This Row],[Season]],Games[Date],"&lt;=" &amp; Games[[#This Row],[Date]])</f>
        <v>6</v>
      </c>
      <c r="D73" s="2" t="s">
        <v>79</v>
      </c>
      <c r="E73" s="2" t="s">
        <v>80</v>
      </c>
      <c r="F73" s="1" t="s">
        <v>65</v>
      </c>
      <c r="G73" s="1" t="s">
        <v>60</v>
      </c>
      <c r="H73" s="1" t="s">
        <v>86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1615.9555961736667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1341.2123638649243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0.82942380744892452</v>
      </c>
      <c r="R73" s="1">
        <v>66</v>
      </c>
      <c r="S73" s="1">
        <v>74</v>
      </c>
      <c r="T73" s="1">
        <v>0</v>
      </c>
      <c r="U73" s="1">
        <f>Games[[#This Row],[PointsFor]]-Games[[#This Row],[PointsAgainst]]</f>
        <v>-8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0.31597272785860286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-19.681855254586942</v>
      </c>
      <c r="AB73" s="4">
        <f>Games[[#This Row],[PreGmRate]]+Games[[#This Row],[RatingChange]]</f>
        <v>1596.2737409190797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44051</v>
      </c>
      <c r="B74" s="2">
        <v>2020</v>
      </c>
      <c r="C74" s="2">
        <f>COUNTIFS(Games[Team],Games[[#This Row],[Team]],Games[Season],Games[[#This Row],[Season]],Games[Date],"&lt;=" &amp; Games[[#This Row],[Date]])</f>
        <v>7</v>
      </c>
      <c r="D74" s="2" t="s">
        <v>79</v>
      </c>
      <c r="E74" s="2" t="s">
        <v>80</v>
      </c>
      <c r="F74" s="1" t="s">
        <v>75</v>
      </c>
      <c r="G74" s="1" t="s">
        <v>74</v>
      </c>
      <c r="H74" s="1" t="s">
        <v>86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1548.6886844489482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1516.9152208805281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0.54559864134280556</v>
      </c>
      <c r="R74" s="1">
        <v>100</v>
      </c>
      <c r="S74" s="1">
        <v>93</v>
      </c>
      <c r="T74" s="1">
        <v>0</v>
      </c>
      <c r="U74" s="1">
        <f>Games[[#This Row],[PointsFor]]-Games[[#This Row],[PointsAgainst]]</f>
        <v>7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0.36056029791220978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12.279739739223862</v>
      </c>
      <c r="AB74" s="4">
        <f>Games[[#This Row],[PreGmRate]]+Games[[#This Row],[RatingChange]]</f>
        <v>1560.9684241881721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44051</v>
      </c>
      <c r="B75" s="2">
        <v>2020</v>
      </c>
      <c r="C75" s="2">
        <f>COUNTIFS(Games[Team],Games[[#This Row],[Team]],Games[Season],Games[[#This Row],[Season]],Games[Date],"&lt;=" &amp; Games[[#This Row],[Date]])</f>
        <v>7</v>
      </c>
      <c r="D75" s="2" t="s">
        <v>79</v>
      </c>
      <c r="E75" s="2" t="s">
        <v>80</v>
      </c>
      <c r="F75" s="1" t="s">
        <v>74</v>
      </c>
      <c r="G75" s="1" t="s">
        <v>75</v>
      </c>
      <c r="H75" s="1" t="s">
        <v>86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1516.9152208805281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1548.6886844489482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0.45440135865719444</v>
      </c>
      <c r="R75" s="1">
        <v>93</v>
      </c>
      <c r="S75" s="1">
        <v>100</v>
      </c>
      <c r="T75" s="1">
        <v>0</v>
      </c>
      <c r="U75" s="1">
        <f>Games[[#This Row],[PointsFor]]-Games[[#This Row],[PointsAgainst]]</f>
        <v>-7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0.36056029791220978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-12.279739739223862</v>
      </c>
      <c r="AB75" s="4">
        <f>Games[[#This Row],[PreGmRate]]+Games[[#This Row],[RatingChange]]</f>
        <v>1504.6354811413041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44051</v>
      </c>
      <c r="B76" s="2">
        <v>2020</v>
      </c>
      <c r="C76" s="2">
        <f>COUNTIFS(Games[Team],Games[[#This Row],[Team]],Games[Season],Games[[#This Row],[Season]],Games[Date],"&lt;=" &amp; Games[[#This Row],[Date]])</f>
        <v>7</v>
      </c>
      <c r="D76" s="2" t="s">
        <v>79</v>
      </c>
      <c r="E76" s="2" t="s">
        <v>80</v>
      </c>
      <c r="F76" s="1" t="s">
        <v>77</v>
      </c>
      <c r="G76" s="1" t="s">
        <v>83</v>
      </c>
      <c r="H76" s="1" t="s">
        <v>86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1395.465802094925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1416.2873074837737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0.47007126613757039</v>
      </c>
      <c r="R76" s="1">
        <v>75</v>
      </c>
      <c r="S76" s="1">
        <v>85</v>
      </c>
      <c r="T76" s="1">
        <v>0</v>
      </c>
      <c r="U76" s="1">
        <f>Games[[#This Row],[PointsFor]]-Games[[#This Row],[PointsAgainst]]</f>
        <v>-10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0.41591308553908007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-14.653383864654298</v>
      </c>
      <c r="AB76" s="4">
        <f>Games[[#This Row],[PreGmRate]]+Games[[#This Row],[RatingChange]]</f>
        <v>1380.8124182302709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44051</v>
      </c>
      <c r="B77" s="2">
        <v>2020</v>
      </c>
      <c r="C77" s="2">
        <f>COUNTIFS(Games[Team],Games[[#This Row],[Team]],Games[Season],Games[[#This Row],[Season]],Games[Date],"&lt;=" &amp; Games[[#This Row],[Date]])</f>
        <v>7</v>
      </c>
      <c r="D77" s="2" t="s">
        <v>79</v>
      </c>
      <c r="E77" s="2" t="s">
        <v>80</v>
      </c>
      <c r="F77" s="1" t="s">
        <v>83</v>
      </c>
      <c r="G77" s="1" t="s">
        <v>77</v>
      </c>
      <c r="H77" s="1" t="s">
        <v>86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1416.2873074837737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1395.465802094925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0.52992873386242956</v>
      </c>
      <c r="R77" s="1">
        <v>85</v>
      </c>
      <c r="S77" s="1">
        <v>75</v>
      </c>
      <c r="T77" s="1">
        <v>0</v>
      </c>
      <c r="U77" s="1">
        <f>Games[[#This Row],[PointsFor]]-Games[[#This Row],[PointsAgainst]]</f>
        <v>10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0.41591308553908007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14.6533838646543</v>
      </c>
      <c r="AB77" s="4">
        <f>Games[[#This Row],[PreGmRate]]+Games[[#This Row],[RatingChange]]</f>
        <v>1430.9406913484279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44051</v>
      </c>
      <c r="B78" s="2">
        <v>2020</v>
      </c>
      <c r="C78" s="2">
        <f>COUNTIFS(Games[Team],Games[[#This Row],[Team]],Games[Season],Games[[#This Row],[Season]],Games[Date],"&lt;=" &amp; Games[[#This Row],[Date]])</f>
        <v>7</v>
      </c>
      <c r="D78" s="2" t="s">
        <v>79</v>
      </c>
      <c r="E78" s="2" t="s">
        <v>80</v>
      </c>
      <c r="F78" s="1" t="s">
        <v>40</v>
      </c>
      <c r="G78" s="1" t="s">
        <v>71</v>
      </c>
      <c r="H78" s="1" t="s">
        <v>86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1500.9891431344568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1569.9047905100911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0.40210296821790631</v>
      </c>
      <c r="R78" s="1">
        <v>68</v>
      </c>
      <c r="S78" s="1">
        <v>74</v>
      </c>
      <c r="T78" s="1">
        <v>0</v>
      </c>
      <c r="U78" s="1">
        <f>Games[[#This Row],[PointsFor]]-Games[[#This Row],[PointsAgainst]]</f>
        <v>-6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0.33220247081120857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74.95</v>
      </c>
      <c r="Z78" s="4">
        <f>Games[[#This Row],[K]]*Games[[#This Row],[POMult]]</f>
        <v>74.95</v>
      </c>
      <c r="AA78" s="4">
        <f>(Games[[#This Row],[Keff]]*Games[[#This Row],[MOVMult]])*(Games[[#This Row],[Result]]-Games[[#This Row],[ExpectedWin%]])</f>
        <v>-10.011790987210075</v>
      </c>
      <c r="AB78" s="4">
        <f>Games[[#This Row],[PreGmRate]]+Games[[#This Row],[RatingChange]]</f>
        <v>1490.9773521472466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44051</v>
      </c>
      <c r="B79" s="2">
        <v>2020</v>
      </c>
      <c r="C79" s="2">
        <f>COUNTIFS(Games[Team],Games[[#This Row],[Team]],Games[Season],Games[[#This Row],[Season]],Games[Date],"&lt;=" &amp; Games[[#This Row],[Date]])</f>
        <v>7</v>
      </c>
      <c r="D79" s="2" t="s">
        <v>79</v>
      </c>
      <c r="E79" s="2" t="s">
        <v>80</v>
      </c>
      <c r="F79" s="1" t="s">
        <v>71</v>
      </c>
      <c r="G79" s="1" t="s">
        <v>40</v>
      </c>
      <c r="H79" s="1" t="s">
        <v>86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1569.9047905100911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1500.9891431344568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0.59789703178209364</v>
      </c>
      <c r="R79" s="1">
        <v>74</v>
      </c>
      <c r="S79" s="1">
        <v>68</v>
      </c>
      <c r="T79" s="1">
        <v>0</v>
      </c>
      <c r="U79" s="1">
        <f>Games[[#This Row],[PointsFor]]-Games[[#This Row],[PointsAgainst]]</f>
        <v>6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0.33220247081120857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10.011790987210077</v>
      </c>
      <c r="AB79" s="4">
        <f>Games[[#This Row],[PreGmRate]]+Games[[#This Row],[RatingChange]]</f>
        <v>1579.9165814973012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44052</v>
      </c>
      <c r="B80" s="2">
        <v>2020</v>
      </c>
      <c r="C80" s="2">
        <f>COUNTIFS(Games[Team],Games[[#This Row],[Team]],Games[Season],Games[[#This Row],[Season]],Games[Date],"&lt;=" &amp; Games[[#This Row],[Date]])</f>
        <v>7</v>
      </c>
      <c r="D80" s="2" t="s">
        <v>79</v>
      </c>
      <c r="E80" s="2" t="s">
        <v>80</v>
      </c>
      <c r="F80" s="1" t="s">
        <v>65</v>
      </c>
      <c r="G80" s="1" t="s">
        <v>69</v>
      </c>
      <c r="H80" s="1" t="s">
        <v>86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1596.2737409190797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1451.9795935023571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0.69648683025507296</v>
      </c>
      <c r="R80" s="1">
        <v>84</v>
      </c>
      <c r="S80" s="1">
        <v>91</v>
      </c>
      <c r="T80" s="1">
        <v>0</v>
      </c>
      <c r="U80" s="1">
        <f>Games[[#This Row],[PointsFor]]-Games[[#This Row],[PointsAgainst]]</f>
        <v>-7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0.33038052560003223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-17.246421094735201</v>
      </c>
      <c r="AB80" s="4">
        <f>Games[[#This Row],[PreGmRate]]+Games[[#This Row],[RatingChange]]</f>
        <v>1579.0273198243444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44052</v>
      </c>
      <c r="B81" s="2">
        <v>2020</v>
      </c>
      <c r="C81" s="2">
        <f>COUNTIFS(Games[Team],Games[[#This Row],[Team]],Games[Season],Games[[#This Row],[Season]],Games[Date],"&lt;=" &amp; Games[[#This Row],[Date]])</f>
        <v>7</v>
      </c>
      <c r="D81" s="2" t="s">
        <v>79</v>
      </c>
      <c r="E81" s="2" t="s">
        <v>80</v>
      </c>
      <c r="F81" s="1" t="s">
        <v>69</v>
      </c>
      <c r="G81" s="1" t="s">
        <v>65</v>
      </c>
      <c r="H81" s="1" t="s">
        <v>86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1451.9795935023571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1596.2737409190797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0.30351316974492709</v>
      </c>
      <c r="R81" s="1">
        <v>91</v>
      </c>
      <c r="S81" s="1">
        <v>84</v>
      </c>
      <c r="T81" s="1">
        <v>0</v>
      </c>
      <c r="U81" s="1">
        <f>Games[[#This Row],[PointsFor]]-Games[[#This Row],[PointsAgainst]]</f>
        <v>7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0.33038052560003223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17.246421094735197</v>
      </c>
      <c r="AB81" s="4">
        <f>Games[[#This Row],[PreGmRate]]+Games[[#This Row],[RatingChange]]</f>
        <v>1469.2260145970924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44052</v>
      </c>
      <c r="B82" s="2">
        <v>2020</v>
      </c>
      <c r="C82" s="2">
        <f>COUNTIFS(Games[Team],Games[[#This Row],[Team]],Games[Season],Games[[#This Row],[Season]],Games[Date],"&lt;=" &amp; Games[[#This Row],[Date]])</f>
        <v>7</v>
      </c>
      <c r="D82" s="2" t="s">
        <v>79</v>
      </c>
      <c r="E82" s="2" t="s">
        <v>80</v>
      </c>
      <c r="F82" s="1" t="s">
        <v>67</v>
      </c>
      <c r="G82" s="1" t="s">
        <v>63</v>
      </c>
      <c r="H82" s="1" t="s">
        <v>86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1559.3980442608358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1523.8728005502453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0.55094750633009826</v>
      </c>
      <c r="R82" s="1">
        <v>81</v>
      </c>
      <c r="S82" s="1">
        <v>97</v>
      </c>
      <c r="T82" s="1">
        <v>0</v>
      </c>
      <c r="U82" s="1">
        <f>Games[[#This Row],[PointsFor]]-Games[[#This Row],[PointsAgainst]]</f>
        <v>-16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0.50289805238622687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-20.766428571139087</v>
      </c>
      <c r="AB82" s="4">
        <f>Games[[#This Row],[PreGmRate]]+Games[[#This Row],[RatingChange]]</f>
        <v>1538.6316156896967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44052</v>
      </c>
      <c r="B83" s="2">
        <v>2020</v>
      </c>
      <c r="C83" s="2">
        <f>COUNTIFS(Games[Team],Games[[#This Row],[Team]],Games[Season],Games[[#This Row],[Season]],Games[Date],"&lt;=" &amp; Games[[#This Row],[Date]])</f>
        <v>7</v>
      </c>
      <c r="D83" s="2" t="s">
        <v>79</v>
      </c>
      <c r="E83" s="2" t="s">
        <v>80</v>
      </c>
      <c r="F83" s="1" t="s">
        <v>63</v>
      </c>
      <c r="G83" s="1" t="s">
        <v>67</v>
      </c>
      <c r="H83" s="1" t="s">
        <v>86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1523.8728005502453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1559.3980442608358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0.44905249366990174</v>
      </c>
      <c r="R83" s="1">
        <v>97</v>
      </c>
      <c r="S83" s="1">
        <v>81</v>
      </c>
      <c r="T83" s="1">
        <v>0</v>
      </c>
      <c r="U83" s="1">
        <f>Games[[#This Row],[PointsFor]]-Games[[#This Row],[PointsAgainst]]</f>
        <v>16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0.50289805238622687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20.766428571139087</v>
      </c>
      <c r="AB83" s="4">
        <f>Games[[#This Row],[PreGmRate]]+Games[[#This Row],[RatingChange]]</f>
        <v>1544.6392291213845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44052</v>
      </c>
      <c r="B84" s="2">
        <v>2020</v>
      </c>
      <c r="C84" s="2">
        <f>COUNTIFS(Games[Team],Games[[#This Row],[Team]],Games[Season],Games[[#This Row],[Season]],Games[Date],"&lt;=" &amp; Games[[#This Row],[Date]])</f>
        <v>7</v>
      </c>
      <c r="D84" s="2" t="s">
        <v>79</v>
      </c>
      <c r="E84" s="2" t="s">
        <v>80</v>
      </c>
      <c r="F84" s="1" t="s">
        <v>84</v>
      </c>
      <c r="G84" s="1" t="s">
        <v>60</v>
      </c>
      <c r="H84" s="1" t="s">
        <v>86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1559.6249437014321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1360.8942191195113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0.75841072333630521</v>
      </c>
      <c r="R84" s="1">
        <v>78</v>
      </c>
      <c r="S84" s="1">
        <v>76</v>
      </c>
      <c r="T84" s="1">
        <v>0</v>
      </c>
      <c r="U84" s="1">
        <f>Games[[#This Row],[PointsFor]]-Games[[#This Row],[PointsAgainst]]</f>
        <v>2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0.22978660532939449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4.1607727836516482</v>
      </c>
      <c r="AB84" s="4">
        <f>Games[[#This Row],[PreGmRate]]+Games[[#This Row],[RatingChange]]</f>
        <v>1563.7857164850839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44052</v>
      </c>
      <c r="B85" s="2">
        <v>2020</v>
      </c>
      <c r="C85" s="2">
        <f>COUNTIFS(Games[Team],Games[[#This Row],[Team]],Games[Season],Games[[#This Row],[Season]],Games[Date],"&lt;=" &amp; Games[[#This Row],[Date]])</f>
        <v>7</v>
      </c>
      <c r="D85" s="2" t="s">
        <v>79</v>
      </c>
      <c r="E85" s="2" t="s">
        <v>80</v>
      </c>
      <c r="F85" s="1" t="s">
        <v>60</v>
      </c>
      <c r="G85" s="1" t="s">
        <v>84</v>
      </c>
      <c r="H85" s="1" t="s">
        <v>86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1360.8942191195113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1559.6249437014321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0.24158927666369481</v>
      </c>
      <c r="R85" s="1">
        <v>76</v>
      </c>
      <c r="S85" s="1">
        <v>78</v>
      </c>
      <c r="T85" s="1">
        <v>0</v>
      </c>
      <c r="U85" s="1">
        <f>Games[[#This Row],[PointsFor]]-Games[[#This Row],[PointsAgainst]]</f>
        <v>-2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0.22978660532939449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-4.160772783651649</v>
      </c>
      <c r="AB85" s="4">
        <f>Games[[#This Row],[PreGmRate]]+Games[[#This Row],[RatingChange]]</f>
        <v>1356.7334463358595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44053</v>
      </c>
      <c r="B86" s="2">
        <v>2020</v>
      </c>
      <c r="C86" s="2">
        <f>COUNTIFS(Games[Team],Games[[#This Row],[Team]],Games[Season],Games[[#This Row],[Season]],Games[Date],"&lt;=" &amp; Games[[#This Row],[Date]])</f>
        <v>8</v>
      </c>
      <c r="D86" s="2" t="s">
        <v>79</v>
      </c>
      <c r="E86" s="2" t="s">
        <v>80</v>
      </c>
      <c r="F86" s="1" t="s">
        <v>74</v>
      </c>
      <c r="G86" s="1" t="s">
        <v>77</v>
      </c>
      <c r="H86" s="1" t="s">
        <v>86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1504.6354811413041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1380.8124182302709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0.6710157754359225</v>
      </c>
      <c r="R86" s="1">
        <v>93</v>
      </c>
      <c r="S86" s="1">
        <v>82</v>
      </c>
      <c r="T86" s="1">
        <v>0</v>
      </c>
      <c r="U86" s="1">
        <f>Games[[#This Row],[PointsFor]]-Games[[#This Row],[PointsAgainst]]</f>
        <v>11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0.398696154415485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74.8</v>
      </c>
      <c r="Z86" s="4">
        <f>Games[[#This Row],[K]]*Games[[#This Row],[POMult]]</f>
        <v>74.8</v>
      </c>
      <c r="AA86" s="4">
        <f>(Games[[#This Row],[Keff]]*Games[[#This Row],[MOVMult]])*(Games[[#This Row],[Result]]-Games[[#This Row],[ExpectedWin%]])</f>
        <v>9.8111229407399421</v>
      </c>
      <c r="AB86" s="4">
        <f>Games[[#This Row],[PreGmRate]]+Games[[#This Row],[RatingChange]]</f>
        <v>1514.4466040820441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44053</v>
      </c>
      <c r="B87" s="2">
        <v>2020</v>
      </c>
      <c r="C87" s="2">
        <f>COUNTIFS(Games[Team],Games[[#This Row],[Team]],Games[Season],Games[[#This Row],[Season]],Games[Date],"&lt;=" &amp; Games[[#This Row],[Date]])</f>
        <v>8</v>
      </c>
      <c r="D87" s="2" t="s">
        <v>79</v>
      </c>
      <c r="E87" s="2" t="s">
        <v>80</v>
      </c>
      <c r="F87" s="1" t="s">
        <v>77</v>
      </c>
      <c r="G87" s="1" t="s">
        <v>74</v>
      </c>
      <c r="H87" s="1" t="s">
        <v>86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1380.8124182302709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1504.6354811413041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0.3289842245640775</v>
      </c>
      <c r="R87" s="1">
        <v>82</v>
      </c>
      <c r="S87" s="1">
        <v>93</v>
      </c>
      <c r="T87" s="1">
        <v>0</v>
      </c>
      <c r="U87" s="1">
        <f>Games[[#This Row],[PointsFor]]-Games[[#This Row],[PointsAgainst]]</f>
        <v>-11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0.398696154415485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-9.8111229407399421</v>
      </c>
      <c r="AB87" s="4">
        <f>Games[[#This Row],[PreGmRate]]+Games[[#This Row],[RatingChange]]</f>
        <v>1371.0012952895308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44053</v>
      </c>
      <c r="B88" s="2">
        <v>2020</v>
      </c>
      <c r="C88" s="2">
        <f>COUNTIFS(Games[Team],Games[[#This Row],[Team]],Games[Season],Games[[#This Row],[Season]],Games[Date],"&lt;=" &amp; Games[[#This Row],[Date]])</f>
        <v>8</v>
      </c>
      <c r="D88" s="2" t="s">
        <v>79</v>
      </c>
      <c r="E88" s="2" t="s">
        <v>80</v>
      </c>
      <c r="F88" s="1" t="s">
        <v>40</v>
      </c>
      <c r="G88" s="1" t="s">
        <v>83</v>
      </c>
      <c r="H88" s="1" t="s">
        <v>86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1490.9773521472466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1430.9406913484279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0.58554989419600267</v>
      </c>
      <c r="R88" s="1">
        <v>91</v>
      </c>
      <c r="S88" s="1">
        <v>79</v>
      </c>
      <c r="T88" s="1">
        <v>0</v>
      </c>
      <c r="U88" s="1">
        <f>Games[[#This Row],[PointsFor]]-Games[[#This Row],[PointsAgainst]]</f>
        <v>12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0.43439635426547424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13.466664000967498</v>
      </c>
      <c r="AB88" s="4">
        <f>Games[[#This Row],[PreGmRate]]+Games[[#This Row],[RatingChange]]</f>
        <v>1504.4440161482141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44053</v>
      </c>
      <c r="B89" s="2">
        <v>2020</v>
      </c>
      <c r="C89" s="2">
        <f>COUNTIFS(Games[Team],Games[[#This Row],[Team]],Games[Season],Games[[#This Row],[Season]],Games[Date],"&lt;=" &amp; Games[[#This Row],[Date]])</f>
        <v>8</v>
      </c>
      <c r="D89" s="2" t="s">
        <v>79</v>
      </c>
      <c r="E89" s="2" t="s">
        <v>80</v>
      </c>
      <c r="F89" s="1" t="s">
        <v>83</v>
      </c>
      <c r="G89" s="1" t="s">
        <v>40</v>
      </c>
      <c r="H89" s="1" t="s">
        <v>86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1430.9406913484279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1490.9773521472466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0.41445010580399738</v>
      </c>
      <c r="R89" s="1">
        <v>79</v>
      </c>
      <c r="S89" s="1">
        <v>91</v>
      </c>
      <c r="T89" s="1">
        <v>0</v>
      </c>
      <c r="U89" s="1">
        <f>Games[[#This Row],[PointsFor]]-Games[[#This Row],[PointsAgainst]]</f>
        <v>-12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0.43439635426547424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-13.4666640009675</v>
      </c>
      <c r="AB89" s="4">
        <f>Games[[#This Row],[PreGmRate]]+Games[[#This Row],[RatingChange]]</f>
        <v>1417.4740273474604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44053</v>
      </c>
      <c r="B90" s="2">
        <v>2020</v>
      </c>
      <c r="C90" s="2">
        <f>COUNTIFS(Games[Team],Games[[#This Row],[Team]],Games[Season],Games[[#This Row],[Season]],Games[Date],"&lt;=" &amp; Games[[#This Row],[Date]])</f>
        <v>8</v>
      </c>
      <c r="D90" s="2" t="s">
        <v>79</v>
      </c>
      <c r="E90" s="2" t="s">
        <v>80</v>
      </c>
      <c r="F90" s="1" t="s">
        <v>75</v>
      </c>
      <c r="G90" s="1" t="s">
        <v>71</v>
      </c>
      <c r="H90" s="1" t="s">
        <v>86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1560.9684241881721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1579.9165814973012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0.47275841255120166</v>
      </c>
      <c r="R90" s="1">
        <v>71</v>
      </c>
      <c r="S90" s="1">
        <v>89</v>
      </c>
      <c r="T90" s="1">
        <v>0</v>
      </c>
      <c r="U90" s="1">
        <f>Games[[#This Row],[PointsFor]]-Games[[#This Row],[PointsAgainst]]</f>
        <v>-18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0.53833357441564345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-19.036729109568782</v>
      </c>
      <c r="AB90" s="4">
        <f>Games[[#This Row],[PreGmRate]]+Games[[#This Row],[RatingChange]]</f>
        <v>1541.9316950786033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44053</v>
      </c>
      <c r="B91" s="2">
        <v>2020</v>
      </c>
      <c r="C91" s="2">
        <f>COUNTIFS(Games[Team],Games[[#This Row],[Team]],Games[Season],Games[[#This Row],[Season]],Games[Date],"&lt;=" &amp; Games[[#This Row],[Date]])</f>
        <v>8</v>
      </c>
      <c r="D91" s="2" t="s">
        <v>79</v>
      </c>
      <c r="E91" s="2" t="s">
        <v>80</v>
      </c>
      <c r="F91" s="1" t="s">
        <v>71</v>
      </c>
      <c r="G91" s="1" t="s">
        <v>75</v>
      </c>
      <c r="H91" s="1" t="s">
        <v>86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1579.9165814973012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1560.9684241881721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0.52724158744879834</v>
      </c>
      <c r="R91" s="1">
        <v>89</v>
      </c>
      <c r="S91" s="1">
        <v>71</v>
      </c>
      <c r="T91" s="1">
        <v>0</v>
      </c>
      <c r="U91" s="1">
        <f>Games[[#This Row],[PointsFor]]-Games[[#This Row],[PointsAgainst]]</f>
        <v>18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0.53833357441564345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19.036729109568782</v>
      </c>
      <c r="AB91" s="4">
        <f>Games[[#This Row],[PreGmRate]]+Games[[#This Row],[RatingChange]]</f>
        <v>1598.95331060687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44054</v>
      </c>
      <c r="B92" s="2">
        <v>2020</v>
      </c>
      <c r="C92" s="2">
        <f>COUNTIFS(Games[Team],Games[[#This Row],[Team]],Games[Season],Games[[#This Row],[Season]],Games[Date],"&lt;=" &amp; Games[[#This Row],[Date]])</f>
        <v>8</v>
      </c>
      <c r="D92" s="2" t="s">
        <v>79</v>
      </c>
      <c r="E92" s="2" t="s">
        <v>80</v>
      </c>
      <c r="F92" s="1" t="s">
        <v>84</v>
      </c>
      <c r="G92" s="1" t="s">
        <v>69</v>
      </c>
      <c r="H92" s="1" t="s">
        <v>86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1563.7857164850839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1469.2260145970924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0.63281897051693103</v>
      </c>
      <c r="R92" s="1">
        <v>98</v>
      </c>
      <c r="S92" s="1">
        <v>79</v>
      </c>
      <c r="T92" s="1">
        <v>0</v>
      </c>
      <c r="U92" s="1">
        <f>Games[[#This Row],[PointsFor]]-Games[[#This Row],[PointsAgainst]]</f>
        <v>19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0.52000157759117727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14.281916651537582</v>
      </c>
      <c r="AB92" s="4">
        <f>Games[[#This Row],[PreGmRate]]+Games[[#This Row],[RatingChange]]</f>
        <v>1578.0676331366215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44054</v>
      </c>
      <c r="B93" s="2">
        <v>2020</v>
      </c>
      <c r="C93" s="2">
        <f>COUNTIFS(Games[Team],Games[[#This Row],[Team]],Games[Season],Games[[#This Row],[Season]],Games[Date],"&lt;=" &amp; Games[[#This Row],[Date]])</f>
        <v>8</v>
      </c>
      <c r="D93" s="2" t="s">
        <v>79</v>
      </c>
      <c r="E93" s="2" t="s">
        <v>80</v>
      </c>
      <c r="F93" s="1" t="s">
        <v>69</v>
      </c>
      <c r="G93" s="1" t="s">
        <v>84</v>
      </c>
      <c r="H93" s="1" t="s">
        <v>86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1469.2260145970924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1563.7857164850839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0.36718102948306902</v>
      </c>
      <c r="R93" s="1">
        <v>79</v>
      </c>
      <c r="S93" s="1">
        <v>98</v>
      </c>
      <c r="T93" s="1">
        <v>0</v>
      </c>
      <c r="U93" s="1">
        <f>Games[[#This Row],[PointsFor]]-Games[[#This Row],[PointsAgainst]]</f>
        <v>-19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0.52000157759117727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-14.281916651537584</v>
      </c>
      <c r="AB93" s="4">
        <f>Games[[#This Row],[PreGmRate]]+Games[[#This Row],[RatingChange]]</f>
        <v>1454.9440979455549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44054</v>
      </c>
      <c r="B94" s="2">
        <v>2020</v>
      </c>
      <c r="C94" s="2">
        <f>COUNTIFS(Games[Team],Games[[#This Row],[Team]],Games[Season],Games[[#This Row],[Season]],Games[Date],"&lt;=" &amp; Games[[#This Row],[Date]])</f>
        <v>8</v>
      </c>
      <c r="D94" s="2" t="s">
        <v>79</v>
      </c>
      <c r="E94" s="2" t="s">
        <v>80</v>
      </c>
      <c r="F94" s="1" t="s">
        <v>60</v>
      </c>
      <c r="G94" s="1" t="s">
        <v>63</v>
      </c>
      <c r="H94" s="1" t="s">
        <v>86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1356.7334463358595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1544.6392291213845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0.25318961638514093</v>
      </c>
      <c r="R94" s="1">
        <v>78</v>
      </c>
      <c r="S94" s="1">
        <v>93</v>
      </c>
      <c r="T94" s="1">
        <v>0</v>
      </c>
      <c r="U94" s="1">
        <f>Games[[#This Row],[PointsFor]]-Games[[#This Row],[PointsAgainst]]</f>
        <v>-15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0.43476844115704877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-8.2338983415023321</v>
      </c>
      <c r="AB94" s="4">
        <f>Games[[#This Row],[PreGmRate]]+Games[[#This Row],[RatingChange]]</f>
        <v>1348.4995479943573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44054</v>
      </c>
      <c r="B95" s="2">
        <v>2020</v>
      </c>
      <c r="C95" s="2">
        <f>COUNTIFS(Games[Team],Games[[#This Row],[Team]],Games[Season],Games[[#This Row],[Season]],Games[Date],"&lt;=" &amp; Games[[#This Row],[Date]])</f>
        <v>8</v>
      </c>
      <c r="D95" s="2" t="s">
        <v>79</v>
      </c>
      <c r="E95" s="2" t="s">
        <v>80</v>
      </c>
      <c r="F95" s="1" t="s">
        <v>63</v>
      </c>
      <c r="G95" s="1" t="s">
        <v>60</v>
      </c>
      <c r="H95" s="1" t="s">
        <v>86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1544.6392291213845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1356.7334463358595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0.74681038361485907</v>
      </c>
      <c r="R95" s="1">
        <v>93</v>
      </c>
      <c r="S95" s="1">
        <v>78</v>
      </c>
      <c r="T95" s="1">
        <v>0</v>
      </c>
      <c r="U95" s="1">
        <f>Games[[#This Row],[PointsFor]]-Games[[#This Row],[PointsAgainst]]</f>
        <v>15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0.43476844115704877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8.2338983415023321</v>
      </c>
      <c r="AB95" s="4">
        <f>Games[[#This Row],[PreGmRate]]+Games[[#This Row],[RatingChange]]</f>
        <v>1552.8731274628867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44054</v>
      </c>
      <c r="B96" s="2">
        <v>2020</v>
      </c>
      <c r="C96" s="2">
        <f>COUNTIFS(Games[Team],Games[[#This Row],[Team]],Games[Season],Games[[#This Row],[Season]],Games[Date],"&lt;=" &amp; Games[[#This Row],[Date]])</f>
        <v>8</v>
      </c>
      <c r="D96" s="2" t="s">
        <v>79</v>
      </c>
      <c r="E96" s="2" t="s">
        <v>80</v>
      </c>
      <c r="F96" s="1" t="s">
        <v>65</v>
      </c>
      <c r="G96" s="1" t="s">
        <v>67</v>
      </c>
      <c r="H96" s="1" t="s">
        <v>86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1579.0273198243444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1538.6316156896967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0.55787354229015773</v>
      </c>
      <c r="R96" s="1">
        <v>48</v>
      </c>
      <c r="S96" s="1">
        <v>68</v>
      </c>
      <c r="T96" s="1">
        <v>0</v>
      </c>
      <c r="U96" s="1">
        <f>Games[[#This Row],[PointsFor]]-Games[[#This Row],[PointsAgainst]]</f>
        <v>-20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0.55616512410600938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-23.208181629668193</v>
      </c>
      <c r="AB96" s="4">
        <f>Games[[#This Row],[PreGmRate]]+Games[[#This Row],[RatingChange]]</f>
        <v>1555.8191381946763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44054</v>
      </c>
      <c r="B97" s="2">
        <v>2020</v>
      </c>
      <c r="C97" s="2">
        <f>COUNTIFS(Games[Team],Games[[#This Row],[Team]],Games[Season],Games[[#This Row],[Season]],Games[Date],"&lt;=" &amp; Games[[#This Row],[Date]])</f>
        <v>8</v>
      </c>
      <c r="D97" s="2" t="s">
        <v>79</v>
      </c>
      <c r="E97" s="2" t="s">
        <v>80</v>
      </c>
      <c r="F97" s="1" t="s">
        <v>67</v>
      </c>
      <c r="G97" s="1" t="s">
        <v>65</v>
      </c>
      <c r="H97" s="1" t="s">
        <v>86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1538.6316156896967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1579.0273198243444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0.44212645770984227</v>
      </c>
      <c r="R97" s="1">
        <v>68</v>
      </c>
      <c r="S97" s="1">
        <v>48</v>
      </c>
      <c r="T97" s="1">
        <v>0</v>
      </c>
      <c r="U97" s="1">
        <f>Games[[#This Row],[PointsFor]]-Games[[#This Row],[PointsAgainst]]</f>
        <v>20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0.55616512410600938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23.208181629668193</v>
      </c>
      <c r="AB97" s="4">
        <f>Games[[#This Row],[PreGmRate]]+Games[[#This Row],[RatingChange]]</f>
        <v>1561.8397973193648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44055</v>
      </c>
      <c r="B98" s="2">
        <v>2020</v>
      </c>
      <c r="C98" s="2">
        <f>COUNTIFS(Games[Team],Games[[#This Row],[Team]],Games[Season],Games[[#This Row],[Season]],Games[Date],"&lt;=" &amp; Games[[#This Row],[Date]])</f>
        <v>9</v>
      </c>
      <c r="D98" s="2" t="s">
        <v>79</v>
      </c>
      <c r="E98" s="2" t="s">
        <v>80</v>
      </c>
      <c r="F98" s="1" t="s">
        <v>40</v>
      </c>
      <c r="G98" s="1" t="s">
        <v>75</v>
      </c>
      <c r="H98" s="1" t="s">
        <v>86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1504.4440161482141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1541.9316950786033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0.44625928189483566</v>
      </c>
      <c r="R98" s="1">
        <v>71</v>
      </c>
      <c r="S98" s="1">
        <v>89</v>
      </c>
      <c r="T98" s="1">
        <v>0</v>
      </c>
      <c r="U98" s="1">
        <f>Games[[#This Row],[PointsFor]]-Games[[#This Row],[PointsAgainst]]</f>
        <v>-18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0.53026848648607661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74.650000000000006</v>
      </c>
      <c r="Z98" s="4">
        <f>Games[[#This Row],[K]]*Games[[#This Row],[POMult]]</f>
        <v>74.650000000000006</v>
      </c>
      <c r="AA98" s="4">
        <f>(Games[[#This Row],[Keff]]*Games[[#This Row],[MOVMult]])*(Games[[#This Row],[Result]]-Games[[#This Row],[ExpectedWin%]])</f>
        <v>-17.664969517408586</v>
      </c>
      <c r="AB98" s="4">
        <f>Games[[#This Row],[PreGmRate]]+Games[[#This Row],[RatingChange]]</f>
        <v>1486.7790466308056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44055</v>
      </c>
      <c r="B99" s="2">
        <v>2020</v>
      </c>
      <c r="C99" s="2">
        <f>COUNTIFS(Games[Team],Games[[#This Row],[Team]],Games[Season],Games[[#This Row],[Season]],Games[Date],"&lt;=" &amp; Games[[#This Row],[Date]])</f>
        <v>9</v>
      </c>
      <c r="D99" s="2" t="s">
        <v>79</v>
      </c>
      <c r="E99" s="2" t="s">
        <v>80</v>
      </c>
      <c r="F99" s="1" t="s">
        <v>75</v>
      </c>
      <c r="G99" s="1" t="s">
        <v>40</v>
      </c>
      <c r="H99" s="1" t="s">
        <v>86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1541.9316950786033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1504.4440161482141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0.55374071810516434</v>
      </c>
      <c r="R99" s="1">
        <v>89</v>
      </c>
      <c r="S99" s="1">
        <v>71</v>
      </c>
      <c r="T99" s="1">
        <v>0</v>
      </c>
      <c r="U99" s="1">
        <f>Games[[#This Row],[PointsFor]]-Games[[#This Row],[PointsAgainst]]</f>
        <v>18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0.53026848648607661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17.664969517408586</v>
      </c>
      <c r="AB99" s="4">
        <f>Games[[#This Row],[PreGmRate]]+Games[[#This Row],[RatingChange]]</f>
        <v>1559.5966645960118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44055</v>
      </c>
      <c r="B100" s="2">
        <v>2020</v>
      </c>
      <c r="C100" s="2">
        <f>COUNTIFS(Games[Team],Games[[#This Row],[Team]],Games[Season],Games[[#This Row],[Season]],Games[Date],"&lt;=" &amp; Games[[#This Row],[Date]])</f>
        <v>9</v>
      </c>
      <c r="D100" s="2" t="s">
        <v>79</v>
      </c>
      <c r="E100" s="2" t="s">
        <v>80</v>
      </c>
      <c r="F100" s="1" t="s">
        <v>83</v>
      </c>
      <c r="G100" s="1" t="s">
        <v>74</v>
      </c>
      <c r="H100" s="1" t="s">
        <v>86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1417.4740273474604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1514.4466040820441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0.36395964324834995</v>
      </c>
      <c r="R100" s="1">
        <v>66</v>
      </c>
      <c r="S100" s="1">
        <v>70</v>
      </c>
      <c r="T100" s="1">
        <v>0</v>
      </c>
      <c r="U100" s="1">
        <f>Games[[#This Row],[PointsFor]]-Games[[#This Row],[PointsAgainst]]</f>
        <v>-4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0.28814740464719496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-7.8288460855654112</v>
      </c>
      <c r="AB100" s="4">
        <f>Games[[#This Row],[PreGmRate]]+Games[[#This Row],[RatingChange]]</f>
        <v>1409.645181261895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44055</v>
      </c>
      <c r="B101" s="2">
        <v>2020</v>
      </c>
      <c r="C101" s="2">
        <f>COUNTIFS(Games[Team],Games[[#This Row],[Team]],Games[Season],Games[[#This Row],[Season]],Games[Date],"&lt;=" &amp; Games[[#This Row],[Date]])</f>
        <v>9</v>
      </c>
      <c r="D101" s="2" t="s">
        <v>79</v>
      </c>
      <c r="E101" s="2" t="s">
        <v>80</v>
      </c>
      <c r="F101" s="1" t="s">
        <v>74</v>
      </c>
      <c r="G101" s="1" t="s">
        <v>83</v>
      </c>
      <c r="H101" s="1" t="s">
        <v>86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1514.4466040820441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1417.4740273474604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0.63604035675165005</v>
      </c>
      <c r="R101" s="1">
        <v>70</v>
      </c>
      <c r="S101" s="1">
        <v>66</v>
      </c>
      <c r="T101" s="1">
        <v>0</v>
      </c>
      <c r="U101" s="1">
        <f>Games[[#This Row],[PointsFor]]-Games[[#This Row],[PointsAgainst]]</f>
        <v>4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0.28814740464719496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7.8288460855654112</v>
      </c>
      <c r="AB101" s="4">
        <f>Games[[#This Row],[PreGmRate]]+Games[[#This Row],[RatingChange]]</f>
        <v>1522.2754501676095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44055</v>
      </c>
      <c r="B102" s="2">
        <v>2020</v>
      </c>
      <c r="C102" s="2">
        <f>COUNTIFS(Games[Team],Games[[#This Row],[Team]],Games[Season],Games[[#This Row],[Season]],Games[Date],"&lt;=" &amp; Games[[#This Row],[Date]])</f>
        <v>9</v>
      </c>
      <c r="D102" s="2" t="s">
        <v>79</v>
      </c>
      <c r="E102" s="2" t="s">
        <v>80</v>
      </c>
      <c r="F102" s="1" t="s">
        <v>77</v>
      </c>
      <c r="G102" s="1" t="s">
        <v>71</v>
      </c>
      <c r="H102" s="1" t="s">
        <v>86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1371.0012952895308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1598.95331060687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0.21211939179217193</v>
      </c>
      <c r="R102" s="1">
        <v>63</v>
      </c>
      <c r="S102" s="1">
        <v>100</v>
      </c>
      <c r="T102" s="1">
        <v>0</v>
      </c>
      <c r="U102" s="1">
        <f>Games[[#This Row],[PointsFor]]-Games[[#This Row],[PointsAgainst]]</f>
        <v>-37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0.65953213437091418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-10.443501796437797</v>
      </c>
      <c r="AB102" s="4">
        <f>Games[[#This Row],[PreGmRate]]+Games[[#This Row],[RatingChange]]</f>
        <v>1360.557793493093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44055</v>
      </c>
      <c r="B103" s="2">
        <v>2020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71</v>
      </c>
      <c r="G103" s="1" t="s">
        <v>77</v>
      </c>
      <c r="H103" s="1" t="s">
        <v>86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1598.95331060687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1371.0012952895308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0.78788060820782813</v>
      </c>
      <c r="R103" s="1">
        <v>100</v>
      </c>
      <c r="S103" s="1">
        <v>63</v>
      </c>
      <c r="T103" s="1">
        <v>0</v>
      </c>
      <c r="U103" s="1">
        <f>Games[[#This Row],[PointsFor]]-Games[[#This Row],[PointsAgainst]]</f>
        <v>37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0.65953213437091418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10.443501796437793</v>
      </c>
      <c r="AB103" s="4">
        <f>Games[[#This Row],[PreGmRate]]+Games[[#This Row],[RatingChange]]</f>
        <v>1609.3968124033079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44056</v>
      </c>
      <c r="B104" s="2">
        <v>2020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67</v>
      </c>
      <c r="G104" s="1" t="s">
        <v>84</v>
      </c>
      <c r="H104" s="1" t="s">
        <v>86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1561.8397973193648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1578.0676331366215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0.47666323490207174</v>
      </c>
      <c r="R104" s="1">
        <v>77</v>
      </c>
      <c r="S104" s="1">
        <v>87</v>
      </c>
      <c r="T104" s="1">
        <v>0</v>
      </c>
      <c r="U104" s="1">
        <f>Games[[#This Row],[PointsFor]]-Games[[#This Row],[PointsAgainst]]</f>
        <v>-10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0.41748398141006959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-14.855295139619461</v>
      </c>
      <c r="AB104" s="4">
        <f>Games[[#This Row],[PreGmRate]]+Games[[#This Row],[RatingChange]]</f>
        <v>1546.9845021797453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44056</v>
      </c>
      <c r="B105" s="2">
        <v>2020</v>
      </c>
      <c r="C105" s="2">
        <f>COUNTIFS(Games[Team],Games[[#This Row],[Team]],Games[Season],Games[[#This Row],[Season]],Games[Date],"&lt;=" &amp; Games[[#This Row],[Date]])</f>
        <v>9</v>
      </c>
      <c r="D105" s="2" t="s">
        <v>79</v>
      </c>
      <c r="E105" s="2" t="s">
        <v>80</v>
      </c>
      <c r="F105" s="1" t="s">
        <v>84</v>
      </c>
      <c r="G105" s="1" t="s">
        <v>67</v>
      </c>
      <c r="H105" s="1" t="s">
        <v>86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1578.0676331366215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1561.8397973193648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0.52333676509792826</v>
      </c>
      <c r="R105" s="1">
        <v>87</v>
      </c>
      <c r="S105" s="1">
        <v>77</v>
      </c>
      <c r="T105" s="1">
        <v>0</v>
      </c>
      <c r="U105" s="1">
        <f>Games[[#This Row],[PointsFor]]-Games[[#This Row],[PointsAgainst]]</f>
        <v>10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0.41748398141006959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14.855295139619461</v>
      </c>
      <c r="AB105" s="4">
        <f>Games[[#This Row],[PreGmRate]]+Games[[#This Row],[RatingChange]]</f>
        <v>1592.922928276241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44056</v>
      </c>
      <c r="B106" s="2">
        <v>2020</v>
      </c>
      <c r="C106" s="2">
        <f>COUNTIFS(Games[Team],Games[[#This Row],[Team]],Games[Season],Games[[#This Row],[Season]],Games[Date],"&lt;=" &amp; Games[[#This Row],[Date]])</f>
        <v>9</v>
      </c>
      <c r="D106" s="2" t="s">
        <v>79</v>
      </c>
      <c r="E106" s="2" t="s">
        <v>80</v>
      </c>
      <c r="F106" s="1" t="s">
        <v>69</v>
      </c>
      <c r="G106" s="1" t="s">
        <v>60</v>
      </c>
      <c r="H106" s="1" t="s">
        <v>86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1454.9440979455549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1348.4995479943573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0.64856651053049053</v>
      </c>
      <c r="R106" s="1">
        <v>86</v>
      </c>
      <c r="S106" s="1">
        <v>79</v>
      </c>
      <c r="T106" s="1">
        <v>0</v>
      </c>
      <c r="U106" s="1">
        <f>Games[[#This Row],[PointsFor]]-Games[[#This Row],[PointsAgainst]]</f>
        <v>7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0.33995212961864663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8.9184775402278333</v>
      </c>
      <c r="AB106" s="4">
        <f>Games[[#This Row],[PreGmRate]]+Games[[#This Row],[RatingChange]]</f>
        <v>1463.8625754857826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44056</v>
      </c>
      <c r="B107" s="2">
        <v>2020</v>
      </c>
      <c r="C107" s="2">
        <f>COUNTIFS(Games[Team],Games[[#This Row],[Team]],Games[Season],Games[[#This Row],[Season]],Games[Date],"&lt;=" &amp; Games[[#This Row],[Date]])</f>
        <v>9</v>
      </c>
      <c r="D107" s="2" t="s">
        <v>79</v>
      </c>
      <c r="E107" s="2" t="s">
        <v>80</v>
      </c>
      <c r="F107" s="1" t="s">
        <v>60</v>
      </c>
      <c r="G107" s="1" t="s">
        <v>69</v>
      </c>
      <c r="H107" s="1" t="s">
        <v>86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1348.4995479943573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1454.9440979455549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0.35143348946950947</v>
      </c>
      <c r="R107" s="1">
        <v>79</v>
      </c>
      <c r="S107" s="1">
        <v>86</v>
      </c>
      <c r="T107" s="1">
        <v>0</v>
      </c>
      <c r="U107" s="1">
        <f>Games[[#This Row],[PointsFor]]-Games[[#This Row],[PointsAgainst]]</f>
        <v>-7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0.33995212961864663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-8.9184775402278333</v>
      </c>
      <c r="AB107" s="4">
        <f>Games[[#This Row],[PreGmRate]]+Games[[#This Row],[RatingChange]]</f>
        <v>1339.5810704541295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44056</v>
      </c>
      <c r="B108" s="2">
        <v>2020</v>
      </c>
      <c r="C108" s="2">
        <f>COUNTIFS(Games[Team],Games[[#This Row],[Team]],Games[Season],Games[[#This Row],[Season]],Games[Date],"&lt;=" &amp; Games[[#This Row],[Date]])</f>
        <v>9</v>
      </c>
      <c r="D108" s="2" t="s">
        <v>79</v>
      </c>
      <c r="E108" s="2" t="s">
        <v>80</v>
      </c>
      <c r="F108" s="1" t="s">
        <v>63</v>
      </c>
      <c r="G108" s="1" t="s">
        <v>65</v>
      </c>
      <c r="H108" s="1" t="s">
        <v>86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1552.8731274628867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1555.8191381946763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0.49576045135853247</v>
      </c>
      <c r="R108" s="1">
        <v>81</v>
      </c>
      <c r="S108" s="1">
        <v>64</v>
      </c>
      <c r="T108" s="1">
        <v>0</v>
      </c>
      <c r="U108" s="1">
        <f>Games[[#This Row],[PointsFor]]-Games[[#This Row],[PointsAgainst]]</f>
        <v>17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0.53113812024673945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19.992826155355182</v>
      </c>
      <c r="AB108" s="4">
        <f>Games[[#This Row],[PreGmRate]]+Games[[#This Row],[RatingChange]]</f>
        <v>1572.865953618242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44056</v>
      </c>
      <c r="B109" s="2">
        <v>2020</v>
      </c>
      <c r="C109" s="2">
        <f>COUNTIFS(Games[Team],Games[[#This Row],[Team]],Games[Season],Games[[#This Row],[Season]],Games[Date],"&lt;=" &amp; Games[[#This Row],[Date]])</f>
        <v>9</v>
      </c>
      <c r="D109" s="2" t="s">
        <v>79</v>
      </c>
      <c r="E109" s="2" t="s">
        <v>80</v>
      </c>
      <c r="F109" s="1" t="s">
        <v>65</v>
      </c>
      <c r="G109" s="1" t="s">
        <v>63</v>
      </c>
      <c r="H109" s="1" t="s">
        <v>86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1555.8191381946763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1552.8731274628867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0.50423954864146758</v>
      </c>
      <c r="R109" s="1">
        <v>64</v>
      </c>
      <c r="S109" s="1">
        <v>81</v>
      </c>
      <c r="T109" s="1">
        <v>0</v>
      </c>
      <c r="U109" s="1">
        <f>Games[[#This Row],[PointsFor]]-Games[[#This Row],[PointsAgainst]]</f>
        <v>-17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0.53113812024673945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-19.992826155355186</v>
      </c>
      <c r="AB109" s="4">
        <f>Games[[#This Row],[PreGmRate]]+Games[[#This Row],[RatingChange]]</f>
        <v>1535.826312039321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44057</v>
      </c>
      <c r="B110" s="2">
        <v>2020</v>
      </c>
      <c r="C110" s="2">
        <f>COUNTIFS(Games[Team],Games[[#This Row],[Team]],Games[Season],Games[[#This Row],[Season]],Games[Date],"&lt;=" &amp; Games[[#This Row],[Date]])</f>
        <v>10</v>
      </c>
      <c r="D110" s="2" t="s">
        <v>79</v>
      </c>
      <c r="E110" s="2" t="s">
        <v>80</v>
      </c>
      <c r="F110" s="1" t="s">
        <v>74</v>
      </c>
      <c r="G110" s="1" t="s">
        <v>75</v>
      </c>
      <c r="H110" s="1" t="s">
        <v>86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1522.2754501676095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1559.5966645960118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0.44649608826844078</v>
      </c>
      <c r="R110" s="1">
        <v>77</v>
      </c>
      <c r="S110" s="1">
        <v>74</v>
      </c>
      <c r="T110" s="1">
        <v>0</v>
      </c>
      <c r="U110" s="1">
        <f>Games[[#This Row],[PointsFor]]-Games[[#This Row],[PointsAgainst]]</f>
        <v>3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0.28143074026198994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11.605089663430729</v>
      </c>
      <c r="AB110" s="4">
        <f>Games[[#This Row],[PreGmRate]]+Games[[#This Row],[RatingChange]]</f>
        <v>1533.8805398310403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44057</v>
      </c>
      <c r="B111" s="2">
        <v>2020</v>
      </c>
      <c r="C111" s="2">
        <f>COUNTIFS(Games[Team],Games[[#This Row],[Team]],Games[Season],Games[[#This Row],[Season]],Games[Date],"&lt;=" &amp; Games[[#This Row],[Date]])</f>
        <v>10</v>
      </c>
      <c r="D111" s="2" t="s">
        <v>79</v>
      </c>
      <c r="E111" s="2" t="s">
        <v>80</v>
      </c>
      <c r="F111" s="1" t="s">
        <v>75</v>
      </c>
      <c r="G111" s="1" t="s">
        <v>74</v>
      </c>
      <c r="H111" s="1" t="s">
        <v>86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1559.5966645960118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1522.2754501676095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0.55350391173155922</v>
      </c>
      <c r="R111" s="1">
        <v>74</v>
      </c>
      <c r="S111" s="1">
        <v>77</v>
      </c>
      <c r="T111" s="1">
        <v>0</v>
      </c>
      <c r="U111" s="1">
        <f>Games[[#This Row],[PointsFor]]-Games[[#This Row],[PointsAgainst]]</f>
        <v>-3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0.28143074026198994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-11.605089663430729</v>
      </c>
      <c r="AB111" s="4">
        <f>Games[[#This Row],[PreGmRate]]+Games[[#This Row],[RatingChange]]</f>
        <v>1547.991574932581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44057</v>
      </c>
      <c r="B112" s="2">
        <v>2020</v>
      </c>
      <c r="C112" s="2">
        <f>COUNTIFS(Games[Team],Games[[#This Row],[Team]],Games[Season],Games[[#This Row],[Season]],Games[Date],"&lt;=" &amp; Games[[#This Row],[Date]])</f>
        <v>10</v>
      </c>
      <c r="D112" s="2" t="s">
        <v>79</v>
      </c>
      <c r="E112" s="2" t="s">
        <v>80</v>
      </c>
      <c r="F112" s="1" t="s">
        <v>71</v>
      </c>
      <c r="G112" s="1" t="s">
        <v>83</v>
      </c>
      <c r="H112" s="1" t="s">
        <v>86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1609.3968124033079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1409.645181261895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0.75948585964634874</v>
      </c>
      <c r="R112" s="1">
        <v>83</v>
      </c>
      <c r="S112" s="1">
        <v>65</v>
      </c>
      <c r="T112" s="1">
        <v>0</v>
      </c>
      <c r="U112" s="1">
        <f>Games[[#This Row],[PointsFor]]-Games[[#This Row],[PointsAgainst]]</f>
        <v>18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0.4687979666910575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8.4000642268888299</v>
      </c>
      <c r="AB112" s="4">
        <f>Games[[#This Row],[PreGmRate]]+Games[[#This Row],[RatingChange]]</f>
        <v>1617.7968766301967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44057</v>
      </c>
      <c r="B113" s="2">
        <v>2020</v>
      </c>
      <c r="C113" s="2">
        <f>COUNTIFS(Games[Team],Games[[#This Row],[Team]],Games[Season],Games[[#This Row],[Season]],Games[Date],"&lt;=" &amp; Games[[#This Row],[Date]])</f>
        <v>10</v>
      </c>
      <c r="D113" s="2" t="s">
        <v>79</v>
      </c>
      <c r="E113" s="2" t="s">
        <v>80</v>
      </c>
      <c r="F113" s="1" t="s">
        <v>83</v>
      </c>
      <c r="G113" s="1" t="s">
        <v>71</v>
      </c>
      <c r="H113" s="1" t="s">
        <v>86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1409.645181261895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1609.3968124033079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0.24051414035365121</v>
      </c>
      <c r="R113" s="1">
        <v>65</v>
      </c>
      <c r="S113" s="1">
        <v>83</v>
      </c>
      <c r="T113" s="1">
        <v>0</v>
      </c>
      <c r="U113" s="1">
        <f>Games[[#This Row],[PointsFor]]-Games[[#This Row],[PointsAgainst]]</f>
        <v>-18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0.4687979666910575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-8.4000642268888281</v>
      </c>
      <c r="AB113" s="4">
        <f>Games[[#This Row],[PreGmRate]]+Games[[#This Row],[RatingChange]]</f>
        <v>1401.2451170350062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44057</v>
      </c>
      <c r="B114" s="2">
        <v>2020</v>
      </c>
      <c r="C114" s="2">
        <f>COUNTIFS(Games[Team],Games[[#This Row],[Team]],Games[Season],Games[[#This Row],[Season]],Games[Date],"&lt;=" &amp; Games[[#This Row],[Date]])</f>
        <v>10</v>
      </c>
      <c r="D114" s="2" t="s">
        <v>79</v>
      </c>
      <c r="E114" s="2" t="s">
        <v>80</v>
      </c>
      <c r="F114" s="1" t="s">
        <v>77</v>
      </c>
      <c r="G114" s="1" t="s">
        <v>40</v>
      </c>
      <c r="H114" s="1" t="s">
        <v>86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1360.557793493093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1486.7790466308056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0.32594392668671329</v>
      </c>
      <c r="R114" s="1">
        <v>80</v>
      </c>
      <c r="S114" s="1">
        <v>96</v>
      </c>
      <c r="T114" s="1">
        <v>0</v>
      </c>
      <c r="U114" s="1">
        <f>Games[[#This Row],[PointsFor]]-Games[[#This Row],[PointsAgainst]]</f>
        <v>-16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0.46850647074614099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-11.376659487108256</v>
      </c>
      <c r="AB114" s="4">
        <f>Games[[#This Row],[PreGmRate]]+Games[[#This Row],[RatingChange]]</f>
        <v>1349.1811340059846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44057</v>
      </c>
      <c r="B115" s="2">
        <v>2020</v>
      </c>
      <c r="C115" s="2">
        <f>COUNTIFS(Games[Team],Games[[#This Row],[Team]],Games[Season],Games[[#This Row],[Season]],Games[Date],"&lt;=" &amp; Games[[#This Row],[Date]])</f>
        <v>10</v>
      </c>
      <c r="D115" s="2" t="s">
        <v>79</v>
      </c>
      <c r="E115" s="2" t="s">
        <v>80</v>
      </c>
      <c r="F115" s="1" t="s">
        <v>40</v>
      </c>
      <c r="G115" s="1" t="s">
        <v>77</v>
      </c>
      <c r="H115" s="1" t="s">
        <v>86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1486.7790466308056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1360.557793493093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0.67405607331328665</v>
      </c>
      <c r="R115" s="1">
        <v>96</v>
      </c>
      <c r="S115" s="1">
        <v>80</v>
      </c>
      <c r="T115" s="1">
        <v>0</v>
      </c>
      <c r="U115" s="1">
        <f>Games[[#This Row],[PointsFor]]-Games[[#This Row],[PointsAgainst]]</f>
        <v>16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0.46850647074614099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11.376659487108258</v>
      </c>
      <c r="AB115" s="4">
        <f>Games[[#This Row],[PreGmRate]]+Games[[#This Row],[RatingChange]]</f>
        <v>1498.155706117914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44058</v>
      </c>
      <c r="B116" s="2">
        <v>2020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63</v>
      </c>
      <c r="G116" s="1" t="s">
        <v>69</v>
      </c>
      <c r="H116" s="1" t="s">
        <v>86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1572.865953618242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1463.8625754857826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0.65191645262231879</v>
      </c>
      <c r="R116" s="1">
        <v>90</v>
      </c>
      <c r="S116" s="1">
        <v>76</v>
      </c>
      <c r="T116" s="1">
        <v>0</v>
      </c>
      <c r="U116" s="1">
        <f>Games[[#This Row],[PointsFor]]-Games[[#This Row],[PointsAgainst]]</f>
        <v>14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0.44700398334778907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11.591807550066102</v>
      </c>
      <c r="AB116" s="4">
        <f>Games[[#This Row],[PreGmRate]]+Games[[#This Row],[RatingChange]]</f>
        <v>1584.457761168308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44058</v>
      </c>
      <c r="B117" s="2">
        <v>2020</v>
      </c>
      <c r="C117" s="2">
        <f>COUNTIFS(Games[Team],Games[[#This Row],[Team]],Games[Season],Games[[#This Row],[Season]],Games[Date],"&lt;=" &amp; Games[[#This Row],[Date]])</f>
        <v>10</v>
      </c>
      <c r="D117" s="2" t="s">
        <v>79</v>
      </c>
      <c r="E117" s="2" t="s">
        <v>80</v>
      </c>
      <c r="F117" s="1" t="s">
        <v>69</v>
      </c>
      <c r="G117" s="1" t="s">
        <v>63</v>
      </c>
      <c r="H117" s="1" t="s">
        <v>86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1463.8625754857826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1572.865953618242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0.34808354737768116</v>
      </c>
      <c r="R117" s="1">
        <v>76</v>
      </c>
      <c r="S117" s="1">
        <v>90</v>
      </c>
      <c r="T117" s="1">
        <v>0</v>
      </c>
      <c r="U117" s="1">
        <f>Games[[#This Row],[PointsFor]]-Games[[#This Row],[PointsAgainst]]</f>
        <v>-14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0.44700398334778907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-11.591807550066099</v>
      </c>
      <c r="AB117" s="4">
        <f>Games[[#This Row],[PreGmRate]]+Games[[#This Row],[RatingChange]]</f>
        <v>1452.2707679357165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44058</v>
      </c>
      <c r="B118" s="2">
        <v>2020</v>
      </c>
      <c r="C118" s="2">
        <f>COUNTIFS(Games[Team],Games[[#This Row],[Team]],Games[Season],Games[[#This Row],[Season]],Games[Date],"&lt;=" &amp; Games[[#This Row],[Date]])</f>
        <v>10</v>
      </c>
      <c r="D118" s="2" t="s">
        <v>79</v>
      </c>
      <c r="E118" s="2" t="s">
        <v>80</v>
      </c>
      <c r="F118" s="1" t="s">
        <v>65</v>
      </c>
      <c r="G118" s="1" t="s">
        <v>84</v>
      </c>
      <c r="H118" s="1" t="s">
        <v>86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1535.826312039321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1592.922928276241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0.41856316204359179</v>
      </c>
      <c r="R118" s="1">
        <v>73</v>
      </c>
      <c r="S118" s="1">
        <v>88</v>
      </c>
      <c r="T118" s="1">
        <v>0</v>
      </c>
      <c r="U118" s="1">
        <f>Games[[#This Row],[PointsFor]]-Games[[#This Row],[PointsAgainst]]</f>
        <v>-15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0.48000895544594524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74.5</v>
      </c>
      <c r="Z118" s="4">
        <f>Games[[#This Row],[K]]*Games[[#This Row],[POMult]]</f>
        <v>74.5</v>
      </c>
      <c r="AA118" s="4">
        <f>(Games[[#This Row],[Keff]]*Games[[#This Row],[MOVMult]])*(Games[[#This Row],[Result]]-Games[[#This Row],[ExpectedWin%]])</f>
        <v>-14.968097931951881</v>
      </c>
      <c r="AB118" s="4">
        <f>Games[[#This Row],[PreGmRate]]+Games[[#This Row],[RatingChange]]</f>
        <v>1520.8582141073691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44058</v>
      </c>
      <c r="B119" s="2">
        <v>2020</v>
      </c>
      <c r="C119" s="2">
        <f>COUNTIFS(Games[Team],Games[[#This Row],[Team]],Games[Season],Games[[#This Row],[Season]],Games[Date],"&lt;=" &amp; Games[[#This Row],[Date]])</f>
        <v>10</v>
      </c>
      <c r="D119" s="2" t="s">
        <v>79</v>
      </c>
      <c r="E119" s="2" t="s">
        <v>80</v>
      </c>
      <c r="F119" s="1" t="s">
        <v>84</v>
      </c>
      <c r="G119" s="1" t="s">
        <v>65</v>
      </c>
      <c r="H119" s="1" t="s">
        <v>86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1592.922928276241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1535.826312039321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0.58143683795640821</v>
      </c>
      <c r="R119" s="1">
        <v>88</v>
      </c>
      <c r="S119" s="1">
        <v>73</v>
      </c>
      <c r="T119" s="1">
        <v>0</v>
      </c>
      <c r="U119" s="1">
        <f>Games[[#This Row],[PointsFor]]-Games[[#This Row],[PointsAgainst]]</f>
        <v>15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0.48000895544594524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14.968097931951881</v>
      </c>
      <c r="AB119" s="4">
        <f>Games[[#This Row],[PreGmRate]]+Games[[#This Row],[RatingChange]]</f>
        <v>1607.8910262081929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44058</v>
      </c>
      <c r="B120" s="2">
        <v>2020</v>
      </c>
      <c r="C120" s="2">
        <f>COUNTIFS(Games[Team],Games[[#This Row],[Team]],Games[Season],Games[[#This Row],[Season]],Games[Date],"&lt;=" &amp; Games[[#This Row],[Date]])</f>
        <v>10</v>
      </c>
      <c r="D120" s="2" t="s">
        <v>79</v>
      </c>
      <c r="E120" s="2" t="s">
        <v>80</v>
      </c>
      <c r="F120" s="1" t="s">
        <v>60</v>
      </c>
      <c r="G120" s="1" t="s">
        <v>67</v>
      </c>
      <c r="H120" s="1" t="s">
        <v>86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1339.5810704541295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1546.9845021797453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0.23256034248480273</v>
      </c>
      <c r="R120" s="1">
        <v>64</v>
      </c>
      <c r="S120" s="1">
        <v>94</v>
      </c>
      <c r="T120" s="1">
        <v>0</v>
      </c>
      <c r="U120" s="1">
        <f>Games[[#This Row],[PointsFor]]-Games[[#This Row],[PointsAgainst]]</f>
        <v>-30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0.59982176574255652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-10.392359267684141</v>
      </c>
      <c r="AB120" s="4">
        <f>Games[[#This Row],[PreGmRate]]+Games[[#This Row],[RatingChange]]</f>
        <v>1329.1887111864453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44058</v>
      </c>
      <c r="B121" s="2">
        <v>2020</v>
      </c>
      <c r="C121" s="2">
        <f>COUNTIFS(Games[Team],Games[[#This Row],[Team]],Games[Season],Games[[#This Row],[Season]],Games[Date],"&lt;=" &amp; Games[[#This Row],[Date]])</f>
        <v>10</v>
      </c>
      <c r="D121" s="2" t="s">
        <v>79</v>
      </c>
      <c r="E121" s="2" t="s">
        <v>80</v>
      </c>
      <c r="F121" s="1" t="s">
        <v>67</v>
      </c>
      <c r="G121" s="1" t="s">
        <v>60</v>
      </c>
      <c r="H121" s="1" t="s">
        <v>86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1546.9845021797453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1339.5810704541295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0.76743965751519738</v>
      </c>
      <c r="R121" s="1">
        <v>94</v>
      </c>
      <c r="S121" s="1">
        <v>64</v>
      </c>
      <c r="T121" s="1">
        <v>0</v>
      </c>
      <c r="U121" s="1">
        <f>Games[[#This Row],[PointsFor]]-Games[[#This Row],[PointsAgainst]]</f>
        <v>30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0.59982176574255652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10.392359267684135</v>
      </c>
      <c r="AB121" s="4">
        <f>Games[[#This Row],[PreGmRate]]+Games[[#This Row],[RatingChange]]</f>
        <v>1557.3768614474295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44059</v>
      </c>
      <c r="B122" s="2">
        <v>2020</v>
      </c>
      <c r="C122" s="2">
        <f>COUNTIFS(Games[Team],Games[[#This Row],[Team]],Games[Season],Games[[#This Row],[Season]],Games[Date],"&lt;=" &amp; Games[[#This Row],[Date]])</f>
        <v>11</v>
      </c>
      <c r="D122" s="2" t="s">
        <v>79</v>
      </c>
      <c r="E122" s="2" t="s">
        <v>80</v>
      </c>
      <c r="F122" s="1" t="s">
        <v>75</v>
      </c>
      <c r="G122" s="1" t="s">
        <v>77</v>
      </c>
      <c r="H122" s="1" t="s">
        <v>86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1547.991574932581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1349.1811340059846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0.75849479191182068</v>
      </c>
      <c r="R122" s="1">
        <v>92</v>
      </c>
      <c r="S122" s="1">
        <v>67</v>
      </c>
      <c r="T122" s="1">
        <v>0</v>
      </c>
      <c r="U122" s="1">
        <f>Games[[#This Row],[PointsFor]]-Games[[#This Row],[PointsAgainst]]</f>
        <v>25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0.5501915138428638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9.87919052749751</v>
      </c>
      <c r="AB122" s="4">
        <f>Games[[#This Row],[PreGmRate]]+Games[[#This Row],[RatingChange]]</f>
        <v>1557.8707654600785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44059</v>
      </c>
      <c r="B123" s="2">
        <v>2020</v>
      </c>
      <c r="C123" s="2">
        <f>COUNTIFS(Games[Team],Games[[#This Row],[Team]],Games[Season],Games[[#This Row],[Season]],Games[Date],"&lt;=" &amp; Games[[#This Row],[Date]])</f>
        <v>11</v>
      </c>
      <c r="D123" s="2" t="s">
        <v>79</v>
      </c>
      <c r="E123" s="2" t="s">
        <v>80</v>
      </c>
      <c r="F123" s="1" t="s">
        <v>77</v>
      </c>
      <c r="G123" s="1" t="s">
        <v>75</v>
      </c>
      <c r="H123" s="1" t="s">
        <v>86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1349.1811340059846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1547.991574932581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0.24150520808817941</v>
      </c>
      <c r="R123" s="1">
        <v>67</v>
      </c>
      <c r="S123" s="1">
        <v>92</v>
      </c>
      <c r="T123" s="1">
        <v>0</v>
      </c>
      <c r="U123" s="1">
        <f>Games[[#This Row],[PointsFor]]-Games[[#This Row],[PointsAgainst]]</f>
        <v>-25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0.5501915138428638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-9.8791905274975136</v>
      </c>
      <c r="AB123" s="4">
        <f>Games[[#This Row],[PreGmRate]]+Games[[#This Row],[RatingChange]]</f>
        <v>1339.3019434784871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44059</v>
      </c>
      <c r="B124" s="2">
        <v>2020</v>
      </c>
      <c r="C124" s="2">
        <f>COUNTIFS(Games[Team],Games[[#This Row],[Team]],Games[Season],Games[[#This Row],[Season]],Games[Date],"&lt;=" &amp; Games[[#This Row],[Date]])</f>
        <v>11</v>
      </c>
      <c r="D124" s="2" t="s">
        <v>79</v>
      </c>
      <c r="E124" s="2" t="s">
        <v>80</v>
      </c>
      <c r="F124" s="1" t="s">
        <v>71</v>
      </c>
      <c r="G124" s="1" t="s">
        <v>74</v>
      </c>
      <c r="H124" s="1" t="s">
        <v>86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1617.7968766301967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1533.8805398310403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0.61847048698728346</v>
      </c>
      <c r="R124" s="1">
        <v>95</v>
      </c>
      <c r="S124" s="1">
        <v>72</v>
      </c>
      <c r="T124" s="1">
        <v>0</v>
      </c>
      <c r="U124" s="1">
        <f>Games[[#This Row],[PointsFor]]-Games[[#This Row],[PointsAgainst]]</f>
        <v>23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0.57511950110019605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16.314253447349301</v>
      </c>
      <c r="AB124" s="4">
        <f>Games[[#This Row],[PreGmRate]]+Games[[#This Row],[RatingChange]]</f>
        <v>1634.111130077546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44059</v>
      </c>
      <c r="B125" s="2">
        <v>2020</v>
      </c>
      <c r="C125" s="2">
        <f>COUNTIFS(Games[Team],Games[[#This Row],[Team]],Games[Season],Games[[#This Row],[Season]],Games[Date],"&lt;=" &amp; Games[[#This Row],[Date]])</f>
        <v>11</v>
      </c>
      <c r="D125" s="2" t="s">
        <v>79</v>
      </c>
      <c r="E125" s="2" t="s">
        <v>80</v>
      </c>
      <c r="F125" s="1" t="s">
        <v>74</v>
      </c>
      <c r="G125" s="1" t="s">
        <v>71</v>
      </c>
      <c r="H125" s="1" t="s">
        <v>86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1533.8805398310403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1617.7968766301967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0.38152951301271654</v>
      </c>
      <c r="R125" s="1">
        <v>72</v>
      </c>
      <c r="S125" s="1">
        <v>95</v>
      </c>
      <c r="T125" s="1">
        <v>0</v>
      </c>
      <c r="U125" s="1">
        <f>Games[[#This Row],[PointsFor]]-Games[[#This Row],[PointsAgainst]]</f>
        <v>-23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0.57511950110019605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-16.314253447349301</v>
      </c>
      <c r="AB125" s="4">
        <f>Games[[#This Row],[PreGmRate]]+Games[[#This Row],[RatingChange]]</f>
        <v>1517.566286383691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44059</v>
      </c>
      <c r="B126" s="2">
        <v>2020</v>
      </c>
      <c r="C126" s="2">
        <f>COUNTIFS(Games[Team],Games[[#This Row],[Team]],Games[Season],Games[[#This Row],[Season]],Games[Date],"&lt;=" &amp; Games[[#This Row],[Date]])</f>
        <v>11</v>
      </c>
      <c r="D126" s="2" t="s">
        <v>79</v>
      </c>
      <c r="E126" s="2" t="s">
        <v>80</v>
      </c>
      <c r="F126" s="1" t="s">
        <v>83</v>
      </c>
      <c r="G126" s="1" t="s">
        <v>40</v>
      </c>
      <c r="H126" s="1" t="s">
        <v>86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1401.2451170350062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1498.155706117914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0.36404225082127917</v>
      </c>
      <c r="R126" s="1">
        <v>95</v>
      </c>
      <c r="S126" s="1">
        <v>89</v>
      </c>
      <c r="T126" s="1">
        <v>0</v>
      </c>
      <c r="U126" s="1">
        <f>Games[[#This Row],[PointsFor]]-Games[[#This Row],[PointsAgainst]]</f>
        <v>6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0.32503159189044323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15.368617835562807</v>
      </c>
      <c r="AB126" s="4">
        <f>Games[[#This Row],[PreGmRate]]+Games[[#This Row],[RatingChange]]</f>
        <v>1416.613734870569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44059</v>
      </c>
      <c r="B127" s="2">
        <v>2020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40</v>
      </c>
      <c r="G127" s="1" t="s">
        <v>83</v>
      </c>
      <c r="H127" s="1" t="s">
        <v>86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1498.155706117914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1401.2451170350062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0.63595774917872083</v>
      </c>
      <c r="R127" s="1">
        <v>89</v>
      </c>
      <c r="S127" s="1">
        <v>95</v>
      </c>
      <c r="T127" s="1">
        <v>0</v>
      </c>
      <c r="U127" s="1">
        <f>Games[[#This Row],[PointsFor]]-Games[[#This Row],[PointsAgainst]]</f>
        <v>-6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0.32503159189044323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-15.368617835562807</v>
      </c>
      <c r="AB127" s="4">
        <f>Games[[#This Row],[PreGmRate]]+Games[[#This Row],[RatingChange]]</f>
        <v>1482.7870882823511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44061</v>
      </c>
      <c r="B128" s="2">
        <v>2020</v>
      </c>
      <c r="C128" s="2">
        <f>COUNTIFS(Games[Team],Games[[#This Row],[Team]],Games[Season],Games[[#This Row],[Season]],Games[Date],"&lt;=" &amp; Games[[#This Row],[Date]])</f>
        <v>11</v>
      </c>
      <c r="D128" s="2" t="s">
        <v>79</v>
      </c>
      <c r="E128" s="2" t="s">
        <v>80</v>
      </c>
      <c r="F128" s="1" t="s">
        <v>84</v>
      </c>
      <c r="G128" s="1" t="s">
        <v>75</v>
      </c>
      <c r="H128" s="1" t="s">
        <v>86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1607.8910262081929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1557.8707654600785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0.59388351511222981</v>
      </c>
      <c r="R128" s="1">
        <v>82</v>
      </c>
      <c r="S128" s="1">
        <v>84</v>
      </c>
      <c r="T128" s="1">
        <v>0</v>
      </c>
      <c r="U128" s="1">
        <f>Games[[#This Row],[PointsFor]]-Games[[#This Row],[PointsAgainst]]</f>
        <v>-2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0.25712350036570292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-11.353349700795983</v>
      </c>
      <c r="AB128" s="4">
        <f>Games[[#This Row],[PreGmRate]]+Games[[#This Row],[RatingChange]]</f>
        <v>1596.537676507397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44061</v>
      </c>
      <c r="B129" s="2">
        <v>2020</v>
      </c>
      <c r="C129" s="2">
        <f>COUNTIFS(Games[Team],Games[[#This Row],[Team]],Games[Season],Games[[#This Row],[Season]],Games[Date],"&lt;=" &amp; Games[[#This Row],[Date]])</f>
        <v>12</v>
      </c>
      <c r="D129" s="2" t="s">
        <v>79</v>
      </c>
      <c r="E129" s="2" t="s">
        <v>80</v>
      </c>
      <c r="F129" s="1" t="s">
        <v>75</v>
      </c>
      <c r="G129" s="1" t="s">
        <v>84</v>
      </c>
      <c r="H129" s="1" t="s">
        <v>86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1557.8707654600785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1607.8910262081929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0.40611648488777013</v>
      </c>
      <c r="R129" s="1">
        <v>84</v>
      </c>
      <c r="S129" s="1">
        <v>82</v>
      </c>
      <c r="T129" s="1">
        <v>0</v>
      </c>
      <c r="U129" s="1">
        <f>Games[[#This Row],[PointsFor]]-Games[[#This Row],[PointsAgainst]]</f>
        <v>2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0.25712350036570292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74.2</v>
      </c>
      <c r="Z129" s="4">
        <f>Games[[#This Row],[K]]*Games[[#This Row],[POMult]]</f>
        <v>74.2</v>
      </c>
      <c r="AA129" s="4">
        <f>(Games[[#This Row],[Keff]]*Games[[#This Row],[MOVMult]])*(Games[[#This Row],[Result]]-Games[[#This Row],[ExpectedWin%]])</f>
        <v>11.330444489563714</v>
      </c>
      <c r="AB129" s="4">
        <f>Games[[#This Row],[PreGmRate]]+Games[[#This Row],[RatingChange]]</f>
        <v>1569.2012099496421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44061</v>
      </c>
      <c r="B130" s="2">
        <v>2020</v>
      </c>
      <c r="C130" s="2">
        <f>COUNTIFS(Games[Team],Games[[#This Row],[Team]],Games[Season],Games[[#This Row],[Season]],Games[Date],"&lt;=" &amp; Games[[#This Row],[Date]])</f>
        <v>11</v>
      </c>
      <c r="D130" s="2" t="s">
        <v>79</v>
      </c>
      <c r="E130" s="2" t="s">
        <v>80</v>
      </c>
      <c r="F130" s="1" t="s">
        <v>69</v>
      </c>
      <c r="G130" s="1" t="s">
        <v>74</v>
      </c>
      <c r="H130" s="1" t="s">
        <v>86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1452.2707679357165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1517.566286383691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0.42953028913952424</v>
      </c>
      <c r="R130" s="1">
        <v>62</v>
      </c>
      <c r="S130" s="1">
        <v>84</v>
      </c>
      <c r="T130" s="1">
        <v>0</v>
      </c>
      <c r="U130" s="1">
        <f>Games[[#This Row],[PointsFor]]-Games[[#This Row],[PointsAgainst]]</f>
        <v>-22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0.57098708961713085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-18.234802165059804</v>
      </c>
      <c r="AB130" s="4">
        <f>Games[[#This Row],[PreGmRate]]+Games[[#This Row],[RatingChange]]</f>
        <v>1434.0359657706567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44061</v>
      </c>
      <c r="B131" s="2">
        <v>2020</v>
      </c>
      <c r="C131" s="2">
        <f>COUNTIFS(Games[Team],Games[[#This Row],[Team]],Games[Season],Games[[#This Row],[Season]],Games[Date],"&lt;=" &amp; Games[[#This Row],[Date]])</f>
        <v>12</v>
      </c>
      <c r="D131" s="2" t="s">
        <v>79</v>
      </c>
      <c r="E131" s="2" t="s">
        <v>80</v>
      </c>
      <c r="F131" s="1" t="s">
        <v>74</v>
      </c>
      <c r="G131" s="1" t="s">
        <v>69</v>
      </c>
      <c r="H131" s="1" t="s">
        <v>86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1517.566286383691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1452.2707679357165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0.57046971086047582</v>
      </c>
      <c r="R131" s="1">
        <v>84</v>
      </c>
      <c r="S131" s="1">
        <v>62</v>
      </c>
      <c r="T131" s="1">
        <v>0</v>
      </c>
      <c r="U131" s="1">
        <f>Games[[#This Row],[PointsFor]]-Games[[#This Row],[PointsAgainst]]</f>
        <v>22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0.57098708961713085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74.2</v>
      </c>
      <c r="Z131" s="4">
        <f>Games[[#This Row],[K]]*Games[[#This Row],[POMult]]</f>
        <v>74.2</v>
      </c>
      <c r="AA131" s="4">
        <f>(Games[[#This Row],[Keff]]*Games[[#This Row],[MOVMult]])*(Games[[#This Row],[Result]]-Games[[#This Row],[ExpectedWin%]])</f>
        <v>18.198013727605076</v>
      </c>
      <c r="AB131" s="4">
        <f>Games[[#This Row],[PreGmRate]]+Games[[#This Row],[RatingChange]]</f>
        <v>1535.7643001112961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44061</v>
      </c>
      <c r="B132" s="2">
        <v>2020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60</v>
      </c>
      <c r="G132" s="1" t="s">
        <v>71</v>
      </c>
      <c r="H132" s="1" t="s">
        <v>86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1</v>
      </c>
      <c r="L132" s="2">
        <f>Games[[#This Row],[OppDaysOff]]-Games[[#This Row],[DaysOff]]</f>
        <v>-1</v>
      </c>
      <c r="M132" s="1">
        <f>MAX(-16, MIN(16, Games[[#This Row],[RestDiff]]*8))</f>
        <v>8</v>
      </c>
      <c r="N132" s="1">
        <f>MAX(-16, MIN(16, Games[[#This Row],[OppRestDiff]]*8))</f>
        <v>-8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1329.1887111864453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1634.111130077546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0.15933676869648666</v>
      </c>
      <c r="R132" s="1">
        <v>64</v>
      </c>
      <c r="S132" s="1">
        <v>105</v>
      </c>
      <c r="T132" s="1">
        <v>0</v>
      </c>
      <c r="U132" s="1">
        <f>Games[[#This Row],[PointsFor]]-Games[[#This Row],[PointsAgainst]]</f>
        <v>-41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0.66090735813314883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-7.8295637660958359</v>
      </c>
      <c r="AB132" s="4">
        <f>Games[[#This Row],[PreGmRate]]+Games[[#This Row],[RatingChange]]</f>
        <v>1321.3591474203495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44061</v>
      </c>
      <c r="B133" s="2">
        <v>2020</v>
      </c>
      <c r="C133" s="2">
        <f>COUNTIFS(Games[Team],Games[[#This Row],[Team]],Games[Season],Games[[#This Row],[Season]],Games[Date],"&lt;=" &amp; Games[[#This Row],[Date]])</f>
        <v>12</v>
      </c>
      <c r="D133" s="2" t="s">
        <v>79</v>
      </c>
      <c r="E133" s="2" t="s">
        <v>80</v>
      </c>
      <c r="F133" s="1" t="s">
        <v>71</v>
      </c>
      <c r="G133" s="1" t="s">
        <v>60</v>
      </c>
      <c r="H133" s="1" t="s">
        <v>86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-1</v>
      </c>
      <c r="L133" s="2">
        <f>Games[[#This Row],[OppDaysOff]]-Games[[#This Row],[DaysOff]]</f>
        <v>1</v>
      </c>
      <c r="M133" s="1">
        <f>MAX(-16, MIN(16, Games[[#This Row],[RestDiff]]*8))</f>
        <v>-8</v>
      </c>
      <c r="N133" s="1">
        <f>MAX(-16, MIN(16, Games[[#This Row],[OppRestDiff]]*8))</f>
        <v>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1634.111130077546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1329.1887111864453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0.84066323130351328</v>
      </c>
      <c r="R133" s="1">
        <v>105</v>
      </c>
      <c r="S133" s="1">
        <v>64</v>
      </c>
      <c r="T133" s="1">
        <v>0</v>
      </c>
      <c r="U133" s="1">
        <f>Games[[#This Row],[PointsFor]]-Games[[#This Row],[PointsAgainst]]</f>
        <v>41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0.66090735813314883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7.8137677396679388</v>
      </c>
      <c r="AB133" s="4">
        <f>Games[[#This Row],[PreGmRate]]+Games[[#This Row],[RatingChange]]</f>
        <v>1641.9248978172141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44062</v>
      </c>
      <c r="B134" s="2">
        <v>2020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40</v>
      </c>
      <c r="G134" s="1" t="s">
        <v>63</v>
      </c>
      <c r="H134" s="1" t="s">
        <v>86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1482.7870882823511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1584.457761168308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0.33684924907011399</v>
      </c>
      <c r="R134" s="1">
        <v>74</v>
      </c>
      <c r="S134" s="1">
        <v>83</v>
      </c>
      <c r="T134" s="1">
        <v>0</v>
      </c>
      <c r="U134" s="1">
        <f>Games[[#This Row],[PointsFor]]-Games[[#This Row],[PointsAgainst]]</f>
        <v>-9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0.37426197172944481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-9.3543839186362288</v>
      </c>
      <c r="AB134" s="4">
        <f>Games[[#This Row],[PreGmRate]]+Games[[#This Row],[RatingChange]]</f>
        <v>1473.4327043637149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44062</v>
      </c>
      <c r="B135" s="2">
        <v>2020</v>
      </c>
      <c r="C135" s="2">
        <f>COUNTIFS(Games[Team],Games[[#This Row],[Team]],Games[Season],Games[[#This Row],[Season]],Games[Date],"&lt;=" &amp; Games[[#This Row],[Date]])</f>
        <v>11</v>
      </c>
      <c r="D135" s="2" t="s">
        <v>79</v>
      </c>
      <c r="E135" s="2" t="s">
        <v>80</v>
      </c>
      <c r="F135" s="1" t="s">
        <v>63</v>
      </c>
      <c r="G135" s="1" t="s">
        <v>40</v>
      </c>
      <c r="H135" s="1" t="s">
        <v>86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1584.457761168308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1482.7870882823511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0.66315075092988596</v>
      </c>
      <c r="R135" s="1">
        <v>83</v>
      </c>
      <c r="S135" s="1">
        <v>74</v>
      </c>
      <c r="T135" s="1">
        <v>0</v>
      </c>
      <c r="U135" s="1">
        <f>Games[[#This Row],[PointsFor]]-Games[[#This Row],[PointsAgainst]]</f>
        <v>9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0.37426197172944481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9.3732943982561139</v>
      </c>
      <c r="AB135" s="4">
        <f>Games[[#This Row],[PreGmRate]]+Games[[#This Row],[RatingChange]]</f>
        <v>1593.8310555665641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44062</v>
      </c>
      <c r="B136" s="2">
        <v>2020</v>
      </c>
      <c r="C136" s="2">
        <f>COUNTIFS(Games[Team],Games[[#This Row],[Team]],Games[Season],Games[[#This Row],[Season]],Games[Date],"&lt;=" &amp; Games[[#This Row],[Date]])</f>
        <v>12</v>
      </c>
      <c r="D136" s="2" t="s">
        <v>79</v>
      </c>
      <c r="E136" s="2" t="s">
        <v>80</v>
      </c>
      <c r="F136" s="1" t="s">
        <v>83</v>
      </c>
      <c r="G136" s="1" t="s">
        <v>67</v>
      </c>
      <c r="H136" s="1" t="s">
        <v>86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-1</v>
      </c>
      <c r="L136" s="2">
        <f>Games[[#This Row],[OppDaysOff]]-Games[[#This Row],[DaysOff]]</f>
        <v>1</v>
      </c>
      <c r="M136" s="1">
        <f>MAX(-16, MIN(16, Games[[#This Row],[RestDiff]]*8))</f>
        <v>-8</v>
      </c>
      <c r="N136" s="1">
        <f>MAX(-16, MIN(16, Games[[#This Row],[OppRestDiff]]*8))</f>
        <v>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1416.613734870569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1557.3768614474295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0.28855732145118534</v>
      </c>
      <c r="R136" s="1">
        <v>84</v>
      </c>
      <c r="S136" s="1">
        <v>91</v>
      </c>
      <c r="T136" s="1">
        <v>0</v>
      </c>
      <c r="U136" s="1">
        <f>Games[[#This Row],[PointsFor]]-Games[[#This Row],[PointsAgainst]]</f>
        <v>-7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0.33125061256606975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-7.0923913802418044</v>
      </c>
      <c r="AB136" s="4">
        <f>Games[[#This Row],[PreGmRate]]+Games[[#This Row],[RatingChange]]</f>
        <v>1409.5213434903271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44062</v>
      </c>
      <c r="B137" s="2">
        <v>2020</v>
      </c>
      <c r="C137" s="2">
        <f>COUNTIFS(Games[Team],Games[[#This Row],[Team]],Games[Season],Games[[#This Row],[Season]],Games[Date],"&lt;=" &amp; Games[[#This Row],[Date]])</f>
        <v>11</v>
      </c>
      <c r="D137" s="2" t="s">
        <v>79</v>
      </c>
      <c r="E137" s="2" t="s">
        <v>80</v>
      </c>
      <c r="F137" s="1" t="s">
        <v>67</v>
      </c>
      <c r="G137" s="1" t="s">
        <v>83</v>
      </c>
      <c r="H137" s="1" t="s">
        <v>86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1</v>
      </c>
      <c r="L137" s="2">
        <f>Games[[#This Row],[OppDaysOff]]-Games[[#This Row],[DaysOff]]</f>
        <v>-1</v>
      </c>
      <c r="M137" s="1">
        <f>MAX(-16, MIN(16, Games[[#This Row],[RestDiff]]*8))</f>
        <v>8</v>
      </c>
      <c r="N137" s="1">
        <f>MAX(-16, MIN(16, Games[[#This Row],[OppRestDiff]]*8))</f>
        <v>-8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1557.3768614474295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1416.613734870569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0.71144267854881471</v>
      </c>
      <c r="R137" s="1">
        <v>91</v>
      </c>
      <c r="S137" s="1">
        <v>84</v>
      </c>
      <c r="T137" s="1">
        <v>0</v>
      </c>
      <c r="U137" s="1">
        <f>Games[[#This Row],[PointsFor]]-Games[[#This Row],[PointsAgainst]]</f>
        <v>7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0.33125061256606975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7.1067290986654719</v>
      </c>
      <c r="AB137" s="4">
        <f>Games[[#This Row],[PreGmRate]]+Games[[#This Row],[RatingChange]]</f>
        <v>1564.483590546095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44062</v>
      </c>
      <c r="B138" s="2">
        <v>2020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77</v>
      </c>
      <c r="G138" s="1" t="s">
        <v>65</v>
      </c>
      <c r="H138" s="1" t="s">
        <v>86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-1</v>
      </c>
      <c r="L138" s="2">
        <f>Games[[#This Row],[OppDaysOff]]-Games[[#This Row],[DaysOff]]</f>
        <v>1</v>
      </c>
      <c r="M138" s="1">
        <f>MAX(-16, MIN(16, Games[[#This Row],[RestDiff]]*8))</f>
        <v>-8</v>
      </c>
      <c r="N138" s="1">
        <f>MAX(-16, MIN(16, Games[[#This Row],[OppRestDiff]]*8))</f>
        <v>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1339.3019434784871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1520.8582141073691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0.24283016169300051</v>
      </c>
      <c r="R138" s="1">
        <v>91</v>
      </c>
      <c r="S138" s="1">
        <v>98</v>
      </c>
      <c r="T138" s="1">
        <v>0</v>
      </c>
      <c r="U138" s="1">
        <f>Games[[#This Row],[PointsFor]]-Games[[#This Row],[PointsAgainst]]</f>
        <v>-7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0.32146979202115122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-5.7922420689326266</v>
      </c>
      <c r="AB138" s="4">
        <f>Games[[#This Row],[PreGmRate]]+Games[[#This Row],[RatingChange]]</f>
        <v>1333.5097014095545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44062</v>
      </c>
      <c r="B139" s="2">
        <v>2020</v>
      </c>
      <c r="C139" s="2">
        <f>COUNTIFS(Games[Team],Games[[#This Row],[Team]],Games[Season],Games[[#This Row],[Season]],Games[Date],"&lt;=" &amp; Games[[#This Row],[Date]])</f>
        <v>11</v>
      </c>
      <c r="D139" s="2" t="s">
        <v>79</v>
      </c>
      <c r="E139" s="2" t="s">
        <v>80</v>
      </c>
      <c r="F139" s="1" t="s">
        <v>65</v>
      </c>
      <c r="G139" s="1" t="s">
        <v>77</v>
      </c>
      <c r="H139" s="1" t="s">
        <v>86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1</v>
      </c>
      <c r="L139" s="2">
        <f>Games[[#This Row],[OppDaysOff]]-Games[[#This Row],[DaysOff]]</f>
        <v>-1</v>
      </c>
      <c r="M139" s="1">
        <f>MAX(-16, MIN(16, Games[[#This Row],[RestDiff]]*8))</f>
        <v>8</v>
      </c>
      <c r="N139" s="1">
        <f>MAX(-16, MIN(16, Games[[#This Row],[OppRestDiff]]*8))</f>
        <v>-8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1520.8582141073691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1339.3019434784871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0.75716983830699947</v>
      </c>
      <c r="R139" s="1">
        <v>98</v>
      </c>
      <c r="S139" s="1">
        <v>91</v>
      </c>
      <c r="T139" s="1">
        <v>0</v>
      </c>
      <c r="U139" s="1">
        <f>Games[[#This Row],[PointsFor]]-Games[[#This Row],[PointsAgainst]]</f>
        <v>7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0.32146979202115122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74.349999999999994</v>
      </c>
      <c r="Z139" s="4">
        <f>Games[[#This Row],[K]]*Games[[#This Row],[POMult]]</f>
        <v>74.349999999999994</v>
      </c>
      <c r="AA139" s="4">
        <f>(Games[[#This Row],[Keff]]*Games[[#This Row],[MOVMult]])*(Games[[#This Row],[Result]]-Games[[#This Row],[ExpectedWin%]])</f>
        <v>5.8039514531690131</v>
      </c>
      <c r="AB139" s="4">
        <f>Games[[#This Row],[PreGmRate]]+Games[[#This Row],[RatingChange]]</f>
        <v>1526.6621655605381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44063</v>
      </c>
      <c r="B140" s="2">
        <v>2020</v>
      </c>
      <c r="C140" s="2">
        <f>COUNTIFS(Games[Team],Games[[#This Row],[Team]],Games[Season],Games[[#This Row],[Season]],Games[Date],"&lt;=" &amp; Games[[#This Row],[Date]])</f>
        <v>13</v>
      </c>
      <c r="D140" s="2" t="s">
        <v>79</v>
      </c>
      <c r="E140" s="2" t="s">
        <v>80</v>
      </c>
      <c r="F140" s="1" t="s">
        <v>71</v>
      </c>
      <c r="G140" s="1" t="s">
        <v>69</v>
      </c>
      <c r="H140" s="1" t="s">
        <v>86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1641.9248978172141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1434.0359657706567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0.76793808312442069</v>
      </c>
      <c r="R140" s="1">
        <v>84</v>
      </c>
      <c r="S140" s="1">
        <v>90</v>
      </c>
      <c r="T140" s="1">
        <v>0</v>
      </c>
      <c r="U140" s="1">
        <f>Games[[#This Row],[PointsFor]]-Games[[#This Row],[PointsAgainst]]</f>
        <v>-6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0.29941063084886177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74.05</v>
      </c>
      <c r="Z140" s="4">
        <f>Games[[#This Row],[K]]*Games[[#This Row],[POMult]]</f>
        <v>74.05</v>
      </c>
      <c r="AA140" s="4">
        <f>(Games[[#This Row],[Keff]]*Games[[#This Row],[MOVMult]])*(Games[[#This Row],[Result]]-Games[[#This Row],[ExpectedWin%]])</f>
        <v>-17.026229559461044</v>
      </c>
      <c r="AB140" s="4">
        <f>Games[[#This Row],[PreGmRate]]+Games[[#This Row],[RatingChange]]</f>
        <v>1624.8986682577531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44063</v>
      </c>
      <c r="B141" s="2">
        <v>2020</v>
      </c>
      <c r="C141" s="2">
        <f>COUNTIFS(Games[Team],Games[[#This Row],[Team]],Games[Season],Games[[#This Row],[Season]],Games[Date],"&lt;=" &amp; Games[[#This Row],[Date]])</f>
        <v>12</v>
      </c>
      <c r="D141" s="2" t="s">
        <v>79</v>
      </c>
      <c r="E141" s="2" t="s">
        <v>80</v>
      </c>
      <c r="F141" s="1" t="s">
        <v>69</v>
      </c>
      <c r="G141" s="1" t="s">
        <v>71</v>
      </c>
      <c r="H141" s="1" t="s">
        <v>86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1434.0359657706567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1641.9248978172141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0.23206191687557937</v>
      </c>
      <c r="R141" s="1">
        <v>90</v>
      </c>
      <c r="S141" s="1">
        <v>84</v>
      </c>
      <c r="T141" s="1">
        <v>0</v>
      </c>
      <c r="U141" s="1">
        <f>Games[[#This Row],[PointsFor]]-Games[[#This Row],[PointsAgainst]]</f>
        <v>6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0.29941063084886177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74.2</v>
      </c>
      <c r="Z141" s="4">
        <f>Games[[#This Row],[K]]*Games[[#This Row],[POMult]]</f>
        <v>74.2</v>
      </c>
      <c r="AA141" s="4">
        <f>(Games[[#This Row],[Keff]]*Games[[#This Row],[MOVMult]])*(Games[[#This Row],[Result]]-Games[[#This Row],[ExpectedWin%]])</f>
        <v>17.060718883349214</v>
      </c>
      <c r="AB141" s="4">
        <f>Games[[#This Row],[PreGmRate]]+Games[[#This Row],[RatingChange]]</f>
        <v>1451.0966846540059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44063</v>
      </c>
      <c r="B142" s="2">
        <v>2020</v>
      </c>
      <c r="C142" s="2">
        <f>COUNTIFS(Games[Team],Games[[#This Row],[Team]],Games[Season],Games[[#This Row],[Season]],Games[Date],"&lt;=" &amp; Games[[#This Row],[Date]])</f>
        <v>13</v>
      </c>
      <c r="D142" s="2" t="s">
        <v>79</v>
      </c>
      <c r="E142" s="2" t="s">
        <v>80</v>
      </c>
      <c r="F142" s="1" t="s">
        <v>74</v>
      </c>
      <c r="G142" s="1" t="s">
        <v>84</v>
      </c>
      <c r="H142" s="1" t="s">
        <v>86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1535.7643001112961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1596.537676507397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0.41342129968962282</v>
      </c>
      <c r="R142" s="1">
        <v>78</v>
      </c>
      <c r="S142" s="1">
        <v>99</v>
      </c>
      <c r="T142" s="1">
        <v>0</v>
      </c>
      <c r="U142" s="1">
        <f>Games[[#This Row],[PointsFor]]-Games[[#This Row],[PointsAgainst]]</f>
        <v>-21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0.56020499841439131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-17.150030245672308</v>
      </c>
      <c r="AB142" s="4">
        <f>Games[[#This Row],[PreGmRate]]+Games[[#This Row],[RatingChange]]</f>
        <v>1518.6142698656238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44063</v>
      </c>
      <c r="B143" s="2">
        <v>2020</v>
      </c>
      <c r="C143" s="2">
        <f>COUNTIFS(Games[Team],Games[[#This Row],[Team]],Games[Season],Games[[#This Row],[Season]],Games[Date],"&lt;=" &amp; Games[[#This Row],[Date]])</f>
        <v>12</v>
      </c>
      <c r="D143" s="2" t="s">
        <v>79</v>
      </c>
      <c r="E143" s="2" t="s">
        <v>80</v>
      </c>
      <c r="F143" s="1" t="s">
        <v>84</v>
      </c>
      <c r="G143" s="1" t="s">
        <v>74</v>
      </c>
      <c r="H143" s="1" t="s">
        <v>86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1596.537676507397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1535.7643001112961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0.58657870031037718</v>
      </c>
      <c r="R143" s="1">
        <v>99</v>
      </c>
      <c r="S143" s="1">
        <v>78</v>
      </c>
      <c r="T143" s="1">
        <v>0</v>
      </c>
      <c r="U143" s="1">
        <f>Games[[#This Row],[PointsFor]]-Games[[#This Row],[PointsAgainst]]</f>
        <v>21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0.56020499841439131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17.184770347452876</v>
      </c>
      <c r="AB143" s="4">
        <f>Games[[#This Row],[PreGmRate]]+Games[[#This Row],[RatingChange]]</f>
        <v>1613.72244685485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44063</v>
      </c>
      <c r="B144" s="2">
        <v>2020</v>
      </c>
      <c r="C144" s="2">
        <f>COUNTIFS(Games[Team],Games[[#This Row],[Team]],Games[Season],Games[[#This Row],[Season]],Games[Date],"&lt;=" &amp; Games[[#This Row],[Date]])</f>
        <v>13</v>
      </c>
      <c r="D144" s="2" t="s">
        <v>79</v>
      </c>
      <c r="E144" s="2" t="s">
        <v>80</v>
      </c>
      <c r="F144" s="1" t="s">
        <v>75</v>
      </c>
      <c r="G144" s="1" t="s">
        <v>60</v>
      </c>
      <c r="H144" s="1" t="s">
        <v>86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1569.2012099496421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1321.3591474203495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0.80638561697406641</v>
      </c>
      <c r="R144" s="1">
        <v>101</v>
      </c>
      <c r="S144" s="1">
        <v>85</v>
      </c>
      <c r="T144" s="1">
        <v>0</v>
      </c>
      <c r="U144" s="1">
        <f>Games[[#This Row],[PointsFor]]-Games[[#This Row],[PointsAgainst]]</f>
        <v>16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0.42915125538667193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74.05</v>
      </c>
      <c r="Z144" s="4">
        <f>Games[[#This Row],[K]]*Games[[#This Row],[POMult]]</f>
        <v>74.05</v>
      </c>
      <c r="AA144" s="4">
        <f>(Games[[#This Row],[Keff]]*Games[[#This Row],[MOVMult]])*(Games[[#This Row],[Result]]-Games[[#This Row],[ExpectedWin%]])</f>
        <v>6.1528038024774796</v>
      </c>
      <c r="AB144" s="4">
        <f>Games[[#This Row],[PreGmRate]]+Games[[#This Row],[RatingChange]]</f>
        <v>1575.3540137521197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44063</v>
      </c>
      <c r="B145" s="2">
        <v>2020</v>
      </c>
      <c r="C145" s="2">
        <f>COUNTIFS(Games[Team],Games[[#This Row],[Team]],Games[Season],Games[[#This Row],[Season]],Games[Date],"&lt;=" &amp; Games[[#This Row],[Date]])</f>
        <v>12</v>
      </c>
      <c r="D145" s="2" t="s">
        <v>79</v>
      </c>
      <c r="E145" s="2" t="s">
        <v>80</v>
      </c>
      <c r="F145" s="1" t="s">
        <v>60</v>
      </c>
      <c r="G145" s="1" t="s">
        <v>75</v>
      </c>
      <c r="H145" s="1" t="s">
        <v>86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1321.3591474203495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1569.2012099496421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0.19361438302593359</v>
      </c>
      <c r="R145" s="1">
        <v>85</v>
      </c>
      <c r="S145" s="1">
        <v>101</v>
      </c>
      <c r="T145" s="1">
        <v>0</v>
      </c>
      <c r="U145" s="1">
        <f>Games[[#This Row],[PointsFor]]-Games[[#This Row],[PointsAgainst]]</f>
        <v>-16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0.42915125538667193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-6.1652672808079547</v>
      </c>
      <c r="AB145" s="4">
        <f>Games[[#This Row],[PreGmRate]]+Games[[#This Row],[RatingChange]]</f>
        <v>1315.1938801395415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44064</v>
      </c>
      <c r="B146" s="2">
        <v>2020</v>
      </c>
      <c r="C146" s="2">
        <f>COUNTIFS(Games[Team],Games[[#This Row],[Team]],Games[Season],Games[[#This Row],[Season]],Games[Date],"&lt;=" &amp; Games[[#This Row],[Date]])</f>
        <v>12</v>
      </c>
      <c r="D146" s="2" t="s">
        <v>79</v>
      </c>
      <c r="E146" s="2" t="s">
        <v>80</v>
      </c>
      <c r="F146" s="1" t="s">
        <v>63</v>
      </c>
      <c r="G146" s="1" t="s">
        <v>77</v>
      </c>
      <c r="H146" s="1" t="s">
        <v>86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1593.8310555665641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1333.5097014095545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0.81735515447673524</v>
      </c>
      <c r="R146" s="1">
        <v>93</v>
      </c>
      <c r="S146" s="1">
        <v>85</v>
      </c>
      <c r="T146" s="1">
        <v>1</v>
      </c>
      <c r="U146" s="1">
        <f>Games[[#This Row],[PointsFor]]-Games[[#This Row],[PointsAgainst]]</f>
        <v>8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0.28718389730412403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3.8919872651431602</v>
      </c>
      <c r="AB146" s="4">
        <f>Games[[#This Row],[PreGmRate]]+Games[[#This Row],[RatingChange]]</f>
        <v>1597.7230428317073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44064</v>
      </c>
      <c r="B147" s="2">
        <v>2020</v>
      </c>
      <c r="C147" s="2">
        <f>COUNTIFS(Games[Team],Games[[#This Row],[Team]],Games[Season],Games[[#This Row],[Season]],Games[Date],"&lt;=" &amp; Games[[#This Row],[Date]])</f>
        <v>13</v>
      </c>
      <c r="D147" s="2" t="s">
        <v>79</v>
      </c>
      <c r="E147" s="2" t="s">
        <v>80</v>
      </c>
      <c r="F147" s="1" t="s">
        <v>77</v>
      </c>
      <c r="G147" s="1" t="s">
        <v>63</v>
      </c>
      <c r="H147" s="1" t="s">
        <v>86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1333.5097014095545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1593.8310555665641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0.18264484552326482</v>
      </c>
      <c r="R147" s="1">
        <v>85</v>
      </c>
      <c r="S147" s="1">
        <v>93</v>
      </c>
      <c r="T147" s="1">
        <v>1</v>
      </c>
      <c r="U147" s="1">
        <f>Games[[#This Row],[PointsFor]]-Games[[#This Row],[PointsAgainst]]</f>
        <v>-8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0.28718389730412403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-3.8841193663591791</v>
      </c>
      <c r="AB147" s="4">
        <f>Games[[#This Row],[PreGmRate]]+Games[[#This Row],[RatingChange]]</f>
        <v>1329.6255820431954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44064</v>
      </c>
      <c r="B148" s="2">
        <v>2020</v>
      </c>
      <c r="C148" s="2">
        <f>COUNTIFS(Games[Team],Games[[#This Row],[Team]],Games[Season],Games[[#This Row],[Season]],Games[Date],"&lt;=" &amp; Games[[#This Row],[Date]])</f>
        <v>12</v>
      </c>
      <c r="D148" s="2" t="s">
        <v>79</v>
      </c>
      <c r="E148" s="2" t="s">
        <v>80</v>
      </c>
      <c r="F148" s="1" t="s">
        <v>65</v>
      </c>
      <c r="G148" s="1" t="s">
        <v>83</v>
      </c>
      <c r="H148" s="1" t="s">
        <v>86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1526.6621655605381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1409.5213434903271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0.66246908280796091</v>
      </c>
      <c r="R148" s="1">
        <v>92</v>
      </c>
      <c r="S148" s="1">
        <v>101</v>
      </c>
      <c r="T148" s="1">
        <v>1</v>
      </c>
      <c r="U148" s="1">
        <f>Games[[#This Row],[PointsFor]]-Games[[#This Row],[PointsAgainst]]</f>
        <v>-9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0.33287955393402152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-16.362763028290424</v>
      </c>
      <c r="AB148" s="4">
        <f>Games[[#This Row],[PreGmRate]]+Games[[#This Row],[RatingChange]]</f>
        <v>1510.2994025322478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44064</v>
      </c>
      <c r="B149" s="2">
        <v>2020</v>
      </c>
      <c r="C149" s="2">
        <f>COUNTIFS(Games[Team],Games[[#This Row],[Team]],Games[Season],Games[[#This Row],[Season]],Games[Date],"&lt;=" &amp; Games[[#This Row],[Date]])</f>
        <v>13</v>
      </c>
      <c r="D149" s="2" t="s">
        <v>79</v>
      </c>
      <c r="E149" s="2" t="s">
        <v>80</v>
      </c>
      <c r="F149" s="1" t="s">
        <v>83</v>
      </c>
      <c r="G149" s="1" t="s">
        <v>65</v>
      </c>
      <c r="H149" s="1" t="s">
        <v>86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1409.5213434903271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1526.6621655605381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0.33753091719203904</v>
      </c>
      <c r="R149" s="1">
        <v>101</v>
      </c>
      <c r="S149" s="1">
        <v>92</v>
      </c>
      <c r="T149" s="1">
        <v>1</v>
      </c>
      <c r="U149" s="1">
        <f>Games[[#This Row],[PointsFor]]-Games[[#This Row],[PointsAgainst]]</f>
        <v>9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0.33287955393402152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16.329684666373396</v>
      </c>
      <c r="AB149" s="4">
        <f>Games[[#This Row],[PreGmRate]]+Games[[#This Row],[RatingChange]]</f>
        <v>1425.8510281567005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44064</v>
      </c>
      <c r="B150" s="2">
        <v>2020</v>
      </c>
      <c r="C150" s="2">
        <f>COUNTIFS(Games[Team],Games[[#This Row],[Team]],Games[Season],Games[[#This Row],[Season]],Games[Date],"&lt;=" &amp; Games[[#This Row],[Date]])</f>
        <v>12</v>
      </c>
      <c r="D150" s="2" t="s">
        <v>79</v>
      </c>
      <c r="E150" s="2" t="s">
        <v>80</v>
      </c>
      <c r="F150" s="1" t="s">
        <v>67</v>
      </c>
      <c r="G150" s="1" t="s">
        <v>40</v>
      </c>
      <c r="H150" s="1" t="s">
        <v>86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1564.483590546095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1473.4327043637149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0.62811323152401377</v>
      </c>
      <c r="R150" s="1">
        <v>90</v>
      </c>
      <c r="S150" s="1">
        <v>80</v>
      </c>
      <c r="T150" s="1">
        <v>0</v>
      </c>
      <c r="U150" s="1">
        <f>Games[[#This Row],[PointsFor]]-Games[[#This Row],[PointsAgainst]]</f>
        <v>10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0.3932886338044872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10.852405861508361</v>
      </c>
      <c r="AB150" s="4">
        <f>Games[[#This Row],[PreGmRate]]+Games[[#This Row],[RatingChange]]</f>
        <v>1575.3359964076033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44064</v>
      </c>
      <c r="B151" s="2">
        <v>2020</v>
      </c>
      <c r="C151" s="2">
        <f>COUNTIFS(Games[Team],Games[[#This Row],[Team]],Games[Season],Games[[#This Row],[Season]],Games[Date],"&lt;=" &amp; Games[[#This Row],[Date]])</f>
        <v>13</v>
      </c>
      <c r="D151" s="2" t="s">
        <v>79</v>
      </c>
      <c r="E151" s="2" t="s">
        <v>80</v>
      </c>
      <c r="F151" s="1" t="s">
        <v>40</v>
      </c>
      <c r="G151" s="1" t="s">
        <v>67</v>
      </c>
      <c r="H151" s="1" t="s">
        <v>86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1473.4327043637149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1564.483590546095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0.37188676847598628</v>
      </c>
      <c r="R151" s="1">
        <v>80</v>
      </c>
      <c r="S151" s="1">
        <v>90</v>
      </c>
      <c r="T151" s="1">
        <v>0</v>
      </c>
      <c r="U151" s="1">
        <f>Games[[#This Row],[PointsFor]]-Games[[#This Row],[PointsAgainst]]</f>
        <v>-10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0.3932886338044872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-10.830467035642778</v>
      </c>
      <c r="AB151" s="4">
        <f>Games[[#This Row],[PreGmRate]]+Games[[#This Row],[RatingChange]]</f>
        <v>1462.6022373280721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44065</v>
      </c>
      <c r="B152" s="2">
        <v>2020</v>
      </c>
      <c r="C152" s="2">
        <f>COUNTIFS(Games[Team],Games[[#This Row],[Team]],Games[Season],Games[[#This Row],[Season]],Games[Date],"&lt;=" &amp; Games[[#This Row],[Date]])</f>
        <v>13</v>
      </c>
      <c r="D152" s="2" t="s">
        <v>79</v>
      </c>
      <c r="E152" s="2" t="s">
        <v>80</v>
      </c>
      <c r="F152" s="1" t="s">
        <v>69</v>
      </c>
      <c r="G152" s="1" t="s">
        <v>75</v>
      </c>
      <c r="H152" s="1" t="s">
        <v>86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1451.0966846540059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1575.3540137521197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0.32843261261638124</v>
      </c>
      <c r="R152" s="1">
        <v>76</v>
      </c>
      <c r="S152" s="1">
        <v>87</v>
      </c>
      <c r="T152" s="1">
        <v>0</v>
      </c>
      <c r="U152" s="1">
        <f>Games[[#This Row],[PointsFor]]-Games[[#This Row],[PointsAgainst]]</f>
        <v>-11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0.39856540923856415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-9.6932841143834079</v>
      </c>
      <c r="AB152" s="4">
        <f>Games[[#This Row],[PreGmRate]]+Games[[#This Row],[RatingChange]]</f>
        <v>1441.4034005396225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44065</v>
      </c>
      <c r="B153" s="2">
        <v>2020</v>
      </c>
      <c r="C153" s="2">
        <f>COUNTIFS(Games[Team],Games[[#This Row],[Team]],Games[Season],Games[[#This Row],[Season]],Games[Date],"&lt;=" &amp; Games[[#This Row],[Date]])</f>
        <v>14</v>
      </c>
      <c r="D153" s="2" t="s">
        <v>79</v>
      </c>
      <c r="E153" s="2" t="s">
        <v>80</v>
      </c>
      <c r="F153" s="1" t="s">
        <v>75</v>
      </c>
      <c r="G153" s="1" t="s">
        <v>69</v>
      </c>
      <c r="H153" s="1" t="s">
        <v>86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1575.3540137521197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1451.0966846540059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0.67156738738361876</v>
      </c>
      <c r="R153" s="1">
        <v>87</v>
      </c>
      <c r="S153" s="1">
        <v>76</v>
      </c>
      <c r="T153" s="1">
        <v>0</v>
      </c>
      <c r="U153" s="1">
        <f>Games[[#This Row],[PointsFor]]-Games[[#This Row],[PointsAgainst]]</f>
        <v>11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0.39856540923856415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73.900000000000006</v>
      </c>
      <c r="Z153" s="4">
        <f>Games[[#This Row],[K]]*Games[[#This Row],[POMult]]</f>
        <v>73.900000000000006</v>
      </c>
      <c r="AA153" s="4">
        <f>(Games[[#This Row],[Keff]]*Games[[#This Row],[MOVMult]])*(Games[[#This Row],[Result]]-Games[[#This Row],[ExpectedWin%]])</f>
        <v>9.6736488325851973</v>
      </c>
      <c r="AB153" s="4">
        <f>Games[[#This Row],[PreGmRate]]+Games[[#This Row],[RatingChange]]</f>
        <v>1585.027662584705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44065</v>
      </c>
      <c r="B154" s="2">
        <v>2020</v>
      </c>
      <c r="C154" s="2">
        <f>COUNTIFS(Games[Team],Games[[#This Row],[Team]],Games[Season],Games[[#This Row],[Season]],Games[Date],"&lt;=" &amp; Games[[#This Row],[Date]])</f>
        <v>13</v>
      </c>
      <c r="D154" s="2" t="s">
        <v>79</v>
      </c>
      <c r="E154" s="2" t="s">
        <v>80</v>
      </c>
      <c r="F154" s="1" t="s">
        <v>60</v>
      </c>
      <c r="G154" s="1" t="s">
        <v>74</v>
      </c>
      <c r="H154" s="1" t="s">
        <v>86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1315.1938801395415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1518.6142698656238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0.23667754845090141</v>
      </c>
      <c r="R154" s="1">
        <v>65</v>
      </c>
      <c r="S154" s="1">
        <v>82</v>
      </c>
      <c r="T154" s="1">
        <v>0</v>
      </c>
      <c r="U154" s="1">
        <f>Games[[#This Row],[PointsFor]]-Games[[#This Row],[PointsAgainst]]</f>
        <v>-17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0.45526663826161334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-7.9789905653996689</v>
      </c>
      <c r="AB154" s="4">
        <f>Games[[#This Row],[PreGmRate]]+Games[[#This Row],[RatingChange]]</f>
        <v>1307.2148895741418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44065</v>
      </c>
      <c r="B155" s="2">
        <v>2020</v>
      </c>
      <c r="C155" s="2">
        <f>COUNTIFS(Games[Team],Games[[#This Row],[Team]],Games[Season],Games[[#This Row],[Season]],Games[Date],"&lt;=" &amp; Games[[#This Row],[Date]])</f>
        <v>14</v>
      </c>
      <c r="D155" s="2" t="s">
        <v>79</v>
      </c>
      <c r="E155" s="2" t="s">
        <v>80</v>
      </c>
      <c r="F155" s="1" t="s">
        <v>74</v>
      </c>
      <c r="G155" s="1" t="s">
        <v>60</v>
      </c>
      <c r="H155" s="1" t="s">
        <v>86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1518.6142698656238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1315.1938801395415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0.7633224515490985</v>
      </c>
      <c r="R155" s="1">
        <v>82</v>
      </c>
      <c r="S155" s="1">
        <v>65</v>
      </c>
      <c r="T155" s="1">
        <v>0</v>
      </c>
      <c r="U155" s="1">
        <f>Games[[#This Row],[PointsFor]]-Games[[#This Row],[PointsAgainst]]</f>
        <v>17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0.45526663826161334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73.900000000000006</v>
      </c>
      <c r="Z155" s="4">
        <f>Games[[#This Row],[K]]*Games[[#This Row],[POMult]]</f>
        <v>73.900000000000006</v>
      </c>
      <c r="AA155" s="4">
        <f>(Games[[#This Row],[Keff]]*Games[[#This Row],[MOVMult]])*(Games[[#This Row],[Result]]-Games[[#This Row],[ExpectedWin%]])</f>
        <v>7.9628278566243873</v>
      </c>
      <c r="AB155" s="4">
        <f>Games[[#This Row],[PreGmRate]]+Games[[#This Row],[RatingChange]]</f>
        <v>1526.5770977222483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44065</v>
      </c>
      <c r="B156" s="2">
        <v>2020</v>
      </c>
      <c r="C156" s="2">
        <f>COUNTIFS(Games[Team],Games[[#This Row],[Team]],Games[Season],Games[[#This Row],[Season]],Games[Date],"&lt;=" &amp; Games[[#This Row],[Date]])</f>
        <v>14</v>
      </c>
      <c r="D156" s="2" t="s">
        <v>79</v>
      </c>
      <c r="E156" s="2" t="s">
        <v>80</v>
      </c>
      <c r="F156" s="1" t="s">
        <v>71</v>
      </c>
      <c r="G156" s="1" t="s">
        <v>84</v>
      </c>
      <c r="H156" s="1" t="s">
        <v>86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1624.8986682577531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1613.72244685485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0.5160783301213282</v>
      </c>
      <c r="R156" s="1">
        <v>74</v>
      </c>
      <c r="S156" s="1">
        <v>82</v>
      </c>
      <c r="T156" s="1">
        <v>0</v>
      </c>
      <c r="U156" s="1">
        <f>Games[[#This Row],[PointsFor]]-Games[[#This Row],[PointsAgainst]]</f>
        <v>-8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0.38473232364474957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-14.67299391812775</v>
      </c>
      <c r="AB156" s="4">
        <f>Games[[#This Row],[PreGmRate]]+Games[[#This Row],[RatingChange]]</f>
        <v>1610.2256743396254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44065</v>
      </c>
      <c r="B157" s="2">
        <v>2020</v>
      </c>
      <c r="C157" s="2">
        <f>COUNTIFS(Games[Team],Games[[#This Row],[Team]],Games[Season],Games[[#This Row],[Season]],Games[Date],"&lt;=" &amp; Games[[#This Row],[Date]])</f>
        <v>13</v>
      </c>
      <c r="D157" s="2" t="s">
        <v>79</v>
      </c>
      <c r="E157" s="2" t="s">
        <v>80</v>
      </c>
      <c r="F157" s="1" t="s">
        <v>84</v>
      </c>
      <c r="G157" s="1" t="s">
        <v>71</v>
      </c>
      <c r="H157" s="1" t="s">
        <v>86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1613.72244685485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1624.8986682577531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0.4839216698786718</v>
      </c>
      <c r="R157" s="1">
        <v>82</v>
      </c>
      <c r="S157" s="1">
        <v>74</v>
      </c>
      <c r="T157" s="1">
        <v>0</v>
      </c>
      <c r="U157" s="1">
        <f>Games[[#This Row],[PointsFor]]-Games[[#This Row],[PointsAgainst]]</f>
        <v>8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0.38473232364474957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74.05</v>
      </c>
      <c r="Z157" s="4">
        <f>Games[[#This Row],[K]]*Games[[#This Row],[POMult]]</f>
        <v>74.05</v>
      </c>
      <c r="AA157" s="4">
        <f>(Games[[#This Row],[Keff]]*Games[[#This Row],[MOVMult]])*(Games[[#This Row],[Result]]-Games[[#This Row],[ExpectedWin%]])</f>
        <v>14.702776720397289</v>
      </c>
      <c r="AB157" s="4">
        <f>Games[[#This Row],[PreGmRate]]+Games[[#This Row],[RatingChange]]</f>
        <v>1628.4252235752472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44066</v>
      </c>
      <c r="B158" s="2">
        <v>2020</v>
      </c>
      <c r="C158" s="2">
        <f>COUNTIFS(Games[Team],Games[[#This Row],[Team]],Games[Season],Games[[#This Row],[Season]],Games[Date],"&lt;=" &amp; Games[[#This Row],[Date]])</f>
        <v>14</v>
      </c>
      <c r="D158" s="2" t="s">
        <v>79</v>
      </c>
      <c r="E158" s="2" t="s">
        <v>80</v>
      </c>
      <c r="F158" s="1" t="s">
        <v>83</v>
      </c>
      <c r="G158" s="1" t="s">
        <v>63</v>
      </c>
      <c r="H158" s="1" t="s">
        <v>86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1425.8510281567005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1597.7230428317073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0.2710355747098751</v>
      </c>
      <c r="R158" s="1">
        <v>81</v>
      </c>
      <c r="S158" s="1">
        <v>84</v>
      </c>
      <c r="T158" s="1">
        <v>0</v>
      </c>
      <c r="U158" s="1">
        <f>Games[[#This Row],[PointsFor]]-Games[[#This Row],[PointsAgainst]]</f>
        <v>-3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0.2538285070279987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-5.0840654351981485</v>
      </c>
      <c r="AB158" s="4">
        <f>Games[[#This Row],[PreGmRate]]+Games[[#This Row],[RatingChange]]</f>
        <v>1420.7669627215023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44066</v>
      </c>
      <c r="B159" s="2">
        <v>2020</v>
      </c>
      <c r="C159" s="2">
        <f>COUNTIFS(Games[Team],Games[[#This Row],[Team]],Games[Season],Games[[#This Row],[Season]],Games[Date],"&lt;=" &amp; Games[[#This Row],[Date]])</f>
        <v>13</v>
      </c>
      <c r="D159" s="2" t="s">
        <v>79</v>
      </c>
      <c r="E159" s="2" t="s">
        <v>80</v>
      </c>
      <c r="F159" s="1" t="s">
        <v>63</v>
      </c>
      <c r="G159" s="1" t="s">
        <v>83</v>
      </c>
      <c r="H159" s="1" t="s">
        <v>86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1597.7230428317073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1425.8510281567005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0.72896442529012484</v>
      </c>
      <c r="R159" s="1">
        <v>84</v>
      </c>
      <c r="S159" s="1">
        <v>81</v>
      </c>
      <c r="T159" s="1">
        <v>0</v>
      </c>
      <c r="U159" s="1">
        <f>Games[[#This Row],[PointsFor]]-Games[[#This Row],[PointsAgainst]]</f>
        <v>3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0.2538285070279987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5.0943849184901611</v>
      </c>
      <c r="AB159" s="4">
        <f>Games[[#This Row],[PreGmRate]]+Games[[#This Row],[RatingChange]]</f>
        <v>1602.8174277501973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44066</v>
      </c>
      <c r="B160" s="2">
        <v>2020</v>
      </c>
      <c r="C160" s="2">
        <f>COUNTIFS(Games[Team],Games[[#This Row],[Team]],Games[Season],Games[[#This Row],[Season]],Games[Date],"&lt;=" &amp; Games[[#This Row],[Date]])</f>
        <v>14</v>
      </c>
      <c r="D160" s="2" t="s">
        <v>79</v>
      </c>
      <c r="E160" s="2" t="s">
        <v>80</v>
      </c>
      <c r="F160" s="1" t="s">
        <v>77</v>
      </c>
      <c r="G160" s="1" t="s">
        <v>67</v>
      </c>
      <c r="H160" s="1" t="s">
        <v>86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1329.6255820431954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1575.3359964076033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0.19553739498213552</v>
      </c>
      <c r="R160" s="1">
        <v>78</v>
      </c>
      <c r="S160" s="1">
        <v>75</v>
      </c>
      <c r="T160" s="1">
        <v>0</v>
      </c>
      <c r="U160" s="1">
        <f>Games[[#This Row],[PointsFor]]-Games[[#This Row],[PointsAgainst]]</f>
        <v>3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0.24086443720580183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14.319339369933774</v>
      </c>
      <c r="AB160" s="4">
        <f>Games[[#This Row],[PreGmRate]]+Games[[#This Row],[RatingChange]]</f>
        <v>1343.9449214131291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44066</v>
      </c>
      <c r="B161" s="2">
        <v>2020</v>
      </c>
      <c r="C161" s="2">
        <f>COUNTIFS(Games[Team],Games[[#This Row],[Team]],Games[Season],Games[[#This Row],[Season]],Games[Date],"&lt;=" &amp; Games[[#This Row],[Date]])</f>
        <v>13</v>
      </c>
      <c r="D161" s="2" t="s">
        <v>79</v>
      </c>
      <c r="E161" s="2" t="s">
        <v>80</v>
      </c>
      <c r="F161" s="1" t="s">
        <v>67</v>
      </c>
      <c r="G161" s="1" t="s">
        <v>77</v>
      </c>
      <c r="H161" s="1" t="s">
        <v>86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1575.3359964076033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1329.6255820431954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0.80446260501786437</v>
      </c>
      <c r="R161" s="1">
        <v>75</v>
      </c>
      <c r="S161" s="1">
        <v>78</v>
      </c>
      <c r="T161" s="1">
        <v>0</v>
      </c>
      <c r="U161" s="1">
        <f>Games[[#This Row],[PointsFor]]-Games[[#This Row],[PointsAgainst]]</f>
        <v>-3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0.24086443720580183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-14.348404334825382</v>
      </c>
      <c r="AB161" s="4">
        <f>Games[[#This Row],[PreGmRate]]+Games[[#This Row],[RatingChange]]</f>
        <v>1560.9875920727779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44066</v>
      </c>
      <c r="B162" s="2">
        <v>2020</v>
      </c>
      <c r="C162" s="2">
        <f>COUNTIFS(Games[Team],Games[[#This Row],[Team]],Games[Season],Games[[#This Row],[Season]],Games[Date],"&lt;=" &amp; Games[[#This Row],[Date]])</f>
        <v>14</v>
      </c>
      <c r="D162" s="2" t="s">
        <v>79</v>
      </c>
      <c r="E162" s="2" t="s">
        <v>80</v>
      </c>
      <c r="F162" s="1" t="s">
        <v>40</v>
      </c>
      <c r="G162" s="1" t="s">
        <v>65</v>
      </c>
      <c r="H162" s="1" t="s">
        <v>86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1462.6022373280721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1510.2994025322478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0.43178625988312186</v>
      </c>
      <c r="R162" s="1">
        <v>88</v>
      </c>
      <c r="S162" s="1">
        <v>87</v>
      </c>
      <c r="T162" s="1">
        <v>0</v>
      </c>
      <c r="U162" s="1">
        <f>Games[[#This Row],[PointsFor]]-Games[[#This Row],[PointsAgainst]]</f>
        <v>1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0.23484513175951832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9.8613808461669219</v>
      </c>
      <c r="AB162" s="4">
        <f>Games[[#This Row],[PreGmRate]]+Games[[#This Row],[RatingChange]]</f>
        <v>1472.4636181742389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44066</v>
      </c>
      <c r="B163" s="2">
        <v>2020</v>
      </c>
      <c r="C163" s="2">
        <f>COUNTIFS(Games[Team],Games[[#This Row],[Team]],Games[Season],Games[[#This Row],[Season]],Games[Date],"&lt;=" &amp; Games[[#This Row],[Date]])</f>
        <v>13</v>
      </c>
      <c r="D163" s="2" t="s">
        <v>79</v>
      </c>
      <c r="E163" s="2" t="s">
        <v>80</v>
      </c>
      <c r="F163" s="1" t="s">
        <v>65</v>
      </c>
      <c r="G163" s="1" t="s">
        <v>40</v>
      </c>
      <c r="H163" s="1" t="s">
        <v>86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1510.2994025322478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1462.6022373280721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0.5682137401168782</v>
      </c>
      <c r="R163" s="1">
        <v>87</v>
      </c>
      <c r="S163" s="1">
        <v>88</v>
      </c>
      <c r="T163" s="1">
        <v>0</v>
      </c>
      <c r="U163" s="1">
        <f>Games[[#This Row],[PointsFor]]-Games[[#This Row],[PointsAgainst]]</f>
        <v>-1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0.23484513175951832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-9.8813971807667205</v>
      </c>
      <c r="AB163" s="4">
        <f>Games[[#This Row],[PreGmRate]]+Games[[#This Row],[RatingChange]]</f>
        <v>1500.418005351481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44068</v>
      </c>
      <c r="B164" s="2">
        <v>2020</v>
      </c>
      <c r="C164" s="2">
        <f>COUNTIFS(Games[Team],Games[[#This Row],[Team]],Games[Season],Games[[#This Row],[Season]],Games[Date],"&lt;=" &amp; Games[[#This Row],[Date]])</f>
        <v>14</v>
      </c>
      <c r="D164" s="2" t="s">
        <v>79</v>
      </c>
      <c r="E164" s="2" t="s">
        <v>80</v>
      </c>
      <c r="F164" s="1" t="s">
        <v>60</v>
      </c>
      <c r="G164" s="1" t="s">
        <v>75</v>
      </c>
      <c r="H164" s="1" t="s">
        <v>86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1307.2148895741418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1585.027662584705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0.16809081625141969</v>
      </c>
      <c r="R164" s="1">
        <v>101</v>
      </c>
      <c r="S164" s="1">
        <v>99</v>
      </c>
      <c r="T164" s="1">
        <v>0</v>
      </c>
      <c r="U164" s="1">
        <f>Games[[#This Row],[PointsFor]]-Games[[#This Row],[PointsAgainst]]</f>
        <v>2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0.21749005749682096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13.370873041594736</v>
      </c>
      <c r="AB164" s="4">
        <f>Games[[#This Row],[PreGmRate]]+Games[[#This Row],[RatingChange]]</f>
        <v>1320.5857626157365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44068</v>
      </c>
      <c r="B165" s="2">
        <v>2020</v>
      </c>
      <c r="C165" s="2">
        <f>COUNTIFS(Games[Team],Games[[#This Row],[Team]],Games[Season],Games[[#This Row],[Season]],Games[Date],"&lt;=" &amp; Games[[#This Row],[Date]])</f>
        <v>15</v>
      </c>
      <c r="D165" s="2" t="s">
        <v>79</v>
      </c>
      <c r="E165" s="2" t="s">
        <v>80</v>
      </c>
      <c r="F165" s="1" t="s">
        <v>75</v>
      </c>
      <c r="G165" s="1" t="s">
        <v>60</v>
      </c>
      <c r="H165" s="1" t="s">
        <v>86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1585.027662584705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1307.2148895741418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0.83190918374858025</v>
      </c>
      <c r="R165" s="1">
        <v>99</v>
      </c>
      <c r="S165" s="1">
        <v>101</v>
      </c>
      <c r="T165" s="1">
        <v>0</v>
      </c>
      <c r="U165" s="1">
        <f>Games[[#This Row],[PointsFor]]-Games[[#This Row],[PointsAgainst]]</f>
        <v>-2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0.21749005749682096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73.75</v>
      </c>
      <c r="Z165" s="4">
        <f>Games[[#This Row],[K]]*Games[[#This Row],[POMult]]</f>
        <v>73.75</v>
      </c>
      <c r="AA165" s="4">
        <f>(Games[[#This Row],[Keff]]*Games[[#This Row],[MOVMult]])*(Games[[#This Row],[Result]]-Games[[#This Row],[ExpectedWin%]])</f>
        <v>-13.343733245163891</v>
      </c>
      <c r="AB165" s="4">
        <f>Games[[#This Row],[PreGmRate]]+Games[[#This Row],[RatingChange]]</f>
        <v>1571.683929339541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44068</v>
      </c>
      <c r="B166" s="2">
        <v>2020</v>
      </c>
      <c r="C166" s="2">
        <f>COUNTIFS(Games[Team],Games[[#This Row],[Team]],Games[Season],Games[[#This Row],[Season]],Games[Date],"&lt;=" &amp; Games[[#This Row],[Date]])</f>
        <v>14</v>
      </c>
      <c r="D166" s="2" t="s">
        <v>79</v>
      </c>
      <c r="E166" s="2" t="s">
        <v>80</v>
      </c>
      <c r="F166" s="1" t="s">
        <v>84</v>
      </c>
      <c r="G166" s="1" t="s">
        <v>83</v>
      </c>
      <c r="H166" s="1" t="s">
        <v>86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1628.4252235752472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1420.7669627215023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0.78372042277877696</v>
      </c>
      <c r="R166" s="1">
        <v>96</v>
      </c>
      <c r="S166" s="1">
        <v>92</v>
      </c>
      <c r="T166" s="1">
        <v>0</v>
      </c>
      <c r="U166" s="1">
        <f>Games[[#This Row],[PointsFor]]-Games[[#This Row],[PointsAgainst]]</f>
        <v>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0.26549006408557885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4.2433438245662796</v>
      </c>
      <c r="AB166" s="4">
        <f>Games[[#This Row],[PreGmRate]]+Games[[#This Row],[RatingChange]]</f>
        <v>1632.6685673998134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44068</v>
      </c>
      <c r="B167" s="2">
        <v>2020</v>
      </c>
      <c r="C167" s="2">
        <f>COUNTIFS(Games[Team],Games[[#This Row],[Team]],Games[Season],Games[[#This Row],[Season]],Games[Date],"&lt;=" &amp; Games[[#This Row],[Date]])</f>
        <v>15</v>
      </c>
      <c r="D167" s="2" t="s">
        <v>79</v>
      </c>
      <c r="E167" s="2" t="s">
        <v>80</v>
      </c>
      <c r="F167" s="1" t="s">
        <v>83</v>
      </c>
      <c r="G167" s="1" t="s">
        <v>84</v>
      </c>
      <c r="H167" s="1" t="s">
        <v>86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1420.7669627215023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1628.4252235752472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0.21627957722122307</v>
      </c>
      <c r="R167" s="1">
        <v>92</v>
      </c>
      <c r="S167" s="1">
        <v>96</v>
      </c>
      <c r="T167" s="1">
        <v>0</v>
      </c>
      <c r="U167" s="1">
        <f>Games[[#This Row],[PointsFor]]-Games[[#This Row],[PointsAgainst]]</f>
        <v>-4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0.26549006408557885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73.75</v>
      </c>
      <c r="Z167" s="4">
        <f>Games[[#This Row],[K]]*Games[[#This Row],[POMult]]</f>
        <v>73.75</v>
      </c>
      <c r="AA167" s="4">
        <f>(Games[[#This Row],[Keff]]*Games[[#This Row],[MOVMult]])*(Games[[#This Row],[Result]]-Games[[#This Row],[ExpectedWin%]])</f>
        <v>-4.2347308127437504</v>
      </c>
      <c r="AB167" s="4">
        <f>Games[[#This Row],[PreGmRate]]+Games[[#This Row],[RatingChange]]</f>
        <v>1416.5322319087586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44068</v>
      </c>
      <c r="B168" s="2">
        <v>2020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69</v>
      </c>
      <c r="G168" s="1" t="s">
        <v>71</v>
      </c>
      <c r="H168" s="1" t="s">
        <v>86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1441.4034005396225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1610.2256743396254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0.27451806003168161</v>
      </c>
      <c r="R168" s="1">
        <v>74</v>
      </c>
      <c r="S168" s="1">
        <v>87</v>
      </c>
      <c r="T168" s="1">
        <v>0</v>
      </c>
      <c r="U168" s="1">
        <f>Games[[#This Row],[PointsFor]]-Games[[#This Row],[PointsAgainst]]</f>
        <v>-13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0.41382472919906976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-8.3952145409266965</v>
      </c>
      <c r="AB168" s="4">
        <f>Games[[#This Row],[PreGmRate]]+Games[[#This Row],[RatingChange]]</f>
        <v>1433.0081859986958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44068</v>
      </c>
      <c r="B169" s="2">
        <v>2020</v>
      </c>
      <c r="C169" s="2">
        <f>COUNTIFS(Games[Team],Games[[#This Row],[Team]],Games[Season],Games[[#This Row],[Season]],Games[Date],"&lt;=" &amp; Games[[#This Row],[Date]])</f>
        <v>15</v>
      </c>
      <c r="D169" s="2" t="s">
        <v>79</v>
      </c>
      <c r="E169" s="2" t="s">
        <v>80</v>
      </c>
      <c r="F169" s="1" t="s">
        <v>71</v>
      </c>
      <c r="G169" s="1" t="s">
        <v>69</v>
      </c>
      <c r="H169" s="1" t="s">
        <v>86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1610.2256743396254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1441.4034005396225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0.72548193996831833</v>
      </c>
      <c r="R169" s="1">
        <v>87</v>
      </c>
      <c r="S169" s="1">
        <v>74</v>
      </c>
      <c r="T169" s="1">
        <v>0</v>
      </c>
      <c r="U169" s="1">
        <f>Games[[#This Row],[PointsFor]]-Games[[#This Row],[PointsAgainst]]</f>
        <v>13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0.41382472919906976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8.3781741866487671</v>
      </c>
      <c r="AB169" s="4">
        <f>Games[[#This Row],[PreGmRate]]+Games[[#This Row],[RatingChange]]</f>
        <v>1618.6038485262741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44071</v>
      </c>
      <c r="B170" s="2">
        <v>2020</v>
      </c>
      <c r="C170" s="2">
        <f>COUNTIFS(Games[Team],Games[[#This Row],[Team]],Games[Season],Games[[#This Row],[Season]],Games[Date],"&lt;=" &amp; Games[[#This Row],[Date]])</f>
        <v>14</v>
      </c>
      <c r="D170" s="2" t="s">
        <v>79</v>
      </c>
      <c r="E170" s="2" t="s">
        <v>80</v>
      </c>
      <c r="F170" s="1" t="s">
        <v>67</v>
      </c>
      <c r="G170" s="1" t="s">
        <v>77</v>
      </c>
      <c r="H170" s="1" t="s">
        <v>86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1560.9875920727779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1343.9449214131291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0.77719564249134698</v>
      </c>
      <c r="R170" s="1">
        <v>88</v>
      </c>
      <c r="S170" s="1">
        <v>79</v>
      </c>
      <c r="T170" s="1">
        <v>0</v>
      </c>
      <c r="U170" s="1">
        <f>Games[[#This Row],[PointsFor]]-Games[[#This Row],[PointsAgainst]]</f>
        <v>9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0.3437905171549353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5.6605940690989689</v>
      </c>
      <c r="AB170" s="4">
        <f>Games[[#This Row],[PreGmRate]]+Games[[#This Row],[RatingChange]]</f>
        <v>1566.648186141877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44071</v>
      </c>
      <c r="B171" s="2">
        <v>2020</v>
      </c>
      <c r="C171" s="2">
        <f>COUNTIFS(Games[Team],Games[[#This Row],[Team]],Games[Season],Games[[#This Row],[Season]],Games[Date],"&lt;=" &amp; Games[[#This Row],[Date]])</f>
        <v>15</v>
      </c>
      <c r="D171" s="2" t="s">
        <v>79</v>
      </c>
      <c r="E171" s="2" t="s">
        <v>80</v>
      </c>
      <c r="F171" s="1" t="s">
        <v>77</v>
      </c>
      <c r="G171" s="1" t="s">
        <v>67</v>
      </c>
      <c r="H171" s="1" t="s">
        <v>86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1343.9449214131291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1560.9875920727779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0.22280435750865302</v>
      </c>
      <c r="R171" s="1">
        <v>79</v>
      </c>
      <c r="S171" s="1">
        <v>88</v>
      </c>
      <c r="T171" s="1">
        <v>0</v>
      </c>
      <c r="U171" s="1">
        <f>Games[[#This Row],[PointsFor]]-Games[[#This Row],[PointsAgainst]]</f>
        <v>-9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0.3437905171549353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73.75</v>
      </c>
      <c r="Z171" s="4">
        <f>Games[[#This Row],[K]]*Games[[#This Row],[POMult]]</f>
        <v>73.75</v>
      </c>
      <c r="AA171" s="4">
        <f>(Games[[#This Row],[Keff]]*Games[[#This Row],[MOVMult]])*(Games[[#This Row],[Result]]-Games[[#This Row],[ExpectedWin%]])</f>
        <v>-5.6491043653051278</v>
      </c>
      <c r="AB171" s="4">
        <f>Games[[#This Row],[PreGmRate]]+Games[[#This Row],[RatingChange]]</f>
        <v>1338.2958170478239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44071</v>
      </c>
      <c r="B172" s="2">
        <v>2020</v>
      </c>
      <c r="C172" s="2">
        <f>COUNTIFS(Games[Team],Games[[#This Row],[Team]],Games[Season],Games[[#This Row],[Season]],Games[Date],"&lt;=" &amp; Games[[#This Row],[Date]])</f>
        <v>14</v>
      </c>
      <c r="D172" s="2" t="s">
        <v>79</v>
      </c>
      <c r="E172" s="2" t="s">
        <v>80</v>
      </c>
      <c r="F172" s="1" t="s">
        <v>63</v>
      </c>
      <c r="G172" s="1" t="s">
        <v>74</v>
      </c>
      <c r="H172" s="1" t="s">
        <v>86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2" s="2">
        <f>Games[[#This Row],[DaysOff]]-Games[[#This Row],[OppDaysOff]]</f>
        <v>-1</v>
      </c>
      <c r="L172" s="2">
        <f>Games[[#This Row],[OppDaysOff]]-Games[[#This Row],[DaysOff]]</f>
        <v>1</v>
      </c>
      <c r="M172" s="1">
        <f>MAX(-16, MIN(16, Games[[#This Row],[RestDiff]]*8))</f>
        <v>-8</v>
      </c>
      <c r="N172" s="1">
        <f>MAX(-16, MIN(16, Games[[#This Row],[OppRestDiff]]*8))</f>
        <v>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1602.8174277501973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1526.5770977222483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0.58583438856277792</v>
      </c>
      <c r="R172" s="1">
        <v>80</v>
      </c>
      <c r="S172" s="1">
        <v>76</v>
      </c>
      <c r="T172" s="1">
        <v>0</v>
      </c>
      <c r="U172" s="1">
        <f>Games[[#This Row],[PointsFor]]-Games[[#This Row],[PointsAgainst]]</f>
        <v>4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0.29282829659243798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8.9625484362697865</v>
      </c>
      <c r="AB172" s="4">
        <f>Games[[#This Row],[PreGmRate]]+Games[[#This Row],[RatingChange]]</f>
        <v>1611.7799761864671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44071</v>
      </c>
      <c r="B173" s="2">
        <v>2020</v>
      </c>
      <c r="C173" s="2">
        <f>COUNTIFS(Games[Team],Games[[#This Row],[Team]],Games[Season],Games[[#This Row],[Season]],Games[Date],"&lt;=" &amp; Games[[#This Row],[Date]])</f>
        <v>15</v>
      </c>
      <c r="D173" s="2" t="s">
        <v>79</v>
      </c>
      <c r="E173" s="2" t="s">
        <v>80</v>
      </c>
      <c r="F173" s="1" t="s">
        <v>74</v>
      </c>
      <c r="G173" s="1" t="s">
        <v>63</v>
      </c>
      <c r="H173" s="1" t="s">
        <v>86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3" s="2">
        <f>Games[[#This Row],[DaysOff]]-Games[[#This Row],[OppDaysOff]]</f>
        <v>1</v>
      </c>
      <c r="L173" s="2">
        <f>Games[[#This Row],[OppDaysOff]]-Games[[#This Row],[DaysOff]]</f>
        <v>-1</v>
      </c>
      <c r="M173" s="1">
        <f>MAX(-16, MIN(16, Games[[#This Row],[RestDiff]]*8))</f>
        <v>8</v>
      </c>
      <c r="N173" s="1">
        <f>MAX(-16, MIN(16, Games[[#This Row],[OppRestDiff]]*8))</f>
        <v>-8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1526.5770977222483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1602.8174277501973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0.41416561143722208</v>
      </c>
      <c r="R173" s="1">
        <v>76</v>
      </c>
      <c r="S173" s="1">
        <v>80</v>
      </c>
      <c r="T173" s="1">
        <v>0</v>
      </c>
      <c r="U173" s="1">
        <f>Games[[#This Row],[PointsFor]]-Games[[#This Row],[PointsAgainst]]</f>
        <v>-4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0.29282829659243798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-8.9443565246941379</v>
      </c>
      <c r="AB173" s="4">
        <f>Games[[#This Row],[PreGmRate]]+Games[[#This Row],[RatingChange]]</f>
        <v>1517.6327411975542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44071</v>
      </c>
      <c r="B174" s="2">
        <v>2020</v>
      </c>
      <c r="C174" s="2">
        <f>COUNTIFS(Games[Team],Games[[#This Row],[Team]],Games[Season],Games[[#This Row],[Season]],Games[Date],"&lt;=" &amp; Games[[#This Row],[Date]])</f>
        <v>14</v>
      </c>
      <c r="D174" s="2" t="s">
        <v>79</v>
      </c>
      <c r="E174" s="2" t="s">
        <v>80</v>
      </c>
      <c r="F174" s="1" t="s">
        <v>65</v>
      </c>
      <c r="G174" s="1" t="s">
        <v>40</v>
      </c>
      <c r="H174" s="1" t="s">
        <v>86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1500.418005351481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1472.4636181742389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0.54014301000194498</v>
      </c>
      <c r="R174" s="1">
        <v>72</v>
      </c>
      <c r="S174" s="1">
        <v>94</v>
      </c>
      <c r="T174" s="1">
        <v>0</v>
      </c>
      <c r="U174" s="1">
        <f>Games[[#This Row],[PointsFor]]-Games[[#This Row],[PointsAgainst]]</f>
        <v>-22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0.58835035985740336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-23.484927405442885</v>
      </c>
      <c r="AB174" s="4">
        <f>Games[[#This Row],[PreGmRate]]+Games[[#This Row],[RatingChange]]</f>
        <v>1476.9330779460381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44071</v>
      </c>
      <c r="B175" s="2">
        <v>2020</v>
      </c>
      <c r="C175" s="2">
        <f>COUNTIFS(Games[Team],Games[[#This Row],[Team]],Games[Season],Games[[#This Row],[Season]],Games[Date],"&lt;=" &amp; Games[[#This Row],[Date]])</f>
        <v>15</v>
      </c>
      <c r="D175" s="2" t="s">
        <v>79</v>
      </c>
      <c r="E175" s="2" t="s">
        <v>80</v>
      </c>
      <c r="F175" s="1" t="s">
        <v>40</v>
      </c>
      <c r="G175" s="1" t="s">
        <v>65</v>
      </c>
      <c r="H175" s="1" t="s">
        <v>86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1472.4636181742389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1500.418005351481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0.45985698999805508</v>
      </c>
      <c r="R175" s="1">
        <v>94</v>
      </c>
      <c r="S175" s="1">
        <v>72</v>
      </c>
      <c r="T175" s="1">
        <v>0</v>
      </c>
      <c r="U175" s="1">
        <f>Games[[#This Row],[PointsFor]]-Games[[#This Row],[PointsAgainst]]</f>
        <v>22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0.58835035985740336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73.75</v>
      </c>
      <c r="Z175" s="4">
        <f>Games[[#This Row],[K]]*Games[[#This Row],[POMult]]</f>
        <v>73.75</v>
      </c>
      <c r="AA175" s="4">
        <f>(Games[[#This Row],[Keff]]*Games[[#This Row],[MOVMult]])*(Games[[#This Row],[Result]]-Games[[#This Row],[ExpectedWin%]])</f>
        <v>23.437258405296514</v>
      </c>
      <c r="AB175" s="4">
        <f>Games[[#This Row],[PreGmRate]]+Games[[#This Row],[RatingChange]]</f>
        <v>1495.9008765795354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44072</v>
      </c>
      <c r="B176" s="2">
        <v>2020</v>
      </c>
      <c r="C176" s="2">
        <f>COUNTIFS(Games[Team],Games[[#This Row],[Team]],Games[Season],Games[[#This Row],[Season]],Games[Date],"&lt;=" &amp; Games[[#This Row],[Date]])</f>
        <v>16</v>
      </c>
      <c r="D176" s="2" t="s">
        <v>79</v>
      </c>
      <c r="E176" s="2" t="s">
        <v>80</v>
      </c>
      <c r="F176" s="1" t="s">
        <v>71</v>
      </c>
      <c r="G176" s="1" t="s">
        <v>75</v>
      </c>
      <c r="H176" s="1" t="s">
        <v>86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1618.6038485262741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1571.683929339541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0.56711567879291835</v>
      </c>
      <c r="R176" s="1">
        <v>88</v>
      </c>
      <c r="S176" s="1">
        <v>74</v>
      </c>
      <c r="T176" s="1">
        <v>0</v>
      </c>
      <c r="U176" s="1">
        <f>Games[[#This Row],[PointsFor]]-Games[[#This Row],[PointsAgainst]]</f>
        <v>14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0.46926006653462976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73.599999999999994</v>
      </c>
      <c r="Z176" s="4">
        <f>Games[[#This Row],[K]]*Games[[#This Row],[POMult]]</f>
        <v>73.599999999999994</v>
      </c>
      <c r="AA176" s="4">
        <f>(Games[[#This Row],[Keff]]*Games[[#This Row],[MOVMult]])*(Games[[#This Row],[Result]]-Games[[#This Row],[ExpectedWin%]])</f>
        <v>14.950759947337481</v>
      </c>
      <c r="AB176" s="4">
        <f>Games[[#This Row],[PreGmRate]]+Games[[#This Row],[RatingChange]]</f>
        <v>1633.5546084736116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44072</v>
      </c>
      <c r="B177" s="2">
        <v>2020</v>
      </c>
      <c r="C177" s="2">
        <f>COUNTIFS(Games[Team],Games[[#This Row],[Team]],Games[Season],Games[[#This Row],[Season]],Games[Date],"&lt;=" &amp; Games[[#This Row],[Date]])</f>
        <v>16</v>
      </c>
      <c r="D177" s="2" t="s">
        <v>79</v>
      </c>
      <c r="E177" s="2" t="s">
        <v>80</v>
      </c>
      <c r="F177" s="1" t="s">
        <v>75</v>
      </c>
      <c r="G177" s="1" t="s">
        <v>71</v>
      </c>
      <c r="H177" s="1" t="s">
        <v>86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1571.683929339541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1618.6038485262741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0.43288432120708159</v>
      </c>
      <c r="R177" s="1">
        <v>74</v>
      </c>
      <c r="S177" s="1">
        <v>88</v>
      </c>
      <c r="T177" s="1">
        <v>0</v>
      </c>
      <c r="U177" s="1">
        <f>Games[[#This Row],[PointsFor]]-Games[[#This Row],[PointsAgainst]]</f>
        <v>-14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0.46926006653462976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-14.950759947337479</v>
      </c>
      <c r="AB177" s="4">
        <f>Games[[#This Row],[PreGmRate]]+Games[[#This Row],[RatingChange]]</f>
        <v>1556.7331693922035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44072</v>
      </c>
      <c r="B178" s="2">
        <v>2020</v>
      </c>
      <c r="C178" s="2">
        <f>COUNTIFS(Games[Team],Games[[#This Row],[Team]],Games[Season],Games[[#This Row],[Season]],Games[Date],"&lt;=" &amp; Games[[#This Row],[Date]])</f>
        <v>16</v>
      </c>
      <c r="D178" s="2" t="s">
        <v>79</v>
      </c>
      <c r="E178" s="2" t="s">
        <v>80</v>
      </c>
      <c r="F178" s="1" t="s">
        <v>83</v>
      </c>
      <c r="G178" s="1" t="s">
        <v>69</v>
      </c>
      <c r="H178" s="1" t="s">
        <v>86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1416.5322319087586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1433.0081859986958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0.47630695379036692</v>
      </c>
      <c r="R178" s="1">
        <v>82</v>
      </c>
      <c r="S178" s="1">
        <v>78</v>
      </c>
      <c r="T178" s="1">
        <v>0</v>
      </c>
      <c r="U178" s="1">
        <f>Games[[#This Row],[PointsFor]]-Games[[#This Row],[PointsAgainst]]</f>
        <v>4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0.30721468897775289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73.599999999999994</v>
      </c>
      <c r="Z178" s="4">
        <f>Games[[#This Row],[K]]*Games[[#This Row],[POMult]]</f>
        <v>73.599999999999994</v>
      </c>
      <c r="AA178" s="4">
        <f>(Games[[#This Row],[Keff]]*Games[[#This Row],[MOVMult]])*(Games[[#This Row],[Result]]-Games[[#This Row],[ExpectedWin%]])</f>
        <v>11.841224048497283</v>
      </c>
      <c r="AB178" s="4">
        <f>Games[[#This Row],[PreGmRate]]+Games[[#This Row],[RatingChange]]</f>
        <v>1428.3734559572558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44072</v>
      </c>
      <c r="B179" s="2">
        <v>2020</v>
      </c>
      <c r="C179" s="2">
        <f>COUNTIFS(Games[Team],Games[[#This Row],[Team]],Games[Season],Games[[#This Row],[Season]],Games[Date],"&lt;=" &amp; Games[[#This Row],[Date]])</f>
        <v>15</v>
      </c>
      <c r="D179" s="2" t="s">
        <v>79</v>
      </c>
      <c r="E179" s="2" t="s">
        <v>80</v>
      </c>
      <c r="F179" s="1" t="s">
        <v>69</v>
      </c>
      <c r="G179" s="1" t="s">
        <v>83</v>
      </c>
      <c r="H179" s="1" t="s">
        <v>86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1433.0081859986958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1416.5322319087586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0.52369304620963308</v>
      </c>
      <c r="R179" s="1">
        <v>78</v>
      </c>
      <c r="S179" s="1">
        <v>82</v>
      </c>
      <c r="T179" s="1">
        <v>0</v>
      </c>
      <c r="U179" s="1">
        <f>Games[[#This Row],[PointsFor]]-Games[[#This Row],[PointsAgainst]]</f>
        <v>-4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0.30721468897775289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-11.86535697794395</v>
      </c>
      <c r="AB179" s="4">
        <f>Games[[#This Row],[PreGmRate]]+Games[[#This Row],[RatingChange]]</f>
        <v>1421.1428290207518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44072</v>
      </c>
      <c r="B180" s="2">
        <v>2020</v>
      </c>
      <c r="C180" s="2">
        <f>COUNTIFS(Games[Team],Games[[#This Row],[Team]],Games[Season],Games[[#This Row],[Season]],Games[Date],"&lt;=" &amp; Games[[#This Row],[Date]])</f>
        <v>15</v>
      </c>
      <c r="D180" s="2" t="s">
        <v>79</v>
      </c>
      <c r="E180" s="2" t="s">
        <v>80</v>
      </c>
      <c r="F180" s="1" t="s">
        <v>60</v>
      </c>
      <c r="G180" s="1" t="s">
        <v>84</v>
      </c>
      <c r="H180" s="1" t="s">
        <v>86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1320.5857626157365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1632.6685673998134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0.14227850184278054</v>
      </c>
      <c r="R180" s="1">
        <v>63</v>
      </c>
      <c r="S180" s="1">
        <v>80</v>
      </c>
      <c r="T180" s="1">
        <v>0</v>
      </c>
      <c r="U180" s="1">
        <f>Games[[#This Row],[PointsFor]]-Games[[#This Row],[PointsAgainst]]</f>
        <v>-17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0.42254992972401079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-4.4338331079242037</v>
      </c>
      <c r="AB180" s="4">
        <f>Games[[#This Row],[PreGmRate]]+Games[[#This Row],[RatingChange]]</f>
        <v>1316.1519295078124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44072</v>
      </c>
      <c r="B181" s="2">
        <v>2020</v>
      </c>
      <c r="C181" s="2">
        <f>COUNTIFS(Games[Team],Games[[#This Row],[Team]],Games[Season],Games[[#This Row],[Season]],Games[Date],"&lt;=" &amp; Games[[#This Row],[Date]])</f>
        <v>15</v>
      </c>
      <c r="D181" s="2" t="s">
        <v>79</v>
      </c>
      <c r="E181" s="2" t="s">
        <v>80</v>
      </c>
      <c r="F181" s="1" t="s">
        <v>84</v>
      </c>
      <c r="G181" s="1" t="s">
        <v>60</v>
      </c>
      <c r="H181" s="1" t="s">
        <v>86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1632.6685673998134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1320.5857626157365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0.85772149815721954</v>
      </c>
      <c r="R181" s="1">
        <v>80</v>
      </c>
      <c r="S181" s="1">
        <v>63</v>
      </c>
      <c r="T181" s="1">
        <v>0</v>
      </c>
      <c r="U181" s="1">
        <f>Games[[#This Row],[PointsFor]]-Games[[#This Row],[PointsAgainst]]</f>
        <v>17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0.42254992972401079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4.433833107924201</v>
      </c>
      <c r="AB181" s="4">
        <f>Games[[#This Row],[PreGmRate]]+Games[[#This Row],[RatingChange]]</f>
        <v>1637.1024005077375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44073</v>
      </c>
      <c r="B182" s="2">
        <v>2020</v>
      </c>
      <c r="C182" s="2">
        <f>COUNTIFS(Games[Team],Games[[#This Row],[Team]],Games[Season],Games[[#This Row],[Season]],Games[Date],"&lt;=" &amp; Games[[#This Row],[Date]])</f>
        <v>16</v>
      </c>
      <c r="D182" s="2" t="s">
        <v>79</v>
      </c>
      <c r="E182" s="2" t="s">
        <v>80</v>
      </c>
      <c r="F182" s="1" t="s">
        <v>77</v>
      </c>
      <c r="G182" s="1" t="s">
        <v>63</v>
      </c>
      <c r="H182" s="1" t="s">
        <v>86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1338.2958170478239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1611.7799761864671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0.17160406171172327</v>
      </c>
      <c r="R182" s="1">
        <v>79</v>
      </c>
      <c r="S182" s="1">
        <v>84</v>
      </c>
      <c r="T182" s="1">
        <v>0</v>
      </c>
      <c r="U182" s="1">
        <f>Games[[#This Row],[PointsFor]]-Games[[#This Row],[PointsAgainst]]</f>
        <v>-5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0.27018082826639911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-3.4123997859983621</v>
      </c>
      <c r="AB182" s="4">
        <f>Games[[#This Row],[PreGmRate]]+Games[[#This Row],[RatingChange]]</f>
        <v>1334.8834172618256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44073</v>
      </c>
      <c r="B183" s="2">
        <v>2020</v>
      </c>
      <c r="C183" s="2">
        <f>COUNTIFS(Games[Team],Games[[#This Row],[Team]],Games[Season],Games[[#This Row],[Season]],Games[Date],"&lt;=" &amp; Games[[#This Row],[Date]])</f>
        <v>15</v>
      </c>
      <c r="D183" s="2" t="s">
        <v>79</v>
      </c>
      <c r="E183" s="2" t="s">
        <v>80</v>
      </c>
      <c r="F183" s="1" t="s">
        <v>63</v>
      </c>
      <c r="G183" s="1" t="s">
        <v>77</v>
      </c>
      <c r="H183" s="1" t="s">
        <v>86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1611.7799761864671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1338.2958170478239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0.82839593828827673</v>
      </c>
      <c r="R183" s="1">
        <v>84</v>
      </c>
      <c r="S183" s="1">
        <v>79</v>
      </c>
      <c r="T183" s="1">
        <v>0</v>
      </c>
      <c r="U183" s="1">
        <f>Games[[#This Row],[PointsFor]]-Games[[#This Row],[PointsAgainst]]</f>
        <v>5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0.27018082826639911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3.4193544051274349</v>
      </c>
      <c r="AB183" s="4">
        <f>Games[[#This Row],[PreGmRate]]+Games[[#This Row],[RatingChange]]</f>
        <v>1615.1993305915946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44073</v>
      </c>
      <c r="B184" s="2">
        <v>2020</v>
      </c>
      <c r="C184" s="2">
        <f>COUNTIFS(Games[Team],Games[[#This Row],[Team]],Games[Season],Games[[#This Row],[Season]],Games[Date],"&lt;=" &amp; Games[[#This Row],[Date]])</f>
        <v>16</v>
      </c>
      <c r="D184" s="2" t="s">
        <v>79</v>
      </c>
      <c r="E184" s="2" t="s">
        <v>80</v>
      </c>
      <c r="F184" s="1" t="s">
        <v>40</v>
      </c>
      <c r="G184" s="1" t="s">
        <v>67</v>
      </c>
      <c r="H184" s="1" t="s">
        <v>86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1495.9008765795354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1566.648186141877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0.39957068265087614</v>
      </c>
      <c r="R184" s="1">
        <v>83</v>
      </c>
      <c r="S184" s="1">
        <v>79</v>
      </c>
      <c r="T184" s="1">
        <v>0</v>
      </c>
      <c r="U184" s="1">
        <f>Games[[#This Row],[PointsFor]]-Games[[#This Row],[PointsAgainst]]</f>
        <v>4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0.29409409649930163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12.99648801517475</v>
      </c>
      <c r="AB184" s="4">
        <f>Games[[#This Row],[PreGmRate]]+Games[[#This Row],[RatingChange]]</f>
        <v>1508.8973645947101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44073</v>
      </c>
      <c r="B185" s="2">
        <v>2020</v>
      </c>
      <c r="C185" s="2">
        <f>COUNTIFS(Games[Team],Games[[#This Row],[Team]],Games[Season],Games[[#This Row],[Season]],Games[Date],"&lt;=" &amp; Games[[#This Row],[Date]])</f>
        <v>15</v>
      </c>
      <c r="D185" s="2" t="s">
        <v>79</v>
      </c>
      <c r="E185" s="2" t="s">
        <v>80</v>
      </c>
      <c r="F185" s="1" t="s">
        <v>67</v>
      </c>
      <c r="G185" s="1" t="s">
        <v>40</v>
      </c>
      <c r="H185" s="1" t="s">
        <v>86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1566.648186141877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1495.9008765795354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0.60042931734912375</v>
      </c>
      <c r="R185" s="1">
        <v>79</v>
      </c>
      <c r="S185" s="1">
        <v>83</v>
      </c>
      <c r="T185" s="1">
        <v>0</v>
      </c>
      <c r="U185" s="1">
        <f>Games[[#This Row],[PointsFor]]-Games[[#This Row],[PointsAgainst]]</f>
        <v>-4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0.29409409649930163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-13.022975422814371</v>
      </c>
      <c r="AB185" s="4">
        <f>Games[[#This Row],[PreGmRate]]+Games[[#This Row],[RatingChange]]</f>
        <v>1553.6252107190626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44073</v>
      </c>
      <c r="B186" s="2">
        <v>2020</v>
      </c>
      <c r="C186" s="2">
        <f>COUNTIFS(Games[Team],Games[[#This Row],[Team]],Games[Season],Games[[#This Row],[Season]],Games[Date],"&lt;=" &amp; Games[[#This Row],[Date]])</f>
        <v>16</v>
      </c>
      <c r="D186" s="2" t="s">
        <v>79</v>
      </c>
      <c r="E186" s="2" t="s">
        <v>80</v>
      </c>
      <c r="F186" s="1" t="s">
        <v>74</v>
      </c>
      <c r="G186" s="1" t="s">
        <v>65</v>
      </c>
      <c r="H186" s="1" t="s">
        <v>86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1517.6327411975542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1476.9330779460381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0.55830507036383581</v>
      </c>
      <c r="R186" s="1">
        <v>76</v>
      </c>
      <c r="S186" s="1">
        <v>63</v>
      </c>
      <c r="T186" s="1">
        <v>0</v>
      </c>
      <c r="U186" s="1">
        <f>Games[[#This Row],[PointsFor]]-Games[[#This Row],[PointsAgainst]]</f>
        <v>13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0.4565589268336161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14.8421585614027</v>
      </c>
      <c r="AB186" s="4">
        <f>Games[[#This Row],[PreGmRate]]+Games[[#This Row],[RatingChange]]</f>
        <v>1532.474899758957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44073</v>
      </c>
      <c r="B187" s="2">
        <v>2020</v>
      </c>
      <c r="C187" s="2">
        <f>COUNTIFS(Games[Team],Games[[#This Row],[Team]],Games[Season],Games[[#This Row],[Season]],Games[Date],"&lt;=" &amp; Games[[#This Row],[Date]])</f>
        <v>15</v>
      </c>
      <c r="D187" s="2" t="s">
        <v>79</v>
      </c>
      <c r="E187" s="2" t="s">
        <v>80</v>
      </c>
      <c r="F187" s="1" t="s">
        <v>65</v>
      </c>
      <c r="G187" s="1" t="s">
        <v>74</v>
      </c>
      <c r="H187" s="1" t="s">
        <v>86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1476.9330779460381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1517.6327411975542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0.44169492963616419</v>
      </c>
      <c r="R187" s="1">
        <v>63</v>
      </c>
      <c r="S187" s="1">
        <v>76</v>
      </c>
      <c r="T187" s="1">
        <v>0</v>
      </c>
      <c r="U187" s="1">
        <f>Games[[#This Row],[PointsFor]]-Games[[#This Row],[PointsAgainst]]</f>
        <v>-13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0.4565589268336161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-14.87240752586208</v>
      </c>
      <c r="AB187" s="4">
        <f>Games[[#This Row],[PreGmRate]]+Games[[#This Row],[RatingChange]]</f>
        <v>1462.0606704201759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44074</v>
      </c>
      <c r="B188" s="2">
        <v>2020</v>
      </c>
      <c r="C188" s="2">
        <f>COUNTIFS(Games[Team],Games[[#This Row],[Team]],Games[Season],Games[[#This Row],[Season]],Games[Date],"&lt;=" &amp; Games[[#This Row],[Date]])</f>
        <v>17</v>
      </c>
      <c r="D188" s="2" t="s">
        <v>79</v>
      </c>
      <c r="E188" s="2" t="s">
        <v>80</v>
      </c>
      <c r="F188" s="1" t="s">
        <v>75</v>
      </c>
      <c r="G188" s="1" t="s">
        <v>69</v>
      </c>
      <c r="H188" s="1" t="s">
        <v>86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1556.7331693922035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1421.1428290207518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0.68579233474322565</v>
      </c>
      <c r="R188" s="1">
        <v>100</v>
      </c>
      <c r="S188" s="1">
        <v>77</v>
      </c>
      <c r="T188" s="1">
        <v>0</v>
      </c>
      <c r="U188" s="1">
        <f>Games[[#This Row],[PointsFor]]-Games[[#This Row],[PointsAgainst]]</f>
        <v>23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0.55286812187407575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73.45</v>
      </c>
      <c r="Z188" s="4">
        <f>Games[[#This Row],[K]]*Games[[#This Row],[POMult]]</f>
        <v>73.45</v>
      </c>
      <c r="AA188" s="4">
        <f>(Games[[#This Row],[Keff]]*Games[[#This Row],[MOVMult]])*(Games[[#This Row],[Result]]-Games[[#This Row],[ExpectedWin%]])</f>
        <v>12.759396259929462</v>
      </c>
      <c r="AB188" s="4">
        <f>Games[[#This Row],[PreGmRate]]+Games[[#This Row],[RatingChange]]</f>
        <v>1569.492565652133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44074</v>
      </c>
      <c r="B189" s="2">
        <v>2020</v>
      </c>
      <c r="C189" s="2">
        <f>COUNTIFS(Games[Team],Games[[#This Row],[Team]],Games[Season],Games[[#This Row],[Season]],Games[Date],"&lt;=" &amp; Games[[#This Row],[Date]])</f>
        <v>16</v>
      </c>
      <c r="D189" s="2" t="s">
        <v>79</v>
      </c>
      <c r="E189" s="2" t="s">
        <v>80</v>
      </c>
      <c r="F189" s="1" t="s">
        <v>69</v>
      </c>
      <c r="G189" s="1" t="s">
        <v>75</v>
      </c>
      <c r="H189" s="1" t="s">
        <v>86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1421.1428290207518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1556.7331693922035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0.31420766525677435</v>
      </c>
      <c r="R189" s="1">
        <v>77</v>
      </c>
      <c r="S189" s="1">
        <v>100</v>
      </c>
      <c r="T189" s="1">
        <v>0</v>
      </c>
      <c r="U189" s="1">
        <f>Games[[#This Row],[PointsFor]]-Games[[#This Row],[PointsAgainst]]</f>
        <v>-23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0.55286812187407575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-12.785453570194802</v>
      </c>
      <c r="AB189" s="4">
        <f>Games[[#This Row],[PreGmRate]]+Games[[#This Row],[RatingChange]]</f>
        <v>1408.3573754505571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44074</v>
      </c>
      <c r="B190" s="2">
        <v>2020</v>
      </c>
      <c r="C190" s="2">
        <f>COUNTIFS(Games[Team],Games[[#This Row],[Team]],Games[Season],Games[[#This Row],[Season]],Games[Date],"&lt;=" &amp; Games[[#This Row],[Date]])</f>
        <v>16</v>
      </c>
      <c r="D190" s="2" t="s">
        <v>79</v>
      </c>
      <c r="E190" s="2" t="s">
        <v>80</v>
      </c>
      <c r="F190" s="1" t="s">
        <v>63</v>
      </c>
      <c r="G190" s="1" t="s">
        <v>67</v>
      </c>
      <c r="H190" s="1" t="s">
        <v>86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1615.1993305915946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1553.6252107190626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0.58769606306570621</v>
      </c>
      <c r="R190" s="1">
        <v>78</v>
      </c>
      <c r="S190" s="1">
        <v>96</v>
      </c>
      <c r="T190" s="1">
        <v>0</v>
      </c>
      <c r="U190" s="1">
        <f>Games[[#This Row],[PointsFor]]-Games[[#This Row],[PointsAgainst]]</f>
        <v>-18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0.52014440389589411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-22.49854983389228</v>
      </c>
      <c r="AB190" s="4">
        <f>Games[[#This Row],[PreGmRate]]+Games[[#This Row],[RatingChange]]</f>
        <v>1592.7007807577024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44074</v>
      </c>
      <c r="B191" s="2">
        <v>2020</v>
      </c>
      <c r="C191" s="2">
        <f>COUNTIFS(Games[Team],Games[[#This Row],[Team]],Games[Season],Games[[#This Row],[Season]],Games[Date],"&lt;=" &amp; Games[[#This Row],[Date]])</f>
        <v>16</v>
      </c>
      <c r="D191" s="2" t="s">
        <v>79</v>
      </c>
      <c r="E191" s="2" t="s">
        <v>80</v>
      </c>
      <c r="F191" s="1" t="s">
        <v>67</v>
      </c>
      <c r="G191" s="1" t="s">
        <v>63</v>
      </c>
      <c r="H191" s="1" t="s">
        <v>86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1553.6252107190626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1615.1993305915946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0.41230393693429379</v>
      </c>
      <c r="R191" s="1">
        <v>96</v>
      </c>
      <c r="S191" s="1">
        <v>78</v>
      </c>
      <c r="T191" s="1">
        <v>0</v>
      </c>
      <c r="U191" s="1">
        <f>Games[[#This Row],[PointsFor]]-Games[[#This Row],[PointsAgainst]]</f>
        <v>18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0.52014440389589411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22.49854983389228</v>
      </c>
      <c r="AB191" s="4">
        <f>Games[[#This Row],[PreGmRate]]+Games[[#This Row],[RatingChange]]</f>
        <v>1576.1237605529548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44075</v>
      </c>
      <c r="B192" s="2">
        <v>2020</v>
      </c>
      <c r="C192" s="2">
        <f>COUNTIFS(Games[Team],Games[[#This Row],[Team]],Games[Season],Games[[#This Row],[Season]],Games[Date],"&lt;=" &amp; Games[[#This Row],[Date]])</f>
        <v>17</v>
      </c>
      <c r="D192" s="2" t="s">
        <v>79</v>
      </c>
      <c r="E192" s="2" t="s">
        <v>80</v>
      </c>
      <c r="F192" s="1" t="s">
        <v>69</v>
      </c>
      <c r="G192" s="1" t="s">
        <v>77</v>
      </c>
      <c r="H192" s="1" t="s">
        <v>86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1408.3573754505571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1334.8834172618256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0.58196537733299825</v>
      </c>
      <c r="R192" s="1">
        <v>90</v>
      </c>
      <c r="S192" s="1">
        <v>102</v>
      </c>
      <c r="T192" s="1">
        <v>0</v>
      </c>
      <c r="U192" s="1">
        <f>Games[[#This Row],[PointsFor]]-Games[[#This Row],[PointsAgainst]]</f>
        <v>-12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0.42981274031732464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73.45</v>
      </c>
      <c r="Z192" s="4">
        <f>Games[[#This Row],[K]]*Games[[#This Row],[POMult]]</f>
        <v>73.45</v>
      </c>
      <c r="AA192" s="4">
        <f>(Games[[#This Row],[Keff]]*Games[[#This Row],[MOVMult]])*(Games[[#This Row],[Result]]-Games[[#This Row],[ExpectedWin%]])</f>
        <v>-18.37249901301562</v>
      </c>
      <c r="AB192" s="4">
        <f>Games[[#This Row],[PreGmRate]]+Games[[#This Row],[RatingChange]]</f>
        <v>1389.9848764375415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44075</v>
      </c>
      <c r="B193" s="2">
        <v>2020</v>
      </c>
      <c r="C193" s="2">
        <f>COUNTIFS(Games[Team],Games[[#This Row],[Team]],Games[Season],Games[[#This Row],[Season]],Games[Date],"&lt;=" &amp; Games[[#This Row],[Date]])</f>
        <v>17</v>
      </c>
      <c r="D193" s="2" t="s">
        <v>79</v>
      </c>
      <c r="E193" s="2" t="s">
        <v>80</v>
      </c>
      <c r="F193" s="1" t="s">
        <v>77</v>
      </c>
      <c r="G193" s="1" t="s">
        <v>69</v>
      </c>
      <c r="H193" s="1" t="s">
        <v>86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1334.8834172618256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1408.3573754505571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0.41803462266700175</v>
      </c>
      <c r="R193" s="1">
        <v>102</v>
      </c>
      <c r="S193" s="1">
        <v>90</v>
      </c>
      <c r="T193" s="1">
        <v>0</v>
      </c>
      <c r="U193" s="1">
        <f>Games[[#This Row],[PointsFor]]-Games[[#This Row],[PointsAgainst]]</f>
        <v>12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0.42981274031732464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73.45</v>
      </c>
      <c r="Z193" s="4">
        <f>Games[[#This Row],[K]]*Games[[#This Row],[POMult]]</f>
        <v>73.45</v>
      </c>
      <c r="AA193" s="4">
        <f>(Games[[#This Row],[Keff]]*Games[[#This Row],[MOVMult]])*(Games[[#This Row],[Result]]-Games[[#This Row],[ExpectedWin%]])</f>
        <v>18.37249901301562</v>
      </c>
      <c r="AB193" s="4">
        <f>Games[[#This Row],[PreGmRate]]+Games[[#This Row],[RatingChange]]</f>
        <v>1353.2559162748412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44075</v>
      </c>
      <c r="B194" s="2">
        <v>2020</v>
      </c>
      <c r="C194" s="2">
        <f>COUNTIFS(Games[Team],Games[[#This Row],[Team]],Games[Season],Games[[#This Row],[Season]],Games[Date],"&lt;=" &amp; Games[[#This Row],[Date]])</f>
        <v>17</v>
      </c>
      <c r="D194" s="2" t="s">
        <v>79</v>
      </c>
      <c r="E194" s="2" t="s">
        <v>80</v>
      </c>
      <c r="F194" s="1" t="s">
        <v>40</v>
      </c>
      <c r="G194" s="1" t="s">
        <v>84</v>
      </c>
      <c r="H194" s="1" t="s">
        <v>86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1508.8973645947101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1637.1024005077375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0.30362161827862977</v>
      </c>
      <c r="R194" s="1">
        <v>92</v>
      </c>
      <c r="S194" s="1">
        <v>85</v>
      </c>
      <c r="T194" s="1">
        <v>0</v>
      </c>
      <c r="U194" s="1">
        <f>Games[[#This Row],[PointsFor]]-Games[[#This Row],[PointsAgainst]]</f>
        <v>7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0.33438256517321785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17.103331196940147</v>
      </c>
      <c r="AB194" s="4">
        <f>Games[[#This Row],[PreGmRate]]+Games[[#This Row],[RatingChange]]</f>
        <v>1526.0006957916503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44075</v>
      </c>
      <c r="B195" s="2">
        <v>2020</v>
      </c>
      <c r="C195" s="2">
        <f>COUNTIFS(Games[Team],Games[[#This Row],[Team]],Games[Season],Games[[#This Row],[Season]],Games[Date],"&lt;=" &amp; Games[[#This Row],[Date]])</f>
        <v>16</v>
      </c>
      <c r="D195" s="2" t="s">
        <v>79</v>
      </c>
      <c r="E195" s="2" t="s">
        <v>80</v>
      </c>
      <c r="F195" s="1" t="s">
        <v>84</v>
      </c>
      <c r="G195" s="1" t="s">
        <v>40</v>
      </c>
      <c r="H195" s="1" t="s">
        <v>86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1637.1024005077375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1508.8973645947101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0.69637838172137023</v>
      </c>
      <c r="R195" s="1">
        <v>85</v>
      </c>
      <c r="S195" s="1">
        <v>92</v>
      </c>
      <c r="T195" s="1">
        <v>0</v>
      </c>
      <c r="U195" s="1">
        <f>Games[[#This Row],[PointsFor]]-Games[[#This Row],[PointsAgainst]]</f>
        <v>-7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0.33438256517321785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-17.138259715381821</v>
      </c>
      <c r="AB195" s="4">
        <f>Games[[#This Row],[PreGmRate]]+Games[[#This Row],[RatingChange]]</f>
        <v>1619.9641407923557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44075</v>
      </c>
      <c r="B196" s="2">
        <v>2020</v>
      </c>
      <c r="C196" s="2">
        <f>COUNTIFS(Games[Team],Games[[#This Row],[Team]],Games[Season],Games[[#This Row],[Season]],Games[Date],"&lt;=" &amp; Games[[#This Row],[Date]])</f>
        <v>17</v>
      </c>
      <c r="D196" s="2" t="s">
        <v>79</v>
      </c>
      <c r="E196" s="2" t="s">
        <v>80</v>
      </c>
      <c r="F196" s="1" t="s">
        <v>74</v>
      </c>
      <c r="G196" s="1" t="s">
        <v>60</v>
      </c>
      <c r="H196" s="1" t="s">
        <v>86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-1</v>
      </c>
      <c r="L196" s="2">
        <f>Games[[#This Row],[OppDaysOff]]-Games[[#This Row],[DaysOff]]</f>
        <v>1</v>
      </c>
      <c r="M196" s="1">
        <f>MAX(-16, MIN(16, Games[[#This Row],[RestDiff]]*8))</f>
        <v>-8</v>
      </c>
      <c r="N196" s="1">
        <f>MAX(-16, MIN(16, Games[[#This Row],[OppRestDiff]]*8))</f>
        <v>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1532.474899758957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1316.1519295078124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0.76008611921111469</v>
      </c>
      <c r="R196" s="1">
        <v>70</v>
      </c>
      <c r="S196" s="1">
        <v>65</v>
      </c>
      <c r="T196" s="1">
        <v>0</v>
      </c>
      <c r="U196" s="1">
        <f>Games[[#This Row],[PointsFor]]-Games[[#This Row],[PointsAgainst]]</f>
        <v>5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0.28108502009460756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73.45</v>
      </c>
      <c r="Z196" s="4">
        <f>Games[[#This Row],[K]]*Games[[#This Row],[POMult]]</f>
        <v>73.45</v>
      </c>
      <c r="AA196" s="4">
        <f>(Games[[#This Row],[Keff]]*Games[[#This Row],[MOVMult]])*(Games[[#This Row],[Result]]-Games[[#This Row],[ExpectedWin%]])</f>
        <v>4.953188743285029</v>
      </c>
      <c r="AB196" s="4">
        <f>Games[[#This Row],[PreGmRate]]+Games[[#This Row],[RatingChange]]</f>
        <v>1537.428088502242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44075</v>
      </c>
      <c r="B197" s="2">
        <v>2020</v>
      </c>
      <c r="C197" s="2">
        <f>COUNTIFS(Games[Team],Games[[#This Row],[Team]],Games[Season],Games[[#This Row],[Season]],Games[Date],"&lt;=" &amp; Games[[#This Row],[Date]])</f>
        <v>16</v>
      </c>
      <c r="D197" s="2" t="s">
        <v>79</v>
      </c>
      <c r="E197" s="2" t="s">
        <v>80</v>
      </c>
      <c r="F197" s="1" t="s">
        <v>60</v>
      </c>
      <c r="G197" s="1" t="s">
        <v>74</v>
      </c>
      <c r="H197" s="1" t="s">
        <v>86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1</v>
      </c>
      <c r="L197" s="2">
        <f>Games[[#This Row],[OppDaysOff]]-Games[[#This Row],[DaysOff]]</f>
        <v>-1</v>
      </c>
      <c r="M197" s="1">
        <f>MAX(-16, MIN(16, Games[[#This Row],[RestDiff]]*8))</f>
        <v>8</v>
      </c>
      <c r="N197" s="1">
        <f>MAX(-16, MIN(16, Games[[#This Row],[OppRestDiff]]*8))</f>
        <v>-8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1316.1519295078124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1532.474899758957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0.23991388078888523</v>
      </c>
      <c r="R197" s="1">
        <v>65</v>
      </c>
      <c r="S197" s="1">
        <v>70</v>
      </c>
      <c r="T197" s="1">
        <v>0</v>
      </c>
      <c r="U197" s="1">
        <f>Games[[#This Row],[PointsFor]]-Games[[#This Row],[PointsAgainst]]</f>
        <v>-5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0.28108502009460756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-4.9633041729854046</v>
      </c>
      <c r="AB197" s="4">
        <f>Games[[#This Row],[PreGmRate]]+Games[[#This Row],[RatingChange]]</f>
        <v>1311.1886253348271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44076</v>
      </c>
      <c r="B198" s="2">
        <v>2020</v>
      </c>
      <c r="C198" s="2">
        <f>COUNTIFS(Games[Team],Games[[#This Row],[Team]],Games[Season],Games[[#This Row],[Season]],Games[Date],"&lt;=" &amp; Games[[#This Row],[Date]])</f>
        <v>17</v>
      </c>
      <c r="D198" s="2" t="s">
        <v>79</v>
      </c>
      <c r="E198" s="2" t="s">
        <v>80</v>
      </c>
      <c r="F198" s="1" t="s">
        <v>67</v>
      </c>
      <c r="G198" s="1" t="s">
        <v>75</v>
      </c>
      <c r="H198" s="1" t="s">
        <v>86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1576.1237605529548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1569.492565652133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0.50954189796778437</v>
      </c>
      <c r="R198" s="1">
        <v>86</v>
      </c>
      <c r="S198" s="1">
        <v>83</v>
      </c>
      <c r="T198" s="1">
        <v>0</v>
      </c>
      <c r="U198" s="1">
        <f>Games[[#This Row],[PointsFor]]-Games[[#This Row],[PointsAgainst]]</f>
        <v>3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0.28858878072273886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10.396164830805279</v>
      </c>
      <c r="AB198" s="4">
        <f>Games[[#This Row],[PreGmRate]]+Games[[#This Row],[RatingChange]]</f>
        <v>1586.51992538376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44076</v>
      </c>
      <c r="B199" s="2">
        <v>2020</v>
      </c>
      <c r="C199" s="2">
        <f>COUNTIFS(Games[Team],Games[[#This Row],[Team]],Games[Season],Games[[#This Row],[Season]],Games[Date],"&lt;=" &amp; Games[[#This Row],[Date]])</f>
        <v>18</v>
      </c>
      <c r="D199" s="2" t="s">
        <v>79</v>
      </c>
      <c r="E199" s="2" t="s">
        <v>80</v>
      </c>
      <c r="F199" s="1" t="s">
        <v>75</v>
      </c>
      <c r="G199" s="1" t="s">
        <v>67</v>
      </c>
      <c r="H199" s="1" t="s">
        <v>86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1569.492565652133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1576.1237605529548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0.49045810203221557</v>
      </c>
      <c r="R199" s="1">
        <v>83</v>
      </c>
      <c r="S199" s="1">
        <v>86</v>
      </c>
      <c r="T199" s="1">
        <v>0</v>
      </c>
      <c r="U199" s="1">
        <f>Games[[#This Row],[PointsFor]]-Games[[#This Row],[PointsAgainst]]</f>
        <v>-3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0.28858878072273886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73.3</v>
      </c>
      <c r="Z199" s="4">
        <f>Games[[#This Row],[K]]*Games[[#This Row],[POMult]]</f>
        <v>73.3</v>
      </c>
      <c r="AA199" s="4">
        <f>(Games[[#This Row],[Keff]]*Games[[#This Row],[MOVMult]])*(Games[[#This Row],[Result]]-Games[[#This Row],[ExpectedWin%]])</f>
        <v>-10.374933724956117</v>
      </c>
      <c r="AB199" s="4">
        <f>Games[[#This Row],[PreGmRate]]+Games[[#This Row],[RatingChange]]</f>
        <v>1559.1176319271769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44076</v>
      </c>
      <c r="B200" s="2">
        <v>2020</v>
      </c>
      <c r="C200" s="2">
        <f>COUNTIFS(Games[Team],Games[[#This Row],[Team]],Games[Season],Games[[#This Row],[Season]],Games[Date],"&lt;=" &amp; Games[[#This Row],[Date]])</f>
        <v>17</v>
      </c>
      <c r="D200" s="2" t="s">
        <v>79</v>
      </c>
      <c r="E200" s="2" t="s">
        <v>80</v>
      </c>
      <c r="F200" s="1" t="s">
        <v>63</v>
      </c>
      <c r="G200" s="1" t="s">
        <v>83</v>
      </c>
      <c r="H200" s="1" t="s">
        <v>86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1592.7007807577024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1428.3734559572558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0.68173080449948076</v>
      </c>
      <c r="R200" s="1">
        <v>91</v>
      </c>
      <c r="S200" s="1">
        <v>83</v>
      </c>
      <c r="T200" s="1">
        <v>0</v>
      </c>
      <c r="U200" s="1">
        <f>Games[[#This Row],[PointsFor]]-Games[[#This Row],[PointsAgainst]]</f>
        <v>8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0.34154460849178037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7.9842447348694678</v>
      </c>
      <c r="AB200" s="4">
        <f>Games[[#This Row],[PreGmRate]]+Games[[#This Row],[RatingChange]]</f>
        <v>1600.6850254925719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44076</v>
      </c>
      <c r="B201" s="2">
        <v>2020</v>
      </c>
      <c r="C201" s="2">
        <f>COUNTIFS(Games[Team],Games[[#This Row],[Team]],Games[Season],Games[[#This Row],[Season]],Games[Date],"&lt;=" &amp; Games[[#This Row],[Date]])</f>
        <v>17</v>
      </c>
      <c r="D201" s="2" t="s">
        <v>79</v>
      </c>
      <c r="E201" s="2" t="s">
        <v>80</v>
      </c>
      <c r="F201" s="1" t="s">
        <v>83</v>
      </c>
      <c r="G201" s="1" t="s">
        <v>63</v>
      </c>
      <c r="H201" s="1" t="s">
        <v>86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1428.3734559572558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1592.7007807577024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0.31826919550051919</v>
      </c>
      <c r="R201" s="1">
        <v>83</v>
      </c>
      <c r="S201" s="1">
        <v>91</v>
      </c>
      <c r="T201" s="1">
        <v>0</v>
      </c>
      <c r="U201" s="1">
        <f>Games[[#This Row],[PointsFor]]-Games[[#This Row],[PointsAgainst]]</f>
        <v>-8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0.34154460849178037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-7.984244734869467</v>
      </c>
      <c r="AB201" s="4">
        <f>Games[[#This Row],[PreGmRate]]+Games[[#This Row],[RatingChange]]</f>
        <v>1420.3892112223864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44076</v>
      </c>
      <c r="B202" s="2">
        <v>2020</v>
      </c>
      <c r="C202" s="2">
        <f>COUNTIFS(Games[Team],Games[[#This Row],[Team]],Games[Season],Games[[#This Row],[Season]],Games[Date],"&lt;=" &amp; Games[[#This Row],[Date]])</f>
        <v>16</v>
      </c>
      <c r="D202" s="2" t="s">
        <v>79</v>
      </c>
      <c r="E202" s="2" t="s">
        <v>80</v>
      </c>
      <c r="F202" s="1" t="s">
        <v>65</v>
      </c>
      <c r="G202" s="1" t="s">
        <v>71</v>
      </c>
      <c r="H202" s="1" t="s">
        <v>86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1462.0606704201759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1633.5546084736116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0.25363815459031019</v>
      </c>
      <c r="R202" s="1">
        <v>64</v>
      </c>
      <c r="S202" s="1">
        <v>71</v>
      </c>
      <c r="T202" s="1">
        <v>0</v>
      </c>
      <c r="U202" s="1">
        <f>Games[[#This Row],[PointsFor]]-Games[[#This Row],[PointsAgainst]]</f>
        <v>-7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0.32382834124293447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73.599999999999994</v>
      </c>
      <c r="Z202" s="4">
        <f>Games[[#This Row],[K]]*Games[[#This Row],[POMult]]</f>
        <v>73.599999999999994</v>
      </c>
      <c r="AA202" s="4">
        <f>(Games[[#This Row],[Keff]]*Games[[#This Row],[MOVMult]])*(Games[[#This Row],[Result]]-Games[[#This Row],[ExpectedWin%]])</f>
        <v>-6.0451524037397757</v>
      </c>
      <c r="AB202" s="4">
        <f>Games[[#This Row],[PreGmRate]]+Games[[#This Row],[RatingChange]]</f>
        <v>1456.0155180164361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44076</v>
      </c>
      <c r="B203" s="2">
        <v>2020</v>
      </c>
      <c r="C203" s="2">
        <f>COUNTIFS(Games[Team],Games[[#This Row],[Team]],Games[Season],Games[[#This Row],[Season]],Games[Date],"&lt;=" &amp; Games[[#This Row],[Date]])</f>
        <v>17</v>
      </c>
      <c r="D203" s="2" t="s">
        <v>79</v>
      </c>
      <c r="E203" s="2" t="s">
        <v>80</v>
      </c>
      <c r="F203" s="1" t="s">
        <v>71</v>
      </c>
      <c r="G203" s="1" t="s">
        <v>65</v>
      </c>
      <c r="H203" s="1" t="s">
        <v>86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1633.5546084736116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1462.0606704201759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0.74636184540968975</v>
      </c>
      <c r="R203" s="1">
        <v>71</v>
      </c>
      <c r="S203" s="1">
        <v>64</v>
      </c>
      <c r="T203" s="1">
        <v>0</v>
      </c>
      <c r="U203" s="1">
        <f>Games[[#This Row],[PointsFor]]-Games[[#This Row],[PointsAgainst]]</f>
        <v>7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0.32382834124293447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6.0328321203082433</v>
      </c>
      <c r="AB203" s="4">
        <f>Games[[#This Row],[PreGmRate]]+Games[[#This Row],[RatingChange]]</f>
        <v>1639.5874405939198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44077</v>
      </c>
      <c r="B204" s="2">
        <v>2020</v>
      </c>
      <c r="C204" s="2">
        <f>COUNTIFS(Games[Team],Games[[#This Row],[Team]],Games[Season],Games[[#This Row],[Season]],Games[Date],"&lt;=" &amp; Games[[#This Row],[Date]])</f>
        <v>17</v>
      </c>
      <c r="D204" s="2" t="s">
        <v>79</v>
      </c>
      <c r="E204" s="2" t="s">
        <v>80</v>
      </c>
      <c r="F204" s="1" t="s">
        <v>84</v>
      </c>
      <c r="G204" s="1" t="s">
        <v>74</v>
      </c>
      <c r="H204" s="1" t="s">
        <v>86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1619.9641407923557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1537.428088502242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0.61659385919970899</v>
      </c>
      <c r="R204" s="1">
        <v>93</v>
      </c>
      <c r="S204" s="1">
        <v>78</v>
      </c>
      <c r="T204" s="1">
        <v>0</v>
      </c>
      <c r="U204" s="1">
        <f>Games[[#This Row],[PointsFor]]-Games[[#This Row],[PointsAgainst]]</f>
        <v>15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0.47048785301360185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13.249493606675067</v>
      </c>
      <c r="AB204" s="4">
        <f>Games[[#This Row],[PreGmRate]]+Games[[#This Row],[RatingChange]]</f>
        <v>1633.2136343990308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44077</v>
      </c>
      <c r="B205" s="2">
        <v>2020</v>
      </c>
      <c r="C205" s="2">
        <f>COUNTIFS(Games[Team],Games[[#This Row],[Team]],Games[Season],Games[[#This Row],[Season]],Games[Date],"&lt;=" &amp; Games[[#This Row],[Date]])</f>
        <v>18</v>
      </c>
      <c r="D205" s="2" t="s">
        <v>79</v>
      </c>
      <c r="E205" s="2" t="s">
        <v>80</v>
      </c>
      <c r="F205" s="1" t="s">
        <v>74</v>
      </c>
      <c r="G205" s="1" t="s">
        <v>84</v>
      </c>
      <c r="H205" s="1" t="s">
        <v>86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1537.428088502242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1619.9641407923557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0.38340614080029101</v>
      </c>
      <c r="R205" s="1">
        <v>78</v>
      </c>
      <c r="S205" s="1">
        <v>93</v>
      </c>
      <c r="T205" s="1">
        <v>0</v>
      </c>
      <c r="U205" s="1">
        <f>Games[[#This Row],[PointsFor]]-Games[[#This Row],[PointsAgainst]]</f>
        <v>-15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0.47048785301360185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-13.222435416872463</v>
      </c>
      <c r="AB205" s="4">
        <f>Games[[#This Row],[PreGmRate]]+Games[[#This Row],[RatingChange]]</f>
        <v>1524.2056530853695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44077</v>
      </c>
      <c r="B206" s="2">
        <v>2020</v>
      </c>
      <c r="C206" s="2">
        <f>COUNTIFS(Games[Team],Games[[#This Row],[Team]],Games[Season],Games[[#This Row],[Season]],Games[Date],"&lt;=" &amp; Games[[#This Row],[Date]])</f>
        <v>18</v>
      </c>
      <c r="D206" s="2" t="s">
        <v>79</v>
      </c>
      <c r="E206" s="2" t="s">
        <v>80</v>
      </c>
      <c r="F206" s="1" t="s">
        <v>77</v>
      </c>
      <c r="G206" s="1" t="s">
        <v>60</v>
      </c>
      <c r="H206" s="1" t="s">
        <v>86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1353.2559162748412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1311.1886253348271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0.56024558097823673</v>
      </c>
      <c r="R206" s="1">
        <v>62</v>
      </c>
      <c r="S206" s="1">
        <v>56</v>
      </c>
      <c r="T206" s="1">
        <v>0</v>
      </c>
      <c r="U206" s="1">
        <f>Games[[#This Row],[PointsFor]]-Games[[#This Row],[PointsAgainst]]</f>
        <v>6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0.33938331391865645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10.939681372383895</v>
      </c>
      <c r="AB206" s="4">
        <f>Games[[#This Row],[PreGmRate]]+Games[[#This Row],[RatingChange]]</f>
        <v>1364.195597647225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44077</v>
      </c>
      <c r="B207" s="2">
        <v>2020</v>
      </c>
      <c r="C207" s="2">
        <f>COUNTIFS(Games[Team],Games[[#This Row],[Team]],Games[Season],Games[[#This Row],[Season]],Games[Date],"&lt;=" &amp; Games[[#This Row],[Date]])</f>
        <v>17</v>
      </c>
      <c r="D207" s="2" t="s">
        <v>79</v>
      </c>
      <c r="E207" s="2" t="s">
        <v>80</v>
      </c>
      <c r="F207" s="1" t="s">
        <v>60</v>
      </c>
      <c r="G207" s="1" t="s">
        <v>77</v>
      </c>
      <c r="H207" s="1" t="s">
        <v>86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1311.1886253348271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1353.2559162748412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0.43975441902176327</v>
      </c>
      <c r="R207" s="1">
        <v>56</v>
      </c>
      <c r="S207" s="1">
        <v>62</v>
      </c>
      <c r="T207" s="1">
        <v>0</v>
      </c>
      <c r="U207" s="1">
        <f>Games[[#This Row],[PointsFor]]-Games[[#This Row],[PointsAgainst]]</f>
        <v>-6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0.33938331391865645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-10.962068169189592</v>
      </c>
      <c r="AB207" s="4">
        <f>Games[[#This Row],[PreGmRate]]+Games[[#This Row],[RatingChange]]</f>
        <v>1300.2265571656376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44077</v>
      </c>
      <c r="B208" s="2">
        <v>2020</v>
      </c>
      <c r="C208" s="2">
        <f>COUNTIFS(Games[Team],Games[[#This Row],[Team]],Games[Season],Games[[#This Row],[Season]],Games[Date],"&lt;=" &amp; Games[[#This Row],[Date]])</f>
        <v>18</v>
      </c>
      <c r="D208" s="2" t="s">
        <v>79</v>
      </c>
      <c r="E208" s="2" t="s">
        <v>80</v>
      </c>
      <c r="F208" s="1" t="s">
        <v>69</v>
      </c>
      <c r="G208" s="1" t="s">
        <v>40</v>
      </c>
      <c r="H208" s="1" t="s">
        <v>86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1389.9848764375415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1526.0006957916503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0.31368013738195538</v>
      </c>
      <c r="R208" s="1">
        <v>81</v>
      </c>
      <c r="S208" s="1">
        <v>105</v>
      </c>
      <c r="T208" s="1">
        <v>0</v>
      </c>
      <c r="U208" s="1">
        <f>Games[[#This Row],[PointsFor]]-Games[[#This Row],[PointsAgainst]]</f>
        <v>-24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0.56445223657781152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-12.978311459950017</v>
      </c>
      <c r="AB208" s="4">
        <f>Games[[#This Row],[PreGmRate]]+Games[[#This Row],[RatingChange]]</f>
        <v>1377.0065649775916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44077</v>
      </c>
      <c r="B209" s="2">
        <v>2020</v>
      </c>
      <c r="C209" s="2">
        <f>COUNTIFS(Games[Team],Games[[#This Row],[Team]],Games[Season],Games[[#This Row],[Season]],Games[Date],"&lt;=" &amp; Games[[#This Row],[Date]])</f>
        <v>18</v>
      </c>
      <c r="D209" s="2" t="s">
        <v>79</v>
      </c>
      <c r="E209" s="2" t="s">
        <v>80</v>
      </c>
      <c r="F209" s="1" t="s">
        <v>40</v>
      </c>
      <c r="G209" s="1" t="s">
        <v>69</v>
      </c>
      <c r="H209" s="1" t="s">
        <v>86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1526.0006957916503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1389.9848764375415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0.68631986261804467</v>
      </c>
      <c r="R209" s="1">
        <v>105</v>
      </c>
      <c r="S209" s="1">
        <v>81</v>
      </c>
      <c r="T209" s="1">
        <v>0</v>
      </c>
      <c r="U209" s="1">
        <f>Games[[#This Row],[PointsFor]]-Games[[#This Row],[PointsAgainst]]</f>
        <v>24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0.56445223657781152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12.978311459950014</v>
      </c>
      <c r="AB209" s="4">
        <f>Games[[#This Row],[PreGmRate]]+Games[[#This Row],[RatingChange]]</f>
        <v>1538.9790072516003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44078</v>
      </c>
      <c r="B210" s="2">
        <v>2020</v>
      </c>
      <c r="C210" s="2">
        <f>COUNTIFS(Games[Team],Games[[#This Row],[Team]],Games[Season],Games[[#This Row],[Season]],Games[Date],"&lt;=" &amp; Games[[#This Row],[Date]])</f>
        <v>18</v>
      </c>
      <c r="D210" s="2" t="s">
        <v>79</v>
      </c>
      <c r="E210" s="2" t="s">
        <v>80</v>
      </c>
      <c r="F210" s="1" t="s">
        <v>67</v>
      </c>
      <c r="G210" s="1" t="s">
        <v>83</v>
      </c>
      <c r="H210" s="1" t="s">
        <v>86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1586.51992538376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1420.3892112223864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0.72238545900263951</v>
      </c>
      <c r="R210" s="1">
        <v>88</v>
      </c>
      <c r="S210" s="1">
        <v>75</v>
      </c>
      <c r="T210" s="1">
        <v>0</v>
      </c>
      <c r="U210" s="1">
        <f>Games[[#This Row],[PointsFor]]-Games[[#This Row],[PointsAgainst]]</f>
        <v>13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0.41464004937819521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8.4375708421654654</v>
      </c>
      <c r="AB210" s="4">
        <f>Games[[#This Row],[PreGmRate]]+Games[[#This Row],[RatingChange]]</f>
        <v>1594.9574962259255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44078</v>
      </c>
      <c r="B211" s="2">
        <v>2020</v>
      </c>
      <c r="C211" s="2">
        <f>COUNTIFS(Games[Team],Games[[#This Row],[Team]],Games[Season],Games[[#This Row],[Season]],Games[Date],"&lt;=" &amp; Games[[#This Row],[Date]])</f>
        <v>18</v>
      </c>
      <c r="D211" s="2" t="s">
        <v>79</v>
      </c>
      <c r="E211" s="2" t="s">
        <v>80</v>
      </c>
      <c r="F211" s="1" t="s">
        <v>83</v>
      </c>
      <c r="G211" s="1" t="s">
        <v>67</v>
      </c>
      <c r="H211" s="1" t="s">
        <v>86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1420.3892112223864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1586.51992538376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0.27761454099736055</v>
      </c>
      <c r="R211" s="1">
        <v>75</v>
      </c>
      <c r="S211" s="1">
        <v>88</v>
      </c>
      <c r="T211" s="1">
        <v>0</v>
      </c>
      <c r="U211" s="1">
        <f>Games[[#This Row],[PointsFor]]-Games[[#This Row],[PointsAgainst]]</f>
        <v>-13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0.41464004937819521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-8.4375708421654672</v>
      </c>
      <c r="AB211" s="4">
        <f>Games[[#This Row],[PreGmRate]]+Games[[#This Row],[RatingChange]]</f>
        <v>1411.9516403802209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44078</v>
      </c>
      <c r="B212" s="2">
        <v>2020</v>
      </c>
      <c r="C212" s="2">
        <f>COUNTIFS(Games[Team],Games[[#This Row],[Team]],Games[Season],Games[[#This Row],[Season]],Games[Date],"&lt;=" &amp; Games[[#This Row],[Date]])</f>
        <v>18</v>
      </c>
      <c r="D212" s="2" t="s">
        <v>79</v>
      </c>
      <c r="E212" s="2" t="s">
        <v>80</v>
      </c>
      <c r="F212" s="1" t="s">
        <v>71</v>
      </c>
      <c r="G212" s="1" t="s">
        <v>63</v>
      </c>
      <c r="H212" s="1" t="s">
        <v>86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1639.5874405939198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1600.6850254925719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0.55575227558330931</v>
      </c>
      <c r="R212" s="1">
        <v>90</v>
      </c>
      <c r="S212" s="1">
        <v>89</v>
      </c>
      <c r="T212" s="1">
        <v>0</v>
      </c>
      <c r="U212" s="1">
        <f>Games[[#This Row],[PointsFor]]-Games[[#This Row],[PointsAgainst]]</f>
        <v>1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0.23651225599909906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7.701633310728079</v>
      </c>
      <c r="AB212" s="4">
        <f>Games[[#This Row],[PreGmRate]]+Games[[#This Row],[RatingChange]]</f>
        <v>1647.2890739046479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44078</v>
      </c>
      <c r="B213" s="2">
        <v>2020</v>
      </c>
      <c r="C213" s="2">
        <f>COUNTIFS(Games[Team],Games[[#This Row],[Team]],Games[Season],Games[[#This Row],[Season]],Games[Date],"&lt;=" &amp; Games[[#This Row],[Date]])</f>
        <v>18</v>
      </c>
      <c r="D213" s="2" t="s">
        <v>79</v>
      </c>
      <c r="E213" s="2" t="s">
        <v>80</v>
      </c>
      <c r="F213" s="1" t="s">
        <v>63</v>
      </c>
      <c r="G213" s="1" t="s">
        <v>71</v>
      </c>
      <c r="H213" s="1" t="s">
        <v>86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1600.6850254925719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1639.5874405939198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0.44424772441669075</v>
      </c>
      <c r="R213" s="1">
        <v>89</v>
      </c>
      <c r="S213" s="1">
        <v>90</v>
      </c>
      <c r="T213" s="1">
        <v>0</v>
      </c>
      <c r="U213" s="1">
        <f>Games[[#This Row],[PointsFor]]-Games[[#This Row],[PointsAgainst]]</f>
        <v>-1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0.23651225599909906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-7.7016333107280799</v>
      </c>
      <c r="AB213" s="4">
        <f>Games[[#This Row],[PreGmRate]]+Games[[#This Row],[RatingChange]]</f>
        <v>1592.9833921818438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44078</v>
      </c>
      <c r="B214" s="2">
        <v>2020</v>
      </c>
      <c r="C214" s="2">
        <f>COUNTIFS(Games[Team],Games[[#This Row],[Team]],Games[Season],Games[[#This Row],[Season]],Games[Date],"&lt;=" &amp; Games[[#This Row],[Date]])</f>
        <v>19</v>
      </c>
      <c r="D214" s="2" t="s">
        <v>79</v>
      </c>
      <c r="E214" s="2" t="s">
        <v>80</v>
      </c>
      <c r="F214" s="1" t="s">
        <v>75</v>
      </c>
      <c r="G214" s="1" t="s">
        <v>65</v>
      </c>
      <c r="H214" s="1" t="s">
        <v>86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1559.1176319271769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1456.0155180164361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0.64416860147835475</v>
      </c>
      <c r="R214" s="1">
        <v>69</v>
      </c>
      <c r="S214" s="1">
        <v>79</v>
      </c>
      <c r="T214" s="1">
        <v>0</v>
      </c>
      <c r="U214" s="1">
        <f>Games[[#This Row],[PointsFor]]-Games[[#This Row],[PointsAgainst]]</f>
        <v>-10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0.38965145845317894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73.150000000000006</v>
      </c>
      <c r="Z214" s="4">
        <f>Games[[#This Row],[K]]*Games[[#This Row],[POMult]]</f>
        <v>73.150000000000006</v>
      </c>
      <c r="AA214" s="4">
        <f>(Games[[#This Row],[Keff]]*Games[[#This Row],[MOVMult]])*(Games[[#This Row],[Result]]-Games[[#This Row],[ExpectedWin%]])</f>
        <v>-18.360740344330711</v>
      </c>
      <c r="AB214" s="4">
        <f>Games[[#This Row],[PreGmRate]]+Games[[#This Row],[RatingChange]]</f>
        <v>1540.7568915828463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44078</v>
      </c>
      <c r="B215" s="2">
        <v>2020</v>
      </c>
      <c r="C215" s="2">
        <f>COUNTIFS(Games[Team],Games[[#This Row],[Team]],Games[Season],Games[[#This Row],[Season]],Games[Date],"&lt;=" &amp; Games[[#This Row],[Date]])</f>
        <v>17</v>
      </c>
      <c r="D215" s="2" t="s">
        <v>79</v>
      </c>
      <c r="E215" s="2" t="s">
        <v>80</v>
      </c>
      <c r="F215" s="1" t="s">
        <v>65</v>
      </c>
      <c r="G215" s="1" t="s">
        <v>75</v>
      </c>
      <c r="H215" s="1" t="s">
        <v>86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1456.0155180164361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1559.1176319271769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0.35583139852164525</v>
      </c>
      <c r="R215" s="1">
        <v>79</v>
      </c>
      <c r="S215" s="1">
        <v>69</v>
      </c>
      <c r="T215" s="1">
        <v>0</v>
      </c>
      <c r="U215" s="1">
        <f>Games[[#This Row],[PointsFor]]-Games[[#This Row],[PointsAgainst]]</f>
        <v>10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0.38965145845317894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73.45</v>
      </c>
      <c r="Z215" s="4">
        <f>Games[[#This Row],[K]]*Games[[#This Row],[POMult]]</f>
        <v>73.45</v>
      </c>
      <c r="AA215" s="4">
        <f>(Games[[#This Row],[Keff]]*Games[[#This Row],[MOVMult]])*(Games[[#This Row],[Result]]-Games[[#This Row],[ExpectedWin%]])</f>
        <v>18.436040714847447</v>
      </c>
      <c r="AB215" s="4">
        <f>Games[[#This Row],[PreGmRate]]+Games[[#This Row],[RatingChange]]</f>
        <v>1474.4515587312835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44079</v>
      </c>
      <c r="B216" s="2">
        <v>2020</v>
      </c>
      <c r="C216" s="2">
        <f>COUNTIFS(Games[Team],Games[[#This Row],[Team]],Games[Season],Games[[#This Row],[Season]],Games[Date],"&lt;=" &amp; Games[[#This Row],[Date]])</f>
        <v>18</v>
      </c>
      <c r="D216" s="2" t="s">
        <v>79</v>
      </c>
      <c r="E216" s="2" t="s">
        <v>80</v>
      </c>
      <c r="F216" s="1" t="s">
        <v>84</v>
      </c>
      <c r="G216" s="1" t="s">
        <v>77</v>
      </c>
      <c r="H216" s="1" t="s">
        <v>86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1633.2136343990308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1364.195597647225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0.82471032364477004</v>
      </c>
      <c r="R216" s="1">
        <v>89</v>
      </c>
      <c r="S216" s="1">
        <v>79</v>
      </c>
      <c r="T216" s="1">
        <v>0</v>
      </c>
      <c r="U216" s="1">
        <f>Games[[#This Row],[PointsFor]]-Games[[#This Row],[PointsAgainst]]</f>
        <v>10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0.34564288966897644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73.3</v>
      </c>
      <c r="Z216" s="4">
        <f>Games[[#This Row],[K]]*Games[[#This Row],[POMult]]</f>
        <v>73.3</v>
      </c>
      <c r="AA216" s="4">
        <f>(Games[[#This Row],[Keff]]*Games[[#This Row],[MOVMult]])*(Games[[#This Row],[Result]]-Games[[#This Row],[ExpectedWin%]])</f>
        <v>4.4410732983923458</v>
      </c>
      <c r="AB216" s="4">
        <f>Games[[#This Row],[PreGmRate]]+Games[[#This Row],[RatingChange]]</f>
        <v>1637.6547076974232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44079</v>
      </c>
      <c r="B217" s="2">
        <v>2020</v>
      </c>
      <c r="C217" s="2">
        <f>COUNTIFS(Games[Team],Games[[#This Row],[Team]],Games[Season],Games[[#This Row],[Season]],Games[Date],"&lt;=" &amp; Games[[#This Row],[Date]])</f>
        <v>19</v>
      </c>
      <c r="D217" s="2" t="s">
        <v>79</v>
      </c>
      <c r="E217" s="2" t="s">
        <v>80</v>
      </c>
      <c r="F217" s="1" t="s">
        <v>77</v>
      </c>
      <c r="G217" s="1" t="s">
        <v>84</v>
      </c>
      <c r="H217" s="1" t="s">
        <v>86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1364.195597647225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1633.2136343990308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0.17528967635523002</v>
      </c>
      <c r="R217" s="1">
        <v>79</v>
      </c>
      <c r="S217" s="1">
        <v>89</v>
      </c>
      <c r="T217" s="1">
        <v>0</v>
      </c>
      <c r="U217" s="1">
        <f>Games[[#This Row],[PointsFor]]-Games[[#This Row],[PointsAgainst]]</f>
        <v>-10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0.34564288966897644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73.150000000000006</v>
      </c>
      <c r="Z217" s="4">
        <f>Games[[#This Row],[K]]*Games[[#This Row],[POMult]]</f>
        <v>73.150000000000006</v>
      </c>
      <c r="AA217" s="4">
        <f>(Games[[#This Row],[Keff]]*Games[[#This Row],[MOVMult]])*(Games[[#This Row],[Result]]-Games[[#This Row],[ExpectedWin%]])</f>
        <v>-4.4319851538526631</v>
      </c>
      <c r="AB217" s="4">
        <f>Games[[#This Row],[PreGmRate]]+Games[[#This Row],[RatingChange]]</f>
        <v>1359.7636124933724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44079</v>
      </c>
      <c r="B218" s="2">
        <v>2020</v>
      </c>
      <c r="C218" s="2">
        <f>COUNTIFS(Games[Team],Games[[#This Row],[Team]],Games[Season],Games[[#This Row],[Season]],Games[Date],"&lt;=" &amp; Games[[#This Row],[Date]])</f>
        <v>19</v>
      </c>
      <c r="D218" s="2" t="s">
        <v>79</v>
      </c>
      <c r="E218" s="2" t="s">
        <v>80</v>
      </c>
      <c r="F218" s="1" t="s">
        <v>74</v>
      </c>
      <c r="G218" s="1" t="s">
        <v>69</v>
      </c>
      <c r="H218" s="1" t="s">
        <v>86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1524.2056530853695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1377.0065649775916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0.70001012286021713</v>
      </c>
      <c r="R218" s="1">
        <v>96</v>
      </c>
      <c r="S218" s="1">
        <v>77</v>
      </c>
      <c r="T218" s="1">
        <v>0</v>
      </c>
      <c r="U218" s="1">
        <f>Games[[#This Row],[PointsFor]]-Games[[#This Row],[PointsAgainst]]</f>
        <v>19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0.49968344932094017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10.965183286137325</v>
      </c>
      <c r="AB218" s="4">
        <f>Games[[#This Row],[PreGmRate]]+Games[[#This Row],[RatingChange]]</f>
        <v>1535.1708363715068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44079</v>
      </c>
      <c r="B219" s="2">
        <v>2020</v>
      </c>
      <c r="C219" s="2">
        <f>COUNTIFS(Games[Team],Games[[#This Row],[Team]],Games[Season],Games[[#This Row],[Season]],Games[Date],"&lt;=" &amp; Games[[#This Row],[Date]])</f>
        <v>19</v>
      </c>
      <c r="D219" s="2" t="s">
        <v>79</v>
      </c>
      <c r="E219" s="2" t="s">
        <v>80</v>
      </c>
      <c r="F219" s="1" t="s">
        <v>69</v>
      </c>
      <c r="G219" s="1" t="s">
        <v>74</v>
      </c>
      <c r="H219" s="1" t="s">
        <v>86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1377.0065649775916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1524.2056530853695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0.29998987713978287</v>
      </c>
      <c r="R219" s="1">
        <v>77</v>
      </c>
      <c r="S219" s="1">
        <v>96</v>
      </c>
      <c r="T219" s="1">
        <v>0</v>
      </c>
      <c r="U219" s="1">
        <f>Games[[#This Row],[PointsFor]]-Games[[#This Row],[PointsAgainst]]</f>
        <v>-19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0.49968344932094017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-10.965183286137325</v>
      </c>
      <c r="AB219" s="4">
        <f>Games[[#This Row],[PreGmRate]]+Games[[#This Row],[RatingChange]]</f>
        <v>1366.0413816914543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44079</v>
      </c>
      <c r="B220" s="2">
        <v>2020</v>
      </c>
      <c r="C220" s="2">
        <f>COUNTIFS(Games[Team],Games[[#This Row],[Team]],Games[Season],Games[[#This Row],[Season]],Games[Date],"&lt;=" &amp; Games[[#This Row],[Date]])</f>
        <v>18</v>
      </c>
      <c r="D220" s="2" t="s">
        <v>79</v>
      </c>
      <c r="E220" s="2" t="s">
        <v>80</v>
      </c>
      <c r="F220" s="1" t="s">
        <v>60</v>
      </c>
      <c r="G220" s="1" t="s">
        <v>40</v>
      </c>
      <c r="H220" s="1" t="s">
        <v>86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1300.2265571656376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1538.9790072516003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0.20191479213783783</v>
      </c>
      <c r="R220" s="1">
        <v>67</v>
      </c>
      <c r="S220" s="1">
        <v>83</v>
      </c>
      <c r="T220" s="1">
        <v>0</v>
      </c>
      <c r="U220" s="1">
        <f>Games[[#This Row],[PointsFor]]-Games[[#This Row],[PointsAgainst]]</f>
        <v>-16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0.43186250608918181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-6.3917180833307059</v>
      </c>
      <c r="AB220" s="4">
        <f>Games[[#This Row],[PreGmRate]]+Games[[#This Row],[RatingChange]]</f>
        <v>1293.8348390823069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44079</v>
      </c>
      <c r="B221" s="2">
        <v>2020</v>
      </c>
      <c r="C221" s="2">
        <f>COUNTIFS(Games[Team],Games[[#This Row],[Team]],Games[Season],Games[[#This Row],[Season]],Games[Date],"&lt;=" &amp; Games[[#This Row],[Date]])</f>
        <v>19</v>
      </c>
      <c r="D221" s="2" t="s">
        <v>79</v>
      </c>
      <c r="E221" s="2" t="s">
        <v>80</v>
      </c>
      <c r="F221" s="1" t="s">
        <v>40</v>
      </c>
      <c r="G221" s="1" t="s">
        <v>60</v>
      </c>
      <c r="H221" s="1" t="s">
        <v>86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1538.9790072516003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1300.2265571656376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0.79808520786216208</v>
      </c>
      <c r="R221" s="1">
        <v>83</v>
      </c>
      <c r="S221" s="1">
        <v>67</v>
      </c>
      <c r="T221" s="1">
        <v>0</v>
      </c>
      <c r="U221" s="1">
        <f>Games[[#This Row],[PointsFor]]-Games[[#This Row],[PointsAgainst]]</f>
        <v>16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0.43186250608918181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6.3786381691083411</v>
      </c>
      <c r="AB221" s="4">
        <f>Games[[#This Row],[PreGmRate]]+Games[[#This Row],[RatingChange]]</f>
        <v>1545.3576454207086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44080</v>
      </c>
      <c r="B222" s="2">
        <v>2020</v>
      </c>
      <c r="C222" s="2">
        <f>COUNTIFS(Games[Team],Games[[#This Row],[Team]],Games[Season],Games[[#This Row],[Season]],Games[Date],"&lt;=" &amp; Games[[#This Row],[Date]])</f>
        <v>20</v>
      </c>
      <c r="D222" s="2" t="s">
        <v>79</v>
      </c>
      <c r="E222" s="2" t="s">
        <v>80</v>
      </c>
      <c r="F222" s="1" t="s">
        <v>75</v>
      </c>
      <c r="G222" s="1" t="s">
        <v>63</v>
      </c>
      <c r="H222" s="1" t="s">
        <v>86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1540.7568915828463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1592.9833921818438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0.42540106070890837</v>
      </c>
      <c r="R222" s="1">
        <v>80</v>
      </c>
      <c r="S222" s="1">
        <v>86</v>
      </c>
      <c r="T222" s="1">
        <v>0</v>
      </c>
      <c r="U222" s="1">
        <f>Games[[#This Row],[PointsFor]]-Games[[#This Row],[PointsAgainst]]</f>
        <v>-6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0.33662992526316088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</v>
      </c>
      <c r="Z222" s="4">
        <f>Games[[#This Row],[K]]*Games[[#This Row],[POMult]]</f>
        <v>73</v>
      </c>
      <c r="AA222" s="4">
        <f>(Games[[#This Row],[Keff]]*Games[[#This Row],[MOVMult]])*(Games[[#This Row],[Result]]-Games[[#This Row],[ExpectedWin%]])</f>
        <v>-10.453799090951572</v>
      </c>
      <c r="AB222" s="4">
        <f>Games[[#This Row],[PreGmRate]]+Games[[#This Row],[RatingChange]]</f>
        <v>1530.3030924918946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44080</v>
      </c>
      <c r="B223" s="2">
        <v>2020</v>
      </c>
      <c r="C223" s="2">
        <f>COUNTIFS(Games[Team],Games[[#This Row],[Team]],Games[Season],Games[[#This Row],[Season]],Games[Date],"&lt;=" &amp; Games[[#This Row],[Date]])</f>
        <v>19</v>
      </c>
      <c r="D223" s="2" t="s">
        <v>79</v>
      </c>
      <c r="E223" s="2" t="s">
        <v>80</v>
      </c>
      <c r="F223" s="1" t="s">
        <v>63</v>
      </c>
      <c r="G223" s="1" t="s">
        <v>75</v>
      </c>
      <c r="H223" s="1" t="s">
        <v>86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1592.9833921818438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1540.7568915828463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0.57459893929109163</v>
      </c>
      <c r="R223" s="1">
        <v>86</v>
      </c>
      <c r="S223" s="1">
        <v>80</v>
      </c>
      <c r="T223" s="1">
        <v>0</v>
      </c>
      <c r="U223" s="1">
        <f>Games[[#This Row],[PointsFor]]-Games[[#This Row],[PointsAgainst]]</f>
        <v>6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0.33662992526316088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10.475279500042568</v>
      </c>
      <c r="AB223" s="4">
        <f>Games[[#This Row],[PreGmRate]]+Games[[#This Row],[RatingChange]]</f>
        <v>1603.4586716818862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44080</v>
      </c>
      <c r="B224" s="2">
        <v>2020</v>
      </c>
      <c r="C224" s="2">
        <f>COUNTIFS(Games[Team],Games[[#This Row],[Team]],Games[Season],Games[[#This Row],[Season]],Games[Date],"&lt;=" &amp; Games[[#This Row],[Date]])</f>
        <v>19</v>
      </c>
      <c r="D224" s="2" t="s">
        <v>79</v>
      </c>
      <c r="E224" s="2" t="s">
        <v>80</v>
      </c>
      <c r="F224" s="1" t="s">
        <v>71</v>
      </c>
      <c r="G224" s="1" t="s">
        <v>67</v>
      </c>
      <c r="H224" s="1" t="s">
        <v>86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1647.2890739046479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1594.9574962259255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0.57474678457338713</v>
      </c>
      <c r="R224" s="1">
        <v>103</v>
      </c>
      <c r="S224" s="1">
        <v>88</v>
      </c>
      <c r="T224" s="1">
        <v>0</v>
      </c>
      <c r="U224" s="1">
        <f>Games[[#This Row],[PointsFor]]-Games[[#This Row],[PointsAgainst]]</f>
        <v>15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0.48183535767179958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14.988583871673461</v>
      </c>
      <c r="AB224" s="4">
        <f>Games[[#This Row],[PreGmRate]]+Games[[#This Row],[RatingChange]]</f>
        <v>1662.2776577763213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44080</v>
      </c>
      <c r="B225" s="2">
        <v>2020</v>
      </c>
      <c r="C225" s="2">
        <f>COUNTIFS(Games[Team],Games[[#This Row],[Team]],Games[Season],Games[[#This Row],[Season]],Games[Date],"&lt;=" &amp; Games[[#This Row],[Date]])</f>
        <v>19</v>
      </c>
      <c r="D225" s="2" t="s">
        <v>79</v>
      </c>
      <c r="E225" s="2" t="s">
        <v>80</v>
      </c>
      <c r="F225" s="1" t="s">
        <v>67</v>
      </c>
      <c r="G225" s="1" t="s">
        <v>71</v>
      </c>
      <c r="H225" s="1" t="s">
        <v>86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1594.9574962259255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1647.2890739046479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0.42525321542661282</v>
      </c>
      <c r="R225" s="1">
        <v>88</v>
      </c>
      <c r="S225" s="1">
        <v>103</v>
      </c>
      <c r="T225" s="1">
        <v>0</v>
      </c>
      <c r="U225" s="1">
        <f>Games[[#This Row],[PointsFor]]-Games[[#This Row],[PointsAgainst]]</f>
        <v>-15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0.48183535767179958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73.150000000000006</v>
      </c>
      <c r="Z225" s="4">
        <f>Games[[#This Row],[K]]*Games[[#This Row],[POMult]]</f>
        <v>73.150000000000006</v>
      </c>
      <c r="AA225" s="4">
        <f>(Games[[#This Row],[Keff]]*Games[[#This Row],[MOVMult]])*(Games[[#This Row],[Result]]-Games[[#This Row],[ExpectedWin%]])</f>
        <v>-14.988583871673459</v>
      </c>
      <c r="AB225" s="4">
        <f>Games[[#This Row],[PreGmRate]]+Games[[#This Row],[RatingChange]]</f>
        <v>1579.9689123542521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44080</v>
      </c>
      <c r="B226" s="2">
        <v>2020</v>
      </c>
      <c r="C226" s="2">
        <f>COUNTIFS(Games[Team],Games[[#This Row],[Team]],Games[Season],Games[[#This Row],[Season]],Games[Date],"&lt;=" &amp; Games[[#This Row],[Date]])</f>
        <v>19</v>
      </c>
      <c r="D226" s="2" t="s">
        <v>79</v>
      </c>
      <c r="E226" s="2" t="s">
        <v>80</v>
      </c>
      <c r="F226" s="1" t="s">
        <v>83</v>
      </c>
      <c r="G226" s="1" t="s">
        <v>65</v>
      </c>
      <c r="H226" s="1" t="s">
        <v>86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1411.9516403802209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1474.4515587312835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0.41101319781993828</v>
      </c>
      <c r="R226" s="1">
        <v>101</v>
      </c>
      <c r="S226" s="1">
        <v>94</v>
      </c>
      <c r="T226" s="1">
        <v>1</v>
      </c>
      <c r="U226" s="1">
        <f>Games[[#This Row],[PointsFor]]-Games[[#This Row],[PointsAgainst]]</f>
        <v>7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0.31660655218749639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73.150000000000006</v>
      </c>
      <c r="Z226" s="4">
        <f>Games[[#This Row],[K]]*Games[[#This Row],[POMult]]</f>
        <v>73.150000000000006</v>
      </c>
      <c r="AA226" s="4">
        <f>(Games[[#This Row],[Keff]]*Games[[#This Row],[MOVMult]])*(Games[[#This Row],[Result]]-Games[[#This Row],[ExpectedWin%]])</f>
        <v>13.640798454826614</v>
      </c>
      <c r="AB226" s="4">
        <f>Games[[#This Row],[PreGmRate]]+Games[[#This Row],[RatingChange]]</f>
        <v>1425.5924388350475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44080</v>
      </c>
      <c r="B227" s="2">
        <v>2020</v>
      </c>
      <c r="C227" s="2">
        <f>COUNTIFS(Games[Team],Games[[#This Row],[Team]],Games[Season],Games[[#This Row],[Season]],Games[Date],"&lt;=" &amp; Games[[#This Row],[Date]])</f>
        <v>18</v>
      </c>
      <c r="D227" s="2" t="s">
        <v>79</v>
      </c>
      <c r="E227" s="2" t="s">
        <v>80</v>
      </c>
      <c r="F227" s="1" t="s">
        <v>65</v>
      </c>
      <c r="G227" s="1" t="s">
        <v>83</v>
      </c>
      <c r="H227" s="1" t="s">
        <v>86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1474.4515587312835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1411.9516403802209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0.58898680218006172</v>
      </c>
      <c r="R227" s="1">
        <v>94</v>
      </c>
      <c r="S227" s="1">
        <v>101</v>
      </c>
      <c r="T227" s="1">
        <v>1</v>
      </c>
      <c r="U227" s="1">
        <f>Games[[#This Row],[PointsFor]]-Games[[#This Row],[PointsAgainst]]</f>
        <v>-7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0.31660655218749639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-13.668770016934939</v>
      </c>
      <c r="AB227" s="4">
        <f>Games[[#This Row],[PreGmRate]]+Games[[#This Row],[RatingChange]]</f>
        <v>1460.7827887143485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44081</v>
      </c>
      <c r="B228" s="2">
        <v>2020</v>
      </c>
      <c r="C228" s="2">
        <f>COUNTIFS(Games[Team],Games[[#This Row],[Team]],Games[Season],Games[[#This Row],[Season]],Games[Date],"&lt;=" &amp; Games[[#This Row],[Date]])</f>
        <v>20</v>
      </c>
      <c r="D228" s="2" t="s">
        <v>79</v>
      </c>
      <c r="E228" s="2" t="s">
        <v>80</v>
      </c>
      <c r="F228" s="1" t="s">
        <v>74</v>
      </c>
      <c r="G228" s="1" t="s">
        <v>40</v>
      </c>
      <c r="H228" s="1" t="s">
        <v>86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1535.1708363715068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1545.3576454207086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0.48534420277302576</v>
      </c>
      <c r="R228" s="1">
        <v>85</v>
      </c>
      <c r="S228" s="1">
        <v>70</v>
      </c>
      <c r="T228" s="1">
        <v>0</v>
      </c>
      <c r="U228" s="1">
        <f>Games[[#This Row],[PointsFor]]-Games[[#This Row],[PointsAgainst]]</f>
        <v>15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0.49861527918040904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18.732912813178498</v>
      </c>
      <c r="AB228" s="4">
        <f>Games[[#This Row],[PreGmRate]]+Games[[#This Row],[RatingChange]]</f>
        <v>1553.9037491846852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44081</v>
      </c>
      <c r="B229" s="2">
        <v>2020</v>
      </c>
      <c r="C229" s="2">
        <f>COUNTIFS(Games[Team],Games[[#This Row],[Team]],Games[Season],Games[[#This Row],[Season]],Games[Date],"&lt;=" &amp; Games[[#This Row],[Date]])</f>
        <v>20</v>
      </c>
      <c r="D229" s="2" t="s">
        <v>79</v>
      </c>
      <c r="E229" s="2" t="s">
        <v>80</v>
      </c>
      <c r="F229" s="1" t="s">
        <v>40</v>
      </c>
      <c r="G229" s="1" t="s">
        <v>74</v>
      </c>
      <c r="H229" s="1" t="s">
        <v>86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1545.3576454207086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1535.1708363715068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0.51465579722697419</v>
      </c>
      <c r="R229" s="1">
        <v>70</v>
      </c>
      <c r="S229" s="1">
        <v>85</v>
      </c>
      <c r="T229" s="1">
        <v>0</v>
      </c>
      <c r="U229" s="1">
        <f>Games[[#This Row],[PointsFor]]-Games[[#This Row],[PointsAgainst]]</f>
        <v>-15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0.49861527918040904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-18.732912813178491</v>
      </c>
      <c r="AB229" s="4">
        <f>Games[[#This Row],[PreGmRate]]+Games[[#This Row],[RatingChange]]</f>
        <v>1526.6247326075302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44082</v>
      </c>
      <c r="B230" s="2">
        <v>2020</v>
      </c>
      <c r="C230" s="2">
        <f>COUNTIFS(Games[Team],Games[[#This Row],[Team]],Games[Season],Games[[#This Row],[Season]],Games[Date],"&lt;=" &amp; Games[[#This Row],[Date]])</f>
        <v>20</v>
      </c>
      <c r="D230" s="2" t="s">
        <v>79</v>
      </c>
      <c r="E230" s="2" t="s">
        <v>80</v>
      </c>
      <c r="F230" s="1" t="s">
        <v>69</v>
      </c>
      <c r="G230" s="1" t="s">
        <v>84</v>
      </c>
      <c r="H230" s="1" t="s">
        <v>86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1366.0413816914543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1637.6547076974232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0.17314041367252972</v>
      </c>
      <c r="R230" s="1">
        <v>86</v>
      </c>
      <c r="S230" s="1">
        <v>92</v>
      </c>
      <c r="T230" s="1">
        <v>0</v>
      </c>
      <c r="U230" s="1">
        <f>Games[[#This Row],[PointsFor]]-Games[[#This Row],[PointsAgainst]]</f>
        <v>-6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0.28644543091578412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-3.6204554694456372</v>
      </c>
      <c r="AB230" s="4">
        <f>Games[[#This Row],[PreGmRate]]+Games[[#This Row],[RatingChange]]</f>
        <v>1362.4209262220086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44082</v>
      </c>
      <c r="B231" s="2">
        <v>2020</v>
      </c>
      <c r="C231" s="2">
        <f>COUNTIFS(Games[Team],Games[[#This Row],[Team]],Games[Season],Games[[#This Row],[Season]],Games[Date],"&lt;=" &amp; Games[[#This Row],[Date]])</f>
        <v>19</v>
      </c>
      <c r="D231" s="2" t="s">
        <v>79</v>
      </c>
      <c r="E231" s="2" t="s">
        <v>80</v>
      </c>
      <c r="F231" s="1" t="s">
        <v>84</v>
      </c>
      <c r="G231" s="1" t="s">
        <v>69</v>
      </c>
      <c r="H231" s="1" t="s">
        <v>86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1637.6547076974232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1366.0413816914543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0.82685958632747025</v>
      </c>
      <c r="R231" s="1">
        <v>92</v>
      </c>
      <c r="S231" s="1">
        <v>86</v>
      </c>
      <c r="T231" s="1">
        <v>0</v>
      </c>
      <c r="U231" s="1">
        <f>Games[[#This Row],[PointsFor]]-Games[[#This Row],[PointsAgainst]]</f>
        <v>6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0.28644543091578412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3.627894761506143</v>
      </c>
      <c r="AB231" s="4">
        <f>Games[[#This Row],[PreGmRate]]+Games[[#This Row],[RatingChange]]</f>
        <v>1641.2826024589294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44082</v>
      </c>
      <c r="B232" s="2">
        <v>2020</v>
      </c>
      <c r="C232" s="2">
        <f>COUNTIFS(Games[Team],Games[[#This Row],[Team]],Games[Season],Games[[#This Row],[Season]],Games[Date],"&lt;=" &amp; Games[[#This Row],[Date]])</f>
        <v>20</v>
      </c>
      <c r="D232" s="2" t="s">
        <v>79</v>
      </c>
      <c r="E232" s="2" t="s">
        <v>80</v>
      </c>
      <c r="F232" s="1" t="s">
        <v>63</v>
      </c>
      <c r="G232" s="1" t="s">
        <v>60</v>
      </c>
      <c r="H232" s="1" t="s">
        <v>86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1603.4586716818862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1293.8348390823069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0.84425501610575793</v>
      </c>
      <c r="R232" s="1">
        <v>96</v>
      </c>
      <c r="S232" s="1">
        <v>70</v>
      </c>
      <c r="T232" s="1">
        <v>0</v>
      </c>
      <c r="U232" s="1">
        <f>Games[[#This Row],[PointsFor]]-Games[[#This Row],[PointsAgainst]]</f>
        <v>26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0.5199340654741742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5.9113299536940431</v>
      </c>
      <c r="AB232" s="4">
        <f>Games[[#This Row],[PreGmRate]]+Games[[#This Row],[RatingChange]]</f>
        <v>1609.3700016355804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44082</v>
      </c>
      <c r="B233" s="2">
        <v>2020</v>
      </c>
      <c r="C233" s="2">
        <f>COUNTIFS(Games[Team],Games[[#This Row],[Team]],Games[Season],Games[[#This Row],[Season]],Games[Date],"&lt;=" &amp; Games[[#This Row],[Date]])</f>
        <v>19</v>
      </c>
      <c r="D233" s="2" t="s">
        <v>79</v>
      </c>
      <c r="E233" s="2" t="s">
        <v>80</v>
      </c>
      <c r="F233" s="1" t="s">
        <v>60</v>
      </c>
      <c r="G233" s="1" t="s">
        <v>63</v>
      </c>
      <c r="H233" s="1" t="s">
        <v>86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1293.8348390823069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1603.4586716818862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0.1557449838942421</v>
      </c>
      <c r="R233" s="1">
        <v>70</v>
      </c>
      <c r="S233" s="1">
        <v>96</v>
      </c>
      <c r="T233" s="1">
        <v>0</v>
      </c>
      <c r="U233" s="1">
        <f>Games[[#This Row],[PointsFor]]-Games[[#This Row],[PointsAgainst]]</f>
        <v>-26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0.5199340654741742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-5.923476522092046</v>
      </c>
      <c r="AB233" s="4">
        <f>Games[[#This Row],[PreGmRate]]+Games[[#This Row],[RatingChange]]</f>
        <v>1287.9113625602149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44082</v>
      </c>
      <c r="B234" s="2">
        <v>2020</v>
      </c>
      <c r="C234" s="2">
        <f>COUNTIFS(Games[Team],Games[[#This Row],[Team]],Games[Season],Games[[#This Row],[Season]],Games[Date],"&lt;=" &amp; Games[[#This Row],[Date]])</f>
        <v>20</v>
      </c>
      <c r="D234" s="2" t="s">
        <v>79</v>
      </c>
      <c r="E234" s="2" t="s">
        <v>80</v>
      </c>
      <c r="F234" s="1" t="s">
        <v>67</v>
      </c>
      <c r="G234" s="1" t="s">
        <v>65</v>
      </c>
      <c r="H234" s="1" t="s">
        <v>86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1579.9689123542521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1460.7827887143485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0.66509667077245038</v>
      </c>
      <c r="R234" s="1">
        <v>86</v>
      </c>
      <c r="S234" s="1">
        <v>89</v>
      </c>
      <c r="T234" s="1">
        <v>0</v>
      </c>
      <c r="U234" s="1">
        <f>Games[[#This Row],[PointsFor]]-Games[[#This Row],[PointsAgainst]]</f>
        <v>-3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0.2639659552797895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-12.816090097931598</v>
      </c>
      <c r="AB234" s="4">
        <f>Games[[#This Row],[PreGmRate]]+Games[[#This Row],[RatingChange]]</f>
        <v>1567.1528222563204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44082</v>
      </c>
      <c r="B235" s="2">
        <v>2020</v>
      </c>
      <c r="C235" s="2">
        <f>COUNTIFS(Games[Team],Games[[#This Row],[Team]],Games[Season],Games[[#This Row],[Season]],Games[Date],"&lt;=" &amp; Games[[#This Row],[Date]])</f>
        <v>19</v>
      </c>
      <c r="D235" s="2" t="s">
        <v>79</v>
      </c>
      <c r="E235" s="2" t="s">
        <v>80</v>
      </c>
      <c r="F235" s="1" t="s">
        <v>65</v>
      </c>
      <c r="G235" s="1" t="s">
        <v>67</v>
      </c>
      <c r="H235" s="1" t="s">
        <v>86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1460.7827887143485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1579.9689123542521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0.33490332922754967</v>
      </c>
      <c r="R235" s="1">
        <v>89</v>
      </c>
      <c r="S235" s="1">
        <v>86</v>
      </c>
      <c r="T235" s="1">
        <v>0</v>
      </c>
      <c r="U235" s="1">
        <f>Games[[#This Row],[PointsFor]]-Games[[#This Row],[PointsAgainst]]</f>
        <v>3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0.2639659552797895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12.842424529639677</v>
      </c>
      <c r="AB235" s="4">
        <f>Games[[#This Row],[PreGmRate]]+Games[[#This Row],[RatingChange]]</f>
        <v>1473.6252132439881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44083</v>
      </c>
      <c r="B236" s="2">
        <v>2020</v>
      </c>
      <c r="C236" s="2">
        <f>COUNTIFS(Games[Team],Games[[#This Row],[Team]],Games[Season],Games[[#This Row],[Season]],Games[Date],"&lt;=" &amp; Games[[#This Row],[Date]])</f>
        <v>20</v>
      </c>
      <c r="D236" s="2" t="s">
        <v>79</v>
      </c>
      <c r="E236" s="2" t="s">
        <v>80</v>
      </c>
      <c r="F236" s="1" t="s">
        <v>77</v>
      </c>
      <c r="G236" s="1" t="s">
        <v>75</v>
      </c>
      <c r="H236" s="1" t="s">
        <v>86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1</v>
      </c>
      <c r="L236" s="2">
        <f>Games[[#This Row],[OppDaysOff]]-Games[[#This Row],[DaysOff]]</f>
        <v>-1</v>
      </c>
      <c r="M236" s="1">
        <f>MAX(-16, MIN(16, Games[[#This Row],[RestDiff]]*8))</f>
        <v>8</v>
      </c>
      <c r="N236" s="1">
        <f>MAX(-16, MIN(16, Games[[#This Row],[OppRestDiff]]*8))</f>
        <v>-8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1359.7636124933724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1530.3030924918946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0.29119222398078659</v>
      </c>
      <c r="R236" s="1">
        <v>97</v>
      </c>
      <c r="S236" s="1">
        <v>89</v>
      </c>
      <c r="T236" s="1">
        <v>0</v>
      </c>
      <c r="U236" s="1">
        <f>Games[[#This Row],[PointsFor]]-Games[[#This Row],[PointsAgainst]]</f>
        <v>8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0.33999651144971693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17.592428492852434</v>
      </c>
      <c r="AB236" s="4">
        <f>Games[[#This Row],[PreGmRate]]+Games[[#This Row],[RatingChange]]</f>
        <v>1377.3560409862248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44083</v>
      </c>
      <c r="B237" s="2">
        <v>2020</v>
      </c>
      <c r="C237" s="2">
        <f>COUNTIFS(Games[Team],Games[[#This Row],[Team]],Games[Season],Games[[#This Row],[Season]],Games[Date],"&lt;=" &amp; Games[[#This Row],[Date]])</f>
        <v>21</v>
      </c>
      <c r="D237" s="2" t="s">
        <v>79</v>
      </c>
      <c r="E237" s="2" t="s">
        <v>80</v>
      </c>
      <c r="F237" s="1" t="s">
        <v>75</v>
      </c>
      <c r="G237" s="1" t="s">
        <v>77</v>
      </c>
      <c r="H237" s="1" t="s">
        <v>86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7" s="2">
        <f>Games[[#This Row],[DaysOff]]-Games[[#This Row],[OppDaysOff]]</f>
        <v>-1</v>
      </c>
      <c r="L237" s="2">
        <f>Games[[#This Row],[OppDaysOff]]-Games[[#This Row],[DaysOff]]</f>
        <v>1</v>
      </c>
      <c r="M237" s="1">
        <f>MAX(-16, MIN(16, Games[[#This Row],[RestDiff]]*8))</f>
        <v>-8</v>
      </c>
      <c r="N237" s="1">
        <f>MAX(-16, MIN(16, Games[[#This Row],[OppRestDiff]]*8))</f>
        <v>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1530.3030924918946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1359.7636124933724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0.7088077760192133</v>
      </c>
      <c r="R237" s="1">
        <v>89</v>
      </c>
      <c r="S237" s="1">
        <v>97</v>
      </c>
      <c r="T237" s="1">
        <v>0</v>
      </c>
      <c r="U237" s="1">
        <f>Games[[#This Row],[PointsFor]]-Games[[#This Row],[PointsAgainst]]</f>
        <v>-8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0.33999651144971693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-17.556279667182189</v>
      </c>
      <c r="AB237" s="4">
        <f>Games[[#This Row],[PreGmRate]]+Games[[#This Row],[RatingChange]]</f>
        <v>1512.7468128247124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44083</v>
      </c>
      <c r="B238" s="2">
        <v>2020</v>
      </c>
      <c r="C238" s="2">
        <f>COUNTIFS(Games[Team],Games[[#This Row],[Team]],Games[Season],Games[[#This Row],[Season]],Games[Date],"&lt;=" &amp; Games[[#This Row],[Date]])</f>
        <v>21</v>
      </c>
      <c r="D238" s="2" t="s">
        <v>79</v>
      </c>
      <c r="E238" s="2" t="s">
        <v>80</v>
      </c>
      <c r="F238" s="1" t="s">
        <v>40</v>
      </c>
      <c r="G238" s="1" t="s">
        <v>74</v>
      </c>
      <c r="H238" s="1" t="s">
        <v>86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1526.6247326075302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1553.9037491846852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0.46082281098416383</v>
      </c>
      <c r="R238" s="1">
        <v>100</v>
      </c>
      <c r="S238" s="1">
        <v>95</v>
      </c>
      <c r="T238" s="1">
        <v>1</v>
      </c>
      <c r="U238" s="1">
        <f>Games[[#This Row],[PointsFor]]-Games[[#This Row],[PointsAgainst]]</f>
        <v>5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0.29194376230551533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11.467276036506858</v>
      </c>
      <c r="AB238" s="4">
        <f>Games[[#This Row],[PreGmRate]]+Games[[#This Row],[RatingChange]]</f>
        <v>1538.0920086440369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44083</v>
      </c>
      <c r="B239" s="2">
        <v>2020</v>
      </c>
      <c r="C239" s="2">
        <f>COUNTIFS(Games[Team],Games[[#This Row],[Team]],Games[Season],Games[[#This Row],[Season]],Games[Date],"&lt;=" &amp; Games[[#This Row],[Date]])</f>
        <v>21</v>
      </c>
      <c r="D239" s="2" t="s">
        <v>79</v>
      </c>
      <c r="E239" s="2" t="s">
        <v>80</v>
      </c>
      <c r="F239" s="1" t="s">
        <v>74</v>
      </c>
      <c r="G239" s="1" t="s">
        <v>40</v>
      </c>
      <c r="H239" s="1" t="s">
        <v>86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1553.9037491846852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1526.6247326075302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0.53917718901583611</v>
      </c>
      <c r="R239" s="1">
        <v>95</v>
      </c>
      <c r="S239" s="1">
        <v>100</v>
      </c>
      <c r="T239" s="1">
        <v>1</v>
      </c>
      <c r="U239" s="1">
        <f>Games[[#This Row],[PointsFor]]-Games[[#This Row],[PointsAgainst]]</f>
        <v>-5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0.29194376230551533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72.849999999999994</v>
      </c>
      <c r="Z239" s="4">
        <f>Games[[#This Row],[K]]*Games[[#This Row],[POMult]]</f>
        <v>72.849999999999994</v>
      </c>
      <c r="AA239" s="4">
        <f>(Games[[#This Row],[Keff]]*Games[[#This Row],[MOVMult]])*(Games[[#This Row],[Result]]-Games[[#This Row],[ExpectedWin%]])</f>
        <v>-11.467276036506858</v>
      </c>
      <c r="AB239" s="4">
        <f>Games[[#This Row],[PreGmRate]]+Games[[#This Row],[RatingChange]]</f>
        <v>1542.4364731481785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44083</v>
      </c>
      <c r="B240" s="2">
        <v>2020</v>
      </c>
      <c r="C240" s="2">
        <f>COUNTIFS(Games[Team],Games[[#This Row],[Team]],Games[Season],Games[[#This Row],[Season]],Games[Date],"&lt;=" &amp; Games[[#This Row],[Date]])</f>
        <v>20</v>
      </c>
      <c r="D240" s="2" t="s">
        <v>79</v>
      </c>
      <c r="E240" s="2" t="s">
        <v>80</v>
      </c>
      <c r="F240" s="1" t="s">
        <v>83</v>
      </c>
      <c r="G240" s="1" t="s">
        <v>71</v>
      </c>
      <c r="H240" s="1" t="s">
        <v>86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1425.5924388350475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1662.2776577763213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0.20383921389167867</v>
      </c>
      <c r="R240" s="1">
        <v>95</v>
      </c>
      <c r="S240" s="1">
        <v>107</v>
      </c>
      <c r="T240" s="1">
        <v>0</v>
      </c>
      <c r="U240" s="1">
        <f>Games[[#This Row],[PointsFor]]-Games[[#This Row],[PointsAgainst]]</f>
        <v>-12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0.38098487022453498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</v>
      </c>
      <c r="Z240" s="4">
        <f>Games[[#This Row],[K]]*Games[[#This Row],[POMult]]</f>
        <v>73</v>
      </c>
      <c r="AA240" s="4">
        <f>(Games[[#This Row],[Keff]]*Games[[#This Row],[MOVMult]])*(Games[[#This Row],[Result]]-Games[[#This Row],[ExpectedWin%]])</f>
        <v>-5.6691549209370473</v>
      </c>
      <c r="AB240" s="4">
        <f>Games[[#This Row],[PreGmRate]]+Games[[#This Row],[RatingChange]]</f>
        <v>1419.9232839141105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44083</v>
      </c>
      <c r="B241" s="2">
        <v>2020</v>
      </c>
      <c r="C241" s="2">
        <f>COUNTIFS(Games[Team],Games[[#This Row],[Team]],Games[Season],Games[[#This Row],[Season]],Games[Date],"&lt;=" &amp; Games[[#This Row],[Date]])</f>
        <v>20</v>
      </c>
      <c r="D241" s="2" t="s">
        <v>79</v>
      </c>
      <c r="E241" s="2" t="s">
        <v>80</v>
      </c>
      <c r="F241" s="1" t="s">
        <v>71</v>
      </c>
      <c r="G241" s="1" t="s">
        <v>83</v>
      </c>
      <c r="H241" s="1" t="s">
        <v>86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1662.2776577763213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1425.5924388350475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0.79616078610832131</v>
      </c>
      <c r="R241" s="1">
        <v>107</v>
      </c>
      <c r="S241" s="1">
        <v>95</v>
      </c>
      <c r="T241" s="1">
        <v>0</v>
      </c>
      <c r="U241" s="1">
        <f>Games[[#This Row],[PointsFor]]-Games[[#This Row],[PointsAgainst]]</f>
        <v>12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0.38098487022453498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5.6691549209370482</v>
      </c>
      <c r="AB241" s="4">
        <f>Games[[#This Row],[PreGmRate]]+Games[[#This Row],[RatingChange]]</f>
        <v>1667.9468126972583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44084</v>
      </c>
      <c r="B242" s="2">
        <v>2020</v>
      </c>
      <c r="C242" s="2">
        <f>COUNTIFS(Games[Team],Games[[#This Row],[Team]],Games[Season],Games[[#This Row],[Season]],Games[Date],"&lt;=" &amp; Games[[#This Row],[Date]])</f>
        <v>20</v>
      </c>
      <c r="D242" s="2" t="s">
        <v>79</v>
      </c>
      <c r="E242" s="2" t="s">
        <v>80</v>
      </c>
      <c r="F242" s="1" t="s">
        <v>60</v>
      </c>
      <c r="G242" s="1" t="s">
        <v>69</v>
      </c>
      <c r="H242" s="1" t="s">
        <v>86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1287.9113625602149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1362.4209262220086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0.394386278936323</v>
      </c>
      <c r="R242" s="1">
        <v>75</v>
      </c>
      <c r="S242" s="1">
        <v>85</v>
      </c>
      <c r="T242" s="1">
        <v>0</v>
      </c>
      <c r="U242" s="1">
        <f>Games[[#This Row],[PointsFor]]-Games[[#This Row],[PointsAgainst]]</f>
        <v>-10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0.39839296124221141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-11.469812380327911</v>
      </c>
      <c r="AB242" s="4">
        <f>Games[[#This Row],[PreGmRate]]+Games[[#This Row],[RatingChange]]</f>
        <v>1276.4415501798869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44084</v>
      </c>
      <c r="B243" s="2">
        <v>2020</v>
      </c>
      <c r="C243" s="2">
        <f>COUNTIFS(Games[Team],Games[[#This Row],[Team]],Games[Season],Games[[#This Row],[Season]],Games[Date],"&lt;=" &amp; Games[[#This Row],[Date]])</f>
        <v>21</v>
      </c>
      <c r="D243" s="2" t="s">
        <v>79</v>
      </c>
      <c r="E243" s="2" t="s">
        <v>80</v>
      </c>
      <c r="F243" s="1" t="s">
        <v>69</v>
      </c>
      <c r="G243" s="1" t="s">
        <v>60</v>
      </c>
      <c r="H243" s="1" t="s">
        <v>86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1362.4209262220086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1287.9113625602149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0.60561372106367695</v>
      </c>
      <c r="R243" s="1">
        <v>85</v>
      </c>
      <c r="S243" s="1">
        <v>75</v>
      </c>
      <c r="T243" s="1">
        <v>0</v>
      </c>
      <c r="U243" s="1">
        <f>Games[[#This Row],[PointsFor]]-Games[[#This Row],[PointsAgainst]]</f>
        <v>10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0.39839296124221141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11.446244272697101</v>
      </c>
      <c r="AB243" s="4">
        <f>Games[[#This Row],[PreGmRate]]+Games[[#This Row],[RatingChange]]</f>
        <v>1373.8671704947058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44084</v>
      </c>
      <c r="B244" s="2">
        <v>2020</v>
      </c>
      <c r="C244" s="2">
        <f>COUNTIFS(Games[Team],Games[[#This Row],[Team]],Games[Season],Games[[#This Row],[Season]],Games[Date],"&lt;=" &amp; Games[[#This Row],[Date]])</f>
        <v>20</v>
      </c>
      <c r="D244" s="2" t="s">
        <v>79</v>
      </c>
      <c r="E244" s="2" t="s">
        <v>80</v>
      </c>
      <c r="F244" s="1" t="s">
        <v>65</v>
      </c>
      <c r="G244" s="1" t="s">
        <v>63</v>
      </c>
      <c r="H244" s="1" t="s">
        <v>86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1473.6252132439881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1609.3700016355804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0.31401611811130553</v>
      </c>
      <c r="R244" s="1">
        <v>80</v>
      </c>
      <c r="S244" s="1">
        <v>72</v>
      </c>
      <c r="T244" s="1">
        <v>0</v>
      </c>
      <c r="U244" s="1">
        <f>Games[[#This Row],[PointsFor]]-Games[[#This Row],[PointsAgainst]]</f>
        <v>8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0.34885304891565744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17.469452515382461</v>
      </c>
      <c r="AB244" s="4">
        <f>Games[[#This Row],[PreGmRate]]+Games[[#This Row],[RatingChange]]</f>
        <v>1491.0946657593706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44084</v>
      </c>
      <c r="B245" s="2">
        <v>2020</v>
      </c>
      <c r="C245" s="2">
        <f>COUNTIFS(Games[Team],Games[[#This Row],[Team]],Games[Season],Games[[#This Row],[Season]],Games[Date],"&lt;=" &amp; Games[[#This Row],[Date]])</f>
        <v>21</v>
      </c>
      <c r="D245" s="2" t="s">
        <v>79</v>
      </c>
      <c r="E245" s="2" t="s">
        <v>80</v>
      </c>
      <c r="F245" s="1" t="s">
        <v>63</v>
      </c>
      <c r="G245" s="1" t="s">
        <v>65</v>
      </c>
      <c r="H245" s="1" t="s">
        <v>86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1609.3700016355804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1473.6252132439881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0.68598388188869452</v>
      </c>
      <c r="R245" s="1">
        <v>72</v>
      </c>
      <c r="S245" s="1">
        <v>80</v>
      </c>
      <c r="T245" s="1">
        <v>0</v>
      </c>
      <c r="U245" s="1">
        <f>Games[[#This Row],[PointsFor]]-Games[[#This Row],[PointsAgainst]]</f>
        <v>-8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0.34885304891565744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-17.43355638007688</v>
      </c>
      <c r="AB245" s="4">
        <f>Games[[#This Row],[PreGmRate]]+Games[[#This Row],[RatingChange]]</f>
        <v>1591.9364452555035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44084</v>
      </c>
      <c r="B246" s="2">
        <v>2020</v>
      </c>
      <c r="C246" s="2">
        <f>COUNTIFS(Games[Team],Games[[#This Row],[Team]],Games[Season],Games[[#This Row],[Season]],Games[Date],"&lt;=" &amp; Games[[#This Row],[Date]])</f>
        <v>20</v>
      </c>
      <c r="D246" s="2" t="s">
        <v>79</v>
      </c>
      <c r="E246" s="2" t="s">
        <v>80</v>
      </c>
      <c r="F246" s="1" t="s">
        <v>84</v>
      </c>
      <c r="G246" s="1" t="s">
        <v>67</v>
      </c>
      <c r="H246" s="1" t="s">
        <v>86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1641.2826024589294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1567.1528222563204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0.60509143388964637</v>
      </c>
      <c r="R246" s="1">
        <v>104</v>
      </c>
      <c r="S246" s="1">
        <v>89</v>
      </c>
      <c r="T246" s="1">
        <v>0</v>
      </c>
      <c r="U246" s="1">
        <f>Games[[#This Row],[PointsFor]]-Games[[#This Row],[PointsAgainst]]</f>
        <v>15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0.47359197079481358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</v>
      </c>
      <c r="Z246" s="4">
        <f>Games[[#This Row],[K]]*Games[[#This Row],[POMult]]</f>
        <v>73</v>
      </c>
      <c r="AA246" s="4">
        <f>(Games[[#This Row],[Keff]]*Games[[#This Row],[MOVMult]])*(Games[[#This Row],[Result]]-Games[[#This Row],[ExpectedWin%]])</f>
        <v>13.652863405880812</v>
      </c>
      <c r="AB246" s="4">
        <f>Games[[#This Row],[PreGmRate]]+Games[[#This Row],[RatingChange]]</f>
        <v>1654.9354658648103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44084</v>
      </c>
      <c r="B247" s="2">
        <v>2020</v>
      </c>
      <c r="C247" s="2">
        <f>COUNTIFS(Games[Team],Games[[#This Row],[Team]],Games[Season],Games[[#This Row],[Season]],Games[Date],"&lt;=" &amp; Games[[#This Row],[Date]])</f>
        <v>21</v>
      </c>
      <c r="D247" s="2" t="s">
        <v>79</v>
      </c>
      <c r="E247" s="2" t="s">
        <v>80</v>
      </c>
      <c r="F247" s="1" t="s">
        <v>67</v>
      </c>
      <c r="G247" s="1" t="s">
        <v>84</v>
      </c>
      <c r="H247" s="1" t="s">
        <v>86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1567.1528222563204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1641.2826024589294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0.39490856611035369</v>
      </c>
      <c r="R247" s="1">
        <v>89</v>
      </c>
      <c r="S247" s="1">
        <v>104</v>
      </c>
      <c r="T247" s="1">
        <v>0</v>
      </c>
      <c r="U247" s="1">
        <f>Games[[#This Row],[PointsFor]]-Games[[#This Row],[PointsAgainst]]</f>
        <v>-15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0.47359197079481358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72.849999999999994</v>
      </c>
      <c r="Z247" s="4">
        <f>Games[[#This Row],[K]]*Games[[#This Row],[POMult]]</f>
        <v>72.849999999999994</v>
      </c>
      <c r="AA247" s="4">
        <f>(Games[[#This Row],[Keff]]*Games[[#This Row],[MOVMult]])*(Games[[#This Row],[Result]]-Games[[#This Row],[ExpectedWin%]])</f>
        <v>-13.624809576964619</v>
      </c>
      <c r="AB247" s="4">
        <f>Games[[#This Row],[PreGmRate]]+Games[[#This Row],[RatingChange]]</f>
        <v>1553.5280126793557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44085</v>
      </c>
      <c r="B248" s="2">
        <v>2020</v>
      </c>
      <c r="C248" s="2">
        <f>COUNTIFS(Games[Team],Games[[#This Row],[Team]],Games[Season],Games[[#This Row],[Season]],Games[Date],"&lt;=" &amp; Games[[#This Row],[Date]])</f>
        <v>21</v>
      </c>
      <c r="D248" s="2" t="s">
        <v>79</v>
      </c>
      <c r="E248" s="2" t="s">
        <v>80</v>
      </c>
      <c r="F248" s="1" t="s">
        <v>77</v>
      </c>
      <c r="G248" s="1" t="s">
        <v>74</v>
      </c>
      <c r="H248" s="1" t="s">
        <v>86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1377.3560409862248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1542.4364731481785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0.27882864477917874</v>
      </c>
      <c r="R248" s="1">
        <v>82</v>
      </c>
      <c r="S248" s="1">
        <v>75</v>
      </c>
      <c r="T248" s="1">
        <v>0</v>
      </c>
      <c r="U248" s="1">
        <f>Games[[#This Row],[PointsFor]]-Games[[#This Row],[PointsAgainst]]</f>
        <v>7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0.32534977172091822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17.093009372502522</v>
      </c>
      <c r="AB248" s="4">
        <f>Games[[#This Row],[PreGmRate]]+Games[[#This Row],[RatingChange]]</f>
        <v>1394.4490503587274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44085</v>
      </c>
      <c r="B249" s="2">
        <v>2020</v>
      </c>
      <c r="C249" s="2">
        <f>COUNTIFS(Games[Team],Games[[#This Row],[Team]],Games[Season],Games[[#This Row],[Season]],Games[Date],"&lt;=" &amp; Games[[#This Row],[Date]])</f>
        <v>22</v>
      </c>
      <c r="D249" s="2" t="s">
        <v>79</v>
      </c>
      <c r="E249" s="2" t="s">
        <v>80</v>
      </c>
      <c r="F249" s="1" t="s">
        <v>74</v>
      </c>
      <c r="G249" s="1" t="s">
        <v>77</v>
      </c>
      <c r="H249" s="1" t="s">
        <v>86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1542.4364731481785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1377.3560409862248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0.72117135522082132</v>
      </c>
      <c r="R249" s="1">
        <v>75</v>
      </c>
      <c r="S249" s="1">
        <v>82</v>
      </c>
      <c r="T249" s="1">
        <v>0</v>
      </c>
      <c r="U249" s="1">
        <f>Games[[#This Row],[PointsFor]]-Games[[#This Row],[PointsAgainst]]</f>
        <v>-7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0.32534977172091822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-17.057814432133611</v>
      </c>
      <c r="AB249" s="4">
        <f>Games[[#This Row],[PreGmRate]]+Games[[#This Row],[RatingChange]]</f>
        <v>1525.3786587160448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44085</v>
      </c>
      <c r="B250" s="2">
        <v>2020</v>
      </c>
      <c r="C250" s="2">
        <f>COUNTIFS(Games[Team],Games[[#This Row],[Team]],Games[Season],Games[[#This Row],[Season]],Games[Date],"&lt;=" &amp; Games[[#This Row],[Date]])</f>
        <v>22</v>
      </c>
      <c r="D250" s="2" t="s">
        <v>79</v>
      </c>
      <c r="E250" s="2" t="s">
        <v>80</v>
      </c>
      <c r="F250" s="1" t="s">
        <v>75</v>
      </c>
      <c r="G250" s="1" t="s">
        <v>83</v>
      </c>
      <c r="H250" s="1" t="s">
        <v>86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1512.7468128247124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1419.9232839141105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0.63049365617736486</v>
      </c>
      <c r="R250" s="1">
        <v>95</v>
      </c>
      <c r="S250" s="1">
        <v>88</v>
      </c>
      <c r="T250" s="1">
        <v>0</v>
      </c>
      <c r="U250" s="1">
        <f>Games[[#This Row],[PointsFor]]-Games[[#This Row],[PointsAgainst]]</f>
        <v>7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0.34353382116956754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72.7</v>
      </c>
      <c r="Z250" s="4">
        <f>Games[[#This Row],[K]]*Games[[#This Row],[POMult]]</f>
        <v>72.7</v>
      </c>
      <c r="AA250" s="4">
        <f>(Games[[#This Row],[Keff]]*Games[[#This Row],[MOVMult]])*(Games[[#This Row],[Result]]-Games[[#This Row],[ExpectedWin%]])</f>
        <v>9.2283872376324325</v>
      </c>
      <c r="AB250" s="4">
        <f>Games[[#This Row],[PreGmRate]]+Games[[#This Row],[RatingChange]]</f>
        <v>1521.9752000623448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44085</v>
      </c>
      <c r="B251" s="2">
        <v>2020</v>
      </c>
      <c r="C251" s="2">
        <f>COUNTIFS(Games[Team],Games[[#This Row],[Team]],Games[Season],Games[[#This Row],[Season]],Games[Date],"&lt;=" &amp; Games[[#This Row],[Date]])</f>
        <v>21</v>
      </c>
      <c r="D251" s="2" t="s">
        <v>79</v>
      </c>
      <c r="E251" s="2" t="s">
        <v>80</v>
      </c>
      <c r="F251" s="1" t="s">
        <v>83</v>
      </c>
      <c r="G251" s="1" t="s">
        <v>75</v>
      </c>
      <c r="H251" s="1" t="s">
        <v>86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1419.9232839141105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1512.7468128247124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0.36950634382263509</v>
      </c>
      <c r="R251" s="1">
        <v>88</v>
      </c>
      <c r="S251" s="1">
        <v>95</v>
      </c>
      <c r="T251" s="1">
        <v>0</v>
      </c>
      <c r="U251" s="1">
        <f>Games[[#This Row],[PointsFor]]-Games[[#This Row],[PointsAgainst]]</f>
        <v>-7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0.34353382116956754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-9.247427926568399</v>
      </c>
      <c r="AB251" s="4">
        <f>Games[[#This Row],[PreGmRate]]+Games[[#This Row],[RatingChange]]</f>
        <v>1410.675855987542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44085</v>
      </c>
      <c r="B252" s="2">
        <v>2020</v>
      </c>
      <c r="C252" s="2">
        <f>COUNTIFS(Games[Team],Games[[#This Row],[Team]],Games[Season],Games[[#This Row],[Season]],Games[Date],"&lt;=" &amp; Games[[#This Row],[Date]])</f>
        <v>21</v>
      </c>
      <c r="D252" s="2" t="s">
        <v>79</v>
      </c>
      <c r="E252" s="2" t="s">
        <v>80</v>
      </c>
      <c r="F252" s="1" t="s">
        <v>71</v>
      </c>
      <c r="G252" s="1" t="s">
        <v>40</v>
      </c>
      <c r="H252" s="1" t="s">
        <v>86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1667.9468126972583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1538.0920086440369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0.67863466439838294</v>
      </c>
      <c r="R252" s="1">
        <v>83</v>
      </c>
      <c r="S252" s="1">
        <v>60</v>
      </c>
      <c r="T252" s="1">
        <v>0</v>
      </c>
      <c r="U252" s="1">
        <f>Games[[#This Row],[PointsFor]]-Games[[#This Row],[PointsAgainst]]</f>
        <v>23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0.55525258909751685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12.99927638845044</v>
      </c>
      <c r="AB252" s="4">
        <f>Games[[#This Row],[PreGmRate]]+Games[[#This Row],[RatingChange]]</f>
        <v>1680.9460890857088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44085</v>
      </c>
      <c r="B253" s="2">
        <v>2020</v>
      </c>
      <c r="C253" s="2">
        <f>COUNTIFS(Games[Team],Games[[#This Row],[Team]],Games[Season],Games[[#This Row],[Season]],Games[Date],"&lt;=" &amp; Games[[#This Row],[Date]])</f>
        <v>22</v>
      </c>
      <c r="D253" s="2" t="s">
        <v>79</v>
      </c>
      <c r="E253" s="2" t="s">
        <v>80</v>
      </c>
      <c r="F253" s="1" t="s">
        <v>40</v>
      </c>
      <c r="G253" s="1" t="s">
        <v>71</v>
      </c>
      <c r="H253" s="1" t="s">
        <v>86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1538.0920086440369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1667.9468126972583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0.32136533560161712</v>
      </c>
      <c r="R253" s="1">
        <v>60</v>
      </c>
      <c r="S253" s="1">
        <v>83</v>
      </c>
      <c r="T253" s="1">
        <v>0</v>
      </c>
      <c r="U253" s="1">
        <f>Games[[#This Row],[PointsFor]]-Games[[#This Row],[PointsAgainst]]</f>
        <v>-23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0.55525258909751685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72.7</v>
      </c>
      <c r="Z253" s="4">
        <f>Games[[#This Row],[K]]*Games[[#This Row],[POMult]]</f>
        <v>72.7</v>
      </c>
      <c r="AA253" s="4">
        <f>(Games[[#This Row],[Keff]]*Games[[#This Row],[MOVMult]])*(Games[[#This Row],[Result]]-Games[[#This Row],[ExpectedWin%]])</f>
        <v>-12.972510548254595</v>
      </c>
      <c r="AB253" s="4">
        <f>Games[[#This Row],[PreGmRate]]+Games[[#This Row],[RatingChange]]</f>
        <v>1525.1194980957823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44086</v>
      </c>
      <c r="B254" s="2">
        <v>2020</v>
      </c>
      <c r="C254" s="2">
        <f>COUNTIFS(Games[Team],Games[[#This Row],[Team]],Games[Season],Games[[#This Row],[Season]],Games[Date],"&lt;=" &amp; Games[[#This Row],[Date]])</f>
        <v>22</v>
      </c>
      <c r="D254" s="2" t="s">
        <v>79</v>
      </c>
      <c r="E254" s="2" t="s">
        <v>80</v>
      </c>
      <c r="F254" s="1" t="s">
        <v>67</v>
      </c>
      <c r="G254" s="1" t="s">
        <v>69</v>
      </c>
      <c r="H254" s="1" t="s">
        <v>86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1553.5280126793557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1373.8671704947058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0.73773146003061496</v>
      </c>
      <c r="R254" s="1">
        <v>98</v>
      </c>
      <c r="S254" s="1">
        <v>86</v>
      </c>
      <c r="T254" s="1">
        <v>0</v>
      </c>
      <c r="U254" s="1">
        <f>Games[[#This Row],[PointsFor]]-Games[[#This Row],[PointsAgainst]]</f>
        <v>12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0.39673180172681333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72.7</v>
      </c>
      <c r="Z254" s="4">
        <f>Games[[#This Row],[K]]*Games[[#This Row],[POMult]]</f>
        <v>72.7</v>
      </c>
      <c r="AA254" s="4">
        <f>(Games[[#This Row],[Keff]]*Games[[#This Row],[MOVMult]])*(Games[[#This Row],[Result]]-Games[[#This Row],[ExpectedWin%]])</f>
        <v>7.5644546579574916</v>
      </c>
      <c r="AB254" s="4">
        <f>Games[[#This Row],[PreGmRate]]+Games[[#This Row],[RatingChange]]</f>
        <v>1561.0924673373131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44086</v>
      </c>
      <c r="B255" s="2">
        <v>2020</v>
      </c>
      <c r="C255" s="2">
        <f>COUNTIFS(Games[Team],Games[[#This Row],[Team]],Games[Season],Games[[#This Row],[Season]],Games[Date],"&lt;=" &amp; Games[[#This Row],[Date]])</f>
        <v>22</v>
      </c>
      <c r="D255" s="2" t="s">
        <v>79</v>
      </c>
      <c r="E255" s="2" t="s">
        <v>80</v>
      </c>
      <c r="F255" s="1" t="s">
        <v>69</v>
      </c>
      <c r="G255" s="1" t="s">
        <v>67</v>
      </c>
      <c r="H255" s="1" t="s">
        <v>86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1373.8671704947058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1553.5280126793557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0.26226853996938504</v>
      </c>
      <c r="R255" s="1">
        <v>86</v>
      </c>
      <c r="S255" s="1">
        <v>98</v>
      </c>
      <c r="T255" s="1">
        <v>0</v>
      </c>
      <c r="U255" s="1">
        <f>Games[[#This Row],[PointsFor]]-Games[[#This Row],[PointsAgainst]]</f>
        <v>-12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0.39673180172681333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-7.5644546579574916</v>
      </c>
      <c r="AB255" s="4">
        <f>Games[[#This Row],[PreGmRate]]+Games[[#This Row],[RatingChange]]</f>
        <v>1366.3027158367483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44086</v>
      </c>
      <c r="B256" s="2">
        <v>2020</v>
      </c>
      <c r="C256" s="2">
        <f>COUNTIFS(Games[Team],Games[[#This Row],[Team]],Games[Season],Games[[#This Row],[Season]],Games[Date],"&lt;=" &amp; Games[[#This Row],[Date]])</f>
        <v>21</v>
      </c>
      <c r="D256" s="2" t="s">
        <v>79</v>
      </c>
      <c r="E256" s="2" t="s">
        <v>80</v>
      </c>
      <c r="F256" s="1" t="s">
        <v>84</v>
      </c>
      <c r="G256" s="1" t="s">
        <v>63</v>
      </c>
      <c r="H256" s="1" t="s">
        <v>86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1654.9354658648103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1591.9364452555035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0.58968213902852573</v>
      </c>
      <c r="R256" s="1">
        <v>84</v>
      </c>
      <c r="S256" s="1">
        <v>70</v>
      </c>
      <c r="T256" s="1">
        <v>0</v>
      </c>
      <c r="U256" s="1">
        <f>Games[[#This Row],[PointsFor]]-Games[[#This Row],[PointsAgainst]]</f>
        <v>14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0.46328596831265806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13.848384874008385</v>
      </c>
      <c r="AB256" s="4">
        <f>Games[[#This Row],[PreGmRate]]+Games[[#This Row],[RatingChange]]</f>
        <v>1668.7838507388187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44086</v>
      </c>
      <c r="B257" s="2">
        <v>2020</v>
      </c>
      <c r="C257" s="2">
        <f>COUNTIFS(Games[Team],Games[[#This Row],[Team]],Games[Season],Games[[#This Row],[Season]],Games[Date],"&lt;=" &amp; Games[[#This Row],[Date]])</f>
        <v>22</v>
      </c>
      <c r="D257" s="2" t="s">
        <v>79</v>
      </c>
      <c r="E257" s="2" t="s">
        <v>80</v>
      </c>
      <c r="F257" s="1" t="s">
        <v>63</v>
      </c>
      <c r="G257" s="1" t="s">
        <v>84</v>
      </c>
      <c r="H257" s="1" t="s">
        <v>86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1591.9364452555035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1654.9354658648103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0.41031786097147427</v>
      </c>
      <c r="R257" s="1">
        <v>70</v>
      </c>
      <c r="S257" s="1">
        <v>84</v>
      </c>
      <c r="T257" s="1">
        <v>0</v>
      </c>
      <c r="U257" s="1">
        <f>Games[[#This Row],[PointsFor]]-Games[[#This Row],[PointsAgainst]]</f>
        <v>-14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0.46328596831265806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-13.819870697877965</v>
      </c>
      <c r="AB257" s="4">
        <f>Games[[#This Row],[PreGmRate]]+Games[[#This Row],[RatingChange]]</f>
        <v>1578.1165745576254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44086</v>
      </c>
      <c r="B258" s="2">
        <v>2020</v>
      </c>
      <c r="C258" s="2">
        <f>COUNTIFS(Games[Team],Games[[#This Row],[Team]],Games[Season],Games[[#This Row],[Season]],Games[Date],"&lt;=" &amp; Games[[#This Row],[Date]])</f>
        <v>21</v>
      </c>
      <c r="D258" s="2" t="s">
        <v>79</v>
      </c>
      <c r="E258" s="2" t="s">
        <v>80</v>
      </c>
      <c r="F258" s="1" t="s">
        <v>65</v>
      </c>
      <c r="G258" s="1" t="s">
        <v>60</v>
      </c>
      <c r="H258" s="1" t="s">
        <v>86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1491.0946657593706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1276.4415501798869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0.77480464562419848</v>
      </c>
      <c r="R258" s="1">
        <v>75</v>
      </c>
      <c r="S258" s="1">
        <v>58</v>
      </c>
      <c r="T258" s="1">
        <v>0</v>
      </c>
      <c r="U258" s="1">
        <f>Games[[#This Row],[PointsFor]]-Games[[#This Row],[PointsAgainst]]</f>
        <v>17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0.45165169882418277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72.849999999999994</v>
      </c>
      <c r="Z258" s="4">
        <f>Games[[#This Row],[K]]*Games[[#This Row],[POMult]]</f>
        <v>72.849999999999994</v>
      </c>
      <c r="AA258" s="4">
        <f>(Games[[#This Row],[Keff]]*Games[[#This Row],[MOVMult]])*(Games[[#This Row],[Result]]-Games[[#This Row],[ExpectedWin%]])</f>
        <v>7.4095636194378853</v>
      </c>
      <c r="AB258" s="4">
        <f>Games[[#This Row],[PreGmRate]]+Games[[#This Row],[RatingChange]]</f>
        <v>1498.5042293788085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44086</v>
      </c>
      <c r="B259" s="2">
        <v>2020</v>
      </c>
      <c r="C259" s="2">
        <f>COUNTIFS(Games[Team],Games[[#This Row],[Team]],Games[Season],Games[[#This Row],[Season]],Games[Date],"&lt;=" &amp; Games[[#This Row],[Date]])</f>
        <v>21</v>
      </c>
      <c r="D259" s="2" t="s">
        <v>79</v>
      </c>
      <c r="E259" s="2" t="s">
        <v>80</v>
      </c>
      <c r="F259" s="1" t="s">
        <v>60</v>
      </c>
      <c r="G259" s="1" t="s">
        <v>65</v>
      </c>
      <c r="H259" s="1" t="s">
        <v>86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1276.4415501798869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1491.0946657593706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0.2251953543758016</v>
      </c>
      <c r="R259" s="1">
        <v>58</v>
      </c>
      <c r="S259" s="1">
        <v>75</v>
      </c>
      <c r="T259" s="1">
        <v>0</v>
      </c>
      <c r="U259" s="1">
        <f>Games[[#This Row],[PointsFor]]-Games[[#This Row],[PointsAgainst]]</f>
        <v>-17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0.45165169882418277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72.849999999999994</v>
      </c>
      <c r="Z259" s="4">
        <f>Games[[#This Row],[K]]*Games[[#This Row],[POMult]]</f>
        <v>72.849999999999994</v>
      </c>
      <c r="AA259" s="4">
        <f>(Games[[#This Row],[Keff]]*Games[[#This Row],[MOVMult]])*(Games[[#This Row],[Result]]-Games[[#This Row],[ExpectedWin%]])</f>
        <v>-7.409563619437888</v>
      </c>
      <c r="AB259" s="4">
        <f>Games[[#This Row],[PreGmRate]]+Games[[#This Row],[RatingChange]]</f>
        <v>1269.031986560449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44087</v>
      </c>
      <c r="B260" s="2">
        <v>2020</v>
      </c>
      <c r="C260" s="2">
        <f>COUNTIFS(Games[Team],Games[[#This Row],[Team]],Games[Season],Games[[#This Row],[Season]],Games[Date],"&lt;=" &amp; Games[[#This Row],[Date]])</f>
        <v>22</v>
      </c>
      <c r="D260" s="2" t="s">
        <v>79</v>
      </c>
      <c r="E260" s="2" t="s">
        <v>80</v>
      </c>
      <c r="F260" s="1" t="s">
        <v>65</v>
      </c>
      <c r="G260" s="1" t="s">
        <v>77</v>
      </c>
      <c r="H260" s="1" t="s">
        <v>86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-1</v>
      </c>
      <c r="L260" s="2">
        <f>Games[[#This Row],[OppDaysOff]]-Games[[#This Row],[DaysOff]]</f>
        <v>1</v>
      </c>
      <c r="M260" s="1">
        <f>MAX(-16, MIN(16, Games[[#This Row],[RestDiff]]*8))</f>
        <v>-8</v>
      </c>
      <c r="N260" s="1">
        <f>MAX(-16, MIN(16, Games[[#This Row],[OppRestDiff]]*8))</f>
        <v>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1498.5042293788085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1394.4490503587274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0.62407628056574116</v>
      </c>
      <c r="R260" s="1">
        <v>85</v>
      </c>
      <c r="S260" s="1">
        <v>78</v>
      </c>
      <c r="T260" s="1">
        <v>0</v>
      </c>
      <c r="U260" s="1">
        <f>Games[[#This Row],[PointsFor]]-Games[[#This Row],[PointsAgainst]]</f>
        <v>7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0.34057501103467097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9.3077973498314037</v>
      </c>
      <c r="AB260" s="4">
        <f>Games[[#This Row],[PreGmRate]]+Games[[#This Row],[RatingChange]]</f>
        <v>1507.8120267286399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44087</v>
      </c>
      <c r="B261" s="2">
        <v>2020</v>
      </c>
      <c r="C261" s="2">
        <f>COUNTIFS(Games[Team],Games[[#This Row],[Team]],Games[Season],Games[[#This Row],[Season]],Games[Date],"&lt;=" &amp; Games[[#This Row],[Date]])</f>
        <v>22</v>
      </c>
      <c r="D261" s="2" t="s">
        <v>79</v>
      </c>
      <c r="E261" s="2" t="s">
        <v>80</v>
      </c>
      <c r="F261" s="1" t="s">
        <v>77</v>
      </c>
      <c r="G261" s="1" t="s">
        <v>65</v>
      </c>
      <c r="H261" s="1" t="s">
        <v>86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1" s="2">
        <f>Games[[#This Row],[DaysOff]]-Games[[#This Row],[OppDaysOff]]</f>
        <v>1</v>
      </c>
      <c r="L261" s="2">
        <f>Games[[#This Row],[OppDaysOff]]-Games[[#This Row],[DaysOff]]</f>
        <v>-1</v>
      </c>
      <c r="M261" s="1">
        <f>MAX(-16, MIN(16, Games[[#This Row],[RestDiff]]*8))</f>
        <v>8</v>
      </c>
      <c r="N261" s="1">
        <f>MAX(-16, MIN(16, Games[[#This Row],[OppRestDiff]]*8))</f>
        <v>-8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1394.4490503587274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1498.5042293788085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0.37592371943425879</v>
      </c>
      <c r="R261" s="1">
        <v>78</v>
      </c>
      <c r="S261" s="1">
        <v>85</v>
      </c>
      <c r="T261" s="1">
        <v>0</v>
      </c>
      <c r="U261" s="1">
        <f>Games[[#This Row],[PointsFor]]-Games[[#This Row],[PointsAgainst]]</f>
        <v>-7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0.34057501103467097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72.7</v>
      </c>
      <c r="Z261" s="4">
        <f>Games[[#This Row],[K]]*Games[[#This Row],[POMult]]</f>
        <v>72.7</v>
      </c>
      <c r="AA261" s="4">
        <f>(Games[[#This Row],[Keff]]*Games[[#This Row],[MOVMult]])*(Games[[#This Row],[Result]]-Games[[#This Row],[ExpectedWin%]])</f>
        <v>-9.3077973498314037</v>
      </c>
      <c r="AB261" s="4">
        <f>Games[[#This Row],[PreGmRate]]+Games[[#This Row],[RatingChange]]</f>
        <v>1385.141253008896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44087</v>
      </c>
      <c r="B262" s="2">
        <v>2020</v>
      </c>
      <c r="C262" s="2">
        <f>COUNTIFS(Games[Team],Games[[#This Row],[Team]],Games[Season],Games[[#This Row],[Season]],Games[Date],"&lt;=" &amp; Games[[#This Row],[Date]])</f>
        <v>22</v>
      </c>
      <c r="D262" s="2" t="s">
        <v>79</v>
      </c>
      <c r="E262" s="2" t="s">
        <v>80</v>
      </c>
      <c r="F262" s="1" t="s">
        <v>83</v>
      </c>
      <c r="G262" s="1" t="s">
        <v>60</v>
      </c>
      <c r="H262" s="1" t="s">
        <v>86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2" s="2">
        <f>Games[[#This Row],[DaysOff]]-Games[[#This Row],[OppDaysOff]]</f>
        <v>1</v>
      </c>
      <c r="L262" s="2">
        <f>Games[[#This Row],[OppDaysOff]]-Games[[#This Row],[DaysOff]]</f>
        <v>-1</v>
      </c>
      <c r="M262" s="1">
        <f>MAX(-16, MIN(16, Games[[#This Row],[RestDiff]]*8))</f>
        <v>8</v>
      </c>
      <c r="N262" s="1">
        <f>MAX(-16, MIN(16, Games[[#This Row],[OppRestDiff]]*8))</f>
        <v>-8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1410.675855987542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1269.031986560449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0.71248238464301716</v>
      </c>
      <c r="R262" s="1">
        <v>82</v>
      </c>
      <c r="S262" s="1">
        <v>79</v>
      </c>
      <c r="T262" s="1">
        <v>0</v>
      </c>
      <c r="U262" s="1">
        <f>Games[[#This Row],[PointsFor]]-Games[[#This Row],[PointsAgainst]]</f>
        <v>3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0.2595474352423689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5.4251982167663266</v>
      </c>
      <c r="AB262" s="4">
        <f>Games[[#This Row],[PreGmRate]]+Games[[#This Row],[RatingChange]]</f>
        <v>1416.1010542043084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44087</v>
      </c>
      <c r="B263" s="2">
        <v>2020</v>
      </c>
      <c r="C263" s="2">
        <f>COUNTIFS(Games[Team],Games[[#This Row],[Team]],Games[Season],Games[[#This Row],[Season]],Games[Date],"&lt;=" &amp; Games[[#This Row],[Date]])</f>
        <v>22</v>
      </c>
      <c r="D263" s="2" t="s">
        <v>79</v>
      </c>
      <c r="E263" s="2" t="s">
        <v>80</v>
      </c>
      <c r="F263" s="1" t="s">
        <v>60</v>
      </c>
      <c r="G263" s="1" t="s">
        <v>83</v>
      </c>
      <c r="H263" s="1" t="s">
        <v>86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-1</v>
      </c>
      <c r="L263" s="2">
        <f>Games[[#This Row],[OppDaysOff]]-Games[[#This Row],[DaysOff]]</f>
        <v>1</v>
      </c>
      <c r="M263" s="1">
        <f>MAX(-16, MIN(16, Games[[#This Row],[RestDiff]]*8))</f>
        <v>-8</v>
      </c>
      <c r="N263" s="1">
        <f>MAX(-16, MIN(16, Games[[#This Row],[OppRestDiff]]*8))</f>
        <v>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1269.031986560449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1410.675855987542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0.28751761535698289</v>
      </c>
      <c r="R263" s="1">
        <v>79</v>
      </c>
      <c r="S263" s="1">
        <v>82</v>
      </c>
      <c r="T263" s="1">
        <v>0</v>
      </c>
      <c r="U263" s="1">
        <f>Games[[#This Row],[PointsFor]]-Games[[#This Row],[PointsAgainst]]</f>
        <v>-3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0.2595474352423689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-5.4251982167663284</v>
      </c>
      <c r="AB263" s="4">
        <f>Games[[#This Row],[PreGmRate]]+Games[[#This Row],[RatingChange]]</f>
        <v>1263.6067883436826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44087</v>
      </c>
      <c r="B264" s="2">
        <v>2020</v>
      </c>
      <c r="C264" s="2">
        <f>COUNTIFS(Games[Team],Games[[#This Row],[Team]],Games[Season],Games[[#This Row],[Season]],Games[Date],"&lt;=" &amp; Games[[#This Row],[Date]])</f>
        <v>22</v>
      </c>
      <c r="D264" s="2" t="s">
        <v>79</v>
      </c>
      <c r="E264" s="2" t="s">
        <v>80</v>
      </c>
      <c r="F264" s="1" t="s">
        <v>84</v>
      </c>
      <c r="G264" s="1" t="s">
        <v>71</v>
      </c>
      <c r="H264" s="1" t="s">
        <v>86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1668.7838507388187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1680.9460890857088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0.4595598105224884</v>
      </c>
      <c r="R264" s="1">
        <v>86</v>
      </c>
      <c r="S264" s="1">
        <v>84</v>
      </c>
      <c r="T264" s="1">
        <v>0</v>
      </c>
      <c r="U264" s="1">
        <f>Games[[#This Row],[PointsFor]]-Games[[#This Row],[PointsAgainst]]</f>
        <v>2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0.26515393303286899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10.417898499513656</v>
      </c>
      <c r="AB264" s="4">
        <f>Games[[#This Row],[PreGmRate]]+Games[[#This Row],[RatingChange]]</f>
        <v>1679.2017492383325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44087</v>
      </c>
      <c r="B265" s="2">
        <v>2020</v>
      </c>
      <c r="C265" s="2">
        <f>COUNTIFS(Games[Team],Games[[#This Row],[Team]],Games[Season],Games[[#This Row],[Season]],Games[Date],"&lt;=" &amp; Games[[#This Row],[Date]])</f>
        <v>22</v>
      </c>
      <c r="D265" s="2" t="s">
        <v>79</v>
      </c>
      <c r="E265" s="2" t="s">
        <v>80</v>
      </c>
      <c r="F265" s="1" t="s">
        <v>71</v>
      </c>
      <c r="G265" s="1" t="s">
        <v>84</v>
      </c>
      <c r="H265" s="1" t="s">
        <v>86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1680.9460890857088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1668.7838507388187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0.54044018947751171</v>
      </c>
      <c r="R265" s="1">
        <v>84</v>
      </c>
      <c r="S265" s="1">
        <v>86</v>
      </c>
      <c r="T265" s="1">
        <v>0</v>
      </c>
      <c r="U265" s="1">
        <f>Games[[#This Row],[PointsFor]]-Games[[#This Row],[PointsAgainst]]</f>
        <v>-2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0.26515393303286899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72.7</v>
      </c>
      <c r="Z265" s="4">
        <f>Games[[#This Row],[K]]*Games[[#This Row],[POMult]]</f>
        <v>72.7</v>
      </c>
      <c r="AA265" s="4">
        <f>(Games[[#This Row],[Keff]]*Games[[#This Row],[MOVMult]])*(Games[[#This Row],[Result]]-Games[[#This Row],[ExpectedWin%]])</f>
        <v>-10.417898499513658</v>
      </c>
      <c r="AB265" s="4">
        <f>Games[[#This Row],[PreGmRate]]+Games[[#This Row],[RatingChange]]</f>
        <v>1670.528190586195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44089</v>
      </c>
      <c r="B266" s="2">
        <v>2020</v>
      </c>
      <c r="C266" s="2">
        <f>COUNTIFS(Games[Team],Games[[#This Row],[Team]],Games[Season],Games[[#This Row],[Season]],Games[Date],"&lt;=" &amp; Games[[#This Row],[Date]])</f>
        <v>23</v>
      </c>
      <c r="D266" s="2" t="s">
        <v>81</v>
      </c>
      <c r="E266" s="2">
        <v>0.5</v>
      </c>
      <c r="F266" s="1" t="s">
        <v>74</v>
      </c>
      <c r="G266" s="1" t="s">
        <v>75</v>
      </c>
      <c r="H266" s="1" t="s">
        <v>86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1525.3786587160448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1521.9752000623448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0.50489781406088541</v>
      </c>
      <c r="R266" s="1">
        <v>94</v>
      </c>
      <c r="S266" s="1">
        <v>81</v>
      </c>
      <c r="T266" s="1">
        <v>0</v>
      </c>
      <c r="U266" s="1">
        <f>Games[[#This Row],[PointsFor]]-Games[[#This Row],[PointsAgainst]]</f>
        <v>13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0.47070872424669297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266" s="9">
        <f>MAX(kmin, kmax - 0.15 * MIN(Games[[#This Row],[GamesPlayed]], 82))</f>
        <v>72.55</v>
      </c>
      <c r="Z266" s="4">
        <f>Games[[#This Row],[K]]*Games[[#This Row],[POMult]]</f>
        <v>76.177499999999995</v>
      </c>
      <c r="AA266" s="4">
        <f>(Games[[#This Row],[Keff]]*Games[[#This Row],[MOVMult]])*(Games[[#This Row],[Result]]-Games[[#This Row],[ExpectedWin%]])</f>
        <v>17.753083974952307</v>
      </c>
      <c r="AB266" s="4">
        <f>Games[[#This Row],[PreGmRate]]+Games[[#This Row],[RatingChange]]</f>
        <v>1543.131742690997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44089</v>
      </c>
      <c r="B267" s="2">
        <v>2020</v>
      </c>
      <c r="C267" s="2">
        <f>COUNTIFS(Games[Team],Games[[#This Row],[Team]],Games[Season],Games[[#This Row],[Season]],Games[Date],"&lt;=" &amp; Games[[#This Row],[Date]])</f>
        <v>23</v>
      </c>
      <c r="D267" s="2" t="s">
        <v>81</v>
      </c>
      <c r="E267" s="2">
        <v>0.5</v>
      </c>
      <c r="F267" s="1" t="s">
        <v>75</v>
      </c>
      <c r="G267" s="1" t="s">
        <v>74</v>
      </c>
      <c r="H267" s="1" t="s">
        <v>86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1521.9752000623448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1525.3786587160448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0.49510218593911454</v>
      </c>
      <c r="R267" s="1">
        <v>81</v>
      </c>
      <c r="S267" s="1">
        <v>94</v>
      </c>
      <c r="T267" s="1">
        <v>0</v>
      </c>
      <c r="U267" s="1">
        <f>Games[[#This Row],[PointsFor]]-Games[[#This Row],[PointsAgainst]]</f>
        <v>-13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0.47070872424669297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267" s="9">
        <f>MAX(kmin, kmax - 0.15 * MIN(Games[[#This Row],[GamesPlayed]], 82))</f>
        <v>72.55</v>
      </c>
      <c r="Z267" s="4">
        <f>Games[[#This Row],[K]]*Games[[#This Row],[POMult]]</f>
        <v>76.177499999999995</v>
      </c>
      <c r="AA267" s="4">
        <f>(Games[[#This Row],[Keff]]*Games[[#This Row],[MOVMult]])*(Games[[#This Row],[Result]]-Games[[#This Row],[ExpectedWin%]])</f>
        <v>-17.753083974952307</v>
      </c>
      <c r="AB267" s="4">
        <f>Games[[#This Row],[PreGmRate]]+Games[[#This Row],[RatingChange]]</f>
        <v>1504.2221160873926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44089</v>
      </c>
      <c r="B268" s="2">
        <v>2020</v>
      </c>
      <c r="C268" s="2">
        <f>COUNTIFS(Games[Team],Games[[#This Row],[Team]],Games[Season],Games[[#This Row],[Season]],Games[Date],"&lt;=" &amp; Games[[#This Row],[Date]])</f>
        <v>23</v>
      </c>
      <c r="D268" s="2" t="s">
        <v>81</v>
      </c>
      <c r="E268" s="2">
        <v>0.5</v>
      </c>
      <c r="F268" s="1" t="s">
        <v>65</v>
      </c>
      <c r="G268" s="1" t="s">
        <v>40</v>
      </c>
      <c r="H268" s="1" t="s">
        <v>86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8" s="2">
        <f>Games[[#This Row],[DaysOff]]-Games[[#This Row],[OppDaysOff]]</f>
        <v>-2</v>
      </c>
      <c r="L268" s="2">
        <f>Games[[#This Row],[OppDaysOff]]-Games[[#This Row],[DaysOff]]</f>
        <v>2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1507.8120267286399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1525.1194980957823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0.42951342927972758</v>
      </c>
      <c r="R268" s="1">
        <v>84</v>
      </c>
      <c r="S268" s="1">
        <v>85</v>
      </c>
      <c r="T268" s="1">
        <v>0</v>
      </c>
      <c r="U268" s="1">
        <f>Games[[#This Row],[PointsFor]]-Games[[#This Row],[PointsAgainst]]</f>
        <v>-1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0.24070796577734799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268" s="9">
        <f>MAX(kmin, kmax - 0.15 * MIN(Games[[#This Row],[GamesPlayed]], 82))</f>
        <v>72.55</v>
      </c>
      <c r="Z268" s="4">
        <f>Games[[#This Row],[K]]*Games[[#This Row],[POMult]]</f>
        <v>76.177499999999995</v>
      </c>
      <c r="AA268" s="4">
        <f>(Games[[#This Row],[Keff]]*Games[[#This Row],[MOVMult]])*(Games[[#This Row],[Result]]-Games[[#This Row],[ExpectedWin%]])</f>
        <v>-7.8757863379650646</v>
      </c>
      <c r="AB268" s="4">
        <f>Games[[#This Row],[PreGmRate]]+Games[[#This Row],[RatingChange]]</f>
        <v>1499.9362403906748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44089</v>
      </c>
      <c r="B269" s="2">
        <v>2020</v>
      </c>
      <c r="C269" s="2">
        <f>COUNTIFS(Games[Team],Games[[#This Row],[Team]],Games[Season],Games[[#This Row],[Season]],Games[Date],"&lt;=" &amp; Games[[#This Row],[Date]])</f>
        <v>23</v>
      </c>
      <c r="D269" s="2" t="s">
        <v>81</v>
      </c>
      <c r="E269" s="2">
        <v>0.5</v>
      </c>
      <c r="F269" s="1" t="s">
        <v>40</v>
      </c>
      <c r="G269" s="1" t="s">
        <v>65</v>
      </c>
      <c r="H269" s="1" t="s">
        <v>86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2</v>
      </c>
      <c r="L269" s="2">
        <f>Games[[#This Row],[OppDaysOff]]-Games[[#This Row],[DaysOff]]</f>
        <v>-2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1525.1194980957823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1507.8120267286399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0.57048657072027242</v>
      </c>
      <c r="R269" s="1">
        <v>85</v>
      </c>
      <c r="S269" s="1">
        <v>84</v>
      </c>
      <c r="T269" s="1">
        <v>0</v>
      </c>
      <c r="U269" s="1">
        <f>Games[[#This Row],[PointsFor]]-Games[[#This Row],[PointsAgainst]]</f>
        <v>1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0.24070796577734799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269" s="9">
        <f>MAX(kmin, kmax - 0.15 * MIN(Games[[#This Row],[GamesPlayed]], 82))</f>
        <v>72.55</v>
      </c>
      <c r="Z269" s="4">
        <f>Games[[#This Row],[K]]*Games[[#This Row],[POMult]]</f>
        <v>76.177499999999995</v>
      </c>
      <c r="AA269" s="4">
        <f>(Games[[#This Row],[Keff]]*Games[[#This Row],[MOVMult]])*(Games[[#This Row],[Result]]-Games[[#This Row],[ExpectedWin%]])</f>
        <v>7.8757863379650646</v>
      </c>
      <c r="AB269" s="4">
        <f>Games[[#This Row],[PreGmRate]]+Games[[#This Row],[RatingChange]]</f>
        <v>1532.9952844337474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44091</v>
      </c>
      <c r="B270" s="2">
        <v>2020</v>
      </c>
      <c r="C270" s="2">
        <f>COUNTIFS(Games[Team],Games[[#This Row],[Team]],Games[Season],Games[[#This Row],[Season]],Games[Date],"&lt;=" &amp; Games[[#This Row],[Date]])</f>
        <v>24</v>
      </c>
      <c r="D270" s="2" t="s">
        <v>81</v>
      </c>
      <c r="E270" s="2">
        <v>1</v>
      </c>
      <c r="F270" s="1" t="s">
        <v>74</v>
      </c>
      <c r="G270" s="1" t="s">
        <v>63</v>
      </c>
      <c r="H270" s="1" t="s">
        <v>86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0" s="2">
        <f>Games[[#This Row],[DaysOff]]-Games[[#This Row],[OppDaysOff]]</f>
        <v>-3</v>
      </c>
      <c r="L270" s="2">
        <f>Games[[#This Row],[OppDaysOff]]-Games[[#This Row],[DaysOff]]</f>
        <v>3</v>
      </c>
      <c r="M270" s="1">
        <f>MAX(-16, MIN(16, Games[[#This Row],[RestDiff]]*8))</f>
        <v>-16</v>
      </c>
      <c r="N270" s="1">
        <f>MAX(-16, MIN(16, Games[[#This Row],[OppRestDiff]]*8))</f>
        <v>16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1543.131742690997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1578.1165745576254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0.4047779971688189</v>
      </c>
      <c r="R270" s="1">
        <v>73</v>
      </c>
      <c r="S270" s="1">
        <v>59</v>
      </c>
      <c r="T270" s="1">
        <v>0</v>
      </c>
      <c r="U270" s="1">
        <f>Games[[#This Row],[PointsFor]]-Games[[#This Row],[PointsAgainst]]</f>
        <v>14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0.47379506949613476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70" s="9">
        <f>MAX(kmin, kmax - 0.15 * MIN(Games[[#This Row],[GamesPlayed]], 82))</f>
        <v>72.400000000000006</v>
      </c>
      <c r="Z270" s="4">
        <f>Games[[#This Row],[K]]*Games[[#This Row],[POMult]]</f>
        <v>79.640000000000015</v>
      </c>
      <c r="AA270" s="4">
        <f>(Games[[#This Row],[Keff]]*Games[[#This Row],[MOVMult]])*(Games[[#This Row],[Result]]-Games[[#This Row],[ExpectedWin%]])</f>
        <v>22.45953524569131</v>
      </c>
      <c r="AB270" s="4">
        <f>Games[[#This Row],[PreGmRate]]+Games[[#This Row],[RatingChange]]</f>
        <v>1565.5912779366884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1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44091</v>
      </c>
      <c r="B271" s="2">
        <v>2020</v>
      </c>
      <c r="C271" s="2">
        <f>COUNTIFS(Games[Team],Games[[#This Row],[Team]],Games[Season],Games[[#This Row],[Season]],Games[Date],"&lt;=" &amp; Games[[#This Row],[Date]])</f>
        <v>23</v>
      </c>
      <c r="D271" s="2" t="s">
        <v>81</v>
      </c>
      <c r="E271" s="2">
        <v>1</v>
      </c>
      <c r="F271" s="1" t="s">
        <v>63</v>
      </c>
      <c r="G271" s="1" t="s">
        <v>74</v>
      </c>
      <c r="H271" s="1" t="s">
        <v>86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3</v>
      </c>
      <c r="L271" s="2">
        <f>Games[[#This Row],[OppDaysOff]]-Games[[#This Row],[DaysOff]]</f>
        <v>-3</v>
      </c>
      <c r="M271" s="1">
        <f>MAX(-16, MIN(16, Games[[#This Row],[RestDiff]]*8))</f>
        <v>16</v>
      </c>
      <c r="N271" s="1">
        <f>MAX(-16, MIN(16, Games[[#This Row],[OppRestDiff]]*8))</f>
        <v>-16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1578.1165745576254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1543.131742690997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0.5952220028311811</v>
      </c>
      <c r="R271" s="1">
        <v>59</v>
      </c>
      <c r="S271" s="1">
        <v>73</v>
      </c>
      <c r="T271" s="1">
        <v>0</v>
      </c>
      <c r="U271" s="1">
        <f>Games[[#This Row],[PointsFor]]-Games[[#This Row],[PointsAgainst]]</f>
        <v>-14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0.47379506949613476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71" s="9">
        <f>MAX(kmin, kmax - 0.15 * MIN(Games[[#This Row],[GamesPlayed]], 82))</f>
        <v>72.55</v>
      </c>
      <c r="Z271" s="4">
        <f>Games[[#This Row],[K]]*Games[[#This Row],[POMult]]</f>
        <v>79.805000000000007</v>
      </c>
      <c r="AA271" s="4">
        <f>(Games[[#This Row],[Keff]]*Games[[#This Row],[MOVMult]])*(Games[[#This Row],[Result]]-Games[[#This Row],[ExpectedWin%]])</f>
        <v>-22.506067431973822</v>
      </c>
      <c r="AB271" s="4">
        <f>Games[[#This Row],[PreGmRate]]+Games[[#This Row],[RatingChange]]</f>
        <v>1555.6105071256516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1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44091</v>
      </c>
      <c r="B272" s="2">
        <v>2020</v>
      </c>
      <c r="C272" s="2">
        <f>COUNTIFS(Games[Team],Games[[#This Row],[Team]],Games[Season],Games[[#This Row],[Season]],Games[Date],"&lt;=" &amp; Games[[#This Row],[Date]])</f>
        <v>24</v>
      </c>
      <c r="D272" s="2" t="s">
        <v>81</v>
      </c>
      <c r="E272" s="2">
        <v>1</v>
      </c>
      <c r="F272" s="1" t="s">
        <v>40</v>
      </c>
      <c r="G272" s="1" t="s">
        <v>67</v>
      </c>
      <c r="H272" s="1" t="s">
        <v>86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2" s="2">
        <f>Games[[#This Row],[DaysOff]]-Games[[#This Row],[OppDaysOff]]</f>
        <v>-3</v>
      </c>
      <c r="L272" s="2">
        <f>Games[[#This Row],[OppDaysOff]]-Games[[#This Row],[DaysOff]]</f>
        <v>3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1532.9952844337474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1561.0924673373131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0.41436555982964118</v>
      </c>
      <c r="R272" s="1">
        <v>79</v>
      </c>
      <c r="S272" s="1">
        <v>80</v>
      </c>
      <c r="T272" s="1">
        <v>0</v>
      </c>
      <c r="U272" s="1">
        <f>Games[[#This Row],[PointsFor]]-Games[[#This Row],[PointsAgainst]]</f>
        <v>-1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0.23859317425155324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72" s="9">
        <f>MAX(kmin, kmax - 0.15 * MIN(Games[[#This Row],[GamesPlayed]], 82))</f>
        <v>72.400000000000006</v>
      </c>
      <c r="Z272" s="4">
        <f>Games[[#This Row],[K]]*Games[[#This Row],[POMult]]</f>
        <v>79.640000000000015</v>
      </c>
      <c r="AA272" s="4">
        <f>(Games[[#This Row],[Keff]]*Games[[#This Row],[MOVMult]])*(Games[[#This Row],[Result]]-Games[[#This Row],[ExpectedWin%]])</f>
        <v>-7.873592211702781</v>
      </c>
      <c r="AB272" s="4">
        <f>Games[[#This Row],[PreGmRate]]+Games[[#This Row],[RatingChange]]</f>
        <v>1525.1216922220447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1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44091</v>
      </c>
      <c r="B273" s="2">
        <v>2020</v>
      </c>
      <c r="C273" s="2">
        <f>COUNTIFS(Games[Team],Games[[#This Row],[Team]],Games[Season],Games[[#This Row],[Season]],Games[Date],"&lt;=" &amp; Games[[#This Row],[Date]])</f>
        <v>23</v>
      </c>
      <c r="D273" s="2" t="s">
        <v>81</v>
      </c>
      <c r="E273" s="2">
        <v>1</v>
      </c>
      <c r="F273" s="1" t="s">
        <v>67</v>
      </c>
      <c r="G273" s="1" t="s">
        <v>40</v>
      </c>
      <c r="H273" s="1" t="s">
        <v>86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3</v>
      </c>
      <c r="L273" s="2">
        <f>Games[[#This Row],[OppDaysOff]]-Games[[#This Row],[DaysOff]]</f>
        <v>-3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1561.0924673373131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1532.9952844337474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0.58563444017035882</v>
      </c>
      <c r="R273" s="1">
        <v>80</v>
      </c>
      <c r="S273" s="1">
        <v>79</v>
      </c>
      <c r="T273" s="1">
        <v>0</v>
      </c>
      <c r="U273" s="1">
        <f>Games[[#This Row],[PointsFor]]-Games[[#This Row],[PointsAgainst]]</f>
        <v>1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0.23859317425155324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273" s="9">
        <f>MAX(kmin, kmax - 0.15 * MIN(Games[[#This Row],[GamesPlayed]], 82))</f>
        <v>72.55</v>
      </c>
      <c r="Z273" s="4">
        <f>Games[[#This Row],[K]]*Games[[#This Row],[POMult]]</f>
        <v>79.805000000000007</v>
      </c>
      <c r="AA273" s="4">
        <f>(Games[[#This Row],[Keff]]*Games[[#This Row],[MOVMult]])*(Games[[#This Row],[Result]]-Games[[#This Row],[ExpectedWin%]])</f>
        <v>7.8899049027491266</v>
      </c>
      <c r="AB273" s="4">
        <f>Games[[#This Row],[PreGmRate]]+Games[[#This Row],[RatingChange]]</f>
        <v>1568.9823722400622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1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44094</v>
      </c>
      <c r="B274" s="2">
        <v>2020</v>
      </c>
      <c r="C274" s="2">
        <f>COUNTIFS(Games[Team],Games[[#This Row],[Team]],Games[Season],Games[[#This Row],[Season]],Games[Date],"&lt;=" &amp; Games[[#This Row],[Date]])</f>
        <v>25</v>
      </c>
      <c r="D274" s="2" t="s">
        <v>81</v>
      </c>
      <c r="E274" s="2">
        <v>2</v>
      </c>
      <c r="F274" s="1" t="s">
        <v>74</v>
      </c>
      <c r="G274" s="1" t="s">
        <v>84</v>
      </c>
      <c r="H274" s="1" t="s">
        <v>86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74" s="2">
        <f>Games[[#This Row],[DaysOff]]-Games[[#This Row],[OppDaysOff]]</f>
        <v>-4</v>
      </c>
      <c r="L274" s="2">
        <f>Games[[#This Row],[OppDaysOff]]-Games[[#This Row],[DaysOff]]</f>
        <v>4</v>
      </c>
      <c r="M274" s="1">
        <f>MAX(-16, MIN(16, Games[[#This Row],[RestDiff]]*8))</f>
        <v>-16</v>
      </c>
      <c r="N274" s="1">
        <f>MAX(-16, MIN(16, Games[[#This Row],[OppRestDiff]]*8))</f>
        <v>16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1565.5912779366884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1679.2017492383325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0.30191375640678608</v>
      </c>
      <c r="R274" s="1">
        <v>87</v>
      </c>
      <c r="S274" s="1">
        <v>62</v>
      </c>
      <c r="T274" s="1">
        <v>0</v>
      </c>
      <c r="U274" s="1">
        <f>Games[[#This Row],[PointsFor]]-Games[[#This Row],[PointsAgainst]]</f>
        <v>25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0.58587659803747227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4" s="9">
        <f>MAX(kmin, kmax - 0.15 * MIN(Games[[#This Row],[GamesPlayed]], 82))</f>
        <v>72.25</v>
      </c>
      <c r="Z274" s="4">
        <f>Games[[#This Row],[K]]*Games[[#This Row],[POMult]]</f>
        <v>86.7</v>
      </c>
      <c r="AA274" s="4">
        <f>(Games[[#This Row],[Keff]]*Games[[#This Row],[MOVMult]])*(Games[[#This Row],[Result]]-Games[[#This Row],[ExpectedWin%]])</f>
        <v>35.459640519324132</v>
      </c>
      <c r="AB274" s="4">
        <f>Games[[#This Row],[PreGmRate]]+Games[[#This Row],[RatingChange]]</f>
        <v>1601.0509184560126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1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44094</v>
      </c>
      <c r="B275" s="2">
        <v>2020</v>
      </c>
      <c r="C275" s="2">
        <f>COUNTIFS(Games[Team],Games[[#This Row],[Team]],Games[Season],Games[[#This Row],[Season]],Games[Date],"&lt;=" &amp; Games[[#This Row],[Date]])</f>
        <v>23</v>
      </c>
      <c r="D275" s="2" t="s">
        <v>81</v>
      </c>
      <c r="E275" s="2">
        <v>2</v>
      </c>
      <c r="F275" s="1" t="s">
        <v>84</v>
      </c>
      <c r="G275" s="1" t="s">
        <v>74</v>
      </c>
      <c r="H275" s="1" t="s">
        <v>86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6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4</v>
      </c>
      <c r="L275" s="2">
        <f>Games[[#This Row],[OppDaysOff]]-Games[[#This Row],[DaysOff]]</f>
        <v>-4</v>
      </c>
      <c r="M275" s="1">
        <f>MAX(-16, MIN(16, Games[[#This Row],[RestDiff]]*8))</f>
        <v>16</v>
      </c>
      <c r="N275" s="1">
        <f>MAX(-16, MIN(16, Games[[#This Row],[OppRestDiff]]*8))</f>
        <v>-16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1679.2017492383325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1565.5912779366884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0.69808624359321392</v>
      </c>
      <c r="R275" s="1">
        <v>62</v>
      </c>
      <c r="S275" s="1">
        <v>87</v>
      </c>
      <c r="T275" s="1">
        <v>0</v>
      </c>
      <c r="U275" s="1">
        <f>Games[[#This Row],[PointsFor]]-Games[[#This Row],[PointsAgainst]]</f>
        <v>-25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0.58587659803747227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5" s="9">
        <f>MAX(kmin, kmax - 0.15 * MIN(Games[[#This Row],[GamesPlayed]], 82))</f>
        <v>72.55</v>
      </c>
      <c r="Z275" s="4">
        <f>Games[[#This Row],[K]]*Games[[#This Row],[POMult]]</f>
        <v>87.059999999999988</v>
      </c>
      <c r="AA275" s="4">
        <f>(Games[[#This Row],[Keff]]*Games[[#This Row],[MOVMult]])*(Games[[#This Row],[Result]]-Games[[#This Row],[ExpectedWin%]])</f>
        <v>-35.606877780996065</v>
      </c>
      <c r="AB275" s="4">
        <f>Games[[#This Row],[PreGmRate]]+Games[[#This Row],[RatingChange]]</f>
        <v>1643.5948714573365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1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44096</v>
      </c>
      <c r="B276" s="2">
        <v>2020</v>
      </c>
      <c r="C276" s="2">
        <f>COUNTIFS(Games[Team],Games[[#This Row],[Team]],Games[Season],Games[[#This Row],[Season]],Games[Date],"&lt;=" &amp; Games[[#This Row],[Date]])</f>
        <v>26</v>
      </c>
      <c r="D276" s="2" t="s">
        <v>81</v>
      </c>
      <c r="E276" s="2">
        <v>2</v>
      </c>
      <c r="F276" s="1" t="s">
        <v>74</v>
      </c>
      <c r="G276" s="1" t="s">
        <v>84</v>
      </c>
      <c r="H276" s="1" t="s">
        <v>86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1601.0509184560126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1643.5948714573365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0.43907851835070405</v>
      </c>
      <c r="R276" s="1">
        <v>75</v>
      </c>
      <c r="S276" s="1">
        <v>83</v>
      </c>
      <c r="T276" s="1">
        <v>0</v>
      </c>
      <c r="U276" s="1">
        <f>Games[[#This Row],[PointsFor]]-Games[[#This Row],[PointsAgainst]]</f>
        <v>-8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0.37501984608113909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6" s="9">
        <f>MAX(kmin, kmax - 0.15 * MIN(Games[[#This Row],[GamesPlayed]], 82))</f>
        <v>72.099999999999994</v>
      </c>
      <c r="Z276" s="4">
        <f>Games[[#This Row],[K]]*Games[[#This Row],[POMult]]</f>
        <v>86.52</v>
      </c>
      <c r="AA276" s="4">
        <f>(Games[[#This Row],[Keff]]*Games[[#This Row],[MOVMult]])*(Games[[#This Row],[Result]]-Games[[#This Row],[ExpectedWin%]])</f>
        <v>-14.246656462121841</v>
      </c>
      <c r="AB276" s="4">
        <f>Games[[#This Row],[PreGmRate]]+Games[[#This Row],[RatingChange]]</f>
        <v>1586.8042619938908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1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44096</v>
      </c>
      <c r="B277" s="2">
        <v>2020</v>
      </c>
      <c r="C277" s="2">
        <f>COUNTIFS(Games[Team],Games[[#This Row],[Team]],Games[Season],Games[[#This Row],[Season]],Games[Date],"&lt;=" &amp; Games[[#This Row],[Date]])</f>
        <v>24</v>
      </c>
      <c r="D277" s="2" t="s">
        <v>81</v>
      </c>
      <c r="E277" s="2">
        <v>2</v>
      </c>
      <c r="F277" s="1" t="s">
        <v>84</v>
      </c>
      <c r="G277" s="1" t="s">
        <v>74</v>
      </c>
      <c r="H277" s="1" t="s">
        <v>86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1643.5948714573365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1601.0509184560126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0.56092148164929601</v>
      </c>
      <c r="R277" s="1">
        <v>83</v>
      </c>
      <c r="S277" s="1">
        <v>75</v>
      </c>
      <c r="T277" s="1">
        <v>0</v>
      </c>
      <c r="U277" s="1">
        <f>Games[[#This Row],[PointsFor]]-Games[[#This Row],[PointsAgainst]]</f>
        <v>8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0.37501984608113909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7" s="9">
        <f>MAX(kmin, kmax - 0.15 * MIN(Games[[#This Row],[GamesPlayed]], 82))</f>
        <v>72.400000000000006</v>
      </c>
      <c r="Z277" s="4">
        <f>Games[[#This Row],[K]]*Games[[#This Row],[POMult]]</f>
        <v>86.88000000000001</v>
      </c>
      <c r="AA277" s="4">
        <f>(Games[[#This Row],[Keff]]*Games[[#This Row],[MOVMult]])*(Games[[#This Row],[Result]]-Games[[#This Row],[ExpectedWin%]])</f>
        <v>14.305935199134831</v>
      </c>
      <c r="AB277" s="4">
        <f>Games[[#This Row],[PreGmRate]]+Games[[#This Row],[RatingChange]]</f>
        <v>1657.9008066564713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1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44096</v>
      </c>
      <c r="B278" s="2">
        <v>2020</v>
      </c>
      <c r="C278" s="2">
        <f>COUNTIFS(Games[Team],Games[[#This Row],[Team]],Games[Season],Games[[#This Row],[Season]],Games[Date],"&lt;=" &amp; Games[[#This Row],[Date]])</f>
        <v>24</v>
      </c>
      <c r="D278" s="2" t="s">
        <v>81</v>
      </c>
      <c r="E278" s="2">
        <v>2</v>
      </c>
      <c r="F278" s="1" t="s">
        <v>67</v>
      </c>
      <c r="G278" s="1" t="s">
        <v>71</v>
      </c>
      <c r="H278" s="1" t="s">
        <v>86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78" s="2">
        <f>Games[[#This Row],[DaysOff]]-Games[[#This Row],[OppDaysOff]]</f>
        <v>-4</v>
      </c>
      <c r="L278" s="2">
        <f>Games[[#This Row],[OppDaysOff]]-Games[[#This Row],[DaysOff]]</f>
        <v>4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1568.9823722400622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1670.528190586195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0.31674923803487243</v>
      </c>
      <c r="R278" s="1">
        <v>86</v>
      </c>
      <c r="S278" s="1">
        <v>88</v>
      </c>
      <c r="T278" s="1">
        <v>0</v>
      </c>
      <c r="U278" s="1">
        <f>Games[[#This Row],[PointsFor]]-Games[[#This Row],[PointsAgainst]]</f>
        <v>-2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0.24694450279131719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8" s="9">
        <f>MAX(kmin, kmax - 0.15 * MIN(Games[[#This Row],[GamesPlayed]], 82))</f>
        <v>72.400000000000006</v>
      </c>
      <c r="Z278" s="4">
        <f>Games[[#This Row],[K]]*Games[[#This Row],[POMult]]</f>
        <v>86.88000000000001</v>
      </c>
      <c r="AA278" s="4">
        <f>(Games[[#This Row],[Keff]]*Games[[#This Row],[MOVMult]])*(Games[[#This Row],[Result]]-Games[[#This Row],[ExpectedWin%]])</f>
        <v>-6.7957086913848377</v>
      </c>
      <c r="AB278" s="4">
        <f>Games[[#This Row],[PreGmRate]]+Games[[#This Row],[RatingChange]]</f>
        <v>1562.1866635486774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1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44096</v>
      </c>
      <c r="B279" s="2">
        <v>2020</v>
      </c>
      <c r="C279" s="2">
        <f>COUNTIFS(Games[Team],Games[[#This Row],[Team]],Games[Season],Games[[#This Row],[Season]],Games[Date],"&lt;=" &amp; Games[[#This Row],[Date]])</f>
        <v>23</v>
      </c>
      <c r="D279" s="2" t="s">
        <v>81</v>
      </c>
      <c r="E279" s="2">
        <v>2</v>
      </c>
      <c r="F279" s="1" t="s">
        <v>71</v>
      </c>
      <c r="G279" s="1" t="s">
        <v>67</v>
      </c>
      <c r="H279" s="1" t="s">
        <v>86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8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9" s="2">
        <f>Games[[#This Row],[DaysOff]]-Games[[#This Row],[OppDaysOff]]</f>
        <v>4</v>
      </c>
      <c r="L279" s="2">
        <f>Games[[#This Row],[OppDaysOff]]-Games[[#This Row],[DaysOff]]</f>
        <v>-4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1670.528190586195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1568.9823722400622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0.68325076196512768</v>
      </c>
      <c r="R279" s="1">
        <v>88</v>
      </c>
      <c r="S279" s="1">
        <v>86</v>
      </c>
      <c r="T279" s="1">
        <v>0</v>
      </c>
      <c r="U279" s="1">
        <f>Games[[#This Row],[PointsFor]]-Games[[#This Row],[PointsAgainst]]</f>
        <v>2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0.24694450279131719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79" s="9">
        <f>MAX(kmin, kmax - 0.15 * MIN(Games[[#This Row],[GamesPlayed]], 82))</f>
        <v>72.55</v>
      </c>
      <c r="Z279" s="4">
        <f>Games[[#This Row],[K]]*Games[[#This Row],[POMult]]</f>
        <v>87.059999999999988</v>
      </c>
      <c r="AA279" s="4">
        <f>(Games[[#This Row],[Keff]]*Games[[#This Row],[MOVMult]])*(Games[[#This Row],[Result]]-Games[[#This Row],[ExpectedWin%]])</f>
        <v>6.8097881983421225</v>
      </c>
      <c r="AB279" s="4">
        <f>Games[[#This Row],[PreGmRate]]+Games[[#This Row],[RatingChange]]</f>
        <v>1677.3379787845372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1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44098</v>
      </c>
      <c r="B280" s="2">
        <v>2020</v>
      </c>
      <c r="C280" s="2">
        <f>COUNTIFS(Games[Team],Games[[#This Row],[Team]],Games[Season],Games[[#This Row],[Season]],Games[Date],"&lt;=" &amp; Games[[#This Row],[Date]])</f>
        <v>25</v>
      </c>
      <c r="D280" s="2" t="s">
        <v>81</v>
      </c>
      <c r="E280" s="2">
        <v>2</v>
      </c>
      <c r="F280" s="1" t="s">
        <v>84</v>
      </c>
      <c r="G280" s="1" t="s">
        <v>74</v>
      </c>
      <c r="H280" s="1" t="s">
        <v>86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1657.9008066564713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1586.8042619938908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0.60091153296241695</v>
      </c>
      <c r="R280" s="1">
        <v>68</v>
      </c>
      <c r="S280" s="1">
        <v>77</v>
      </c>
      <c r="T280" s="1">
        <v>0</v>
      </c>
      <c r="U280" s="1">
        <f>Games[[#This Row],[PointsFor]]-Games[[#This Row],[PointsAgainst]]</f>
        <v>-9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0.3832642253826693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0" s="9">
        <f>MAX(kmin, kmax - 0.15 * MIN(Games[[#This Row],[GamesPlayed]], 82))</f>
        <v>72.25</v>
      </c>
      <c r="Z280" s="4">
        <f>Games[[#This Row],[K]]*Games[[#This Row],[POMult]]</f>
        <v>86.7</v>
      </c>
      <c r="AA280" s="4">
        <f>(Games[[#This Row],[Keff]]*Games[[#This Row],[MOVMult]])*(Games[[#This Row],[Result]]-Games[[#This Row],[ExpectedWin%]])</f>
        <v>-19.967694340817413</v>
      </c>
      <c r="AB280" s="4">
        <f>Games[[#This Row],[PreGmRate]]+Games[[#This Row],[RatingChange]]</f>
        <v>1637.9331123156539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1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44098</v>
      </c>
      <c r="B281" s="2">
        <v>2020</v>
      </c>
      <c r="C281" s="2">
        <f>COUNTIFS(Games[Team],Games[[#This Row],[Team]],Games[Season],Games[[#This Row],[Season]],Games[Date],"&lt;=" &amp; Games[[#This Row],[Date]])</f>
        <v>27</v>
      </c>
      <c r="D281" s="2" t="s">
        <v>81</v>
      </c>
      <c r="E281" s="2">
        <v>2</v>
      </c>
      <c r="F281" s="1" t="s">
        <v>74</v>
      </c>
      <c r="G281" s="1" t="s">
        <v>84</v>
      </c>
      <c r="H281" s="1" t="s">
        <v>86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1586.8042619938908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1657.9008066564713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0.39908846703758305</v>
      </c>
      <c r="R281" s="1">
        <v>77</v>
      </c>
      <c r="S281" s="1">
        <v>68</v>
      </c>
      <c r="T281" s="1">
        <v>0</v>
      </c>
      <c r="U281" s="1">
        <f>Games[[#This Row],[PointsFor]]-Games[[#This Row],[PointsAgainst]]</f>
        <v>9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0.3832642253826693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1" s="9">
        <f>MAX(kmin, kmax - 0.15 * MIN(Games[[#This Row],[GamesPlayed]], 82))</f>
        <v>71.95</v>
      </c>
      <c r="Z281" s="4">
        <f>Games[[#This Row],[K]]*Games[[#This Row],[POMult]]</f>
        <v>86.34</v>
      </c>
      <c r="AA281" s="4">
        <f>(Games[[#This Row],[Keff]]*Games[[#This Row],[MOVMult]])*(Games[[#This Row],[Result]]-Games[[#This Row],[ExpectedWin%]])</f>
        <v>19.884783499263847</v>
      </c>
      <c r="AB281" s="4">
        <f>Games[[#This Row],[PreGmRate]]+Games[[#This Row],[RatingChange]]</f>
        <v>1606.6890454931547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1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44098</v>
      </c>
      <c r="B282" s="2">
        <v>2020</v>
      </c>
      <c r="C282" s="2">
        <f>COUNTIFS(Games[Team],Games[[#This Row],[Team]],Games[Season],Games[[#This Row],[Season]],Games[Date],"&lt;=" &amp; Games[[#This Row],[Date]])</f>
        <v>25</v>
      </c>
      <c r="D282" s="2" t="s">
        <v>81</v>
      </c>
      <c r="E282" s="2">
        <v>2</v>
      </c>
      <c r="F282" s="1" t="s">
        <v>67</v>
      </c>
      <c r="G282" s="1" t="s">
        <v>71</v>
      </c>
      <c r="H282" s="1" t="s">
        <v>86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1562.1866635486774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1677.3379787845372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0.34009649025700983</v>
      </c>
      <c r="R282" s="1">
        <v>79</v>
      </c>
      <c r="S282" s="1">
        <v>89</v>
      </c>
      <c r="T282" s="1">
        <v>0</v>
      </c>
      <c r="U282" s="1">
        <f>Games[[#This Row],[PointsFor]]-Games[[#This Row],[PointsAgainst]]</f>
        <v>-10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0.38608153549820207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2" s="9">
        <f>MAX(kmin, kmax - 0.15 * MIN(Games[[#This Row],[GamesPlayed]], 82))</f>
        <v>72.25</v>
      </c>
      <c r="Z282" s="4">
        <f>Games[[#This Row],[K]]*Games[[#This Row],[POMult]]</f>
        <v>86.7</v>
      </c>
      <c r="AA282" s="4">
        <f>(Games[[#This Row],[Keff]]*Games[[#This Row],[MOVMult]])*(Games[[#This Row],[Result]]-Games[[#This Row],[ExpectedWin%]])</f>
        <v>-11.38414134775709</v>
      </c>
      <c r="AB282" s="4">
        <f>Games[[#This Row],[PreGmRate]]+Games[[#This Row],[RatingChange]]</f>
        <v>1550.8025222009203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1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44098</v>
      </c>
      <c r="B283" s="2">
        <v>2020</v>
      </c>
      <c r="C283" s="2">
        <f>COUNTIFS(Games[Team],Games[[#This Row],[Team]],Games[Season],Games[[#This Row],[Season]],Games[Date],"&lt;=" &amp; Games[[#This Row],[Date]])</f>
        <v>24</v>
      </c>
      <c r="D283" s="2" t="s">
        <v>81</v>
      </c>
      <c r="E283" s="2">
        <v>2</v>
      </c>
      <c r="F283" s="1" t="s">
        <v>71</v>
      </c>
      <c r="G283" s="1" t="s">
        <v>67</v>
      </c>
      <c r="H283" s="1" t="s">
        <v>86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1677.3379787845372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1562.1866635486774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0.65990350974299017</v>
      </c>
      <c r="R283" s="1">
        <v>89</v>
      </c>
      <c r="S283" s="1">
        <v>79</v>
      </c>
      <c r="T283" s="1">
        <v>0</v>
      </c>
      <c r="U283" s="1">
        <f>Games[[#This Row],[PointsFor]]-Games[[#This Row],[PointsAgainst]]</f>
        <v>10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0.38608153549820207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3" s="9">
        <f>MAX(kmin, kmax - 0.15 * MIN(Games[[#This Row],[GamesPlayed]], 82))</f>
        <v>72.400000000000006</v>
      </c>
      <c r="Z283" s="4">
        <f>Games[[#This Row],[K]]*Games[[#This Row],[POMult]]</f>
        <v>86.88000000000001</v>
      </c>
      <c r="AA283" s="4">
        <f>(Games[[#This Row],[Keff]]*Games[[#This Row],[MOVMult]])*(Games[[#This Row],[Result]]-Games[[#This Row],[ExpectedWin%]])</f>
        <v>11.407776243288767</v>
      </c>
      <c r="AB283" s="4">
        <f>Games[[#This Row],[PreGmRate]]+Games[[#This Row],[RatingChange]]</f>
        <v>1688.7457550278259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1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44101</v>
      </c>
      <c r="B284" s="2">
        <v>2020</v>
      </c>
      <c r="C284" s="2">
        <f>COUNTIFS(Games[Team],Games[[#This Row],[Team]],Games[Season],Games[[#This Row],[Season]],Games[Date],"&lt;=" &amp; Games[[#This Row],[Date]])</f>
        <v>26</v>
      </c>
      <c r="D284" s="2" t="s">
        <v>81</v>
      </c>
      <c r="E284" s="2">
        <v>2</v>
      </c>
      <c r="F284" s="1" t="s">
        <v>84</v>
      </c>
      <c r="G284" s="1" t="s">
        <v>74</v>
      </c>
      <c r="H284" s="1" t="s">
        <v>86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1637.9331123156539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1606.6890454931547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0.54484301013918135</v>
      </c>
      <c r="R284" s="1">
        <v>84</v>
      </c>
      <c r="S284" s="1">
        <v>75</v>
      </c>
      <c r="T284" s="1">
        <v>0</v>
      </c>
      <c r="U284" s="1">
        <f>Games[[#This Row],[PointsFor]]-Games[[#This Row],[PointsAgainst]]</f>
        <v>9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0.39566958794281287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4" s="9">
        <f>MAX(kmin, kmax - 0.15 * MIN(Games[[#This Row],[GamesPlayed]], 82))</f>
        <v>72.099999999999994</v>
      </c>
      <c r="Z284" s="4">
        <f>Games[[#This Row],[K]]*Games[[#This Row],[POMult]]</f>
        <v>86.52</v>
      </c>
      <c r="AA284" s="4">
        <f>(Games[[#This Row],[Keff]]*Games[[#This Row],[MOVMult]])*(Games[[#This Row],[Result]]-Games[[#This Row],[ExpectedWin%]])</f>
        <v>15.581540686853131</v>
      </c>
      <c r="AB284" s="4">
        <f>Games[[#This Row],[PreGmRate]]+Games[[#This Row],[RatingChange]]</f>
        <v>1653.514653002507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1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44101</v>
      </c>
      <c r="B285" s="2">
        <v>2020</v>
      </c>
      <c r="C285" s="2">
        <f>COUNTIFS(Games[Team],Games[[#This Row],[Team]],Games[Season],Games[[#This Row],[Season]],Games[Date],"&lt;=" &amp; Games[[#This Row],[Date]])</f>
        <v>28</v>
      </c>
      <c r="D285" s="2" t="s">
        <v>81</v>
      </c>
      <c r="E285" s="2">
        <v>2</v>
      </c>
      <c r="F285" s="1" t="s">
        <v>74</v>
      </c>
      <c r="G285" s="1" t="s">
        <v>84</v>
      </c>
      <c r="H285" s="1" t="s">
        <v>86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1606.6890454931547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1637.9331123156539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0.45515698986081854</v>
      </c>
      <c r="R285" s="1">
        <v>75</v>
      </c>
      <c r="S285" s="1">
        <v>84</v>
      </c>
      <c r="T285" s="1">
        <v>0</v>
      </c>
      <c r="U285" s="1">
        <f>Games[[#This Row],[PointsFor]]-Games[[#This Row],[PointsAgainst]]</f>
        <v>-9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0.39566958794281287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5" s="9">
        <f>MAX(kmin, kmax - 0.15 * MIN(Games[[#This Row],[GamesPlayed]], 82))</f>
        <v>71.8</v>
      </c>
      <c r="Z285" s="4">
        <f>Games[[#This Row],[K]]*Games[[#This Row],[POMult]]</f>
        <v>86.16</v>
      </c>
      <c r="AA285" s="4">
        <f>(Games[[#This Row],[Keff]]*Games[[#This Row],[MOVMult]])*(Games[[#This Row],[Result]]-Games[[#This Row],[ExpectedWin%]])</f>
        <v>-15.51670764654722</v>
      </c>
      <c r="AB285" s="4">
        <f>Games[[#This Row],[PreGmRate]]+Games[[#This Row],[RatingChange]]</f>
        <v>1591.1723378466074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1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44101</v>
      </c>
      <c r="B286" s="2">
        <v>2020</v>
      </c>
      <c r="C286" s="2">
        <f>COUNTIFS(Games[Team],Games[[#This Row],[Team]],Games[Season],Games[[#This Row],[Season]],Games[Date],"&lt;=" &amp; Games[[#This Row],[Date]])</f>
        <v>25</v>
      </c>
      <c r="D286" s="2" t="s">
        <v>81</v>
      </c>
      <c r="E286" s="2">
        <v>2</v>
      </c>
      <c r="F286" s="1" t="s">
        <v>71</v>
      </c>
      <c r="G286" s="1" t="s">
        <v>67</v>
      </c>
      <c r="H286" s="1" t="s">
        <v>86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1688.7457550278259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1550.8025222009203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0.68870351470739477</v>
      </c>
      <c r="R286" s="1">
        <v>92</v>
      </c>
      <c r="S286" s="1">
        <v>71</v>
      </c>
      <c r="T286" s="1">
        <v>0</v>
      </c>
      <c r="U286" s="1">
        <f>Games[[#This Row],[PointsFor]]-Games[[#This Row],[PointsAgainst]]</f>
        <v>21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0.52789350848060979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6" s="9">
        <f>MAX(kmin, kmax - 0.15 * MIN(Games[[#This Row],[GamesPlayed]], 82))</f>
        <v>72.25</v>
      </c>
      <c r="Z286" s="4">
        <f>Games[[#This Row],[K]]*Games[[#This Row],[POMult]]</f>
        <v>86.7</v>
      </c>
      <c r="AA286" s="4">
        <f>(Games[[#This Row],[Keff]]*Games[[#This Row],[MOVMult]])*(Games[[#This Row],[Result]]-Games[[#This Row],[ExpectedWin%]])</f>
        <v>14.247531842355608</v>
      </c>
      <c r="AB286" s="4">
        <f>Games[[#This Row],[PreGmRate]]+Games[[#This Row],[RatingChange]]</f>
        <v>1702.9932868701815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1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44101</v>
      </c>
      <c r="B287" s="2">
        <v>2020</v>
      </c>
      <c r="C287" s="2">
        <f>COUNTIFS(Games[Team],Games[[#This Row],[Team]],Games[Season],Games[[#This Row],[Season]],Games[Date],"&lt;=" &amp; Games[[#This Row],[Date]])</f>
        <v>26</v>
      </c>
      <c r="D287" s="2" t="s">
        <v>81</v>
      </c>
      <c r="E287" s="2">
        <v>2</v>
      </c>
      <c r="F287" s="1" t="s">
        <v>67</v>
      </c>
      <c r="G287" s="1" t="s">
        <v>71</v>
      </c>
      <c r="H287" s="1" t="s">
        <v>86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1550.8025222009203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1688.7457550278259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0.31129648529260529</v>
      </c>
      <c r="R287" s="1">
        <v>71</v>
      </c>
      <c r="S287" s="1">
        <v>92</v>
      </c>
      <c r="T287" s="1">
        <v>0</v>
      </c>
      <c r="U287" s="1">
        <f>Games[[#This Row],[PointsFor]]-Games[[#This Row],[PointsAgainst]]</f>
        <v>-21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0.52789350848060979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7" s="9">
        <f>MAX(kmin, kmax - 0.15 * MIN(Games[[#This Row],[GamesPlayed]], 82))</f>
        <v>72.099999999999994</v>
      </c>
      <c r="Z287" s="4">
        <f>Games[[#This Row],[K]]*Games[[#This Row],[POMult]]</f>
        <v>86.52</v>
      </c>
      <c r="AA287" s="4">
        <f>(Games[[#This Row],[Keff]]*Games[[#This Row],[MOVMult]])*(Games[[#This Row],[Result]]-Games[[#This Row],[ExpectedWin%]])</f>
        <v>-14.217952191471824</v>
      </c>
      <c r="AB287" s="4">
        <f>Games[[#This Row],[PreGmRate]]+Games[[#This Row],[RatingChange]]</f>
        <v>1536.5845700094485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1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44103</v>
      </c>
      <c r="B288" s="2">
        <v>2020</v>
      </c>
      <c r="C288" s="2">
        <f>COUNTIFS(Games[Team],Games[[#This Row],[Team]],Games[Season],Games[[#This Row],[Season]],Games[Date],"&lt;=" &amp; Games[[#This Row],[Date]])</f>
        <v>29</v>
      </c>
      <c r="D288" s="2" t="s">
        <v>81</v>
      </c>
      <c r="E288" s="2">
        <v>2</v>
      </c>
      <c r="F288" s="1" t="s">
        <v>74</v>
      </c>
      <c r="G288" s="1" t="s">
        <v>84</v>
      </c>
      <c r="H288" s="1" t="s">
        <v>86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1591.1723378466074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1653.514653002507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0.41123284067446847</v>
      </c>
      <c r="R288" s="1">
        <v>63</v>
      </c>
      <c r="S288" s="1">
        <v>66</v>
      </c>
      <c r="T288" s="1">
        <v>0</v>
      </c>
      <c r="U288" s="1">
        <f>Games[[#This Row],[PointsFor]]-Games[[#This Row],[PointsAgainst]]</f>
        <v>-3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0.27585245391654672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8" s="9">
        <f>MAX(kmin, kmax - 0.15 * MIN(Games[[#This Row],[GamesPlayed]], 82))</f>
        <v>71.650000000000006</v>
      </c>
      <c r="Z288" s="4">
        <f>Games[[#This Row],[K]]*Games[[#This Row],[POMult]]</f>
        <v>85.98</v>
      </c>
      <c r="AA288" s="4">
        <f>(Games[[#This Row],[Keff]]*Games[[#This Row],[MOVMult]])*(Games[[#This Row],[Result]]-Games[[#This Row],[ExpectedWin%]])</f>
        <v>-9.753535796112077</v>
      </c>
      <c r="AB288" s="4">
        <f>Games[[#This Row],[PreGmRate]]+Games[[#This Row],[RatingChange]]</f>
        <v>1581.4188020504953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1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44103</v>
      </c>
      <c r="B289" s="2">
        <v>2020</v>
      </c>
      <c r="C289" s="2">
        <f>COUNTIFS(Games[Team],Games[[#This Row],[Team]],Games[Season],Games[[#This Row],[Season]],Games[Date],"&lt;=" &amp; Games[[#This Row],[Date]])</f>
        <v>27</v>
      </c>
      <c r="D289" s="2" t="s">
        <v>81</v>
      </c>
      <c r="E289" s="2">
        <v>2</v>
      </c>
      <c r="F289" s="1" t="s">
        <v>84</v>
      </c>
      <c r="G289" s="1" t="s">
        <v>74</v>
      </c>
      <c r="H289" s="1" t="s">
        <v>86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1653.514653002507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1591.1723378466074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0.58876715932553159</v>
      </c>
      <c r="R289" s="1">
        <v>66</v>
      </c>
      <c r="S289" s="1">
        <v>63</v>
      </c>
      <c r="T289" s="1">
        <v>0</v>
      </c>
      <c r="U289" s="1">
        <f>Games[[#This Row],[PointsFor]]-Games[[#This Row],[PointsAgainst]]</f>
        <v>3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0.27585245391654672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289" s="9">
        <f>MAX(kmin, kmax - 0.15 * MIN(Games[[#This Row],[GamesPlayed]], 82))</f>
        <v>71.95</v>
      </c>
      <c r="Z289" s="4">
        <f>Games[[#This Row],[K]]*Games[[#This Row],[POMult]]</f>
        <v>86.34</v>
      </c>
      <c r="AA289" s="4">
        <f>(Games[[#This Row],[Keff]]*Games[[#This Row],[MOVMult]])*(Games[[#This Row],[Result]]-Games[[#This Row],[ExpectedWin%]])</f>
        <v>9.7943740478752801</v>
      </c>
      <c r="AB289" s="4">
        <f>Games[[#This Row],[PreGmRate]]+Games[[#This Row],[RatingChange]]</f>
        <v>1663.3090270503822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1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44106</v>
      </c>
      <c r="B290" s="2">
        <v>2020</v>
      </c>
      <c r="C290" s="2">
        <f>COUNTIFS(Games[Team],Games[[#This Row],[Team]],Games[Season],Games[[#This Row],[Season]],Games[Date],"&lt;=" &amp; Games[[#This Row],[Date]])</f>
        <v>26</v>
      </c>
      <c r="D290" s="2" t="s">
        <v>81</v>
      </c>
      <c r="E290" s="2">
        <v>3</v>
      </c>
      <c r="F290" s="1" t="s">
        <v>71</v>
      </c>
      <c r="G290" s="1" t="s">
        <v>84</v>
      </c>
      <c r="H290" s="1" t="s">
        <v>86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2</v>
      </c>
      <c r="L290" s="2">
        <f>Games[[#This Row],[OppDaysOff]]-Games[[#This Row],[DaysOff]]</f>
        <v>-2</v>
      </c>
      <c r="M290" s="1">
        <f>MAX(-16, MIN(16, Games[[#This Row],[RestDiff]]*8))</f>
        <v>16</v>
      </c>
      <c r="N290" s="1">
        <f>MAX(-16, MIN(16, Games[[#This Row],[OppRestDiff]]*8))</f>
        <v>-16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1702.9932868701815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1663.3090270503822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0.60172259420506302</v>
      </c>
      <c r="R290" s="1">
        <v>93</v>
      </c>
      <c r="S290" s="1">
        <v>80</v>
      </c>
      <c r="T290" s="1">
        <v>0</v>
      </c>
      <c r="U290" s="1">
        <f>Games[[#This Row],[PointsFor]]-Games[[#This Row],[PointsAgainst]]</f>
        <v>13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0.45693288616835442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0" s="9">
        <f>MAX(kmin, kmax - 0.15 * MIN(Games[[#This Row],[GamesPlayed]], 82))</f>
        <v>72.099999999999994</v>
      </c>
      <c r="Z290" s="4">
        <f>Games[[#This Row],[K]]*Games[[#This Row],[POMult]]</f>
        <v>97.334999999999994</v>
      </c>
      <c r="AA290" s="4">
        <f>(Games[[#This Row],[Keff]]*Games[[#This Row],[MOVMult]])*(Games[[#This Row],[Result]]-Games[[#This Row],[ExpectedWin%]])</f>
        <v>17.713611643892019</v>
      </c>
      <c r="AB290" s="4">
        <f>Games[[#This Row],[PreGmRate]]+Games[[#This Row],[RatingChange]]</f>
        <v>1720.7068985140734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1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44106</v>
      </c>
      <c r="B291" s="2">
        <v>2020</v>
      </c>
      <c r="C291" s="2">
        <f>COUNTIFS(Games[Team],Games[[#This Row],[Team]],Games[Season],Games[[#This Row],[Season]],Games[Date],"&lt;=" &amp; Games[[#This Row],[Date]])</f>
        <v>28</v>
      </c>
      <c r="D291" s="2" t="s">
        <v>81</v>
      </c>
      <c r="E291" s="2">
        <v>3</v>
      </c>
      <c r="F291" s="1" t="s">
        <v>84</v>
      </c>
      <c r="G291" s="1" t="s">
        <v>71</v>
      </c>
      <c r="H291" s="1" t="s">
        <v>86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1" s="2">
        <f>Games[[#This Row],[DaysOff]]-Games[[#This Row],[OppDaysOff]]</f>
        <v>-2</v>
      </c>
      <c r="L291" s="2">
        <f>Games[[#This Row],[OppDaysOff]]-Games[[#This Row],[DaysOff]]</f>
        <v>2</v>
      </c>
      <c r="M291" s="1">
        <f>MAX(-16, MIN(16, Games[[#This Row],[RestDiff]]*8))</f>
        <v>-16</v>
      </c>
      <c r="N291" s="1">
        <f>MAX(-16, MIN(16, Games[[#This Row],[OppRestDiff]]*8))</f>
        <v>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1663.3090270503822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1702.9932868701815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0.39827740579493698</v>
      </c>
      <c r="R291" s="1">
        <v>80</v>
      </c>
      <c r="S291" s="1">
        <v>93</v>
      </c>
      <c r="T291" s="1">
        <v>0</v>
      </c>
      <c r="U291" s="1">
        <f>Games[[#This Row],[PointsFor]]-Games[[#This Row],[PointsAgainst]]</f>
        <v>-13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0.45693288616835442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1" s="9">
        <f>MAX(kmin, kmax - 0.15 * MIN(Games[[#This Row],[GamesPlayed]], 82))</f>
        <v>71.8</v>
      </c>
      <c r="Z291" s="4">
        <f>Games[[#This Row],[K]]*Games[[#This Row],[POMult]]</f>
        <v>96.93</v>
      </c>
      <c r="AA291" s="4">
        <f>(Games[[#This Row],[Keff]]*Games[[#This Row],[MOVMult]])*(Games[[#This Row],[Result]]-Games[[#This Row],[ExpectedWin%]])</f>
        <v>-17.639907295859182</v>
      </c>
      <c r="AB291" s="4">
        <f>Games[[#This Row],[PreGmRate]]+Games[[#This Row],[RatingChange]]</f>
        <v>1645.6691197545231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1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44108</v>
      </c>
      <c r="B292" s="2">
        <v>2020</v>
      </c>
      <c r="C292" s="2">
        <f>COUNTIFS(Games[Team],Games[[#This Row],[Team]],Games[Season],Games[[#This Row],[Season]],Games[Date],"&lt;=" &amp; Games[[#This Row],[Date]])</f>
        <v>27</v>
      </c>
      <c r="D292" s="2" t="s">
        <v>81</v>
      </c>
      <c r="E292" s="2">
        <v>3</v>
      </c>
      <c r="F292" s="1" t="s">
        <v>71</v>
      </c>
      <c r="G292" s="1" t="s">
        <v>84</v>
      </c>
      <c r="H292" s="1" t="s">
        <v>86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1720.7068985140734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1645.6691197545231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0.60633973378720463</v>
      </c>
      <c r="R292" s="1">
        <v>104</v>
      </c>
      <c r="S292" s="1">
        <v>91</v>
      </c>
      <c r="T292" s="1">
        <v>0</v>
      </c>
      <c r="U292" s="1">
        <f>Games[[#This Row],[PointsFor]]-Games[[#This Row],[PointsAgainst]]</f>
        <v>13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0.44426331220399395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2" s="9">
        <f>MAX(kmin, kmax - 0.15 * MIN(Games[[#This Row],[GamesPlayed]], 82))</f>
        <v>71.95</v>
      </c>
      <c r="Z292" s="4">
        <f>Games[[#This Row],[K]]*Games[[#This Row],[POMult]]</f>
        <v>97.132500000000007</v>
      </c>
      <c r="AA292" s="4">
        <f>(Games[[#This Row],[Keff]]*Games[[#This Row],[MOVMult]])*(Games[[#This Row],[Result]]-Games[[#This Row],[ExpectedWin%]])</f>
        <v>16.987387701649823</v>
      </c>
      <c r="AB292" s="4">
        <f>Games[[#This Row],[PreGmRate]]+Games[[#This Row],[RatingChange]]</f>
        <v>1737.6942862157232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1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44108</v>
      </c>
      <c r="B293" s="2">
        <v>2020</v>
      </c>
      <c r="C293" s="2">
        <f>COUNTIFS(Games[Team],Games[[#This Row],[Team]],Games[Season],Games[[#This Row],[Season]],Games[Date],"&lt;=" &amp; Games[[#This Row],[Date]])</f>
        <v>29</v>
      </c>
      <c r="D293" s="2" t="s">
        <v>81</v>
      </c>
      <c r="E293" s="2">
        <v>3</v>
      </c>
      <c r="F293" s="1" t="s">
        <v>84</v>
      </c>
      <c r="G293" s="1" t="s">
        <v>71</v>
      </c>
      <c r="H293" s="1" t="s">
        <v>86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1645.6691197545231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1720.7068985140734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0.39366026621279537</v>
      </c>
      <c r="R293" s="1">
        <v>91</v>
      </c>
      <c r="S293" s="1">
        <v>104</v>
      </c>
      <c r="T293" s="1">
        <v>0</v>
      </c>
      <c r="U293" s="1">
        <f>Games[[#This Row],[PointsFor]]-Games[[#This Row],[PointsAgainst]]</f>
        <v>-13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0.44426331220399395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3" s="9">
        <f>MAX(kmin, kmax - 0.15 * MIN(Games[[#This Row],[GamesPlayed]], 82))</f>
        <v>71.650000000000006</v>
      </c>
      <c r="Z293" s="4">
        <f>Games[[#This Row],[K]]*Games[[#This Row],[POMult]]</f>
        <v>96.72750000000002</v>
      </c>
      <c r="AA293" s="4">
        <f>(Games[[#This Row],[Keff]]*Games[[#This Row],[MOVMult]])*(Games[[#This Row],[Result]]-Games[[#This Row],[ExpectedWin%]])</f>
        <v>-16.916557732080751</v>
      </c>
      <c r="AB293" s="4">
        <f>Games[[#This Row],[PreGmRate]]+Games[[#This Row],[RatingChange]]</f>
        <v>1628.7525620224424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1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44110</v>
      </c>
      <c r="B294" s="2">
        <v>2020</v>
      </c>
      <c r="C294" s="2">
        <f>COUNTIFS(Games[Team],Games[[#This Row],[Team]],Games[Season],Games[[#This Row],[Season]],Games[Date],"&lt;=" &amp; Games[[#This Row],[Date]])</f>
        <v>30</v>
      </c>
      <c r="D294" s="2" t="s">
        <v>81</v>
      </c>
      <c r="E294" s="2">
        <v>3</v>
      </c>
      <c r="F294" s="1" t="s">
        <v>84</v>
      </c>
      <c r="G294" s="1" t="s">
        <v>71</v>
      </c>
      <c r="H294" s="1" t="s">
        <v>86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1628.7525620224424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1737.6942862157232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0.3481640880733689</v>
      </c>
      <c r="R294" s="1">
        <v>59</v>
      </c>
      <c r="S294" s="1">
        <v>92</v>
      </c>
      <c r="T294" s="1">
        <v>0</v>
      </c>
      <c r="U294" s="1">
        <f>Games[[#This Row],[PointsFor]]-Games[[#This Row],[PointsAgainst]]</f>
        <v>-33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0.67756325602366219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4" s="9">
        <f>MAX(kmin, kmax - 0.15 * MIN(Games[[#This Row],[GamesPlayed]], 82))</f>
        <v>71.5</v>
      </c>
      <c r="Z294" s="4">
        <f>Games[[#This Row],[K]]*Games[[#This Row],[POMult]]</f>
        <v>96.525000000000006</v>
      </c>
      <c r="AA294" s="4">
        <f>(Games[[#This Row],[Keff]]*Games[[#This Row],[MOVMult]])*(Games[[#This Row],[Result]]-Games[[#This Row],[ExpectedWin%]])</f>
        <v>-22.770555718369479</v>
      </c>
      <c r="AB294" s="4">
        <f>Games[[#This Row],[PreGmRate]]+Games[[#This Row],[RatingChange]]</f>
        <v>1605.9820063040729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1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44110</v>
      </c>
      <c r="B295" s="2">
        <v>2020</v>
      </c>
      <c r="C295" s="2">
        <f>COUNTIFS(Games[Team],Games[[#This Row],[Team]],Games[Season],Games[[#This Row],[Season]],Games[Date],"&lt;=" &amp; Games[[#This Row],[Date]])</f>
        <v>28</v>
      </c>
      <c r="D295" s="2" t="s">
        <v>81</v>
      </c>
      <c r="E295" s="2">
        <v>3</v>
      </c>
      <c r="F295" s="1" t="s">
        <v>71</v>
      </c>
      <c r="G295" s="1" t="s">
        <v>84</v>
      </c>
      <c r="H295" s="1" t="s">
        <v>86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1737.6942862157232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1628.7525620224424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0.65183591192663115</v>
      </c>
      <c r="R295" s="1">
        <v>92</v>
      </c>
      <c r="S295" s="1">
        <v>59</v>
      </c>
      <c r="T295" s="1">
        <v>0</v>
      </c>
      <c r="U295" s="1">
        <f>Games[[#This Row],[PointsFor]]-Games[[#This Row],[PointsAgainst]]</f>
        <v>33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0.67756325602366219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295" s="9">
        <f>MAX(kmin, kmax - 0.15 * MIN(Games[[#This Row],[GamesPlayed]], 82))</f>
        <v>71.8</v>
      </c>
      <c r="Z295" s="4">
        <f>Games[[#This Row],[K]]*Games[[#This Row],[POMult]]</f>
        <v>96.93</v>
      </c>
      <c r="AA295" s="4">
        <f>(Games[[#This Row],[Keff]]*Games[[#This Row],[MOVMult]])*(Games[[#This Row],[Result]]-Games[[#This Row],[ExpectedWin%]])</f>
        <v>22.866096511593401</v>
      </c>
      <c r="AB295" s="4">
        <f>Games[[#This Row],[PreGmRate]]+Games[[#This Row],[RatingChange]]</f>
        <v>1760.5603827273167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1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2026-07-28T21:52:35Z</dcterms:modified>
</cp:coreProperties>
</file>